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120" yWindow="-120" windowWidth="38640" windowHeight="15840" firstSheet="0" activeTab="0"/>
  </bookViews>
  <sheets>
    <sheet name="EMENDAS_CODIFICACAO" sheetId="1" state="visible" r:id="rId1"/>
    <sheet name="CODEBOOK_CAP" sheetId="2" state="visible" r:id="rId2"/>
    <sheet name="VEREADOR_ANO" sheetId="3" state="visible" r:id="rId3"/>
    <sheet name="LOCALIDADES_APRESENTACAO" sheetId="4" state="visible" r:id="rId4"/>
    <sheet name="LOCALIDADES_MESTRE" sheetId="7" state="visible" r:id="rId5"/>
    <sheet name="RELACOES" sheetId="6" state="visible" r:id="rId6"/>
    <sheet name="LOG_DECISOES" sheetId="5" state="visible" r:id="rId7"/>
  </sheets>
  <definedNames>
    <definedName name="_xlnm._FilterDatabase" localSheetId="5" hidden="1">RELACOES!$A$1:$O$615</definedName>
  </definedNames>
  <calcPr calcId="191029"/>
</workbook>
</file>

<file path=xl/sharedStrings.xml><?xml version="1.0" encoding="utf-8"?>
<sst xmlns="http://schemas.openxmlformats.org/spreadsheetml/2006/main" count="10140" uniqueCount="10140">
  <si>
    <t>id_emenda</t>
  </si>
  <si>
    <t>ano</t>
  </si>
  <si>
    <t>linha_origem</t>
  </si>
  <si>
    <t>arquivo_origem</t>
  </si>
  <si>
    <t>id_vereador_ano</t>
  </si>
  <si>
    <t>numero_emenda</t>
  </si>
  <si>
    <t>status_original</t>
  </si>
  <si>
    <t>parlamentar_original</t>
  </si>
  <si>
    <t>partido_base</t>
  </si>
  <si>
    <t>objeto_emenda</t>
  </si>
  <si>
    <t>dotacao_original</t>
  </si>
  <si>
    <t>uo_dec</t>
  </si>
  <si>
    <t>nome_uo</t>
  </si>
  <si>
    <t>func_dec</t>
  </si>
  <si>
    <t>nome_funcao</t>
  </si>
  <si>
    <t>sub_dec</t>
  </si>
  <si>
    <t>nome_subfuncao</t>
  </si>
  <si>
    <t>prog_dec</t>
  </si>
  <si>
    <t>nome_programa</t>
  </si>
  <si>
    <t>acao_dec</t>
  </si>
  <si>
    <t>nome_acao</t>
  </si>
  <si>
    <t>nat_dec</t>
  </si>
  <si>
    <t>categoria_economica</t>
  </si>
  <si>
    <t>grupo_despesa</t>
  </si>
  <si>
    <t>fonte_dec</t>
  </si>
  <si>
    <t>orgao_executor</t>
  </si>
  <si>
    <t>valor_emenda</t>
  </si>
  <si>
    <t>valor_empenhado</t>
  </si>
  <si>
    <t>valor_liquidado</t>
  </si>
  <si>
    <t>valor_pago</t>
  </si>
  <si>
    <t>credor_original</t>
  </si>
  <si>
    <t>saude_orcamentaria</t>
  </si>
  <si>
    <t>saude_tematica</t>
  </si>
  <si>
    <t>subcodigo_cap_final</t>
  </si>
  <si>
    <t>subcodigo_cap</t>
  </si>
  <si>
    <t>subcodigo_cap_descricao</t>
  </si>
  <si>
    <t>localidade_final</t>
  </si>
  <si>
    <t>localidade_resumo</t>
  </si>
  <si>
    <t>N_localidades</t>
  </si>
  <si>
    <t>georreferenciavel</t>
  </si>
  <si>
    <t>georreferenciacao</t>
  </si>
  <si>
    <t>publico_alvo_final</t>
  </si>
  <si>
    <t>publico_alvo_resumo</t>
  </si>
  <si>
    <t>credor_disponivel_final</t>
  </si>
  <si>
    <t>credor_padronizado</t>
  </si>
  <si>
    <t>status_codificacao</t>
  </si>
  <si>
    <t>confianca</t>
  </si>
  <si>
    <t>data_codificacao</t>
  </si>
  <si>
    <t>regra_decisao_id</t>
  </si>
  <si>
    <t>2023_BELLA_GONCALVES_566_01</t>
  </si>
  <si>
    <t>emendas-2023-27-11-2025.xlsx</t>
  </si>
  <si>
    <t>2023_BELLA_GONCALVES</t>
  </si>
  <si>
    <t>566</t>
  </si>
  <si>
    <t>ATOS PREPARATÓRIOS</t>
  </si>
  <si>
    <t>Bella Gonçalves</t>
  </si>
  <si>
    <t>à reforma dos Centros de Referência em Saúde Mental Noroeste (CERSAM Noroeste), Centros de Referência em Saúde Mental Infanto-Juvenil Noroeste (CERSAMi Noroeste) e Centros de Referência em Saúde Mental Infanto-Juvenil Centro-Sul (CERSAMi Centro-Sul/CEPAI)</t>
  </si>
  <si>
    <t>2302.1012201171.216.449051.S.500</t>
  </si>
  <si>
    <t>2302</t>
  </si>
  <si>
    <t>FUNDO MUNICIPAL DE SAÚDE</t>
  </si>
  <si>
    <t>10</t>
  </si>
  <si>
    <t>SAÚDE</t>
  </si>
  <si>
    <t>122</t>
  </si>
  <si>
    <t>ADMINISTRAÇÃO GERAL</t>
  </si>
  <si>
    <t>0117</t>
  </si>
  <si>
    <t>GESTÃO DO SUS</t>
  </si>
  <si>
    <t>1216</t>
  </si>
  <si>
    <t>CONSTRUÇÃO, AMPLIAÇÃO E REFORMA DE UNIDADES DE SAÚDE</t>
  </si>
  <si>
    <t>449051</t>
  </si>
  <si>
    <t>Despesa de capital</t>
  </si>
  <si>
    <t>Investimentos</t>
  </si>
  <si>
    <t>500</t>
  </si>
  <si>
    <t>FMS/SMOBI</t>
  </si>
  <si>
    <t>1223854</t>
  </si>
  <si>
    <t>813820.27</t>
  </si>
  <si>
    <t>803820.27</t>
  </si>
  <si>
    <t>VALESK CONSTRUCOES LTDA,</t>
  </si>
  <si>
    <t>0333</t>
  </si>
  <si>
    <t>0</t>
  </si>
  <si>
    <t>3</t>
  </si>
  <si>
    <t>1</t>
  </si>
  <si>
    <t>R. Camarugi, 10 - Padre Eustáquio, Belo Horizonte - MG, 30720-090; R. Manhumirim, 415 - Padre Eustáquio, Belo Horizonte - MG, 30720-070; R. Padre Marinho, 150 - Santa Efigênia, Belo Horizonte - MG, 30140-040</t>
  </si>
  <si>
    <t>Infanto-Juvenil</t>
  </si>
  <si>
    <t>Revisado</t>
  </si>
  <si>
    <t>Alta</t>
  </si>
  <si>
    <t>2023_BELLA_GONCALVES_569_01</t>
  </si>
  <si>
    <t>569</t>
  </si>
  <si>
    <t>CONCLUÍDO</t>
  </si>
  <si>
    <t>à realização de eventos de formação com foco no público usuário dos serviços de saúde mental</t>
  </si>
  <si>
    <t>2302.1030201142.891.339039.S.500</t>
  </si>
  <si>
    <t>302</t>
  </si>
  <si>
    <t>ASSISTÊNCIA HOSPITALAR E AMBULATORIAL</t>
  </si>
  <si>
    <t>0114</t>
  </si>
  <si>
    <t>ATENÇÃO SECUNDÁRIA E TERCIÁRIA À SAÚDE</t>
  </si>
  <si>
    <t>2891</t>
  </si>
  <si>
    <t>REDE ESPECIALIZADA</t>
  </si>
  <si>
    <t>339039</t>
  </si>
  <si>
    <t>Despesa corrente</t>
  </si>
  <si>
    <t>Outras despesas correntes</t>
  </si>
  <si>
    <t>FMS</t>
  </si>
  <si>
    <t>104100</t>
  </si>
  <si>
    <t>2023_BELLA_GONCALVES_571_01</t>
  </si>
  <si>
    <t>571</t>
  </si>
  <si>
    <t>à aquisição de material de apoio utilizado no atendimento das Equipes de Consultório na Rua.</t>
  </si>
  <si>
    <t>2302.1030201142.891.335043.S.500</t>
  </si>
  <si>
    <t>335043</t>
  </si>
  <si>
    <t>112578</t>
  </si>
  <si>
    <t>0304</t>
  </si>
  <si>
    <t>2023_BELLA_GONCALVES_574_01</t>
  </si>
  <si>
    <t>574</t>
  </si>
  <si>
    <t>ao reforço de dotação orçamentária para qualificação no atendimento da população LGBT através do "Projeto BH de Mão Dadas Contra a Aids".</t>
  </si>
  <si>
    <t>2302.1030500282.829.335043.S.500</t>
  </si>
  <si>
    <t>305</t>
  </si>
  <si>
    <t>VIGILÂNCIA EPIDEMIOLÓGICA</t>
  </si>
  <si>
    <t>0028</t>
  </si>
  <si>
    <t>VIGILÂNCIA EM SAÚDE</t>
  </si>
  <si>
    <t>2829</t>
  </si>
  <si>
    <t>72000</t>
  </si>
  <si>
    <t>0331</t>
  </si>
  <si>
    <t>LGBT</t>
  </si>
  <si>
    <t>2023_BELLA_GONCALVES_580_01</t>
  </si>
  <si>
    <t>580</t>
  </si>
  <si>
    <t>ao reforço de dotação orçamentária para o Hospital Eduardo de Menezes, CNPJ 19.843.929/0011- 82, para a compra de hormônios e outras medicações utilizadas no ambulatório Anyky Lima.</t>
  </si>
  <si>
    <t>2302.1030201142.894.339039.S.500</t>
  </si>
  <si>
    <t>2894</t>
  </si>
  <si>
    <t>REDE HOSPITALAR</t>
  </si>
  <si>
    <t>100000</t>
  </si>
  <si>
    <t>0335</t>
  </si>
  <si>
    <t>R. Dr. Cristiano Rezende, 2213 - Bonsucesso, Belo Horizonte - MG, 30622-020</t>
  </si>
  <si>
    <t>LGBT; trans e travestis</t>
  </si>
  <si>
    <t>2023_BELLA_GONCALVES_585_01</t>
  </si>
  <si>
    <t>585</t>
  </si>
  <si>
    <t>à implantação e estruturação do projeto Cozinha-Escola para realização de atividades de formação, oficinas, e cursos, com foco na geração de trabalho, emprego e renda, destinados a público em situação de vulnerabilidade social e comunidades em situação de insegurança alimentar</t>
  </si>
  <si>
    <t>2800.0412202172.853.339039.F.500</t>
  </si>
  <si>
    <t>2800</t>
  </si>
  <si>
    <t>SECRETARIA MUNICIPAL DE DESENVOLVIMENTO ECONÔMICO</t>
  </si>
  <si>
    <t>04</t>
  </si>
  <si>
    <t>ADMINISTRAÇÃO</t>
  </si>
  <si>
    <t>0217</t>
  </si>
  <si>
    <t>FOMENTO AO DESENVOLVIMENTO ECONÔMICO</t>
  </si>
  <si>
    <t>2853</t>
  </si>
  <si>
    <t>PROMOÇÃO E ATRAÇÃO DE INVESTIMENTOS E EMPREENDEDORISMO</t>
  </si>
  <si>
    <t>SMDE</t>
  </si>
  <si>
    <t>600000</t>
  </si>
  <si>
    <t>0502</t>
  </si>
  <si>
    <t>2023_BELLA_GONCALVES_601_01</t>
  </si>
  <si>
    <t>601</t>
  </si>
  <si>
    <t>ao reforço de dotação orçamentária da política municipal_ "Cultura Viva"_.</t>
  </si>
  <si>
    <t>3100.1339201542.930.339036.F.500</t>
  </si>
  <si>
    <t>3100</t>
  </si>
  <si>
    <t>SECRETARIA MUNICIPAL DE CULTURA</t>
  </si>
  <si>
    <t>13</t>
  </si>
  <si>
    <t>CULTURA</t>
  </si>
  <si>
    <t>392</t>
  </si>
  <si>
    <t>DIFUSÃO CULTURAL</t>
  </si>
  <si>
    <t>0154</t>
  </si>
  <si>
    <t>PROMOÇÃO E ACESSO ÀS ARTES E À CULTURA</t>
  </si>
  <si>
    <t>2930</t>
  </si>
  <si>
    <t>PROMOÇÃO E DEMOCRATIZAÇÃO DO ACESSO À CULTURA</t>
  </si>
  <si>
    <t>339036</t>
  </si>
  <si>
    <t>SMC</t>
  </si>
  <si>
    <t>300000</t>
  </si>
  <si>
    <t>2300</t>
  </si>
  <si>
    <t>2023_BELLA_GONCALVES_607_01</t>
  </si>
  <si>
    <t>607</t>
  </si>
  <si>
    <t>ao atendimento das mulheres em situação de violência identificadas nos termos da Lei n° 11.166/2019 (Lei da Morada Segura)</t>
  </si>
  <si>
    <t>2704.1648202262.792.339048.F.500</t>
  </si>
  <si>
    <t>2704</t>
  </si>
  <si>
    <t>FUNDO MUNICIPAL DE HABITAÇÃO POPULAR</t>
  </si>
  <si>
    <t>16</t>
  </si>
  <si>
    <t>HABITAÇÃO</t>
  </si>
  <si>
    <t>482</t>
  </si>
  <si>
    <t>HABITAÇÃO URBANA</t>
  </si>
  <si>
    <t>0226</t>
  </si>
  <si>
    <t>PROVISÃO HABITACIONAL</t>
  </si>
  <si>
    <t>2792</t>
  </si>
  <si>
    <t>BOLSA MORADIA / LOCAÇÃO SOCIAL</t>
  </si>
  <si>
    <t>339048</t>
  </si>
  <si>
    <t>SMOBI</t>
  </si>
  <si>
    <t>114779.32</t>
  </si>
  <si>
    <t>1406</t>
  </si>
  <si>
    <t>mulheres</t>
  </si>
  <si>
    <t>2023_BELLA_GONCALVES_619_01</t>
  </si>
  <si>
    <t>619</t>
  </si>
  <si>
    <t>IMPEDIMENTO TÉCNICO</t>
  </si>
  <si>
    <t>à implantação e/ou manutenção de equipamento de infraestrutura esportiva e de lazer em estrutura pública municipal</t>
  </si>
  <si>
    <t>3000.2781201012.534.449052.F.500 3000.2781201012.534.339039.F.500</t>
  </si>
  <si>
    <t>3000</t>
  </si>
  <si>
    <t>SECRETARIA MUNICIPAL DE ESPORTES E LAZER</t>
  </si>
  <si>
    <t>27</t>
  </si>
  <si>
    <t>DESPORTO E LAZER</t>
  </si>
  <si>
    <t>812</t>
  </si>
  <si>
    <t>DESPORTO COMUNITÁRIO</t>
  </si>
  <si>
    <t>0101</t>
  </si>
  <si>
    <t>PROMOÇÃO E DEMOCRATIZAÇÃO DAS PRÁTICAS DE ESPORTES E LAZER</t>
  </si>
  <si>
    <t>2534</t>
  </si>
  <si>
    <t>IMPLANTAÇÃO, MANUTENÇÃO E RECUPERAÇAO DE INFRAESTRUTURA ESPORTIVA E DE LAZER</t>
  </si>
  <si>
    <t>449052</t>
  </si>
  <si>
    <t>SMEL</t>
  </si>
  <si>
    <t>150000</t>
  </si>
  <si>
    <t>2023_BELLA_GONCALVES_622_01</t>
  </si>
  <si>
    <t>622</t>
  </si>
  <si>
    <t>ao reforço de dotação orçamentária para continuidade de projeto de capacitação profissionalizante e empreendedorismo voltado às comunidades quilombolas no contexto urbano de Belo Horizonte.</t>
  </si>
  <si>
    <t>70000</t>
  </si>
  <si>
    <t>quilombolas</t>
  </si>
  <si>
    <t>2023_BELLA_GONCALVES_896_01</t>
  </si>
  <si>
    <t>896</t>
  </si>
  <si>
    <t>à pavimentação de via urbana na Regional Oeste, especificamente na Ocupação Novo Paraíso, bairro Palmeiras</t>
  </si>
  <si>
    <t>2700.1545100621.230.449051.F.500</t>
  </si>
  <si>
    <t>2700</t>
  </si>
  <si>
    <t>SECRETARIA MUNICIPAL DE OBRAS E INFRAESTRUTURA</t>
  </si>
  <si>
    <t>15</t>
  </si>
  <si>
    <t>URBANISMO</t>
  </si>
  <si>
    <t>451</t>
  </si>
  <si>
    <t>INFRA-ESTRUTURA URBANA</t>
  </si>
  <si>
    <t>0062</t>
  </si>
  <si>
    <t>GESTÃO DO SISTEMA VIÁRIO MUNICIPAL</t>
  </si>
  <si>
    <t>1230</t>
  </si>
  <si>
    <t>IMPLANTAÇÃO E RECONSTRUÇÃO DE VIAS PÚBLICAS</t>
  </si>
  <si>
    <t>192532</t>
  </si>
  <si>
    <t>1002</t>
  </si>
  <si>
    <t>Regional Oeste, Ocupação Novo Paraíso, bairro Palmeiras</t>
  </si>
  <si>
    <t>2023_BIM_DA_AMBULANCIA_1063_01</t>
  </si>
  <si>
    <t>2023_BIM_DA_AMBULANCIA</t>
  </si>
  <si>
    <t>1063</t>
  </si>
  <si>
    <t>Bim da Ambulância</t>
  </si>
  <si>
    <t>Ao reforço de dotação orçamentária para o Centro de Saúde Paraúna, situado à rua João Ferreira da Silva, 248 - Bairro Mantiqueira - Venda Nova</t>
  </si>
  <si>
    <t>2302.1030101572.690.339037.S.500</t>
  </si>
  <si>
    <t>301</t>
  </si>
  <si>
    <t>ATENÇÃO BÁSICA</t>
  </si>
  <si>
    <t>0157</t>
  </si>
  <si>
    <t>ATENÇÃO PRIMÁRIA À SAÚDE</t>
  </si>
  <si>
    <t>2690</t>
  </si>
  <si>
    <t>339037</t>
  </si>
  <si>
    <t>60000</t>
  </si>
  <si>
    <t>113052.63</t>
  </si>
  <si>
    <t>0322</t>
  </si>
  <si>
    <t>rua João Ferreira da Silva, 248 - Bairro Mantiqueira - Venda Nova</t>
  </si>
  <si>
    <t>Centro de Saúde Paraúna (Rua João Ferreira da Silva, 248 - Bairro Mantiqueira - Venda Nova)</t>
  </si>
  <si>
    <t>2023_BIM_DA_AMBULANCIA_744_01</t>
  </si>
  <si>
    <t>744</t>
  </si>
  <si>
    <t>Ao reforço de dotação orçamentária para construção de vestiários no Campo do itatiaia, situado à rua Clóvis Salgado, 1300 - Bandeirantes</t>
  </si>
  <si>
    <t>2700.2781201011.213.449051.F.500</t>
  </si>
  <si>
    <t>1213</t>
  </si>
  <si>
    <t>CONSTRUÇÃO, AMPLIAÇÃO E REFORMA DE EQUIPAMENTOS ESPORTIVOS E ÁREAS DE LAZER</t>
  </si>
  <si>
    <t>210000</t>
  </si>
  <si>
    <t xml:space="preserve"> rua Clóvis Salgado, 1300 - Bandeirantes</t>
  </si>
  <si>
    <t>Campo do itatiaia (rua Clóvis Salgado, 1300 - Bandeirantes)</t>
  </si>
  <si>
    <t>2023_BIM_DA_AMBULANCIA_752_01</t>
  </si>
  <si>
    <t>752</t>
  </si>
  <si>
    <t>Construção do Vestiário Feminino do Campo Telê Santana situado à rua Augusto dos Anjos, Bairro SINIMBU - CEP 31.535-000</t>
  </si>
  <si>
    <t>2700.0412202331.219.449051.F.500</t>
  </si>
  <si>
    <t>0233</t>
  </si>
  <si>
    <t>MANUTENÇÃO DA CIDADE</t>
  </si>
  <si>
    <t>1219</t>
  </si>
  <si>
    <t>AQUISIÇÃO, CONSTRUÇÃO, REFORMA E READAPTAÇÃO DE IMÓVEIS</t>
  </si>
  <si>
    <t>140000</t>
  </si>
  <si>
    <t>8004.73</t>
  </si>
  <si>
    <t xml:space="preserve"> rua Augusto dos Anjos, Bairro SINIMBU - CEP 31.535-000</t>
  </si>
  <si>
    <t>Campo Telê Santana (Rua Augusto dos Anjos, Bairro SINIMBU - CEP 31.535-000)</t>
  </si>
  <si>
    <t>2023_BIM_DA_AMBULANCIA_753_01</t>
  </si>
  <si>
    <t>753</t>
  </si>
  <si>
    <t>Reforma do Sine Venda Nova, situado à rua Padre Pedro Pinto, 1055 - Bairro Venda Nova</t>
  </si>
  <si>
    <t>40973.65</t>
  </si>
  <si>
    <t>0599</t>
  </si>
  <si>
    <t>rua Padre Pedro Pinto, 1055 - Bairro Venda Nova</t>
  </si>
  <si>
    <t>2023_BIM_DA_AMBULANCIA_754_01</t>
  </si>
  <si>
    <t>754</t>
  </si>
  <si>
    <t>Reforma do telhado da CARE Venda Nova, situado à Rua Padre Pedro Pinto, 1055 - Bairro Venda Nova</t>
  </si>
  <si>
    <t>2002</t>
  </si>
  <si>
    <t>Rua Padre Pedro Pinto, 1055 - Bairro Venda Nova</t>
  </si>
  <si>
    <t>2023_BIM_DA_AMBULANCIA_757_01</t>
  </si>
  <si>
    <t>757</t>
  </si>
  <si>
    <t>À realização de ações de assistência social pela entidade: Associação Mineira de Educação Continuada - ASMEC CNPJ 05.263.848/0001-27 na qualificação profissional e inclusão produtiva.</t>
  </si>
  <si>
    <t>1011.0824400192.308.339039.S.500</t>
  </si>
  <si>
    <t>1011</t>
  </si>
  <si>
    <t>FUNDO MUNICIPAL DE ASSISTÊNCIA SOCIAL</t>
  </si>
  <si>
    <t>08</t>
  </si>
  <si>
    <t>ASSISTÊNCIA SOCIAL</t>
  </si>
  <si>
    <t>244</t>
  </si>
  <si>
    <t>ASSISTÊNCIA COMUNITÁRIA</t>
  </si>
  <si>
    <t>0019</t>
  </si>
  <si>
    <t>PROTEÇÃO SOCIAL BÁSICA</t>
  </si>
  <si>
    <t>2308</t>
  </si>
  <si>
    <t>SERVIÇOS DE PROTEÇÃO SOCIAL BÁSICA</t>
  </si>
  <si>
    <t>SMASDH</t>
  </si>
  <si>
    <t>806266</t>
  </si>
  <si>
    <t>2023_BIM_DA_AMBULANCIA_758_01</t>
  </si>
  <si>
    <t>758</t>
  </si>
  <si>
    <t>Manutenção de Rede de Drenagem da rua Edgard Torres - Minas Caixa - Venda Nova.</t>
  </si>
  <si>
    <t>2700.1545102331.396.449051.F.500</t>
  </si>
  <si>
    <t>1396</t>
  </si>
  <si>
    <t>INFRAESTRUTURA URBANA</t>
  </si>
  <si>
    <t>30000</t>
  </si>
  <si>
    <t>21000.67</t>
  </si>
  <si>
    <t>0711</t>
  </si>
  <si>
    <t>rua Edgard Torres - Minas Caixa - Venda Nova.</t>
  </si>
  <si>
    <t>2023_BIM_DA_AMBULANCIA_759_01</t>
  </si>
  <si>
    <t>759</t>
  </si>
  <si>
    <t>Revitalização da Praça São Caetano do Sul, situada entre as ruas Cyrene Bellonia e Hélio Pellegrino - São João Batista - Venda Nova</t>
  </si>
  <si>
    <t>2700.1545102331.202.449051.F.500</t>
  </si>
  <si>
    <t>1202</t>
  </si>
  <si>
    <t>CONSTRUÇÃO, AMPLIAÇÃO E REFORMA DE PRAÇAS, PARQUES E CANTEIROS</t>
  </si>
  <si>
    <t>126266</t>
  </si>
  <si>
    <t>112626.8</t>
  </si>
  <si>
    <t>1403</t>
  </si>
  <si>
    <t>Praça São Caetano do Sul, situada entre as ruas Cyrene Bellonia e Hélio Pellegrino - São João Batista - Venda Nova</t>
  </si>
  <si>
    <t>2023_BIM_DA_AMBULANCIA_803_01</t>
  </si>
  <si>
    <t>803</t>
  </si>
  <si>
    <t>À aquisição de materiais permanentes para o Centro de Saúde Santo Antônio na Regional Venda Nova, situado à rua Irineu Pinto, 255 - São João Batista.</t>
  </si>
  <si>
    <t>2302.1030101572.690.449052.S.500</t>
  </si>
  <si>
    <t>7000</t>
  </si>
  <si>
    <t>6706</t>
  </si>
  <si>
    <t xml:space="preserve"> Centro de Saúde Santo Antônio na Regional Venda Nova, situado à rua Irineu Pinto, 255 - São João Batista.</t>
  </si>
  <si>
    <t>2023_BIM_DA_AMBULANCIA_810_01</t>
  </si>
  <si>
    <t>810</t>
  </si>
  <si>
    <t>EM EXECUÇÃO</t>
  </si>
  <si>
    <t>À aquisição de material permanente para o Centro de Saúde Minas Caixa na Regional Venda Nova, situado à rua Capitão Sérgio Pires, 226 - Bairro Minas Caixa.</t>
  </si>
  <si>
    <t>4000</t>
  </si>
  <si>
    <t>2790.51</t>
  </si>
  <si>
    <t>2013.11</t>
  </si>
  <si>
    <t>INSMART COMERCIO DE EQUIPAMENTOS LTDA</t>
  </si>
  <si>
    <t>Centro de Saúde Minas Caixa na Regional Venda Nova, situado à rua Capitão Sérgio Pires, 226 - Bairro Minas Caixa.</t>
  </si>
  <si>
    <t>2023_BIM_DA_AMBULANCIA_811_01</t>
  </si>
  <si>
    <t>811</t>
  </si>
  <si>
    <t>À aquisição de materiais permanentes para o Centro de Saúde Andradas, na Regional Venda Nova, situado à rua Mariana Amélia de Azevedo, 21 - Bairro São João Batista</t>
  </si>
  <si>
    <t>45000</t>
  </si>
  <si>
    <t>9518.4599999999991</t>
  </si>
  <si>
    <t>8648.4599999999991</t>
  </si>
  <si>
    <t>B. D. R. COMERCIO DE EQUIPAMENTOS LTDA</t>
  </si>
  <si>
    <t>Centro de Saúde Andradas, na Regional Venda Nova, situado à rua Mariana Amélia de Azevedo, 21 - Bairro São João Batista</t>
  </si>
  <si>
    <t>2023_BIM_DA_AMBULANCIA_812_01</t>
  </si>
  <si>
    <t>À aquisição de materiais permanentes para o Centro de Saúde Lagoa, na Regional Venda Nova, situado na rua José Sabino Maciel, 176 - Bairro Lagoa, CEP: 31578-060.</t>
  </si>
  <si>
    <t>35000</t>
  </si>
  <si>
    <t>27776.400000000001</t>
  </si>
  <si>
    <t>26036.400000000001</t>
  </si>
  <si>
    <t>B. D. R. COMERCIO DE EQUIPAMENTOS LTDA; SUPORTH CIRURGICA PONTA GROSSA LTDA</t>
  </si>
  <si>
    <t>Centro de Saúde Lagoa, na Regional Venda Nova, situado na rua José Sabino Maciel, 176 - Bairro Lagoa, CEP: 31578-060.</t>
  </si>
  <si>
    <t>2023_BIM_DA_AMBULANCIA_813_01</t>
  </si>
  <si>
    <t>813</t>
  </si>
  <si>
    <t>À aquisição de materiais permanentes para o Centro de Assistência à Mulher na UPA Venda Nova, situado à rua Padre Pedro Pinto, 322 - Venda Nova - CEP: 31610-000</t>
  </si>
  <si>
    <t>2302.1030201142.893.449052.S.500</t>
  </si>
  <si>
    <t>2893</t>
  </si>
  <si>
    <t>REDE DE URGÊNCIA E EMERGÊNCIA</t>
  </si>
  <si>
    <t>250000</t>
  </si>
  <si>
    <t>195230</t>
  </si>
  <si>
    <t>820</t>
  </si>
  <si>
    <t>ADEM DISTRIBUIDORA DE EQUIPAMENTOS MEDICOS LTDA; MARCENARIA SANTA CLARA LTDA; RJN COMERCIO DE MAQUINAS, APARELHOS E EQUIPAMENTOS LTDA; SENA E PRATES LTDA</t>
  </si>
  <si>
    <t>Centro de Assistência à Mulher na UPA Venda Nova, situado à rua Padre Pedro Pinto, 322 - Venda Nova - CEP: 31610-000</t>
  </si>
  <si>
    <t>2023_BIM_DA_AMBULANCIA_814_01</t>
  </si>
  <si>
    <t>814</t>
  </si>
  <si>
    <t>Melhorias e Reformas para o Centro de Saúde Santo Antônio, localizado à rua Irineu pinto, 255 - Bairro São João Batista - Regional Venda Nova</t>
  </si>
  <si>
    <t>120000</t>
  </si>
  <si>
    <t>97682.11</t>
  </si>
  <si>
    <t>Centro de Saúde Santo Antônio, localizado à rua Irineu pinto, 255 - Bairro São João Batista - Regional Venda Nova</t>
  </si>
  <si>
    <t>2023_BIM_DA_AMBULANCIA_815_01</t>
  </si>
  <si>
    <t>815</t>
  </si>
  <si>
    <t>Reforço de dotação orçamentária para instalação de telhada no Centro de Saúde Jardim Europa, situado à Rua Edimburgo, 140 - Jardim Europa - Regional Venda Nova</t>
  </si>
  <si>
    <t>12000</t>
  </si>
  <si>
    <t xml:space="preserve"> Rua Edimburgo, 140 - Jardim Europa - Regional Venda Nova</t>
  </si>
  <si>
    <t xml:space="preserve"> Centro de Saúde Jardim Europa (Rua Edimburgo, 140 - Jardim Europa - Regional Venda Nova)</t>
  </si>
  <si>
    <t>2023_BIM_DA_AMBULANCIA_816_01</t>
  </si>
  <si>
    <t>816</t>
  </si>
  <si>
    <t>À aquisição de materiais permanentes para o centro de Saúde Jardim Europa na Regional Venda Nova, situado à rua Edimburgo, 149 - Bairro Jardim Europa.</t>
  </si>
  <si>
    <t>40000</t>
  </si>
  <si>
    <t>27606.22</t>
  </si>
  <si>
    <t>1521.22</t>
  </si>
  <si>
    <t>UDILIFE COM IMPORTACAO E EXPORTACAO LTDA</t>
  </si>
  <si>
    <t>Regional Venda Nova, situado à rua Edimburgo, 149 - Bairro Jardim Europa.</t>
  </si>
  <si>
    <t>centro de Saúde Jardim Europa (Regional Venda Nova, situado à rua Edimburgo, 149 - Bairro Jardim Europa.)</t>
  </si>
  <si>
    <t>2023_BIM_DA_AMBULANCIA_817_01</t>
  </si>
  <si>
    <t>817</t>
  </si>
  <si>
    <t>Ampliação da Farmácia, Construção de Banheiro e Colocação de Calha para o Telhado do Centro de Saúde Minas Caixa, localizado à Rua capitão Sérgio Pires, 226 - Bairro Minas Caixa - Regional Venda Nova</t>
  </si>
  <si>
    <t>90000</t>
  </si>
  <si>
    <t xml:space="preserve"> Rua capitão Sérgio Pires, 226 - Bairro Minas Caixa - Regional Venda Nova</t>
  </si>
  <si>
    <t>Centro de Saúde Minas Caixa (Rua capitão Sérgio Pires, 226 - Bairro Minas Caixa - Regional Venda Nova)</t>
  </si>
  <si>
    <t>2023_BIM_DA_AMBULANCIA_818_01</t>
  </si>
  <si>
    <t>818</t>
  </si>
  <si>
    <t>À aquisição de materiais permanentes para o Centro de Saúde Alameda dos Ipês, na Regional Venda Nova, situado à rua Ministro Oliveira Salazar, 1186 - Bairro Santa Mônica</t>
  </si>
  <si>
    <t>51738.5</t>
  </si>
  <si>
    <t>Regional Venda Nova, situado à rua Ministro Oliveira Salazar, 1186 - Bairro Santa Mônica</t>
  </si>
  <si>
    <t>Centro de Saúde Alameda dos Ipês (Regional Venda Nova, situado à rua Ministro Oliveira Salazar, 1186 - Bairro Santa Mônica)</t>
  </si>
  <si>
    <t>2023_BIM_DA_AMBULANCIA_819_01</t>
  </si>
  <si>
    <t>819</t>
  </si>
  <si>
    <t>Obra de Ampliação de Consultórios no Centro de Saúde Andradas, situado à Rua Mariana Amélia de Azevedo, 21 - Bairro São João Batista.</t>
  </si>
  <si>
    <t xml:space="preserve"> Rua Mariana Amélia de Azevedo, 21 - Bairro São João Batista.</t>
  </si>
  <si>
    <t>Centro de Saúde Andradas (Rua Mariana Amélia de Azevedo, 21 - Bairro São João Batista.)</t>
  </si>
  <si>
    <t>2023_BIM_DA_AMBULANCIA_820_01</t>
  </si>
  <si>
    <t>Recurso destinado para a Obra em andamento da reforma do Centro de Saúde Céu Azul, localizado à Rua Alice Marques, 187 - Bairro Céu Azul</t>
  </si>
  <si>
    <t>50000</t>
  </si>
  <si>
    <t>32708.75</t>
  </si>
  <si>
    <t>Rua Alice Marques, 187 - Bairro Céu Azul</t>
  </si>
  <si>
    <t>Centro de Saúde Céu Azul (Rua Alice Marques, 187 - Bairro Céu Azul)</t>
  </si>
  <si>
    <t>2023_BIM_DA_AMBULANCIA_822_01</t>
  </si>
  <si>
    <t>822</t>
  </si>
  <si>
    <t>À aquisição de materiais permanentes para o Centro de Saúde Céu Azul, situado à rua: Alice Marques, 187 - Bairro Céu Azul</t>
  </si>
  <si>
    <t>20000</t>
  </si>
  <si>
    <t>18930.98</t>
  </si>
  <si>
    <t>rua: Alice Marques, 187 - Bairro Céu Azul</t>
  </si>
  <si>
    <t>Centro de Saúde Céu Azul (rua: Alice Marques, 187 - Bairro Céu Azul)</t>
  </si>
  <si>
    <t>2023_BIM_DA_AMBULANCIA_823_01</t>
  </si>
  <si>
    <t>823</t>
  </si>
  <si>
    <t>À aquisição de materiais permanentes para o Centro Especializado Odontológico, situado à rua Eugênio Volpíni, 143 - São João Batista.</t>
  </si>
  <si>
    <t>2302.1030201142.891.449052.S.500</t>
  </si>
  <si>
    <t>49319.6</t>
  </si>
  <si>
    <t xml:space="preserve"> rua Eugênio Volpíni, 143 - São João Batista.</t>
  </si>
  <si>
    <t>Centro Especializado Odontológico (rua Eugênio Volpíni, 143 - São João Batista.)</t>
  </si>
  <si>
    <t>2023_BIM_DA_AMBULANCIA_824_01</t>
  </si>
  <si>
    <t>824</t>
  </si>
  <si>
    <t>À Reforma, Adaptação e Manutenção de Telhado para o Centro Especializado Odontológico. que será situado à rua Padre Pedro Pinto, 322. Venda Nova</t>
  </si>
  <si>
    <t>200000</t>
  </si>
  <si>
    <t>196894.67</t>
  </si>
  <si>
    <t>rua Padre Pedro Pinto, 322. Venda Nova</t>
  </si>
  <si>
    <t>Centro Especializado Odontológico (rua Padre Pedro Pinto, 322. Venda Nova)</t>
  </si>
  <si>
    <t>2023_BIM_DA_AMBULANCIA_825_01</t>
  </si>
  <si>
    <t>825</t>
  </si>
  <si>
    <t>Ao reforço de dotação orçamentária para atendimento ao Hospital Metropolitano Odilon Behrens</t>
  </si>
  <si>
    <t>2302.1030201142.894.339139.S.500</t>
  </si>
  <si>
    <t>339139</t>
  </si>
  <si>
    <t>Hospital Odilon Behrens (R. Formiga, 50 - São Cristóvão, Belo Horizonte - MG, 31110-430)</t>
  </si>
  <si>
    <t>2023_BIM_DA_AMBULANCIA_831_01</t>
  </si>
  <si>
    <t>831</t>
  </si>
  <si>
    <t>À aquisição de materiais permanentes para o Centro de Saúde Regina, situado à rua Aristolino Basílio de Oliveira, 467 - Bairro Regina - CEP: 30.692-000</t>
  </si>
  <si>
    <t>31739.13</t>
  </si>
  <si>
    <t>28259.13</t>
  </si>
  <si>
    <t>B. D. R. COMERCIO DE EQUIPAMENTOS LTDA; BOSCO FELIPE COMERCIO LTDA; BT COMERCIO INTELIGENTE LTDA; CB ELETRO E INFORMATICA LTDA; D3JF EMPREENDIMENTOS COMERCIAIS LTDA; FORMIGARI COMERCIO DE MOVEIS LTDA; INDUSTRIA FENIX CORTE A LASER LTDA; KIENTRO BRASIL LTDA</t>
  </si>
  <si>
    <t xml:space="preserve"> rua Aristolino Basílio de Oliveira, 467 - Bairro Regina - CEP: 30.692-000</t>
  </si>
  <si>
    <t>Centro de Saúde Regina (rua Aristolino Basílio de Oliveira, 467 - Bairro Regina - CEP: 30.692-000)</t>
  </si>
  <si>
    <t>2023_BIM_DA_AMBULANCIA_839_01</t>
  </si>
  <si>
    <t>839</t>
  </si>
  <si>
    <t>Objeto do gasto: À aquisição de materiais permanentes para o Centro de Saúde Paraúna, situado à rua João Ferreira da Silva, 248 - Bairro Mantiqueira - Venda Nova</t>
  </si>
  <si>
    <t>15000</t>
  </si>
  <si>
    <t>3348.22</t>
  </si>
  <si>
    <t xml:space="preserve"> Centro de Saúde Paraúna, situado à rua João Ferreira da Silva, 248 - Bairro Mantiqueira - Venda Nova</t>
  </si>
  <si>
    <t>2023_BIM_DA_AMBULANCIA_841_01</t>
  </si>
  <si>
    <t>841</t>
  </si>
  <si>
    <t>À aquisição de material permanente para a UPA Barreira, situada à rua Aurélio Lopes, 20 - Bairro Diamante - Bairreiro</t>
  </si>
  <si>
    <t>3998.75</t>
  </si>
  <si>
    <t>UPA Barreira, situada à rua Aurélio Lopes, 20 - Bairro Diamante - Bairreiro</t>
  </si>
  <si>
    <t>2023_BIM_DA_AMBULANCIA_844_01</t>
  </si>
  <si>
    <t>844</t>
  </si>
  <si>
    <t>Ao reforço de dotação orçamentária para a Unidade de Pronto Atendimento - UPA Santa Terezinha, 515</t>
  </si>
  <si>
    <t>2302.1030201142.893.339039.S.500</t>
  </si>
  <si>
    <t>188421.05</t>
  </si>
  <si>
    <t>Av. Santa Terezinha, 515 - Santa Terezinha, Belo Horizonte - MG, 31360-000, Brazil</t>
  </si>
  <si>
    <t>2023_BIM_DA_AMBULANCIA_847_01</t>
  </si>
  <si>
    <t>847</t>
  </si>
  <si>
    <t>Ao reforço de dotação orçamentária para a Unidade de Pronto Atendimento - UPA Norte, situada à Avenida Risoleta Neves, 281 - Bairro Novo Aarão Reis.</t>
  </si>
  <si>
    <t>59000</t>
  </si>
  <si>
    <t>111168.42</t>
  </si>
  <si>
    <t>UPA Norte, situada à Avenida Risoleta Neves, 281 - Bairro Novo Aarão Reis.</t>
  </si>
  <si>
    <t>2023_BIM_DA_AMBULANCIA_849_01</t>
  </si>
  <si>
    <t>849</t>
  </si>
  <si>
    <t>Ao reforço de dotação orçamentária para a Unidade de Pronto Atendimento - UPA Venda Nova, situada à rua Padre Pedro Pinto, 175 - Venda Nova</t>
  </si>
  <si>
    <t>140532</t>
  </si>
  <si>
    <t>80272.759999999995</t>
  </si>
  <si>
    <t>CONEXAO 5 DISTRIBUIDORA E SERVICOS LTDA; D3JF EMPREENDIMENTOS COMERCIAIS LTDA; DUMALE PRODUTOS PARA SAUDE LTDA; FABERMINAS COMERCIO DE MATERIAL HOSPITALAR E HIGIENE LTDA; KIENTRO BRASIL LTDA</t>
  </si>
  <si>
    <t>UPA Venda Nova, situada à rua Padre Pedro Pinto, 175 - Venda Nova</t>
  </si>
  <si>
    <t>2023_BRAULIO_LARA_353_01</t>
  </si>
  <si>
    <t>2023_BRAULIO_LARA</t>
  </si>
  <si>
    <t>353</t>
  </si>
  <si>
    <t>Braulio Lara</t>
  </si>
  <si>
    <t>à manutenção e melhorias nos parques Aggeo Pio Sobrinho, Conjunto Estrela D'alva e Bandeirante Silva Ortiz, vinculados à Fundação de Parques Municipais e Zoobotanico</t>
  </si>
  <si>
    <t>400000</t>
  </si>
  <si>
    <t>253112.14</t>
  </si>
  <si>
    <t>2101</t>
  </si>
  <si>
    <t>parques Aggeo Pio Sobrinho, Conjunto Estrela D'alva e Bandeirante Silva Ortiz</t>
  </si>
  <si>
    <t>2023_BRAULIO_LARA_354_01</t>
  </si>
  <si>
    <t>354</t>
  </si>
  <si>
    <t>à revitalização e melhoria da pista de caminhada na Av. Henrique Badaró Portugal, no bairro Buritis: alargamento, pintura e iluminação baixa</t>
  </si>
  <si>
    <t>Av. Henrique Badaró Portugal, no bairro Buritis:</t>
  </si>
  <si>
    <t>Av. Henrique Badaró Portugal, no bairro Buritis</t>
  </si>
  <si>
    <t>2023_BRAULIO_LARA_355_01</t>
  </si>
  <si>
    <t>355</t>
  </si>
  <si>
    <t>à Elaboração de projetos e orçamentos para implementação e revitalização das escadarias do bairro Buritis</t>
  </si>
  <si>
    <t>bairro Buritis</t>
  </si>
  <si>
    <t>2023_BRAULIO_LARA_356_01</t>
  </si>
  <si>
    <t>356</t>
  </si>
  <si>
    <t>à implantação de pista de caminhada na Rua Marco Aurélio de Miranda com Av. Protássio Oliveira Pena, no bairro Buritis</t>
  </si>
  <si>
    <t>3303.1100.26452602.837.33903963.F.500</t>
  </si>
  <si>
    <t>3303</t>
  </si>
  <si>
    <t>FUNDO MUNICIPAL DE MOBILIDADE URBANA</t>
  </si>
  <si>
    <t>26</t>
  </si>
  <si>
    <t>TRANSPORTE</t>
  </si>
  <si>
    <t>452</t>
  </si>
  <si>
    <t>SERVIÇOS URBANOS</t>
  </si>
  <si>
    <t>0060</t>
  </si>
  <si>
    <t>GESTÃO DA MOBILIDADE URBANA</t>
  </si>
  <si>
    <t>2837</t>
  </si>
  <si>
    <t>GERENCIAMENTO DA MOBILIDADE URBANA MUNICIPAL</t>
  </si>
  <si>
    <t>BHTRANS</t>
  </si>
  <si>
    <t>Rua Marco Aurélio de Miranda com Av. Protássio Oliveira Pena, no bairro Buritis</t>
  </si>
  <si>
    <t>2023_BRAULIO_LARA_357_01</t>
  </si>
  <si>
    <t>357</t>
  </si>
  <si>
    <t>à Sinalização na esquina da Rua Ernani Agrícola com a Rua Walter Guimarães Figueiredo: instalação de placa de pare e faixa de retenção na Ernani Agrícola</t>
  </si>
  <si>
    <t>3303.2645200602.837.339039.F.500</t>
  </si>
  <si>
    <t>1325.41</t>
  </si>
  <si>
    <t>Rua Ernani Agrícola com a Rua Walter Guimarães Figueiredo</t>
  </si>
  <si>
    <t>2023_BRAULIO_LARA_358_01</t>
  </si>
  <si>
    <t>358</t>
  </si>
  <si>
    <t>ao desenvolvimento de Projeto operacional e ao arredondamento da quina da esquina da Rua Ernani Agrícola com a Rua Ulisses Marcondes Escobar (facilitar a melhoria da conversão)</t>
  </si>
  <si>
    <t>3303.1100.26.452.60.2837.S.33903963.500</t>
  </si>
  <si>
    <t>10000</t>
  </si>
  <si>
    <t>9946.65</t>
  </si>
  <si>
    <t>Rua Ernani Agrícola com a Rua Ulisses Marcondes Escobar</t>
  </si>
  <si>
    <t>2023_BRAULIO_LARA_359_01</t>
  </si>
  <si>
    <t>359</t>
  </si>
  <si>
    <t>à melhoria de sinalização de trânsito na Rua Lauro Ferreira</t>
  </si>
  <si>
    <t>2000</t>
  </si>
  <si>
    <t>1234</t>
  </si>
  <si>
    <t>Rua Lauro Ferreira</t>
  </si>
  <si>
    <t>2023_BRAULIO_LARA_360_01</t>
  </si>
  <si>
    <t>360</t>
  </si>
  <si>
    <t>à sinalização e implementação de faixa de pedestres na Rua Fidélis Martins com Rua Ulisses Marcondes Escobar: pintura de sinalização e reposicionamento de placa escondida atrás de árvore</t>
  </si>
  <si>
    <t>3500</t>
  </si>
  <si>
    <t>1231.92</t>
  </si>
  <si>
    <t>Rua Fidélis Martins com Rua Ulisses Marcondes Escobar</t>
  </si>
  <si>
    <t>2023_BRAULIO_LARA_361_01</t>
  </si>
  <si>
    <t>361</t>
  </si>
  <si>
    <t>ao projeto e criação de ilha (triangular) para melhoria da travessia de pedestres na Rua José Amaury Ferrara com Rua Engenheiro Aluísio Rocha: criação de ilha e sinalização vertical e horizontal</t>
  </si>
  <si>
    <t>4241.4399999999996</t>
  </si>
  <si>
    <t>Rua José Amaury Ferrara com Rua Engenheiro Aluísio Rocha</t>
  </si>
  <si>
    <t>Rua José Amaury Ferrara com Rua Engenheiro Aluísio Rocha:</t>
  </si>
  <si>
    <t>2023_BRAULIO_LARA_362_01</t>
  </si>
  <si>
    <t>362</t>
  </si>
  <si>
    <t>ao projeto e implantação de redutor de velocidade na Rua José Amaury Ferrara no meio do quarteirão (onde a inclinação é favorável) entre as Ruas Engenheiro Aluísio Rocha e Alessandra Salum Cadar</t>
  </si>
  <si>
    <t>6150</t>
  </si>
  <si>
    <t>5782.37</t>
  </si>
  <si>
    <t>Rua José Amaury Ferrara no meio do quarteirão (onde a inclinação é favorável) entre as Ruas Engenheiro Aluísio Rocha e Alessandra Salum Cadar</t>
  </si>
  <si>
    <t>2023_BRAULIO_LARA_363_01</t>
  </si>
  <si>
    <t>363</t>
  </si>
  <si>
    <t>ao projeto e redução do canteiro da Mário Werneck com Rua Engenheiro Aluísio Rocha</t>
  </si>
  <si>
    <t>9763.5</t>
  </si>
  <si>
    <t>Mário Werneck com Rua Engenheiro Aluísio Rocha</t>
  </si>
  <si>
    <t>2023_BRAULIO_LARA_364_01</t>
  </si>
  <si>
    <t>364</t>
  </si>
  <si>
    <t>ao projeto operacional para criação de faixa de proibido estacionar na Av. Aggeo Pio Sobrinho até o alinhamento da Rua Rubens Rua Caporali, no sentido Palmeiras, com vistas a manter duas faixas livres de trânsito para facilitar o fluxo visto que os veículos que tentam fazer a conversão à esquerda na Rua Rubens Caporali precisam aguardar em fila</t>
  </si>
  <si>
    <t>700</t>
  </si>
  <si>
    <t>636.69000000000005</t>
  </si>
  <si>
    <t>1247.58</t>
  </si>
  <si>
    <t>Av. Aggeo Pio Sobrinho até o alinhamento da Rua Rubens Rua Caporali, no sentido Palmeira</t>
  </si>
  <si>
    <t>2023_BRAULIO_LARA_365_01</t>
  </si>
  <si>
    <t>365</t>
  </si>
  <si>
    <t>ao projeto e implantação de 4 faixas de pedestre com ilha de segurança, na Avenida Aggeo Pio Sobrinho, no trecho entre as ruas Rubens Caporali Ribeiro e Deputado Sebastião Nascimento</t>
  </si>
  <si>
    <t>9200.69</t>
  </si>
  <si>
    <t xml:space="preserve"> Avenida Aggeo Pio Sobrinho, no trecho entre as ruas Rubens Caporali Ribeiro e Deputado Sebastião Nascimento</t>
  </si>
  <si>
    <t>2023_BRAULIO_LARA_366_01</t>
  </si>
  <si>
    <t>366</t>
  </si>
  <si>
    <t>ao projeto operacional e sinalização de faixa contínua e faixas de pedestre na extensão da Rua Rubens Caporali Ribeiro, no trecho entre Rua Senador José Augusto e Aggeo Pio Sobrinho</t>
  </si>
  <si>
    <t>14200</t>
  </si>
  <si>
    <t>13005.9</t>
  </si>
  <si>
    <t>Rua Rubens Caporali Ribeiro, no trecho entre Rua Senador José Augusto e Aggeo Pio Sobrinho</t>
  </si>
  <si>
    <t>2023_BRAULIO_LARA_367_01</t>
  </si>
  <si>
    <t>367</t>
  </si>
  <si>
    <t>à Implantação do projeto de restrição de circulação de caminhões pesados no bairro Buritis, Via Anel Rodoviário, nas imediações na Rua Moises Kalil</t>
  </si>
  <si>
    <t>38507.129999999997</t>
  </si>
  <si>
    <t>75477.960000000006</t>
  </si>
  <si>
    <t>bairro Buritis, Via Anel Rodoviário, nas imediações na Rua Moises Kalil</t>
  </si>
  <si>
    <t>2023_BRAULIO_LARA_368_01</t>
  </si>
  <si>
    <t>368</t>
  </si>
  <si>
    <t>à construção, reforma e implantação de escadarias no bairro Buritis e complementação dos recursos destinados na emenda 741, da LOA 2022</t>
  </si>
  <si>
    <t>225000</t>
  </si>
  <si>
    <t>2023_BRAULIO_LARA_369_01</t>
  </si>
  <si>
    <t>369</t>
  </si>
  <si>
    <t>à instalação de corrimão e revitalização de passeios na Rua Paulo Diniz Carneiro com Rua Deputado Sebastião Nascimento nas imediações do Centro de Saúde Havaí</t>
  </si>
  <si>
    <t>41716</t>
  </si>
  <si>
    <t>16716</t>
  </si>
  <si>
    <t>Rua Paulo Diniz Carneiro com Rua Deputado Sebastião Nascimento nas imediações do Centro de Saúde Havaí</t>
  </si>
  <si>
    <t>2023_BRAULIO_LARA_370_01</t>
  </si>
  <si>
    <t>370</t>
  </si>
  <si>
    <t>ao reforço de dotação orçamentária para as unidades de atendimento à saúde, dos centros de saúde Palmeiras, Vila Leonina, Salgado Filho, Betânia, Amilcar Vianna Martins, Noraldino de Lima, Waldomiro Lobo, Vila Imperial e Pilar Olhos D’água, da Regional Oeste.</t>
  </si>
  <si>
    <t>2302.1030101571.216449051.S.500</t>
  </si>
  <si>
    <t>640000</t>
  </si>
  <si>
    <t>225462.86</t>
  </si>
  <si>
    <t>215648.98</t>
  </si>
  <si>
    <t>3S CONSTRUCOES LTDA; MLQ ENGENHARIA LTDA</t>
  </si>
  <si>
    <t>9</t>
  </si>
  <si>
    <t>centros de saúde Palmeiras, Vila Leonina, Salgado Filho, Betânia, Amilcar Vianna Martins, Noraldino de Lima, Waldomiro Lobo, Vila Imperial e Pilar Olhos D’água, da Regional Oeste.</t>
  </si>
  <si>
    <t>2023_BRAULIO_LARA_371_01</t>
  </si>
  <si>
    <t>371</t>
  </si>
  <si>
    <t>ao aprimoramento das atividades desenvolvidas no âmbito do SUS pelo Hospital Mario Penna, Associação Mario Penna, 17.513.235/0001-80</t>
  </si>
  <si>
    <t>80000</t>
  </si>
  <si>
    <t>0323</t>
  </si>
  <si>
    <t>Hospital Mario Penna (R. Joaquim Cândido Filho, 91 - Luxemburgo, Belo Horizonte - MG, 30380-420, Brazil)</t>
  </si>
  <si>
    <t>Média</t>
  </si>
  <si>
    <t>2023_BRAULIO_LARA_372_01</t>
  </si>
  <si>
    <t>372</t>
  </si>
  <si>
    <t>ao reforço de dotação orçamentária para as unidades de atendimento à saúde, dos centros de saúde Ouro Preto e Santa Terezinha, da Regional Noroeste/Pampulha.</t>
  </si>
  <si>
    <t>2302.1030101571.216449051.S.501</t>
  </si>
  <si>
    <t>501</t>
  </si>
  <si>
    <t>Regional Noroeste/Pampulha</t>
  </si>
  <si>
    <t>2</t>
  </si>
  <si>
    <t>centros de saúde Ouro Preto e Santa Terezinha, da Regional Noroeste/Pampulha. (Rua Jonas Jean, 77 - Ouro Preto; Rua Senador Virgílio Távora, 157 - Santa Terezinha, Belo Horizonte - MG, 31360-220, Brazil)</t>
  </si>
  <si>
    <t>2023_BRAULIO_LARA_373_01</t>
  </si>
  <si>
    <t>373</t>
  </si>
  <si>
    <t>ao reforço de dotação orçamentária para as unidades de atendimento à saúde da UPA Oeste</t>
  </si>
  <si>
    <t>122532</t>
  </si>
  <si>
    <t>230876.08</t>
  </si>
  <si>
    <t>UPA OESTE (R. Santa Cruz, 137 - Alto Barroca, Belo Horizonte - MG, 30431-045)</t>
  </si>
  <si>
    <t>2023_BRAULIO_LARA_374_01</t>
  </si>
  <si>
    <t>374</t>
  </si>
  <si>
    <t>ao desenvolvimento de projeto e implementação de praça na Rua José Rodrigues Pereira, em frente à esquina da Rua Desembargador Edésio Fernandes, no Bairro Buritis</t>
  </si>
  <si>
    <t>160000</t>
  </si>
  <si>
    <t>Rua José Rodrigues Pereira, em frente à esquina da Rua Desembargador Edésio Fernandes, no Bairro Buritis</t>
  </si>
  <si>
    <t>2023_BRAULIO_LARA_375_01</t>
  </si>
  <si>
    <t>375</t>
  </si>
  <si>
    <t>ao Instituto Pedra Viva, CNPJ 08.878.503/0001-76, para desenvolvimento de projetos</t>
  </si>
  <si>
    <t>76266</t>
  </si>
  <si>
    <t>1300</t>
  </si>
  <si>
    <t>2023_BRAULIO_LARA_376_01</t>
  </si>
  <si>
    <t>376</t>
  </si>
  <si>
    <t>ao reforço de dotação orçamentária para atendimento ao Hospital da Baleia, CNPJ 17.200.429/0001-25</t>
  </si>
  <si>
    <t>125000</t>
  </si>
  <si>
    <t>Hospital da Baleia (R. Juramento, 1464 - Saudade, Belo Horizonte - MG, 30285-408)</t>
  </si>
  <si>
    <t>2023_BRAULIO_LARA_377_01</t>
  </si>
  <si>
    <t>377</t>
  </si>
  <si>
    <t>ao reforço de dotação orçamentária para atendimento ao Hospital Metropolitano Doutor Célio de Castro, CNPJ 22.012.907/0001-03</t>
  </si>
  <si>
    <t>Hospital Metrepolitano Doutor Célio de Castro (Rua Dona Luiza, 311 - Milionários, Belo Horizonte - MG, 30620-090)</t>
  </si>
  <si>
    <t>2023_BRAULIO_LARA_378_01</t>
  </si>
  <si>
    <t>378</t>
  </si>
  <si>
    <t>ao reforço de dotação orçamentária para atendimento ao Hospital Sofia Feldman, CNPJ 25.459.256/0001-92</t>
  </si>
  <si>
    <t>0332</t>
  </si>
  <si>
    <t>Hospital Sofia Feldman (Rua Antônio Bandeira, 1060 - Tupi, Belo Horizonte - MG, 31844-130)</t>
  </si>
  <si>
    <t>gestantes, parturientes e puérperas; recém-nascidos</t>
  </si>
  <si>
    <t>2023_BRAULIO_LARA_379_01</t>
  </si>
  <si>
    <t>379</t>
  </si>
  <si>
    <t>ao reforço de dotação orçamentária para atendimento ao Hospital Madre Tereza, CNPJ 60.194.990/0008-44</t>
  </si>
  <si>
    <t xml:space="preserve"> Hospital Madre Tereza (Avenida Raja Gabáglia, 1002 Av. Raja Gabáglia, 1093 - Luxemburgo - Gutierrez, Belo Horizonte - MG, 30441-070)</t>
  </si>
  <si>
    <t>2023_BRAULIO_LARA_380_01</t>
  </si>
  <si>
    <t>380</t>
  </si>
  <si>
    <t>ao reforço de dotação orçamentária para atendimento ao Hospital Santa Casa de Belo Horizonte, CNPJ 17.209.891/0001-93</t>
  </si>
  <si>
    <t>Hospital Santa Casa de Belo Horizonte (Av. Francisco Sales, 1111 - Santa Efigênia, Belo Horizonte - MG, 30150-223)</t>
  </si>
  <si>
    <t>2023_BRAULIO_LARA_381_01</t>
  </si>
  <si>
    <t>381</t>
  </si>
  <si>
    <t>CANCELADA</t>
  </si>
  <si>
    <t>Codificado</t>
  </si>
  <si>
    <t>2023_BRAULIO_LARA_382_01</t>
  </si>
  <si>
    <t>382</t>
  </si>
  <si>
    <t>ao reforço de dotação orçamentária para atendimento ao Hospital Evangélico de Belo Horizonte, CNPJ 17.214.743/0001-67</t>
  </si>
  <si>
    <t>Hospital Evangélico de Belo Horizonte (R. Doutor Alípio Goulart, 25 - Serra, Belo Horizonte - MG, 30220-330)</t>
  </si>
  <si>
    <t>2023_BRAULIO_LARA_383_01</t>
  </si>
  <si>
    <t>383</t>
  </si>
  <si>
    <t>ao reforço de dotação orçamentária para atendimento ao Complexo Hospitalar São Francisco de Assis, CNPJ 13.025.354/0002-13</t>
  </si>
  <si>
    <t>Complexo Hospitalar São Francisco de Assis</t>
  </si>
  <si>
    <t>2023_BRAULIO_LARA_385_01</t>
  </si>
  <si>
    <t>385</t>
  </si>
  <si>
    <t>à pintura e revitalização das quadras da Vila Leonina, na Praça do Ensino, Rua Onze de Abril</t>
  </si>
  <si>
    <t>37680.22</t>
  </si>
  <si>
    <t>quadras da Vila Leonina, na Praça do Ensino, Rua Onze de Abril</t>
  </si>
  <si>
    <t>2023_BRAULIO_LARA_386_01</t>
  </si>
  <si>
    <t>386</t>
  </si>
  <si>
    <t>2023_BRAULIO_LARA_387_01</t>
  </si>
  <si>
    <t>387</t>
  </si>
  <si>
    <t>à implantação de pista de caminhada na Av. Senador Lima Guimarães, no bairro Buritis</t>
  </si>
  <si>
    <t>Av. Senador Lima Guimarães, no bairro Buritis</t>
  </si>
  <si>
    <t>2023_BRAULIO_LARA_388_01</t>
  </si>
  <si>
    <t>388</t>
  </si>
  <si>
    <t>à revitalização da praça Aroldo Tenuta, no bairro Buritis</t>
  </si>
  <si>
    <t>2702.1854102332.811.339039.F.500</t>
  </si>
  <si>
    <t>2702</t>
  </si>
  <si>
    <t>SUPERINTENDÊNCIA DE DESENVOLVIMENTO DA CAPITAL</t>
  </si>
  <si>
    <t>18</t>
  </si>
  <si>
    <t>GESTÃO AMBIENTAL</t>
  </si>
  <si>
    <t>541</t>
  </si>
  <si>
    <t>PRESERVAÇÃO E CONSERVAÇÃO AMBIENTAL</t>
  </si>
  <si>
    <t>2811</t>
  </si>
  <si>
    <t>SERVIÇOS DE MANUTENÇÃO DE PRAÇAS, JARDINS E ARBORIZAÇÃO DA CIDADE</t>
  </si>
  <si>
    <t>18994.490000000002</t>
  </si>
  <si>
    <t>praça Aroldo Tenuta, no bairro Buritis</t>
  </si>
  <si>
    <t>2023_BRAULIO_LARA_389_01</t>
  </si>
  <si>
    <t>389</t>
  </si>
  <si>
    <t>ao desenvolvimento de projeto operacional e ao arredondamento da quina da esquina da esquina da Rua Maria Heilbuth Surette com a esquina da Rua Moacyr José Bernardes (facilitar a melhoria da conversão)</t>
  </si>
  <si>
    <t>9964.1</t>
  </si>
  <si>
    <t xml:space="preserve">quina da esquina da esquina da Rua Maria Heilbuth Surette com a esquina da Rua Moacyr José Bernardes </t>
  </si>
  <si>
    <t>2023_BRAULIO_LARA_390_01</t>
  </si>
  <si>
    <t>390</t>
  </si>
  <si>
    <t>ao desenvolvimento de projeto operacional e ao arredondamento da quina da esquina da esquina da Rua Moacyr José Bernardes com a Rua Eduardo Frieiro (facilitar a melhoria da conversão)</t>
  </si>
  <si>
    <t xml:space="preserve">quina da esquina da esquina da Rua Moacyr José Bernardes com a Rua Eduardo Frieiro </t>
  </si>
  <si>
    <t>2023_BRUNO_MIRANDA_1091_01</t>
  </si>
  <si>
    <t>2023_BRUNO_MIRANDA</t>
  </si>
  <si>
    <t>1091</t>
  </si>
  <si>
    <t>Bruno Miranda</t>
  </si>
  <si>
    <t>ao reforço de dotação orçamentária destinado à realização de rua de lazer.</t>
  </si>
  <si>
    <t>3000.2781301012.545.339039.F.500</t>
  </si>
  <si>
    <t>LAZER</t>
  </si>
  <si>
    <t>2545</t>
  </si>
  <si>
    <t>PROMOÇÃO DE EVENTOS ESPORTIVOS E DE LAZER</t>
  </si>
  <si>
    <t>65000</t>
  </si>
  <si>
    <t>33039.379999999997</t>
  </si>
  <si>
    <t>2023_BRUNO_MIRANDA_1092_01</t>
  </si>
  <si>
    <t>1092</t>
  </si>
  <si>
    <t>ao reforço de dotação orçamentária destinado à manutenção em equipamentos esportivos de lazer (play ground) em praças e parques.</t>
  </si>
  <si>
    <t>3000.2781201012.534.449052.F.500
3000.2781201012.534.339039.F.500</t>
  </si>
  <si>
    <t>29748.74</t>
  </si>
  <si>
    <t>2023_BRUNO_MIRANDA_1093_01</t>
  </si>
  <si>
    <t>1093</t>
  </si>
  <si>
    <t>ao reforço de dotação orçamentária destinado à iluminação e revitalização do Campo Taça de Ouro.</t>
  </si>
  <si>
    <t>16076.25</t>
  </si>
  <si>
    <t>Campo Taça de Ouro</t>
  </si>
  <si>
    <t>2023_BRUNO_MIRANDA_603_01</t>
  </si>
  <si>
    <t>603</t>
  </si>
  <si>
    <t>ao reforço de dotação orçamentária para Incentivo ao Programa Estamos Juntos.</t>
  </si>
  <si>
    <t>2810.1133402372.404.339039.F.500</t>
  </si>
  <si>
    <t>2810</t>
  </si>
  <si>
    <t>FUNDO MUNICIPAL DO TRABALHO</t>
  </si>
  <si>
    <t>11</t>
  </si>
  <si>
    <t>TRABALHO</t>
  </si>
  <si>
    <t>334</t>
  </si>
  <si>
    <t>FOMENTO AO TRABALHO</t>
  </si>
  <si>
    <t>0237</t>
  </si>
  <si>
    <t>QUALIFICAÇÃO, PROFISSIONALIZAÇÃO E EMPREGO</t>
  </si>
  <si>
    <t>2404</t>
  </si>
  <si>
    <t>AÇÕES DE QUALIFICAÇÃO, PROFISSIONALIZAÇÃO E EMPREGO</t>
  </si>
  <si>
    <t>pessoas em situação de rua</t>
  </si>
  <si>
    <t>2023_BRUNO_MIRANDA_610_01</t>
  </si>
  <si>
    <t>610</t>
  </si>
  <si>
    <t>ao reforço de dotação orçamentária para suporte, conservação e manutenção das Unidades e Serviços da Rede de Saúde Mental.</t>
  </si>
  <si>
    <t>2023_BRUNO_MIRANDA_612_01</t>
  </si>
  <si>
    <t>612</t>
  </si>
  <si>
    <t>2023_BRUNO_MIRANDA_617_01</t>
  </si>
  <si>
    <t>617</t>
  </si>
  <si>
    <t>ao reforço de dotação orçamentária para instalação de pontos de videomonitoramento na cidade.</t>
  </si>
  <si>
    <t>2100.0612203021.334.339039.F.500</t>
  </si>
  <si>
    <t>2100</t>
  </si>
  <si>
    <t>SECRETARIA MUNICIPAL DE SEGURANÇA E PREVENÇÃO</t>
  </si>
  <si>
    <t>06</t>
  </si>
  <si>
    <t>SEGURANÇA PÚBLICA</t>
  </si>
  <si>
    <t>0302</t>
  </si>
  <si>
    <t>BELO HORIZONTE CIDADE INTELIGENTE</t>
  </si>
  <si>
    <t>1334</t>
  </si>
  <si>
    <t>VIDEOMONITORAMENTO</t>
  </si>
  <si>
    <t>SMSP</t>
  </si>
  <si>
    <t>199995.51999999999</t>
  </si>
  <si>
    <t>1211</t>
  </si>
  <si>
    <t>2023_BRUNO_MIRANDA_620_01</t>
  </si>
  <si>
    <t>620</t>
  </si>
  <si>
    <t>ao reforço de dotação orçamentária para fomento à Rua é Nossa.</t>
  </si>
  <si>
    <t>98834</t>
  </si>
  <si>
    <t>2023_BRUNO_MIRANDA_623_01</t>
  </si>
  <si>
    <t>623</t>
  </si>
  <si>
    <t>ao reforço de dotação orçamentária para atendimento ao Hospital Mario Penna/Luxemburgo. CNPJ: 17.513.235/0001-80</t>
  </si>
  <si>
    <t>170000</t>
  </si>
  <si>
    <t>Hospital Mario Penna/Luxemburgo</t>
  </si>
  <si>
    <t>2023_BRUNO_MIRANDA_633_01</t>
  </si>
  <si>
    <t>633</t>
  </si>
  <si>
    <t>ao reforço de dotação orçamentária para atendimento ao Hospital Sofia Feldman. CNPJ: 25.459.256/0001-92</t>
  </si>
  <si>
    <t>Rua Antônio Bandeira, 1060 - Tupi, Belo Horizonte - MG, 31844-130</t>
  </si>
  <si>
    <t>2023_BRUNO_MIRANDA_635_01</t>
  </si>
  <si>
    <t>635</t>
  </si>
  <si>
    <t>ao reforço de dotação orçamentária para ampliação do atendimento de adolescentes residentes em vilas e favelas que realizarão cursos de qualificação profissional a serem elaborados e implementados pela Associação Mineira de Educação Continuada - ASMEC. CNPJ: 05.263.848/0001-27</t>
  </si>
  <si>
    <t>1011.0824300192.647.339039.S.500</t>
  </si>
  <si>
    <t>243</t>
  </si>
  <si>
    <t>ASSISTÊNCIA À CRIANÇA E AO ADOLESCENTE</t>
  </si>
  <si>
    <t>2647</t>
  </si>
  <si>
    <t>PROGRAMAS E PROJETOS DE PROTEÇÃO SOCIAL BÁSICA</t>
  </si>
  <si>
    <t>376000</t>
  </si>
  <si>
    <t>adolescentes</t>
  </si>
  <si>
    <t>2023_BRUNO_MIRANDA_636_01</t>
  </si>
  <si>
    <t>636</t>
  </si>
  <si>
    <t>ao reforço de dotação orçamentária para fomento da aprendizagem de instrumentos de percussão e bateria para pessoas em vulnerabilidade social nas regiões Norte e Pampulha.</t>
  </si>
  <si>
    <t>3103.1339201542.371.339039.F.500</t>
  </si>
  <si>
    <t>3103</t>
  </si>
  <si>
    <t>FUNDAÇÃO MUNICIPAL DE CULTURA</t>
  </si>
  <si>
    <t>2371</t>
  </si>
  <si>
    <t>DEMOCRATIZAÇÃO DAS ARTES E DAS CULTURAS</t>
  </si>
  <si>
    <t>FMC</t>
  </si>
  <si>
    <t>126000</t>
  </si>
  <si>
    <t>regiões Norte e Pampulha</t>
  </si>
  <si>
    <t>2023_BRUNO_MIRANDA_651_01</t>
  </si>
  <si>
    <t>651</t>
  </si>
  <si>
    <t>à aquisição de equipamentos e material permanente para o Centro de Saúde Leopoldo Chrisóstomo de Castro.</t>
  </si>
  <si>
    <t>17929.61</t>
  </si>
  <si>
    <t>13579.61</t>
  </si>
  <si>
    <t>B. D. R. COMERCIO DE EQUIPAMENTOS LTDA; INSMART COMERCIO DE EQUIPAMENTOS LTDA; SUPORTH CIRURGICA PONTA GROSSA LTDA</t>
  </si>
  <si>
    <t>Centro de Saúde Leopoldo Chrisóstomo de Castro</t>
  </si>
  <si>
    <t>2023_BRUNO_MIRANDA_652_01</t>
  </si>
  <si>
    <t>652</t>
  </si>
  <si>
    <t>ao reforço de dotação orçamentária para aquisição de equipamento para o Centro de Saúde Dom Joaquim.</t>
  </si>
  <si>
    <t>22000</t>
  </si>
  <si>
    <t>18711.82</t>
  </si>
  <si>
    <t>BOSCO FELIPE COMERCIO LTDA; INSMART COMERCIO DE EQUIPAMENTOS LTDA; SUPORTH CIRURGICA PONTA GROSSA LTDA</t>
  </si>
  <si>
    <t>Centro de Saúde Dom Joaquim.</t>
  </si>
  <si>
    <t>2023_BRUNO_MIRANDA_653_01</t>
  </si>
  <si>
    <t>653</t>
  </si>
  <si>
    <t>ao reforço de dotação orçamentária destinado à realização de Campo de Futebol Monte Azul.</t>
  </si>
  <si>
    <t>2200.0600.12.365.169.2.046 44504201.1.500.000</t>
  </si>
  <si>
    <t>2200</t>
  </si>
  <si>
    <t>SECRETARIA MUNICIPAL DE EDUCAÇÃO</t>
  </si>
  <si>
    <t>12</t>
  </si>
  <si>
    <t>EDUCAÇÃO</t>
  </si>
  <si>
    <t>EDUCAÇÃO INFANTIL</t>
  </si>
  <si>
    <t>0169</t>
  </si>
  <si>
    <t>GESTÃO DA POLÍTICA DE EDUCAÇÃO INFANTIL</t>
  </si>
  <si>
    <t>2046</t>
  </si>
  <si>
    <t>GESTÃO DESCENTRALIZADA DA EDUCAÇÃO</t>
  </si>
  <si>
    <t>SMED</t>
  </si>
  <si>
    <t>800000</t>
  </si>
  <si>
    <t>Campo de Futebol Monte Azul</t>
  </si>
  <si>
    <t>2023_BRUNO_MIRANDA_656_01</t>
  </si>
  <si>
    <t>656</t>
  </si>
  <si>
    <t>ao reforço orçamentário para a garantia do atendimento e transporte de pacientes agudos e crônicos - Transporte e Hemodiálise</t>
  </si>
  <si>
    <t>0334</t>
  </si>
  <si>
    <t>2023_BRUNO_MIRANDA_657_01</t>
  </si>
  <si>
    <t>657</t>
  </si>
  <si>
    <t>para a compra de equipamento e material para o Centro de Saúde Cidade Ozanan.</t>
  </si>
  <si>
    <t>29630.1</t>
  </si>
  <si>
    <t>25280.1</t>
  </si>
  <si>
    <t>Centro de Saúde Cidade Ozanan</t>
  </si>
  <si>
    <t>2023_BRUNO_MIRANDA_659_01</t>
  </si>
  <si>
    <t>659</t>
  </si>
  <si>
    <t>ao reforço de dotação orçamentária destinado à realização de obras e reformas no Centro de Saúde Dom Joaquim.</t>
  </si>
  <si>
    <t>305566.63</t>
  </si>
  <si>
    <t>ALLIANCE EMPREENDIMENTOS E PROJETOS ARQUITETONICOS LTDA</t>
  </si>
  <si>
    <t>Centro de Saúde Dom Joaquim</t>
  </si>
  <si>
    <t>2023_BRUNO_MIRANDA_712_01</t>
  </si>
  <si>
    <t>712</t>
  </si>
  <si>
    <t>ao reforço de dotação orçamentária para reforma e aquisição de equipamentos capacitação de pessoas com deficiência em vulnerabilidade social para o Centro de Estudos e Atendimento ao Menor - CEAME, localizado na Rua Maura, 749 no Bairro Ipiranga - CNPJ: 23.840.457/0001-00</t>
  </si>
  <si>
    <t>1011.0824401132.327.339039.S.500</t>
  </si>
  <si>
    <t>0113</t>
  </si>
  <si>
    <t>APRIMORAMENTO DA GESTÃO DO SUAS</t>
  </si>
  <si>
    <t>2327</t>
  </si>
  <si>
    <t>AÇÕES DE APOIO E SUPORTE À POLÍTICA DE ASSISTÊNCIA SOCIAL</t>
  </si>
  <si>
    <t>1304</t>
  </si>
  <si>
    <t xml:space="preserve">Rua Maura, 749 no Bairro Ipiranga </t>
  </si>
  <si>
    <t xml:space="preserve">Centro de Estudos e Atendimento ao Menor - CEAME, localizado na Rua Maura, 749 no Bairro Ipiranga </t>
  </si>
  <si>
    <t>PCDs</t>
  </si>
  <si>
    <t>2023_BRUNO_MIRANDA_761_01</t>
  </si>
  <si>
    <t>761</t>
  </si>
  <si>
    <t>ao reforço de dotação para realização de obras e reformas no centro de Saúde Cidade Ozanan.</t>
  </si>
  <si>
    <t>185857.95</t>
  </si>
  <si>
    <t>centro de Saúde Cidade Ozanan</t>
  </si>
  <si>
    <t>2023_CIRO_PEREIRA_1022_01</t>
  </si>
  <si>
    <t>2023_CIRO_PEREIRA</t>
  </si>
  <si>
    <t>1022</t>
  </si>
  <si>
    <t>Ciro Pereira</t>
  </si>
  <si>
    <t>ao reforço de dotação orçamentária para atendimento ao Hospital Mario Penna CNPJ 17.513.235/0001-80, cnes 2200457, com a finalidade de custeio das atividades ambulatoriais e hospitalares, podendo a verba ser direcionada para a aquisição de medicamentos e insumos.</t>
  </si>
  <si>
    <t xml:space="preserve">Hospital Mario Penna </t>
  </si>
  <si>
    <t>2023_CIRO_PEREIRA_1023_01</t>
  </si>
  <si>
    <t>1023</t>
  </si>
  <si>
    <t>ao reforço de dotação orçamentária para atendimento ao Hospital Evangélico de Belo Horizonte, CNES 0026808, CNPJ: 17.214.743/0001-67.</t>
  </si>
  <si>
    <t>106266</t>
  </si>
  <si>
    <t>Hospital Evangélico de Belo Horizonte</t>
  </si>
  <si>
    <t>2023_CIRO_PEREIRA_1024_01</t>
  </si>
  <si>
    <t>1024</t>
  </si>
  <si>
    <t>ao reforço de dotação orçamentária para os atendimentos na UPA NORDESTE</t>
  </si>
  <si>
    <t>350133</t>
  </si>
  <si>
    <t>UPA NORDESTE</t>
  </si>
  <si>
    <t>2023_CIRO_PEREIRA_1025_01</t>
  </si>
  <si>
    <t>1025</t>
  </si>
  <si>
    <t>ao reforço de dotação orçamentária para CENTRO DE SAUDE CIDADE OZANAN, CNES 0023167</t>
  </si>
  <si>
    <t>CENTRO DE SAUDE CIDADE OZANAN</t>
  </si>
  <si>
    <t>2023_CIRO_PEREIRA_1026_01</t>
  </si>
  <si>
    <t>1026</t>
  </si>
  <si>
    <t>à aquisição de materiais de consumo para a unidade de atendimento à saúde CENTRO DE SAUDE DOM JOAQUIM, CNES 0023191</t>
  </si>
  <si>
    <t>2302.1030101572.690.339030.S.500</t>
  </si>
  <si>
    <t>339030</t>
  </si>
  <si>
    <t>117425.61</t>
  </si>
  <si>
    <t>CENTRO DE SAUDE DOM JOAQUIM</t>
  </si>
  <si>
    <t>2023_CIRO_PEREIRA_1027_01</t>
  </si>
  <si>
    <t>1027</t>
  </si>
  <si>
    <t>à aquisição de materiais de consumo para o CENTRO DE SAUDE PADRE FERNANDO DE MELO, CNES 0023086.</t>
  </si>
  <si>
    <t>146000</t>
  </si>
  <si>
    <t>CENTRO DE SAUDE PADRE FERNANDO DE MELO</t>
  </si>
  <si>
    <t>2023_CIRO_PEREIRA_1028_01</t>
  </si>
  <si>
    <t>1028</t>
  </si>
  <si>
    <t>à aquisição de materiais de consumo para o CENTRO DE SAUDE SAO PAULO, cnes 0023108.</t>
  </si>
  <si>
    <t>2302.1030101572.902.336783.S.500</t>
  </si>
  <si>
    <t>2902</t>
  </si>
  <si>
    <t>GESTÃO DAS PARCERIAS PÚBLICO-PRIVADAS</t>
  </si>
  <si>
    <t>336783</t>
  </si>
  <si>
    <t>CENTRO DE SAUDE SAO PAULO</t>
  </si>
  <si>
    <t>2023_CIRO_PEREIRA_1029_01</t>
  </si>
  <si>
    <t>1029</t>
  </si>
  <si>
    <t>à realização de melhorias na infraestrutura do Parque Renato Azeredo, bairro palmares.</t>
  </si>
  <si>
    <t>Parque Renato Azeredo, bairro palmares.</t>
  </si>
  <si>
    <t>2023_CIRO_PEREIRA_1030_01</t>
  </si>
  <si>
    <t>1030</t>
  </si>
  <si>
    <t>à realização de melhorias na infraestrutura do Parque Municipal Professor Marcos Mazoni, no bairro cidade nova.</t>
  </si>
  <si>
    <t>162532</t>
  </si>
  <si>
    <t>88392.48</t>
  </si>
  <si>
    <t>Parque Municipal Professor Marcos Mazoni, no bairro cidade nova.</t>
  </si>
  <si>
    <t>2023_CIRO_PEREIRA_1031_01</t>
  </si>
  <si>
    <t>1031</t>
  </si>
  <si>
    <t>à realização de melhorias na infraestrutura da praça Bolívia M. Viana, bairro Fernão dias.</t>
  </si>
  <si>
    <t>88616.21</t>
  </si>
  <si>
    <t>praça Bolívia M. Viana, bairro Fernão dias.</t>
  </si>
  <si>
    <t>2023_CIRO_PEREIRA_1032_01</t>
  </si>
  <si>
    <t>1032</t>
  </si>
  <si>
    <t>à realização de melhorias na infraestrutura de praças</t>
  </si>
  <si>
    <t>99867</t>
  </si>
  <si>
    <t>2023_CIRO_PEREIRA_1033_01</t>
  </si>
  <si>
    <t>1033</t>
  </si>
  <si>
    <t>à aquisição de equipamentos e material permanente para a escola Gov. Carlos Lacerda</t>
  </si>
  <si>
    <t>2200.12.361.0168.2.080.449052.F.500 (UA 0500)</t>
  </si>
  <si>
    <t>ENSINO FUNDAMENTAL</t>
  </si>
  <si>
    <t>0168</t>
  </si>
  <si>
    <t>GESTÃO DA POLITICA DO ENSINO FUNDAMENTAL</t>
  </si>
  <si>
    <t>2080</t>
  </si>
  <si>
    <t>ADMINISTRAÇÃO DO ENSINO FUNDAMENTAL</t>
  </si>
  <si>
    <t>247676.9</t>
  </si>
  <si>
    <t>0602</t>
  </si>
  <si>
    <t xml:space="preserve"> escola Gov. Carlos Lacerda</t>
  </si>
  <si>
    <t>criancas e adolescentes</t>
  </si>
  <si>
    <t>2023_CIRO_PEREIRA_1034_01</t>
  </si>
  <si>
    <t>1034</t>
  </si>
  <si>
    <t>à aquisição de equipamentos e material permanente para escola municipal Henriqueta Lisboa</t>
  </si>
  <si>
    <t>97740</t>
  </si>
  <si>
    <t>escola municipal Henriqueta Lisboa</t>
  </si>
  <si>
    <t>2023_CIRO_PEREIRA_1035_01</t>
  </si>
  <si>
    <t>1035</t>
  </si>
  <si>
    <t>à aquisição de equipamentos e material permanente para Escola municipal Maria Modesta Cravo.</t>
  </si>
  <si>
    <t>99565.9</t>
  </si>
  <si>
    <t>Escola municipal Maria Modesta Cravo.</t>
  </si>
  <si>
    <t>2023_CIRO_PEREIRA_1036_01</t>
  </si>
  <si>
    <t>1036</t>
  </si>
  <si>
    <t>2023_CIRO_PEREIRA_1037_01</t>
  </si>
  <si>
    <t>1037</t>
  </si>
  <si>
    <t>Av. Ivaí | Dom Bosco - revitalização canteiro central.</t>
  </si>
  <si>
    <t>48513.58</t>
  </si>
  <si>
    <t>Av. Ivaí | Dom Bosco</t>
  </si>
  <si>
    <t>2023_CIRO_PEREIRA_1038_01</t>
  </si>
  <si>
    <t>1038</t>
  </si>
  <si>
    <t>à realização de melhorias e revitalização na praça Giordano Bruno, sem número, bairro palmares. Ref. ao lado do burguer king, Av. Cristiano Machado.</t>
  </si>
  <si>
    <t>praça Giordano Bruno, sem número, bairro palmares</t>
  </si>
  <si>
    <t>2023_CIRO_PEREIRA_1039_01</t>
  </si>
  <si>
    <t>1039</t>
  </si>
  <si>
    <t>à pavimentação asfáltica da Rua Alicedro, no bairro Pindorama.</t>
  </si>
  <si>
    <t>209034.05</t>
  </si>
  <si>
    <t>CADROS ENGENHARIA E CONSTRUCOES LTDA EPP</t>
  </si>
  <si>
    <t>Rua Alicedro, no bairro Pindorama.</t>
  </si>
  <si>
    <t>2023_CIRO_PEREIRA_1040_01</t>
  </si>
  <si>
    <t>1040</t>
  </si>
  <si>
    <t>à realização de ações de assistência social pela entidade INSTITUTO HERDAR, CNPJ: 09.047.452/0001-01 - CMAS - BH: 1011.08.244.113.2804.339039 60.000 para execução de atividades socioassistenciais, de acordo, com o disposto na Lei Federal 8.742,93.</t>
  </si>
  <si>
    <t>2023_CIRO_PEREIRA_1041_01</t>
  </si>
  <si>
    <t>1041</t>
  </si>
  <si>
    <t>à aquisição de materiais de consumo para a unidade de atendimento à saúde no Hospital Madre Tereza - CNES: 2200422 - CNPJ: 60.194990000844 com finalidade de custeio das atividades ambulatoriais e hospitalares.</t>
  </si>
  <si>
    <t>Hospital Madre Tereza</t>
  </si>
  <si>
    <t>2023_CLEITON_XAVIER_1062_01</t>
  </si>
  <si>
    <t>2023_CLEITON_XAVIER</t>
  </si>
  <si>
    <t>1062</t>
  </si>
  <si>
    <t>Cleiton Xavier</t>
  </si>
  <si>
    <t>ao custeio de material e assistência social para Associação Artística e Assistencial Glenda Linhares - CNPJ: 15.432.840/0001-09</t>
  </si>
  <si>
    <t>1308</t>
  </si>
  <si>
    <t>2023_CLEITON_XAVIER_1064_01</t>
  </si>
  <si>
    <t>1064</t>
  </si>
  <si>
    <t>Ao Instituto Pedra Viva, CNPJ 08.878.503/0001-76, para a execução de atividades socioassistenciais, de acordo com o disposto na Lei Federal nº 8.742/93, em consonância com a referida inscrição no CMAS-BH;</t>
  </si>
  <si>
    <t>1011.0824400192.308.339030.S.500</t>
  </si>
  <si>
    <t>2023_CLEITON_XAVIER_1065_01</t>
  </si>
  <si>
    <t>1065</t>
  </si>
  <si>
    <t>à aquisição de material de consumo geral para Associação Adotar Adotando Vidas - CNPJ: 15.671.055/0001-09</t>
  </si>
  <si>
    <t>126566.5</t>
  </si>
  <si>
    <t>2023_CLEITON_XAVIER_1067_01</t>
  </si>
  <si>
    <t>1067</t>
  </si>
  <si>
    <t>ao custeio de compra de material para Rede Hospitalar / Hospital Metropolitano Odilon Behrens - CNPJ: 16.691.121/0001-81</t>
  </si>
  <si>
    <t>R. Formiga, 50 - São Cristóvão, Belo Horizonte - MG, 31110-430</t>
  </si>
  <si>
    <t>2023_CLEITON_XAVIER_1068_01</t>
  </si>
  <si>
    <t>1068</t>
  </si>
  <si>
    <t>ao custeio de compra de material para Rede Hospitalar / Hospital João XXIII - CNPJ: 19.843..929/0013-44</t>
  </si>
  <si>
    <t>Hospital João XXIII</t>
  </si>
  <si>
    <t>2023_CLEITON_XAVIER_1088_01</t>
  </si>
  <si>
    <t>1088</t>
  </si>
  <si>
    <t>ao reforço de dotação orçamentária para reforma do Centro de Saúde Leopoldo Chrisóstomo de Castro</t>
  </si>
  <si>
    <t>214849.73</t>
  </si>
  <si>
    <t>194177.79</t>
  </si>
  <si>
    <t>193776.17</t>
  </si>
  <si>
    <t>2023_CLEITON_XAVIER_1089_01</t>
  </si>
  <si>
    <t>1089</t>
  </si>
  <si>
    <t>insumos e materiais permanentes para o Centro de Saúde Paraúna</t>
  </si>
  <si>
    <t>2302.1030101572.690.339030.S.500
2302.1030101572.690.449052.S.500</t>
  </si>
  <si>
    <t>107424.88</t>
  </si>
  <si>
    <t>101077.43</t>
  </si>
  <si>
    <t>Centro de Saúde Paraúna</t>
  </si>
  <si>
    <t>2023_CLEITON_XAVIER_1090_01</t>
  </si>
  <si>
    <t>1090</t>
  </si>
  <si>
    <t>ao reforço de dotação orçamentária para reforma do Centro de Saúde Goiânia</t>
  </si>
  <si>
    <t>Centro de Saúde Goiânia</t>
  </si>
  <si>
    <t>2023_CLAUDIO_DO_MUNDO_NOVO_343_01</t>
  </si>
  <si>
    <t>2023_CLAUDIO_DO_MUNDO_NOVO</t>
  </si>
  <si>
    <t>343</t>
  </si>
  <si>
    <t>Cláudio do Mundo Novo</t>
  </si>
  <si>
    <t>ao reforço de dotação orçamentária para atendimento ao Hospital Santa Casa de Belo Horizonte</t>
  </si>
  <si>
    <t>101000</t>
  </si>
  <si>
    <t>Hospital Santa Casa de Belo Horizonte</t>
  </si>
  <si>
    <t>2023_CLAUDIO_DO_MUNDO_NOVO_344_01</t>
  </si>
  <si>
    <t>344</t>
  </si>
  <si>
    <t>ao reforço de dotação orçamentária para atendimento ao Hospital Madre Teresa/Instituto das
Pequenas Missionárias de Maria Imaculada, CNPJ:60.194.990/0008-44</t>
  </si>
  <si>
    <t>Hospital Madre Teresa</t>
  </si>
  <si>
    <t>2023_CLAUDIO_DO_MUNDO_NOVO_345_01</t>
  </si>
  <si>
    <t>345</t>
  </si>
  <si>
    <t>a destinação de recursos para Associação Gospa Mira, CNPJ 07.153.969/0001-41, para a execução de atividades socioassistenciais, de acordo com o disposto na Lei Federal nº 8.742/93, em consonância com a referida inscrição no Conselho Municipal de Assistência Social de Belo Horizonte – CMAS-BH</t>
  </si>
  <si>
    <t>2023_CLAUDIO_DO_MUNDO_NOVO_347_01</t>
  </si>
  <si>
    <t>347</t>
  </si>
  <si>
    <t>a destinação de recursos para o Instituto de Acolhimento Casa do Caminho, CNPJ 29.937.767/0001-23, para a execução de atividades socioassistenciais, de acordo com o disposto na Lei Federal nº 8.742/93, em consonância com a referida inscrição no Conselho Municipal de Assistência Social de Belo Horizonte – CMAS-BH</t>
  </si>
  <si>
    <t>2023_CLAUDIO_DO_MUNDO_NOVO_348_01</t>
  </si>
  <si>
    <t>348</t>
  </si>
  <si>
    <t>ao reforço de dotação orçamentária para atendimento ao Hospital Evangélico de Belo Horizonte</t>
  </si>
  <si>
    <t>2023_CLAUDIO_DO_MUNDO_NOVO_349_01</t>
  </si>
  <si>
    <t>349</t>
  </si>
  <si>
    <t>ao reforço de dotação orçamentária para atendimento ao Hospital Risoleta Tolentino Neves</t>
  </si>
  <si>
    <t>Hospital Risoleta Tolentino Neves</t>
  </si>
  <si>
    <t>2023_CLAUDIO_DO_MUNDO_NOVO_350_01</t>
  </si>
  <si>
    <t>350</t>
  </si>
  <si>
    <t>ao reforço de dotação orçamentária para atendimento ao Hospital da Baleia</t>
  </si>
  <si>
    <t>R. Juramento, 1464 - Saudade, Belo Horizonte - MG, 30285-408</t>
  </si>
  <si>
    <t>2023_CLAUDIO_DO_MUNDO_NOVO_399_01</t>
  </si>
  <si>
    <t>399</t>
  </si>
  <si>
    <t>a destinação de recursos para a Associação de Resgate da Dignidade Humana Providência Divina, CNPJ 22.643.399/0001-61, para a execução de atividades socioassistenciais, de acordo com o disposto na Lei Federal nº 8.742/93, em consonância com a referida inscrição no Conselho Municipal de Assistência Social de Belo Horizonte – CMAS-BH</t>
  </si>
  <si>
    <t>2023_CLAUDIO_DO_MUNDO_NOVO_400_01</t>
  </si>
  <si>
    <t>400</t>
  </si>
  <si>
    <t>a destinação de recursos para Associação Cruz de Malta, CNPJ 00.436.790/0003-14, para a execução de atividades socioassistenciais, de acordo com o disposto na Lei Federal nº 8.742/93, em consonância com a referida inscrição no Conselho Municipal de Assistência Social de Belo Horizonte – CMAS-BH”</t>
  </si>
  <si>
    <t>2023_CLAUDIO_DO_MUNDO_NOVO_401_01</t>
  </si>
  <si>
    <t>401</t>
  </si>
  <si>
    <t>ao reforço de dotação orçamentária para atendimento ao Hospital Mario Penna/Luxemburgo</t>
  </si>
  <si>
    <t>2023_CLAUDIO_DO_MUNDO_NOVO_402_01</t>
  </si>
  <si>
    <t>402</t>
  </si>
  <si>
    <t>a destinação de recursos para Instituto Pedra Vida, CNPJ 08.878.503/0001-76, para a execução de atividades socioassistenciais, de acordo com o disposto na Lei Federal nº 8.742/93, em consonância com a referida inscrição no Conselho Municipal de Assistência Social de Belo Horizonte – CMAS-BH</t>
  </si>
  <si>
    <t>20266</t>
  </si>
  <si>
    <t>2023_CLAUDIO_DO_MUNDO_NOVO_403_01</t>
  </si>
  <si>
    <t>403</t>
  </si>
  <si>
    <t>à aquisição de materiais permanentes para a Defesa Civil</t>
  </si>
  <si>
    <t>2711.0618201642.541.449052.F.500</t>
  </si>
  <si>
    <t>2711</t>
  </si>
  <si>
    <t>FUNDO MUNICIPAL DE PROTEÇÃO E DEFESA CIVIL</t>
  </si>
  <si>
    <t>182</t>
  </si>
  <si>
    <t>DEFESA CIVIL</t>
  </si>
  <si>
    <t>0164</t>
  </si>
  <si>
    <t>AÇÕES DE DEFESA CIVIL</t>
  </si>
  <si>
    <t>2541</t>
  </si>
  <si>
    <t>AÇÕES DE DEFESA CIVIL PREVENTIVAS E EMERGENCIAIS</t>
  </si>
  <si>
    <t>58711.18</t>
  </si>
  <si>
    <t>DRONE AIR COMERCIO E SERVICOS TECNOLOGICOS LTDA</t>
  </si>
  <si>
    <t>1201</t>
  </si>
  <si>
    <t>2023_CLAUDIO_DO_MUNDO_NOVO_451_01</t>
  </si>
  <si>
    <t>ao reforço de dotação orçamentária para atendimento ao Hospital Júlia Kubitscheck, localizado na Rua Doutor Cristiano Resende, nº: 2745, bairro: Milionários</t>
  </si>
  <si>
    <t>105866</t>
  </si>
  <si>
    <t>Rua Doutor Cristiano Resende, nº: 2745, bairro: Milionários</t>
  </si>
  <si>
    <t>Hospital Júlia Kubitscheck, localizado na Rua Doutor Cristiano Resende, nº: 2745, bairro: Milionários</t>
  </si>
  <si>
    <t>2023_CLAUDIO_DO_MUNDO_NOVO_452_01</t>
  </si>
  <si>
    <t>ao reforço de dotação orçamentária para atendimento ao Hospital Metropolitano Odilon Behrens</t>
  </si>
  <si>
    <t>2023_CLAUDIO_DO_MUNDO_NOVO_453_01</t>
  </si>
  <si>
    <t>453</t>
  </si>
  <si>
    <t>ao reforço de dotação orçamentária para atendimento a Maternidade Odete Valadares, localizado na Av. do Contorno, 9494 - Prado;</t>
  </si>
  <si>
    <t>Maternidade Odete Valadares</t>
  </si>
  <si>
    <t>2023_CLAUDIO_DO_MUNDO_NOVO_454_01</t>
  </si>
  <si>
    <t>454</t>
  </si>
  <si>
    <t>à aquisição de materiais de consumo para a unidade de atendimento à saúde no Centro de Saúde São Tomás, localizado na R. Santa Rosa, 54 - São Tomaz</t>
  </si>
  <si>
    <t>99182.49</t>
  </si>
  <si>
    <t>Rua Santa Rosa, 54 - São Tomaz</t>
  </si>
  <si>
    <t>Centro de Saúde São Tomás, localizado na R. Santa Rosa, 54 - São Tomaz</t>
  </si>
  <si>
    <t>2023_CLAUDIO_DO_MUNDO_NOVO_455_01</t>
  </si>
  <si>
    <t>455</t>
  </si>
  <si>
    <t>ao reforço de custeio para o gerenciamento e fortalecimento do atendimento do SAMU</t>
  </si>
  <si>
    <t>2302.1030201142.893.339037.S.500</t>
  </si>
  <si>
    <t>2023_CLAUDIO_DO_MUNDO_NOVO_456_01</t>
  </si>
  <si>
    <t>456</t>
  </si>
  <si>
    <t>ao reforço de dotação orçamentária para atendimento ao Hospital João XXIII</t>
  </si>
  <si>
    <t>2023_CLAUDIO_DO_MUNDO_NOVO_457_01</t>
  </si>
  <si>
    <t>457</t>
  </si>
  <si>
    <t>à aquisição de materiais de consumo para a unidade de atendimento à saúde no Centro de Saúde Padre Joaquim Maia, localizado na Rua Boaventura, 1900 - Liberdade, Belo Horizonte - MG, 31270-310</t>
  </si>
  <si>
    <t>99999.99</t>
  </si>
  <si>
    <t>Rua Boaventura, 1900 - Liberdade, Belo Horizonte - MG, 31270-310</t>
  </si>
  <si>
    <t>Centro de Saúde Padre Joaquim Maia, localizado na Rua Boaventura, 1900 - Liberdade, Belo Horizonte - MG, 31270-310</t>
  </si>
  <si>
    <t>2023_CLAUDIO_DO_MUNDO_NOVO_458_01</t>
  </si>
  <si>
    <t>458</t>
  </si>
  <si>
    <t>à aquisição de materiais de consumo para a unidade de atendimento à saúde no Centro de Saúde Alameda dos Ipês, localizado na R. Min. Oliveira Salazar, 1186 - Santa Monica, Belo Horizonte - MG, 31520-400</t>
  </si>
  <si>
    <t>97114.68</t>
  </si>
  <si>
    <t>R. Min. Oliveira Salazar, 1186 - Santa Monica, Belo Horizonte - MG, 31520-400</t>
  </si>
  <si>
    <t>Centro de Saúde Alameda dos Ipês, localizado na R. Min. Oliveira Salazar, 1186 - Santa Monica, Belo Horizonte - MG, 31520-400</t>
  </si>
  <si>
    <t>2023_CLAUDIO_DO_MUNDO_NOVO_459_01</t>
  </si>
  <si>
    <t>459</t>
  </si>
  <si>
    <t>à aquisição de materiais de consumo para a unidade de atendimento à saúde no Centro de Saúde Minas Caixa, localizado na R. Cap. Sérgio Píres, 226 - Minas Caixa, Belo Horizonte - MG, 31615-640</t>
  </si>
  <si>
    <t>99989.34</t>
  </si>
  <si>
    <t>R. Cap. Sérgio Píres, 226 - Minas Caixa, Belo Horizonte - MG, 31615-640</t>
  </si>
  <si>
    <t>Centro de Saúde Minas Caixa, localizado na R. Cap. Sérgio Píres, 226 - Minas Caixa, Belo Horizonte - MG, 31615-640</t>
  </si>
  <si>
    <t>2023_CLAUDIO_DO_MUNDO_NOVO_460_01</t>
  </si>
  <si>
    <t>460</t>
  </si>
  <si>
    <t>à aquisição de materiais de consumo para a unidade de atendimento à saúde no Centro de Saúde Céu Azul, localizado na R. Alice Marquês, 187 - Céu Azul, Belo Horizonte - MG, 31580-090</t>
  </si>
  <si>
    <t>99356.28</t>
  </si>
  <si>
    <t>R. Alice Marquês, 187 - Céu Azul, Belo Horizonte - MG, 31580-090</t>
  </si>
  <si>
    <t xml:space="preserve"> Centro de Saúde Céu Azul, localizado na R. Alice Marquês, 187 - Céu Azul, Belo Horizonte - MG, 31580-090</t>
  </si>
  <si>
    <t>2023_CLAUDIO_DO_MUNDO_NOVO_461_01</t>
  </si>
  <si>
    <t>461</t>
  </si>
  <si>
    <t>a compra de material de consumo para a defesa civil em ações de combate a enchentes</t>
  </si>
  <si>
    <t>2711.0618201642.541.339030.F.500</t>
  </si>
  <si>
    <t>81638.38</t>
  </si>
  <si>
    <t>CLARK COMERCIO DE BATERIAS E COMPONENTES LTDA; DRONE AIR COMERCIO E SERVICOS TECNOLOGICOS LTDA</t>
  </si>
  <si>
    <t>2023_CLAUDIO_DO_MUNDO_NOVO_462_01</t>
  </si>
  <si>
    <t>462</t>
  </si>
  <si>
    <t>à aquisição de materiais de consumo para EMEI Céu Azul, na Rua São João Batista do Gloria, nº:530; bairro: Piratininga</t>
  </si>
  <si>
    <t>2200.1236501692.542.339030.F.500</t>
  </si>
  <si>
    <t>2542</t>
  </si>
  <si>
    <t>ADMINISTRAÇÃO DA EDUCAÇÃO INFANTIL</t>
  </si>
  <si>
    <t>147049.14000000001</t>
  </si>
  <si>
    <t>Rua São João Batista do Gloria, nº:530; bairro: Piratininga</t>
  </si>
  <si>
    <t>EMEI Céu Azul, na Rua São João Batista do Gloria, nº:530; bairro: Piratininga</t>
  </si>
  <si>
    <t>criancas</t>
  </si>
  <si>
    <t>2023_CLAUDIO_DO_MUNDO_NOVO_463_01</t>
  </si>
  <si>
    <t>463</t>
  </si>
  <si>
    <t>à aquisição de materiais de consumo para EMEI VENDA NOVA, na Rua Doutor Álvaro Camargos, 200 São João Batista</t>
  </si>
  <si>
    <t>138446.78</t>
  </si>
  <si>
    <t>Rua Doutor Álvaro Camargos, 200 São João Batista</t>
  </si>
  <si>
    <t>EMEI VENDA NOVA, na Rua Doutor Álvaro Camargos, 200 São João Batista</t>
  </si>
  <si>
    <t>2023_CLAUDIO_DO_MUNDO_NOVO_524_01</t>
  </si>
  <si>
    <t>524</t>
  </si>
  <si>
    <t>à revitalização e melhoria das condições da Avenida Sebastião de Brito, bairro: Jaraguá.</t>
  </si>
  <si>
    <t>500000</t>
  </si>
  <si>
    <t>412373.31</t>
  </si>
  <si>
    <t>Avenida Sebastião de Brito, bairro: Jaraguá.</t>
  </si>
  <si>
    <t>2023_CLAUDIO_DO_MUNDO_NOVO_525_01</t>
  </si>
  <si>
    <t>525</t>
  </si>
  <si>
    <t>à pavimentação na Regional Norte</t>
  </si>
  <si>
    <t>212532</t>
  </si>
  <si>
    <t>Regional Norte</t>
  </si>
  <si>
    <t>2023_CESAR_GORDIN_929_01</t>
  </si>
  <si>
    <t>2023_CESAR_GORDIN</t>
  </si>
  <si>
    <t>929</t>
  </si>
  <si>
    <t>César Gordin</t>
  </si>
  <si>
    <t>À Associação Dona Leite - ADL, CNPJ 10.897.990/0001-66, para a execução de atividades socioassistenciais;</t>
  </si>
  <si>
    <t>1011.0824400202.403.339039.S.500</t>
  </si>
  <si>
    <t>0020</t>
  </si>
  <si>
    <t>PROTEÇÃO SOCIAL ESPECIAL</t>
  </si>
  <si>
    <t>2403</t>
  </si>
  <si>
    <t>SERVIÇO DE PROTEÇÃO SOCIAL ESPECIAL DE ALTA COMPLEXIDADE</t>
  </si>
  <si>
    <t>2023_DR_CELIO_FROIS_247_01</t>
  </si>
  <si>
    <t>2023_DR_CELIO_FROIS</t>
  </si>
  <si>
    <t>247</t>
  </si>
  <si>
    <t>Dr. Célio Frois</t>
  </si>
  <si>
    <t>à aquisição de materiais permanentes para a unidade de atendimento à saúde no Hospital Universitário Ciências Médicas de Minas Gerais</t>
  </si>
  <si>
    <t>506266</t>
  </si>
  <si>
    <t>Hospital Universitário Ciências Médicas de Minas Gerais</t>
  </si>
  <si>
    <t>2023_DR_CELIO_FROIS_248_01</t>
  </si>
  <si>
    <t>248</t>
  </si>
  <si>
    <t>à aquisição de materiais permanentes para a unidade de atendimento à saúde na Associação Evangélica Beneficente de Minas Gerais</t>
  </si>
  <si>
    <t>2023_DR_CELIO_FROIS_249_01</t>
  </si>
  <si>
    <t>249</t>
  </si>
  <si>
    <t>ao reforço de dotação orçamentária para o fortalecimento do atendimento do SAMU</t>
  </si>
  <si>
    <t>2023_DR_CELIO_FROIS_250_01</t>
  </si>
  <si>
    <t>250</t>
  </si>
  <si>
    <t>ao reforço de dotação orçamentária para atendimento à saúde, Suporte das Unidades e Serviços da Rede de Saúde Mental</t>
  </si>
  <si>
    <t>2023_DR_CELIO_FROIS_251_01</t>
  </si>
  <si>
    <t>251</t>
  </si>
  <si>
    <t>ao reforço de dotação orçamentária para o fortalecimento das unidades de Pronto Atendimento de Urgência e Emergência</t>
  </si>
  <si>
    <t>2302.1030201142.893.339030.S.500</t>
  </si>
  <si>
    <t>187526.32</t>
  </si>
  <si>
    <t>198683.92</t>
  </si>
  <si>
    <t>2023_DR_CELIO_FROIS_252_01</t>
  </si>
  <si>
    <t>252</t>
  </si>
  <si>
    <t>ao reforço de dotação orçamentária para a Garantia do atendimento e transporte de pacientes agudos e crônicos - Transporte e Hemodiálise.</t>
  </si>
  <si>
    <t>206266</t>
  </si>
  <si>
    <t>2023_DR_CELIO_FROIS_253_01</t>
  </si>
  <si>
    <t>253</t>
  </si>
  <si>
    <t>à reforma, ampliação da Escola Municipal Cônsul Antônio Cadar, situada na rua Rio Parnaíba, 30, bairro Providência</t>
  </si>
  <si>
    <t>2200.12.361.0168.2.046.445042.F.500 (UA 0600)</t>
  </si>
  <si>
    <t>445042</t>
  </si>
  <si>
    <t>Rua Rio Parnaíba, 30, bairro Providência</t>
  </si>
  <si>
    <t>Escola Municipal Cônsul Antônio Cadar, situada na rua Rio Parnaíba, 30, bairro Providência</t>
  </si>
  <si>
    <t>2023_DR_CELIO_FROIS_254_01</t>
  </si>
  <si>
    <t>254</t>
  </si>
  <si>
    <t>à construção, ampliação e reforma da Escola Municipal Professor Daniel Alvarenga, situada na Rua Coquilho, 155- Vila Zilah Sposito</t>
  </si>
  <si>
    <t>Rua Coquilho, 155- Vila Zilah Sposito</t>
  </si>
  <si>
    <t>Escola Municipal Professor Daniel Alvarenga, situada na Rua Coquilho, 155- Vila Zilah Sposito</t>
  </si>
  <si>
    <t>2023_DR_CELIO_FROIS_255_01</t>
  </si>
  <si>
    <t>255</t>
  </si>
  <si>
    <t>à construção, ampliação e reforma da Escola Municipal Minervina Augusta, situada à rua David Canabarro, 18, bairro Campo Alegre</t>
  </si>
  <si>
    <t>Rua David Canabarro, 18, bairro Campo Alegre</t>
  </si>
  <si>
    <t>Escola Municipal Minervina Augusta, situada à rua David Canabarro, 18, bairro Campo Alegre</t>
  </si>
  <si>
    <t>2023_DR_CELIO_FROIS_256_01</t>
  </si>
  <si>
    <t>256</t>
  </si>
  <si>
    <t>à revitalização e manutenção de praça na Regional Norte, bairro Campo Alegre</t>
  </si>
  <si>
    <t>175000</t>
  </si>
  <si>
    <t>91968.29</t>
  </si>
  <si>
    <t xml:space="preserve"> praça na Regional Norte, bairro Campo Alegre</t>
  </si>
  <si>
    <t>2023_DR_CELIO_FROIS_257_01</t>
  </si>
  <si>
    <t>257</t>
  </si>
  <si>
    <t>ao reforço de dotação orçamentária destinado à elaboração de projetos, obras estruturantes e/ou instalações na Rua Vicente Feola, 250, Campo Alegre- REDE DE DRENAGEM PLUVIAL E DISPOSITIVOS -Implantação e Manutenção</t>
  </si>
  <si>
    <t>Rua Vicente Feola, 250, Campo Alegre</t>
  </si>
  <si>
    <t>2023_DR_CELIO_FROIS_258_01</t>
  </si>
  <si>
    <t>258</t>
  </si>
  <si>
    <t>Aquisição, construção, reforma e readaptação de imóveis, destinando-se à contrução de um banheiro masculinho, um banheiro feminino, reforma do vestiário e substituição do portão de entrada no campo - CRAS Providência, situada na rua São Sebastião, 140 - Minaslândia.</t>
  </si>
  <si>
    <t>67883.009999999995</t>
  </si>
  <si>
    <t>Rua São Sebastião, 140 - Minaslândia.</t>
  </si>
  <si>
    <t>CRAS Providência, situada na rua São Sebastião, 140 - Minaslândia.</t>
  </si>
  <si>
    <t>2023_DR_CELIO_FROIS_259_01</t>
  </si>
  <si>
    <t>259</t>
  </si>
  <si>
    <t>à revitalização e manutenção na praça João Felisberto, no bairro Campo Alegre</t>
  </si>
  <si>
    <t>96104.14</t>
  </si>
  <si>
    <t>praça João Felisberto, no bairro Campo Alegre</t>
  </si>
  <si>
    <t>2023_DR_CELIO_FROIS_260_01</t>
  </si>
  <si>
    <t>260</t>
  </si>
  <si>
    <t>à pavimentação asfáltica na Regional Norte</t>
  </si>
  <si>
    <t>2700.1545102331.208.449051.F.500</t>
  </si>
  <si>
    <t>1208</t>
  </si>
  <si>
    <t>CONSERVAÇÃO DE VIAS URBANAS</t>
  </si>
  <si>
    <t>187532</t>
  </si>
  <si>
    <t>168386.38</t>
  </si>
  <si>
    <t>2023_DR_CELIO_FROIS_261_01</t>
  </si>
  <si>
    <t>261</t>
  </si>
  <si>
    <t>à instalação de iluminação pública na quadra no bairro Campo Alegre</t>
  </si>
  <si>
    <t>2700.1545100842.035.339039.F.500</t>
  </si>
  <si>
    <t>0084</t>
  </si>
  <si>
    <t>SERVIÇOS DE ILUMINAÇÃO PÚBLICA</t>
  </si>
  <si>
    <t>2035</t>
  </si>
  <si>
    <t>CUSTEIO DOS SERVIÇOS DE ILUMINAÇÃO PÚBLICA</t>
  </si>
  <si>
    <t>bairro Campo Alegre</t>
  </si>
  <si>
    <t>2023_DR_CELIO_FROIS_262_01</t>
  </si>
  <si>
    <t>262</t>
  </si>
  <si>
    <t>à revitalização de canteiro central da Avenida Deputado Anuar Menhem, no bairro Santa Amélia.</t>
  </si>
  <si>
    <t>99188.59</t>
  </si>
  <si>
    <t>Avenida Deputado Anuar Menhem, no bairro Santa Amélia.</t>
  </si>
  <si>
    <t>2023_DR_CELIO_FROIS_263_01</t>
  </si>
  <si>
    <t>263</t>
  </si>
  <si>
    <t>à pavimentação asfáltica na Regional Pampulha</t>
  </si>
  <si>
    <t>Regional Pampulha</t>
  </si>
  <si>
    <t>2023_DUDA_SALABERT_561_01</t>
  </si>
  <si>
    <t>2023_DUDA_SALABERT</t>
  </si>
  <si>
    <t>561</t>
  </si>
  <si>
    <t>Duda Salabert</t>
  </si>
  <si>
    <t>ao aprimoramento das atividades desenvolvidas no âmbito do SUS pelo Hospital Sofia Feldman (CNPJ: 25.459.256/0001-92), com o intuito de subsidiar a manutenção das ações de saúde de média e alta complexidade, fomentando a continuidade dos atendimentos aos usuários da REDE SUS/BH</t>
  </si>
  <si>
    <t>2023_DUDA_SALABERT_563_01</t>
  </si>
  <si>
    <t>563</t>
  </si>
  <si>
    <t>ao aprimoramento das atividades desenvolvidas no âmbito do SUS pelo Hospital Eduardo de Menezes (CNPJ: 19.843.929/0011- 82), para a compra de insumos e medicações utilizadas no ambulatório trans Anyky Lima</t>
  </si>
  <si>
    <t>Hospital Eduardo de Menezes; ambulatório trans Anyky Lima</t>
  </si>
  <si>
    <t>2023_DUDA_SALABERT_564_01</t>
  </si>
  <si>
    <t>564</t>
  </si>
  <si>
    <t>ao reforço de dotação orçamentária para o Centro de Saúde Novo Horizonte, para a realização das melhorias necessárias</t>
  </si>
  <si>
    <t>230000</t>
  </si>
  <si>
    <t>229978.3</t>
  </si>
  <si>
    <t>Centro de Saúde Novo Horizonte</t>
  </si>
  <si>
    <t>2023_DUDA_SALABERT_565_01</t>
  </si>
  <si>
    <t>565</t>
  </si>
  <si>
    <t>ao reforço de dotação orçamentária para o Centro de Saúde Taquaril, para a realização das melhorias necessárias</t>
  </si>
  <si>
    <t>164214.62</t>
  </si>
  <si>
    <t>98846.68</t>
  </si>
  <si>
    <t>CETUS CONSTRUTORA LTDA; VALESK CONSTRUCOES LTDA,</t>
  </si>
  <si>
    <t>Centro de Saúde Taquaril</t>
  </si>
  <si>
    <t>2023_DUDA_SALABERT_567_01</t>
  </si>
  <si>
    <t>567</t>
  </si>
  <si>
    <t>ao reforço de dotação orçamentária para o Centro de Saúde Granja de Freitas, para a realização das melhorias necessárias</t>
  </si>
  <si>
    <t>193732.61</t>
  </si>
  <si>
    <t>Centro de Saúde Granja de Freitas</t>
  </si>
  <si>
    <t>2023_DUDA_SALABERT_568_01</t>
  </si>
  <si>
    <t>568</t>
  </si>
  <si>
    <t>para o fortalecimento da brinquedoteca do Hospital Metropolitano Odilon Behrens (CNPJ: 16.692.121/0001-81), com a finalidade de aquisição de brinquedos inclusivos, mobiliário para organização e materiais de limpeza</t>
  </si>
  <si>
    <t>Criancas e adolescentes; PCDs</t>
  </si>
  <si>
    <t>2023_DUDA_SALABERT_570_01</t>
  </si>
  <si>
    <t>570</t>
  </si>
  <si>
    <t>ao reforço da dotação orçamentária do Hospital Metropolitano Odilon Behrens (CNPJ: 16.692.121/0001-81), destinada à promoção de formação em libras para os funcionários</t>
  </si>
  <si>
    <t>25000</t>
  </si>
  <si>
    <t>2023_DUDA_SALABERT_572_01</t>
  </si>
  <si>
    <t>572</t>
  </si>
  <si>
    <t>ao reforço da dotação orçamentária do Hospital Metropolitano Odilon Behrens (CNPJ: 16.692.121/0001-81), destinada à reforma e cobertura com toldo retrátil de seu solário</t>
  </si>
  <si>
    <t>2023_DUDA_SALABERT_573_01</t>
  </si>
  <si>
    <t>573</t>
  </si>
  <si>
    <t>ao reforço de dotação para realizar estudo sobre a arborização urbana municipal com a finalidade de mapear, diagnosticar e traçar metas para a gestão arbórea, para ampliação das áreas verdes, aumentando a cobertura vegetal da cidade com mata nativa, especies frutíferas e pioneiras</t>
  </si>
  <si>
    <t>2500.1854103072.912.339039.F.500</t>
  </si>
  <si>
    <t>2500</t>
  </si>
  <si>
    <t>SECRETARIA MUNICIPAL DE MEIO AMBIENTE</t>
  </si>
  <si>
    <t>0307</t>
  </si>
  <si>
    <t>SUSTENTABILIDADE, EDUCAÇÃO AMBIENTAL E MODERNIZAÇÃO DA GESTÃO AMBIENTAL</t>
  </si>
  <si>
    <t>2912</t>
  </si>
  <si>
    <t>PRESERVAÇÃO AMBIENTAL E DESENVOLVIMENTO SUSTENTÁVEL</t>
  </si>
  <si>
    <t>SMMA</t>
  </si>
  <si>
    <t>149000</t>
  </si>
  <si>
    <t>129000</t>
  </si>
  <si>
    <t>0705</t>
  </si>
  <si>
    <t>2023_DUDA_SALABERT_575_01</t>
  </si>
  <si>
    <t>575</t>
  </si>
  <si>
    <t>ao reforço da dotação orçametária da política de castração de animais abandonados</t>
  </si>
  <si>
    <t>2302.1030500282.829.339030.S.500</t>
  </si>
  <si>
    <t>99993.52</t>
  </si>
  <si>
    <t>0405</t>
  </si>
  <si>
    <t>animais</t>
  </si>
  <si>
    <t>2023_DUDA_SALABERT_576_01</t>
  </si>
  <si>
    <t>576</t>
  </si>
  <si>
    <t>ao reforço de orçamento para melhoria da infraestrutura de Unidades Produtivas Coletivas Comunitárias do Cevae Taquaril</t>
  </si>
  <si>
    <t>1010.2060803082.121.449052.F.500</t>
  </si>
  <si>
    <t>1010</t>
  </si>
  <si>
    <t>FUNDO MUNICIPAL DE SEGURANÇA ALIMENTAR E NUTRICIONAL</t>
  </si>
  <si>
    <t>20</t>
  </si>
  <si>
    <t>AGRICULTURA</t>
  </si>
  <si>
    <t>608</t>
  </si>
  <si>
    <t>PROMOÇÃO DA PRODUÇÃO AGROPECUÁRIA</t>
  </si>
  <si>
    <t>0308</t>
  </si>
  <si>
    <t>BH CIDADE SUSTENTÁVEL: MOBILIZAR, EDUCAR E CULTIVAR ALIMENTAÇÃO SAUDÁVEL</t>
  </si>
  <si>
    <t>2121</t>
  </si>
  <si>
    <t>FORTALECIMENTO DA PRODUÇÃO DA AGRICULTURA URBANA AGROECOLÓGICA</t>
  </si>
  <si>
    <t>SMSAN</t>
  </si>
  <si>
    <t>34131.019999999997</t>
  </si>
  <si>
    <t>34054.36</t>
  </si>
  <si>
    <t>ENGECOM ENGENHARIA E COMERCIO LTDA.</t>
  </si>
  <si>
    <t>0499</t>
  </si>
  <si>
    <t>Cevae Taquaril</t>
  </si>
  <si>
    <t>2023_DUDA_SALABERT_578_01</t>
  </si>
  <si>
    <t>578</t>
  </si>
  <si>
    <t>ao reforço de dotação orçametária para o projeto que visa a geração de renda e a inclusão socioprodutiva de mulheres em situação de vulnerabilidade social, em trajetória de vida nas ruas e/ou usuárias de drogas, com foco na produção agroecológica e em intervenções artísticas e culturais no território da Lagoinha</t>
  </si>
  <si>
    <t>2100.0612202422.881.339039.F.500</t>
  </si>
  <si>
    <t>0242</t>
  </si>
  <si>
    <t>PREVENÇÃO SOCIAL À CRIMINALIDADE</t>
  </si>
  <si>
    <t>2881</t>
  </si>
  <si>
    <t>AÇÕES DE PREVENÇÃO SOCIAL À CRIMINALIDADE</t>
  </si>
  <si>
    <t xml:space="preserve"> território da Lagoinha</t>
  </si>
  <si>
    <t xml:space="preserve"> mulheres; pessoas em situação de rua; dependentes quimicos </t>
  </si>
  <si>
    <t>2023_DUDA_SALABERT_579_01</t>
  </si>
  <si>
    <t>579</t>
  </si>
  <si>
    <t>ao reforço de dotação orçametária para o projeto que visa tornar o Carnaval de Belo Horizonte referência nacional de um evento sustentável, por meio de políticas que minimizem os impactos ambientais gerados pelo evento na cidade, assim como estimulem a implementação de ações em sinergia com os ODSs</t>
  </si>
  <si>
    <t>2805.2369500862.629.339039.F.500</t>
  </si>
  <si>
    <t>2805</t>
  </si>
  <si>
    <t>EMPRESA MUNICIPAL DE TURISMO DE BELO HORIZONTE S/A</t>
  </si>
  <si>
    <t>23</t>
  </si>
  <si>
    <t>COMÉRCIO E SERVIÇOS</t>
  </si>
  <si>
    <t>695</t>
  </si>
  <si>
    <t>TURISMO</t>
  </si>
  <si>
    <t>0086</t>
  </si>
  <si>
    <t>FOMENTO AO TURISMO DE LAZER, EVENTOS E NEGÓCIOS</t>
  </si>
  <si>
    <t>2629</t>
  </si>
  <si>
    <t>DESENVOLVIMENTO E PROMOÇÃO DO TURISMO</t>
  </si>
  <si>
    <t>BELOTUR</t>
  </si>
  <si>
    <t>99735.32</t>
  </si>
  <si>
    <t>0700</t>
  </si>
  <si>
    <t>2023_DUDA_SALABERT_581_01</t>
  </si>
  <si>
    <t>581</t>
  </si>
  <si>
    <t>ao reforço da dotação orçamentária do CRAS Taquaril, com a finalidade de aquisição de brinquedos inclusivos, caixas de transporte e material de higienização</t>
  </si>
  <si>
    <t>14960.58</t>
  </si>
  <si>
    <t>T NAVA COMERCIO DE ELETRODOMESTICOS LTDA</t>
  </si>
  <si>
    <t>CRAS Taquaril</t>
  </si>
  <si>
    <t>2023_DUDA_SALABERT_582_01</t>
  </si>
  <si>
    <t>582</t>
  </si>
  <si>
    <t>ao reforço da dotação orçamentária da EMEI Taquaril, com a finalidade de aquisição de brinquedos inclusivos, caixas de transporte e material de higienização</t>
  </si>
  <si>
    <t>24007.07</t>
  </si>
  <si>
    <t>EMEI Taquaril</t>
  </si>
  <si>
    <t>2023_DUDA_SALABERT_584_01</t>
  </si>
  <si>
    <t>584</t>
  </si>
  <si>
    <t>ao reforço de dotação orçametária para aquisição de Kits que possibilitem o plantio de hortas para escolas municipais e creches conveniadas</t>
  </si>
  <si>
    <t>88945.2</t>
  </si>
  <si>
    <t>0607</t>
  </si>
  <si>
    <t>0607 - PROMOCAO DA QUALIDADE, ESTRUTURA E AÇÕES</t>
  </si>
  <si>
    <t>2023_DUDA_SALABERT_586_01</t>
  </si>
  <si>
    <t>586</t>
  </si>
  <si>
    <t>ao reforço de dotação orçametária para o fortalecimento do programa de empregabilidade trans no ambito da Secretaria Municipal de Desenvolvimento Econômico</t>
  </si>
  <si>
    <t>2800.1133402372.404.339039.F.500</t>
  </si>
  <si>
    <t>2023_DUDA_SALABERT_587_01</t>
  </si>
  <si>
    <t>587</t>
  </si>
  <si>
    <t>ao reforço de dotação orçamentária para a formação de professores e compra de material didático para letramento racial que é a habilidade de compreender como as relações raciais permeiam nossa sociedade</t>
  </si>
  <si>
    <t>2200.12.361.0168.2.041.339030.F.500</t>
  </si>
  <si>
    <t>2041</t>
  </si>
  <si>
    <t>FORMAÇÃO PARA PROFISSIONAIS DA EDUCAÇÃO</t>
  </si>
  <si>
    <t>19950</t>
  </si>
  <si>
    <t>0201</t>
  </si>
  <si>
    <t>2023_DUDA_SALABERT_598_01</t>
  </si>
  <si>
    <t>598</t>
  </si>
  <si>
    <t>SUSPENSA</t>
  </si>
  <si>
    <t>ao reforço da dotação orçamentária do Núcleo de Saúde Mental da Guarda Municipal de Belo Horizonte</t>
  </si>
  <si>
    <t>2100.0612201092.802.339030.F.500</t>
  </si>
  <si>
    <t>0109</t>
  </si>
  <si>
    <t>OPERACIONALIZAÇÃO DOS SERVIÇOS DE SEGURANÇA</t>
  </si>
  <si>
    <t>2802</t>
  </si>
  <si>
    <t>GESTÃO DA POLÍTICA DE SEGURANÇA E PREVENÇÃO</t>
  </si>
  <si>
    <t>38880.019999999997</t>
  </si>
  <si>
    <t>2023_DUDA_SALABERT_599_01</t>
  </si>
  <si>
    <t>599</t>
  </si>
  <si>
    <t>construção do Centro de Referência da Cultura Indígena, conforme emenda do PPAG</t>
  </si>
  <si>
    <t>2700.1339201461.215.449051.F.500</t>
  </si>
  <si>
    <t>0146</t>
  </si>
  <si>
    <t>GESTÃO DA POLÍTICA MUNICIPAL DE CULTURA</t>
  </si>
  <si>
    <t>1215</t>
  </si>
  <si>
    <t>CONSTRUÇÃO, AMPLIAÇÃO E REFORMA DE UNIDADES DE CULTURA</t>
  </si>
  <si>
    <t>2102</t>
  </si>
  <si>
    <t>Povos Indígenas</t>
  </si>
  <si>
    <t>2023_DUDA_SALABERT_602_01</t>
  </si>
  <si>
    <t>602</t>
  </si>
  <si>
    <t>ao reforço da dotação orçamentária para melhoramento e compra de equipamentos para o Centro de treinamento da Guarda Municipal de Belo Horizonte</t>
  </si>
  <si>
    <t>2100.0612201092.802.449052.F.500</t>
  </si>
  <si>
    <t>65373.65</t>
  </si>
  <si>
    <t>2023_DUDA_SALABERT_604_01</t>
  </si>
  <si>
    <t>604</t>
  </si>
  <si>
    <t>ao reforço de dotação orçametária para subsidiar o programa Jardins do Sagrado da Fundação Municipal de Parques, para plantio de ervas para utilização de religiões de matrizes africanas e povos originários</t>
  </si>
  <si>
    <t>2505.1854100732.581.339030.F.500</t>
  </si>
  <si>
    <t>2505</t>
  </si>
  <si>
    <t>FUNDAÇÃO DE PARQUES MUNICIPAIS E ZOOBOTÂNICA</t>
  </si>
  <si>
    <t>0073</t>
  </si>
  <si>
    <t>PRESERVAÇÃO E CONSERVAÇÃO DA FAUNA E FLORA EM PARQUES, JARDIM ZOOLÓGICO E JARDIM BOTÂNICO</t>
  </si>
  <si>
    <t>2581</t>
  </si>
  <si>
    <t>PRESERVAÇÃO E CONSERVAÇÃO DO ACERVO FLORÍSTICO</t>
  </si>
  <si>
    <t>FPMZB</t>
  </si>
  <si>
    <t>4903.58</t>
  </si>
  <si>
    <t>Povos e comunidades de matriz africana e povos indígenas/originários</t>
  </si>
  <si>
    <t>2023_DUDA_SALABERT_605_01</t>
  </si>
  <si>
    <t>605</t>
  </si>
  <si>
    <t>ao reforço de dotação orçametária para auxiliar a realização da semana dos Povos Indigenas de Belo Horizonte</t>
  </si>
  <si>
    <t>3103.1339101552.375.339039.F.500</t>
  </si>
  <si>
    <t>391</t>
  </si>
  <si>
    <t>PATRIMÔNIO HISTÓRICO, ARTÍSTICO E ARQUEOLÓGICO</t>
  </si>
  <si>
    <t>0155</t>
  </si>
  <si>
    <t>MEMÓRIA E PATRIMÔNIO CULTURAL</t>
  </si>
  <si>
    <t>2375</t>
  </si>
  <si>
    <t>VALORIZAÇÃO DA MEMÓRIA E DAS IDENTIDADES CULTURAIS</t>
  </si>
  <si>
    <t>2023_DUDA_SALABERT_608_01</t>
  </si>
  <si>
    <t>à aquisição de pacotes de absorvente para estudantes de Escolas Municipais</t>
  </si>
  <si>
    <t>2200.1236101682.080.339032.F.500</t>
  </si>
  <si>
    <t>339032</t>
  </si>
  <si>
    <t>28000</t>
  </si>
  <si>
    <t>27996.6</t>
  </si>
  <si>
    <t>criancas e adolescentes que menstruam</t>
  </si>
  <si>
    <t>2023_DUDA_SALABERT_609_01</t>
  </si>
  <si>
    <t>609</t>
  </si>
  <si>
    <t>ao reforço da dotação orçamentária para realização da Conferência Pública com vistas a subsidiar a construção do Plano de Políticas para Migrantes em Belo Horizonte</t>
  </si>
  <si>
    <t>1000.1442201272.334.339039.F.500</t>
  </si>
  <si>
    <t>1000</t>
  </si>
  <si>
    <t>SECRETARIA MUNICIPAL DE ASSISTÊNCIA SOCIAL, SEGURANÇA ALIMENTAR E CIDADANIA</t>
  </si>
  <si>
    <t>14</t>
  </si>
  <si>
    <t>DIREITOS DA CIDADANIA</t>
  </si>
  <si>
    <t>422</t>
  </si>
  <si>
    <t>DIREITOS INDIVIDUAIS, COLETIVOS E DIFUSOS</t>
  </si>
  <si>
    <t>0127</t>
  </si>
  <si>
    <t>PROMOÇÃO E DEFESA DE DIREITOS HUMANOS E CIDADANIA</t>
  </si>
  <si>
    <t>2334</t>
  </si>
  <si>
    <t>PARTICIPAÇÃO POPULAR</t>
  </si>
  <si>
    <t>24000</t>
  </si>
  <si>
    <t>0900</t>
  </si>
  <si>
    <t>Migrantes</t>
  </si>
  <si>
    <t>2023_DUDA_SALABERT_611_01</t>
  </si>
  <si>
    <t>611</t>
  </si>
  <si>
    <t>ao reforço de dotação orçametária e aluguel de equipamentos para auxílio no combate a incêndios florestais em parques municipais</t>
  </si>
  <si>
    <t>2505.18541.00732812.339039.F.500</t>
  </si>
  <si>
    <t>2812</t>
  </si>
  <si>
    <t>GESTÃO OPERACIONAL DOS PARQUES MUNICIPAIS</t>
  </si>
  <si>
    <t>0709</t>
  </si>
  <si>
    <t>2023_DUDA_SALABERT_613_01</t>
  </si>
  <si>
    <t>613</t>
  </si>
  <si>
    <t>ao reforço da dotação orçamentária para desenvolvimento e fortalecimento de projetos voltados a soluções baseadas na natureza, como a biofábrica de predadores naturais, a trilha de abelhas sem ferrão, os jardins de chuva e os telhados verdes</t>
  </si>
  <si>
    <t>2023_DUDA_SALABERT_614_01</t>
  </si>
  <si>
    <t>614</t>
  </si>
  <si>
    <t>ao reforço de dotação orçamentária para implantação de playground na Praça da Paz Celestial, localizada no bairro Lagoa</t>
  </si>
  <si>
    <t>15400</t>
  </si>
  <si>
    <t>Praça da Paz Celestial, localizada no bairro Lagoa</t>
  </si>
  <si>
    <t>2023_DUDA_SALABERT_615_01</t>
  </si>
  <si>
    <t>615</t>
  </si>
  <si>
    <t>ao reforço de dotação orçamentária para implantação de playground na Praça José Jeremias de Mesquita, mais conhecida como Praça do Madona, localizada no bairro Céu Azul</t>
  </si>
  <si>
    <t>Praça José Jeremias, bairro Céu Azul</t>
  </si>
  <si>
    <t>2023_DUDA_SALABERT_616_01</t>
  </si>
  <si>
    <t>616</t>
  </si>
  <si>
    <t>ao repasse de recursos para a Associação Buritis de Esportes e Cultura, CNPJ 12.382.472/0001-35, visando à melhoria de atividades socioassistenciais, de acordo com o disposto na Lei Federal nº 8.742/93, em consonância com a referida inscrição no Conselho Municipal de Assistência Social de Belo Horizonte - CMAS-BH</t>
  </si>
  <si>
    <t>1011.0824400192.327.339039.S.500</t>
  </si>
  <si>
    <t>2023_DUDA_SALABERT_618_01</t>
  </si>
  <si>
    <t>618</t>
  </si>
  <si>
    <t>ao reforço de dotação para a recuperação das estátuas do poeta Carlos Drummond de Andrade, localizada na Rua Goiás, bairro Centro e da poetisa Henriqueta Lisboa, que fica localizada entre as ruas Pernambuco e Fernandes Tourinho, no bairro Savassi</t>
  </si>
  <si>
    <t>14065</t>
  </si>
  <si>
    <t>Rua Goiás, bairro Centro; entre as ruas Pernambuco e Fernandes Tourinho, no bairro Savassi</t>
  </si>
  <si>
    <t>2023_FERNANDA_PEREIRA_ALTOE_334_01</t>
  </si>
  <si>
    <t>2023_FERNANDA_PEREIRA_ALTOE</t>
  </si>
  <si>
    <t>Fernanda Pereira Altoé</t>
  </si>
  <si>
    <t>ao repasse de recursos ao hospital "Santa Casa de Misericórdia de BH" (CNPJ: 17.209.891/0001-93) para execução de projetos visando a regularização da edificação</t>
  </si>
  <si>
    <t>176566</t>
  </si>
  <si>
    <t>hospital "Santa Casa de Misericórdia de BH"</t>
  </si>
  <si>
    <t>2023_FERNANDA_PEREIRA_ALTOE_336_01</t>
  </si>
  <si>
    <t>336</t>
  </si>
  <si>
    <t>ao repasse de recursos ao "Hospital Mário Pena" (CNPJ: 17.513.235/0001-80) para aquisição de medicamentos quimioterápicos</t>
  </si>
  <si>
    <t xml:space="preserve"> "Hospital Mário Pena"</t>
  </si>
  <si>
    <t>2023_FERNANDA_PEREIRA_ALTOE_337_01</t>
  </si>
  <si>
    <t>337</t>
  </si>
  <si>
    <t>ao repasse de recursos ao "Hospital Madre Teresa" (CNPJ: 60.194.990/0008-44) para aquisição de medicamentos e materiais hospitalares</t>
  </si>
  <si>
    <t>2023_FERNANDA_PEREIRA_ALTOE_338_01</t>
  </si>
  <si>
    <t>338</t>
  </si>
  <si>
    <t>ao repasse de recursos ao "Hospital da Baleia" (CNPJ: 17.200.429/0001-25) para aquisição de medicamentos e materiais hospitalares</t>
  </si>
  <si>
    <t>2023_FERNANDA_PEREIRA_ALTOE_339_01</t>
  </si>
  <si>
    <t>339</t>
  </si>
  <si>
    <t>ao repasse de recursos ao "Hospital Odilon Behrens" (CNPJ: 16.692.121/0001-81) para realização de obras e aquisição de materiais para o posto de coleta de leite humano do HOB</t>
  </si>
  <si>
    <t>Hospital Odilon Behrens</t>
  </si>
  <si>
    <t>2023_FERNANDA_PEREIRA_ALTOE_340_01</t>
  </si>
  <si>
    <t>340</t>
  </si>
  <si>
    <t>ao repasse de recursos à "Maternidade Odete Valadares" (CNPJ: 19.843.929/0029-01) para aquisição de materiais para o posto de coleta de leite humano</t>
  </si>
  <si>
    <t>227000</t>
  </si>
  <si>
    <t>2023_FERNANDA_PEREIRA_ALTOE_341_01</t>
  </si>
  <si>
    <t>341</t>
  </si>
  <si>
    <t>ao repasse de recursos ao "Hospital Júlia Kubitscheck" (CNPJ: 19.843.929/0028-20) para aquisição de equipamentos</t>
  </si>
  <si>
    <t>479266</t>
  </si>
  <si>
    <t>Hospital Júlia Kubitscheck</t>
  </si>
  <si>
    <t>2023_FERNANDA_PEREIRA_ALTOE_404_01</t>
  </si>
  <si>
    <t>404</t>
  </si>
  <si>
    <t>ao repasse de recursos ao "Hospital Evangélico de Belo Horizonte" (CNPJ: 17.214.743/0001-67).</t>
  </si>
  <si>
    <t>2023_FERNANDA_PEREIRA_ALTOE_405_01</t>
  </si>
  <si>
    <t>405</t>
  </si>
  <si>
    <t>ao reforço de dotação orçamentária, com destinação dos recursos para reforma e revitalização da "Praça Deputado Renato Azeredo" (Praça Alaska), no bairro Sion</t>
  </si>
  <si>
    <t>Praça Deputado Renato Azeredo, bairro Sion</t>
  </si>
  <si>
    <t>2023_FERNANDA_PEREIRA_ALTOE_406_01</t>
  </si>
  <si>
    <t>406</t>
  </si>
  <si>
    <t>ao reforço de dotação orçamentária, com destinação dos recursos para reforma e revitalização da "Praça Dom Bosco", no bairro Grajaú</t>
  </si>
  <si>
    <t>31200</t>
  </si>
  <si>
    <t>Praça Dom Bosco, no bairro Grajaú</t>
  </si>
  <si>
    <t>2023_FERNANDA_PEREIRA_ALTOE_407_01</t>
  </si>
  <si>
    <t>407</t>
  </si>
  <si>
    <t>Ao reforço de dotação orçamentária, com destinação dos recursos para reforma e revitalização de praça.</t>
  </si>
  <si>
    <t>2023_FERNANDA_PEREIRA_ALTOE_408_01</t>
  </si>
  <si>
    <t>408</t>
  </si>
  <si>
    <t>ao reforço de dotação orçamentária, com destinação dos recursos para reforma e revitalização da "Praça Antônio M de Araújo", no bairro Palmares</t>
  </si>
  <si>
    <t>Praça Antônio M de Araújo, no bairro Palmares</t>
  </si>
  <si>
    <t>2023_FERNANDA_PEREIRA_ALTOE_409_01</t>
  </si>
  <si>
    <t>409</t>
  </si>
  <si>
    <t>ao reforço de dotação orçamentária, com destinação dos recursos para reforma e revitalização do "Parque Municipal Jornalista Eduardo Couri", no bairro Santa Lúcia</t>
  </si>
  <si>
    <t>300532</t>
  </si>
  <si>
    <t>Parque Municipal Jornalista Eduardo Couri, no bairro Santa Lúcia</t>
  </si>
  <si>
    <t>2023_FERNANDA_PEREIRA_ALTOE_410_01</t>
  </si>
  <si>
    <t>410</t>
  </si>
  <si>
    <t>ao reforço de dotação orçamentária, com destinação dos recursos para reforma e revitalização do "Parque Renato Azeredo", no bairro Palmares</t>
  </si>
  <si>
    <t>262000</t>
  </si>
  <si>
    <t>Parque Renato Azeredo, no bairro Palmares</t>
  </si>
  <si>
    <t>2023_FERNANDO_LUIZ_192_01</t>
  </si>
  <si>
    <t>2023_FERNANDO_LUIZ</t>
  </si>
  <si>
    <t>192</t>
  </si>
  <si>
    <t>Fernando Luiz</t>
  </si>
  <si>
    <t>ao recapeamento asfáltico da Rua Cândido de Figueiredo, no trecho compreendido entre as Ruas Ministro Oliveira Salazar e Érico Veríssimo, com aproximadamente 258 metros e 7 metros de largura, sendo esta uma via local, no Bairro Santa Mônica</t>
  </si>
  <si>
    <t>202626</t>
  </si>
  <si>
    <t>187621.98</t>
  </si>
  <si>
    <t>Rua Cândido de Figueiredo, no trecho compreendido entre as Ruas Ministro Oliveira Salazar e Érico Veríssimo, no Bairro Santa Mônica</t>
  </si>
  <si>
    <t>2023_FERNANDO_LUIZ_193_01</t>
  </si>
  <si>
    <t>193</t>
  </si>
  <si>
    <t>ao recapeamento asfáltico da Rua Vicente de Carvalho, no trecho situado entre as Ruas Ministro Oliveira Salazar e Érico Veríssimo, com aproximadamente 296 metros de comprimento e 7,5 metros de largura, sendo esta uma via local, no Bairro Santa Mônica;</t>
  </si>
  <si>
    <t>244026</t>
  </si>
  <si>
    <t>213780.29</t>
  </si>
  <si>
    <t xml:space="preserve"> Rua Vicente de Carvalho, no trecho situado entre as Ruas Ministro Oliveira Salazar e Érico Veríssimo, no Bairro Santa Mônica</t>
  </si>
  <si>
    <t>2023_FERNANDO_LUIZ_194_01</t>
  </si>
  <si>
    <t>194</t>
  </si>
  <si>
    <t>à pavimentação asfáltica da Rua Desembargador Alarico Barroso, no trecho compreendido entre as Ruas Desembargadora Paula Mota e Professor Manoel Casassanta, com dimensão aproximada de 196 metros de comprimento e 11 metros de largura, sendo esta via local, no Bairro Ouro Preto;</t>
  </si>
  <si>
    <t>160036.04</t>
  </si>
  <si>
    <t>Rua Desembargador Alarico Barroso, no trecho compreendido entre as Ruas Desembargadora Paula Mota e Professor Manoel Casassanta, no Bairro Ouro Preto</t>
  </si>
  <si>
    <t>2023_FERNANDO_LUIZ_195_01</t>
  </si>
  <si>
    <t>195</t>
  </si>
  <si>
    <t>ao recapeamento asfáltico da Rua Dom João Antônio dos Santos, no trecho compreendido entre as Ruas Dom José Gaspar e Dom Lúcio Antunes, com aproximadamente 102 metros de comprimento e 9,8 metros de largura, sendo esta uma via local, no Bairro Coração Eucarístico;</t>
  </si>
  <si>
    <t>109612</t>
  </si>
  <si>
    <t xml:space="preserve"> Rua Dom João Antônio dos Santos, no trecho compreendido entre as Ruas Dom José Gaspar e Dom Lúcio Antunes, no Bairro Coração Eucarístico</t>
  </si>
  <si>
    <t>2023_FERNANDO_LUIZ_196_01</t>
  </si>
  <si>
    <t>196</t>
  </si>
  <si>
    <t>à execução de atividades socioassistenciais pela entidade Núcleo Assistencial Caminhos para Jesus, CNPJ 17.391.822/0001-43, situada na Rua José Ferreira Magalhães, 341, Floramar; de acordo com o disposto na Lei Federal nº 8.742/93 e em consonância com a referida inscrição no Conselho Municipal de Assistência Social de Belo Horizonte (CMAS-BH),</t>
  </si>
  <si>
    <t>1011.0824400202.409.339039.S.500</t>
  </si>
  <si>
    <t>2409</t>
  </si>
  <si>
    <t>AÇÕES ESTRATÉGICAS DE PROTEÇÃO SOCIAL ESPECIAL</t>
  </si>
  <si>
    <t>126226</t>
  </si>
  <si>
    <t>Rua José Ferreira Magalhães, 341, Floramar</t>
  </si>
  <si>
    <t>2023_FERNANDO_LUIZ_197_01</t>
  </si>
  <si>
    <t>197</t>
  </si>
  <si>
    <t>ao reforço de dotação orçamentária para atendimento ao Hospital Infantil João Paulo II (CNES 0026948)</t>
  </si>
  <si>
    <t>537510</t>
  </si>
  <si>
    <t>Hospital Infantil João Paulo II</t>
  </si>
  <si>
    <t>2023_FERNANDO_LUIZ_198_01</t>
  </si>
  <si>
    <t>198</t>
  </si>
  <si>
    <t>ao reforço de dotação orçamentária para atendimento ao Hospital Metropolitano Odilon Behrens - HOB (CNES 2192896)</t>
  </si>
  <si>
    <t>2023_FERNANDO_LUIZ_199_01</t>
  </si>
  <si>
    <t>199</t>
  </si>
  <si>
    <t>ao reforço de dotação orçamentária para atendimento ao Hospital João XXIII (CNES 0026921)</t>
  </si>
  <si>
    <t>2023_FERNANDO_LUIZ_246_01</t>
  </si>
  <si>
    <t>246</t>
  </si>
  <si>
    <t>à execução de atividades socioassistenciais pela Associação Comunitária do Bairro Alvorada, Manacás e parte do Bairro Castelo, CNPJ 21.114.723/0001-91, situada na Rua Flor D´Água,711, Bairro Jardim Alvorada, de acordo com o disposto na Lei Federal nº 8.742/93 e em consonância com a referida inscrição no Conselho Municipal de Assistência Social de Belo Horizonte (CMAS-BH);</t>
  </si>
  <si>
    <t>1011.0824400192.401.339039.S.500</t>
  </si>
  <si>
    <t>2401</t>
  </si>
  <si>
    <t>AÇÕES ESTRATÉGICAS DE PROTEÇÃO SOCIAL BÁSICA</t>
  </si>
  <si>
    <t>680000</t>
  </si>
  <si>
    <t xml:space="preserve"> Rua Flor D´Água,711, Bairro Jardim Alvorada,</t>
  </si>
  <si>
    <t>2023_FLAVIA_BORJA_201_01</t>
  </si>
  <si>
    <t>2023_FLAVIA_BORJA</t>
  </si>
  <si>
    <t>201</t>
  </si>
  <si>
    <t>Flávia Borja</t>
  </si>
  <si>
    <t>491266</t>
  </si>
  <si>
    <t>2023_FLAVIA_BORJA_202_01</t>
  </si>
  <si>
    <t>202</t>
  </si>
  <si>
    <t>à aquisição de equipamentos e material permanente para o Abrigo Pró-Criança localizado na Rua Gonçalo Alves, 116 no bairro São Cristovão</t>
  </si>
  <si>
    <t>Rua Gonçalo Alves, 116 no bairro São Cristovão</t>
  </si>
  <si>
    <t>2023_FLAVIA_BORJA_203_01</t>
  </si>
  <si>
    <t>203</t>
  </si>
  <si>
    <t>à aquisição de equipamentos e material permanente (um veículo utilitário com carroceria) para o Projeto Samuel situada na Rua Doutor Natalino Triginelli, 555, no bairro Jardim Atlântico</t>
  </si>
  <si>
    <t>115000</t>
  </si>
  <si>
    <t>Rua Doutor Natalino Triginelli, 555, no bairro Jardim Atlântico</t>
  </si>
  <si>
    <t>2023_FLAVIA_BORJA_204_01</t>
  </si>
  <si>
    <t>204</t>
  </si>
  <si>
    <t>à pavimentação asfáltica da Rua Padre Argemiro Moreira, no trecho situado entre as ruas Castanhal e Doze no bairro São Gabriel</t>
  </si>
  <si>
    <t xml:space="preserve"> Rua Padre Argemiro Moreira, no trecho situado entre as ruas Castanhal e Doze no bairro São Gabriel</t>
  </si>
  <si>
    <t>2023_FLAVIA_BORJA_205_01</t>
  </si>
  <si>
    <t>205</t>
  </si>
  <si>
    <t>ao recapeamento asfáltico da Rua Itabira, no trecho situado entre as ruas Ponte Nova e Borba Gato, no bairro Colégio Batista</t>
  </si>
  <si>
    <t>398394.79</t>
  </si>
  <si>
    <t>Rua Itabira, no trecho situado entre as ruas Ponte Nova e Borba Gato, no bairro Colégio Batista</t>
  </si>
  <si>
    <t>2023_FLAVIA_BORJA_206_01</t>
  </si>
  <si>
    <t>206</t>
  </si>
  <si>
    <t>ao recapeamento asfáltico da Rua Ubá, no trecho situado entre as ruas Januária e Sabará (a rua é sem saída - Praça da Boca do Túnel), no bairro Colégio Batista</t>
  </si>
  <si>
    <t>246594.04</t>
  </si>
  <si>
    <t>Rua Ubá, no trecho situado entre as ruas Januária e Sabará (a rua é sem saída - Praça da Boca do Túnel), no bairro Colégio Batista</t>
  </si>
  <si>
    <t>2023_FLAVIA_BORJA_208_01</t>
  </si>
  <si>
    <t>208</t>
  </si>
  <si>
    <t>à Instalação de Playgrounds na praça localizada entre as ruas Itanhaém, Caraguatatuba e Anhembi, no bairro Piratininga</t>
  </si>
  <si>
    <t>3000.2781201012.534.449052.F.500
3000.2781201012.534.339030.F.500</t>
  </si>
  <si>
    <t>praça localizada entre as ruas Itanhaém, Caraguatatuba e Anhembi, no bairro Piratininga</t>
  </si>
  <si>
    <t>2023_FLAVIA_BORJA_209_01</t>
  </si>
  <si>
    <t>209</t>
  </si>
  <si>
    <t>à implantação e/ou manutenção de equipamento de infraestrutura esportiva e de lazer em estrutura pública municipal (Instalação de Playgrounds) na Praça São Caetano do Sul que fica entre as ruas Limeira e Altinópolis no bairro Piratininga</t>
  </si>
  <si>
    <t>32532</t>
  </si>
  <si>
    <t>Praça São Caetano do Sul que fica entre as ruas Limeira e Altinópolis no bairro Piratininga</t>
  </si>
  <si>
    <t>2023_FLAVIA_BORJA_210_01</t>
  </si>
  <si>
    <t>210</t>
  </si>
  <si>
    <t>à reforma geral do Centro de Saúde Lagoa, localizado R. José Sabino Maciel, 176, no bairro Lagoa.</t>
  </si>
  <si>
    <t>385001.8</t>
  </si>
  <si>
    <t>334798.01</t>
  </si>
  <si>
    <t>255418.09</t>
  </si>
  <si>
    <t>MLQ ENGENHARIA LTDA</t>
  </si>
  <si>
    <t>Rua José Sabino Maciel, 176, no bairro Lagoa.</t>
  </si>
  <si>
    <t>Centro de Saúde Lagoa, localizado R. José Sabino Maciel, 176, no bairro Lagoa.</t>
  </si>
  <si>
    <t>2023_FLAVIA_BORJA_211_01</t>
  </si>
  <si>
    <t>211</t>
  </si>
  <si>
    <t>721266</t>
  </si>
  <si>
    <t>2023_FLAVIA_BORJA_212_01</t>
  </si>
  <si>
    <t>212</t>
  </si>
  <si>
    <t>à Reforma de Vestiários no Campos de Várzea Parque Telê Santana, localizado na rua Augusto dos Anjos, 1, no bairro Sinimbu</t>
  </si>
  <si>
    <t>2700.2781201011.213.449052.F.500</t>
  </si>
  <si>
    <t>199290.03</t>
  </si>
  <si>
    <t>Campos de Várzea Parque Telê Santana, localizado na rua Augusto dos Anjos, 1, no bairro Sinimbu</t>
  </si>
  <si>
    <t>2023_FLAVIA_BORJA_213_01</t>
  </si>
  <si>
    <t>213</t>
  </si>
  <si>
    <t>à implantação de iluminação do campo de várzea Parque Telê Santana, localizado na rua Augusto dos Anjos, 1, no bairro Sinimbu</t>
  </si>
  <si>
    <t>campo de várzea Parque Telê Santana, localizado na rua Augusto dos Anjos, 1, no bairro Sinimbu</t>
  </si>
  <si>
    <t>2023_FLAVIA_BORJA_660_01</t>
  </si>
  <si>
    <t>660</t>
  </si>
  <si>
    <t>ao recapeamento asfáltico da Rua Floco no trecho situado entre as ruas Alfinetes e Alamanda no bairro Lindéia</t>
  </si>
  <si>
    <t>139828.44</t>
  </si>
  <si>
    <t>Rua Floco no trecho situado entre as ruas Alfinetes e Alamanda no bairro Lindéia</t>
  </si>
  <si>
    <t>2023_GABRIEL_293_01</t>
  </si>
  <si>
    <t>2023_GABRIEL</t>
  </si>
  <si>
    <t>293</t>
  </si>
  <si>
    <t>Gabriel</t>
  </si>
  <si>
    <t>ao reforço da dotação orçamentária para a construção, reforma e ampliação do Centro de Saúde Jardim Montanhês</t>
  </si>
  <si>
    <t>162000</t>
  </si>
  <si>
    <t>Centro de Saúde Jardim Montanhês</t>
  </si>
  <si>
    <t>2023_GABRIEL_294_01</t>
  </si>
  <si>
    <t>294</t>
  </si>
  <si>
    <t>ao reforço da dotação orçamentária para a construção, ampliação e reforma do Centro de Saúde Santa Amélia</t>
  </si>
  <si>
    <t>Centro de Saúde Santa Amélia</t>
  </si>
  <si>
    <t>2023_GABRIEL_296_01</t>
  </si>
  <si>
    <t>296</t>
  </si>
  <si>
    <t>ao reforço de dotação orçamentária para construção, ampliação e reforma do Centro de Saúde Nazaré</t>
  </si>
  <si>
    <t>68100.09</t>
  </si>
  <si>
    <t>Centro de Saúde Nazaré</t>
  </si>
  <si>
    <t>2023_GABRIEL_297_01</t>
  </si>
  <si>
    <t>297</t>
  </si>
  <si>
    <t>ao reforço da dotação orçamentária para construção, ampliação e reforma do Centro de Saúde Horto</t>
  </si>
  <si>
    <t>Centro de Saúde Horto</t>
  </si>
  <si>
    <t>2023_GABRIEL_298_01</t>
  </si>
  <si>
    <t>298</t>
  </si>
  <si>
    <t>ao reforço da dotação orçamentária para construção, ampliação e reforma do centro de saúde Minas Caixa</t>
  </si>
  <si>
    <t>107990.29</t>
  </si>
  <si>
    <t>centro de saúde Minas Caixa</t>
  </si>
  <si>
    <t>2023_GABRIEL_299_01</t>
  </si>
  <si>
    <t>299</t>
  </si>
  <si>
    <t>ao reforço da dotação orçamentária para construção, ampliação e reforma do Centro de Saúde Vista Alegre</t>
  </si>
  <si>
    <t>140502.81</t>
  </si>
  <si>
    <t>99753.59</t>
  </si>
  <si>
    <t>Centro de Saúde Vista Alegre</t>
  </si>
  <si>
    <t>2023_GABRIEL_300_01</t>
  </si>
  <si>
    <t>300</t>
  </si>
  <si>
    <t>ao reforço da dotação orçamentária para construção, ampliação e reforma do centro de saúde Maria Goretti</t>
  </si>
  <si>
    <t>centro de saúde Maria Goretti</t>
  </si>
  <si>
    <t>2023_GABRIEL_307_01</t>
  </si>
  <si>
    <t>307</t>
  </si>
  <si>
    <t>à construção e reforma de equipamentos públicos do parque municipal Américo René Gianetti</t>
  </si>
  <si>
    <t>351267</t>
  </si>
  <si>
    <t>348967.9</t>
  </si>
  <si>
    <t>GUSTAVO PENNA ARQUITETO ASSOCIADOS LTDA.</t>
  </si>
  <si>
    <t>parque municipal Américo René Gianetti</t>
  </si>
  <si>
    <t>2023_GABRIEL_308_01</t>
  </si>
  <si>
    <t>308</t>
  </si>
  <si>
    <t>ao reforço da dotação orçamentária do centro de referência LGBT+ para as ações de atendimento, acolhimento e execução de politicas publicas</t>
  </si>
  <si>
    <t>1000.1442201272.928.339039.F.500</t>
  </si>
  <si>
    <t>2928</t>
  </si>
  <si>
    <t>PROMOÇÃO, PROTEÇÃO E DEFESA DE DIREITOS DAS PESSOAS LGBT</t>
  </si>
  <si>
    <t>351266</t>
  </si>
  <si>
    <t>2023_GABRIEL_309_01</t>
  </si>
  <si>
    <t>309</t>
  </si>
  <si>
    <t>ao reforço da dotação para a reforma e conservação das fontes e do restante da estrutura da Praça da Estação</t>
  </si>
  <si>
    <t>259489.6</t>
  </si>
  <si>
    <t>Praça da Estação</t>
  </si>
  <si>
    <t>Av. dos Andradas, 337 - Centro, Belo Horizonte - MG, 30120-010</t>
  </si>
  <si>
    <t>2023_GABRIEL_310_01</t>
  </si>
  <si>
    <t>310</t>
  </si>
  <si>
    <t>a aquisição e instalação de balizadores em pontos críticos para reforço à segregação de ciclofaixas implementadas na Av. Tereza Cristina e Av. dos Andradas</t>
  </si>
  <si>
    <t>134959.12</t>
  </si>
  <si>
    <t>Av. Tereza Cristina e Av. dos Andradas</t>
  </si>
  <si>
    <t>2023_GABRIEL_311_01</t>
  </si>
  <si>
    <t>311</t>
  </si>
  <si>
    <t>ao reforço da dotação orçamentária para valorização das ações de preservação da memória e das identidades culturais</t>
  </si>
  <si>
    <t>3102.1100.13.391.155.2.375.339035.F.500</t>
  </si>
  <si>
    <t>3102</t>
  </si>
  <si>
    <t>FUNDO DE PROTEÇÃO DO PATRIMÔNIO CULTURAL DO MUNICÍPIO DE BELO HORIZONTE</t>
  </si>
  <si>
    <t>339035</t>
  </si>
  <si>
    <t>2023_GABRIEL_332_01</t>
  </si>
  <si>
    <t>332</t>
  </si>
  <si>
    <t>repasse de recursos à Santa Casa</t>
  </si>
  <si>
    <t>Av. Francisco Sales, 1111 - Santa Efigênia, Belo Horizonte - MG, 30150-223</t>
  </si>
  <si>
    <t>2023_GABRIEL_464_01</t>
  </si>
  <si>
    <t>464</t>
  </si>
  <si>
    <t>ao reforço da dotação orçamentária para construção, ampliação e reforma do Centro de Saúde Amílcar Vianna Martins</t>
  </si>
  <si>
    <t>154532</t>
  </si>
  <si>
    <t>154531.12</t>
  </si>
  <si>
    <t>150618.43</t>
  </si>
  <si>
    <t>R. Nelson de Senna, 90 - Cinquentenario, Belo Horizonte - MG, 30570-060</t>
  </si>
  <si>
    <t>2023_GABRIEL_946_01</t>
  </si>
  <si>
    <t>946</t>
  </si>
  <si>
    <t>ao reforço da dotação orçamentária para construção e reforma da Unidade de Pronto Atendimento - UPA – Barreiro</t>
  </si>
  <si>
    <t>166373.75</t>
  </si>
  <si>
    <t>AMERICA LATINA ENGENHARIA EIRELI</t>
  </si>
  <si>
    <t>R. Cabo Valério Santos, 285 - Átila de Paiva, Belo Horizonte - MG, 30640-440</t>
  </si>
  <si>
    <t>2023_GILSON_GUIMARAES_626_01</t>
  </si>
  <si>
    <t>2023_GILSON_GUIMARAES</t>
  </si>
  <si>
    <t>626</t>
  </si>
  <si>
    <t>Gilson Guimarães</t>
  </si>
  <si>
    <t>à realização de ações de assistência social pela entidade Instituto Rumo Certo CNPJ 03.991.102/0001-04</t>
  </si>
  <si>
    <t>1011.0824400192.647.339039.S.500</t>
  </si>
  <si>
    <t>2023_GILSON_GUIMARAES_627_01</t>
  </si>
  <si>
    <t>627</t>
  </si>
  <si>
    <t>à realização de eventos de Rua de Lazer na Regional Centro Sul</t>
  </si>
  <si>
    <t>26214.46</t>
  </si>
  <si>
    <t>Regional Centro Sul</t>
  </si>
  <si>
    <t>2023_GILSON_GUIMARAES_628_01</t>
  </si>
  <si>
    <t>628</t>
  </si>
  <si>
    <t>a obras e instalações de playgrounds em praças na Regional Centro Sul</t>
  </si>
  <si>
    <t>87500</t>
  </si>
  <si>
    <t>2023_GILSON_GUIMARAES_629_01</t>
  </si>
  <si>
    <t>629</t>
  </si>
  <si>
    <t>à aquisição de materiais permanentes para a limpeza urbana na regional Centro Sul</t>
  </si>
  <si>
    <t>2708.1751202282.539.449052.F.500</t>
  </si>
  <si>
    <t>2708</t>
  </si>
  <si>
    <t>SUPERINTENDÊNCIA DE LIMPEZA URBANA</t>
  </si>
  <si>
    <t>17</t>
  </si>
  <si>
    <t>SANEAMENTO</t>
  </si>
  <si>
    <t>512</t>
  </si>
  <si>
    <t>SANEAMENTO BÁSICO URBANO</t>
  </si>
  <si>
    <t>0228</t>
  </si>
  <si>
    <t>COLETA, DESTINAÇÃO E TRATAMENTO DE RESÍDUOS SÓLIDOS</t>
  </si>
  <si>
    <t>2539</t>
  </si>
  <si>
    <t>EXECUÇÃO DOS SERVIÇOS DE LIMPEZA URBANA</t>
  </si>
  <si>
    <t>0703</t>
  </si>
  <si>
    <t>2023_GILSON_GUIMARAES_630_01</t>
  </si>
  <si>
    <t>630</t>
  </si>
  <si>
    <t>ao reforço de dotação orçamentária para implantação e/ou reforma de infraestrutura esportiva e de lazer em estrutura pública municipal. "Mirante do Campinho", ao final da Rua Mangabeira da Serra - Marçola</t>
  </si>
  <si>
    <t>Rua Mangabeira da Serra - Marçola</t>
  </si>
  <si>
    <t>Mirante do Campinho", ao final da Rua Mangabeira da Serra - Marçola</t>
  </si>
  <si>
    <t>2023_GILSON_GUIMARAES_631_01</t>
  </si>
  <si>
    <t>631</t>
  </si>
  <si>
    <t>Obras de infraestrutura para melhorias e construção do espaço social e lazer no "Mirante do Campinho" no final da Rua Mangabeira da Serra - Marçola</t>
  </si>
  <si>
    <t>166266</t>
  </si>
  <si>
    <t>62164</t>
  </si>
  <si>
    <t>2537.79</t>
  </si>
  <si>
    <t>2023_GILSON_GUIMARAES_639_01</t>
  </si>
  <si>
    <t>639</t>
  </si>
  <si>
    <t>à aquisição de equipamentos e materiais permanentes para a unidade de atendimento à saúde no Hospital João XXIII CNES 0026921</t>
  </si>
  <si>
    <t>2023_GILSON_GUIMARAES_640_01</t>
  </si>
  <si>
    <t>640</t>
  </si>
  <si>
    <t>à aquisição de equipamentos e materiais permanentes para a unidade de atendimento à saúde na Regional Centro Sul, Centro de Saúde Paraíso</t>
  </si>
  <si>
    <t>64582.86</t>
  </si>
  <si>
    <t>61102.86</t>
  </si>
  <si>
    <t>B. D. R. COMERCIO DE EQUIPAMENTOS LTDA; BT COMERCIO INTELIGENTE LTDA; CB ELETRO E INFORMATICA LTDA; FORMIGARI COMERCIO DE MOVEIS LTDA</t>
  </si>
  <si>
    <t>Centro de Saúde Paraíso</t>
  </si>
  <si>
    <t>2023_GILSON_GUIMARAES_641_01</t>
  </si>
  <si>
    <t>641</t>
  </si>
  <si>
    <t>à reformas visando manutenção de unidades de atendimento à saúde, Centro de Saúde São Miguel Arcanjo</t>
  </si>
  <si>
    <t>88600.79</t>
  </si>
  <si>
    <t>83259.88</t>
  </si>
  <si>
    <t>Centro de Saúde São Miguel Arcanjo</t>
  </si>
  <si>
    <t>2023_GILSON_GUIMARAES_642_01</t>
  </si>
  <si>
    <t>642</t>
  </si>
  <si>
    <t>ao reforço de dotação orçamentária para atendimento na UPA Leste</t>
  </si>
  <si>
    <t>262533</t>
  </si>
  <si>
    <t>494667.44</t>
  </si>
  <si>
    <t>UPA Leste</t>
  </si>
  <si>
    <t>2023_GILSON_GUIMARAES_643_01</t>
  </si>
  <si>
    <t>643</t>
  </si>
  <si>
    <t>à aquisição de equipamentos e materiais permanentes para a unidade de atendimento à saúde no Centro Municipal de Oftalmologia, R. Frederico Bracher Júnior, 103 - Carlos Prates, Belo Horizonte - MG, 30710-580</t>
  </si>
  <si>
    <t>149722</t>
  </si>
  <si>
    <t>R. Frederico Bracher Júnior, 103 - Carlos Prates, Belo Horizonte - MG, 30710-580</t>
  </si>
  <si>
    <t>Centro Municipal de Oftalmologia R. Frederico Bracher Júnior, 103 - Carlos Prates, Belo Horizonte - MG, 30710-580</t>
  </si>
  <si>
    <t>2023_GILSON_GUIMARAES_644_01</t>
  </si>
  <si>
    <t>644</t>
  </si>
  <si>
    <t>à aquisição de equipamentos e materiais permanentes para a unidade de atendimento à saúde, Laboratório Municipal de Análises Clínicas e Citopatológicas, R. Frederico Bracher Júnior, 103 - Carlos Prates, Belo Horizonte - MG, 30710-580</t>
  </si>
  <si>
    <t>8540</t>
  </si>
  <si>
    <t>BOSCO FELIPE COMERCIO LTDA; SUL MINAS FABRICA DE MOVEIS LTDA; ZIRICO MOVEIS LTDA</t>
  </si>
  <si>
    <t>Laboratório Municipal de Análises Clínicas e Citopatológicas R. Frederico Bracher Júnior, 103 - Carlos Prates, Belo Horizonte - MG, 30710-580</t>
  </si>
  <si>
    <t>2023_GILSON_GUIMARAES_645_01</t>
  </si>
  <si>
    <t>645</t>
  </si>
  <si>
    <t>à manutenção de unidades de atendimento à saúde, CERSAMi CENTRO SUL, R. Padre Marinho, 150 - Bairro Santa Efigênia</t>
  </si>
  <si>
    <t>R. Padre Marinho, 150 - Bairro Santa Efigênia</t>
  </si>
  <si>
    <t xml:space="preserve"> CERSAMi CENTRO SUL R. Padre Marinho, 150 - Bairro Santa Efigênia</t>
  </si>
  <si>
    <t>2023_GILSON_GUIMARAES_646_01</t>
  </si>
  <si>
    <t>646</t>
  </si>
  <si>
    <t>ao reforço de dotação orçamentária para atendimento ao Hospital Infantil João Paulo II, CNES 0026948, Alameda Ezequiel Dias, 345, Santa Efigênia - Belo Horizonte/MG CEP 30130-110</t>
  </si>
  <si>
    <t>Alameda Ezequiel Dias, 345, Santa Efigênia - Belo Horizonte/MG CEP 30130-110</t>
  </si>
  <si>
    <t>Hospital Infantil João Paulo II Alameda Ezequiel Dias, 345, Santa Efigênia - Belo Horizonte/MG CEP 30130-110</t>
  </si>
  <si>
    <t>2023_GILSON_GUIMARAES_647_01</t>
  </si>
  <si>
    <t>647</t>
  </si>
  <si>
    <t>ao reforço de dotação orçamentária para atendimento a Maternidade Odete Valadares, CNES 0026972, Av. do Contorno, 9494 - Prado, Belo Horizonte - MG, 30110-064</t>
  </si>
  <si>
    <t>Av. do Contorno, 9494 - Prado, Belo Horizonte - MG, 30110-064</t>
  </si>
  <si>
    <t>Maternidade Odete Valadares Av. do Contorno, 9494 - Prado, Belo Horizonte - MG, 30110-064</t>
  </si>
  <si>
    <t>2023_GILSON_GUIMARAES_648_01</t>
  </si>
  <si>
    <t>648</t>
  </si>
  <si>
    <t>à aquisição de materiais de consumo para a unidade de atendimento à saúde no Centro Municipal Oftalmológico, R. Frederico Bracher Júnior, 103 - Carlos Prates, Belo Horizonte - MG, 30710-580</t>
  </si>
  <si>
    <t>2302.1030201142.891.339030.S.500</t>
  </si>
  <si>
    <t>4384.8</t>
  </si>
  <si>
    <t>MGS MINAS GERAIS ADMINISTRACAO E SERVICOS SA</t>
  </si>
  <si>
    <t>Centro Municipal Oftalmológico R. Frederico Bracher Júnior, 103 - Carlos Prates, Belo Horizonte - MG, 30710-580</t>
  </si>
  <si>
    <t>2023_GILSON_GUIMARAES_649_01</t>
  </si>
  <si>
    <t>649</t>
  </si>
  <si>
    <t>283500</t>
  </si>
  <si>
    <t>2023_HELINHO_DA_FARMACIA_128_01</t>
  </si>
  <si>
    <t>2023_HELINHO_DA_FARMACIA</t>
  </si>
  <si>
    <t>128</t>
  </si>
  <si>
    <t>Helinho da Farmácia</t>
  </si>
  <si>
    <t>ao reforço de dotação orçamentária destinado à elaboração de projetos, obras estruturantes e/ou instalações no Centro de Saúde Pilar na Regional Barreiro.</t>
  </si>
  <si>
    <t>297622.95</t>
  </si>
  <si>
    <t>CGD CONSTRUTORA GUIMARAES DIAS LTDA</t>
  </si>
  <si>
    <t>Regional Barreiro.</t>
  </si>
  <si>
    <t>Centro de Saúde Pilar na Regional Barreiro.</t>
  </si>
  <si>
    <t>Revisar</t>
  </si>
  <si>
    <t>2023_HELINHO_DA_FARMACIA_129_01</t>
  </si>
  <si>
    <t>129</t>
  </si>
  <si>
    <t>ao reforço de dotação orçamentária destinado à elaboração de projetos, obras estruturantes e/ou instalações no Centro de Saúde Miramar na Regional Barreiro.</t>
  </si>
  <si>
    <t>177785.28</t>
  </si>
  <si>
    <t>148350.68</t>
  </si>
  <si>
    <t>Centro de Saúde Miramar na Regional Barreiro.</t>
  </si>
  <si>
    <t>2023_HELINHO_DA_FARMACIA_130_01</t>
  </si>
  <si>
    <t>130</t>
  </si>
  <si>
    <t>ao reforço de dotação orçamentária destinado à elaboração de projetos, obras estruturantes e/ou instalações no Centro de Saúde Goiânia na Regional Nordeste.</t>
  </si>
  <si>
    <t>53921.05</t>
  </si>
  <si>
    <t>Regional Nordeste</t>
  </si>
  <si>
    <t>Centro de Saúde Goiânia na Regional Nordeste.</t>
  </si>
  <si>
    <t>2023_HELINHO_DA_FARMACIA_131_01</t>
  </si>
  <si>
    <t>131</t>
  </si>
  <si>
    <t>ao reforço de dotação orçamentária destinado à elaboração de projetos, obras estruturantes e/ou instalações no Centro de Saúde Bonsucesso na Regional Barreiro</t>
  </si>
  <si>
    <t>212000</t>
  </si>
  <si>
    <t>58434.01</t>
  </si>
  <si>
    <t>PMG CONSTRUCAO E LOCACAO LTDA</t>
  </si>
  <si>
    <t>Centro de Saúde Bonsucesso na Regional Barreiro</t>
  </si>
  <si>
    <t>2023_HELINHO_DA_FARMACIA_132_01</t>
  </si>
  <si>
    <t>132</t>
  </si>
  <si>
    <t>ao reforço de dotação orçamentária destinado à elaboração de projetos, obras estruturantes e/ou instalações na Unidade de Pronto Atendimento (UPA), na Regional Barreiro.</t>
  </si>
  <si>
    <t>208111.8</t>
  </si>
  <si>
    <t>Unidade de Pronto Atendimento (UPA), na Regional Barreiro.</t>
  </si>
  <si>
    <t>2023_HELINHO_DA_FARMACIA_588_01</t>
  </si>
  <si>
    <t>588</t>
  </si>
  <si>
    <t>à realização de Ruas de lazer na Regional Barreiro;</t>
  </si>
  <si>
    <t>58448.639999999999</t>
  </si>
  <si>
    <t>Regional Barreiro</t>
  </si>
  <si>
    <t>2023_HELINHO_DA_FARMACIA_589_01</t>
  </si>
  <si>
    <t>589</t>
  </si>
  <si>
    <t>à realização de Ruas de lazer na Regional Norte;</t>
  </si>
  <si>
    <t>14651.9</t>
  </si>
  <si>
    <t>2023_HELINHO_DA_FARMACIA_590_01</t>
  </si>
  <si>
    <t>590</t>
  </si>
  <si>
    <t>2023_HELINHO_DA_FARMACIA_591_01</t>
  </si>
  <si>
    <t>591</t>
  </si>
  <si>
    <t>2023_HELINHO_DA_FARMACIA_592_01</t>
  </si>
  <si>
    <t>592</t>
  </si>
  <si>
    <t>Hospital da Baleia</t>
  </si>
  <si>
    <t>2023_HELINHO_DA_FARMACIA_593_01</t>
  </si>
  <si>
    <t>593</t>
  </si>
  <si>
    <t>à instalação de Playgrounds em Praças Públicas e/ou outras áreas públicas compatíveis da cidade de Belo Horizonte;</t>
  </si>
  <si>
    <t>240000</t>
  </si>
  <si>
    <t>147700</t>
  </si>
  <si>
    <t>2023_HELINHO_DA_FARMACIA_594_01</t>
  </si>
  <si>
    <t>594</t>
  </si>
  <si>
    <t>à Implantação, revitalização e manutenção de Praças na Regional Barreiro;</t>
  </si>
  <si>
    <t>186253.74</t>
  </si>
  <si>
    <t>2023_HELINHO_DA_FARMACIA_595_01</t>
  </si>
  <si>
    <t>595</t>
  </si>
  <si>
    <t>ao reforço de dotação orçamentária para execução de tratamento de fundo de vale no Córrego Capão dos Porcos ou Mineirão - Vila Pinho, previsto no Plano de Obras da Prefeitura.</t>
  </si>
  <si>
    <t>2704.1648202251.231.449051.F.500</t>
  </si>
  <si>
    <t>0225</t>
  </si>
  <si>
    <t>INTERVENÇÃO EM ASSENTAMENTOS DE INTERESSE SOCIAL</t>
  </si>
  <si>
    <t>1231</t>
  </si>
  <si>
    <t>URBANIZAÇÃO E REGULARIZAÇÃO EM ASSENTAMENTOS DE INTERESSE SOCIAL</t>
  </si>
  <si>
    <t>149999.95000000001</t>
  </si>
  <si>
    <t>Córrego Capão dos Porcos ou Mineirão - Vila Pinho</t>
  </si>
  <si>
    <t>2023_HELINHO_DA_FARMACIA_596_01</t>
  </si>
  <si>
    <t>596</t>
  </si>
  <si>
    <t>ao reforço de dotação orçamentária para conservação de vias Urbanas na regional Oeste.</t>
  </si>
  <si>
    <t>97243.5</t>
  </si>
  <si>
    <t>regional Oeste</t>
  </si>
  <si>
    <t>2023_HELINHO_DA_FARMACIA_597_01</t>
  </si>
  <si>
    <t>597</t>
  </si>
  <si>
    <t>ao reforço de dotação orçamentária para conservação de vias Urbanas na Regional Barreiro.</t>
  </si>
  <si>
    <t>822532</t>
  </si>
  <si>
    <t>783493.02</t>
  </si>
  <si>
    <t>CONSTRUTORA MARINS</t>
  </si>
  <si>
    <t>2023_HENRIQUE_BRAGA_938_01</t>
  </si>
  <si>
    <t>2023_HENRIQUE_BRAGA</t>
  </si>
  <si>
    <t>938</t>
  </si>
  <si>
    <t>Henrique Braga</t>
  </si>
  <si>
    <t>ao reforço de dotação orçamentária para atendimento ao Hospital Metropolitano Odilon Behrens. CNPJ: 16.692.121/0001-81.</t>
  </si>
  <si>
    <t>Hospital Metropolitano Odilon Behrens</t>
  </si>
  <si>
    <t>2023_HENRIQUE_BRAGA_939_01</t>
  </si>
  <si>
    <t>939</t>
  </si>
  <si>
    <t>ao reforço de dotação orçamentária para atendimento ao Hospital Metropolitano Doutor Célio de Castro. CNPJ: 22.012.907/0001-03.</t>
  </si>
  <si>
    <t>Hospital Metropolitano Doutor Célio de Castro</t>
  </si>
  <si>
    <t>2023_HENRIQUE_BRAGA_940_01</t>
  </si>
  <si>
    <t>940</t>
  </si>
  <si>
    <t>ao reforço de dotação orçamentária para atendimento ao Hospital Santa Casa de Belo Horizonte. CNPJ: 17.209.891/0001-93.</t>
  </si>
  <si>
    <t>2023_HENRIQUE_BRAGA_941_01</t>
  </si>
  <si>
    <t>941</t>
  </si>
  <si>
    <t>ao reforço de dotação orçamentária para atendimento ao Hospital Sofia Feldman. CNPJ: 25.459.256/0001-92.</t>
  </si>
  <si>
    <t>Hospital Sofia Feldman</t>
  </si>
  <si>
    <t>2023_HENRIQUE_BRAGA_942_01</t>
  </si>
  <si>
    <t>942</t>
  </si>
  <si>
    <t>ao reforço de dotação orçamentária para atendimento ao Complexo Hospitalar São Francisco. 13.025.354/0001-32.</t>
  </si>
  <si>
    <t>112532</t>
  </si>
  <si>
    <t>Complexo Hospitalar São Francisco</t>
  </si>
  <si>
    <t>2023_HENRIQUE_BRAGA_943_01</t>
  </si>
  <si>
    <t>943</t>
  </si>
  <si>
    <t>ao reforço de dotação orçamentária para atendimento ao Hospital da Baleia. CNPJ: 17.200.429/0001-25.</t>
  </si>
  <si>
    <t>2023_HENRIQUE_BRAGA_944_01</t>
  </si>
  <si>
    <t>944</t>
  </si>
  <si>
    <t>ao reforço de dotação orçamentária para atendimento ao Hospital Evangélico de Belo Horizonte. CNPJ:17.214.743/0001-67.</t>
  </si>
  <si>
    <t>2023_HENRIQUE_BRAGA_945_01</t>
  </si>
  <si>
    <t>945</t>
  </si>
  <si>
    <t>ao reforço de dotação orçamentária destinado ao atendimento da UPA Barreiro</t>
  </si>
  <si>
    <t>299336.64</t>
  </si>
  <si>
    <t>UPA Barreiro</t>
  </si>
  <si>
    <t>2023_HENRIQUE_BRAGA_946_01</t>
  </si>
  <si>
    <t>à reforma e melhorias da UPA Oeste.</t>
  </si>
  <si>
    <t>UPA Oeste</t>
  </si>
  <si>
    <t>2023_HENRIQUE_BRAGA_947_01</t>
  </si>
  <si>
    <t>947</t>
  </si>
  <si>
    <t>ao reforço de dotação orçamentária destinado ao atendimento da UPA Noroeste</t>
  </si>
  <si>
    <t>UPA Noroeste</t>
  </si>
  <si>
    <t>2023_HENRIQUE_BRAGA_948_01</t>
  </si>
  <si>
    <t>948</t>
  </si>
  <si>
    <t>ao reforço de dotação orçamentária destinado à Obras de Contenção e estabilização de encostas na Avenida Waldyr Soeiro Emrich, nº289, Barreiro.</t>
  </si>
  <si>
    <t>802532</t>
  </si>
  <si>
    <t>388284.2</t>
  </si>
  <si>
    <t>384176.14</t>
  </si>
  <si>
    <t>ESTRUTURA ENGENHARIA E CONSTRUCAO LTDA.</t>
  </si>
  <si>
    <t>Avenida Waldyr Soeiro Emrich, nº289, Barreiro.</t>
  </si>
  <si>
    <t>2023_HENRIQUE_BRAGA_949_01</t>
  </si>
  <si>
    <t>949</t>
  </si>
  <si>
    <t>Ao reforço de dotação orçamentária para a instalação de pontos de videomonitoramento no Parque das Águas situado na Avenida Ximango, nº 809, Flávio Marques Lisboa, na Regional Barreiro.</t>
  </si>
  <si>
    <t>249999.71</t>
  </si>
  <si>
    <t>Avenida Ximango, nº 809, Flávio Marques Lisboa, na Regional Barreiro.</t>
  </si>
  <si>
    <t>Parque das Águas situado na Avenida Ximango, nº 809, Flávio Marques Lisboa, na Regional Barreiro.</t>
  </si>
  <si>
    <t>2023_HENRIQUE_BRAGA_950_01</t>
  </si>
  <si>
    <t>950</t>
  </si>
  <si>
    <t>à construção de contenção em gabião nas margens de córrego na Avenida Palestina, com Avenida Sideral - Madre Gertrudes, na Regional Oeste.</t>
  </si>
  <si>
    <t>Avenida Palestina, com Avenida Sideral - Madre Gertrudes, na Regional Oeste.</t>
  </si>
  <si>
    <t>2023_HENRIQUE_BRAGA_951_01</t>
  </si>
  <si>
    <t>951</t>
  </si>
  <si>
    <t>ao reforço à dotação orçamentária para aquisição de materiais de consumo para escolas municipais da Regional Barreiro.</t>
  </si>
  <si>
    <t>2200.12.361.0168.2.080.339030.F.500 (UA 0100)</t>
  </si>
  <si>
    <t>327333.17</t>
  </si>
  <si>
    <t>464425.53</t>
  </si>
  <si>
    <t xml:space="preserve"> Regional Barreiro</t>
  </si>
  <si>
    <t>2023_IRLAN_MELO_760_01</t>
  </si>
  <si>
    <t>2023_IRLAN_MELO</t>
  </si>
  <si>
    <t>760</t>
  </si>
  <si>
    <t>Irlan Melo</t>
  </si>
  <si>
    <t>ao reforço de dotação orçamentária para construção, ampliação e reforma de unidades de saúde</t>
  </si>
  <si>
    <t>746266</t>
  </si>
  <si>
    <t>187733.33</t>
  </si>
  <si>
    <t>179460.61</t>
  </si>
  <si>
    <t>ALLIANCE EMPREENDIMENTOS E PROJETOS ARQUITETONICOS LTDA; CETUS CONSTRUTORA LTDA</t>
  </si>
  <si>
    <t>2023_IRLAN_MELO_762_01</t>
  </si>
  <si>
    <t>762</t>
  </si>
  <si>
    <t>ao reforço de dotação orçamentária para obra de acessibilidade no Centro de Saúde Salgado Filho</t>
  </si>
  <si>
    <t>145946.34</t>
  </si>
  <si>
    <t>Centro de Saúde Salgado Filho</t>
  </si>
  <si>
    <t>2023_IRLAN_MELO_763_01</t>
  </si>
  <si>
    <t>763</t>
  </si>
  <si>
    <t>ao reforço de dotação orçamentária para construção, ampliação e reforma do Centro de Saúde Bonsucesso</t>
  </si>
  <si>
    <t>Centro de Saúde Bonsucesso</t>
  </si>
  <si>
    <t>2023_IRLAN_MELO_795_01</t>
  </si>
  <si>
    <t>795</t>
  </si>
  <si>
    <t>ao reforço de dotação orçamentária para obras de infraestrutura urbana</t>
  </si>
  <si>
    <t>1002532</t>
  </si>
  <si>
    <t>844010.94</t>
  </si>
  <si>
    <t>LOCPAV LOCACAO E EQUIPAMENTOS LTDA</t>
  </si>
  <si>
    <t>2023_IRLAN_MELO_796_01</t>
  </si>
  <si>
    <t>796</t>
  </si>
  <si>
    <t>ao reforço de dotação orçamentária para instalação de playgrounds em 2 praças públicas</t>
  </si>
  <si>
    <t>23874.37</t>
  </si>
  <si>
    <t>2023_IRLAN_MELO_797_01</t>
  </si>
  <si>
    <t>797</t>
  </si>
  <si>
    <t>ao reforço de dotação orçamentária para manutenção da rede de drenagem da rua Visconde de Taunay, entre a Ave. Dr. Álvaro Camargos e Rua Gonçalves Magalhães, no bairro Santa Branca.</t>
  </si>
  <si>
    <t>180000</t>
  </si>
  <si>
    <t>Rua Visconde de Taunay, entre a Ave. Dr. Álvaro Camargos e Rua Gonçalves Magalhães, no bairro Santa Branca.</t>
  </si>
  <si>
    <t>2023_IRLAN_MELO_798_01</t>
  </si>
  <si>
    <t>798</t>
  </si>
  <si>
    <t>ao reforço de dotação orçamentária para custeio da Revitalização Paisagística de Espaços Escolares Subutilizados da E.M. de Ensino Especial Frei Leopoldo</t>
  </si>
  <si>
    <t>2200.1236701672.046.339039.F.500 (UA 0700)</t>
  </si>
  <si>
    <t>EDUCAÇÃO ESPECIAL</t>
  </si>
  <si>
    <t>0167</t>
  </si>
  <si>
    <t>GESTÃO DA POLÍTICA DE EDUCAÇÃO INCLUSIVA E DIVERSIDADE ÉTNICO-RACIAL</t>
  </si>
  <si>
    <t>0603</t>
  </si>
  <si>
    <t xml:space="preserve"> E.M. de Ensino Especial Frei Leopoldo</t>
  </si>
  <si>
    <t>2023_IRLAN_MELO_799_01</t>
  </si>
  <si>
    <t>799</t>
  </si>
  <si>
    <t>ao reforço de dotação orçamentária para a realização de 10 eventos de ruas de lazer comunitárias</t>
  </si>
  <si>
    <t>28985.88</t>
  </si>
  <si>
    <t>2023_IRLAN_MELO_800_01</t>
  </si>
  <si>
    <t>800</t>
  </si>
  <si>
    <t>ao reforço de dotação orçamentária para custeio da Revitalização Paisagística de Espaços Escolares Subutilizados da EMEI Solar Rubi</t>
  </si>
  <si>
    <t>2200.12.365.0169.2.046.339039.F.500 (UA 0100)</t>
  </si>
  <si>
    <t>EMEI Solar Rubi</t>
  </si>
  <si>
    <t>2023_IRLAN_MELO_804_01</t>
  </si>
  <si>
    <t>804</t>
  </si>
  <si>
    <t>ao reforço de dotação orçamentária para atendimento ao Hospital Santa Casa de Belo Horizonte, CNES: 0027014</t>
  </si>
  <si>
    <t>2023_IRLAN_MELO_805_01</t>
  </si>
  <si>
    <t>805</t>
  </si>
  <si>
    <t>ao reforço de dotação orçamentária para atendimento ao Hospital Evangélico de Belo Horizonte, CNES: 0026808</t>
  </si>
  <si>
    <t>2023_IRLAN_MELO_806_01</t>
  </si>
  <si>
    <t>806</t>
  </si>
  <si>
    <t>ao reforço de dotação orçamentária para atendimento ao Hospital Paulo de Tarso, CNES: 2695375</t>
  </si>
  <si>
    <t>Hospital Paulo de Tarso</t>
  </si>
  <si>
    <t>2023_IRLAN_MELO_807_01</t>
  </si>
  <si>
    <t>807</t>
  </si>
  <si>
    <t>ao reforço de dotação orçamentária para atendimento ao Hospital Sofia Feldman, CNES: 0026794</t>
  </si>
  <si>
    <t>2023_IRLAN_MELO_808_01</t>
  </si>
  <si>
    <t>808</t>
  </si>
  <si>
    <t>ao reforço de dotação orçamentária para atendimento ao Hospital Metropolitano Doutor Célio de Castro, CNES: 7866801</t>
  </si>
  <si>
    <t>2023_IRLAN_MELO_809_01</t>
  </si>
  <si>
    <t>809</t>
  </si>
  <si>
    <t>ao reforço de dotação orçamentária para atendimento ao Complexo Hospitalar São Francisco, CNES: 0026840</t>
  </si>
  <si>
    <t>96266</t>
  </si>
  <si>
    <t>Complexo Hospitalar São Francisco,</t>
  </si>
  <si>
    <t>2023_IRLAN_MELO_826_01</t>
  </si>
  <si>
    <t>826</t>
  </si>
  <si>
    <t>à Associação Brasileira de Esclerose Tuberosa, CNPJ 05.037.061/0001-47, para a execução de atividades socioassistenciais, de acordo com o disposto na Lei Federal nº 8.742/93, em consonância com a referida inscrição no Conselho Municipal de Assistência Social de Belo Horizonte - CMAS-BH</t>
  </si>
  <si>
    <t>2023_IRLAN_MELO_827_01</t>
  </si>
  <si>
    <t>827</t>
  </si>
  <si>
    <t>à Adotar - Adotando Vidas, CNPJ 15.671.055/0001-09, para a execução de atividades socioassistenciais, de acordo com o disposto na Lei Federai n° 8.742/93, em consonância com a referida inscrição no Conselho Municipal de Assistência Social de Belo Horizonte - CMAS-BH</t>
  </si>
  <si>
    <t>1011.0824401132.804.339039.S.500</t>
  </si>
  <si>
    <t>2804</t>
  </si>
  <si>
    <t>GESTÃO DOS EQUIPAMENTOS E PROMOÇÃO SOCIAL</t>
  </si>
  <si>
    <t>2023_IRLAN_MELO_828_01</t>
  </si>
  <si>
    <t>828</t>
  </si>
  <si>
    <t>à Associação Unificada de Recuperação e Apoio Aura CNPJ 02.471.591/0001-00, para a execução de atividades socioassistenciais, de acordo com o disposto na Lei Federal nº 8.742/93, em consonância com a referida inscrição no Conselho Municipal de Assistência Social de Belo Horizonte - CMAS-BH</t>
  </si>
  <si>
    <t>2023_IRLAN_MELO_829_01</t>
  </si>
  <si>
    <t>829</t>
  </si>
  <si>
    <t>ao Lar Teresa de Jesus, CNPJ 03.491.820/0001-11, para a execução de atividades socioassistenciais, de acordo com o disposto na Lei Federai n° 8.742/93, em consonância com a referida inscrição no Conselho Municipal de Assistência Social de Belo Horizonte - CMAS-BH</t>
  </si>
  <si>
    <t>2023_IRLAN_MELO_830_01</t>
  </si>
  <si>
    <t>830</t>
  </si>
  <si>
    <t>à Fundação Oásis, CNPJ 01.030.958/0001-98, para a execução de atividades socioassistenciais, de acordo com o disposto na Lei Federai n° 8.742/93, em consonância com a referida inscrição no Conselho Municipal de Assistência Social de Belo Horizonte - CMAS-BH</t>
  </si>
  <si>
    <t>1011.0824100202.403.339039.S.500</t>
  </si>
  <si>
    <t>241</t>
  </si>
  <si>
    <t>ASSISTÊNCIA AO IDOSO</t>
  </si>
  <si>
    <t>1303</t>
  </si>
  <si>
    <t>Idosos</t>
  </si>
  <si>
    <t>2023_IRLAN_MELO_832_01</t>
  </si>
  <si>
    <t>832</t>
  </si>
  <si>
    <t>ao Lar Cristo Rei, CNPJ 20.472.908/0001-05, para a execução de atividades socioassistenciais, de acordo com o disposto na Lei Federai n° 8.742/93, em consonância com a referida inscrição no Conselho Municipal de Assistência Social de Belo Horizonte - CMAS-BH</t>
  </si>
  <si>
    <t>2023_IRLAN_MELO_833_01</t>
  </si>
  <si>
    <t>833</t>
  </si>
  <si>
    <t>à Ação Social Villaregia, CNPJ 27.825.112/0001-38, para a execução de atividades socioassistenciais, de acordo com o disposto na Lei Federai n° 8.742/93, em consonância com a referida inscrição no Conselho Municipal de Assistência Social de Belo Horizonte - CMAS-BH</t>
  </si>
  <si>
    <t>2023_IRLAN_MELO_834_01</t>
  </si>
  <si>
    <t>834</t>
  </si>
  <si>
    <t>à Associação Educacional, Cultural e Esportiva do Jardim Felicidade - ABAFE, CNPJ 22.643.837/0001-91, para a execução de atividades socioassistenciais, de acordo com o disposto na Lei Federai n° 8.742/93, em consonância com a referida inscrição no Conselho Municipal de Assistência Social de Belo Horizonte - CMAS-BH</t>
  </si>
  <si>
    <t>2023_IRLAN_MELO_835_01</t>
  </si>
  <si>
    <t>835</t>
  </si>
  <si>
    <t>à Associação Cristã Feminina de Belo Horizonte, CNPJ 18.730.986/0001-10, para a execução de atividades socioassistenciais, de acordo com o disposto na Lei Federai n° 8.742/93, em consonância com a referida inscrição no Conselho Municipal de Assistência Social de Belo Horizonte - CMAS-BH</t>
  </si>
  <si>
    <t>2023_IRLAN_MELO_836_01</t>
  </si>
  <si>
    <t>836</t>
  </si>
  <si>
    <t>ao Clube de Idosos Amigos da Vila Oeste, CNPJ 38.735.338/0001-64, para a execução de atividades socioassistenciais, de acordo com o disposto na Lei Federai n° 8.742/93, em consonância com a referida inscrição no Conselho Municipal de Assistência Social de Belo Horizonte - CMAS-BH</t>
  </si>
  <si>
    <t>2023_IRLAN_MELO_837_01</t>
  </si>
  <si>
    <t>837</t>
  </si>
  <si>
    <t>ao Instituto Mano Down, CNPJ 23.684.121/0001-03, para a execução de atividades socioassistenciais, de acordo com o disposto na Lei Federai n° 8.742/93, em consonância com a referida inscrição no Conselho Municipal de Assistência Social de Belo Horizonte - CMAS-BH</t>
  </si>
  <si>
    <t>Pessoas com Síndrome de Down</t>
  </si>
  <si>
    <t>2023_IRLAN_MELO_838_01</t>
  </si>
  <si>
    <t>838</t>
  </si>
  <si>
    <t>ao Lar dos Idosos Clotilde Martins da Sociedade São Vicente de Paulo, CNPJ 16.599.433/0001-45, para a execução de atividades socioassistenciais, de acordo com o disposto na Lei Federai n° 8.742/93, em consonância com a referida inscrição no Conselho Municipal de Assistência Social de Belo Horizonte - CMAS-BH</t>
  </si>
  <si>
    <t>2023_IZA_LOURENCA_1058_01</t>
  </si>
  <si>
    <t>2023_IZA_LOURENCA</t>
  </si>
  <si>
    <t>1058</t>
  </si>
  <si>
    <t>Iza Lourença</t>
  </si>
  <si>
    <t>ao reforço de dotação orçamentária para pavimentação de ruas na Comunidade Irmã Dorothy</t>
  </si>
  <si>
    <t>2700.15.451.0062.1.230.449051.F.500</t>
  </si>
  <si>
    <t>205000</t>
  </si>
  <si>
    <t>Comunidade Irmã Dorothy</t>
  </si>
  <si>
    <t>2023_IZA_LOURENCA_583_01</t>
  </si>
  <si>
    <t>583</t>
  </si>
  <si>
    <t>à aquisição de equipamentos e material permanente para unidades produtivas habilitadas na regional Barreiro.</t>
  </si>
  <si>
    <t>330000</t>
  </si>
  <si>
    <t>360001.51</t>
  </si>
  <si>
    <t>357487.34</t>
  </si>
  <si>
    <t>CONSTRUTORA CAMPOS E FILHOS LTDA.</t>
  </si>
  <si>
    <t xml:space="preserve"> regional Barreiro</t>
  </si>
  <si>
    <t>2023_IZA_LOURENCA_600_01</t>
  </si>
  <si>
    <t>600</t>
  </si>
  <si>
    <t>ao reforço de dotação orçamentária da política cultural "Cultura Viva".</t>
  </si>
  <si>
    <t>3100.1339201542.930.339039.F.500</t>
  </si>
  <si>
    <t>298425</t>
  </si>
  <si>
    <t>306425</t>
  </si>
  <si>
    <t>2023_IZA_LOURENCA_606_01</t>
  </si>
  <si>
    <t>606</t>
  </si>
  <si>
    <t>ao reforço de dotação orçamentária para o projeto Territórios Criativos - Centros Culturais em rede, a ser realizado nos centros ou espaços culturais de Venda Nova e da zona Norte.</t>
  </si>
  <si>
    <t>3103.13.392.0154.2371.339039.F.500</t>
  </si>
  <si>
    <t>173000</t>
  </si>
  <si>
    <t>2023_IZA_LOURENCA_621_01</t>
  </si>
  <si>
    <t>621</t>
  </si>
  <si>
    <t>à realização de reforma no centro Cultural Venda Nova</t>
  </si>
  <si>
    <t>80760.52</t>
  </si>
  <si>
    <t>centro Cultural Venda Nova</t>
  </si>
  <si>
    <t>2023_IZA_LOURENCA_625_01</t>
  </si>
  <si>
    <t>625</t>
  </si>
  <si>
    <t>à contratação de serviços para instalação so sistema de sonorização do auditório e arena do CRJ-centro de Referencia da Juventude</t>
  </si>
  <si>
    <t>1000.1442201272.819.339039.F.500</t>
  </si>
  <si>
    <t>2819</t>
  </si>
  <si>
    <t>PROMOÇÃO, PROTEÇÃO E DEFESA DE DIREITOS DAS JUVENTUDES</t>
  </si>
  <si>
    <t>304030</t>
  </si>
  <si>
    <t>304013</t>
  </si>
  <si>
    <t>0299</t>
  </si>
  <si>
    <t>CRJ-centro de Referencia da Juventude</t>
  </si>
  <si>
    <t>Jovens</t>
  </si>
  <si>
    <t>2023_IZA_LOURENCA_634_01</t>
  </si>
  <si>
    <t>634</t>
  </si>
  <si>
    <t>255532</t>
  </si>
  <si>
    <t>2023_IZA_LOURENCA_637_01</t>
  </si>
  <si>
    <t>637</t>
  </si>
  <si>
    <t>ao reforço de dotação orçamentária para atendimento no Hospital Sofia Feldman</t>
  </si>
  <si>
    <t>2023_IZA_LOURENCA_638_01</t>
  </si>
  <si>
    <t>638</t>
  </si>
  <si>
    <t>à aquisição de materiais permanentes para a unidade de atendimento à saúde na Regional Barreiro , UPA_Barreiro</t>
  </si>
  <si>
    <t>677000</t>
  </si>
  <si>
    <t>423457.44</t>
  </si>
  <si>
    <t>419881.44</t>
  </si>
  <si>
    <t>B. D. R. COMERCIO DE EQUIPAMENTOS LTDA; PRIME SYSTEM LTDA; ROYAL ATACADISTA E COMERCIO LTDA</t>
  </si>
  <si>
    <t xml:space="preserve">Regional Barreiro </t>
  </si>
  <si>
    <t>UPA_Barreiro</t>
  </si>
  <si>
    <t>2023_IZA_LOURENCA_650_01</t>
  </si>
  <si>
    <t>650</t>
  </si>
  <si>
    <t>à aquisição de materiais permanentes e revitalização para a unidade de atendimento à saúde na Regional Barreiro, no Centro de Saúde Vila -CEMIG - CNES 0022756</t>
  </si>
  <si>
    <t>113382.6</t>
  </si>
  <si>
    <t>105552.6</t>
  </si>
  <si>
    <t>B. D. R. COMERCIO DE EQUIPAMENTOS LTDA; BT COMERCIO INTELIGENTE LTDA; CB ELETRO E INFORMATICA LTDA; D3JF EMPREENDIMENTOS COMERCIAIS LTDA; FORMIGARI COMERCIO DE MOVEIS LTDA; KIENTRO BRASIL LTDA; SUPORTH CIRURGICA PONTA GROSSA LTDA</t>
  </si>
  <si>
    <t>Centro de Saúde Vila -CEMIG - CNES 0022756</t>
  </si>
  <si>
    <t>2023_JANAINA_CARDOSO_1042_01</t>
  </si>
  <si>
    <t>2023_JANAINA_CARDOSO</t>
  </si>
  <si>
    <t>1042</t>
  </si>
  <si>
    <t>Janaina Cardoso</t>
  </si>
  <si>
    <t>ao reforço de dotação orçamentária para o programa de assistência e suporte a equídeos em ocorrências de trânsito e vias públicas</t>
  </si>
  <si>
    <t>2500.1854203062.877.339039.F.500</t>
  </si>
  <si>
    <t>542</t>
  </si>
  <si>
    <t>CONTROLE AMBIENTAL</t>
  </si>
  <si>
    <t>0306</t>
  </si>
  <si>
    <t>BEM ESTAR ANIMAL</t>
  </si>
  <si>
    <t>2877</t>
  </si>
  <si>
    <t>GESTÃO INTERSETORIAL DA POLÍTICA MUNICIPAL DE PROTEÇÃO ANIMAL</t>
  </si>
  <si>
    <t>2023_JANAINA_CARDOSO_1101_01</t>
  </si>
  <si>
    <t>1101</t>
  </si>
  <si>
    <t>ao reforço da dotação orçamentária para o Centro de Esterilização de Cães e Gatos na Regional Barreiro</t>
  </si>
  <si>
    <t>179987.29</t>
  </si>
  <si>
    <t>174280.09</t>
  </si>
  <si>
    <t>Centro de Esterilização de Cães e Gatos na Regional Barreiro</t>
  </si>
  <si>
    <t>caes e gatos</t>
  </si>
  <si>
    <t>2023_JORGE_SANTOS_1069_01</t>
  </si>
  <si>
    <t>2023_JORGE_SANTOS</t>
  </si>
  <si>
    <t>1069</t>
  </si>
  <si>
    <t>Jorge Santos</t>
  </si>
  <si>
    <t>ao asfaltamento da Rua Ilha Grande, no trecho situado entre a Rua das Garoupas e Rua do Gandu, no Bairro Jardim Atlântico</t>
  </si>
  <si>
    <t>Rua Ilha Grande, no trecho situado entre a Rua das Garoupas e Rua do Gandu, no Bairro Jardim Atlântico</t>
  </si>
  <si>
    <t>2023_JORGE_SANTOS_1069_1_01</t>
  </si>
  <si>
    <t>1069.1</t>
  </si>
  <si>
    <t>Ao repasse de recursos para a Associação Brasileira Comunitária para Prevenção do Abuso de Drogas - Abraço, CNPJ 25.572.199/0001-53, para a execução de atividades socioassistenciais</t>
  </si>
  <si>
    <t>750000</t>
  </si>
  <si>
    <t>2023_JORGE_SANTOS_436_01</t>
  </si>
  <si>
    <t>436</t>
  </si>
  <si>
    <t>ao reforço de dotação orçamentária para atendimento ao Hospital Santa Casa de Belo Horizonte, CNES 0027014.</t>
  </si>
  <si>
    <t>135422</t>
  </si>
  <si>
    <t>Hospital Santa Casa de Belo Horizonte, CNES 0027014.</t>
  </si>
  <si>
    <t>2023_JORGE_SANTOS_437_01</t>
  </si>
  <si>
    <t>437</t>
  </si>
  <si>
    <t>ao reforço de dotação orçamentária para atendimento ao Hospital Mario Penna/Luxemburgo, CNES 2200457.</t>
  </si>
  <si>
    <t>Hospital Mario Penna/Luxemburgo, CNES 2200457.</t>
  </si>
  <si>
    <t>2023_JORGE_SANTOS_438_01</t>
  </si>
  <si>
    <t>438</t>
  </si>
  <si>
    <t>ao reforço de dotação orçamentária para atendimento ao Hospital Evangélico de Belo Horizonte, CNES 0026808.</t>
  </si>
  <si>
    <t>Hospital Evangélico de Belo Horizonte, CNES 0026808.</t>
  </si>
  <si>
    <t>2023_JORGE_SANTOS_439_01</t>
  </si>
  <si>
    <t>439</t>
  </si>
  <si>
    <t>ao reforço de dotação orçamentária para atendimento ao Hospital Madre Tereza, CNES 2200422.</t>
  </si>
  <si>
    <t>Hospital Madre Tereza, CNES 2200422.</t>
  </si>
  <si>
    <t>2023_JORGE_SANTOS_440_01</t>
  </si>
  <si>
    <t>440</t>
  </si>
  <si>
    <t>ao reforço de dotação orçamentária para atendimento ao Hospital Sofia Feldman, CNES 0026794.</t>
  </si>
  <si>
    <t xml:space="preserve"> Hospital Sofia Feldman, CNES 0026794.</t>
  </si>
  <si>
    <t>2023_JORGE_SANTOS_441_01</t>
  </si>
  <si>
    <t>441</t>
  </si>
  <si>
    <t>ao reforço de dotação orçamentária para atendimento ao Hospital da Baleia, CNES 2695324.</t>
  </si>
  <si>
    <t>Hospital da Baleia, CNES 2695324.</t>
  </si>
  <si>
    <t>2023_JORGE_SANTOS_442_01</t>
  </si>
  <si>
    <t>442</t>
  </si>
  <si>
    <t>ao reforço de dotação orçamentária para atendimento à Associação Paulo de Tarso, CNES 2695375.</t>
  </si>
  <si>
    <t>Associação Paulo de Tarso, CNES 2695375.</t>
  </si>
  <si>
    <t>2023_JORGE_SANTOS_443_01</t>
  </si>
  <si>
    <t>443</t>
  </si>
  <si>
    <t>à aquisição de materiais de consumo para a unidade de atendimento na UPA Leste</t>
  </si>
  <si>
    <t>79734.7</t>
  </si>
  <si>
    <t xml:space="preserve"> UPA Leste</t>
  </si>
  <si>
    <t>2023_JORGE_SANTOS_444_01</t>
  </si>
  <si>
    <t>444</t>
  </si>
  <si>
    <t>à aquisição de materiais de consumo para a unidade de atendimento à saúde na Regional Norte.</t>
  </si>
  <si>
    <t>Regional Norte.</t>
  </si>
  <si>
    <t>2023_JORGE_SANTOS_445_01</t>
  </si>
  <si>
    <t>445</t>
  </si>
  <si>
    <t>à aquisição de materiais de consumo para a unidade de atendimento à saúde na Regional Pampulha.</t>
  </si>
  <si>
    <t>116933.29</t>
  </si>
  <si>
    <t>Regional Pampulha.</t>
  </si>
  <si>
    <t>2023_JORGE_SANTOS_446_01</t>
  </si>
  <si>
    <t>446</t>
  </si>
  <si>
    <t>à aquisição de materiais de consumo para a unidade de atendimento à saúde na Regional Leste.</t>
  </si>
  <si>
    <t>Regional Leste.</t>
  </si>
  <si>
    <t>2023_JORGE_SANTOS_447_01</t>
  </si>
  <si>
    <t>447</t>
  </si>
  <si>
    <t>ao reforço de dotação orçamentária para atendimento ao Hospital João XXIII, CNES 0026921.</t>
  </si>
  <si>
    <t>121566</t>
  </si>
  <si>
    <t>Hospital João XXIII, CNES 0026921.</t>
  </si>
  <si>
    <t>2023_JORGE_SANTOS_448_01</t>
  </si>
  <si>
    <t>448</t>
  </si>
  <si>
    <t>ao reforço de dotação orçamentária para atendimento ao Hospital Júlia Kubitschek, CNES 0027022.</t>
  </si>
  <si>
    <t>Hospital Júlia Kubitschek, CNES 0027022.</t>
  </si>
  <si>
    <t>2023_JORGE_SANTOS_449_01</t>
  </si>
  <si>
    <t>449</t>
  </si>
  <si>
    <t>ao reforço de dotação orçamentária para atendimento ao Hospital Metropolitano Odilon Behrens, CNES 2192896.</t>
  </si>
  <si>
    <t>Hospital Metropolitano Odilon Behrens, CNES 2192896.</t>
  </si>
  <si>
    <t>2023_JORGE_SANTOS_450_01</t>
  </si>
  <si>
    <t>450</t>
  </si>
  <si>
    <t>ao reforço de dotação orçamentária para atendimento à Maternidade Odete Valadares, CNES 0026972.</t>
  </si>
  <si>
    <t>Maternidade Odete Valadares, CNES 0026972.</t>
  </si>
  <si>
    <t>2023_JORGE_SANTOS_931_01</t>
  </si>
  <si>
    <t>931</t>
  </si>
  <si>
    <t>à revitalização e manutenção da Praça Manoel de Souza Barros, Bairro Castelo, na Regional Pampulha.</t>
  </si>
  <si>
    <t>Praça Manoel de Souza Barros, Bairro Castelo, na Regional Pampulha.</t>
  </si>
  <si>
    <t>2023_JORGE_SANTOS_932_01</t>
  </si>
  <si>
    <t>932</t>
  </si>
  <si>
    <t>2023_JORGE_SANTOS_933_01</t>
  </si>
  <si>
    <t>933</t>
  </si>
  <si>
    <t>ao reforço de dotação orçamentária do Programa Estamos Juntos.</t>
  </si>
  <si>
    <t>112530</t>
  </si>
  <si>
    <t>2023_JORGE_SANTOS_934_01</t>
  </si>
  <si>
    <t>934</t>
  </si>
  <si>
    <t>2023_JOSE_FERREIRA_1084_01</t>
  </si>
  <si>
    <t>2023_JOSE_FERREIRA</t>
  </si>
  <si>
    <t>1084</t>
  </si>
  <si>
    <t>José Ferreira</t>
  </si>
  <si>
    <t>à reforma da UBS Califórnia</t>
  </si>
  <si>
    <t>UBS Califórnia</t>
  </si>
  <si>
    <t>2023_JOSE_FERREIRA_1085_01</t>
  </si>
  <si>
    <t>1085</t>
  </si>
  <si>
    <t>à reforma da UBS Dom Bosco</t>
  </si>
  <si>
    <t>207991.22</t>
  </si>
  <si>
    <t xml:space="preserve"> UBS Dom Bosco</t>
  </si>
  <si>
    <t>2023_JOSE_FERREIRA_1086_01</t>
  </si>
  <si>
    <t>1086</t>
  </si>
  <si>
    <t>Compra e ampliação do parque tecnológico da UBS Pindorama</t>
  </si>
  <si>
    <t>39542.019999999997</t>
  </si>
  <si>
    <t>32624.32</t>
  </si>
  <si>
    <t>32297.02</t>
  </si>
  <si>
    <t>BOSCO FELIPE COMERCIO LTDA; BT COMERCIO INTELIGENTE LTDA; CB ELETRO E INFORMATICA LTDA; FORMIGARI COMERCIO DE MOVEIS LTDA; ML DO BRASIL EMPREENDIMENTOS COMERCIAIS LTDA</t>
  </si>
  <si>
    <t>UBS Pindorama</t>
  </si>
  <si>
    <t>2023_JOSE_FERREIRA_864_01</t>
  </si>
  <si>
    <t>864</t>
  </si>
  <si>
    <t>à implantação e/ou manutenção de equipamento de infraestrutura esportiva e de lazer em estrutura pública municipal.</t>
  </si>
  <si>
    <t>13400</t>
  </si>
  <si>
    <t>2023_JOSE_FERREIRA_865_01</t>
  </si>
  <si>
    <t>865</t>
  </si>
  <si>
    <t>à revitalização e manutenção de espaços urbanos na Regional Noroeste_____</t>
  </si>
  <si>
    <t>350000</t>
  </si>
  <si>
    <t>Regional Noroeste</t>
  </si>
  <si>
    <t>Pendente</t>
  </si>
  <si>
    <t>2023_JOSE_FERREIRA_866_01</t>
  </si>
  <si>
    <t>866</t>
  </si>
  <si>
    <t>à revitalização e manutenção de espaços urbanos na Regional Noroeste _____</t>
  </si>
  <si>
    <t>2700.1648202251.231.449051.F.500</t>
  </si>
  <si>
    <t>149901.92000000001</t>
  </si>
  <si>
    <t>2023_JOSE_FERREIRA_867_01</t>
  </si>
  <si>
    <t>867</t>
  </si>
  <si>
    <t>à instalação de equipamentos na cidade redutor de velocidade (quebra molas)</t>
  </si>
  <si>
    <t>3303.1100.26.452.60.2837.00XX.33903963.1.500</t>
  </si>
  <si>
    <t>124208.55</t>
  </si>
  <si>
    <t>2023_JOSE_FERREIRA_868_01</t>
  </si>
  <si>
    <t>868</t>
  </si>
  <si>
    <t>58518.080000000002</t>
  </si>
  <si>
    <t>2023_JOSE_FERREIRA_869_01</t>
  </si>
  <si>
    <t>869</t>
  </si>
  <si>
    <t>2023_JOSE_FERREIRA_870_01</t>
  </si>
  <si>
    <t>870</t>
  </si>
  <si>
    <t>ao reforço de dotação orçamentária para manutenção do campo</t>
  </si>
  <si>
    <t>322000</t>
  </si>
  <si>
    <t>51150</t>
  </si>
  <si>
    <t>2023_JOSE_FERREIRA_871_01</t>
  </si>
  <si>
    <t>871</t>
  </si>
  <si>
    <t>à construção do banheiro na área externa da Upa Pampulha</t>
  </si>
  <si>
    <t>2302.1030201142.893.319011.S.500</t>
  </si>
  <si>
    <t>319011</t>
  </si>
  <si>
    <t>Pessoal e encargos sociais</t>
  </si>
  <si>
    <t>Upa Pampulha</t>
  </si>
  <si>
    <t>2023_JOSE_FERREIRA_872_01</t>
  </si>
  <si>
    <t>872</t>
  </si>
  <si>
    <t>à manutenção de unidades de atendimento à saúde</t>
  </si>
  <si>
    <t>2700.0412202331.219.339030.F.500</t>
  </si>
  <si>
    <t>447635.41</t>
  </si>
  <si>
    <t>441869.13</t>
  </si>
  <si>
    <t>309683.52</t>
  </si>
  <si>
    <t>2023_JOSE_FERREIRA_873_01</t>
  </si>
  <si>
    <t>873</t>
  </si>
  <si>
    <t>2023_JOSE_FERREIRA_874_01</t>
  </si>
  <si>
    <t>874</t>
  </si>
  <si>
    <t>2023_JOSE_FERREIRA_875_01</t>
  </si>
  <si>
    <t>875</t>
  </si>
  <si>
    <t>à manutenção de unidades de atendimento à saúde CERSAM NOROESTE</t>
  </si>
  <si>
    <t>152000</t>
  </si>
  <si>
    <t>unidades de atendimento à saúde CERSAM NOROESTE</t>
  </si>
  <si>
    <t>2023_JOSE_FERREIRA_876_01</t>
  </si>
  <si>
    <t>876</t>
  </si>
  <si>
    <t>ao reforço de dotação orçamentária para atendimento ao Complexo Hospitalar São Francisco</t>
  </si>
  <si>
    <t>2023_JOSE_FERREIRA_877_01</t>
  </si>
  <si>
    <t>877</t>
  </si>
  <si>
    <t>ao reforço de dotação orçamentária para as unidades de atendimento à saúde no Centro de Referência em Saúde Mental Infanto-Juvenil noroeste</t>
  </si>
  <si>
    <t>2302.1030201172.891.335043.S.500</t>
  </si>
  <si>
    <t>110000</t>
  </si>
  <si>
    <t>Centro de Referência em Saúde Mental Infanto-Juvenil noroeste</t>
  </si>
  <si>
    <t>2023_JOSE_FERREIRA_878_01</t>
  </si>
  <si>
    <t>878</t>
  </si>
  <si>
    <t xml:space="preserve"> Hospital Metropolitano Odilon Behrens</t>
  </si>
  <si>
    <t>2023_JUNINHO_LOS_HERMANOS_1070_01</t>
  </si>
  <si>
    <t>2023_JUNINHO_LOS_HERMANOS</t>
  </si>
  <si>
    <t>1070</t>
  </si>
  <si>
    <t>Juninho Los Hermanos</t>
  </si>
  <si>
    <t>ao reforço de dotação orçamentária para obras de revitalização e contenção ao longo da Avenida Ivaí, no Bairro Dom Bosco, da Regional Noroeste desta capital</t>
  </si>
  <si>
    <t>Avenida Ivaí, no Bairro Dom Bosco, da Regional Noroeste</t>
  </si>
  <si>
    <t>2023_JUNINHO_LOS_HERMANOS_411_01</t>
  </si>
  <si>
    <t>411</t>
  </si>
  <si>
    <t>aos insumos necessários para realização dos eventos de adoção e manutenção de cães em lar temporário</t>
  </si>
  <si>
    <t>56316.5</t>
  </si>
  <si>
    <t>caes</t>
  </si>
  <si>
    <t>2023_JUNINHO_LOS_HERMANOS_412_01</t>
  </si>
  <si>
    <t>412</t>
  </si>
  <si>
    <t>ao reforço de dotação orçamentária para atendimento ao Centro de Saúde Dom Bosco, localizado na Rua Olinto Magalhães, nº 1.939, no bairro Dom Bosco, na Regional Noroeste</t>
  </si>
  <si>
    <t>Rua Olinto Magalhães, nº 1.939, no bairro Dom Bosco, na Regional Noroeste</t>
  </si>
  <si>
    <t>Centro de Saúde Dom Bosco</t>
  </si>
  <si>
    <t>2023_JUNINHO_LOS_HERMANOS_413_01</t>
  </si>
  <si>
    <t>413</t>
  </si>
  <si>
    <t>ao reforço de dotação orçamentária para atendimento ao Centro de Saúde Califórnia, localizado na Avenida das Castanholas, nº 277, no bairro Califórnia, na Regional Noroeste</t>
  </si>
  <si>
    <t>Avenida das Castanholas, nº 277, no bairro Califórnia, na Regional Noroeste</t>
  </si>
  <si>
    <t>Centro de Saúde Califórnia</t>
  </si>
  <si>
    <t>2023_JUNINHO_LOS_HERMANOS_414_01</t>
  </si>
  <si>
    <t>414</t>
  </si>
  <si>
    <t>ao reforço de dotação orçamentária para atendimento ao Centro de Saúde Jardim Filadélfia, localizado na Rua Caitité, nº 319, no bairro Jardim Filadélfia, na Regional Noroeste</t>
  </si>
  <si>
    <t>Rua Caitité, nº 319, no bairro Jardim Filadélfia, na Regional Noroeste</t>
  </si>
  <si>
    <t>Centro de Saúde Jardim Filadélfia</t>
  </si>
  <si>
    <t>2023_JUNINHO_LOS_HERMANOS_415_01</t>
  </si>
  <si>
    <t>415</t>
  </si>
  <si>
    <t>ao reforço de dotação orçamentária para atendimento ao Centro de Saúde São José, localizado na Rua Violeta de Melo, nº 655, no bairro Jardim São José, na Regional Pampulha</t>
  </si>
  <si>
    <t>97805.89</t>
  </si>
  <si>
    <t>Rua Violeta de Melo, nº 655, no bairro Jardim São José, na Regional Pampulha</t>
  </si>
  <si>
    <t>Centro de Saúde São José</t>
  </si>
  <si>
    <t>2023_JUNINHO_LOS_HERMANOS_416_01</t>
  </si>
  <si>
    <t>416</t>
  </si>
  <si>
    <t>ao reforço de dotação orçamentária para atendimento ao Centro de Saúde Padre Tiago, localizado na Avenida João XXIII, nº 1.233, no bairro Alípio de Melo, na Regional Pampulha</t>
  </si>
  <si>
    <t>Avenida João XXIII, nº 1.233, no bairro Alípio de Melo, na Regional Pampulha</t>
  </si>
  <si>
    <t>Centro de Saúde Padre Tiago</t>
  </si>
  <si>
    <t>2023_JUNINHO_LOS_HERMANOS_417_01</t>
  </si>
  <si>
    <t>417</t>
  </si>
  <si>
    <t>ao reforço de dotação orçamentária para atendimento ao Centro de Saúde Pindorama - Elza Martins, localizado na Rua Rutilo, nº 96, no bairro Pindorama, na Regional Noroeste</t>
  </si>
  <si>
    <t>Rua Rutilo, nº 96, no bairro Pindorama, na Regional Noroeste</t>
  </si>
  <si>
    <t>Centro de Saúde Pindorama - Elza Martins</t>
  </si>
  <si>
    <t>2023_JUNINHO_LOS_HERMANOS_418_01</t>
  </si>
  <si>
    <t>418</t>
  </si>
  <si>
    <t>ao reforço de dotação orçamentária para atendimento ao Centro de Saúde Glória, localizado na Rua Eneida, nº 955, no bairro Glória, na Regional Noroeste</t>
  </si>
  <si>
    <t>Rua Eneida, nº 955, no bairro Glória, na Regional Noroeste</t>
  </si>
  <si>
    <t>Centro de Saúde Glória</t>
  </si>
  <si>
    <t>2023_JUNINHO_LOS_HERMANOS_419_01</t>
  </si>
  <si>
    <t>419</t>
  </si>
  <si>
    <t>ao reforço de dotação orçamentária para atendimento ao Centro de Saúde Coqueiros, localizado na Rua Eneida, nº 1.583, no bairro Coqueiros, na Regional Noroeste</t>
  </si>
  <si>
    <t>Rua Eneida, nº 1.583, no bairro Coqueiros, na Regional Noroeste</t>
  </si>
  <si>
    <t>Centro de Saúde Coqueiros</t>
  </si>
  <si>
    <t>2023_JUNINHO_LOS_HERMANOS_420_01</t>
  </si>
  <si>
    <t>420</t>
  </si>
  <si>
    <t>ao reforço de dotação orçamentária para atendimento ao Centro de Saúde Serrano, localizado na Rua Tocantins, nº 471, no bairro Serrano, na Regional Pampulha</t>
  </si>
  <si>
    <t>Rua Tocantins, nº 471, no bairro Serrano, na Regional Pampulha</t>
  </si>
  <si>
    <t>Centro de Saúde Serrano</t>
  </si>
  <si>
    <t>2023_JUNINHO_LOS_HERMANOS_421_01</t>
  </si>
  <si>
    <t>421</t>
  </si>
  <si>
    <t>ao reforço de dotação orçamentária para atendimento ao Centro de Saúde Jardim Alvorada, localizado na Rua Engenho do Sol, nº 580, no bairro Engenho Nogueira, na Regional Pampulha</t>
  </si>
  <si>
    <t>Rua Engenho do Sol, nº 580, no bairro Engenho Nogueira, na Regional Pampulha</t>
  </si>
  <si>
    <t>Centro de Saúde Jardim Alvorada</t>
  </si>
  <si>
    <t>2023_JUNINHO_LOS_HERMANOS_422_01</t>
  </si>
  <si>
    <t>ao reforço de dotação orçamentária para atendimento ao Centro de Saúde Confisco, localizado na Rua Polycarpo de Magalhães Viotti, nº 261, esquina com a Avenida Professor Clóvis Salgado, nº 710, no bairro Bandeirantes, na Regional Pampulha</t>
  </si>
  <si>
    <t>Rua Polycarpo de Magalhães Viotti, nº 261, esquina com a Avenida Professor Clóvis Salgado, nº 710, no bairro Bandeirantes, na Regional Pampulha</t>
  </si>
  <si>
    <t>Centro de Saúde Confisco</t>
  </si>
  <si>
    <t>2023_JUNINHO_LOS_HERMANOS_423_01</t>
  </si>
  <si>
    <t>423</t>
  </si>
  <si>
    <t>ao reforço de dotação orçamentária para atendimento ao Centro de Saúde Santa Terezinha, localizado na Rua Senador Virgílio Távora, nº 157, no bairro Santa Terezinha, na Regional Pampulha</t>
  </si>
  <si>
    <t>Rua Senador Virgílio Távora, nº 157, no bairro Santa Terezinha, na Regional Pampulha</t>
  </si>
  <si>
    <t>Centro de Saúde Santa Terezinha</t>
  </si>
  <si>
    <t>2023_JUNINHO_LOS_HERMANOS_424_01</t>
  </si>
  <si>
    <t>424</t>
  </si>
  <si>
    <t>ao reforço de dotação orçamentária para atendimento ao Hospital Alberto Cavalcanti, localizado na Rua Camilo de Brito, nº 636, no bairro Padre Eustáquio, na Regional Noroeste</t>
  </si>
  <si>
    <t>Rua Camilo de Brito, nº 636, no bairro Padre Eustáquio, na Regional Noroeste</t>
  </si>
  <si>
    <t>Hospital Alberto Cavalcanti</t>
  </si>
  <si>
    <t>2023_JUNINHO_LOS_HERMANOS_425_01</t>
  </si>
  <si>
    <t>425</t>
  </si>
  <si>
    <t>ao reforço de dotação orçamentária para atendimento à UPA Noroeste, localizada na Rua Pereira Passos, nº 30, no bairro São Cristóvão, na Regional Noroeste</t>
  </si>
  <si>
    <t>Rua Pereira Passos, nº 30, no bairro São Cristóvão, na Regional Noroeste</t>
  </si>
  <si>
    <t>2023_JUNINHO_LOS_HERMANOS_426_01</t>
  </si>
  <si>
    <t>426</t>
  </si>
  <si>
    <t>ao reforço de dotação orçamentária para atendimento ao Hospital Metropolitano Odilon Behrens, localizado na Rua Formiga, nº 50, no bairro São Cristóvão da Regional Noroeste</t>
  </si>
  <si>
    <t>Rua Formiga, nº 50, no bairro São Cristóvão da Regional Noroeste</t>
  </si>
  <si>
    <t>2023_JUNINHO_LOS_HERMANOS_427_01</t>
  </si>
  <si>
    <t>427</t>
  </si>
  <si>
    <t>ao recapeamento asfáltico na Regional Noroeste</t>
  </si>
  <si>
    <t>612532</t>
  </si>
  <si>
    <t>2023_JUNINHO_LOS_HERMANOS_428_01</t>
  </si>
  <si>
    <t>428</t>
  </si>
  <si>
    <t>2023_JUNINHO_LOS_HERMANOS_429_01</t>
  </si>
  <si>
    <t>429</t>
  </si>
  <si>
    <t>2023_JUNINHO_LOS_HERMANOS_430_01</t>
  </si>
  <si>
    <t>430</t>
  </si>
  <si>
    <t>ao reforço de dotação orçamentária para obras de manutenção de rede de drenagem na Rua Elias Saliba, no bairro Novo Glória, da Regional Noroeste</t>
  </si>
  <si>
    <t>76807.69</t>
  </si>
  <si>
    <t>Rua Elias Saliba, no bairro Novo Glória, da Regional Noroeste</t>
  </si>
  <si>
    <t>2023_JUNINHO_LOS_HERMANOS_431_01</t>
  </si>
  <si>
    <t>431</t>
  </si>
  <si>
    <t>ao reforço de dotação orçamentária para obras de revitalização de praças, na Regional Pampulha</t>
  </si>
  <si>
    <t>58600</t>
  </si>
  <si>
    <t>58569.279999999999</t>
  </si>
  <si>
    <t>2023_JUNINHO_LOS_HERMANOS_432_01</t>
  </si>
  <si>
    <t>432</t>
  </si>
  <si>
    <t>ao reforço de dotação orçamentária para obras de revitalização de praças, na Regional Noroeste</t>
  </si>
  <si>
    <t>42954.89</t>
  </si>
  <si>
    <t>2023_JUNINHO_LOS_HERMANOS_433_01</t>
  </si>
  <si>
    <t>433</t>
  </si>
  <si>
    <t>ao reforço de dotação orçamentária para obras de reestruturação da pista de caminhada e ciclofaixa na Avenida Amintas Jacques de Moraes, na Regional Noroeste</t>
  </si>
  <si>
    <t>Avenida Amintas Jacques de Moraes, na Regional Noroeste</t>
  </si>
  <si>
    <t>2023_JUNINHO_LOS_HERMANOS_434_01</t>
  </si>
  <si>
    <t>434</t>
  </si>
  <si>
    <t>ao reforço de dotação orçamentária para instalação de playgrounds em praças públicas, da Regional Pampulha</t>
  </si>
  <si>
    <t>53200</t>
  </si>
  <si>
    <t>2023_JUNINHO_LOS_HERMANOS_435_01</t>
  </si>
  <si>
    <t>435</t>
  </si>
  <si>
    <t>ao reforço de dotação orçamentária para instalação de playgrounds em praças públicas, da Regional Noroeste</t>
  </si>
  <si>
    <t>30800</t>
  </si>
  <si>
    <t>2023_LEO_1013_01</t>
  </si>
  <si>
    <t>2023_LEO</t>
  </si>
  <si>
    <t>1013</t>
  </si>
  <si>
    <t>Léo</t>
  </si>
  <si>
    <t>à aquisição de uma máquina de hemodiálise para o Centro de Nefrologia do Hospital da Baleia/Fundação Benjamin Guimarães, CNES 2695324 [situado na Rua Juramento, nº 1464, bairro Saudade, CEP: 30285-408, Belo Horizonte - MG]</t>
  </si>
  <si>
    <t xml:space="preserve"> Rua Juramento, nº 1464, bairro Saudade</t>
  </si>
  <si>
    <t>Centro de Nefrologia do Hospital da Baleia/Fundação Benjamin Guimarães, CNES 2695324</t>
  </si>
  <si>
    <t>2023_LEO_1015_01</t>
  </si>
  <si>
    <t>1015</t>
  </si>
  <si>
    <t>ao reforço de dotação orçamentária para execução de projetos para regularização da edificação do Hospital Santa Casa de Belo Horizonte, CNES 0027014.</t>
  </si>
  <si>
    <t>2023_LEO_1016_01</t>
  </si>
  <si>
    <t>1016</t>
  </si>
  <si>
    <t>à aquisição de equipamentos e materiais permanentes para o Centro de Saúde Padre Fernando de Melo, localizado na Rua Conceição Vidigal Paulucci, nº 150, bairro Palmares.</t>
  </si>
  <si>
    <t>138004</t>
  </si>
  <si>
    <t>111510</t>
  </si>
  <si>
    <t>87510</t>
  </si>
  <si>
    <t>BENZER TECNOLOGIA LTDA; DLS COMERCIO LTDA; DORATEC COMERCIO DE SUPRIMENTOS DE INFORMATICA LTDA; EXPANSAO E COMMERCE LTDA; LITS BRASIL LTDA; M DO C M OLIVEIRA MOVEIS; PRIMER SOLUCOES LTDA</t>
  </si>
  <si>
    <t>Rua Conceição Vidigal Paulucci, nº 150, bairro Palmares.</t>
  </si>
  <si>
    <t>Centro de Saúde Padre Fernando de Melo</t>
  </si>
  <si>
    <t>2023_LEO_1017_01</t>
  </si>
  <si>
    <t>1017</t>
  </si>
  <si>
    <t>à reforma e ampliação do espaço físico do Centro de Saúde Capitão Eduardo, situado na Rua Ângela Benareges, nº 10, bairro Capitão Eduardo, incluindo a sala de Odontologia</t>
  </si>
  <si>
    <t>168087.09</t>
  </si>
  <si>
    <t>271477.55</t>
  </si>
  <si>
    <t>158142.84</t>
  </si>
  <si>
    <t>Rua Ângela Benareges, nº 10, bairro Capitão Eduardo</t>
  </si>
  <si>
    <t>Centro de Saúde Capitão Eduardo</t>
  </si>
  <si>
    <t>2023_LEO_1018_01</t>
  </si>
  <si>
    <t>1018</t>
  </si>
  <si>
    <t>ao reforço de dotação orçamentária destinado à elaboração de projetos e obras de saneamento no bairro Aparecida, Regional Noroeste.</t>
  </si>
  <si>
    <t>2700.1751200661.203.449051.F.500</t>
  </si>
  <si>
    <t>0066</t>
  </si>
  <si>
    <t>SANEAMENTO E TRATAMENTO DE FUNDOS DE VALE</t>
  </si>
  <si>
    <t>1203</t>
  </si>
  <si>
    <t>SANEAMENTO INTEGRADO; DRENAGEM E TRATAMENTO DE FUNDOS DE VALE</t>
  </si>
  <si>
    <t>495789.38</t>
  </si>
  <si>
    <t>HIDROSTUDIO ENGENHARIA S/S</t>
  </si>
  <si>
    <t>bairro Aparecida, Regional Noroeste.</t>
  </si>
  <si>
    <t>2023_LEO_1021_01</t>
  </si>
  <si>
    <t>1021</t>
  </si>
  <si>
    <t>à realização de reformas na quadra esportiva do Conjunto Esperança, situada na Rua Atlanta, s/n - 2, Esperança, Barreiro.</t>
  </si>
  <si>
    <t>281197.2</t>
  </si>
  <si>
    <t>Rua Atlanta, s/n - 2, Esperança, Barreiro.</t>
  </si>
  <si>
    <t>Conjunto Esperança</t>
  </si>
  <si>
    <t>2023_LEO_1043_01</t>
  </si>
  <si>
    <t>1043</t>
  </si>
  <si>
    <t>à manutenção, ampliação e revitalização do espaço físico do Centro de Saúde Vila Cemig, situado na R. Coletivo, 68 - Vila Cemig, Belo Horizonte, CEP 30624-350</t>
  </si>
  <si>
    <t>219500</t>
  </si>
  <si>
    <t>209979.73</t>
  </si>
  <si>
    <t>R. Coletivo, 68 - Vila Cemig, Belo Horizonte, CEP 30624-350</t>
  </si>
  <si>
    <t>Centro de Saúde Vila Cemig</t>
  </si>
  <si>
    <t>2023_LEO_1044_01</t>
  </si>
  <si>
    <t>1044</t>
  </si>
  <si>
    <t>à manutenção, ampliação e revitalização do espaço físico do Centro de Saúde Nova Yorque, localizado na Rua Wilton Marques Pereira, nº 10, bairro Nova York, Belo Horizonte, CEP 31650-585.</t>
  </si>
  <si>
    <t>67399.210000000006</t>
  </si>
  <si>
    <t>99860.97</t>
  </si>
  <si>
    <t>Rua Wilton Marques Pereira, nº 10, bairro Nova York, Belo Horizonte, CEP 31650-585.</t>
  </si>
  <si>
    <t>Centro de Saúde Nova Yorque</t>
  </si>
  <si>
    <t>2023_LEO_1045_01</t>
  </si>
  <si>
    <t>1045</t>
  </si>
  <si>
    <t>à manutenção, ampliação e revitalização do espaço físico do Centro de Saúde Primeiro de Maio, situado na R. Volts, 81 - Primeiro de Maio, Belo Horizonte - MG, 31810-000.</t>
  </si>
  <si>
    <t>R. Volts, 81 - Primeiro de Maio, Belo Horizonte - MG, 31810-000.</t>
  </si>
  <si>
    <t>Centro de Saúde Primeiro de Maio</t>
  </si>
  <si>
    <t>2023_LEO_1046_01</t>
  </si>
  <si>
    <t>1046</t>
  </si>
  <si>
    <t>2023_LEO_1047_01</t>
  </si>
  <si>
    <t>1047</t>
  </si>
  <si>
    <t>à manutenção, ampliação e revitalização do espaço físico do Centro de Saúde Jardim Europa, situado na R. Edimburgo, 140 - Jardim Europa, Belo Horizonte - MG, 31620-360.</t>
  </si>
  <si>
    <t>134494.07999999999</t>
  </si>
  <si>
    <t>R. Edimburgo, 140 - Jardim Europa, Belo Horizonte - MG, 31620-360.</t>
  </si>
  <si>
    <t>Centro de Saúde Jardim Europa</t>
  </si>
  <si>
    <t>2023_LEO_1048_01</t>
  </si>
  <si>
    <t>1048</t>
  </si>
  <si>
    <t>2023_LEO_1059_01</t>
  </si>
  <si>
    <t>1059</t>
  </si>
  <si>
    <t>à manutenção, ampliação e revitalização do espaço físico do Centro de Saúde Marcelo Pontel Gomes, localizado na Rua Branca, nº 15, Jardim Vitória, Belo Horizonte, CEP 31.970-685</t>
  </si>
  <si>
    <t>195000</t>
  </si>
  <si>
    <t>113115.76</t>
  </si>
  <si>
    <t>113114.06</t>
  </si>
  <si>
    <t>Rua Branca, nº 15, Jardim Vitória, Belo Horizonte, CEP 31.970-685</t>
  </si>
  <si>
    <t>Centro de Saúde Marcelo Pontel Gomes</t>
  </si>
  <si>
    <t>2023_MACAE_EVARISTO_1066_01</t>
  </si>
  <si>
    <t>2023_MACAE_EVARISTO</t>
  </si>
  <si>
    <t>1066</t>
  </si>
  <si>
    <t>Macaé Evaristo</t>
  </si>
  <si>
    <t>ao reforço de dotação orçamentária para compra de equipamentos de cozinha do restaurante popular</t>
  </si>
  <si>
    <t>1010.2369201322.307.449052.F.500</t>
  </si>
  <si>
    <t>692</t>
  </si>
  <si>
    <t>COMERCIALIZAÇÃO</t>
  </si>
  <si>
    <t>0132</t>
  </si>
  <si>
    <t>SEGURANÇA ALIMENTAR E NUTRICIONAL NA PERSPECTIVA DO DIREITO E DA ASSISTÊNCIA ALIMENTAR</t>
  </si>
  <si>
    <t>2307</t>
  </si>
  <si>
    <t>GESTÃO DOS RESTAURANTES E REFEITÓRIOS POPULARES</t>
  </si>
  <si>
    <t>85000</t>
  </si>
  <si>
    <t>84840</t>
  </si>
  <si>
    <t>1301</t>
  </si>
  <si>
    <t>2023_MACAE_EVARISTO_465_01</t>
  </si>
  <si>
    <t>465</t>
  </si>
  <si>
    <t>Ao reforço de dotação orçamentária do projeto cultural para levar o samba aos bairros da cidade</t>
  </si>
  <si>
    <t>2023_MACAE_EVARISTO_467_01</t>
  </si>
  <si>
    <t>467</t>
  </si>
  <si>
    <t>à realização de evento de debate da situação dos imigrantes</t>
  </si>
  <si>
    <t>2023_MACAE_EVARISTO_470_01</t>
  </si>
  <si>
    <t>470</t>
  </si>
  <si>
    <t>Reforço de dotação orçamentária para o Programa Superar.</t>
  </si>
  <si>
    <t>3000.2781201012.933.339030.F.500</t>
  </si>
  <si>
    <t>2933</t>
  </si>
  <si>
    <t>76000</t>
  </si>
  <si>
    <t>75837.17</t>
  </si>
  <si>
    <t>75921.320000000007</t>
  </si>
  <si>
    <t>2023_MACAE_EVARISTO_471_01</t>
  </si>
  <si>
    <t>471</t>
  </si>
  <si>
    <t>Reforço de dotação orçamentária ao COP-BH.</t>
  </si>
  <si>
    <t>2100.1100.06.122.302.2.897.449052.S.500</t>
  </si>
  <si>
    <t>2897</t>
  </si>
  <si>
    <t>GESTÃO INTEGRADA DO COP-BH</t>
  </si>
  <si>
    <t>40300</t>
  </si>
  <si>
    <t>2023_MACAE_EVARISTO_534_01</t>
  </si>
  <si>
    <t>534</t>
  </si>
  <si>
    <t>Ao reforço de dotação orçamentária para atendimento ao Hospital Mario Penna/Luxemburgo</t>
  </si>
  <si>
    <t xml:space="preserve"> Hospital Mario Penna/Luxemburgo</t>
  </si>
  <si>
    <t>2023_MACAE_EVARISTO_535_01</t>
  </si>
  <si>
    <t>535</t>
  </si>
  <si>
    <t>Ao reforço de dotação orçamentária para atendimento ao Hospital Sofia Feldman</t>
  </si>
  <si>
    <t>2023_MACAE_EVARISTO_536_01</t>
  </si>
  <si>
    <t>536</t>
  </si>
  <si>
    <t>Ao reforço de dotação orçamentária para atendimento ao Hospital da Baleia</t>
  </si>
  <si>
    <t>2023_MACAE_EVARISTO_537_01</t>
  </si>
  <si>
    <t>537</t>
  </si>
  <si>
    <t>Ao reforço de dotação orçamentária para atendimento ao Hospital Metropolitano Doutor Célio de Castro</t>
  </si>
  <si>
    <t>2023_MACAE_EVARISTO_538_01</t>
  </si>
  <si>
    <t>538</t>
  </si>
  <si>
    <t>Ao reforço de dotação orçamentária para atendimento ao Hospital Risoleta Tolentino Neves</t>
  </si>
  <si>
    <t>2023_MACAE_EVARISTO_539_01</t>
  </si>
  <si>
    <t>539</t>
  </si>
  <si>
    <t>Ao reforço de dotação orçamentária para atendimento ao Hospital Evangélico de Belo Horizonte</t>
  </si>
  <si>
    <t>2023_MACAE_EVARISTO_540_01</t>
  </si>
  <si>
    <t>540</t>
  </si>
  <si>
    <t>Ao reforço de dotação orçamentária para atendimento ao Hospital Santa Casa de Belo Horizonte</t>
  </si>
  <si>
    <t>2023_MACAE_EVARISTO_541_01</t>
  </si>
  <si>
    <t>Reforço dotação orçamentária para o custeio do NUPAD ligado ao SUS pela faculdade de Medicina conforme DELIBERAÇÃO CIB-SUS/MG No 3.526, DE 22 DE SETEMBRO DE 2021 do Estado de Minas Gerais e conforme processo número 01.032.760.22.09 que trata no município a situação da UFMG/SUS e sua interveniente: FUNDEP.</t>
  </si>
  <si>
    <t>Nupad - Núcleo de Ações e Pesquisa em Apoio Diagnóstico da Faculdade de Medicina da UFMG</t>
  </si>
  <si>
    <t>recém-nascidos</t>
  </si>
  <si>
    <t>2023_MACAE_EVARISTO_542_01</t>
  </si>
  <si>
    <t>Ao reforço o orçamentário para custeio do CERSAMI CEPAI/ FHEMIG, da adolescência e infância.</t>
  </si>
  <si>
    <t>2023_MACAE_EVARISTO_543_01</t>
  </si>
  <si>
    <t>543</t>
  </si>
  <si>
    <t>Reforço orçamentário da CERSAMI noroeste, Rua: Camaruji.,10, Padre Eustáquio</t>
  </si>
  <si>
    <t>Rua: Camaruji.,10, Padre Eustáquio</t>
  </si>
  <si>
    <t>CESRAMi Noroeste (Rua: Camaruji.,10, Padre Eustáquio)</t>
  </si>
  <si>
    <t>2023_MACAE_EVARISTO_544_01</t>
  </si>
  <si>
    <t>544</t>
  </si>
  <si>
    <t>Para reforço orçamentário ao custeio do CERSAMI Nordeste, Praça Muqui,s/n, Renascença.</t>
  </si>
  <si>
    <t>Praça Muqui,s/n, Renascença.</t>
  </si>
  <si>
    <t>CERSAMI Nordeste, Praça Muqui,s/n, Renascença.</t>
  </si>
  <si>
    <t>2023_MACAE_EVARISTO_545_01</t>
  </si>
  <si>
    <t>545</t>
  </si>
  <si>
    <t>Para custeio do Centro de Saúde Pompéia</t>
  </si>
  <si>
    <t>Centro de Saúde Pompéia</t>
  </si>
  <si>
    <t>2023_MACAE_EVARISTO_546_01</t>
  </si>
  <si>
    <t>546</t>
  </si>
  <si>
    <t>Ao custeio do Centro de Saúde Marco Antônio Menezes na Av. Petrolina</t>
  </si>
  <si>
    <t>Av. Petrolina</t>
  </si>
  <si>
    <t xml:space="preserve">Centro de Saúde Marco Antônio Menezes </t>
  </si>
  <si>
    <t>2023_MACAE_EVARISTO_548_01</t>
  </si>
  <si>
    <t>548</t>
  </si>
  <si>
    <t>Reforço Orçamentário para a UPA Oeste.</t>
  </si>
  <si>
    <t>94782.080000000002</t>
  </si>
  <si>
    <t>2023_MACAE_EVARISTO_549_01</t>
  </si>
  <si>
    <t>549</t>
  </si>
  <si>
    <t>Reforço Orçamentário para a UPA Leste.</t>
  </si>
  <si>
    <t>2023_MACAE_EVARISTO_550_01</t>
  </si>
  <si>
    <t>550</t>
  </si>
  <si>
    <t>Reforço Orçamentário para a UPA Nordeste.</t>
  </si>
  <si>
    <t>UPA Nordeste</t>
  </si>
  <si>
    <t>2023_MACAE_EVARISTO_551_01</t>
  </si>
  <si>
    <t>551</t>
  </si>
  <si>
    <t>Para a premiação dos congados de Belo Horizonte</t>
  </si>
  <si>
    <t>430000</t>
  </si>
  <si>
    <t>429999.95</t>
  </si>
  <si>
    <t>Grupos e comunidades congadeiras</t>
  </si>
  <si>
    <t>2023_MACAE_EVARISTO_552_01</t>
  </si>
  <si>
    <t>552</t>
  </si>
  <si>
    <t>ao reforço de dotação orçamentária para a realização do Seminário da Capoeira de Belo Horizonte</t>
  </si>
  <si>
    <t>2023_MACAE_EVARISTO_553_01</t>
  </si>
  <si>
    <t>553</t>
  </si>
  <si>
    <t>Ao reforço de dotação orçamentária para realização de apresentações de Danças Afro nos bairros de Belo Horizonte</t>
  </si>
  <si>
    <t>afro</t>
  </si>
  <si>
    <t>2023_MACAE_EVARISTO_554_01</t>
  </si>
  <si>
    <t>554</t>
  </si>
  <si>
    <t>Reforço dotação orçamentária para realização de estudo sobre os jovens de Belo Horizonte: demandas e necessidades.</t>
  </si>
  <si>
    <t>96900</t>
  </si>
  <si>
    <t>INSTITUTO DH:PROMOCAO, PESQUISA E INTERVENCAO EM DIREITOS HUMANOS E CIDADANIA</t>
  </si>
  <si>
    <t>2023_MACAE_EVARISTO_555_01</t>
  </si>
  <si>
    <t>555</t>
  </si>
  <si>
    <t>Reforço de dotação para custeio do plantio de plantas medicinais em praças, parques,àreas verdes e canteiros</t>
  </si>
  <si>
    <t>12320.15</t>
  </si>
  <si>
    <t>2023_MACAE_EVARISTO_556_01</t>
  </si>
  <si>
    <t>556</t>
  </si>
  <si>
    <t>Reforço de dotação para a contratação de jardineiros especializados no plantio e plantas medicinais nos parques, jardins, canteiros e áreas verdes da cidade</t>
  </si>
  <si>
    <t>2505.1854100732.581.339037.F.500</t>
  </si>
  <si>
    <t>2023_MACAE_EVARISTO_557_01</t>
  </si>
  <si>
    <t>557</t>
  </si>
  <si>
    <t>Aquisição de kits de literatura infantil indígena e de meio ambiente para a rede própria</t>
  </si>
  <si>
    <t>2200.1236501672.386.339030.F.500</t>
  </si>
  <si>
    <t>2386</t>
  </si>
  <si>
    <t>PROMOÇÃO, PROTEÇÃO E DEFESA DE DIREITOS DE REPARAÇÃO E IGUALDADE RACIAL</t>
  </si>
  <si>
    <t>320000</t>
  </si>
  <si>
    <t>319991</t>
  </si>
  <si>
    <t>2023_MACAE_EVARISTO_558_01</t>
  </si>
  <si>
    <t>558</t>
  </si>
  <si>
    <t>Ao custeio do projeto educacional "Quizomba", desenvolvido na Escola Municipal Secretário Humberto Almeida</t>
  </si>
  <si>
    <t>2200.12.361.0168.2.046.339039.F.500 (UA 0600)</t>
  </si>
  <si>
    <t xml:space="preserve"> Escola Municipal Secretário Humberto Almeida</t>
  </si>
  <si>
    <t>criancas; quilombolas</t>
  </si>
  <si>
    <t>2023_MACAE_EVARISTO_577_01</t>
  </si>
  <si>
    <t>577</t>
  </si>
  <si>
    <t>2023_MARCELA_TROPIA_1094_01</t>
  </si>
  <si>
    <t>2023_MARCELA_TROPIA</t>
  </si>
  <si>
    <t>1094</t>
  </si>
  <si>
    <t>Marcela Trópia</t>
  </si>
  <si>
    <t>execução de obras e serviços em Centros de Saúde</t>
  </si>
  <si>
    <t>2302.1012201171.216.449051.S.500
2302.1012201171.216.339039.S.500</t>
  </si>
  <si>
    <t>249999.11</t>
  </si>
  <si>
    <t>374928.91</t>
  </si>
  <si>
    <t>245972.06</t>
  </si>
  <si>
    <t>2023_MARCELA_TROPIA_658_01</t>
  </si>
  <si>
    <t>658</t>
  </si>
  <si>
    <t>à realização de melhorias na infraestrutura do Parque Municipal Jornalista Eduardo Couri</t>
  </si>
  <si>
    <t>2700.1854100731.202.449092.F.500</t>
  </si>
  <si>
    <t>449092</t>
  </si>
  <si>
    <t>Parque Municipal Jornalista Eduardo Couri</t>
  </si>
  <si>
    <t>2023_MARCELA_TROPIA_661_01</t>
  </si>
  <si>
    <t>661</t>
  </si>
  <si>
    <t>ao custeio de obras e instalações de sarjeta na rua Oscar Castanheira no bairro Dona Clara, Regional Pampulha</t>
  </si>
  <si>
    <t>27216.29</t>
  </si>
  <si>
    <t>Rua Oscar Castanheira no bairro Dona Clara, Regional Pampulha</t>
  </si>
  <si>
    <t>Oscar Castanheira no bairro Dona Clara, Regional Pampulha</t>
  </si>
  <si>
    <t>2023_MARCELA_TROPIA_694_01</t>
  </si>
  <si>
    <t>694</t>
  </si>
  <si>
    <t>ao reforço de dotação orçamentária de incentivo ao Programa "Estamos Juntos"</t>
  </si>
  <si>
    <t>2023_MARCELA_TROPIA_695_01</t>
  </si>
  <si>
    <t>aquisição e instalação de brinquedos na Praça Santo Antônio, bairro Aeroporto, na Regional Pampulha</t>
  </si>
  <si>
    <t>Praça Santo Antônio, bairro Aeroporto, na Regional Pampulha</t>
  </si>
  <si>
    <t>2023_MARCELA_TROPIA_696_01</t>
  </si>
  <si>
    <t>696</t>
  </si>
  <si>
    <t>ao custeio de melhoria do acesso a informações e propagandas turísticas e culturais, por meio da Sinalização Interpretativa Turística - Conjunto Moderno da Pampulha</t>
  </si>
  <si>
    <t>2805.2369500862.915.339039.F.500</t>
  </si>
  <si>
    <t>2915</t>
  </si>
  <si>
    <t>MARCO REGULATÓRIO DAS POLÍTICAS PÚBLICAS DO TURISMO EM BELO HORIZONTE</t>
  </si>
  <si>
    <t>1524</t>
  </si>
  <si>
    <t>2023_MARCELA_TROPIA_697_01</t>
  </si>
  <si>
    <t>697</t>
  </si>
  <si>
    <t>à realização de reforma na Praça Santo Antônio e no entroncamento das ruas Boaventura com rua Vila Rica na regional Pampulha.</t>
  </si>
  <si>
    <t>Praça Santo Antônio e no entroncamento das ruas Boaventura com rua Vila Rica na regional Pampulha.</t>
  </si>
  <si>
    <t>2023_MARCELA_TROPIA_699_01</t>
  </si>
  <si>
    <t>699</t>
  </si>
  <si>
    <t>à realização de aquisição de mudas para projeto paisagístico no canteiro central da Av. Sebastião de Brito, regional Pampulha.</t>
  </si>
  <si>
    <t>Av. Sebastião de Brito, regional Pampulha.</t>
  </si>
  <si>
    <t>2023_MARCELA_TROPIA_700_01</t>
  </si>
  <si>
    <t>Ao reforço de dotação orçamentária, para Instalação de Novos Pontos de Videomonitoramento na Cidade</t>
  </si>
  <si>
    <t>2100.0612203022.897.339039.F.500</t>
  </si>
  <si>
    <t>399998.28</t>
  </si>
  <si>
    <t>2023_MARCELA_TROPIA_701_01</t>
  </si>
  <si>
    <t>701</t>
  </si>
  <si>
    <t>à realização de reforma no Campo do Najá, situado à Rua Castelo Novo, 1001 - Santa Efigênia, Belo Horizonte - MG, 30260-380, no Aglomerado da Serra. (nivelamento com motoniveladora e colocação de saibro + Troca do par de traves de gol)</t>
  </si>
  <si>
    <t>50603.43</t>
  </si>
  <si>
    <t>65601.3</t>
  </si>
  <si>
    <t>Rua Castelo Novo, 1001 - Santa Efigênia, Belo Horizonte - MG, 30260-380, no Aglomerado da Serra.</t>
  </si>
  <si>
    <t>Campo do Najá</t>
  </si>
  <si>
    <t>2023_MARCELA_TROPIA_745_01</t>
  </si>
  <si>
    <t>745</t>
  </si>
  <si>
    <t>aquisição de equipamento e material para investimento em Centros de Saúde</t>
  </si>
  <si>
    <t>23248.33</t>
  </si>
  <si>
    <t>22378.33</t>
  </si>
  <si>
    <t>3328.33</t>
  </si>
  <si>
    <t>B. D. R. COMERCIO DE EQUIPAMENTOS LTDA; LIDER NOTEBOOKS COMERCIO E SERVICOS LTDA</t>
  </si>
  <si>
    <t>2023_MARCELA_TROPIA_746_01</t>
  </si>
  <si>
    <t>746</t>
  </si>
  <si>
    <t>ao aprimoramento das atividades desenvolvidas no âmbito do SUS pelo Hospital Paulo de Tarso (CNES 2695375)</t>
  </si>
  <si>
    <t>Hospital Paulo de Tarso (CNES 2695375)</t>
  </si>
  <si>
    <t>2023_MARCELA_TROPIA_747_01</t>
  </si>
  <si>
    <t>747</t>
  </si>
  <si>
    <t>ao aprimoramento das atividades desenvolvidas no âmbito do SUS pelo Hospital da Baleia (CNES 2695324)</t>
  </si>
  <si>
    <t>156266</t>
  </si>
  <si>
    <t>Hospital da Baleia (CNES 2695324)</t>
  </si>
  <si>
    <t>2023_MARCELA_TROPIA_748_01</t>
  </si>
  <si>
    <t>748</t>
  </si>
  <si>
    <t>ao aprimoramento das atividades desenvolvidas no âmbito do SUS pelo Hospital Sofia Feldman (CNES 0026794)</t>
  </si>
  <si>
    <t>Hospital Sofia Feldman (CNES 0026794)</t>
  </si>
  <si>
    <t>2023_MARCELA_TROPIA_749_01</t>
  </si>
  <si>
    <t>749</t>
  </si>
  <si>
    <t>ao aprimoramento das atividades desenvolvidas no âmbito do SUS pela FUNDAÇãO HEMOMINAS (CNES 40334325),</t>
  </si>
  <si>
    <t>FUNDAÇãO HEMOMINAS (CNES 40334325),</t>
  </si>
  <si>
    <t>2023_MARCELA_TROPIA_750_01</t>
  </si>
  <si>
    <t>750</t>
  </si>
  <si>
    <t>ao aprimoramento das atividades desenvolvidas no âmbito do SUS pelo Hospital Maternidade Odete Valadares (CNES 0026972)</t>
  </si>
  <si>
    <t>Hospital Maternidade Odete Valadares (CNES 0026972)</t>
  </si>
  <si>
    <t>2023_MARCELA_TROPIA_751_01</t>
  </si>
  <si>
    <t>751</t>
  </si>
  <si>
    <t>ao aprimoramento das atividades desenvolvidas no âmbito do SUS pelo Hospital Madre Teresa. (CNES 2200422)</t>
  </si>
  <si>
    <t>Hospital Madre Teresa. (CNES 2200422)</t>
  </si>
  <si>
    <t>2023_MARCELA_TROPIA_978_01</t>
  </si>
  <si>
    <t>978</t>
  </si>
  <si>
    <t>à pavimentação asfáltica na Regional Centro Sul.</t>
  </si>
  <si>
    <t>207532</t>
  </si>
  <si>
    <t>200443.43</t>
  </si>
  <si>
    <t>2023_MARCOS_CRISPIM_1012_01</t>
  </si>
  <si>
    <t>2023_MARCOS_CRISPIM</t>
  </si>
  <si>
    <t>1012</t>
  </si>
  <si>
    <t>Marcos Crispim</t>
  </si>
  <si>
    <t>para a entidade Fundação Oásis / Projeto Casa das Vovós, inscrita no CNPJ sob o n° 01.030.958/0002-79, com a finalidade de melhoria na prestação de serviço socioassistencial</t>
  </si>
  <si>
    <t>246266</t>
  </si>
  <si>
    <t>2023_MARCOS_CRISPIM_1014_01</t>
  </si>
  <si>
    <t>1014</t>
  </si>
  <si>
    <t>à aquisição de materiais de consumo para a entidade CEMEAR, inscrita no CNPJ sob o nº 07.953.849/0001-29</t>
  </si>
  <si>
    <t>2023_MARCOS_CRISPIM_1019_01</t>
  </si>
  <si>
    <t>1019</t>
  </si>
  <si>
    <t>à aquisição de materiais de consumo para a UPA LESTE.</t>
  </si>
  <si>
    <t>332532</t>
  </si>
  <si>
    <t>331529.74</t>
  </si>
  <si>
    <t>2023_MARCOS_CRISPIM_490_01</t>
  </si>
  <si>
    <t>490</t>
  </si>
  <si>
    <t>2023_MARCOS_CRISPIM_492_01</t>
  </si>
  <si>
    <t>492</t>
  </si>
  <si>
    <t>2023_MARCOS_CRISPIM_559_01</t>
  </si>
  <si>
    <t>559</t>
  </si>
  <si>
    <t>à realização de eventos de lazer na Regional Leste</t>
  </si>
  <si>
    <t>14492.94</t>
  </si>
  <si>
    <t>17264.36</t>
  </si>
  <si>
    <t xml:space="preserve"> Regional Leste</t>
  </si>
  <si>
    <t>2023_MARCOS_CRISPIM_560_01</t>
  </si>
  <si>
    <t>560</t>
  </si>
  <si>
    <t>à implantação de playgrounds para lazer na Praça Enio de Souza "Guru", no bairro Vera Cruz.</t>
  </si>
  <si>
    <t>22400</t>
  </si>
  <si>
    <t>Praça Enio de Souza "Guru", no bairro Vera Cruz.</t>
  </si>
  <si>
    <t>2023_MARCOS_CRISPIM_562_01</t>
  </si>
  <si>
    <t>562</t>
  </si>
  <si>
    <t>à implantação de pista de cooper no bairro Mariano de Abreu.</t>
  </si>
  <si>
    <t>144778.26999999999</t>
  </si>
  <si>
    <t>bairro Mariano de Abreu.</t>
  </si>
  <si>
    <t>2023_MARCOS_CRISPIM_693_01</t>
  </si>
  <si>
    <t>693</t>
  </si>
  <si>
    <t>à aquisição de materiais de consumo para realização de cuidados aos animais do Centro de Controle de Zoonoses.</t>
  </si>
  <si>
    <t>77766.179999999993</t>
  </si>
  <si>
    <t>61316.18</t>
  </si>
  <si>
    <t>EMPREENDIMENTO COMERCIAL SAARA LTDA; LABORATORIUS EQUIPAMENTOS E PRODUTOS LTDA; MGS MINAS GERAIS ADMINISTRACAO E SERVICOS SA; VERDE DISTRIBUIDORA DE MEDICAMENTOS LTDA; VETSUL COMERCIO DE MEDICAMENTOS LTDA</t>
  </si>
  <si>
    <t>2023_MARCOS_CRISPIM_713_01</t>
  </si>
  <si>
    <t>713</t>
  </si>
  <si>
    <t>à aquisição de equipamentos necessários aos cuidados realizados nos Centros de Esterilização de Cães e Gatos na Regional Leste.</t>
  </si>
  <si>
    <t>2302.1030500282.829.449052.S.500</t>
  </si>
  <si>
    <t>9394.56</t>
  </si>
  <si>
    <t>Regional Leste</t>
  </si>
  <si>
    <t>2023_MARCOS_CRISPIM_743_01</t>
  </si>
  <si>
    <t>743</t>
  </si>
  <si>
    <t>para reforma do Centro de Saúde Novo Horizonte na Regional Leste</t>
  </si>
  <si>
    <t>79715.320000000007</t>
  </si>
  <si>
    <t>2023_MARCOS_CRISPIM_801_01</t>
  </si>
  <si>
    <t>801</t>
  </si>
  <si>
    <t>à aquisição de materiais permanentes para o Centro de Saúde Leopoldo Chrisóstomo de Castro na Regional Nordeste.</t>
  </si>
  <si>
    <t>109730.09</t>
  </si>
  <si>
    <t>83164.09</t>
  </si>
  <si>
    <t>BOSCO FELIPE COMERCIO LTDA; BT COMERCIO INTELIGENTE LTDA; CB ELETRO E INFORMATICA LTDA; D3JF EMPREENDIMENTOS COMERCIAIS LTDA; EXPANSAO E COMMERCE LTDA; FORMIGARI COMERCIO DE MOVEIS LTDA; KIENTRO BRASIL LTDA; PRIMER SOLUCOES LTDA</t>
  </si>
  <si>
    <t>2023_MARCOS_CRISPIM_821_01</t>
  </si>
  <si>
    <t>821</t>
  </si>
  <si>
    <t>à aquisição de materiais permanentes para o Centro de Saúde Vila Pinho na Regional Barreiro.</t>
  </si>
  <si>
    <t>Centro de Saúde Vila Pinho</t>
  </si>
  <si>
    <t>2023_MARCOS_CRISPIM_858_01</t>
  </si>
  <si>
    <t>858</t>
  </si>
  <si>
    <t>à revitalização e manutenção da Praça Pero Vaz de Caminha na Regional Leste.</t>
  </si>
  <si>
    <t>483133</t>
  </si>
  <si>
    <t>63742.05</t>
  </si>
  <si>
    <t>2159.0500000000002</t>
  </si>
  <si>
    <t>OBJETIVA PROJETOS E SERVICOS LTDA</t>
  </si>
  <si>
    <t>Praça Pero Vaz de Caminha na Regional Leste.</t>
  </si>
  <si>
    <t>2023_MARCOS_CRISPIM_977_01</t>
  </si>
  <si>
    <t>977</t>
  </si>
  <si>
    <t>ao reforço de dotação orçamentária destinado à elaboração de projetos, obras estruturantes e/ou instalações no bairro Vila Ecológico na Regional Barreiro.</t>
  </si>
  <si>
    <t>18307.96</t>
  </si>
  <si>
    <t>2772.96</t>
  </si>
  <si>
    <t xml:space="preserve"> bairro Vila Ecológico na Regional Barreiro.</t>
  </si>
  <si>
    <t>2023_MARCOS_CRISPIM_979_01</t>
  </si>
  <si>
    <t>979</t>
  </si>
  <si>
    <t>prestação de serviço socioassistencial à entidade São Vicente de Paulo, inscrita no CNPJ sob o nº 17.235.771/0001-60</t>
  </si>
  <si>
    <t>2023_MARILDA_PORTELA_503_01</t>
  </si>
  <si>
    <t>2023_MARILDA_PORTELA</t>
  </si>
  <si>
    <t>503</t>
  </si>
  <si>
    <t>Marilda Portela</t>
  </si>
  <si>
    <t>ao fortalecimento do atendimento do SAMU</t>
  </si>
  <si>
    <t>128970</t>
  </si>
  <si>
    <t>124496</t>
  </si>
  <si>
    <t>BOSCO FELIPE COMERCIO LTDA; INSMART COMERCIO DE EQUIPAMENTOS LTDA; VS MOVEIS CORPORATIVOS LTDA</t>
  </si>
  <si>
    <t>2023_MARILDA_PORTELA_504_01</t>
  </si>
  <si>
    <t>504</t>
  </si>
  <si>
    <t>à realização de 15 eventos de rua de lazer</t>
  </si>
  <si>
    <t>62532</t>
  </si>
  <si>
    <t>43796.74</t>
  </si>
  <si>
    <t>2023_MARILDA_PORTELA_505_01</t>
  </si>
  <si>
    <t>505</t>
  </si>
  <si>
    <t>para a realização de projeto de capacitação no setor da gastronomia</t>
  </si>
  <si>
    <t>2023_MARILDA_PORTELA_506_01</t>
  </si>
  <si>
    <t>506</t>
  </si>
  <si>
    <t>para realização do projeto de inclusão digital</t>
  </si>
  <si>
    <t>1706</t>
  </si>
  <si>
    <t>2023_MARILDA_PORTELA_507_01</t>
  </si>
  <si>
    <t>507</t>
  </si>
  <si>
    <t>para a instalação de 6 playgrounds em praças públicas</t>
  </si>
  <si>
    <t>106400</t>
  </si>
  <si>
    <t>2023_MARILDA_PORTELA_508_01</t>
  </si>
  <si>
    <t>508</t>
  </si>
  <si>
    <t>para a instalação de novos pontos de videomonitoramento</t>
  </si>
  <si>
    <t>199996.99</t>
  </si>
  <si>
    <t>2023_MARILDA_PORTELA_509_01</t>
  </si>
  <si>
    <t>509</t>
  </si>
  <si>
    <t>para à realização de grupos de prevenção de violência doméstica</t>
  </si>
  <si>
    <t>2100.0612201092.802.339039.F.500</t>
  </si>
  <si>
    <t>2023_MARILDA_PORTELA_510_01</t>
  </si>
  <si>
    <t>510</t>
  </si>
  <si>
    <t>para a modernização dos Conselhos Tutelares</t>
  </si>
  <si>
    <t>1000.1424301272.860.449052.F.500</t>
  </si>
  <si>
    <t>2860</t>
  </si>
  <si>
    <t>PROMOÇÃO, PROTEÇÃO E DEFESA DE DIREITOS DAS CRIANÇAS, ADOLESCENTES E SUAS FAMÍLIAS</t>
  </si>
  <si>
    <t>276302.89</t>
  </si>
  <si>
    <t>ESPACO A MOVEIS PLANEJADOS LTDA; MARBELLA COMERCIO LTDA; SABINO EMPREENDIMENTOS LTDA; SENA E PRATES LTDA; SENTINELA DO VALE COMERCIAL LTDA</t>
  </si>
  <si>
    <t>2023_MARILDA_PORTELA_511_01</t>
  </si>
  <si>
    <t>511</t>
  </si>
  <si>
    <t>à revitalização da Praça localizada na interseção das ruas Sete de Setembro e Av. A no Bairro Maria Teresa - localização geográfica -19.818312, -43.886688.</t>
  </si>
  <si>
    <t>94120.53</t>
  </si>
  <si>
    <t>Praça localizada na interseção das ruas Sete de Setembro e Av. A no Bairro Maria Teresa - localização geográfica -19.818312, -43.886688.</t>
  </si>
  <si>
    <t>2023_MARILDA_PORTELA_512_01</t>
  </si>
  <si>
    <t>ao reforço de dotação orçamentária para atendimento ao Hospital Evangélico de Belo Horizonte - 17.214.743/0001-67 - CNES - 0026808</t>
  </si>
  <si>
    <t>Hospital Evangélico de Belo Horizonte - 17.214.743/0001-67 - CNES - 0026808</t>
  </si>
  <si>
    <t>2023_MARILDA_PORTELA_513_01</t>
  </si>
  <si>
    <t>513</t>
  </si>
  <si>
    <t>ao reforço de dotação orçamentária para atendimento ao Hospital Mario Penna/Luxemburgo - 17.513.235/0001-80 - CNES - 2200457</t>
  </si>
  <si>
    <t>Hospital Mario Penna/Luxemburgo - 17.513.235/0001-80 - CNES - 2200457</t>
  </si>
  <si>
    <t>2023_MARILDA_PORTELA_514_01</t>
  </si>
  <si>
    <t>514</t>
  </si>
  <si>
    <t>ao reforço da dotação orçamentária para atendimento ao Hospital Paulo de Tarso 17.226.044/0001-37 - CNES 2695375</t>
  </si>
  <si>
    <t xml:space="preserve"> Hospital Paulo de Tarso 17.226.044/0001-37 - CNES 2695375</t>
  </si>
  <si>
    <t>2023_MARILDA_PORTELA_515_01</t>
  </si>
  <si>
    <t>515</t>
  </si>
  <si>
    <t>Execução de atividades socioassistenciais realizadas pelo Instituto Adotar CNPJ: 15.671.055/0001-09 de acordo com o disposto na Lei Federal nº 8.742/93 e em consonância com a referida inscrição no Conselho Municipal de Assistência Social de Belo Horizonte - CMAS-BH</t>
  </si>
  <si>
    <t>2023_MARILDA_PORTELA_516_01</t>
  </si>
  <si>
    <t>516</t>
  </si>
  <si>
    <t>Execução de atividades socioassistenciais realizadas pela entidade Centro Social Nosso Pequeno Lar CNPJ 08.698.985/0001-82 de acordo com o disposto na Lei Federal nº 8.742/93 e em consonância com a referida inscrição no Conselho Municipal de Assistência Social de Belo Horizonte - CMAS-BH</t>
  </si>
  <si>
    <t>2023_MARILDA_PORTELA_517_01</t>
  </si>
  <si>
    <t>517</t>
  </si>
  <si>
    <t>Execução de atividades socioassistenciais realizadas pela entidade Clube da Maturidade CNPJ 38.741.906/0001-30 de acordo com o disposto na Lei Federal nº 8.742/93 e em consonância com a referida inscrição no Conselho Municipal de Assistência Social de Belo Horizonte - CMAS-BH realizadas pela entidade Clube da Maturidade CNPJ 38.741.906/0001-30</t>
  </si>
  <si>
    <t>2023_MARILDA_PORTELA_518_01</t>
  </si>
  <si>
    <t>518</t>
  </si>
  <si>
    <t>à realização de projeto para atendimento e transporte de paciêntes em tratamento de câncer de baixa renda que não possuem condições de utilizar o transporte coletivo nem detêm meios próprios de locomoção.</t>
  </si>
  <si>
    <t>1012532</t>
  </si>
  <si>
    <t>2023_MARILDA_PORTELA_519_01</t>
  </si>
  <si>
    <t>519</t>
  </si>
  <si>
    <t>para a realização do projeto "A Rua é Nossa"</t>
  </si>
  <si>
    <t>108917.48</t>
  </si>
  <si>
    <t>2023_MILTINHO_CGE_662_01</t>
  </si>
  <si>
    <t>2023_MILTINHO_CGE</t>
  </si>
  <si>
    <t>662</t>
  </si>
  <si>
    <t>Miltinho CGE</t>
  </si>
  <si>
    <t>ao repasse de recursos para a Associação Mineira de Educação Continuada (ASMEC), CNPJ 05.263.848/0001-27, visando à melhoria de atividades socioassistenciais, de acordo com o disposto na Lei Federal nº 8.742/93, em consonância com a referida inscrição no Conselho Municipal de Assistência Social de Belo Horizonte - CMAS-BH</t>
  </si>
  <si>
    <t>1011.0824400202.878.339039.S.500</t>
  </si>
  <si>
    <t>2878</t>
  </si>
  <si>
    <t>SERVIÇO DE PROTEÇÃO SOCIAL ESPECIAL DE MÉDIA COMPLEXIDADE</t>
  </si>
  <si>
    <t>2023_MILTINHO_CGE_663_01</t>
  </si>
  <si>
    <t>663</t>
  </si>
  <si>
    <t>ao repasse de recursos para a Associação Unificada de Recuperação e Apoio - Aura, CNPJ 02.471.591/0001-00, visando à melhoria de atividades socioassistenciais, de acordo com o disposto na Lei Federal nº 8.742/93, em consonância com a referida inscrição no Conselho Municipal de Assistência Social de Belo Horizonte - CMAS-BH</t>
  </si>
  <si>
    <t>2023_MILTINHO_CGE_664_01</t>
  </si>
  <si>
    <t>664</t>
  </si>
  <si>
    <t>ao repasse de recursos para o Grupo da Fraternidade Espírita Irmã Scheilla, CNPJ 17.333.261/0001-26, visando à melhoria de atividades socioassistenciais, de acordo com o disposto na Lei Federal nº 8.742/93, em consonância com a referida inscrição no Conselho Municipal de Assistência Social de Belo Horizonte - CMAS-BH</t>
  </si>
  <si>
    <t>2023_MILTINHO_CGE_665_01</t>
  </si>
  <si>
    <t>665</t>
  </si>
  <si>
    <t>ao repasse de recursos para a Associação de Pais e Amigos dos Excepcionais de Belo Horizonte - APAE Santa Tereza, CNPJ 18.216.366.0001-68, visando à melhoria de atividades socioassistenciais, de acordo com o disposto na Lei Federal nº 8.742/93, em consonância com a referida inscrição no Conselho Municipal de Assistência Social de Belo Horizonte - CMAS-BH</t>
  </si>
  <si>
    <t>2023_MILTINHO_CGE_666_01</t>
  </si>
  <si>
    <t>666</t>
  </si>
  <si>
    <t>à capacitação e conscientização ambiental, promoção de sustentabilidade e/ou educação ambiental no espaço da Zoobotânica da FPMZB de belo Horizonte</t>
  </si>
  <si>
    <t>2505.1854100732.817.339039.F.500</t>
  </si>
  <si>
    <t>2817</t>
  </si>
  <si>
    <t>EDUCAÇÃO AMBIENTAL E PROMOÇÃO DE EVENTOS</t>
  </si>
  <si>
    <t>110681.41</t>
  </si>
  <si>
    <t>2023_MILTINHO_CGE_667_01</t>
  </si>
  <si>
    <t>667</t>
  </si>
  <si>
    <t>ao reforço da dotação orçamentária do Hospital Veterinário para a realização de ações de atendimento médico veterinário à comunidade de baixa renda</t>
  </si>
  <si>
    <t>2023_MILTINHO_CGE_668_01</t>
  </si>
  <si>
    <t>668</t>
  </si>
  <si>
    <t>ao reforço da dotação orçamentária da Secretaria de Meio Ambiente para o programa de assistência e suporte a equídeos em ocorrências de trânsito e vias públicas</t>
  </si>
  <si>
    <t>2023_MILTINHO_CGE_669_01</t>
  </si>
  <si>
    <t>669</t>
  </si>
  <si>
    <t>ao reforço da dotação orçamentária para realização de ruas de lazer comunitárias, de acordo com a subação 0006 - eventos de lazer e recreação</t>
  </si>
  <si>
    <t>2023_MILTINHO_CGE_670_01</t>
  </si>
  <si>
    <t>670</t>
  </si>
  <si>
    <t>ao reforço orçamentário para o atendimento da Associação Evangélica Beneficente de Minas Gerais | Hospital Evangélico de Belo Horizonte, CNPJ 17.214.743.0001-67</t>
  </si>
  <si>
    <t>62000</t>
  </si>
  <si>
    <t>2023_MILTINHO_CGE_671_01</t>
  </si>
  <si>
    <t>671</t>
  </si>
  <si>
    <t>ao reforço orçamentário para o atendimento do Instituto Mário Pena, CNPJ 17.513.235/0001-80</t>
  </si>
  <si>
    <t>75000</t>
  </si>
  <si>
    <t>Instituto Mário Pena, CNPJ 17.513.235/0001-80</t>
  </si>
  <si>
    <t>2023_MILTINHO_CGE_672_01</t>
  </si>
  <si>
    <t>672</t>
  </si>
  <si>
    <t>ao reforço orçamentário para o atendimento da Fundação Benjamin Guimarães | Hospital da Baleia, CNPJ 17.200.429/0001-25</t>
  </si>
  <si>
    <t>2023_MILTINHO_CGE_673_01</t>
  </si>
  <si>
    <t>673</t>
  </si>
  <si>
    <t>ao reforço orçamentário para o atendimento do Hospital Santa Casa de Misericórdia, CNPJ 17.209.891/0001-93</t>
  </si>
  <si>
    <t>Hospital Santa Casa de Misericórdia</t>
  </si>
  <si>
    <t>2023_MILTINHO_CGE_674_01</t>
  </si>
  <si>
    <t>674</t>
  </si>
  <si>
    <t>ao reforço orçamentário para o atendimento do Hospital Infantil João Paulo II</t>
  </si>
  <si>
    <t>2023_MILTINHO_CGE_675_01</t>
  </si>
  <si>
    <t>675</t>
  </si>
  <si>
    <t>à implantação de playground na Praça Abadia situada à Rua Tulipa com Mariano de Abreu, bairro Esplanada</t>
  </si>
  <si>
    <t>Praça Abadia situada à Rua Tulipa com Mariano de Abreu, bairro Esplanada</t>
  </si>
  <si>
    <t>2023_MILTINHO_CGE_676_01</t>
  </si>
  <si>
    <t>676</t>
  </si>
  <si>
    <t>à implantação de playground na Praça Santa Catarina Labouré, bairro Dona Clara</t>
  </si>
  <si>
    <t>14874.37</t>
  </si>
  <si>
    <t>Praça Santa Catarina Labouré, bairro Dona Clara</t>
  </si>
  <si>
    <t>2023_MILTINHO_CGE_677_01</t>
  </si>
  <si>
    <t>677</t>
  </si>
  <si>
    <t>ao reforço orçamentário para revitalização do espaço da Praça Abadia - Rua Tulipa com Mariano de Abreu, bairro Esplanada</t>
  </si>
  <si>
    <t>2700.1854102332.811.339039.F.500</t>
  </si>
  <si>
    <t>86000</t>
  </si>
  <si>
    <t>Praça Abadia - Rua Tulipa com Mariano de Abreu, bairro Esplanada</t>
  </si>
  <si>
    <t>2023_MILTINHO_CGE_678_01</t>
  </si>
  <si>
    <t>678</t>
  </si>
  <si>
    <t>ao reforço orçamentário para revitalização do espaço da Praça Santa Catarina Labouré, bairro Dona Clara</t>
  </si>
  <si>
    <t>75651.87</t>
  </si>
  <si>
    <t>2023_MILTINHO_CGE_679_01</t>
  </si>
  <si>
    <t>679</t>
  </si>
  <si>
    <t>ao reforço orçamentário para o projeto de manutenção e cuidado de equídeos mantidos no Centro de Apoio às atividades inerentes à Diretoria de Zoonoses de Belo Horizonte da Secretaria Municipal de Saúde</t>
  </si>
  <si>
    <t>499935.63</t>
  </si>
  <si>
    <t>2023_MILTINHO_CGE_680_01</t>
  </si>
  <si>
    <t>680</t>
  </si>
  <si>
    <t>Ao reforço orçamentário para o projeto de manutenção e cuidado com os animais resgatados, cães e gatos, mantidos no Centro de Controle de Zoonoses;</t>
  </si>
  <si>
    <t>102252.8</t>
  </si>
  <si>
    <t>ICEBERG DISTRIBUIDORA LTDA. ME</t>
  </si>
  <si>
    <t>2023_MILTINHO_CGE_681_01</t>
  </si>
  <si>
    <t>681</t>
  </si>
  <si>
    <t>ao reforço orçamentário para atendimento de tutores em situação de rua no "Projeto Maloca"</t>
  </si>
  <si>
    <t>2023_MILTINHO_CGE_682_01</t>
  </si>
  <si>
    <t>682</t>
  </si>
  <si>
    <t>ao reforço orçamentário para o projeto de incremento dos animais resgatados pelo Centro de controle de Zoonoses de Belo Horizonte</t>
  </si>
  <si>
    <t>41117.4</t>
  </si>
  <si>
    <t>2023_MILTINHO_CGE_683_01</t>
  </si>
  <si>
    <t>683</t>
  </si>
  <si>
    <t>ao reforço orçamentário para o atendimento a unidade Centro de Saúde João Vital - Anexo Vila Maria</t>
  </si>
  <si>
    <t>Centro de Saúde João Vital - Anexo Vila Maria</t>
  </si>
  <si>
    <t>2023_MILTINHO_CGE_684_01</t>
  </si>
  <si>
    <t>684</t>
  </si>
  <si>
    <t>ao reforço orçamentário para o atendimento a unidade Centro de Saúde Paraíso</t>
  </si>
  <si>
    <t>unidade Centro de Saúde Paraíso</t>
  </si>
  <si>
    <t>2023_MILTINHO_CGE_685_01</t>
  </si>
  <si>
    <t>685</t>
  </si>
  <si>
    <t>ao reforço orçamentário para o atendimento a unidade Centro de Saúde Pompéia</t>
  </si>
  <si>
    <t>unidade Centro de Saúde Pompéia</t>
  </si>
  <si>
    <t>2023_MILTINHO_CGE_686_01</t>
  </si>
  <si>
    <t>686</t>
  </si>
  <si>
    <t>ao reforço orçamentário para o atendimento a unidade Centro de Saúde Alto Vera Cruz</t>
  </si>
  <si>
    <t>unidade Centro de Saúde Alto Vera Cruz</t>
  </si>
  <si>
    <t>2023_MILTINHO_CGE_687_01</t>
  </si>
  <si>
    <t>687</t>
  </si>
  <si>
    <t>ao reforço orçamentário para o atendimento a unidade Centro de Saúde Horto</t>
  </si>
  <si>
    <t>2302.1030101572.690.339039.S.500</t>
  </si>
  <si>
    <t>unidade Centro de Saúde Horto</t>
  </si>
  <si>
    <t>2023_MILTINHO_CGE_688_01</t>
  </si>
  <si>
    <t>688</t>
  </si>
  <si>
    <t>ao reforço orçamentário para o atendimento a unidade Centro de Saúde Marco Antônio Menezes</t>
  </si>
  <si>
    <t>unidade Centro de Saúde Marco Antônio Menezes</t>
  </si>
  <si>
    <t>2023_MILTINHO_CGE_689_01</t>
  </si>
  <si>
    <t>689</t>
  </si>
  <si>
    <t>ao reforço orçamentário para o atendimento a unidade Centro de Saúde Glória</t>
  </si>
  <si>
    <t>unidade Centro de Saúde Glória</t>
  </si>
  <si>
    <t>2023_MILTINHO_CGE_690_01</t>
  </si>
  <si>
    <t>690</t>
  </si>
  <si>
    <t>ao reforço orçamentário para o atendimento a unidade Centro de Saúde Padre Eustáquio</t>
  </si>
  <si>
    <t>unidade Centro de Saúde Padre Eustáquio</t>
  </si>
  <si>
    <t>2023_MILTINHO_CGE_691_01</t>
  </si>
  <si>
    <t>691</t>
  </si>
  <si>
    <t>ao reforço orçamentário para o atendimento a Unidade de Pronto Atendimento UPA Nordeste</t>
  </si>
  <si>
    <t>Unidade de Pronto Atendimento UPA Nordeste</t>
  </si>
  <si>
    <t>2023_MILTINHO_CGE_692_01</t>
  </si>
  <si>
    <t>ao reforço de dotação orçamentária para projetos de educação, cultura e tecnologia da Escola Municipal Santos Dumont</t>
  </si>
  <si>
    <t>2200.12.361.0168.2.046.339039.F.500 (UA 0300)</t>
  </si>
  <si>
    <t>Escola Municipal Santos Dumont</t>
  </si>
  <si>
    <t>2023_NELY_AQUINO_264_01</t>
  </si>
  <si>
    <t>2023_NELY_AQUINO</t>
  </si>
  <si>
    <t>264</t>
  </si>
  <si>
    <t>Nely Aquino</t>
  </si>
  <si>
    <t>ao repasse de recursos para a ONG ÁGAPE PROVISãO, CNPJ 28.098.526/0001-75, visando à melhoria de atividades socioassistenciais, de acordo com o disposto na Lei Federal nº 8.742/93, em consonância com a referida inscrição no Conselho Municipal de Assistência Social de Belo Horizonte - CMAS-BH</t>
  </si>
  <si>
    <t>2023_NELY_AQUINO_265_01</t>
  </si>
  <si>
    <t>265</t>
  </si>
  <si>
    <t>ao repasse de recursos para a Associação Unificada de Recuperação e Apoio - AURA, CNPJ 02.471.591/0001-00, visando à melhoria de atividades socioassistenciais, de acordo com o disposto na Lei Federal nº 8.742/93, em consonância com a referida inscrição no Conselho Municipal de Assistência Social de Belo Horizonte - CMAS-BH</t>
  </si>
  <si>
    <t>2023_NELY_AQUINO_266_01</t>
  </si>
  <si>
    <t>266</t>
  </si>
  <si>
    <t>ao repasse de recursos para a Associação Irmão Sol, CNPJ 65.143.018/0001-98, visando à melhoria de atividades socioassistenciais, de acordo com o disposto na Lei Federal nº 8.742/93, em consonância com a referida inscrição no Conselho Municipal de Assistência Social de Belo Horizonte - CMAS-BH</t>
  </si>
  <si>
    <t>1011.0824300202.403.339039.S.500</t>
  </si>
  <si>
    <t>2023_NELY_AQUINO_267_01</t>
  </si>
  <si>
    <t>267</t>
  </si>
  <si>
    <t>ao repasse de recursos para a Creche Arco-́ris - Associação Solidária Isabel Maria Werneck, CNPJ 08.677.681/0001-39, visando à melhoria de atividades socioassistenciais, de acordo com o disposto na Lei Federal nº 8.742/93, em consonância com a referida inscrição no Conselho Municipal de Assistência Social de Belo Horizonte - CMAS-BH</t>
  </si>
  <si>
    <t>32000</t>
  </si>
  <si>
    <t>Creche arco íris - R. Visc. de Itaboraí, 191 - Jardim Leblon, Belo Horizonte - MG, 31540-460</t>
  </si>
  <si>
    <t>2023_NELY_AQUINO_268_01</t>
  </si>
  <si>
    <t>268</t>
  </si>
  <si>
    <t>ao reforço de dotação orçamentária para manutenção do campo Manchester, localizado na R. Joviano Coelho Júnior, 62-100 - Rio Branco</t>
  </si>
  <si>
    <t>138486.41</t>
  </si>
  <si>
    <t>campo Manchester, localizado na R. Joviano Coelho Júnior, 62-100 - Rio Branco</t>
  </si>
  <si>
    <t>2023_NELY_AQUINO_270_01</t>
  </si>
  <si>
    <t>270</t>
  </si>
  <si>
    <t>Reforma geral do Campo de Futebol Céu Azul, localizado na rua João Gualberto dos Santos (exemplo: vestiários, alambrados e iluminação).</t>
  </si>
  <si>
    <t>228563.53</t>
  </si>
  <si>
    <t>CONSTRUTORA TORQUETE GONCALVES LTDA EPP</t>
  </si>
  <si>
    <t>Campo de Futebol Céu Azul, localizado na rua João Gualberto dos Santos</t>
  </si>
  <si>
    <t>2023_NELY_AQUINO_271_01</t>
  </si>
  <si>
    <t>271</t>
  </si>
  <si>
    <t>ao reforço da dotação orçamentária para o CRAS Apolônia.</t>
  </si>
  <si>
    <t>1011.0824400192.308.449052.S.500</t>
  </si>
  <si>
    <t>14067.06</t>
  </si>
  <si>
    <t>DOUBLE SOLUCOES E TECNOLOGIA LTDA</t>
  </si>
  <si>
    <t>CRAS Apolônia.</t>
  </si>
  <si>
    <t>2023_NELY_AQUINO_272_01</t>
  </si>
  <si>
    <t>272</t>
  </si>
  <si>
    <t>ao reforço da dotação orçamentária para a contenção em gabião nas margens do córrego na Av. Várzea da Palma.</t>
  </si>
  <si>
    <t>157521</t>
  </si>
  <si>
    <t>Av. Várzea da Palma</t>
  </si>
  <si>
    <t>2023_NELY_AQUINO_273_01</t>
  </si>
  <si>
    <t>273</t>
  </si>
  <si>
    <t>à realização de eventos de lazer na Regional Venda Nova.</t>
  </si>
  <si>
    <t>5860.76</t>
  </si>
  <si>
    <t>8632.18</t>
  </si>
  <si>
    <t>Regional Venda Nova.</t>
  </si>
  <si>
    <t>2023_NELY_AQUINO_274_01</t>
  </si>
  <si>
    <t>274</t>
  </si>
  <si>
    <t>ao repasse de recursos para a entidade Centro de Apoio e Convivência - CAC, CNPJ 00.831.055/0001-43, visando à melhoria de atividades socioassistenciais, de acordo com o disposto na Lei Federal nº 8.742/93, em consonância com a referida inscrição no Conselho Municipal de Assistência Social de Belo Horizonte - CMAS-BH</t>
  </si>
  <si>
    <t>2023_NELY_AQUINO_275_01</t>
  </si>
  <si>
    <t>275</t>
  </si>
  <si>
    <t>ao repasse de recursos para a Associação Irmão Sol, CNPJ 65.143.018/0011-60, visando à melhoria de atividades socioassistenciais, de acordo com o disposto na Lei Federal nº 8.742/93, em consonância com a referida inscrição no Conselho Municipal de Assistência Social de Belo Horizonte - CMAS-BH</t>
  </si>
  <si>
    <t>Associação Irmão Sol - Casa das Meninas Rua Professora Natalia Lessa, 10 – Trevo – MG – CEP: 31540-580    Fonte: https://prefeitura.pbh.gov.br/smasac/chamamentos-publicos/termo-de-fomento-2023-1</t>
  </si>
  <si>
    <t>2023_NELY_AQUINO_276_01</t>
  </si>
  <si>
    <t>276</t>
  </si>
  <si>
    <t>2023_NELY_AQUINO_278_01</t>
  </si>
  <si>
    <t>278</t>
  </si>
  <si>
    <t>ao reforço de dotação orçamentária para atendimento ao Hospital Infantil João Paulo II</t>
  </si>
  <si>
    <t>2023_NELY_AQUINO_279_01</t>
  </si>
  <si>
    <t>279</t>
  </si>
  <si>
    <t>130000</t>
  </si>
  <si>
    <t>2023_NELY_AQUINO_280_01</t>
  </si>
  <si>
    <t>280</t>
  </si>
  <si>
    <t>104000</t>
  </si>
  <si>
    <t>2023_NELY_AQUINO_281_01</t>
  </si>
  <si>
    <t>281</t>
  </si>
  <si>
    <t>2023_NELY_AQUINO_282_01</t>
  </si>
  <si>
    <t>282</t>
  </si>
  <si>
    <t>ao reforço da dotação orçamentária para atendimento ao Hospital João XXIII</t>
  </si>
  <si>
    <t>2023_NELY_AQUINO_283_01</t>
  </si>
  <si>
    <t>283</t>
  </si>
  <si>
    <t>ao reforço da dotação orçamentária para atendimento à Maternidade Odete Valadares.</t>
  </si>
  <si>
    <t>2023_NELY_AQUINO_284_01</t>
  </si>
  <si>
    <t>284</t>
  </si>
  <si>
    <t>ao repasse de recursos para o Centro Infanto Juvenil Crescer Sorrindo, CNPJ 19.133.636/0001-30, visando à melhoria de atividades socioassistenciais, de acordo com o disposto na Lei Federal nº 8.742/93, em consonância com a referida inscrição no Conselho Municipal de Assistência Social de Belo Horizonte - CMAS-BH</t>
  </si>
  <si>
    <t>Centro Infanto Juvenil Crescer Sorrindo Rua Peperi, 975 - Bairro Nova Granada</t>
  </si>
  <si>
    <t>2023_NELY_AQUINO_285_01</t>
  </si>
  <si>
    <t>285</t>
  </si>
  <si>
    <t>ao repasse de recursos para o Grupo de Idosos Alegria de Viver, CNPJ 65.161.499/0001-64, visando à melhoria de atividades socioassistenciais, de acordo com o disposto na Lei Federal nº 8.742/93, em consonância com a referida inscrição no Conselho Municipal de Assistência Social de Belo Horizonte - CMAS-BH</t>
  </si>
  <si>
    <t>2023_NELY_AQUINO_346_01</t>
  </si>
  <si>
    <t>346</t>
  </si>
  <si>
    <t>ao reforço de dotação orçamentária para implantação e/ou manutenção de equipamento de infraestrutura esportiva e de lazer em praças públicas da região de Venda Nova.</t>
  </si>
  <si>
    <t>61600</t>
  </si>
  <si>
    <t>Regional Venda Nova</t>
  </si>
  <si>
    <t>2023_NELY_AQUINO_351_01</t>
  </si>
  <si>
    <t>351</t>
  </si>
  <si>
    <t>ao reforço da dotação orçamentária para atendimento ao Hospital Eduardo de Menezes.</t>
  </si>
  <si>
    <t>Hospital Eduardo de Menezes</t>
  </si>
  <si>
    <t>2023_NELY_AQUINO_352_01</t>
  </si>
  <si>
    <t>352</t>
  </si>
  <si>
    <t>ao reforço da dotação orçamentária para atendimento ao Instituto Raul Soares.</t>
  </si>
  <si>
    <t>Instituto Raul Soares</t>
  </si>
  <si>
    <t>2023_NIKOLAS_FERREIRA_897_01</t>
  </si>
  <si>
    <t>2023_NIKOLAS_FERREIRA</t>
  </si>
  <si>
    <t>897</t>
  </si>
  <si>
    <t>Nikolas Ferreira</t>
  </si>
  <si>
    <t>2023_NIKOLAS_FERREIRA_898_01</t>
  </si>
  <si>
    <t>898</t>
  </si>
  <si>
    <t>ao reforço de dotação orçamentária para atendimento ao Hospital Madre Teresa/Instituto das Pequenas Missionárias de Maria Imaculada, inscrita sob CNPJ de nº 60.194.990/0008-44.</t>
  </si>
  <si>
    <t>2023_NIKOLAS_FERREIRA_899_01</t>
  </si>
  <si>
    <t>899</t>
  </si>
  <si>
    <t>Destinação de recursos para Associação Servindo e Protegendo - ASSEP, CNPJ 08.949.099/0001-84, para a execução de atividades socioassistenciais, de acordo com o disposto na Lei Federal nº 8.742/93, em consonância com a referida inscrição no Conselho Municipal de Assistência Social de Belo Horizonte – CMAS-BH.</t>
  </si>
  <si>
    <t>2023_NIKOLAS_FERREIRA_900_01</t>
  </si>
  <si>
    <t>900</t>
  </si>
  <si>
    <t>à compra de materiais de consumo e ao custeio de insumos hospitalares para a Unidade de Pronto Atendimento - UPA - Oeste, localizada na Avenida Barão Homem de Melo, nº 1710, bairro Jardim América.</t>
  </si>
  <si>
    <t>28560</t>
  </si>
  <si>
    <t>Avenida Barão Homem de Melo, nº 1710, bairro Jardim América.</t>
  </si>
  <si>
    <t>Unidade de Pronto Atendimento - UPA - Oeste, localizada na Avenida Barão Homem de Melo, nº 1710, bairro Jardim América.</t>
  </si>
  <si>
    <t>2023_NIKOLAS_FERREIRA_901_01</t>
  </si>
  <si>
    <t>901</t>
  </si>
  <si>
    <t>à compra de materiais permanentes e equipamentos hospitalares para a Unidade de Pronto Atendimento - UPA Oeste, localizada na Avenida Barão Homem de Melo, nº 1710, bairro Jardim América.</t>
  </si>
  <si>
    <t>54177.66</t>
  </si>
  <si>
    <t>53197.66</t>
  </si>
  <si>
    <t>HOFFMANNLAB PRODUTOS PARA LABORATORIO LTDA; PRIME SYSTEM LTDA; ROYAL ATACADISTA E COMERCIO LTDA</t>
  </si>
  <si>
    <t>2023_NIKOLAS_FERREIRA_902_01</t>
  </si>
  <si>
    <t>902</t>
  </si>
  <si>
    <t>à compra de materiais de consumo e ao custeio de insumos hospitalares para a Unidade de Pronto Atendimento - UPA Venda Nova, localizada na Rua Padre Pedro Pinto, 175, bairro Venda Nova.</t>
  </si>
  <si>
    <t>Rua Padre Pedro Pinto, 175, bairro Venda Nova.</t>
  </si>
  <si>
    <t>Unidade de Pronto Atendimento - UPA Venda Nova, localizada na Rua Padre Pedro Pinto, 175, bairro Venda Nova.</t>
  </si>
  <si>
    <t>2023_NIKOLAS_FERREIRA_903_01</t>
  </si>
  <si>
    <t>903</t>
  </si>
  <si>
    <t>à compra de equipamentos e materiais permanentes para a Unidade de Pronto Atendimento - UPA Venda Nova, localizada na Rua Padre Pedro Pinto, nº 175, bairro Venda Nova.</t>
  </si>
  <si>
    <t>45166</t>
  </si>
  <si>
    <t>2023_NIKOLAS_FERREIRA_904_01</t>
  </si>
  <si>
    <t>904</t>
  </si>
  <si>
    <t>à compra de materiais de consumo e ao custeio de insumos hospitalares para a Unidade de Pronto Atendimento - UPA Barreiro, localizada na Av. Aurélio Lopes, nº 20, bairro Diamante.</t>
  </si>
  <si>
    <t>Av. Aurélio Lopes, nº 20, bairro Diamante.</t>
  </si>
  <si>
    <t>Unidade de Pronto Atendimento - UPA Barreiro, localizada na Av. Aurélio Lopes, nº 20, bairro Diamante.</t>
  </si>
  <si>
    <t>2023_NIKOLAS_FERREIRA_905_01</t>
  </si>
  <si>
    <t>905</t>
  </si>
  <si>
    <t>à compra de materiais permanentes e equipamentos hospitalares para a Unidade de Pronto Atendimento - UPA Barreiro, localizada na Av. Aurélio Lopes, nº 20, bairro Diamante.</t>
  </si>
  <si>
    <t>33880</t>
  </si>
  <si>
    <t>2023_NIKOLAS_FERREIRA_906_01</t>
  </si>
  <si>
    <t>906</t>
  </si>
  <si>
    <t>à compra de materiais de consumo e ao custeio de insumos hospitalares para o Centro de Saúde Waldomiro Lobo, localizada na Avenida Amazonas, nº 8.889, bairro Madre Gertrudes.</t>
  </si>
  <si>
    <t>28968.41</t>
  </si>
  <si>
    <t>Centro de Saúde Waldomiro Lobo</t>
  </si>
  <si>
    <t>Centro de Saúde Waldomiro Lobo, localizada na Avenida Amazonas, nº 8.889, bairro Madre Gertrudes.</t>
  </si>
  <si>
    <t>2023_NIKOLAS_FERREIRA_907_01</t>
  </si>
  <si>
    <t>907</t>
  </si>
  <si>
    <t>à compra de materiais permanentes e equipamentos hospitalares para o Centro de Saúde Waldomiro Lobo, localizado na Avenida Amazonas, nº 8.889, bairro Madre Gertrudes.</t>
  </si>
  <si>
    <t>30503.72</t>
  </si>
  <si>
    <t>D3JF EMPREENDIMENTOS COMERCIAIS LTDA; KIENTRO BRASIL LTDA; SUPORTH CIRURGICA PONTA GROSSA LTDA</t>
  </si>
  <si>
    <t>2023_NIKOLAS_FERREIRA_908_01</t>
  </si>
  <si>
    <t>908</t>
  </si>
  <si>
    <t>à compra de materiais de consumo e ao custeio de insumos hospitalares para o Centro de Saúde Padre Fernando de Melo, localizado na Rua Conceição Vidigal Paulucci, nº 150, bairro Palmares.</t>
  </si>
  <si>
    <t>29520.68</t>
  </si>
  <si>
    <t>Centro de Saúde Padre Fernando de Melo, localizado na Rua Conceição Vidigal Paulucci, nº 150, bairro Palmares.</t>
  </si>
  <si>
    <t>2023_NIKOLAS_FERREIRA_909_01</t>
  </si>
  <si>
    <t>909</t>
  </si>
  <si>
    <t>à compra de materiais permanentes e equipamentos hospitalares para o Centro de Saúde Padre Fernando de Melo, localizado na Rua Conceição Vidigal Paulucci, nº 150, bairro Palmares.</t>
  </si>
  <si>
    <t>27257.51</t>
  </si>
  <si>
    <t>24842.51</t>
  </si>
  <si>
    <t>ACAT SOLUCOES E COMERCIO LTDA; BOSCO FELIPE COMERCIO LTDA; CASA DE PESCA SOLIMOES LTDA; ML DO BRASIL EMPREENDIMENTOS COMERCIAIS LTDA; PREPAVE COMERCIO DE MOVEIS E EQUIPAMENTOS LTDA; SUL AGUA EQUIPAMENTOS LTDA</t>
  </si>
  <si>
    <t xml:space="preserve"> Rua Conceição Vidigal Paulucci, nº 150, bairro Palmares.</t>
  </si>
  <si>
    <t>2023_NIKOLAS_FERREIRA_910_01</t>
  </si>
  <si>
    <t>910</t>
  </si>
  <si>
    <t>à compra de materiais de consumo e ao custeio de insumos hospitalares para o Centro de Saúde Vale do Jatobá, localizado na Rua Domício Gabriel de Vasconcelos, nº 100, bairro Vale do Jatobá.</t>
  </si>
  <si>
    <t>29932.48</t>
  </si>
  <si>
    <t>Rua Domício Gabriel de Vasconcelos, nº 100, bairro Vale do Jatobá</t>
  </si>
  <si>
    <t>Centro de Saúde Vale do Jatobá, localizado na Rua Domício Gabriel de Vasconcelos, nº 100, bairro Vale do Jatobá</t>
  </si>
  <si>
    <t>2023_NIKOLAS_FERREIRA_911_01</t>
  </si>
  <si>
    <t>911</t>
  </si>
  <si>
    <t>à compra de materiais permanentes e equipamentos hospitalares para o Centro de Saúde Vale do Jatobá, localizado na Rua Domício Gabriel de Vasconcelos, nº 100, bairro Vale do Jatobá.</t>
  </si>
  <si>
    <t>18048.34</t>
  </si>
  <si>
    <t>15438.34</t>
  </si>
  <si>
    <t>B. D. R. COMERCIO DE EQUIPAMENTOS LTDA; CASA DE PESCA SOLIMOES LTDA; D3JF EMPREENDIMENTOS COMERCIAIS LTDA; KIENTRO BRASIL LTDA; SUL AGUA EQUIPAMENTOS LTDA</t>
  </si>
  <si>
    <t>2023_NIKOLAS_FERREIRA_912_01</t>
  </si>
  <si>
    <t>912</t>
  </si>
  <si>
    <t>à compra de materiais de consumo e ao custeio de insumos hospitalares para o Centro de Saúde Novo Horizonte, localizado na Rua Pedro Alexandrino de Mendonça, nº 12, bairro Taquaril.</t>
  </si>
  <si>
    <t>29992.77</t>
  </si>
  <si>
    <t>Rua Pedro Alexandrino de Mendonça, nº 12, bairro Taquaril.</t>
  </si>
  <si>
    <t>Centro de Saúde Novo Horizonte, localizado na Rua Pedro Alexandrino de Mendonça, nº 12, bairro Taquaril.</t>
  </si>
  <si>
    <t>2023_NIKOLAS_FERREIRA_913_01</t>
  </si>
  <si>
    <t>913</t>
  </si>
  <si>
    <t>à compra de materiais permanentes e equipamentos hospitalares para o Centro de Saúde Novo Horizonte, localizado na Rua Pedro Alexandrino de Mendonça, nº 12, bairro Taquaril.</t>
  </si>
  <si>
    <t>4427.22</t>
  </si>
  <si>
    <t>2023_NIKOLAS_FERREIRA_914_01</t>
  </si>
  <si>
    <t>914</t>
  </si>
  <si>
    <t>à compra de materiais de consumo e ao custeio de insumos hospitalares para o Centro de Saúde Ouro Preto, localizado na Rua Jonas Jean, nº 77, bairro Ouro Preto.</t>
  </si>
  <si>
    <t>24565.5</t>
  </si>
  <si>
    <t>Rua Jonas Jean, nº 77, bairro Ouro Preto.</t>
  </si>
  <si>
    <t>Centro de Saúde Ouro Preto, localizado na Rua Jonas Jean, nº 77, bairro Ouro Preto.</t>
  </si>
  <si>
    <t>2023_NIKOLAS_FERREIRA_915_01</t>
  </si>
  <si>
    <t>915</t>
  </si>
  <si>
    <t>à compra de materiais permanentes e equipamentos hospitalares para o Centro de Saúde Ouro Preto, localizado na Rua Jonas Jean, nº 77, bairro Ouro Preto.</t>
  </si>
  <si>
    <t>28626.22</t>
  </si>
  <si>
    <t>15681.22</t>
  </si>
  <si>
    <t>3681.22</t>
  </si>
  <si>
    <t>B. D. R. COMERCIO DE EQUIPAMENTOS LTDA; BENZER TECNOLOGIA LTDA; BOSCO FELIPE COMERCIO LTDA; ML DO BRASIL EMPREENDIMENTOS COMERCIAIS LTDA; PREPAVE COMERCIO DE MOVEIS E EQUIPAMENTOS LTDA</t>
  </si>
  <si>
    <t>2023_NIKOLAS_FERREIRA_916_01</t>
  </si>
  <si>
    <t>916</t>
  </si>
  <si>
    <t>ao custeio de obras e Manutenção de Rede de Drenagem na Avenida Sideral entre Rua Caraí e Beco São José - Bairro Madre Gertrudes, Região Oeste.</t>
  </si>
  <si>
    <t>2700.1751200661.400.449051.F.500</t>
  </si>
  <si>
    <t>1400</t>
  </si>
  <si>
    <t>GESTÃO DO RISCO DE INUNDAÇÕES E DRENAGEM URBANA</t>
  </si>
  <si>
    <t>356266</t>
  </si>
  <si>
    <t>Avenida Sideral entre Rua Caraí e Beco São José - Bairro Madre Gertrudes, Região Oeste.</t>
  </si>
  <si>
    <t>2023_NIKOLAS_FERREIRA_917_01</t>
  </si>
  <si>
    <t>917</t>
  </si>
  <si>
    <t>à compra de materiais de consumo e ao custeio de insumos hospitalares para o Centro de Saúde Dom Orione, localizado na Avenida Otacílio Negrão de Lima, nº 2.220, bairro São Luiz.</t>
  </si>
  <si>
    <t>29222.14</t>
  </si>
  <si>
    <t>Avenida Otacílio Negrão de Lima, nº 2.220, bairro São Luiz.</t>
  </si>
  <si>
    <t>Centro de Saúde Dom Orione, localizado na Avenida Otacílio Negrão de Lima, nº 2.220, bairro São Luiz.</t>
  </si>
  <si>
    <t>2023_NIKOLAS_FERREIRA_918_01</t>
  </si>
  <si>
    <t>à compra de materiais permanentes e equipamentos hospitalares para o Centro de Saúde Dom Orione, localizado na Avenida Otacílio Negrão de Lima, nº 2.220, bairro São Luiz.</t>
  </si>
  <si>
    <t>75026.55</t>
  </si>
  <si>
    <t>DLS COMERCIO LTDA; DORATEC COMERCIO DE SUPRIMENTOS DE INFORMATICA LTDA; LITS BRASIL LTDA</t>
  </si>
  <si>
    <t>2023_NIKOLAS_FERREIRA_919_01</t>
  </si>
  <si>
    <t>919</t>
  </si>
  <si>
    <t>à compra de materiais de consumo e ao custeio de insumos hospitalares para o Centro de Saúde Jardim Guanabara, localizado na Rua Fanny Martins de Barros, nº 71, bairro Jardim Guanabara</t>
  </si>
  <si>
    <t>29910.47</t>
  </si>
  <si>
    <t>Rua Fanny Martins de Barros, nº 71, bairro Jardim Guanabara</t>
  </si>
  <si>
    <t>Centro de Saúde Jardim Guanabara, localizado na Rua Fanny Martins de Barros, nº 71, bairro Jardim Guanabara</t>
  </si>
  <si>
    <t>2023_NIKOLAS_FERREIRA_920_01</t>
  </si>
  <si>
    <t>920</t>
  </si>
  <si>
    <t>à compra de materiais permanentes e equipamentos hospitalares para o Centro de Saúde Jardim Guanabara, localizado na Rua Fanny Martins de Barros, nº 71, bairro Jardim Guanabara</t>
  </si>
  <si>
    <t>2684.22</t>
  </si>
  <si>
    <t>2023_NIKOLAS_FERREIRA_921_01</t>
  </si>
  <si>
    <t>921</t>
  </si>
  <si>
    <t>à Ação Social Filadélfia, CNPJ 23.374.853/0001-99, localizada à Rua Epaminondas Otoni 315/265 Bairro Vista Alegre, para a execução de atividades socioassistenciais, de acordo com o disposto na Lei Federal nº 8.742/93, em consonância com a referida inscrição no Conselho Municipal de Assistência Social de Belo Horizonte – CMAS-BH.</t>
  </si>
  <si>
    <t>Rua Epaminondas Otoni 315/265 Bairro Vista Alegre</t>
  </si>
  <si>
    <t>Ação Social Filadélfia, CNPJ 23.374.853/0001-99, localizada à Rua Epaminondas Otoni 315/265 Bairro Vista Alegre</t>
  </si>
  <si>
    <t>2023_NIKOLAS_FERREIRA_922_01</t>
  </si>
  <si>
    <t>922</t>
  </si>
  <si>
    <t>À Casa Mãe Oásis da Imaculada, CNPJ 27.829.347/0001-06, para execução de atividades socioassistenciais, de acordo com o disposto na Lei Federal nº 8.742/93, em consonância com a referida inscrição no Conselho Municipal de Assistência Social de Belo Horizonte - CMAS-BH e o seu respectivo plano de ação;</t>
  </si>
  <si>
    <t>2023_NIKOLAS_FERREIRA_923_01</t>
  </si>
  <si>
    <t>923</t>
  </si>
  <si>
    <t>Destinação de recursos para isntituto Pedra Viva, CNPJ 08.878.503/0001-76, para a execução de atividades socioassistenciais, de acordo com o disposto na Lei Federal nº 8.742/93, em consonância com a referida inscrição no Conselho Municipal de Assistência Social de Belo Horizonte – CMAS-BH.</t>
  </si>
  <si>
    <t>2023_NIKOLAS_FERREIRA_924_01</t>
  </si>
  <si>
    <t>924</t>
  </si>
  <si>
    <t>à compra de materiais de consumo e ao custeio de insumos hospitalares para o Hospital Metropolitano Odilon Behrens, inscrito no CNEAS 2192896.</t>
  </si>
  <si>
    <t>2023_NIKOLAS_FERREIRA_925_01</t>
  </si>
  <si>
    <t>925</t>
  </si>
  <si>
    <t>Destinação de recursos para o Instituto Herdar, CNPJ 09.047.452/0001-01, para a execução de atividades socioassistenciais, de acordo com o disposto na Lei Federal nº 8.742/93, em consonância com a referida inscrição no Conselho Municipal de Assistência Social de Belo Horizonte – CMAS-BH.</t>
  </si>
  <si>
    <t>criancas; jovens; idosos</t>
  </si>
  <si>
    <t>2023_NIKOLAS_FERREIRA_926_01</t>
  </si>
  <si>
    <t>926</t>
  </si>
  <si>
    <t>Destinação de recursos para a Associação 1º de Maio da Vila Vista Alegre, CNPJ 21.127.840/0001-90, para a execução de atividades socioassistenciais, de acordo com o disposto na Lei Federal nº 8.742/93, em consonância com a referida inscrição no Conselho Municipal de Assistência Social de Belo Horizonte – CMAS-BH.</t>
  </si>
  <si>
    <t>2023_NIKOLAS_FERREIRA_927_01</t>
  </si>
  <si>
    <t>927</t>
  </si>
  <si>
    <t>Destinação de recursos para a Associação Artística e Assistencial Glenda Linhares, CNPJ 15.432.840/0001-09, para a execução de atividades socioassistenciais, de acordo com o disposto na Lei Federal nº 8.742/93, em consonância com a referida inscrição no Conselho Municipal de Assistência Social de Belo Horizonte – CMAS-BH.</t>
  </si>
  <si>
    <t>2023_NIKOLAS_FERREIRA_928_01</t>
  </si>
  <si>
    <t>928</t>
  </si>
  <si>
    <t>Destinação de recursos para a Casa de Apoio Porto Esperança, CNPJ 05.828.995/0001-05, para a execução de atividades socioassistenciais, de acordo com o disposto na Lei Federal nº 8.742/93, em consonância com a referida inscrição no Conselho Municipal de Assistência Social de Belo Horizonte – CMAS-BH.</t>
  </si>
  <si>
    <t>2023_NIKOLAS_FERREIRA_930_01</t>
  </si>
  <si>
    <t>930</t>
  </si>
  <si>
    <t>Reforço de dotação orçamentaria para disponibilização de tecnologia adequada ao treinamento da Guarda Municipal, para prática de técnica de tiro em ambientes virtuais, objetivando o aumento da experiência de resolução de conflitos com intervenções policiais armadas.</t>
  </si>
  <si>
    <t>2100.0618101092.803.449052.F.500</t>
  </si>
  <si>
    <t>181</t>
  </si>
  <si>
    <t>POLICIAMENTO</t>
  </si>
  <si>
    <t>2803</t>
  </si>
  <si>
    <t>OPERACIONALIZAÇÃO DA GUARDA MUNICIPAL DE BELO HORIZONTE</t>
  </si>
  <si>
    <t>700000</t>
  </si>
  <si>
    <t>691579.32</t>
  </si>
  <si>
    <t>2023_PEDRO_PATRUS_764_01</t>
  </si>
  <si>
    <t>2023_PEDRO_PATRUS</t>
  </si>
  <si>
    <t>764</t>
  </si>
  <si>
    <t>Pedro Patrus</t>
  </si>
  <si>
    <t>Custeio para elaboração de projeto para a implementação da Rede Municipal de Enfrentamento à Violência contra Mulheres e Meninas de Belo Horizonte e elaboração do Protocolo Municipal de Atenção às Mulheres em Situação de Violência.</t>
  </si>
  <si>
    <t>1000.1442201272.840.339039.F.500</t>
  </si>
  <si>
    <t>2840</t>
  </si>
  <si>
    <t>PROMOÇÃO, PROTEÇÃO E DEFESA DE DIREITOS DAS MULHERES</t>
  </si>
  <si>
    <t>2023_PEDRO_PATRUS_765_01</t>
  </si>
  <si>
    <t>765</t>
  </si>
  <si>
    <t>Promoção de cidadania e proteção das trabalhadoras sexuais com projeto a ser desenvolvido a partir de escuta qualificada e demanda da sociedade civil organizada</t>
  </si>
  <si>
    <t>0202</t>
  </si>
  <si>
    <t>Trabalhadoras Sexuais</t>
  </si>
  <si>
    <t>2023_PEDRO_PATRUS_766_01</t>
  </si>
  <si>
    <t>766</t>
  </si>
  <si>
    <t>Qualificação e Formação para atender os públicos prioritários da Política de Agricultura Urbana.</t>
  </si>
  <si>
    <t>1010.2060803082.121.339039.F.500</t>
  </si>
  <si>
    <t>SERVICO DE APOIO AS MICRO E PEQUENAS EMPRESAS DE MINAS GERAIS SEBRAE/MG</t>
  </si>
  <si>
    <t>2023_PEDRO_PATRUS_767_01</t>
  </si>
  <si>
    <t>767</t>
  </si>
  <si>
    <t>à organização da sociedade civil "Obra Social Itaka Escolápios", de CNPJ - 17.218.991/0004-29, para execução do projeto Protagonizarte: ecoando o Estatudo da Criança e do Adolescente</t>
  </si>
  <si>
    <t>2023_PEDRO_PATRUS_768_01</t>
  </si>
  <si>
    <t>768</t>
  </si>
  <si>
    <t>ao reforço de dotação orçamentária destinado à Conferência Municipal de Políticas para Migrantes</t>
  </si>
  <si>
    <t>2023_PEDRO_PATRUS_769_01</t>
  </si>
  <si>
    <t>769</t>
  </si>
  <si>
    <t>Formação/capacitação para discutir a questão étnico-racial na política de Assistência Social do município de BH</t>
  </si>
  <si>
    <t>1011.0824401132.916.339039.S.500</t>
  </si>
  <si>
    <t>2916</t>
  </si>
  <si>
    <t>GESTÃO DO TRABALHO E EDUCAÇÃO PERMANENTE DO SUAS</t>
  </si>
  <si>
    <t>FUNDACAO INSTITUTO DE PESQUISAS ECONOMICAS, ADMINISTRATIVAS E CONTABEIS DE MINAS GERAIS IPEAD</t>
  </si>
  <si>
    <t>2023_PEDRO_PATRUS_770_01</t>
  </si>
  <si>
    <t>770</t>
  </si>
  <si>
    <t>à aquisição e instalação de equipamentos para o CRESAN visando a melhoria no atendimento das ações de qualificação nas trilhas da gastronomia, que atendem diversos públicos em situação de vulnerabilidade com vistas à geração de emprego e renda.</t>
  </si>
  <si>
    <t>1010.1133303082.923.449052.F.500</t>
  </si>
  <si>
    <t>333</t>
  </si>
  <si>
    <t>EMPREGABILIDADE</t>
  </si>
  <si>
    <t>2923</t>
  </si>
  <si>
    <t>VALORIZAÇÃO DA GASTRONOMIA ARTICULADA À AGROECOLOGIA</t>
  </si>
  <si>
    <t>14456.7</t>
  </si>
  <si>
    <t>2023_PEDRO_PATRUS_771_01</t>
  </si>
  <si>
    <t>771</t>
  </si>
  <si>
    <t>apoio ao custeio da Parada do Orgulho LGBT de Belo Horizonte em 2023</t>
  </si>
  <si>
    <t>2023_PEDRO_PATRUS_772_01</t>
  </si>
  <si>
    <t>772</t>
  </si>
  <si>
    <t>ao reforço de dotação orçamentária para o Centro de Saúde Ventosa.</t>
  </si>
  <si>
    <t>Centro de Saúde Ventosa.</t>
  </si>
  <si>
    <t>2023_PEDRO_PATRUS_773_01</t>
  </si>
  <si>
    <t>773</t>
  </si>
  <si>
    <t>ao reforço orçamentário do CENTRO DE SAÚDE JARDIM FELICIDADE</t>
  </si>
  <si>
    <t>CENTRO DE SAÚDE JARDIM FELICIDADE</t>
  </si>
  <si>
    <t>2023_PEDRO_PATRUS_774_01</t>
  </si>
  <si>
    <t>774</t>
  </si>
  <si>
    <t>ao reforço orçamentário do Centro de Saúde São Marcos.</t>
  </si>
  <si>
    <t>2302.1030101572.690.339030.S.500 2302.1030101572.690.339037.S.500</t>
  </si>
  <si>
    <t>196732</t>
  </si>
  <si>
    <t>Centro de Saúde São Marcos.</t>
  </si>
  <si>
    <t>2023_PEDRO_PATRUS_775_01</t>
  </si>
  <si>
    <t>775</t>
  </si>
  <si>
    <t>ao reforço orçamentário do Centro de Saúde Cafezal.</t>
  </si>
  <si>
    <t>130987.41</t>
  </si>
  <si>
    <t>Centro de Saúde Cafezal.</t>
  </si>
  <si>
    <t>2023_PEDRO_PATRUS_776_01</t>
  </si>
  <si>
    <t>776</t>
  </si>
  <si>
    <t>ao reforço de dotação orçcamentária ao Centro de Saúde Primeiro de Maio</t>
  </si>
  <si>
    <t>2023_PEDRO_PATRUS_777_01</t>
  </si>
  <si>
    <t>777</t>
  </si>
  <si>
    <t>ao reforço orçamentário para o Centro de Saúde João Pinheiro</t>
  </si>
  <si>
    <t>Centro de Saúde João Pinheiro</t>
  </si>
  <si>
    <t>2023_PEDRO_PATRUS_778_01</t>
  </si>
  <si>
    <t>778</t>
  </si>
  <si>
    <t>ao reforço orçamentário para material de custeio ao Hospital Sofia Feldman</t>
  </si>
  <si>
    <t>2023_PEDRO_PATRUS_779_01</t>
  </si>
  <si>
    <t>779</t>
  </si>
  <si>
    <t>ao reforço de dotação orçamentária para o HOSPITAL METROPOLITANO ODILON BEHRENS</t>
  </si>
  <si>
    <t>HOSPITAL METROPOLITANO ODILON BEHRENS</t>
  </si>
  <si>
    <t>2023_PEDRO_PATRUS_780_01</t>
  </si>
  <si>
    <t>780</t>
  </si>
  <si>
    <t>ao projeto de geração de renda com Povos e Comunidades Tradicionais de Matriz Africana no município de Belo Horizonte</t>
  </si>
  <si>
    <t>1000.1442201272.386.339039.F.500</t>
  </si>
  <si>
    <t>Povos e comunidades tradicionais de matriz africana</t>
  </si>
  <si>
    <t>2023_PEDRO_PATRUS_781_01</t>
  </si>
  <si>
    <t>781</t>
  </si>
  <si>
    <t>Consultoria para metodologia de diagnóstico de Unidades Territoriais Tradicionais de Matriz Africana</t>
  </si>
  <si>
    <t>2023_PEDRO_PATRUS_782_01</t>
  </si>
  <si>
    <t>782</t>
  </si>
  <si>
    <t>Oferta de capacitação técnica e profissionalizante para o público com trajetória pela Casa de Acolhimento LGBT.</t>
  </si>
  <si>
    <t>93000</t>
  </si>
  <si>
    <t>2023_PEDRO_PATRUS_783_01</t>
  </si>
  <si>
    <t>783</t>
  </si>
  <si>
    <t>à capacitação em produção musical e técnica de estúdio de som para jovens, com supervisão para utilização do estúdio de música do CRJ para o público da unidade.</t>
  </si>
  <si>
    <t>Rua Guaicurus, 50 - Centro, Belo Horizonte - MG, 30111-060</t>
  </si>
  <si>
    <t>2023_PEDRO_PATRUS_784_01</t>
  </si>
  <si>
    <t>784</t>
  </si>
  <si>
    <t>ao reforço orçamentário para compra de mobiliário para as residências terapeuticas.</t>
  </si>
  <si>
    <t>2302.1030201142.891.335043.S.500
2302.1030201142.891.449052.S.500</t>
  </si>
  <si>
    <t>2023_PEDRO_PATRUS_785_01</t>
  </si>
  <si>
    <t>785</t>
  </si>
  <si>
    <t>ao reforço de dotação para compra de equipamentos e material permanente.</t>
  </si>
  <si>
    <t>3103.1312201462.906.449052.F.500</t>
  </si>
  <si>
    <t>2906</t>
  </si>
  <si>
    <t>REQUALIFICAÇÃO DAS UNIDADES E ESPAÇOS CULTURAIS</t>
  </si>
  <si>
    <t>51121.67</t>
  </si>
  <si>
    <t>2023_PEDRO_PATRUS_786_01</t>
  </si>
  <si>
    <t>786</t>
  </si>
  <si>
    <t>Para reforma da quadra do Centro de Saúde Vila Leonina</t>
  </si>
  <si>
    <t>19939.77</t>
  </si>
  <si>
    <t>Centro de Saúde Vila Leonina</t>
  </si>
  <si>
    <t>2023_PEDRO_PATRUS_787_01</t>
  </si>
  <si>
    <t>787</t>
  </si>
  <si>
    <t>à aquisição de computadores, softwares e desenvolvimento de painéis de monitoramento para o aprimoramento da Vigilância Socioassistencial no Município.</t>
  </si>
  <si>
    <t>1011.0824401132.350.449052.S.500</t>
  </si>
  <si>
    <t>2350</t>
  </si>
  <si>
    <t>VIGILÂNCIA SOCIOASSISTENCIAL</t>
  </si>
  <si>
    <t>194737.2</t>
  </si>
  <si>
    <t>2023_PEDRO_PATRUS_788_01</t>
  </si>
  <si>
    <t>788</t>
  </si>
  <si>
    <t>Reforço orçamentário para melhorias do Centro de Saúde Vila Leonina</t>
  </si>
  <si>
    <t>55629.84</t>
  </si>
  <si>
    <t>2023_PEDRO_PATRUS_789_01</t>
  </si>
  <si>
    <t>789</t>
  </si>
  <si>
    <t>ao diagnóstico e desenvolvimento da documentação referente às doações de obras de arte no período de 2000 a 2022, incluindo os registros e inserção no sistema de banco de dados.</t>
  </si>
  <si>
    <t>3103.1339101552.908.339039.F.500</t>
  </si>
  <si>
    <t>2908</t>
  </si>
  <si>
    <t>PRESERVAÇÃO DO PATRIMÔNIO CULTURAL</t>
  </si>
  <si>
    <t>2023_PEDRO_PATRUS_790_01</t>
  </si>
  <si>
    <t>790</t>
  </si>
  <si>
    <t>ao reforço orçamentário do projeto de reciclagem em implantação na Serra.</t>
  </si>
  <si>
    <t>2708.1751202282.537.339039.F.500</t>
  </si>
  <si>
    <t>2537</t>
  </si>
  <si>
    <t>TRATAMENTO E DESTINAÇÃO DE RESÍDUOS SÓLIDOS</t>
  </si>
  <si>
    <t>0707</t>
  </si>
  <si>
    <t>2023_PROFESSOR_CLAUDINEY_DULIM_891_01</t>
  </si>
  <si>
    <t>2023_PROFESSOR_CLAUDINEY_DULIM</t>
  </si>
  <si>
    <t>891</t>
  </si>
  <si>
    <t>Professor Claudiney Dulim</t>
  </si>
  <si>
    <t>ao aprimoramento das atividades desenvolvidas pela Associação Artística e Assistencial Glenda Linhares - AGL, CNPJ 15.432.840/0001-09, para a execução de atividades socioassistenciais, de acordo com o disposto na Lei Federal nº 8.742/93, em consonância com a referida inscrição no Conselho Municipal de Assistência Social de Belo Horizonte – CMAS-BH</t>
  </si>
  <si>
    <t>2023_PROFESSOR_CLAUDINEY_DULIM_892_01</t>
  </si>
  <si>
    <t>892</t>
  </si>
  <si>
    <t>ao aprimoramento das atividades desenvolvidas pela Adotar - Adotando Vidas, CNPJ 15.671.055/0001-09, para a execução de atividades socioassistenciais, de acordo com o disposto na Lei Federai n° 8.742/93, em consonância com a referida inscrição no Conselho Municipal de Assistência Social de Belo Horizonte - CMAS-BH</t>
  </si>
  <si>
    <t>2023_PROFESSOR_CLAUDINEY_DULIM_893_01</t>
  </si>
  <si>
    <t>893</t>
  </si>
  <si>
    <t>ao aprimoramento das atividades desenvolvidas pela Associação Brasileira Comunitária para a Prevenção do Abuso de Drogas - ABRAÇO, CNPJ 25.572.199.000153, para a execução de atividades socioassistenciais, de acordo com o disposto na Lei Federal nº 8.742/93, em consonância com a referida inscrição no Conselho Municipal de Assistência Social de Belo Horizonte – CMAS-BH</t>
  </si>
  <si>
    <t>2023_PROFESSOR_CLAUDINEY_DULIM_894_01</t>
  </si>
  <si>
    <t>894</t>
  </si>
  <si>
    <t>ao reforço de dotação orçamentária para intervenções de obras de manutenção e de infraestrutura na cidade de Belo Horizonte, com foco nas regionais Oeste, Barreiro e Nordeste.</t>
  </si>
  <si>
    <t>812532</t>
  </si>
  <si>
    <t>620858.03</t>
  </si>
  <si>
    <t>CONSTRUTORA CONTORNO LTDA</t>
  </si>
  <si>
    <t>regionais Oeste, Barreiro e Nordeste.</t>
  </si>
  <si>
    <t>2023_PROFESSOR_CLAUDINEY_DULIM_895_01</t>
  </si>
  <si>
    <t>895</t>
  </si>
  <si>
    <t>ao reforço de dotação orçamentária para atendimento ao Hospital Metropolitano Odilon Behrens - CNES 2192896 - CNPJ 16.692.121/0001-81</t>
  </si>
  <si>
    <t>1612532</t>
  </si>
  <si>
    <t>Hospital Metropolitano Odilon Behrens - CNES 2192896</t>
  </si>
  <si>
    <t>2023_PROFESSOR_JULIANO_LOPES_980_01</t>
  </si>
  <si>
    <t>2023_PROFESSOR_JULIANO_LOPES</t>
  </si>
  <si>
    <t>980</t>
  </si>
  <si>
    <t>Professor Juliano Lopes</t>
  </si>
  <si>
    <t>à pavimentação asfáltica na Regional Barreiro.</t>
  </si>
  <si>
    <t>450000</t>
  </si>
  <si>
    <t>402365.18</t>
  </si>
  <si>
    <t>2023_PROFESSOR_JULIANO_LOPES_981_01</t>
  </si>
  <si>
    <t>981</t>
  </si>
  <si>
    <t>à instalação de grama natural no campo do Centro Esportivo José Calegário de Cristo (5.760 m^2) - Rua Ulisses Surette, 386 - Solar do Barreiro, Belo Horizonte - MG, 30628-270.</t>
  </si>
  <si>
    <t>Rua Ulisses Surette, 386 - Solar do Barreiro, Belo Horizonte - MG, 30628-270.</t>
  </si>
  <si>
    <t>campo do Centro Esportivo José Calegário de Cristo (5.760 m^2) - Rua Ulisses Surette, 386 - Solar do Barreiro, Belo Horizonte - MG, 30628-270.</t>
  </si>
  <si>
    <t>2023_PROFESSOR_JULIANO_LOPES_982_01</t>
  </si>
  <si>
    <t>982</t>
  </si>
  <si>
    <t>Ao GEDAM GRUPO DE EDUCAÇãO DESENVOLVIMENTO E APOIO AO MENOR, CNPJ 22.444.723.0001-12, com logradouro a Rua Alameda do Grotão, nº 07 - Nova Barroca, para execução de atividades socioassistenciais.</t>
  </si>
  <si>
    <t xml:space="preserve"> Rua Alameda do Grotão, nº 07 - Nova Barroca</t>
  </si>
  <si>
    <t xml:space="preserve"> GEDAM GRUPO DE EDUCAÇãO DESENVOLVIMENTO E APOIO AO MENOR, CNPJ 22.444.723.0001-12, com logradouro a Rua Alameda do Grotão, nº 07 - Nova Barroca, para execução de atividades socioassistenciais.</t>
  </si>
  <si>
    <t>2023_PROFESSOR_JULIANO_LOPES_983_01</t>
  </si>
  <si>
    <t>983</t>
  </si>
  <si>
    <t>Ao INSTITUTO PEDRA VIVA, CNPJ 08.878.503/0001-76, com logradouro à Rua Itapecerica, nº 951, bairro Lagoinha, para execução de atividades socioassistenciais.</t>
  </si>
  <si>
    <t xml:space="preserve"> Rua Itapecerica, nº 951, bairro Lagoinha</t>
  </si>
  <si>
    <t>2023_PROFESSOR_JULIANO_LOPES_984_01</t>
  </si>
  <si>
    <t>984</t>
  </si>
  <si>
    <t>Ao reforço de dotação orçamentária para reforma da Academia da Cidade situada junto ao Centro de Saúde Diamante;</t>
  </si>
  <si>
    <t>2302.10.122.117.1.216.449051.S.500</t>
  </si>
  <si>
    <t>Academia da Cidade situada junto ao Centro de Saúde Diamante</t>
  </si>
  <si>
    <t>2023_PROFESSOR_JULIANO_LOPES_985_01</t>
  </si>
  <si>
    <t>985</t>
  </si>
  <si>
    <t>à instalação de câmeras de videomonitoramento nas ruas: Rua Aladim Correa de Faria (CEP 30.644.210), próximo ao nº 796, bairro Diamante ( uma unidade) - Praça Maldonado na Rua Francisco Duarte Mendonça, próximo ao nº 2010 - Bairro Teixeira Dias (uma unidade) - Rua Alcindo Gonçalves Cotta, nº 146 - Conjunto Ademar Maldonado - CEP 30.640.240 (uma unidade).</t>
  </si>
  <si>
    <t>199999.63</t>
  </si>
  <si>
    <t>Rua Aladim Correa de Faria (CEP 30.644.210), próximo ao nº 796, bairro Diamante ( uma unidade) - Praça Maldonado na Rua Francisco Duarte Mendonça, próximo ao nº 2010 - Bairro Teixeira Dias (uma unidade) - Rua Alcindo Gonçalves Cotta, nº 146 - Conjunto Ademar Maldonado - CEP 30.640.240 (uma unidade).</t>
  </si>
  <si>
    <t>2023_PROFESSOR_JULIANO_LOPES_986_01</t>
  </si>
  <si>
    <t>986</t>
  </si>
  <si>
    <t>ao custeio da Associação Evangélica Beneficente de Minas Gerais - Hospital Evangélico, CNPJ 17.214.743/0001-67.</t>
  </si>
  <si>
    <t>Hospital Evangélico</t>
  </si>
  <si>
    <t>2023_PROFESSOR_JULIANO_LOPES_987_01</t>
  </si>
  <si>
    <t>987</t>
  </si>
  <si>
    <t>à realização de ações de assistência social pela entidade Associação Mineira de Educação Continuada (ASMEC), CNPJ 05.263.848/0001-27.</t>
  </si>
  <si>
    <t>1011.1442201272.335.339039.F.500</t>
  </si>
  <si>
    <t>2335</t>
  </si>
  <si>
    <t>GESTÃO DA POLITICA DE DIREITOS HUMANOS E DE CIDADANIA</t>
  </si>
  <si>
    <t>2023_PROFESSOR_JULIANO_LOPES_988_01</t>
  </si>
  <si>
    <t>988</t>
  </si>
  <si>
    <t>à realização de ações de assistência social pela entidade do Centro Infanto Juvenil Crescer Sorrindo, CNPJ 19.133.636/0001-30.</t>
  </si>
  <si>
    <t>2023_PROFESSOR_JULIANO_LOPES_989_01</t>
  </si>
  <si>
    <t>989</t>
  </si>
  <si>
    <t>à manutenção e reforma do Centro de Saúde Diamante, localizado no bairro Diamante na Região do Barreiro.</t>
  </si>
  <si>
    <t>103279.98</t>
  </si>
  <si>
    <t>bairro Diamante na Região do Barreiro.</t>
  </si>
  <si>
    <t>Centro de Saúde Diamante, localizado no bairro Diamante na Região do Barreiro.</t>
  </si>
  <si>
    <t>2023_PROFESSOR_JULIANO_LOPES_990_01</t>
  </si>
  <si>
    <t>990</t>
  </si>
  <si>
    <t>reforço dos atendimentos da UPA BARREIRO - Região do Barreiro.</t>
  </si>
  <si>
    <t>602480</t>
  </si>
  <si>
    <t>Região do Barreiro.</t>
  </si>
  <si>
    <t>UPA BARREIRO - Região do Barreiro.</t>
  </si>
  <si>
    <t>2023_PROFESSOR_JULIANO_LOPES_991_01</t>
  </si>
  <si>
    <t>991</t>
  </si>
  <si>
    <t>ao reforço de dotação orçamentária para atendimento e custeio ao Hospital Julia Kubitschek (CNES 0027022).</t>
  </si>
  <si>
    <t xml:space="preserve"> Hospital Julia Kubitschek (CNES 0027022).</t>
  </si>
  <si>
    <t>2023_PROFESSOR_JULIANO_LOPES_992_01</t>
  </si>
  <si>
    <t>992</t>
  </si>
  <si>
    <t>ao custeio e ampliação de atendimento do Hospital Eduardo Menezes (CNES 2181770).</t>
  </si>
  <si>
    <t>Hospital Eduardo Menezes (CNES 2181770).</t>
  </si>
  <si>
    <t>2023_PROFESSOR_JULIANO_LOPES_993_01</t>
  </si>
  <si>
    <t>993</t>
  </si>
  <si>
    <t>à manutenção e reforma do Centro de Saúde Vila Cemig - Localizado no bairro Vila Cemig - Região do Barreiro.</t>
  </si>
  <si>
    <t>214383.77</t>
  </si>
  <si>
    <t xml:space="preserve"> bairro Vila Cemig - Região do Barreiro.</t>
  </si>
  <si>
    <t>Centro de Saúde Vila Cemig - Localizado no bairro Vila Cemig - Região do Barreiro.</t>
  </si>
  <si>
    <t>2023_PROFESSORA_MARLI_1087_01</t>
  </si>
  <si>
    <t>2023_PROFESSORA_MARLI</t>
  </si>
  <si>
    <t>1087</t>
  </si>
  <si>
    <t>Professora Marli</t>
  </si>
  <si>
    <t>reforço para manutenção no tratamento de pacientes do Hospital Evangélico de Belo Horizonte</t>
  </si>
  <si>
    <t>310000</t>
  </si>
  <si>
    <t xml:space="preserve"> Hospital Evangélico</t>
  </si>
  <si>
    <t>2023_PROFESSORA_MARLI_842_01</t>
  </si>
  <si>
    <t>842</t>
  </si>
  <si>
    <t>à reforma e melhorias do Centro de Saúde do Salgado Filho, na Região Oeste.</t>
  </si>
  <si>
    <t>122727.88</t>
  </si>
  <si>
    <t>118719.71</t>
  </si>
  <si>
    <t>Região Oeste</t>
  </si>
  <si>
    <t>Centro de Saúde do Salgado Filho, na Região Oeste</t>
  </si>
  <si>
    <t>2023_PROFESSORA_MARLI_843_01</t>
  </si>
  <si>
    <t>843</t>
  </si>
  <si>
    <t>à reforma e melhorias do Centro de Saúde Jardim Montanhês na Região Noroeste.</t>
  </si>
  <si>
    <t>Região Noroeste.</t>
  </si>
  <si>
    <t xml:space="preserve"> Centro de Saúde Jardim Montanhês na Região Noroeste.</t>
  </si>
  <si>
    <t>2023_PROFESSORA_MARLI_845_01</t>
  </si>
  <si>
    <t>845</t>
  </si>
  <si>
    <t>reforço para manutenção no tratamento de pacientes do Hospital Mário Pena / Luxemburgo. CNPJ -17.513.235/0001-80 -CNES-2200457</t>
  </si>
  <si>
    <t>Hospital Mário Pena / Luxemburgo.</t>
  </si>
  <si>
    <t>2023_PROFESSORA_MARLI_846_01</t>
  </si>
  <si>
    <t>846</t>
  </si>
  <si>
    <t>reforço para manutenção no tratamento de pacientes do Hospital Sofia Feldmam. CNPJ - 25.459.256/0001-92-CNES-0026794</t>
  </si>
  <si>
    <t>Hospital Sofia Feldmam. CNPJ - 25.459.256/0001-92-CNES-0026794</t>
  </si>
  <si>
    <t>2023_PROFESSORA_MARLI_848_01</t>
  </si>
  <si>
    <t>848</t>
  </si>
  <si>
    <t>reforço para manutenção no tratamento de pacientes do Hospital João Paulo II CNPJ 10.485.371/0001-64</t>
  </si>
  <si>
    <t>216266</t>
  </si>
  <si>
    <t>Hospital João Paulo II CNPJ 10.485.371/0001-64</t>
  </si>
  <si>
    <t>2023_PROFESSORA_MARLI_850_01</t>
  </si>
  <si>
    <t>850</t>
  </si>
  <si>
    <t>revitalização com pintura e equipamentos esportivos, no anfiteatro na Vila Senhor dos Passos - rua 15 de abril - Lagoinha - região Noroeste</t>
  </si>
  <si>
    <t>54382</t>
  </si>
  <si>
    <t>12475.32</t>
  </si>
  <si>
    <t>rua 15 de abril - Lagoinha - região Noroeste</t>
  </si>
  <si>
    <t>anfiteatro na Vila Senhor dos Passos - rua 15 de abril - Lagoinha - região Noroeste</t>
  </si>
  <si>
    <t>2023_PROFESSORA_MARLI_851_01</t>
  </si>
  <si>
    <t>851</t>
  </si>
  <si>
    <t>2023_PROFESSORA_MARLI_852_01</t>
  </si>
  <si>
    <t>852</t>
  </si>
  <si>
    <t>iluminação na quadra e revitalização - rua Drº João Carvalhais de Paiva 185 - São Cristóvão - região Noroeste</t>
  </si>
  <si>
    <t>47624.47</t>
  </si>
  <si>
    <t>Rua Drº João Carvalhais de Paiva 185 - São Cristóvão - região Noroeste</t>
  </si>
  <si>
    <t>2023_PROFESSORA_MARLI_853_01</t>
  </si>
  <si>
    <t>853</t>
  </si>
  <si>
    <t>realização de Rua de Lazer nas Comunidades em todas as regionais</t>
  </si>
  <si>
    <t>58130.720000000001</t>
  </si>
  <si>
    <t>101768.5</t>
  </si>
  <si>
    <t>2023_PROFESSORA_MARLI_854_01</t>
  </si>
  <si>
    <t>854</t>
  </si>
  <si>
    <t>corrida rústica voltada para pessoas com deficiências – PCD</t>
  </si>
  <si>
    <t>3000.2781201012.545.339039.F.500
3000.2781201012.545.339030.F.500</t>
  </si>
  <si>
    <t>175136.3</t>
  </si>
  <si>
    <t>2023_PROFESSORA_MARLI_855_01</t>
  </si>
  <si>
    <t>855</t>
  </si>
  <si>
    <t>instalação de brinquedos com acessibilidade nas praças públicas das regionais Noroeste, Oeste, Nordeste, Leste, Norte, Venda Nova, Centro Sul</t>
  </si>
  <si>
    <t>72997.48</t>
  </si>
  <si>
    <t>regionais Noroeste, Oeste, Nordeste, Leste, Norte, Venda Nova, Centro Sul</t>
  </si>
  <si>
    <t>criancas; PCDs</t>
  </si>
  <si>
    <t>2023_PROFESSORA_MARLI_856_01</t>
  </si>
  <si>
    <t>856</t>
  </si>
  <si>
    <t>ao reforço orçamentário para a manutenção da escola Municipal Oswaldo Pieruccetti na região Noroeste</t>
  </si>
  <si>
    <t>2200.1236101682.046.445042.F.500 (UA 0400)</t>
  </si>
  <si>
    <t>55150</t>
  </si>
  <si>
    <t>110300</t>
  </si>
  <si>
    <t>região Noroeste</t>
  </si>
  <si>
    <t>escola Municipal Oswaldo Pieruccetti na região Noroeste</t>
  </si>
  <si>
    <t>2023_PROFESSORA_MARLI_857_01</t>
  </si>
  <si>
    <t>857</t>
  </si>
  <si>
    <t>à reforma e revitalização da praça Salgado Filho - REGIãO OESTE.</t>
  </si>
  <si>
    <t>94967.42</t>
  </si>
  <si>
    <t>REGIãO OESTE.</t>
  </si>
  <si>
    <t>2023_PROFESSORA_MARLI_859_01</t>
  </si>
  <si>
    <t>859</t>
  </si>
  <si>
    <t>à asfaltamento em rua na região Norte.</t>
  </si>
  <si>
    <t>64838.34</t>
  </si>
  <si>
    <t xml:space="preserve"> região Norte.</t>
  </si>
  <si>
    <t>2023_PROFESSORA_MARLI_860_01</t>
  </si>
  <si>
    <t>860</t>
  </si>
  <si>
    <t>Reforma e revitalização da praça São Gabriel na rua Lajedo 170 - bairro São Gabriel - região Nordeste</t>
  </si>
  <si>
    <t>89252.86</t>
  </si>
  <si>
    <t>praça São Gabriel  rua Lajedo 170 - bairro São Gabriel - região Nordeste</t>
  </si>
  <si>
    <t>praça São Gabriel na rua Lajedo 170 - bairro São Gabriel - região Nordeste</t>
  </si>
  <si>
    <t>2023_PROFESSORA_MARLI_861_01</t>
  </si>
  <si>
    <t>861</t>
  </si>
  <si>
    <t>2023_PROFESSORA_MARLI_862_01</t>
  </si>
  <si>
    <t>862</t>
  </si>
  <si>
    <t>revitalização da quadra esportiva da rua Cinábrio 221 Lagoinha Vila Senhor os Passos - região Noroeste</t>
  </si>
  <si>
    <t>rua Cinábrio 221 Lagoinha Vila Senhor os Passos - região Noroeste</t>
  </si>
  <si>
    <t>2023_PROFESSORA_MARLI_863_01</t>
  </si>
  <si>
    <t>863</t>
  </si>
  <si>
    <t>destinação de recursos para Centro de Apoio e Convivência - CAC, CNPJ 00831055/0001-43, para execução de atividades sócios assistenciais, de acordo com dispositivo na Lei Federal nº 8742/93, em consonância com a referida inscrição no Conselho Municipal de Assistência Social de Belo Horizonte - CMAS/BH.</t>
  </si>
  <si>
    <t>2023_PROFESSORA_MARLI_879_01</t>
  </si>
  <si>
    <t>879</t>
  </si>
  <si>
    <t>destinação de recursos para Associação de Apoio a Deficiência Nossa Senhora das Graças, CNPJ 22.473.703/0001-70, para execução de atividades sócios assistenciais, de acordo com dispositivo na Lei Federal nº 8742/93, em consonância com a referida inscrição no Conselho Municipal de Assistência Social de Belo Horizonte - CMAS/BH.</t>
  </si>
  <si>
    <t>57041</t>
  </si>
  <si>
    <t>2023_PROFESSORA_MARLI_880_01</t>
  </si>
  <si>
    <t>880</t>
  </si>
  <si>
    <t>Destinação de recursos para Instituto Jurídico para efetivação da Cidadania e Saúde/Avante Social, CNPJ 03.893.359/0001-12, para execução de atividades sócios assistenciais, de acordo com dispositivo na Lei Federal nº 8742/93, em consonância com a referida inscrição no Conselho Municipal de Assistência Social de Belo Horizonte - CMAS/BH.</t>
  </si>
  <si>
    <t>20315</t>
  </si>
  <si>
    <t>2023_PROFESSORA_MARLI_881_01</t>
  </si>
  <si>
    <t>881</t>
  </si>
  <si>
    <t>aquisição de pacotes de absorventes a estudantes de escolas Municipais.</t>
  </si>
  <si>
    <t>2200.1236101682.080.339032.F.500 (UA 1100)</t>
  </si>
  <si>
    <t>55993.2</t>
  </si>
  <si>
    <t>Pessoas que menstruam</t>
  </si>
  <si>
    <t>2023_PROFESSORA_MARLI_882_01</t>
  </si>
  <si>
    <t>882</t>
  </si>
  <si>
    <t>viabilizar atividades pedagógicas em espaços diferenciados, ao ar livre, com vistas ao enriquecimento dos processos educativos na comunidade escolar ( escola municipal de ensino especial Frei Leopoldo) - região Oeste</t>
  </si>
  <si>
    <t>2200.12.367.0167.2.046.339039.F.500 (UA 0700)</t>
  </si>
  <si>
    <t xml:space="preserve"> região Oeste</t>
  </si>
  <si>
    <t>( escola municipal de ensino especial Frei Leopoldo) - região Oeste</t>
  </si>
  <si>
    <t>2023_PROFESSORA_MARLI_883_01</t>
  </si>
  <si>
    <t>883</t>
  </si>
  <si>
    <t>destinação de recursos para Instituto Pedra Viva, CNPJ 08.878.503/0001-76, para execução de atividades sócios assistenciais, de acordo com dispositivo na Lei Federal nº 8742/93, em consonância com a referida inscrição no Conselho Municipal de Assistência Social de Belo Horizonte - CMAS/BH.</t>
  </si>
  <si>
    <t>2023_PROFESSORA_MARLI_884_01</t>
  </si>
  <si>
    <t>884</t>
  </si>
  <si>
    <t>reforço para manutenção no tratamento de pacientes do Hospital Santa Casa de Misericórdia de Belo Horizonte CNPJ: 17.209.891/0001-93 - CNES - 0027014</t>
  </si>
  <si>
    <t>Hospital Santa Casa</t>
  </si>
  <si>
    <t>2023_PROFESSORA_MARLI_885_01</t>
  </si>
  <si>
    <t>885</t>
  </si>
  <si>
    <t>reforço para manutenção no tratamento de pacientes do Hospital da Baleia CNPJ: 17.200.429/0001-25 - CNES - 2695324</t>
  </si>
  <si>
    <t xml:space="preserve">Hospital da Baleia </t>
  </si>
  <si>
    <t>2023_PROFESSORA_MARLI_886_01</t>
  </si>
  <si>
    <t>886</t>
  </si>
  <si>
    <t>reforço para manutenção no tratamento de pacientes do Hospital São Francisco de Assis. CNPJ: 13.025.354/0001-32 - CNES - 0026840</t>
  </si>
  <si>
    <t>Hospital São Francisco de Assis. CNPJ: 13.025.354/0001-32 - CNES - 0026840</t>
  </si>
  <si>
    <t>2023_PROFESSORA_MARLI_887_01</t>
  </si>
  <si>
    <t>887</t>
  </si>
  <si>
    <t>à reforma e revitalização da praça Orlando Silva - bairro Dom Bosco - Região Noroeste.</t>
  </si>
  <si>
    <t xml:space="preserve"> praça Orlando Silva - bairro Dom Bosco - Região Noroeste.</t>
  </si>
  <si>
    <t>2023_PROFESSORA_MARLI_888_01</t>
  </si>
  <si>
    <t>888</t>
  </si>
  <si>
    <t>destinação de recursos para Associação de Promoção Humana Divina Providência, CNPJ: 00.981.069/0001-43, para execução de atividades sócios assistenciais. de acordo com disponibilidade na lei Federal nº 8742/93, em consonância com a referida inscrição no conselho Municipal de Assistência Social de Belo Horizonte - CMAS/BH</t>
  </si>
  <si>
    <t>68910</t>
  </si>
  <si>
    <t>2023_PROFESSORA_MARLI_889_01</t>
  </si>
  <si>
    <t>889</t>
  </si>
  <si>
    <t>à reforma e melhorias do Centro de Saúde Novo Aarão Reis, na região Norte</t>
  </si>
  <si>
    <t>81360.37</t>
  </si>
  <si>
    <t>região Norte</t>
  </si>
  <si>
    <t>Centro de Saúde Novo Aarão Reis, na região Norte</t>
  </si>
  <si>
    <t>2023_PROFESSORA_MARLI_890_01</t>
  </si>
  <si>
    <t>890</t>
  </si>
  <si>
    <t>revitalização de quadra esportiva e praça no bairro Serra Verde, entre as ruas Av. Coronel Manuel Assunção e Av. Edgar Torres regional Venda Nova</t>
  </si>
  <si>
    <t>99727.12</t>
  </si>
  <si>
    <t>Bairro Serra Verde, entre as ruas Av. Coronel Manuel Assunção e Av. Edgar Torres regional Venda Nova</t>
  </si>
  <si>
    <t>quadra esportiva e praça no bairro Bairro Serra Verde, entre as ruas Av. Coronel Manuel Assunção e Av. Edgar Torres regional Venda Nova</t>
  </si>
  <si>
    <t>2023_RAMON_BIBIANO_DA_CASA_DE_APOIO_1020_01</t>
  </si>
  <si>
    <t>2023_RAMON_BIBIANO_DA_CASA_DE_APOIO</t>
  </si>
  <si>
    <t>1020</t>
  </si>
  <si>
    <t>Ramon Bibiano da Casa de Apoio</t>
  </si>
  <si>
    <t>ao repasse de recursos para Instituto Pedra Viva, Lagoinha, CNPJ 08.878.503/0001-76, visando à melhoria de atividades socioassistenciais, de acordo com o disposto na Lei Federal n° 8.742/93, em consonância com a referida inscrição no Conselho Municipal de Assistência Social de Belo Horizonte, CMAS-BH.</t>
  </si>
  <si>
    <t>1011.0824401232.804.339039.S.500</t>
  </si>
  <si>
    <t>0123</t>
  </si>
  <si>
    <t>GESTÃO DA POLITICA DE ASSISTÊNCIA SOCIAL, SEGURANÇA ALIMENTAR E CIDADANIA</t>
  </si>
  <si>
    <t>630000</t>
  </si>
  <si>
    <t>2023_RAMON_BIBIANO_DA_CASA_DE_APOIO_1102_01</t>
  </si>
  <si>
    <t>1102</t>
  </si>
  <si>
    <t>Reforma de Escadaria – Local: entre Rua São Pedro, 92 e Rua Sylvio Silva, 239, Bairro Paulo VI</t>
  </si>
  <si>
    <t>entre Rua São Pedro, 92 e Rua Sylvio Silva, 239, Bairro Paulo VI</t>
  </si>
  <si>
    <t>2023_RAMON_BIBIANO_DA_CASA_DE_APOIO_1103_01</t>
  </si>
  <si>
    <t>1103</t>
  </si>
  <si>
    <t>Reforma da Escadaria – Local: Pampulha - Rua Flor de Verdade, 273, Jardim Montanhês</t>
  </si>
  <si>
    <t>105000</t>
  </si>
  <si>
    <t>105153.96</t>
  </si>
  <si>
    <t>Pampulha - Rua Flor de Verdade, 273, Jardim Montanhês</t>
  </si>
  <si>
    <t>2023_RAMON_BIBIANO_DA_CASA_DE_APOIO_1104_01</t>
  </si>
  <si>
    <t>1104</t>
  </si>
  <si>
    <t>Revitalização Paisagística de Espaços Escolares Subutilizados - E. M. Rui da Costa Val – Rua Célia Trindade Silva, 221, Jardim Felicidade</t>
  </si>
  <si>
    <t>2200.0600.12.361.168.2.046 33903901.1.500.000</t>
  </si>
  <si>
    <t>Rua Célia Trindade Silva, 221, Jardim Felicidade</t>
  </si>
  <si>
    <t>E. M. Rui da Costa Val – Rua Célia Trindade Silva, 221, Jardim Felicidade</t>
  </si>
  <si>
    <t>2023_RAMON_BIBIANO_DA_CASA_DE_APOIO_222_01</t>
  </si>
  <si>
    <t>222</t>
  </si>
  <si>
    <t>ao reforço de dotação orçamentária para as unidades de atendimento ao centro de saúde Padre Eustáquio na regional noroeste, endereço rua humaitá nº 1125 bairro Padre Eustáquio</t>
  </si>
  <si>
    <t>rua humaitá nº 1125 bairro Padre Eustáquio</t>
  </si>
  <si>
    <t>centro de saúde Padre Eustáquio na regional noroeste, endereço rua humaitá nº 1125 bairro Padre Eustáquio</t>
  </si>
  <si>
    <t>2023_RAMON_BIBIANO_DA_CASA_DE_APOIO_223_01</t>
  </si>
  <si>
    <t>223</t>
  </si>
  <si>
    <t>ao reforço de dotação orçamentária para as unidades de atendimento à saúde ao centro de saúde São José regional Pampulha endereço rua violeta de melo nº 655 bairro Jardim São José</t>
  </si>
  <si>
    <t>rua violeta de melo nº 655 bairro Jardim São José</t>
  </si>
  <si>
    <t>Centro de saúde São José regional Pampulha endereço rua violeta de melo nº 655 bairro Jardim São José</t>
  </si>
  <si>
    <t>2023_RAMON_BIBIANO_DA_CASA_DE_APOIO_224_01</t>
  </si>
  <si>
    <t>224</t>
  </si>
  <si>
    <t>ao reforço de dotação orçamentária para as unidades de atendimento à saúde ao centro de saúde Jardim Montanhês regional noroeste endereço rua Leopoldo Pereira n° 407 bairro Jardim Montanhês</t>
  </si>
  <si>
    <t>rua Leopoldo Pereira n° 407 bairro Jardim Montanhês</t>
  </si>
  <si>
    <t>centro de saúde Jardim Montanhês regional noroeste endereço rua Leopoldo Pereira n° 407 bairro Jardim Montanhês</t>
  </si>
  <si>
    <t>2023_RAMON_BIBIANO_DA_CASA_DE_APOIO_225_01</t>
  </si>
  <si>
    <t>225</t>
  </si>
  <si>
    <t>ao reforço de dotação orçamentária para as unidades de atendimento à saúde ao centro de saúde Goiânia regional nordeste endereço rua Pomba nº 677 bairro Goiânia</t>
  </si>
  <si>
    <t>199961.45</t>
  </si>
  <si>
    <t>209961.45</t>
  </si>
  <si>
    <t>rua Pomba nº 677 bairro Goiânia</t>
  </si>
  <si>
    <t>centro de saúde Goiânia regional nordeste endereço rua Pomba nº 677 bairro Goiânia</t>
  </si>
  <si>
    <t>2023_RAMON_BIBIANO_DA_CASA_DE_APOIO_226_01</t>
  </si>
  <si>
    <t>226</t>
  </si>
  <si>
    <t>ao reforço de dotação orçamentária para as unidades de atendimento à saúde ao centro de saúde Céu Azul na regional Venda Nova endereço Rua Alice Marques, 187 - Céu Azul</t>
  </si>
  <si>
    <t>99994.6</t>
  </si>
  <si>
    <t xml:space="preserve"> na regional Venda Nova endereço Rua Alice Marques, 187 - Céu Azul</t>
  </si>
  <si>
    <t>centro de saúde Céu Azul na regional Venda Nova endereço Rua Alice Marques, 187 - Céu Azul</t>
  </si>
  <si>
    <t>2023_RAMON_BIBIANO_DA_CASA_DE_APOIO_227_01</t>
  </si>
  <si>
    <t>227</t>
  </si>
  <si>
    <t>ao reforço de dotação orçamentária para as unidades de atendimento à saúde ao centro de saúde Conjunto Paulo VI regional Nordeste endereço</t>
  </si>
  <si>
    <t xml:space="preserve"> regional Nordeste</t>
  </si>
  <si>
    <t xml:space="preserve"> centro de saúde Conjunto Paulo VI regional Nordeste </t>
  </si>
  <si>
    <t>2023_RAMON_BIBIANO_DA_CASA_DE_APOIO_228_01</t>
  </si>
  <si>
    <t>228</t>
  </si>
  <si>
    <t>ao reforço de dotação orçamentária para as unidades de atendimento à saúde ao Centro de saúde Santa Terezinha regional Pampulha endereço Rua Senador Virgílio Távora, 157 - Santa Terezinha</t>
  </si>
  <si>
    <t xml:space="preserve"> regional Pampulha endereço Rua Senador Virgílio Távora, 157 - Santa Terezinha</t>
  </si>
  <si>
    <t>Centro de saúde Santa Terezinha regional Pampulha endereço Rua Senador Virgílio Távora, 157 - Santa Terezinha</t>
  </si>
  <si>
    <t>2023_RAMON_BIBIANO_DA_CASA_DE_APOIO_229_01</t>
  </si>
  <si>
    <t>229</t>
  </si>
  <si>
    <t>ao reforço de dotação orçamentária para as unidades de atendimento à saúde ao centro de saúde Jardim Alvorada regional noroeste endereço Rua Engenho do Sol n° 580 bairro Engenho Nogueira</t>
  </si>
  <si>
    <t>Rua Engenho do Sol n° 580 bairro Engenho Nogueira</t>
  </si>
  <si>
    <t>centro de saúde Jardim Alvorada regional noroeste endereço Rua Engenho do Sol n° 580 bairro Engenho Nogueira</t>
  </si>
  <si>
    <t>2023_RAMON_BIBIANO_DA_CASA_DE_APOIO_230_01</t>
  </si>
  <si>
    <t>230</t>
  </si>
  <si>
    <t>à aquisição de materiais de consumo para escolas municipais compra de kit uniforme de campo para a Escola Municipal Adauto Lúcio Cardoso endereço Rua Ernesto Gazzolli, S/N Bairro Céu Azul cnpj 00.668.414/0001-93</t>
  </si>
  <si>
    <t>2200.1236101682.080.339030.F.500</t>
  </si>
  <si>
    <t>6000</t>
  </si>
  <si>
    <t>5941.5</t>
  </si>
  <si>
    <t>Rua Ernesto Gazzolli, S/N Bairro Céu Azul</t>
  </si>
  <si>
    <t>Escola Municipal Adauto Lúcio Cardoso endereço Rua Ernesto Gazzolli, S/N Bairro Céu Azul cnpj 00.668.414/0001-93</t>
  </si>
  <si>
    <t>2023_RAMON_BIBIANO_DA_CASA_DE_APOIO_231_01</t>
  </si>
  <si>
    <t>231</t>
  </si>
  <si>
    <t>à manutenção da Escola Municipal Adauto Lúcio Cardoso endereço Rua Ernesto Gazzolli, S/N Bairro Céu Azul cnpj 00.668.414/0001-93</t>
  </si>
  <si>
    <t>2200.12.361.0168.2.046.445042.F.500 (UA 0900)</t>
  </si>
  <si>
    <t xml:space="preserve">Rua Ernesto Gazzolli, S/N Bairro Céu Azul </t>
  </si>
  <si>
    <t>2023_RAMON_BIBIANO_DA_CASA_DE_APOIO_232_01</t>
  </si>
  <si>
    <t>232</t>
  </si>
  <si>
    <t>à manutenção da Escola Municipal Professor Moacyr de Andrade, situada a Rua dos Caçadores nº 93 Bairro Lagoa cnpj 00.702.446/0001-68</t>
  </si>
  <si>
    <t>Rua dos Caçadores nº 93 Bairro Lagoa</t>
  </si>
  <si>
    <t>Escola Municipal Professor Moacyr de Andrade, situada a Rua dos Caçadores nº 93 Bairro Lagoa cnpj 00.702.446/0001-68</t>
  </si>
  <si>
    <t>2023_RAMON_BIBIANO_DA_CASA_DE_APOIO_233_01</t>
  </si>
  <si>
    <t>233</t>
  </si>
  <si>
    <t>à manutenção da Escola Municipal Elisa Buzelin, situada na Rua Jair Afonso Inácio nº 277 Bairro Piratininga cnpj 00.669.014/0001-00</t>
  </si>
  <si>
    <t xml:space="preserve"> Rua Jair Afonso Inácio nº 277 Bairro Piratininga</t>
  </si>
  <si>
    <t>Escola Municipal Elisa Buzelin, situada na Rua Jair Afonso Inácio nº 277 Bairro Piratininga cnpj 00.669.014/0001-00</t>
  </si>
  <si>
    <t>2023_RAMON_BIBIANO_DA_CASA_DE_APOIO_234_01</t>
  </si>
  <si>
    <t>234</t>
  </si>
  <si>
    <t>à Manutenção de rede de drenagem na rua Curupaiti Bairro Padre Eustáquio entre Rua Capixaba e Rua Lorena, regional noroeste</t>
  </si>
  <si>
    <t>72927.78</t>
  </si>
  <si>
    <t>rua Curupaiti Bairro Padre Eustáquio entre Rua Capixaba e Rua Lorena, regional noroeste</t>
  </si>
  <si>
    <t>2023_RAMON_BIBIANO_DA_CASA_DE_APOIO_235_01</t>
  </si>
  <si>
    <t>235</t>
  </si>
  <si>
    <t>à recapeamento asfáltico da Rua Travessa Quatro Mil Setecentos e Oitenta e Sete, no trecho situado entre as ruas Padre Eustáquio e Teófilo Otoni no Bairro Carlos Prates</t>
  </si>
  <si>
    <t>100266</t>
  </si>
  <si>
    <t>71209.710000000006</t>
  </si>
  <si>
    <t>Rua Travessa Quatro Mil Setecentos e Oitenta e Sete, no trecho situado entre as ruas Padre Eustáquio e Teófilo Otoni no Bairro Carlos Prates</t>
  </si>
  <si>
    <t>2023_RAMON_BIBIANO_DA_CASA_DE_APOIO_236_01</t>
  </si>
  <si>
    <t>236</t>
  </si>
  <si>
    <t>2023_RAMON_BIBIANO_DA_CASA_DE_APOIO_237_01</t>
  </si>
  <si>
    <t>237</t>
  </si>
  <si>
    <t>à realização de ações de assistência social pela entidade Grupo de Desenvolvimento Comunitário - GDECOM - CNPJ 21.516.315/0001-66</t>
  </si>
  <si>
    <t>2023_RAMON_BIBIANO_DA_CASA_DE_APOIO_238_01</t>
  </si>
  <si>
    <t>238</t>
  </si>
  <si>
    <t>ao reforço de dotação orçamentária para as unidades de atendimento à saúde ao centro de saúde Heliópolis no endereço Rua dos Beneditinos nº 120 Bairro Heliópolis</t>
  </si>
  <si>
    <t xml:space="preserve"> Rua dos Beneditinos nº 120 Bairro Heliópolis</t>
  </si>
  <si>
    <t>centro de saúde Heliópolis no endereço Rua dos Beneditinos nº 120 Bairro Heliópolis</t>
  </si>
  <si>
    <t>2023_RAMON_BIBIANO_DA_CASA_DE_APOIO_239_01</t>
  </si>
  <si>
    <t>239</t>
  </si>
  <si>
    <t>ao reforço de dotação orçamentária para as unidades de atendimento à saúde ao centro de saúde Ouro Preto no endereço Rua Jonas Jean nº 77 Bairro Ouro Preto</t>
  </si>
  <si>
    <t>99994.7</t>
  </si>
  <si>
    <t>Rua Jonas Jean nº 77 Bairro Ouro Preto</t>
  </si>
  <si>
    <t>centro de saúde Ouro Preto no endereço Rua Jonas Jean nº 77 Bairro Ouro Preto</t>
  </si>
  <si>
    <t>2023_RAMON_BIBIANO_DA_CASA_DE_APOIO_240_01</t>
  </si>
  <si>
    <t>240</t>
  </si>
  <si>
    <t>ao reforço de dotação orçamentária para as unidades de atendimento à saúde ao centro de saúde Copacabana no endereço Rua Inglaterra nº 940 Bairro Copacabana</t>
  </si>
  <si>
    <t>Rua Inglaterra nº 940 Bairro Copacabana</t>
  </si>
  <si>
    <t xml:space="preserve"> centro de saúde Copacabana no endereço Rua Inglaterra nº 940 Bairro Copacabana</t>
  </si>
  <si>
    <t>2023_RAMON_BIBIANO_DA_CASA_DE_APOIO_241_01</t>
  </si>
  <si>
    <t>ao reforço de dotação orçamentária para as unidades de atendimento à saúde ao centro de Saúde São Cristóvão no endereço Rua Itapecerica nº 555 Bairro Lagoinha</t>
  </si>
  <si>
    <t>Rua Itapecerica nº 555 Bairro Lagoinha</t>
  </si>
  <si>
    <t xml:space="preserve"> centro de Saúde São Cristóvão no endereço Rua Itapecerica nº 555 Bairro Lagoinha</t>
  </si>
  <si>
    <t>2023_RAMON_BIBIANO_DA_CASA_DE_APOIO_242_01</t>
  </si>
  <si>
    <t>242</t>
  </si>
  <si>
    <t>ao reforço de dotação orçamentária para as unidades de atendimento à saúde ao centro de saúde Santos Anjos no endereço Rua Miosótis nº 15 B Bairro Caiçaras</t>
  </si>
  <si>
    <t>Rua Miosótis nº 15 B Bairro Caiçaras</t>
  </si>
  <si>
    <t>centro de saúde Santos Anjos no endereço Rua Miosótis nº 15 B Bairro Caiçaras</t>
  </si>
  <si>
    <t>2023_REINALDO_GOMES_PRETO_SACOLAO_935_01</t>
  </si>
  <si>
    <t>2023_REINALDO_GOMES_PRETO_SACOLAO</t>
  </si>
  <si>
    <t>935</t>
  </si>
  <si>
    <t>Reinaldo Gomes Preto Sacolão</t>
  </si>
  <si>
    <t>à realização eventos de lazer comunitários, em diversas regiões da cidade.</t>
  </si>
  <si>
    <t>57041.38</t>
  </si>
  <si>
    <t>2023_REINALDO_GOMES_PRETO_SACOLAO_936_01</t>
  </si>
  <si>
    <t>936</t>
  </si>
  <si>
    <t>à realização de reforma no imóvel da PBH, que está em comodato para a Entidade Turminha Alegre, localizado na Rua Jane Eyre, nº 700, no Bairro Vila Maria.</t>
  </si>
  <si>
    <t>106269.02</t>
  </si>
  <si>
    <t xml:space="preserve"> Rua Jane Eyre, nº 700, no Bairro Vila Maria.</t>
  </si>
  <si>
    <t>2023_REINALDO_GOMES_PRETO_SACOLAO_937_01</t>
  </si>
  <si>
    <t>937</t>
  </si>
  <si>
    <t>à construção de instalações para abrigar o Grupamento de Operações com cães da Guarda Civil de BH, localizado no Parque Guilherme Lage, na Rua Angola, nº 665, no Bairro São Paulo.</t>
  </si>
  <si>
    <t>160266</t>
  </si>
  <si>
    <t>Parque Guilherme Lage, na Rua Angola, nº 665, no Bairro São Paulo.</t>
  </si>
  <si>
    <t>2023_REINALDO_GOMES_PRETO_SACOLAO_952_01</t>
  </si>
  <si>
    <t>952</t>
  </si>
  <si>
    <t>à instalação de playgrounds em praças públicas.</t>
  </si>
  <si>
    <t>68497.48</t>
  </si>
  <si>
    <t>2023_REINALDO_GOMES_PRETO_SACOLAO_953_01</t>
  </si>
  <si>
    <t>953</t>
  </si>
  <si>
    <t>Reforma, instalação e aquisição de cozinha experimental no Centro de Referência da Pessoa Idosa, localizado na rua Perdizes, nº 336, no Bairro Caiçaras.</t>
  </si>
  <si>
    <t>196000</t>
  </si>
  <si>
    <t>144000</t>
  </si>
  <si>
    <t>BAUHAUS DO BRASIL ESTRUTURAS E SERVICOS LTDA</t>
  </si>
  <si>
    <t>rua Perdizes, nº 336, no Bairro Caiçaras.</t>
  </si>
  <si>
    <t>Centro de Referência da Pessoa Idosa, localizado na rua Perdizes, nº 336, no Bairro Caiçaras.</t>
  </si>
  <si>
    <t>2023_REINALDO_GOMES_PRETO_SACOLAO_954_01</t>
  </si>
  <si>
    <t>954</t>
  </si>
  <si>
    <t>Aquisição de bem móvel, a ser utilizado pela Guarda Municipal de Belo Horizonte.</t>
  </si>
  <si>
    <t>93600</t>
  </si>
  <si>
    <t>2023_REINALDO_GOMES_PRETO_SACOLAO_955_01</t>
  </si>
  <si>
    <t>955</t>
  </si>
  <si>
    <t>ao reforço de dotação orçamentária para a reforma do imóvel localizado na Rua Tiziu, nº175, no Bairro Goiânia.</t>
  </si>
  <si>
    <t>Rua Tiziu, nº175, no Bairro Goiânia.</t>
  </si>
  <si>
    <t>2023_REINALDO_GOMES_PRETO_SACOLAO_956_01</t>
  </si>
  <si>
    <t>956</t>
  </si>
  <si>
    <t>à destinação de recursos para o Centro de apoio e convivência - CAC Fim de tarde, portador do CNPJ: 00.831.055/0001-43</t>
  </si>
  <si>
    <t>220000</t>
  </si>
  <si>
    <t>2023_REINALDO_GOMES_PRETO_SACOLAO_957_01</t>
  </si>
  <si>
    <t>957</t>
  </si>
  <si>
    <t>à destinação de recursos para o Grupo da terceira idade – Turminha Alegre, portador do CNPJ: 73.647.943/0001-84</t>
  </si>
  <si>
    <t>Entidade Turminha Alegre</t>
  </si>
  <si>
    <t>2023_REINALDO_GOMES_PRETO_SACOLAO_958_01</t>
  </si>
  <si>
    <t>958</t>
  </si>
  <si>
    <t>à destinação de recursos para a Associação Cruz de Malta, portadora do CNPJ: 00.436.790/0003-14</t>
  </si>
  <si>
    <t>2023_REINALDO_GOMES_PRETO_SACOLAO_959_01</t>
  </si>
  <si>
    <t>959</t>
  </si>
  <si>
    <t>à destinação de recursos para a Associação Mineira da Amizade – AMA, portadora do CNPJ: 16.746.026/0001-13</t>
  </si>
  <si>
    <t>2023_REINALDO_GOMES_PRETO_SACOLAO_960_01</t>
  </si>
  <si>
    <t>960</t>
  </si>
  <si>
    <t>à destinação de recursos para a Sociedade Comunitária Social Cultural Assistencial do Bairro e Vila Vista Alegre e Adjacência, portadora do CNPJ: 97.456.875/0001-34</t>
  </si>
  <si>
    <t>2023_REINALDO_GOMES_PRETO_SACOLAO_961_01</t>
  </si>
  <si>
    <t>961</t>
  </si>
  <si>
    <t>à destinação de recursos para a Associação Espírita Chistopher Smith – AECS, portadora do CNPJ: 16.745.861/0001-39</t>
  </si>
  <si>
    <t>2023_REINALDO_GOMES_PRETO_SACOLAO_962_01</t>
  </si>
  <si>
    <t>962</t>
  </si>
  <si>
    <t>à destinação de recursos para o Centro de Estudos e atendimento ao Menor – CEAME, portador do CNPJ: 23.840.457/0001-00</t>
  </si>
  <si>
    <t>Centro de Estudos e Atendimento ao Menor - CEAME</t>
  </si>
  <si>
    <t>2023_REINALDO_GOMES_PRETO_SACOLAO_963_01</t>
  </si>
  <si>
    <t>963</t>
  </si>
  <si>
    <t>à destinação de recursos para a Associação comunitária Católica Kairós – Comunidade Kairós, portadora do CNPJ: 42.769.729/0001-77</t>
  </si>
  <si>
    <t>1011.1424101272.697.339039.F.500</t>
  </si>
  <si>
    <t>2697</t>
  </si>
  <si>
    <t>PROMOÇÃO, PROTEÇÃO E DEFESA DAS PESSOAS IDOSAS</t>
  </si>
  <si>
    <t>2023_REINALDO_GOMES_PRETO_SACOLAO_964_01</t>
  </si>
  <si>
    <t>964</t>
  </si>
  <si>
    <t>à destinação de recursos para o Abrigo Frei Otto, portador do CNPJ:22.442.156/0001-65</t>
  </si>
  <si>
    <t>R. Rui Barbosa, 299 - Santa Monica, Belo Horizonte - MG, 31525-130</t>
  </si>
  <si>
    <t>2023_REINALDO_GOMES_PRETO_SACOLAO_965_01</t>
  </si>
  <si>
    <t>965</t>
  </si>
  <si>
    <t>à destinação de recursos para a Associação Cristã Feminina, portadora do CNPJ: 18.730.986/0001-10</t>
  </si>
  <si>
    <t>2023_REINALDO_GOMES_PRETO_SACOLAO_966_01</t>
  </si>
  <si>
    <t>966</t>
  </si>
  <si>
    <t>à destinação de recursos a Ação Social Villaregia, portadora do CNPJ:27.825.112/0001-38</t>
  </si>
  <si>
    <t>1011.1424301272.860.339039.F.500</t>
  </si>
  <si>
    <t>2023_REINALDO_GOMES_PRETO_SACOLAO_967_01</t>
  </si>
  <si>
    <t>967</t>
  </si>
  <si>
    <t>à destinação de recursos ao Instituto Herdar, portador do CNPJ: 09.047.452/0001-01</t>
  </si>
  <si>
    <t>2023_REINALDO_GOMES_PRETO_SACOLAO_968_01</t>
  </si>
  <si>
    <t>968</t>
  </si>
  <si>
    <t>à destinação de recursos ao Grupo Melhor Idade Anos Dourados, portador do CNPJ: 03.867.329/0001-42</t>
  </si>
  <si>
    <t>2023_REINALDO_GOMES_PRETO_SACOLAO_969_01</t>
  </si>
  <si>
    <t>969</t>
  </si>
  <si>
    <t>ao reforço de dotação orçamentária para atendimento a Fundação Benjamin Guimarães/Hospital da Baleia ( CNES 2695324).</t>
  </si>
  <si>
    <t>2023_REINALDO_GOMES_PRETO_SACOLAO_970_01</t>
  </si>
  <si>
    <t>970</t>
  </si>
  <si>
    <t>ao reforço de dotação orçamentária para atendimento ao Hospital Santa Casa de Misericórdia de Belo Horizonte (CNES 0027014).</t>
  </si>
  <si>
    <t xml:space="preserve">Hospital Santa Casa </t>
  </si>
  <si>
    <t>2023_REINALDO_GOMES_PRETO_SACOLAO_971_01</t>
  </si>
  <si>
    <t>971</t>
  </si>
  <si>
    <t>ao reforço de dotação orçamentária para atendimento ao Instituto das Pequenas missionarias de Maria Imaculada/ Hospital Madre Tereza (CNES 2200422).</t>
  </si>
  <si>
    <t>2023_REINALDO_GOMES_PRETO_SACOLAO_972_01</t>
  </si>
  <si>
    <t>972</t>
  </si>
  <si>
    <t>ao reforço de dotação orçamentária para a reforma da unidade do Centro de saúde Itamarati.</t>
  </si>
  <si>
    <t>79192.84</t>
  </si>
  <si>
    <t>Centro de saúde Itamarati</t>
  </si>
  <si>
    <t>2023_REINALDO_GOMES_PRETO_SACOLAO_973_01</t>
  </si>
  <si>
    <t>973</t>
  </si>
  <si>
    <t>ao reforço de dotação orçamentária para o Centro de Saúde Minas Caixa.</t>
  </si>
  <si>
    <t>60899.71</t>
  </si>
  <si>
    <t>Centro de Saúde Minas Caixa.</t>
  </si>
  <si>
    <t>2023_REINALDO_GOMES_PRETO_SACOLAO_974_01</t>
  </si>
  <si>
    <t>974</t>
  </si>
  <si>
    <t>ao reforço de dotação orçamentária para o Centro de Saúde Ouro Minas.</t>
  </si>
  <si>
    <t xml:space="preserve"> Centro de Saúde Ouro Minas.</t>
  </si>
  <si>
    <t>2023_REINALDO_GOMES_PRETO_SACOLAO_975_01</t>
  </si>
  <si>
    <t>975</t>
  </si>
  <si>
    <t>ao reforço de dotação orçamentária para fortalecimento das unidades de pronto atendimento de urgência e emergência</t>
  </si>
  <si>
    <t>716266</t>
  </si>
  <si>
    <t>2023_REINALDO_GOMES_PRETO_SACOLAO_976_01</t>
  </si>
  <si>
    <t>976</t>
  </si>
  <si>
    <t>ao reforço de dotação orçamentária pra manutenção e cuidado dos animais</t>
  </si>
  <si>
    <t>2023_RUBAO_1000_01</t>
  </si>
  <si>
    <t>2023_RUBAO</t>
  </si>
  <si>
    <t>Rubão</t>
  </si>
  <si>
    <t>compra de materiais de consumo da Associação Mario Penna (conhecido como Hospital Mário Penna), CNES: 2200457</t>
  </si>
  <si>
    <t>Hospital Mário Penna</t>
  </si>
  <si>
    <t>2023_RUBAO_1001_01</t>
  </si>
  <si>
    <t>1001</t>
  </si>
  <si>
    <t>compra de materiais de consumo da Fundação Benjamim Guimaraes (Hospital da Baleia), localizada na Rua Juramento, nº 1464, bairro Saudade, Belo Horizonte. CEP: 30.285-000</t>
  </si>
  <si>
    <t>Rua Juramento, nº 1464, bairro Saudade</t>
  </si>
  <si>
    <t>2023_RUBAO_1002_01</t>
  </si>
  <si>
    <t>compra de materiais de consumo para o Instituto das Pequenas Missionárias de Maria Imaculada - IPMMI (Hospital Madre Teresa) localizado na Avenida Raja Gabaglia, nº 1.002, no Bairro Gutierrez, Belo Horizonte - CNES: 22000422</t>
  </si>
  <si>
    <t>Avenida Raja Gabaglia, nº 1.002, no Bairro Gutierrez</t>
  </si>
  <si>
    <t>Hospital Madre Teresa, localizado na Avenida Raja Gabaglia, nº 1.002, no Bairro Gutierrez</t>
  </si>
  <si>
    <t>2023_RUBAO_1003_01</t>
  </si>
  <si>
    <t>1003</t>
  </si>
  <si>
    <t>compra de materiais de consumo para a Associação Evangélica Beneficente de Minas Gerais (Hospital Evangélico), localizado na Rua Doutor Alípio de Goulart, nº 250, bairro Serra, Belo Horizonte. CEP: 30220-330.</t>
  </si>
  <si>
    <t>Rua Doutor Alípio de Goulart, nº 250, bairro Serra, Belo Horizonte. CEP: 30220-330.</t>
  </si>
  <si>
    <t>Hospital Evangélico, localizado na Rua Doutor Alípio de Goulart, nº 250, bairro Serra, Belo Horizonte. CEP: 30220-330.</t>
  </si>
  <si>
    <t>2023_RUBAO_1004_01</t>
  </si>
  <si>
    <t>1004</t>
  </si>
  <si>
    <t>compra de materiais de consumo para A Santa Casa de Misericórdia de Belo Horizonte, localizada na Avenida Francisco Sales, nº 1111 - Santa Efigênia, Belo Horizonte - MG, CEP: 30150-221.</t>
  </si>
  <si>
    <t>Avenida Francisco Sales, nº 1111 - Santa Efigênia, Belo Horizonte - MG, CEP: 30150-221.</t>
  </si>
  <si>
    <t>Santa Casa de Misericórdia de Belo Horizonte, localizada na Avenida Francisco Sales, nº 1111 - Santa Efigênia, Belo Horizonte - MG, CEP: 30150-221.</t>
  </si>
  <si>
    <t>2023_RUBAO_1005_01</t>
  </si>
  <si>
    <t>1005</t>
  </si>
  <si>
    <t>compra de materiais de consumo para A Fundação Hospitalar São Francisco de Assis, localizado na Rua Itamaracá, nº 535, bairro Concórdia, Belo Horizonte. CEP: 31110-580. CNES: 0026840.</t>
  </si>
  <si>
    <t>Rua Itamaracá, nº 535, bairro Concórdia, Belo Horizonte. CEP: 31110-580. CNES: 0026840.</t>
  </si>
  <si>
    <t>Fundação Hospitalar São Francisco de Assis, localizado na Rua Itamaracá, nº 535, bairro Concórdia, Belo Horizonte. CEP: 31110-580. CNES: 0026840.</t>
  </si>
  <si>
    <t>2023_RUBAO_1006_01</t>
  </si>
  <si>
    <t>1006</t>
  </si>
  <si>
    <t>realização de 25 ruas de lazer comunitárias na cidade de Belo Horizonte, distribuídas ao longo do ano, conforme calendário a ser viabilizado com o Poder Executivo.</t>
  </si>
  <si>
    <t>73100.539999999994</t>
  </si>
  <si>
    <t>2023_RUBAO_1007_01</t>
  </si>
  <si>
    <t>1007</t>
  </si>
  <si>
    <t>Reforço de dotação orçamentária para realização de projeto para construção de um Mirante, realizando melhorias de infraestrutura de acesso e mobilidade, construção de um deck, iluminação e cercamento do local, na área localizada na rua Mirante, bairro Boa Vista.</t>
  </si>
  <si>
    <t>95821.43</t>
  </si>
  <si>
    <t>rua Mirante, bairro Boa Vista.</t>
  </si>
  <si>
    <t>2023_RUBAO_1008_01</t>
  </si>
  <si>
    <t>1008</t>
  </si>
  <si>
    <t>compra de materiais de consumo para Associação Nutris - Núcleo de Trabalho e Integração Social, localizada na Rua Madre Izabel Trejeiro, nº 100, bairro Mariano de Abreu, Belo Horizonte.</t>
  </si>
  <si>
    <t>Rua Madre Izabel Trejeiro, nº 100, bairro Mariano de Abreu, Belo Horizonte.</t>
  </si>
  <si>
    <t>2023_RUBAO_1009_01</t>
  </si>
  <si>
    <t>1009</t>
  </si>
  <si>
    <t>compra de materiais de consumo para PROVIDENS AÇãO SOCIAL ARQUIDIOCESANA, localizada na Rua Além Paraíba, nº 208, bairro Lagoinha, Belo Horizonte.</t>
  </si>
  <si>
    <t>Rua Além Paraíba, nº 208, bairro Lagoinha, Belo Horizonte.</t>
  </si>
  <si>
    <t>2023_RUBAO_1010_01</t>
  </si>
  <si>
    <t>compra de materiais de escritório para o Conselho Distrital de Saúde da Regional Leste de Belo Horizonte.</t>
  </si>
  <si>
    <t>2302.1012201172.334.339030.S.500</t>
  </si>
  <si>
    <t>19995.580000000002</t>
  </si>
  <si>
    <t>0300</t>
  </si>
  <si>
    <t>2023_RUBAO_1011_01</t>
  </si>
  <si>
    <t>pavimentação asfáltica da Rua João Neiva, no trecho compreendido entre as Ruas Mirante e Dos Afonsos (aproximadamente 120 metros), bairro Boa Vista, regional leste. CEP: 31070-380.</t>
  </si>
  <si>
    <t>98127.41</t>
  </si>
  <si>
    <t>Rua João Neiva, no trecho compreendido entre as Ruas Mirante e Dos Afonsos (aproximadamente 120 metros), bairro Boa Vista, regional leste. CEP: 31070-380.</t>
  </si>
  <si>
    <t>2023_RUBAO_1072_01</t>
  </si>
  <si>
    <t>1072</t>
  </si>
  <si>
    <t>à pavimentação da Rua Honório Bicalho, entre as Ruas Professor Bressane e Rua Porto Seguro, com aproximadamente 400 metros de extensão, bairro Nova Vista, CEP: 31070-030;</t>
  </si>
  <si>
    <t>480000</t>
  </si>
  <si>
    <t>339584</t>
  </si>
  <si>
    <t>Rua Honório Bicalho, entre as Ruas Professor Bressane e Rua Porto Seguro, com aproximadamente 400 metros de extensão, bairro Nova Vista, CEP: 31070-030;</t>
  </si>
  <si>
    <t>2023_RUBAO_1073_01</t>
  </si>
  <si>
    <t>1073</t>
  </si>
  <si>
    <t>Revitalização e reforma do Campo de Futebol Rock in Rio, próximo ao CRAS/Leste, localizado na Rua 5 de Janeiro, ao lado do número 145 - Bairro Mariano de Abreu, Belo Horizonte;</t>
  </si>
  <si>
    <t>Campo de Futebol Rock in Rio, próximo ao CRAS/Leste, localizado na Rua 5 de Janeiro, ao lado do número 145 - Bairro Mariano de Abreu, Belo Horizonte;</t>
  </si>
  <si>
    <t>2023_RUBAO_1074_01</t>
  </si>
  <si>
    <t>1074</t>
  </si>
  <si>
    <t>Revitalização e reforma do Campo de Futebol Poeirinha - localizado na Rua João Antônio nº 240 - bairro Mariano de Abreu, Belo Horizonte; CEP: 31050-375.</t>
  </si>
  <si>
    <t>63972.97</t>
  </si>
  <si>
    <t xml:space="preserve"> Campo de Futebol Poeirinha - localizado na Rua João Antônio nº 240 - bairro Mariano de Abreu, Belo Horizonte; CEP: 31050-375.</t>
  </si>
  <si>
    <t>2023_RUBAO_1075_01</t>
  </si>
  <si>
    <t>1075</t>
  </si>
  <si>
    <t>Revitalização e reforma do Campo de Futebol Tupinambás - Rua Santo Agostinho, nº 1480 - bairro Horto Florestal, Belo Horizonte; CEP: 31035-480;</t>
  </si>
  <si>
    <t>46710.55</t>
  </si>
  <si>
    <t xml:space="preserve"> Campo de Futebol Tupinambás - Rua Santo Agostinho, nº 1480 - bairro Horto Florestal, Belo Horizonte; CEP: 31035-480;</t>
  </si>
  <si>
    <t>2023_RUBAO_1076_01</t>
  </si>
  <si>
    <t>1076</t>
  </si>
  <si>
    <t>Ao Centro de Assistência Benedito Venâncio CNPJ: 38.743.332/0001-39, localizado na rua Marcelino Ramos nº 281, Belo Horizonte, Boa Vista, CEP 31.060-510, para a execução de atividades socioassistenciais, de acordo com o disposto na Lei Federal no 8.742/93, em consonância com a referida inscrição no Conselho Municipal de Assistência Social de Belo Horizonte – CMAS-BH;</t>
  </si>
  <si>
    <t>rua Marcelino Ramos nº 281, Belo Horizonte, Boa Vista, CEP 31.060-51</t>
  </si>
  <si>
    <t>2023_RUBAO_1077_01</t>
  </si>
  <si>
    <t>1077</t>
  </si>
  <si>
    <t>Ao Núcleo de Trabalho e Integração Social - NUTRIS, CNPJ 19.715.697/0002-96, localizado na Rua Mirante nº 477, Boa Vista, Belo Horizonte, CEP: 31.070-390, para a execução de atividades socioassistenciais, de acordo com o disposto na Lei Federal no 8.742/93, em consonância com a referida inscrição no Conselho Municipal de Assistência Social de Belo Horizonte – CMAS-BH;</t>
  </si>
  <si>
    <t>Rua Mirante nº 477, Boa Vista, Belo Horizonte, CEP: 31.070-390</t>
  </si>
  <si>
    <t>2023_RUBAO_1078_01</t>
  </si>
  <si>
    <t>1078</t>
  </si>
  <si>
    <t>Ao o Instituto Pedra Viva CNPJ: 08.878.503/0001-76, localizado Rua Itapecerica, nº 951, bairro: Lagoinha, Belo Horizonte, CEP: 31210-030, para a execução de atividades socioassistenciais, de acordo com o disposto na Lei Federal no 8.742/93, em consonância com a referida inscrição no Conselho Municipal de Assistência Social de Belo Horizonte – CMAS-BH;</t>
  </si>
  <si>
    <t>Rua Itapecerica, nº 951, bairro: Lagoinha</t>
  </si>
  <si>
    <t>2023_RUBAO_1079_01</t>
  </si>
  <si>
    <t>1079</t>
  </si>
  <si>
    <t>Ao Centro de Saúde Goiânia - para compra de material de consumo - localizado na rua Rio Pomba, nº 677, bairro Goiânia, Belo Horizonte, CEP: 31.950-490;</t>
  </si>
  <si>
    <t>59535</t>
  </si>
  <si>
    <t>rua Rio Pomba, nº 677, bairro Goiânia, Belo Horizonte, CEP: 31.950-490;</t>
  </si>
  <si>
    <t>Centro de Saúde Goiânia localizado na rua Rio Pomba, nº 677, bairro Goiânia, Belo Horizonte, CEP: 31.950-490;</t>
  </si>
  <si>
    <t>2023_RUBAO_1080_01</t>
  </si>
  <si>
    <t>1080</t>
  </si>
  <si>
    <t>Ao Centro de Saúde Boa Vista - para compra de material de consumo - localizado na rua Guruá, nº 833, bairro Boa Vista, Belo Horizonte, CEP 31.060-550;</t>
  </si>
  <si>
    <t>rua Guruá, nº 833, bairro Boa Vista, Belo Horizonte, CEP 31.060-550;</t>
  </si>
  <si>
    <t>Centro de Saúde Boa Vista  localizado na rua Guruá, nº 833, bairro Boa Vista, Belo Horizonte, CEP 31.060-550;</t>
  </si>
  <si>
    <t>2023_RUBAO_1081_01</t>
  </si>
  <si>
    <t>1081</t>
  </si>
  <si>
    <t>Centro de Saúde São Geraldo - para compra de material de consumo - localizado na Avenida Itaituba, nº 318, bairro São Geraldo, Belo Horizonte, CEP: 31.060-420;</t>
  </si>
  <si>
    <t>54772.2</t>
  </si>
  <si>
    <t>Avenida Itaituba, nº 318, bairro São Geraldo, Belo Horizonte, CEP: 31.060-420;</t>
  </si>
  <si>
    <t>Centro de Saúde São Geraldo localizado na Avenida Itaituba, nº 318, bairro São Geraldo, Belo Horizonte, CEP: 31.060-420;</t>
  </si>
  <si>
    <t>2023_RUBAO_1082_01</t>
  </si>
  <si>
    <t>1082</t>
  </si>
  <si>
    <t>Ao Centro de Saúde São José Operário, para compra de material de consumo - localizado na Rua Simão Pereira, nº 73, bairro Nova Vista, Belo Horizonte, CEP: 31.070-220;</t>
  </si>
  <si>
    <t>59734.8</t>
  </si>
  <si>
    <t xml:space="preserve"> Rua Simão Pereira, nº 73, bairro Nova Vista, Belo Horizonte, CEP: 31.070-220;</t>
  </si>
  <si>
    <t>Centro de Saúde São José Operário localizado na Rua Simão Pereira, nº 73, bairro Nova Vista, Belo Horizonte, CEP: 31.070-220;</t>
  </si>
  <si>
    <t>2023_RUBAO_1083_01</t>
  </si>
  <si>
    <t>1083</t>
  </si>
  <si>
    <t>Ao Centro de Saúde Pompéia, para compra de material de consumo - localizado Rua Leopoldo Gomes, nº 440, Pompeia, Belo Horizonte, CEP: 30280-460;</t>
  </si>
  <si>
    <t>54371.79</t>
  </si>
  <si>
    <t>Rua Leopoldo Gomes, nº 440, Pompeia, Belo Horizonte, CEP: 30280-460;</t>
  </si>
  <si>
    <t>Centro de Saúde Pompéia, para compra de material de consumo - localizado Rua Leopoldo Gomes, nº 440, Pompeia, Belo Horizonte, CEP: 30280-460;</t>
  </si>
  <si>
    <t>2023_RUBAO_994_01</t>
  </si>
  <si>
    <t>994</t>
  </si>
  <si>
    <t>R$ 80.000,00 (oitenta mil reais) para compra de materiais de consumo para o centro de Saúde Goiânia, localizado na Rua Rio Pomba, nº 677, bairro Goiânia, Belo Horizonte, CEP: 31.950-490.</t>
  </si>
  <si>
    <t>79966.759999999995</t>
  </si>
  <si>
    <t>Rua Rio Pomba, nº 677, bairro Goiânia, Belo Horizonte, CEP: 31.950-490</t>
  </si>
  <si>
    <t>centro de Saúde Goiânia, localizado na Rua Rio Pomba, nº 677, bairro Goiânia, Belo Horizonte, CEP: 31.950-490.</t>
  </si>
  <si>
    <t>2023_RUBAO_995_01</t>
  </si>
  <si>
    <t>995</t>
  </si>
  <si>
    <t>R$ 80.000,00 (oitenta mil reais) para compra de materiais de consumo para Centro de Saúde São José Operário, localizado na Rua Simão Pereira, nº 73, bairro Nova Vista, Belo Horizonte, CEP: 31.070-220.</t>
  </si>
  <si>
    <t>71464.039999999994</t>
  </si>
  <si>
    <t>Rua Simão Pereira, nº 73, bairro Nova Vista, Belo Horizonte, CEP: 31.070-220.</t>
  </si>
  <si>
    <t>Centro de Saúde São José Operário, localizado na Rua Simão Pereira, nº 73, bairro Nova Vista, Belo Horizonte, CEP: 31.070-220.</t>
  </si>
  <si>
    <t>2023_RUBAO_996_01</t>
  </si>
  <si>
    <t>996</t>
  </si>
  <si>
    <t>R$ 80.000,00 (oitenta mil reais) para compra de materiais de consumo para o Centro de Saúde São Geraldo, localizado na Avenida Itaituba, nº 318, bairro São Geraldo, Belo Horizonte, CEP: 31.060-420.</t>
  </si>
  <si>
    <t>79856.800000000003</t>
  </si>
  <si>
    <t>Avenida Itaituba, nº 318, bairro São Geraldo, Belo Horizonte, CEP: 31.060-420.</t>
  </si>
  <si>
    <t>Centro de Saúde São Geraldo, localizado na Avenida Itaituba, nº 318, bairro São Geraldo, Belo Horizonte, CEP: 31.060-420.</t>
  </si>
  <si>
    <t>2023_RUBAO_997_01</t>
  </si>
  <si>
    <t>997</t>
  </si>
  <si>
    <t>R$ 80.000,00 (oitenta mil reais) para compra de materiais de consumo para o Centro de Saúde Boa Vista, localizado na Rua Guruá, nº 833, bairro Boa Vista, Belo Horizonte, CEP: 31.060-560.</t>
  </si>
  <si>
    <t>Rua Guruá, nº 833, bairro Boa Vista, Belo Horizonte, CEP: 31.060-560.</t>
  </si>
  <si>
    <t>Centro de Saúde Boa Vista, localizado na Rua Guruá, nº 833, bairro Boa Vista, Belo Horizonte, CEP: 31.060-560.</t>
  </si>
  <si>
    <t>2023_RUBAO_998_01</t>
  </si>
  <si>
    <t>998</t>
  </si>
  <si>
    <t>R$ 80.000,00 (oitenta mil reais) para compra de materiais de consumo para o Centro de Saúde Mariano de Abreu, localizado na rua Barreiro, nº 1007, bairro Casa Branca, Belo Horizonte, CEP: 31.050-140.</t>
  </si>
  <si>
    <t>rua Barreiro, nº 1007, bairro Casa Branca, Belo Horizonte, CEP: 31.050-140.</t>
  </si>
  <si>
    <t>Centro de Saúde Mariano de Abreu, localizado na rua Barreiro, nº 1007, bairro Casa Branca, Belo Horizonte, CEP: 31.050-140.</t>
  </si>
  <si>
    <t>2023_RUBAO_999_01</t>
  </si>
  <si>
    <t>999</t>
  </si>
  <si>
    <t>R$ 380.00,00 (trezentos e oitenta mil) para compra de materiais de consumo da Unidade de Pronto Atendimento Leste (UPA LESTE), localizada na Avenida dos Andradas, nº 7.260, bairro Vera Cruz, Belo Horizonte, CEP: 30.120-010.</t>
  </si>
  <si>
    <t>380000</t>
  </si>
  <si>
    <t>431288.48</t>
  </si>
  <si>
    <t>Avenida dos Andradas, nº 7.260, bairro Vera Cruz, Belo Horizonte, CEP: 30.120-010.</t>
  </si>
  <si>
    <t>Unidade de Pronto Atendimento Leste (UPA LESTE), localizada na Avenida dos Andradas, nº 7.260, bairro Vera Cruz, Belo Horizonte, CEP: 30.120-010.</t>
  </si>
  <si>
    <t>2023_SERGIO_FERNANDO_PINHO_TAVARES_1095_01</t>
  </si>
  <si>
    <t>2023_SERGIO_FERNANDO_PINHO_TAVARES</t>
  </si>
  <si>
    <t>1095</t>
  </si>
  <si>
    <t>Sérgio Fernando Pinho Tavares</t>
  </si>
  <si>
    <t>a realização de atividades socioassistenciais de acordo com o disposto na Lei Federal nº 8.742/93 e em consonância com a referida inscrição no Conselho Municipal de Assistência Social de Belo Horizonte – CMAS-BH pela entidade Terra da Sobriedade – Associação de Atenção à Dependência Química, CNPJ 05.353.498/0001-90</t>
  </si>
  <si>
    <t>1011.0824400192308.339039.S.500</t>
  </si>
  <si>
    <t>Dependentes Químicos</t>
  </si>
  <si>
    <t>2023_SERGIO_FERNANDO_PINHO_TAVARES_1096_01</t>
  </si>
  <si>
    <t>1096</t>
  </si>
  <si>
    <t>a realização de atividades socioassistenciais de acordo com o disposto na Lei Federal nº 8.742/93 e em consonância com a referida inscrição no Conselho Municipal de Assistência Social de Belo Horizonte – CMAS-BH pela entidade Lar dos Meninos Dom Orione, CNPJ 17.313.388/0001-83</t>
  </si>
  <si>
    <t>1011.0824200202403.339039.S.500</t>
  </si>
  <si>
    <t>ASSISTÊNCIA AO PORTADOR DE DEFICIÊNCIA</t>
  </si>
  <si>
    <r>
      <t> </t>
    </r>
    <r>
      <rPr>
        <sz val="11"/>
        <color rgb="FF1F1F1F"/>
        <rFont val="Arial"/>
        <family val="2"/>
      </rPr>
      <t>Av. Dom Orione, 187 - Pampulha, Belo Horizonte - MG, 31310-020</t>
    </r>
  </si>
  <si>
    <t>2023_SERGIO_FERNANDO_PINHO_TAVARES_1097_01</t>
  </si>
  <si>
    <t>1097</t>
  </si>
  <si>
    <t>reforço de dotação orçamentária para revitalização em espaço público localizado na Rua Luiz Lopes – bairro Novo Ouro Preto, Regional Pampulha</t>
  </si>
  <si>
    <t>106226</t>
  </si>
  <si>
    <t>19374.37</t>
  </si>
  <si>
    <t>Rua Luiz Lopes – bairro Novo Ouro Preto, Regional Pampulha</t>
  </si>
  <si>
    <t xml:space="preserve"> Rua Luiz Lopes – bairro Novo Ouro Preto, Regional Pampulha</t>
  </si>
  <si>
    <t>2023_SERGIO_FERNANDO_PINHO_TAVARES_1098_01</t>
  </si>
  <si>
    <t>1098</t>
  </si>
  <si>
    <t>a revitalização do Parque Municipal Cássia Eller</t>
  </si>
  <si>
    <t>143059.31</t>
  </si>
  <si>
    <t>Parque Municipal Cássia Eller</t>
  </si>
  <si>
    <t>2023_SERGIO_FERNANDO_PINHO_TAVARES_1099_01</t>
  </si>
  <si>
    <t>1099</t>
  </si>
  <si>
    <t>a revitalização do Parque Municipal Julien Rien</t>
  </si>
  <si>
    <t>138785.42000000001</t>
  </si>
  <si>
    <t>Parque Municipal Julien Rien</t>
  </si>
  <si>
    <t>2023_SERGIO_FERNANDO_PINHO_TAVARES_1100_01</t>
  </si>
  <si>
    <t>1100</t>
  </si>
  <si>
    <t>o reforço de dotação orçamentária destinado à elaboração de projetos e instalações ao Centro de Saúde Ouro Preto situado à Jonas Jean, nº 77, bairro Ouro Preto, Regional Pampulha, Belo Horizonte</t>
  </si>
  <si>
    <t>2302.1012201171.216.449051.S.501</t>
  </si>
  <si>
    <t>Rua Jonas Jean, nº 77, bairro Ouro Preto, Regional Pampulha, Belo Horizonte</t>
  </si>
  <si>
    <t>Centro de Saúde Ouro Preto situado à Jonas Jean, nº 77, bairro Ouro Preto, Regional Pampulha, Belo Horizonte</t>
  </si>
  <si>
    <t>2023_WALTER_TOSTA_286_01</t>
  </si>
  <si>
    <t>2023_WALTER_TOSTA</t>
  </si>
  <si>
    <t>286</t>
  </si>
  <si>
    <t>Walter Tosta</t>
  </si>
  <si>
    <t>2023_WALTER_TOSTA_287_01</t>
  </si>
  <si>
    <t>287</t>
  </si>
  <si>
    <t>2023_WALTER_TOSTA_288_01</t>
  </si>
  <si>
    <t>288</t>
  </si>
  <si>
    <t>a pavimentação de vias localizadas na Vila Paquetá, Regional Pampulha</t>
  </si>
  <si>
    <t>71368.73</t>
  </si>
  <si>
    <t xml:space="preserve"> Vila Paquetá, Regional Pampulha</t>
  </si>
  <si>
    <t>2023_WALTER_TOSTA_289_01</t>
  </si>
  <si>
    <t>289</t>
  </si>
  <si>
    <t>ao reforço de dotação orçamentária para implantação da central de Acessibilidade em libras</t>
  </si>
  <si>
    <t>1000.1442201272.927.339035.F.500</t>
  </si>
  <si>
    <t>2927</t>
  </si>
  <si>
    <t>PROMOÇÃO, PROTEÇÃO E DEFESA DE DIREITOS DAS PESSOAS COM DEFICIÊNCIA</t>
  </si>
  <si>
    <t>2023_WALTER_TOSTA_290_01</t>
  </si>
  <si>
    <t>290</t>
  </si>
  <si>
    <t>à realização de atividades socioassistenciais de acordo com o disposto na Lei Federal nº 8.742/93 e em consonância com a referida inscrição no Conselho Municipal de Assistência Social de Belo Horizonte - CMAS-BH pela entidade GEDAM - Grupo de Educação Desenvolvimento e Apoio ao Menor, CNPJ 22.444.723/0001-12</t>
  </si>
  <si>
    <t>2023_WALTER_TOSTA_291_01</t>
  </si>
  <si>
    <t>291</t>
  </si>
  <si>
    <t>à aquisição de materiais de consumo para a unidade de atendimento à saúde ao Centro de Saúde Ventosa, Rua Corcovado 1522, Bairro Jardim América, na Regional Oeste, Belo Horizonte, MG;</t>
  </si>
  <si>
    <t>Rua Corcovado 1522, Bairro Jardim América, na Regional Oeste, Belo Horizonte, MG;</t>
  </si>
  <si>
    <t>Centro de Saúde Ventosa, Rua Corcovado 1522, Bairro Jardim América, na Regional Oeste, Belo Horizonte, MG;</t>
  </si>
  <si>
    <t>2023_WALTER_TOSTA_292_01</t>
  </si>
  <si>
    <t>292</t>
  </si>
  <si>
    <t>2023_WALTER_TOSTA_303_01</t>
  </si>
  <si>
    <t>303</t>
  </si>
  <si>
    <t>à aquisição de materiais de consumo para a unidade de atendimento à saúde no Centro de Saúde São Jorge, situado à Rua Garret, 45, Bairro Grajaú, Regional Oeste, Belo Horizonte</t>
  </si>
  <si>
    <t>Rua Garret, 45, Bairro Grajaú, Regional Oeste, Belo Horizonte</t>
  </si>
  <si>
    <t>Centro de Saúde São Jorge, situado à Rua Garret, 45, Bairro Grajaú, Regional Oeste, Belo Horizonte</t>
  </si>
  <si>
    <t>2023_WALTER_TOSTA_304_01</t>
  </si>
  <si>
    <t>304</t>
  </si>
  <si>
    <t>ao reforço de dotação orçamentária destinado à elaboração de projetos, obras estruturantes e/ou instalações do Centro de Saúde Conjunto Betânia, situado à Rua Onã, 105, Bairro Conjunto Betânia, Regional Oeste, Belo Horizonte</t>
  </si>
  <si>
    <t>38974.199999999997</t>
  </si>
  <si>
    <t>CETUS CONSTRUTORA LTDA; ENGENHARIA DE AVALIACOES, PERICIAS E CONSTRUCOES LTDA</t>
  </si>
  <si>
    <t>Rua Onã, 105, Bairro Conjunto Betânia, Regional Oeste, Belo Horizonte</t>
  </si>
  <si>
    <t>Centro de Saúde Conjunto Betânia, situado à Rua Onã, 105, Bairro Conjunto Betânia, Regional Oeste, Belo Horizonte</t>
  </si>
  <si>
    <t>2023_WALTER_TOSTA_305_01</t>
  </si>
  <si>
    <t>ao reforço de dotação orçamentária destinado à elaboração de projetos, obras estruturantes e/ou instalações do Centro de Saúde Betânia, situado à Rua Canoas, 678, Bairro Betânia, Regional Oeste, Belo Horizonte</t>
  </si>
  <si>
    <t>44620.14</t>
  </si>
  <si>
    <t>Rua Canoas, 678, Bairro Betânia, Regional Oeste, Belo Horizonte</t>
  </si>
  <si>
    <t>Centro de Saúde Betânia, situado à Rua Canoas, 678, Bairro Betânia, Regional Oeste, Belo Horizonte</t>
  </si>
  <si>
    <t>2023_WALTER_TOSTA_306_01</t>
  </si>
  <si>
    <t>306</t>
  </si>
  <si>
    <t>ao reforço de dotação orçamentária destinado à elaboração de projetos, obras estruturantes e/ou instalações do Centro de Saúde Noraldino de Lima, situado à Avenida Amazonas, 4373, Bairro Nova Suissa, Regional Oeste, Belo Horizonte</t>
  </si>
  <si>
    <t>77750.5</t>
  </si>
  <si>
    <t>Avenida Amazonas, 4373, Bairro Nova Suissa, Regional Oeste, Belo Horizonte</t>
  </si>
  <si>
    <t xml:space="preserve"> Centro de Saúde Noraldino de Lima, situado à Avenida Amazonas, 4373, Bairro Nova Suissa, Regional Oeste, Belo Horizonte</t>
  </si>
  <si>
    <t>2023_WALTER_TOSTA_312_01</t>
  </si>
  <si>
    <t>312</t>
  </si>
  <si>
    <t>2023_WALTER_TOSTA_315_01</t>
  </si>
  <si>
    <t>315</t>
  </si>
  <si>
    <t>ao reforço de dotação orçamentária destinado à elaboração de projetos, obras estruturantes e/ou instalações do Centro de Saúde, Salgado Filho, Rua Campina Verde 375, Salgado Filho, Bairro Salgado Filho, RegionalOeste belo Horizonte</t>
  </si>
  <si>
    <t>97702.58</t>
  </si>
  <si>
    <t>Rua Campina Verde 375, Salgado Filho, Bairro Salgado Filho, RegionalOeste belo Horizonte</t>
  </si>
  <si>
    <t>Centro de Saúde, Salgado Filho, Rua Campina Verde 375, Salgado Filho, Bairro Salgado Filho, RegionalOeste belo Horizonte</t>
  </si>
  <si>
    <t>2023_WALTER_TOSTA_316_01</t>
  </si>
  <si>
    <t>316</t>
  </si>
  <si>
    <t>ao reforço de dotação orçamentária destinado à elaboração de projetos, obras estruturantes e/ou instalações do Centro de Saúde Santa Rosa, situado à Avenida Bueno Siqueira, Bairro Universitário, Regional Pampulha, Belo Horizonte</t>
  </si>
  <si>
    <t>99996.66</t>
  </si>
  <si>
    <t>Avenida Bueno Siqueira, Bairro Universitário, Regional Pampulha, Belo Horizonte</t>
  </si>
  <si>
    <t>Centro de Saúde Santa Rosa, situado à Avenida Bueno Siqueira, Bairro Universitário, Regional Pampulha, Belo Horizonte</t>
  </si>
  <si>
    <t>2023_WALTER_TOSTA_317_01</t>
  </si>
  <si>
    <t>317</t>
  </si>
  <si>
    <t>ao reforço de dotação orçamentária para garantia do atendimento e transporte de pacientes agudos crônicos - Transporte Hemodiálise</t>
  </si>
  <si>
    <t>2023_WALTER_TOSTA_323_01</t>
  </si>
  <si>
    <t>323</t>
  </si>
  <si>
    <t>2023_WALTER_TOSTA_324_01</t>
  </si>
  <si>
    <t>324</t>
  </si>
  <si>
    <t>À aquisição de aparelho de diagnóstico para o centro de esterilização de cães e gatos, situado na Rua Alexandre Siqueira, nº 375, no Bairro Salgado Filho, na Regional Oeste;</t>
  </si>
  <si>
    <t>Rua Alexandre Siqueira, nº 375, no Bairro Salgado Filho, na Regional Oeste;</t>
  </si>
  <si>
    <t>2023_WALTER_TOSTA_325_01</t>
  </si>
  <si>
    <t>325</t>
  </si>
  <si>
    <t>à manutenção da Escola Municipal Frei Leopoldo, situada à Rua Vereador Cloves Cyrilo Limonge , 141, Bairro Havai, Regional Oeste, Belo Horizonte, MG</t>
  </si>
  <si>
    <t>2200.12.367.0167.2046.445042.F.500 (UA 0700)</t>
  </si>
  <si>
    <t xml:space="preserve"> Rua Vereador Cloves Cyrilo Limonge , 141, Bairro Havai, Regional Oeste, Belo Horizonte, MG</t>
  </si>
  <si>
    <t xml:space="preserve"> Escola Municipal Frei Leopoldo, situada à Rua Vereador Cloves Cyrilo Limonge , 141, Bairro Havai, Regional Oeste, Belo Horizonte, MG</t>
  </si>
  <si>
    <t>2023_WALTER_TOSTA_327_01</t>
  </si>
  <si>
    <t>327</t>
  </si>
  <si>
    <t>à manutenção da Escola Municipal Oswaldo Cruz., situada à Rua Santos, 2200 , Bairro Jardim América, Regional Oeste, Belo Horizonte</t>
  </si>
  <si>
    <t>2200.12.361.0168.2.046.445042.F.500 (UA 0700)</t>
  </si>
  <si>
    <t>CAIXA ESCOLAR ESCOLA MUNICIPAL OSWALDO CRUZ</t>
  </si>
  <si>
    <t>Rua Santos, 2200 , Bairro Jardim América, Regional Oeste, Belo Horizonte</t>
  </si>
  <si>
    <t>Escola Municipal Oswaldo Cruz., situada à Rua Santos, 2200 , Bairro Jardim América, Regional Oeste, Belo Horizonte</t>
  </si>
  <si>
    <t>2023_WALTER_TOSTA_328_01</t>
  </si>
  <si>
    <t>328</t>
  </si>
  <si>
    <t>à manutenção da Escola Municipal Deputado Milton Salles, situada à Rua Teófilo Filho, 222, Bairro Estoril, Regional Oeste, Belo Horizonte</t>
  </si>
  <si>
    <t>Rua Teófilo Filho, 222, Bairro Estoril, Regional Oeste, Belo Horizonte</t>
  </si>
  <si>
    <t>Escola Municipal Deputado Milton Salles, situada à Rua Teófilo Filho, 222, Bairro Estoril, Regional Oeste, Belo Horizonte</t>
  </si>
  <si>
    <t>2023_WALTER_TOSTA_329_01</t>
  </si>
  <si>
    <t>329</t>
  </si>
  <si>
    <t>à manutenção da Escola Municipal de Educação Infantil Christovam Colombo dos Santos, situada à Rua Vereador Nelson Cunha 137, Bairro Estoril, Regional Oeste, Belo Horizonte</t>
  </si>
  <si>
    <t>2200.12.365.0169.2.046.445042.F.500 (UA 0700)</t>
  </si>
  <si>
    <t xml:space="preserve"> Rua Vereador Nelson Cunha 137, Bairro Estoril, Regional Oeste, Belo Horizonte</t>
  </si>
  <si>
    <t>Escola Municipal de Educação Infantil Christovam Colombo dos Santos, situada à Rua Vereador Nelson Cunha 137, Bairro Estoril, Regional Oeste, Belo Horizonte</t>
  </si>
  <si>
    <t>2023_WALTER_TOSTA_331_01</t>
  </si>
  <si>
    <t>331</t>
  </si>
  <si>
    <t>à manutenção da EMEI Silva Lobo, situada à Avenida Silva Lobo, 2220, Bairro Nova Granada, Regional Oeste, Belo Horizonte</t>
  </si>
  <si>
    <t>Avenida Silva Lobo, 2220, Bairro Nova Granada, Regional Oeste, Belo Horizonte</t>
  </si>
  <si>
    <t>EMEI Silva Lobo, situada à Avenida Silva Lobo, 2220, Bairro Nova Granada, Regional Oeste, Belo Horizonte</t>
  </si>
  <si>
    <t>2023_WALTER_TOSTA_333_01</t>
  </si>
  <si>
    <t>à manutenção da EMEI Vila Leonina, situada à Rua Dezenove de Novembro 331, Bairro Leonina, Regional Oeste, Belo Horizonte</t>
  </si>
  <si>
    <t xml:space="preserve"> Rua Dezenove de Novembro 331, Bairro Leonina, Regional Oeste, Belo Horizonte</t>
  </si>
  <si>
    <t xml:space="preserve"> EMEI Vila Leonina, situada à Rua Dezenove de Novembro 331, Bairro Leonina, Regional Oeste, Belo Horizonte</t>
  </si>
  <si>
    <t>2023_WALTER_TOSTA_472_01</t>
  </si>
  <si>
    <t>472</t>
  </si>
  <si>
    <t>ao reforço de dotação orçamentária destinado à elaboração de projetos, obras estruturantes e /ou instalações do Centro de Saúde Vila Leonina, situado à Praça do Ensino, 240, Bairro Alpes, Regional Oeste, Belo Horizonte</t>
  </si>
  <si>
    <t>271183.94</t>
  </si>
  <si>
    <t>3S CONSTRUCOES LTDA</t>
  </si>
  <si>
    <t xml:space="preserve"> Praça do Ensino, 240, Bairro Alpes, Regional Oeste, Belo Horizonte</t>
  </si>
  <si>
    <t>Centro de Saúde Vila Leonina, situado à Praça do Ensino, 240, Bairro Alpes, Regional Oeste, Belo Horizonte</t>
  </si>
  <si>
    <t>2023_WALTER_TOSTA_501_01</t>
  </si>
  <si>
    <t>à manutenção da Escola Municipal Hugo Werneck, situada à Rua Vereador Oscar Trompowsky 1372, Bairro Grajaú, Regional Oeste, Belo Horizonte</t>
  </si>
  <si>
    <t>2200.12.361.0168.2.046.445042.F.500</t>
  </si>
  <si>
    <t>Rua Vereador Oscar Trompowsky 1372, Bairro Grajaú, Regional Oeste, Belo Horizonte</t>
  </si>
  <si>
    <t>Escola Municipal Hugo Werneck, situada à Rua Vereador Oscar Trompowsky 1372, Bairro Grajaú, Regional Oeste, Belo Horizonte</t>
  </si>
  <si>
    <t>2023_WANDERLEY_PORTO_151_01</t>
  </si>
  <si>
    <t>2023_WANDERLEY_PORTO</t>
  </si>
  <si>
    <t>151</t>
  </si>
  <si>
    <t>Wanderley Porto</t>
  </si>
  <si>
    <t>ao reforço de dotação para o projeto de modernização e melhoria dos Centros de Esterilização de Cães e Gatos e das Unidades Móveis de Esterilização de Belo Horizonte</t>
  </si>
  <si>
    <t>199735.2</t>
  </si>
  <si>
    <t>2023_WANDERLEY_PORTO_152_01</t>
  </si>
  <si>
    <t>152</t>
  </si>
  <si>
    <t>Ao reforço de dotação orçamentária para o Centro de Controle de Zoonoses;</t>
  </si>
  <si>
    <t>195087.37</t>
  </si>
  <si>
    <t>2023_WANDERLEY_PORTO_153_01</t>
  </si>
  <si>
    <t>153</t>
  </si>
  <si>
    <t>ao reforço de dotação orçamentária para melhorar os atendimentos realizados em animais da fauna urbana resgatados em vias públicas ou tutelados pela população de baixa renda</t>
  </si>
  <si>
    <t>2023_WANDERLEY_PORTO_154_01</t>
  </si>
  <si>
    <t>154</t>
  </si>
  <si>
    <t>ao recapeamento asfáltico da Rua Emanuel, CEP 30930240, bairro Pilar, em toda sua extensão</t>
  </si>
  <si>
    <t>26095.72</t>
  </si>
  <si>
    <t>Rua Emanuel, CEP 30930240, bairro Pilar</t>
  </si>
  <si>
    <t>Rua Emanuel, CEP 30930240, bairro Pilar, em toda sua extensão</t>
  </si>
  <si>
    <t>2023_WANDERLEY_PORTO_155_01</t>
  </si>
  <si>
    <t>155</t>
  </si>
  <si>
    <t>à pavimentação asfáltica da Rua Freixo, CEP 30.660-540, bairro Olaria em toda sua extensão</t>
  </si>
  <si>
    <t xml:space="preserve">Rua Freixo, CEP 30.660-540, bairro Olaria </t>
  </si>
  <si>
    <t>Rua Freixo, CEP 30.660-540, bairro Olaria em toda sua extensão</t>
  </si>
  <si>
    <t>2023_WANDERLEY_PORTO_156_01</t>
  </si>
  <si>
    <t>156</t>
  </si>
  <si>
    <t>ao recapeamento asfáltico da Rua Paulo Alves de Vasconcellos, CEP: 30664-270, bairro Vale do Jatobá, em toda sua extensão</t>
  </si>
  <si>
    <t>46607.49</t>
  </si>
  <si>
    <t>Rua Paulo Alves de Vasconcellos, CEP: 30664-270, bairro Vale do Jatobá</t>
  </si>
  <si>
    <t>Rua Paulo Alves de Vasconcellos, CEP: 30664-270, bairro Vale do Jatobá, em toda sua extensão</t>
  </si>
  <si>
    <t>2023_WANDERLEY_PORTO_157_01</t>
  </si>
  <si>
    <t>157</t>
  </si>
  <si>
    <t>ao recapeamento asfáltico da Rua João Veríssimo Carvalho, CEP: 30.670-300, em toda sua extensão</t>
  </si>
  <si>
    <t>34000</t>
  </si>
  <si>
    <t>31691.64</t>
  </si>
  <si>
    <t>Rua João Veríssimo Carvalho, CEP: 30.670-300</t>
  </si>
  <si>
    <t>2023_WANDERLEY_PORTO_158_01</t>
  </si>
  <si>
    <t>158</t>
  </si>
  <si>
    <t>ao recapeamento asfáltico da Rua Domício Gabriel de Vasconcelos, CEP: 30664-480, bairro Vale do Jatobá, em toda sua extensão</t>
  </si>
  <si>
    <t>107199.81</t>
  </si>
  <si>
    <t>Rua Domício Gabriel de Vasconcelos, CEP: 30664-480, bairro Vale do Jatobá, em toda sua extensão</t>
  </si>
  <si>
    <t>2023_WANDERLEY_PORTO_159_01</t>
  </si>
  <si>
    <t>159</t>
  </si>
  <si>
    <t>à pavimentação asfáltica da Rua L, localizada entre as ruas Cecília Maria da Silva e Lacyr Maffia, paralela à Rua Núbia Cristina e à Rua K, CEP: 306664-740, Jatobá IV.</t>
  </si>
  <si>
    <t>74000</t>
  </si>
  <si>
    <t>Rua L, localizada entre as ruas Cecília Maria da Silva e Lacyr Maffia, paralela à Rua Núbia Cristina e à Rua K, CEP: 306664-740, Jatobá IV.</t>
  </si>
  <si>
    <t>2023_WANDERLEY_PORTO_160_01</t>
  </si>
  <si>
    <t>160</t>
  </si>
  <si>
    <t>ao recapeamento asfáltico da Rua Professor Otílio Macedo, CEP: 30.930-160, bairro Pilar, em toda sua extensão</t>
  </si>
  <si>
    <t>98000</t>
  </si>
  <si>
    <t>89802.21</t>
  </si>
  <si>
    <t xml:space="preserve"> Rua Professor Otílio Macedo, CEP: 30.930-160, bairro Pilar, em toda sua extensão</t>
  </si>
  <si>
    <t>2023_WANDERLEY_PORTO_161_01</t>
  </si>
  <si>
    <t>161</t>
  </si>
  <si>
    <t>ao recapeamento asfáltico da Rua Professora Aspasia Ayer, CEP: 30.660-340, bairro Olaria, em toda sua extensão</t>
  </si>
  <si>
    <t>133533</t>
  </si>
  <si>
    <t>124479.03999999999</t>
  </si>
  <si>
    <t>Rua Professora Aspasia Ayer, CEP: 30.660-340, bairro Olaria, em toda sua extensão</t>
  </si>
  <si>
    <t>2023_WANDERLEY_PORTO_162_01</t>
  </si>
  <si>
    <t>162</t>
  </si>
  <si>
    <t>ao recapeamento asfáltico da Rua Nair Telles Dos Santos, CEP: 30.668-100, bairro Castanheira, em toda sua extensão</t>
  </si>
  <si>
    <t>65252.31</t>
  </si>
  <si>
    <t>Rua Nair Telles Dos Santos, CEP: 30.668-100, bairro Castanheira, em toda sua extensão</t>
  </si>
  <si>
    <t>2023_WANDERLEY_PORTO_163_01</t>
  </si>
  <si>
    <t>163</t>
  </si>
  <si>
    <t>à revitalização e manutenção do espaço público, localizada na Rua Alternador com Rua Fotometro, bairro Independência</t>
  </si>
  <si>
    <t>Rua Alternador com Rua Fotometro, bairro Independência</t>
  </si>
  <si>
    <t>2023_WANDERLEY_PORTO_164_01</t>
  </si>
  <si>
    <t>164</t>
  </si>
  <si>
    <t>à revitalização e manutenção de praças públicas: a) Praça 1 - Localizada entre a Avenida Djalma Vieira Cristo a as ruas Francisco Poletto e Luiz João de Oliveira, no bairro Vale do Jatobá.
b) Praça - Localizada entre a Avenida Djalma Vieira Cristo e as ruas Tenente Coronel João de Assis e Maria Domingos da Rocha, no bairro Vale do Jatobá.
c) Praça Cívica - Localizada entre a Avenida Djalma Vieira Cristo e as ruas Domício Gabriel de Vasconcelos e Ramon Thomé, no bairro Vale do Jatobá.
d) Praça Sagrado Coração de Maria - Localizada entre a Avenida Djalma Vieira Cristo e Rua Maria Lopes da Silva, no bairro Vale do Jatobá.</t>
  </si>
  <si>
    <t>a) Praça 1 - Localizada entre a Avenida Djalma Vieira Cristo a as ruas Francisco Poletto e Luiz João de Oliveira, no bairro Vale do Jatobá.
b) Praça - Localizada entre a Avenida Djalma Vieira Cristo e as ruas Tenente Coronel João de Assis e Maria Domingos da Rocha, no bairro Vale do Jatobá.
c) Praça Cívica - Localizada entre a Avenida Djalma Vieira Cristo e as ruas Domício Gabriel de Vasconcelos e Ramon Thomé, no bairro Vale do Jatobá.
d) Praça Sagrado Coração de Maria - Localizada entre a Avenida Djalma Vieira Cristo e Rua Maria Lopes da Silva, no bairro Vale do Jatobá.</t>
  </si>
  <si>
    <t>4</t>
  </si>
  <si>
    <t>2023_WANDERLEY_PORTO_165_01</t>
  </si>
  <si>
    <t>165</t>
  </si>
  <si>
    <t>à revitalização e manutenção de praça pública, localizada entre as ruas Gênesis, Luiz João de Oliveira e Luiz Leite de Faria, no Vale do Jatobá</t>
  </si>
  <si>
    <t>praça pública, localizada entre as ruas Gênesis, Luiz João de Oliveira e Luiz Leite de Faria, no Vale do Jatobá</t>
  </si>
  <si>
    <t>2023_WANDERLEY_PORTO_166_01</t>
  </si>
  <si>
    <t>166</t>
  </si>
  <si>
    <t>À instalação de playgrounds na praça Arcângelo Maleta, no bairro Santa Lúcia.</t>
  </si>
  <si>
    <t>praça Arcângelo Maleta, no bairro Santa Lúcia.</t>
  </si>
  <si>
    <t>2023_WANDERLEY_PORTO_167_01</t>
  </si>
  <si>
    <t>167</t>
  </si>
  <si>
    <t>à instalação de Playgrounds na praça José Sobrinho, localizada na Rua Matilde Augusta de Jesus, com Rua Luiz Zito Ferreira, bairro Olaria</t>
  </si>
  <si>
    <t>praça José Sobrinho, localizada na Rua Matilde Augusta de Jesus, com Rua Luiz Zito Ferreira, bairro Olaria</t>
  </si>
  <si>
    <t>2023_WANDERLEY_PORTO_168_01</t>
  </si>
  <si>
    <t>168</t>
  </si>
  <si>
    <t>À instalação de playgrounds no espaço público, localizado na Rua Alternador com Rua Fotometro, no bairro Independência.</t>
  </si>
  <si>
    <t>Rua Alternador com Rua Fotometro, no bairro Independência.</t>
  </si>
  <si>
    <t>2023_WANDERLEY_PORTO_169_01</t>
  </si>
  <si>
    <t>169</t>
  </si>
  <si>
    <t>à instalação de Playgrounds na praça Miguel Cândido da Rocha, localizada entre as Ruas Marcelo Bernuci e Florinda Rosalina, bairro Atila de Paiva</t>
  </si>
  <si>
    <t>praça Miguel Cândido da Rocha, localizada entre as Ruas Marcelo Bernuci e Florinda Rosalina, bairro Atila de Paiva</t>
  </si>
  <si>
    <t>2023_WANDERLEY_PORTO_170_01</t>
  </si>
  <si>
    <t>170</t>
  </si>
  <si>
    <t>à instalação de Playgrounds na praça do Comércio, localizada entre as Ruas Gênesis, Luiz João de Oliveira e Luiz Leite de Faria, no Vale do
Jatobá</t>
  </si>
  <si>
    <t>praça do Comércio, localizada entre as Ruas Gênesis, Luiz João de Oliveira e Luiz Leite de Faria, no Vale do Jatobá</t>
  </si>
  <si>
    <t>2023_WANDERLEY_PORTO_171_01</t>
  </si>
  <si>
    <t>171</t>
  </si>
  <si>
    <t>À instalação de playgrounds na praça Minerva, localizada na Rua Maripora, no bairro Jatobá.</t>
  </si>
  <si>
    <t>praça Minerva, localizada na Rua Maripora, no bairro Jatobá.</t>
  </si>
  <si>
    <t>2023_WANDERLEY_PORTO_172_01</t>
  </si>
  <si>
    <t>172</t>
  </si>
  <si>
    <t>ao reforço de dotação orçamentária para as unidades de atendimento à saúde do CS Pilar</t>
  </si>
  <si>
    <t>264050</t>
  </si>
  <si>
    <t>244325.22</t>
  </si>
  <si>
    <t xml:space="preserve"> Cento de Saúde Pilar</t>
  </si>
  <si>
    <t>2023_WANDERLEY_PORTO_173_01</t>
  </si>
  <si>
    <t>173</t>
  </si>
  <si>
    <t>ao reforço de dotação orçamentária para atendimento ao Hospital Metropolitano Doutor Célio de Castro CNES 7866801</t>
  </si>
  <si>
    <t>177532</t>
  </si>
  <si>
    <t xml:space="preserve"> Hospital Metropolitano Doutor Célio de Castro CNES 7866801</t>
  </si>
  <si>
    <t>2023_WANDERLEY_PORTO_174_01</t>
  </si>
  <si>
    <t>174</t>
  </si>
  <si>
    <t>ao reforço de dotação orçamentária para aquisição de insumos necessários para realização de cuidados aos animais mantidos no Centro de Apoio da Zoonoses</t>
  </si>
  <si>
    <t>298062.74</t>
  </si>
  <si>
    <t>290887.44</t>
  </si>
  <si>
    <t>2023_WANDERLEY_PORTO_175_01</t>
  </si>
  <si>
    <t>175</t>
  </si>
  <si>
    <t>ao reforço de dotação orçamentária para aquisição de insumos necessários para realização dos eventos de adoção e manutenção de cães em lar temporário</t>
  </si>
  <si>
    <t>99450.4</t>
  </si>
  <si>
    <t>BELLAMED PRODUTOS HOSPITALARES LTDA; BEM MED HOSPITALAR LTDA; MGS MINAS GERAIS ADMINISTRACAO E SERVICOS SA</t>
  </si>
  <si>
    <t>2023_WANDERLEY_PORTO_176_01</t>
  </si>
  <si>
    <t>176</t>
  </si>
  <si>
    <t>ao reforço de dotação orçamentária para qualificar o atendimento médico veterinário a animais tutelados por população de baixa renda, realizado no Complexo Público Veterinário</t>
  </si>
  <si>
    <t>2023_WANDERLEY_PORTO_177_01</t>
  </si>
  <si>
    <t>177</t>
  </si>
  <si>
    <t>ao reforço de dotação orçamentária para as unidades de atendimento à saúde do CS Vale do Jatobá</t>
  </si>
  <si>
    <t>335000</t>
  </si>
  <si>
    <t>250402.92</t>
  </si>
  <si>
    <t>HG CONSTRUTORA LTDA</t>
  </si>
  <si>
    <t>Centro de Saúde Vale do Jatobá</t>
  </si>
  <si>
    <t>2023_WESLEY_1071_01</t>
  </si>
  <si>
    <t>2023_WESLEY</t>
  </si>
  <si>
    <t>1071</t>
  </si>
  <si>
    <t>Wesley</t>
  </si>
  <si>
    <t>à revitalização de vestiário em campo esportivo</t>
  </si>
  <si>
    <t>2200.0100.12.361.168.2.046.xxxx.44504201.1.500.000 - CO 1001</t>
  </si>
  <si>
    <t>2023_WESLEY_473_01</t>
  </si>
  <si>
    <t>473</t>
  </si>
  <si>
    <t>ao reforço de dotação orçamentária para atendimento ao Hospital da Baleia.</t>
  </si>
  <si>
    <t xml:space="preserve"> Hospital da Baleia</t>
  </si>
  <si>
    <t>2023_WESLEY_474_01</t>
  </si>
  <si>
    <t>474</t>
  </si>
  <si>
    <t>ao reforço de dotação orçamentária para atendimento ao Hospital Risoleta Tolentino Neves.</t>
  </si>
  <si>
    <t xml:space="preserve"> Hospital Risoleta Tolentino Neves.</t>
  </si>
  <si>
    <t>2023_WESLEY_475_01</t>
  </si>
  <si>
    <t>475</t>
  </si>
  <si>
    <t>ao reforço de dotação orçamentária para atendimento ao Hospital Paulo de Tarso.</t>
  </si>
  <si>
    <t xml:space="preserve"> Hospital Paulo de Tarso.</t>
  </si>
  <si>
    <t>2023_WESLEY_476_01</t>
  </si>
  <si>
    <t>476</t>
  </si>
  <si>
    <t>ao reforço de dotação orçamentária para atendimento ao Hospital Madre Teresa.</t>
  </si>
  <si>
    <t>2023_WESLEY_477_01</t>
  </si>
  <si>
    <t>477</t>
  </si>
  <si>
    <t>ao reforço de dotação orçamentária para atendimento ao Hospital Santa Casa de Belo Horizonte.</t>
  </si>
  <si>
    <t>Hospital Santa Casa de Belo Horizonte.</t>
  </si>
  <si>
    <t>2023_WESLEY_478_01</t>
  </si>
  <si>
    <t>478</t>
  </si>
  <si>
    <t>à aquisição de materiais de consumo para o Centro de Saúde Independência, localizado na Rua Maria Antonieta Ferreira, 151, Independência, CEP: 30.672-090.</t>
  </si>
  <si>
    <t>105799</t>
  </si>
  <si>
    <t>103781.73</t>
  </si>
  <si>
    <t xml:space="preserve"> Rua Maria Antonieta Ferreira, 151, Independência, CEP: 30.672-090.</t>
  </si>
  <si>
    <t>Centro de Saúde Independência, localizado na Rua Maria Antonieta Ferreira, 151, Independência, CEP: 30.672-090.</t>
  </si>
  <si>
    <t>2023_WESLEY_479_01</t>
  </si>
  <si>
    <t>479</t>
  </si>
  <si>
    <t>à aquisição de materiais de consumo para o Centro de Saúde Vale do Jatobá, localizado na Rua Domício Gabriel de Vasconcelos, 100 - Vale do Jatobá, CEP: 30.664-480.</t>
  </si>
  <si>
    <t>95056.98</t>
  </si>
  <si>
    <t>Rua Domício Gabriel de Vasconcelos, 100 - Vale do Jatobá, CEP: 30.664-480.</t>
  </si>
  <si>
    <t>Centro de Saúde Vale do Jatobá, localizado na Rua Domício Gabriel de Vasconcelos, 100 - Vale do Jatobá, CEP: 30.664-480.</t>
  </si>
  <si>
    <t>2023_WESLEY_480_01</t>
  </si>
  <si>
    <t>480</t>
  </si>
  <si>
    <t>à aquisição de materiais de consumo para o Centro de Saúde Vila Pinho, localizado na Rua Otaviano de Carvalho, 174 - Vila Pinho. Cep - 30.668-090</t>
  </si>
  <si>
    <t>Rua Otaviano de Carvalho, 174 - Vila Pinho. Cep - 30.668-090</t>
  </si>
  <si>
    <t>Centro de Saúde Vila Pinho, localizado na Rua Otaviano de Carvalho, 174 - Vila Pinho. Cep - 30.668-090</t>
  </si>
  <si>
    <t>2023_WESLEY_481_01</t>
  </si>
  <si>
    <t>481</t>
  </si>
  <si>
    <t>à aquisição de materiais de consumo para a Unidade de Pronto Atendimento (UPA) Barreiro, localizado na rua Aurélio Lopes, 20 - Diamante. Cep - 30.626-002</t>
  </si>
  <si>
    <t>130467</t>
  </si>
  <si>
    <t>128595.48</t>
  </si>
  <si>
    <t>rua Aurélio Lopes, 20 - Diamante. Cep - 30.626-002</t>
  </si>
  <si>
    <t>Unidade de Pronto Atendimento (UPA) Barreiro, localizado na rua Aurélio Lopes, 20 - Diamante. Cep - 30.626-002</t>
  </si>
  <si>
    <t>2023_WESLEY_482_01</t>
  </si>
  <si>
    <t>à aquisição de materiais de consumo para o Centro de Saúde Califórnia, localizado na Avenida das Castanholas, 277 - Califórnia. Cep 30.850-760</t>
  </si>
  <si>
    <t>99419.18</t>
  </si>
  <si>
    <t>Avenida das Castanholas, 277 - Califórnia. Cep 30.850-760</t>
  </si>
  <si>
    <t>Centro de Saúde Califórnia, localizado na Avenida das Castanholas, 277 - Califórnia. Cep 30.850-760</t>
  </si>
  <si>
    <t>2023_WESLEY_483_01</t>
  </si>
  <si>
    <t>483</t>
  </si>
  <si>
    <t>à aquisição de materiais de consumo para o Centro de Saúde Regina, localizado na Rua Aristolino Basílio de Oliveira, 467 - Regina. Cep 30.692-180</t>
  </si>
  <si>
    <t>96354.62</t>
  </si>
  <si>
    <t>Rua Aristolino Basílio de Oliveira, 467 - Regina. Cep 30.692-180</t>
  </si>
  <si>
    <t>Centro de Saúde Regina, localizado na Rua Aristolino Basílio de Oliveira, 467 - Regina. Cep 30.692-180</t>
  </si>
  <si>
    <t>2023_WESLEY_484_01</t>
  </si>
  <si>
    <t>484</t>
  </si>
  <si>
    <t>à aquisição de materiais de consumo para o Centro de Saúde Lindeia, localizado na Rua Flor de Maio, 172 - Lindeia. Cep 30.690-170</t>
  </si>
  <si>
    <t>99804.7</t>
  </si>
  <si>
    <t>Rua Flor de Maio, 172 - Lindeia. Cep 30.690-170</t>
  </si>
  <si>
    <t>Centro de Saúde Lindeia, localizado na Rua Flor de Maio, 172 - Lindeia. Cep 30.690-170</t>
  </si>
  <si>
    <t>2023_WESLEY_485_01</t>
  </si>
  <si>
    <t>485</t>
  </si>
  <si>
    <t>à aquisição de materiais de consumo para o Centro de Saúde Teixeira Dias, localizado na Rua Maria Marcolina Souza, 40 - Teixeira Dias (Barreiro) - Cep 30.644-190</t>
  </si>
  <si>
    <t>99574.98</t>
  </si>
  <si>
    <t>Rua Maria Marcolina Souza, 40 - Teixeira Dias (Barreiro) - Cep 30.644-190</t>
  </si>
  <si>
    <t>Centro de Saúde Teixeira Dias, localizado na Rua Maria Marcolina Souza, 40 - Teixeira Dias (Barreiro) - Cep 30.644-190</t>
  </si>
  <si>
    <t>2023_WESLEY_486_01</t>
  </si>
  <si>
    <t>486</t>
  </si>
  <si>
    <t>à aquisição de materiais de consumo para o Centro de Saúde Urucuia, localizado na Rua Nelson de Paula Pires, 325 - Pongelupe. Cep 30.628-030</t>
  </si>
  <si>
    <t>Rua Nelson de Paula Pires, 325 - Pongelupe. Cep 30.628-030</t>
  </si>
  <si>
    <t>Centro de Saúde Urucuia, localizado na Rua Nelson de Paula Pires, 325 - Pongelupe. Cep 30.628-030</t>
  </si>
  <si>
    <t>2023_WESLEY_487_01</t>
  </si>
  <si>
    <t>487</t>
  </si>
  <si>
    <t>à destinação de recursos para a execução de atividades socioassistenciais para a Associação Shekinah de Assistência Social - ASAS (Instrumento Jurídico: 01.2021.1011.0001.0000 / CNPJ: 01.160.544/0001-83), localizada na Rua Alair Pereira da Silva, 205 - Conjunto Taquaril, CEP: 30.290-580.</t>
  </si>
  <si>
    <t>Rua Alair Pereira da Silva, 205 - Conjunto Taquaril, CEP: 30.290-580.</t>
  </si>
  <si>
    <t>2023_WESLEY_488_01</t>
  </si>
  <si>
    <t>488</t>
  </si>
  <si>
    <t>manutenção de vestiário do Campo de Futebol do Real (Jatobá IV), localizado na Rua Lacyr Maffia, esquina com a Avenida Haydée Abras Homssi, Jatobá IV.</t>
  </si>
  <si>
    <t>33898.639999999999</t>
  </si>
  <si>
    <t xml:space="preserve"> Campo de Futebol do Real (Jatobá IV), localizado na Rua Lacyr Maffia, esquina com a Avenida Haydée Abras Homssi, Jatobá IV.</t>
  </si>
  <si>
    <t>2023_WESLEY_489_01</t>
  </si>
  <si>
    <t>489</t>
  </si>
  <si>
    <t>revitalização de sinalização vertical e horizontal na Avenida Solferina Ricci Pace, próximo ao número 400, Jatobá, CEP: 32.400-000.</t>
  </si>
  <si>
    <t>8726.18</t>
  </si>
  <si>
    <t>Avenida Solferina Ricci Pace, próximo ao número 400, Jatobá, CEP: 32.400-000.</t>
  </si>
  <si>
    <t>2023_WESLEY_491_01</t>
  </si>
  <si>
    <t>491</t>
  </si>
  <si>
    <t>instalação de grama sintética no Campo Castanheira II, localizado na Avenida Waldyr Soeiro Emrich, 5007, esquina com Rua Alameda Ibirité e Rua Silvestre Bonfim dos Santos, Castanheira II, CEP: 30.670-005.</t>
  </si>
  <si>
    <t>460000</t>
  </si>
  <si>
    <t>Campo Castanheira II, localizado na Avenida Waldyr Soeiro Emrich, 5007, esquina com Rua Alameda Ibirité e Rua Silvestre Bonfim dos Santos, Castanheira II, CEP: 30.670-005.</t>
  </si>
  <si>
    <t>2023_WESLEY_493_01</t>
  </si>
  <si>
    <t>493</t>
  </si>
  <si>
    <t>manutenção de alambrado e instalação de parabolas no campo esportivo localizado na Rua Dois, 64 (CEP: 30.516-465), esquina com a Avenida Tereza Cristina, bairro Nova Gameleira.</t>
  </si>
  <si>
    <t>35259.449999999997</t>
  </si>
  <si>
    <t>Campo esportivo localizado na Rua Dois, 64 (CEP: 30.516-465), esquina com a Avenida Tereza Cristina, bairro Nova Gameleira.</t>
  </si>
  <si>
    <t>2023_WESLEY_494_01</t>
  </si>
  <si>
    <t>494</t>
  </si>
  <si>
    <t>revitalização da Praça Três, localizada na Rua Henry Corrêa de Araújo, esquina com a Rua Francisco Ferreira García e Rua José Gonçalves de Alkimim, todas no bairro Vale do Jatobá (CEP: 30.664-100).</t>
  </si>
  <si>
    <t>2700.1854100731.202.449051.F.500</t>
  </si>
  <si>
    <t>Praça Três, localizada na Rua Henry Corrêa de Araújo, esquina com a Rua Francisco Ferreira García e Rua José Gonçalves de Alkimim, todas no bairro Vale do Jatobá (CEP: 30.664-100).</t>
  </si>
  <si>
    <t>2023_WESLEY_495_01</t>
  </si>
  <si>
    <t>495</t>
  </si>
  <si>
    <t>revitalização da quadra instalada na Praça José Sobrinho Barros, localizada na Rua Jornalista Djalma Azevedo, 224, Diamante, CEP: 30.660-230.</t>
  </si>
  <si>
    <t>101401.23</t>
  </si>
  <si>
    <t>Praça José Sobrinho Barros, localizada na Rua Jornalista Djalma Azevedo, 224, Diamante, CEP: 30.660-230.</t>
  </si>
  <si>
    <t>2023_WESLEY_496_01</t>
  </si>
  <si>
    <t>496</t>
  </si>
  <si>
    <t>2023_WESLEY_497_01</t>
  </si>
  <si>
    <t>497</t>
  </si>
  <si>
    <t>ao recapeamento asfáltico da Rua Roberto Martins da Costa, bairro Vila Batik. CEP: 30.664-003.</t>
  </si>
  <si>
    <t>73000</t>
  </si>
  <si>
    <t>63643.06</t>
  </si>
  <si>
    <t>Rua Roberto Martins da Costa, bairro Vila Batik. CEP: 30.664-003.</t>
  </si>
  <si>
    <t>2023_WESLEY_498_01</t>
  </si>
  <si>
    <t>498</t>
  </si>
  <si>
    <t>revitalização da quadra localizada na Rua José Cláudio Sanches, 660 - Califórnia II, CEP: 30.855-445.</t>
  </si>
  <si>
    <t>49771.8</t>
  </si>
  <si>
    <t>Rua José Cláudio Sanches, 660 - Califórnia II, CEP: 30.855-445</t>
  </si>
  <si>
    <t>2023_WESLEY_499_01</t>
  </si>
  <si>
    <t>499</t>
  </si>
  <si>
    <t>aquisição de materiais de consumo para a Escola Municipal Sebastião Guilherme, localizada na Rua Calêndula, 10 - Olaria (CEP: 30.660-440).</t>
  </si>
  <si>
    <t>36930.71</t>
  </si>
  <si>
    <t>Rua Calêndula, 10 - Olaria (CEP: 30.660-440).</t>
  </si>
  <si>
    <t>Escola Municipal Sebastião Guilherme, localizada na Rua Calêndula, 10 - Olaria (CEP: 30.660-440).</t>
  </si>
  <si>
    <t>2023_WESLEY_500_01</t>
  </si>
  <si>
    <t>aquisição de materiais de consumo para a Escola Municipal Luiz Gonzaga Júnior, localizada na Rua Maria Pereira Damasceno, 65 - Vale do Jatobá (CEP: 30.668-430).</t>
  </si>
  <si>
    <t>38220.54</t>
  </si>
  <si>
    <t>Rua Maria Pereira Damasceno, 65 - Vale do Jatobá (CEP: 30.668-430).</t>
  </si>
  <si>
    <t>Escola Municipal Luiz Gonzaga Júnior, localizada na Rua Maria Pereira Damasceno, 65 - Vale do Jatobá (CEP: 30.668-430).</t>
  </si>
  <si>
    <t>2023_WESLEY_502_01</t>
  </si>
  <si>
    <t>502</t>
  </si>
  <si>
    <t>aquisição de materiais de consumo para a Escola Municipal Edith Pimenta da Veiga, localizada na Rua Alameda Vargem Grande, 38 - Castanheira (CEP: 30.668-160).</t>
  </si>
  <si>
    <t>38751.19</t>
  </si>
  <si>
    <t>Rua Alameda Vargem Grande, 38 - Castanheira (CEP: 30.668-160).</t>
  </si>
  <si>
    <t>Escola Municipal Edith Pimenta da Veiga, localizada na Rua Alameda Vargem Grande, 38 - Castanheira (CEP: 30.668-160).</t>
  </si>
  <si>
    <t>2023_WESLEY_520_01</t>
  </si>
  <si>
    <t>520</t>
  </si>
  <si>
    <t>2023_WESLEY_521_01</t>
  </si>
  <si>
    <t>521</t>
  </si>
  <si>
    <t>revitalização parcial, no que couber, do Centro Esportivo do Conjunto Águas Claras, localizado na Rua João Bosco do Carmo, esquina com a Rua Terezinha de Jesus Carvalho, bairro Conjunto Águas Claras.</t>
  </si>
  <si>
    <t>74533</t>
  </si>
  <si>
    <t>43724.91</t>
  </si>
  <si>
    <t xml:space="preserve"> Rua João Bosco do Carmo, esquina com a Rua Terezinha de Jesus Carvalho, bairro Conjunto Águas Claras.</t>
  </si>
  <si>
    <t>Centro Esportivo do Conjunto Águas Claras, localizado na Rua João Bosco do Carmo, esquina com a Rua Terezinha de Jesus Carvalho, bairro Conjunto Águas Claras.</t>
  </si>
  <si>
    <t>2023_WESLEY_522_01</t>
  </si>
  <si>
    <t>522</t>
  </si>
  <si>
    <t>à realização de ações de assistência social pela Associação Grupo de Idoso Alegria de Viver (instrumento jurídico: 01.2011.1011.0043.07.00 / CNPJ: 65.161.499/0001-64), localizada na Rua Cônego Santana, 545 - Cachoeirinha.</t>
  </si>
  <si>
    <t>Rua Cônego Santana, 545 - Cachoeirinha.</t>
  </si>
  <si>
    <t>Associação Grupo de Idoso Alegria de Viver (instrumento jurídico: 01.2011.1011.0043.07.00 / CNPJ: 65.161.499/0001-64), localizada na Rua Cônego Santana, 545 - Cachoeirinha.</t>
  </si>
  <si>
    <t>2023_WESLEY_523_01</t>
  </si>
  <si>
    <t>523</t>
  </si>
  <si>
    <t>ao reforço de dotação orçamentária para atendimento ao Complexo Hospitalar São Francisco.</t>
  </si>
  <si>
    <t>Complexo Hospitalar São Francisco.</t>
  </si>
  <si>
    <t>2023_WILSINHO_DA_TABU_702_01</t>
  </si>
  <si>
    <t>2023_WILSINHO_DA_TABU</t>
  </si>
  <si>
    <t>702</t>
  </si>
  <si>
    <t>Wilsinho da Tabu</t>
  </si>
  <si>
    <t>2023_WILSINHO_DA_TABU_703_01</t>
  </si>
  <si>
    <t>703</t>
  </si>
  <si>
    <t>95000</t>
  </si>
  <si>
    <t>2023_WILSINHO_DA_TABU_704_01</t>
  </si>
  <si>
    <t>704</t>
  </si>
  <si>
    <t>ao aprimoramento das atividades desenvolvidas no âmbito do SUS pelo Hospital Madre Teresa - CNPJ 60.194.990/0008-14</t>
  </si>
  <si>
    <t>2023_WILSINHO_DA_TABU_705_01</t>
  </si>
  <si>
    <t>705</t>
  </si>
  <si>
    <t>2023_WILSINHO_DA_TABU_706_01</t>
  </si>
  <si>
    <t>706</t>
  </si>
  <si>
    <t>ao aprimoramento das atividades desenvolvidas no âmbito do SUS pelo Hospital Paulo de Tarso (Associação Paulo de Tarso - CNPJ: 17.226.044/0001-37)</t>
  </si>
  <si>
    <t>Hospital Paulo de Tarso (Associação Paulo de Tarso - CNPJ: 17.226.044/0001-37)</t>
  </si>
  <si>
    <t>2023_WILSINHO_DA_TABU_707_01</t>
  </si>
  <si>
    <t>707</t>
  </si>
  <si>
    <t>2023_WILSINHO_DA_TABU_708_01</t>
  </si>
  <si>
    <t>708</t>
  </si>
  <si>
    <t>ao aprimoramento das atividades desenvolvidas no âmbito do SUS pelo Hospital São Francisco de Assis (Fundação Hospitalar São Francisco de Assis - CNPJ 13.025.354/0001-32)</t>
  </si>
  <si>
    <t>Hospital São Francisco de Assis (Fundação Hospitalar São Francisco de Assis - CNPJ 13.025.354/0001-32)</t>
  </si>
  <si>
    <t>2023_WILSINHO_DA_TABU_709_01</t>
  </si>
  <si>
    <t>709</t>
  </si>
  <si>
    <t>ao reforço de dotação orçamentária para atendimento ao Hospital Sofia Feldman</t>
  </si>
  <si>
    <t>2023_WILSINHO_DA_TABU_710_01</t>
  </si>
  <si>
    <t>710</t>
  </si>
  <si>
    <t>ao repasse de recursos para a ASSOCIACAO BURITIS DE ESPORTE E CULTURA, CNPJ 12.382.472/0001-35, visando à melhoria de atividades socioassistenciais, de acordo com o disposto na Lei Federal nº 8.742/93, em consonância com a referida inscrição no Conselho Municipal de Assistência Social de Belo Horizonte - CMAS-BH</t>
  </si>
  <si>
    <t>2023_WILSINHO_DA_TABU_711_01</t>
  </si>
  <si>
    <t>711</t>
  </si>
  <si>
    <t>ao repasse de recursos para a ASSOCIACAO MINEIRA DA AMIZADE A M A, CNPJ 16.746.026/0001-13, visando à melhoria de atividades socioassistenciais, de acordo com o disposto na Lei Federal nº 8.742/93, em consonância com a referida inscrição no Conselho Municipal de Assistência Social de Belo Horizonte - CMAS-BH</t>
  </si>
  <si>
    <t>21000</t>
  </si>
  <si>
    <t>2023_WILSINHO_DA_TABU_714_01</t>
  </si>
  <si>
    <t>714</t>
  </si>
  <si>
    <t>ao reforço de dotação orçamentária para custeio para realização de cuidados aos animais resgatados pelo Centro de Controle de Zoonoses.</t>
  </si>
  <si>
    <t>76669.25</t>
  </si>
  <si>
    <t>MGS MINAS GERAIS ADMINISTRACAO E SERVICOS SA; PET COMPANY INGREDIENTES LTDA</t>
  </si>
  <si>
    <t>2023_WILSINHO_DA_TABU_715_01</t>
  </si>
  <si>
    <t>715</t>
  </si>
  <si>
    <t>ao reforço de dotação orçamentária para custeio do projeto A Rua é Nossa a ser implantado na Avenida Petrolina, no Bairro Sagrada Família</t>
  </si>
  <si>
    <t>3000.2781301012.545.339030.F.500</t>
  </si>
  <si>
    <t>158500</t>
  </si>
  <si>
    <t>108068.44</t>
  </si>
  <si>
    <t>Avenida Petrolina, no Bairro Sagrada Família</t>
  </si>
  <si>
    <t>2023_WILSINHO_DA_TABU_716_01</t>
  </si>
  <si>
    <t>716</t>
  </si>
  <si>
    <t>ao reforço de dotação orçamentária para aquisição de Kit Uniforme Futsal (camisa, calção e meião) para os alunos da Escola Municipal Professor Domiciano Vieira, localizada na Rua São Bento, nº 1591 - Bairro Horto.</t>
  </si>
  <si>
    <t>5558.4</t>
  </si>
  <si>
    <t>Rua São Bento, nº 1591 - Bairro Horto</t>
  </si>
  <si>
    <t>Escola Municipal Professor Domiciano Vieira, localizada na Rua São Bento, nº 1591 - Bairro Horto.</t>
  </si>
  <si>
    <t>2023_WILSINHO_DA_TABU_717_01</t>
  </si>
  <si>
    <t>717</t>
  </si>
  <si>
    <t>ao reforço de dotação orçamentária para aquisição de Kit Capoeira (calça, camiseta, berimbau e pandeiro) para os alunos da Escola Municipal Professor Domiciano Vieira, localizada na Rua São Bento, nº 1591 - Bairro Horto.</t>
  </si>
  <si>
    <t>5000</t>
  </si>
  <si>
    <t>4554.99</t>
  </si>
  <si>
    <t>Rua São Bento, nº 1591 - Bairro Horto.</t>
  </si>
  <si>
    <t>2023_WILSINHO_DA_TABU_718_01</t>
  </si>
  <si>
    <t>718</t>
  </si>
  <si>
    <t>ao reforço de dotação orçamentária para aquisição de Kit Uniforme Futsal (camisa, calção e meião) para os alunos da Escola Municipal Professor Emídio Beruto, localizada na Rua Conceição do Pará, nº 1726 - bairro - Santa Inês</t>
  </si>
  <si>
    <t>Rua Conceição do Pará, nº 1726 - bairro - Santa Inês</t>
  </si>
  <si>
    <t>Escola Municipal Professor Emídio Beruto, localizada na Rua Conceição do Pará, nº 1726 - bairro - Santa Inês</t>
  </si>
  <si>
    <t>2023_WILSINHO_DA_TABU_719_01</t>
  </si>
  <si>
    <t>719</t>
  </si>
  <si>
    <t>ao reforço de dotação orçamentária para aquisição de Kit de Capoeira (calça, camiseta, berimbau e pandeiro) para os alunos da Escola Municipal Professor Emídio Beruto, localizada na Rua Conceição do Pará, nº 1726 - bairro - Santa Inês</t>
  </si>
  <si>
    <t>2023_WILSINHO_DA_TABU_720_01</t>
  </si>
  <si>
    <t>720</t>
  </si>
  <si>
    <t>ao reforço de dotação orçamentária para aquisição de Kit Uniforme Futsal (camisa, calção e meião) para os alunos da Escola Municipal Professora Maria Modesta Cravo, localizada na Av. Doutor Júlio Otaviano Ferreira, nº 1085 - bairro - Cidade Nova</t>
  </si>
  <si>
    <t>2200.1236101682.080.339030.F.500 (UA 0500)</t>
  </si>
  <si>
    <t xml:space="preserve"> Av. Doutor Júlio Otaviano Ferreira, nº 1085 - bairro - Cidade Nova</t>
  </si>
  <si>
    <t>Escola Municipal Professora Maria Modesta Cravo, localizada na Av. Doutor Júlio Otaviano Ferreira, nº 1085 - bairro - Cidade Nova</t>
  </si>
  <si>
    <t>2023_WILSINHO_DA_TABU_721_01</t>
  </si>
  <si>
    <t>721</t>
  </si>
  <si>
    <t>ao reforço de dotação orçamentária para aquisição de Kit de Capoeira (calça, camiseta, berimbau e pandeiro) para os alunos da Escola Municipal Professora Maria Modesta Cravo, localizada na Av. Doutor Júlio Otaviano Ferreira, nº 1085 - bairro - Cidade Nova</t>
  </si>
  <si>
    <t>Av. Doutor Júlio Otaviano Ferreira, nº 1085 - bairro - Cidade Nova</t>
  </si>
  <si>
    <t>2023_WILSINHO_DA_TABU_722_01</t>
  </si>
  <si>
    <t>722</t>
  </si>
  <si>
    <t>ao repasse de recursos para o CONSELHO METROPOLITANO DE BELO HORIZONTE DA SOCIEDADE DE SAO VICENTE DE PAULO, CNPJ 17.235.771/0001-60, visando à melhoria de atividades socioassistenciais, do Conselho Particular Bom Jesus do Horto; Conselho Particular Nossa Senhora da Assunção e Conselho Central Nossa Senhora Aparecida, de acordo com o disposto na Lei Federal nº 8.742/93, em consonância com a referida inscrição no Conselho Municipal de Assistência Social de Belo Horizonte - CMAS-BH</t>
  </si>
  <si>
    <t>2023_WILSINHO_DA_TABU_723_01</t>
  </si>
  <si>
    <t>723</t>
  </si>
  <si>
    <t>à aquisição de materiais permanentes para as quatro unidades do CENTRO DE ESPECIALIDADES ODONTOLÓGICAS (CEO)</t>
  </si>
  <si>
    <t>230298.07</t>
  </si>
  <si>
    <t>252957.07</t>
  </si>
  <si>
    <t>2023_WILSINHO_DA_TABU_724_01</t>
  </si>
  <si>
    <t>724</t>
  </si>
  <si>
    <t>ao reforço de dotação orçamentária para aquisição de equipamentos e materiais permanentes para o Centro de Referência em Saúde Mental - CERSAM</t>
  </si>
  <si>
    <t>42500</t>
  </si>
  <si>
    <t>30051.06</t>
  </si>
  <si>
    <t>2023_WILSINHO_DA_TABU_725_01</t>
  </si>
  <si>
    <t>725</t>
  </si>
  <si>
    <t>ao reforço de dotação orçamentária para aquisição de equipamentos e materiais permanentes para o Centro de Saúde Santa Inês, localizado na Rua Itumirim, nº 50, no bairro Santa Inês.</t>
  </si>
  <si>
    <t>57630.2</t>
  </si>
  <si>
    <t>40230.199999999997</t>
  </si>
  <si>
    <t>ACAT SOLUCOES E COMERCIO LTDA; B. D. R. COMERCIO DE EQUIPAMENTOS LTDA; BOSCO FELIPE COMERCIO LTDA; CASA DE PESCA SOLIMOES LTDA; INSMART COMERCIO DE EQUIPAMENTOS LTDA; PREPAVE COMERCIO DE MOVEIS E EQUIPAMENTOS LTDA</t>
  </si>
  <si>
    <t>Rua Itumirim, nº 50, no bairro Santa Inês</t>
  </si>
  <si>
    <t>Centro de Saúde Santa Inês, localizado na Rua Itumirim, nº 50, no bairro Santa Inês</t>
  </si>
  <si>
    <t>2023_WILSINHO_DA_TABU_726_01</t>
  </si>
  <si>
    <t>726</t>
  </si>
  <si>
    <t>ao reforço da dotação orçamentária para execução de reformas/obras no Centro de Saúde Marco Antônio de Menezes, localizado na Avenida Petrolina, nº 869, no Bairro Horto</t>
  </si>
  <si>
    <t>263499.99</t>
  </si>
  <si>
    <t>246696.03</t>
  </si>
  <si>
    <t>Avenida Petrolina, nº 869, no Bairro Horto</t>
  </si>
  <si>
    <t>Centro de Saúde Marco Antônio de Menezes, localizado na Avenida Petrolina, nº 869, no Bairro Horto</t>
  </si>
  <si>
    <t>2023_WILSINHO_DA_TABU_727_01</t>
  </si>
  <si>
    <t>727</t>
  </si>
  <si>
    <t>ao reforço da dotação orçamentária para aquisição de equipamentos e materiais permanentes para o Centro de Saúde Pompéia, localizado na Rua Leopoldo Gomes, nº 440, no Bairro Pompéia.</t>
  </si>
  <si>
    <t>26703.97</t>
  </si>
  <si>
    <t>CASA DE PESCA SOLIMOES LTDA</t>
  </si>
  <si>
    <t>Rua Leopoldo Gomes, nº 440, no Bairro Pompéia.</t>
  </si>
  <si>
    <t>Centro de Saúde Pompéia, localizado na Rua Leopoldo Gomes, nº 440, no Bairro Pompéia.</t>
  </si>
  <si>
    <t>2023_WILSINHO_DA_TABU_728_01</t>
  </si>
  <si>
    <t>728</t>
  </si>
  <si>
    <t>ao reforço da dotação orçamentária para aquisição de equipamentos e materiais permanentes para a Unidade de Pronto Atendimento - UPA - Leste, localizada na Avenida dos Andradas, nº 7.260. Bairro Vera Cruz</t>
  </si>
  <si>
    <t>113797.11</t>
  </si>
  <si>
    <t>98123.11</t>
  </si>
  <si>
    <t>B. D. R. COMERCIO DE EQUIPAMENTOS LTDA; BENZER TECNOLOGIA LTDA; CASA DE PESCA SOLIMOES LTDA; M. CARREGA COMERCIO DE PRODUTOS HOSPITALARES LTDA; UDILIFE COM IMPORTACAO E EXPORTACAO LTDA</t>
  </si>
  <si>
    <t>Avenida dos Andradas, nº 7.260. Bairro Vera Cruz</t>
  </si>
  <si>
    <t>Unidade de Pronto Atendimento - UPA - Leste, localizada na Avenida dos Andradas, nº 7.260. Bairro Vera Cruz</t>
  </si>
  <si>
    <t>2023_WILSINHO_DA_TABU_729_01</t>
  </si>
  <si>
    <t>729</t>
  </si>
  <si>
    <t>ao reforço da dotação orçamentária para manutenção predial e reforma no Centro de Saúde Conjunto Bethânia, localizado na Rua Onã, nº 105, no Bairro Betânia.</t>
  </si>
  <si>
    <t>92578.54</t>
  </si>
  <si>
    <t>ENGENHARIA DE AVALIACOES, PERICIAS E CONSTRUCOES LTDA</t>
  </si>
  <si>
    <t>Rua Onã, nº 105, no Bairro Betânia.</t>
  </si>
  <si>
    <t>Centro de Saúde Conjunto Bethânia, localizado na Rua Onã, nº 105, no Bairro Betânia.</t>
  </si>
  <si>
    <t>2023_WILSINHO_DA_TABU_730_01</t>
  </si>
  <si>
    <t>730</t>
  </si>
  <si>
    <t>ao reforço de dotação orçamentária para aquisição de equipamentos pelo Hospital Alberto Cavalcanti, para melhoria no atendimento à população.</t>
  </si>
  <si>
    <t>2023_WILSINHO_DA_TABU_731_01</t>
  </si>
  <si>
    <t>731</t>
  </si>
  <si>
    <t>ao reforço de dotação orçamentária para realização de campanha de conscientização e incentivo ao aleitamento materno.</t>
  </si>
  <si>
    <t>2302.1030201142.981.335043.S.500</t>
  </si>
  <si>
    <t>2981</t>
  </si>
  <si>
    <t>2023_WILSINHO_DA_TABU_732_01</t>
  </si>
  <si>
    <t>732</t>
  </si>
  <si>
    <t>ao reforço de dotação orçamentária para aquisição de equipamentos e materiais permanentes para o Centro de Saúde Heliópolis, localizado na Rua dos Beneditinos, nº 120, no Bairro Heliópolis.</t>
  </si>
  <si>
    <t>98438.86</t>
  </si>
  <si>
    <t>Rua dos Beneditinos, nº 120, no Bairro Heliópolis.</t>
  </si>
  <si>
    <t>Centro de Saúde Heliópolis, localizado na Rua dos Beneditinos, nº 120, no Bairro Heliópolis.</t>
  </si>
  <si>
    <t>2023_WILSINHO_DA_TABU_733_01</t>
  </si>
  <si>
    <t>733</t>
  </si>
  <si>
    <t>ao reforço de dotação orçamentária para aquisição de equipamentos e de materiais permanentes para Centro de Saúde Granja de Freitas, localizado na Rua São Vicente, nº 405, Bairro Granja de Freitas.</t>
  </si>
  <si>
    <t>Rua São Vicente, nº 405, Bairro Granja de Freitas.</t>
  </si>
  <si>
    <t>Centro de Saúde Granja de Freitas, localizado na Rua São Vicente, nº 405, Bairro Granja de Freitas.</t>
  </si>
  <si>
    <t>2023_WILSINHO_DA_TABU_734_01</t>
  </si>
  <si>
    <t>734</t>
  </si>
  <si>
    <t>ao reforço de dotação orçamentária para aquisição de equipamentos e materiais permanentes para o Centro de Saúde Boa Vista, localizado na Rua Guruá, nº 833, bairro Boa Vista.</t>
  </si>
  <si>
    <t>Rua Guruá, nº 833, bairro Boa Vista.</t>
  </si>
  <si>
    <t>Centro de Saúde Boa Vista, localizado na Rua Guruá, nº 833, bairro Boa Vista.</t>
  </si>
  <si>
    <t>2023_WILSINHO_DA_TABU_735_01</t>
  </si>
  <si>
    <t>735</t>
  </si>
  <si>
    <t>2023_WILSINHO_DA_TABU_736_01</t>
  </si>
  <si>
    <t>736</t>
  </si>
  <si>
    <t>à implantação e/ou manutenção de equipamento de infraestrutura esportiva e de lazer em estrutura pública municipal em diversas praças públicas na Região Leste</t>
  </si>
  <si>
    <t>196820.34</t>
  </si>
  <si>
    <t>Região Leste</t>
  </si>
  <si>
    <t>2023_WILSINHO_DA_TABU_737_01</t>
  </si>
  <si>
    <t>737</t>
  </si>
  <si>
    <t>ao reforço de dotação orçamentária para execução de obra de manutenção e reforma da "Biquinha" localizada na Rua Abílio Machado, próximo ao número 977, esquina com a Avenida Petrolina, bairro Sagrada Família.</t>
  </si>
  <si>
    <t>Rua Abílio Machado, próximo ao número 977, esquina com a Avenida Petrolina, bairro Sagrada Família.</t>
  </si>
  <si>
    <t xml:space="preserve"> Rua Abílio Machado, próximo ao número 977, esquina com a Avenida Petrolina, bairro Sagrada Família.</t>
  </si>
  <si>
    <t>2023_WILSINHO_DA_TABU_738_01</t>
  </si>
  <si>
    <t>738</t>
  </si>
  <si>
    <t>ao reforço de dotação orçamentária para realização de reforma e revitalização da praça localizada entre as ruas Pouso Alegre e Avenida Silviano Brandão, Bairro Horto, próximo ao número 2861 - rua Pouso Alegre.</t>
  </si>
  <si>
    <t>32347.35</t>
  </si>
  <si>
    <t>praça localizada entre as ruas Pouso Alegre e Avenida Silviano Brandão, Bairro Horto, próximo ao número 2861 - rua Pouso Alegre.</t>
  </si>
  <si>
    <t>2023_WILSINHO_DA_TABU_739_01</t>
  </si>
  <si>
    <t>739</t>
  </si>
  <si>
    <t>ao reforço de dotação orçamentária para reforma da Praça Guará, localizada na Rua Gustavo da Silveira, 25 - Horto Instituto Agronômico</t>
  </si>
  <si>
    <t>75870.38</t>
  </si>
  <si>
    <t>Praça Guará, localizada na Rua Gustavo da Silveira, 25 - Horto Instituto Agronômico</t>
  </si>
  <si>
    <t>2023_WILSINHO_DA_TABU_740_01</t>
  </si>
  <si>
    <t>740</t>
  </si>
  <si>
    <t>ao reforço de dotação orçamentária para realização de reforma e revitalização da Praça Abadia, localizada na Rua Tulipa com Rua Mariano de Abreu, Bairro Esplanada.</t>
  </si>
  <si>
    <t>Praça Abadia, localizada na Rua Tulipa com Rua Mariano de Abreu, Bairro Esplanada.</t>
  </si>
  <si>
    <t>2023_WILSINHO_DA_TABU_741_01</t>
  </si>
  <si>
    <t>741</t>
  </si>
  <si>
    <t>ao reforço de dotação orçamentária para custeio do Programa Estamos Juntos</t>
  </si>
  <si>
    <t>2810.1133402372.404.339030.F.500</t>
  </si>
  <si>
    <t>2023_ALVARO_DAMIAO_1049_01</t>
  </si>
  <si>
    <t>2023_ALVARO_DAMIAO</t>
  </si>
  <si>
    <t>1049</t>
  </si>
  <si>
    <t>Álvaro Damião</t>
  </si>
  <si>
    <t>ao recapeamento asfáltico da Rua Iguassu no trecho situado entre as ruas Pitangui e Purus, com extensão aproximada de 200m (duzentos metros) e espessura de 5cm (cinco centímetros), no bairro Concórdia.</t>
  </si>
  <si>
    <t>206919.8</t>
  </si>
  <si>
    <t>190856.42</t>
  </si>
  <si>
    <t xml:space="preserve"> Rua Iguassu no trecho situado entre as ruas Pitangui e Purus, com extensão aproximada de 200m (duzentos metros) e espessura de 5cm (cinco centímetros), no bairro Concórdia.</t>
  </si>
  <si>
    <t>2023_ALVARO_DAMIAO_1050_01</t>
  </si>
  <si>
    <t>1050</t>
  </si>
  <si>
    <t>ao recapeamento asfáltico da Rua Itapeva no trecho situado entre as ruas Purús à rua Guanabara, com extensão de 300m (trezentos metros) e espessura de 5cm (cinco centímetros), no bairro Concórdia.</t>
  </si>
  <si>
    <t>234497.39</t>
  </si>
  <si>
    <t>Rua Itapeva no trecho situado entre as ruas Purús à rua Guanabara, com extensão de 300m (trezentos metros) e espessura de 5cm (cinco centímetros), no bairro Concórdia.</t>
  </si>
  <si>
    <t>2023_ALVARO_DAMIAO_1051_01</t>
  </si>
  <si>
    <t>1051</t>
  </si>
  <si>
    <t>ao recapeamento da Rua Tamboril, no bairro Concórdia</t>
  </si>
  <si>
    <t>190153.85</t>
  </si>
  <si>
    <t>62810.64</t>
  </si>
  <si>
    <t>SABRIL PAVIMENTACAO E URBANIZACAO EIRELI</t>
  </si>
  <si>
    <t xml:space="preserve"> Rua Tamboril, no bairro Concórdia</t>
  </si>
  <si>
    <t>2023_ALVARO_DAMIAO_1052_01</t>
  </si>
  <si>
    <t>1052</t>
  </si>
  <si>
    <t>2023_ALVARO_DAMIAO_1053_01</t>
  </si>
  <si>
    <t>1053</t>
  </si>
  <si>
    <t>ao recapeamento asfáltico da Rua Sai, no trecho situado entre as ruas Guanabara e Jacuí, com extensão aproximada de 200 (duzentos metros) e 5cm (cinco centímetros) de espessura, no bairro Concórdia.</t>
  </si>
  <si>
    <t>167926.35</t>
  </si>
  <si>
    <t>Rua Sai, no trecho situado entre as ruas Guanabara e Jacuí, com extensão aproximada de 200 (duzentos metros) e 5cm (cinco centímetros) de espessura, no bairro Concórdia.</t>
  </si>
  <si>
    <t>2023_ALVARO_DAMIAO_1054_01</t>
  </si>
  <si>
    <t>1054</t>
  </si>
  <si>
    <t>2023_ALVARO_DAMIAO_1055_01</t>
  </si>
  <si>
    <t>1055</t>
  </si>
  <si>
    <t>ao reforço de dotação orçamentária para aquisição de materiais permanentes na área médica e odontológica visando o atendimento ao público para o Centro de Saúde Alcides Lins, localizado na rua Panema nº 275, no bairro Concórdia.</t>
  </si>
  <si>
    <t>455000</t>
  </si>
  <si>
    <t>237878.2</t>
  </si>
  <si>
    <t>158158.70000000001</t>
  </si>
  <si>
    <t>ACAT SOLUCOES E COMERCIO LTDA; BOSCO FELIPE COMERCIO LTDA; BT COMERCIO INTELIGENTE LTDA; CB ELETRO E INFORMATICA LTDA; DLS COMERCIO LTDA; DORATEC COMERCIO DE SUPRIMENTOS DE INFORMATICA LTDA; EXPANSAO E COMMERCE LTDA; FOCCUS DISTRIBUIDORA DE EQUIPAMENTOS LTDA; FORMIGARI COMERCIO DE MOVEIS LTDA; LITS BRASIL LTDA; MEDLIFE DISPOSITIVOS MEDICOS LTDA; PRIMER SOLUCOES LTDA</t>
  </si>
  <si>
    <t>rua Panema nº 275, no bairro Concórdia.</t>
  </si>
  <si>
    <t>Centro de Saúde Alcides Lins, localizado na rua Panema nº 275, no bairro Concórdia.</t>
  </si>
  <si>
    <t>2023_ALVARO_DAMIAO_1056_01</t>
  </si>
  <si>
    <t>1056</t>
  </si>
  <si>
    <t>ao recapeamento asfáltico da Rua Benjamin Flores, no trecho situado entre as ruas Matipó e Deputado Álvaro Sales, com extensão aproximada de 300m (trezentos metros) e espessura de 5cm (cinco centímetros), no bairro Santo Antônio</t>
  </si>
  <si>
    <t>Rua Benjamin Flores, no trecho situado entre as ruas Matipó e Deputado Álvaro Sales, com extensão aproximada de 300m (trezentos metros) e espessura de 5cm (cinco centímetros), no bairro Santo Antônio</t>
  </si>
  <si>
    <t>2023_ALVARO_DAMIAO_1057_01</t>
  </si>
  <si>
    <t>1057</t>
  </si>
  <si>
    <t>reforço na dotação orçamentária da Secretaria Municipal de Segurança Pública (SMSP), objetivando a instalação de pontos de videomonitoramento na cidade.</t>
  </si>
  <si>
    <t>2100.1100.06.122.302.1.334 4.4.90.52 150000 (R$285.000,00)
2100.1100.06.122.302.1.334 3.3.90.39 150000 (R$95.000,00)</t>
  </si>
  <si>
    <t>379998.69</t>
  </si>
  <si>
    <t>2023_ALVARO_DAMIAO_1060_01</t>
  </si>
  <si>
    <t>1060</t>
  </si>
  <si>
    <t>1000000</t>
  </si>
  <si>
    <t>2023_ALVARO_DAMIAO_1061_01</t>
  </si>
  <si>
    <t>1061</t>
  </si>
  <si>
    <t>ao reforço de dotação orçamentária para implantação e/ou manutenção de equipamento de infraestrutura esportiva e de lazer em estrutura pública municipal.</t>
  </si>
  <si>
    <t>2700.1100.27.812.101.1213.449051.1.500</t>
  </si>
  <si>
    <t>46305.41</t>
  </si>
  <si>
    <t>macro_codigo</t>
  </si>
  <si>
    <t>macro_tema</t>
  </si>
  <si>
    <t>subcodigo</t>
  </si>
  <si>
    <t>subtema</t>
  </si>
  <si>
    <t>definicao</t>
  </si>
  <si>
    <t>inclui</t>
  </si>
  <si>
    <t>nao_inclui</t>
  </si>
  <si>
    <t>exemplos</t>
  </si>
  <si>
    <t>observacao_local</t>
  </si>
  <si>
    <t>ativo</t>
  </si>
  <si>
    <t>01</t>
  </si>
  <si>
    <t>MACROECONOMIA</t>
  </si>
  <si>
    <t>0100</t>
  </si>
  <si>
    <t>GERAL</t>
  </si>
  <si>
    <t>Quando há combinação de diversos assuntos econômicos (subcódigos) em um mesmo dado. Menção de "economia" como assunto isolado, sem especificações. Código é usado em situações generalistas em que a questão macroeconômica aparece como política principal. Termos comuns são: Crescimento econômico, desenvolvimento econômico, política econômica, indicadores econômicos, recessão econômica, estagnação econômica, melhora da economia, plano econômico, condições econômicas, estado da economia, recuperação econômica, efeitos da economia, efeitos da recessão.</t>
  </si>
  <si>
    <t>INFLAÇÃO, TAXAS DE JUROS, CONTROLE DE PREÇOS</t>
  </si>
  <si>
    <t>Controle da inflação, políticas de combate a inflação, indicadores de inflação no Brasil, inflação comparada a outros países, estatísticas de sumento de preços, preço de alimentos e serviços, custo de vida, indicadores de preço e de reajustes, índices de reajuste de preço - Taxa SELIC, Índice de Preço ao Consumidor Amplo (IPCA), Índice de Preços ao Produtor Amplo (IPA), Índice de Preços ao Consumidor da Fipe (IPC-Fipe), Índice Nacional de Preços ao Consumidor (INPC), Índice Nacional de Custo da Construção (INCC), Índice Geral de Preços do Mercado (IGP-M), Índice Geral de Preços de Mercado (IGP-DI). Atuação do Comitê de Política Monetária do Banco Central (COPOM) para taxas de Juros. Políticas específicas para estabilização de preços devem ser codificadas no 110. (Quando há menção de preços, sem mencionar inflação)</t>
  </si>
  <si>
    <t>0103</t>
  </si>
  <si>
    <t>DESEMPREGO</t>
  </si>
  <si>
    <t>Indicador específico para tratar de Desemprego. Indicadores de taxa de emprego e taxa de desemprego, relatórios sobre taxas de desemprego, análises temporais e comparadas sobre taxa de desemprego. Não confundir com política de trabalho e emprego, Código 5. Impactos econômicos do desemprego usar o (100), Políticas gerais de trabalho e emprego usar o (500), formas de qualificação para emprego usar o (502), trabalho informal (505)</t>
  </si>
  <si>
    <t>0104</t>
  </si>
  <si>
    <t>POLÍTICA MONETÁRIA, BANCO CENTRAL E TESOURO NACIONAL</t>
  </si>
  <si>
    <t>Observações relacionadas a política monetária, atuação do Banco Central, reserva de ouro, certificados e títulos do tesouro, disponibilidade de crédito, oferta de moeda, taxas de câmbio, compra e venda de títulos públicos, política monetária expansiva, política monetária contracionista, redesconto, depósito compulsório. (Codificar guerra cambial, câmbio em 1808)</t>
  </si>
  <si>
    <t>0105</t>
  </si>
  <si>
    <t>ORÇAMENTO PÚBLICO E DÍVIDA PÚBLICA</t>
  </si>
  <si>
    <t>Questões relacionadas com a composição do orçamento público, execução orçamentária, déficit público, dívida pública, indicadores e avaliações do déficit ou superávit orçamentário, processo orçamentário, propostas orçamentárias anuais, ato e execução orçamentária, déficit e dívida federal, redução do déficit e propostas de gestão, projeções orçamentárias, aumento do limite da dívida pública, impacto das reduções orçamentárias nas indústrias, estados e comunidades, emissões de dívida pública, mudanças no status do exercício fiscal, resoluções orçamentárias, alterações da peça orçamentária anual. Consulta pública. Dívidas dos Estados e Municípios com a União. (Relações Federarativas do âmbito administrativo usar (2001). Questões de dívida entre entes federados usar (105)</t>
  </si>
  <si>
    <t>0107</t>
  </si>
  <si>
    <t>IMPOSTOS, POLÍTICA FISCAL E TRIBUTÁRIA</t>
  </si>
  <si>
    <t>Observações relacionadas à política tributária e política fiscal. Alterações tributárias específicas devem ser codificadas com base no assunto em questão. Somente deve ser utilizado em assuntos gerais de taxas, impostos e reformas tributária e fiscal que incluem mudanças em várias áreas substantivas. Quando a Taxa, Imposto ou tributo for sobre uma política ou área específica, usar o código da área (IPTU, por exemplo, usar código Habitação (1400), ou então IPI, que deve ser identificado pelo código Política Industrial (108) . Utilizar 107 em: Imposto de Renda, IRPF, tributação sobre a renda, esclarecimento do código tributário, reforma do código tributário, impostos sobre itens de luxo e de consumo, impostos sobre o alcool, impostos sobre tabaco, impostos sobre heranças e doações, imposto de renda corporativo, propostas de impostos administrativos, reforma do imposto de renda, código tributário federal reforma e simplificação, alterações fiscais gerais, incentivos fiscais, guerra fiscal.</t>
  </si>
  <si>
    <t>0108</t>
  </si>
  <si>
    <t>POLÍTICA INDUSTRIAL</t>
  </si>
  <si>
    <t>Informações exclusivas de promoção da política industrial. Reestruturação industrial, Desenvolvimento industrial, Subsídios industriais, Produtividade industrial, desempenho industrial, aumento da capacidade produtiva industrial, políticas de tecnologia industrial, centros industriais, parques industriais. alteracoes no valor do IPI. Quando a política for sobre um setor ou área específica, codificar na área. Indústria farmacêutica (321) Nao confundir com crescimento tecnológico geral, parques tecnológicos e ciência. (código 17)</t>
  </si>
  <si>
    <t>0110</t>
  </si>
  <si>
    <t>CONTROLE E ESTABILIZAÇÃO DE PREÇOS</t>
  </si>
  <si>
    <t>Políticas econômicas para controle e estabilização de preços gerais na economia. Programas de estabilização econômica de preços, Congelamento de preços, programas emergenciais de estabilização de preços. Codificar itens específicos em suas respectivas áreas. Por exemplo: controle de preços de alimentos (tomate, por exemplo) devem ser codificados no item Agricultura (4), preço de energia elétrica ou combustível nos subcódigos de Energia (8), controle do salário mínimo no código de Trabalho (5).</t>
  </si>
  <si>
    <t>0199</t>
  </si>
  <si>
    <t>OUTROS</t>
  </si>
  <si>
    <t>Observações que versam sobre a economia, mas que não se enquadram em nenhum dos itens acima.</t>
  </si>
  <si>
    <t>02</t>
  </si>
  <si>
    <t>DIREITOS CIVIS, POLÍTICOS, LIBERDADES E MINORIAS</t>
  </si>
  <si>
    <t>0200</t>
  </si>
  <si>
    <t>Quando há combinação de diversos assuntos relacionado aos direitos civis, liberdade e atores indetificados como minorias. Questões gerais e amplas tais como Comissões, violações de direitos sem especificação, criação ou modificação ou atuação de Ministérios, departamentos ou instituições gerais, direito a propriedade privada, violação e atentados contra direitos civis em geral, cotas gerais (quando existem várias linhas, nao apenas racial), coberturas jornalisticas, estatisticas sobre minorias e sobre direitos básicos, discriminações e preconceito gerais sobre múltiplos aspectos. Quando o tema abordado for sobre uma única parte (sexo ou raça ou idade ou deficiência, codificar nos subcódigos específicos. Geral somente quando há combinação de fatores. Quando aparecer DIREITOS HUMANOS e assuntos de direito civil internacional, codificar em 1925.</t>
  </si>
  <si>
    <t>DISCRIMINAÇÃO POR QUESTÕES ÉTNICO-RACIAIS</t>
  </si>
  <si>
    <t>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t>
  </si>
  <si>
    <t>DISCRIMINAÇÃO POR GÊNERO OU ORIENTAÇÃO SEXUAL (MISOGINIA E HOMOFOBIA)</t>
  </si>
  <si>
    <t>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t>
  </si>
  <si>
    <t>0204</t>
  </si>
  <si>
    <t>DISCRIMINAÇÃO ETÁRIA</t>
  </si>
  <si>
    <t>Questões relacionadas ao preconceito e discriminação contra idosos. Contratação, promoção e diferença salarial por questões etárias. Não confundir com políticas sociais e assuntos gerais sobre idosos (1303) ou com emprego de jovens (506)</t>
  </si>
  <si>
    <t>0205</t>
  </si>
  <si>
    <t>DISCRIMINAÇÃO CONTRA PESSOAS COM DEFICIÊNCIAS</t>
  </si>
  <si>
    <t>Código exclusivo para assuntos de discriminação, denuncias, violencia e atentados contra pessoas com necessidades especiais. Políticas de PROMOÇÃO e melhoria de vida, tais como políticas de regulação de acessibilidade, filas exclusivas, vagas de estacionamento, trânsito e acessos diferenciados devem ser codificados em 1304.</t>
  </si>
  <si>
    <t>0206</t>
  </si>
  <si>
    <t>DIREITO AO VOTO, PARTICIPAÇÃO E REPRESENTAÇÃO POLÍTICA</t>
  </si>
  <si>
    <t>Observações que tratam da Democracia em sua forma geral, fortalecimento democratico, comparacao com a ditadura, do direito ao voto de forma geral, participação direta e indireta no processo político e de escolha de representantes. Obrigatoriedade do voto. Justificativa de voto. Ausência de voto. Multa eleitoral, Idade mínima para voto, regras de acesso a candidaturas. Identificação no voto, Urna Eletrônica, Título de eleitor, Referendos e Plebiscitos. Conselhos Participativos, Conferencias, Audiencias Publicas, todas as formas de participacao popular GERAL. Quando for alguma conferencia ou conselho setorial, codificar no codigo da politica, GERAL. Conselho de saude (3 -300) Conferencia de educacao (6-600). Não confundir com regulação e leis de campanhas partidárias (2012) ou com a avaliação/reclamação dos governos (2015).</t>
  </si>
  <si>
    <t>0207</t>
  </si>
  <si>
    <t>LIBERDADES INDIVIDUAIS E RELIGIAO</t>
  </si>
  <si>
    <t>Questões relacionadas as liberdades de expressão, liberdade de reunião e de associação. Manifestações públicas, Jornadas de Julho, protestos, intervenções artísticas. Questões relacionadas a liberdade religiosa, liberdade de culto, religiões, financiamento de igrejas, isenções religiosas, ensino religioso, pluralidade religiosa, habeas corpus.</t>
  </si>
  <si>
    <t>0208</t>
  </si>
  <si>
    <t>PRIVACIDADE E ACESSO A INFORMAÇÃO</t>
  </si>
  <si>
    <t>Questões relacionadas a direitos de privacidade, incluindo privacidade de registros, acesso a informações governamentais e direitos de aborto. Assuntos relacionados ao direito à proteção de dados; controle de gravações em espaços públicos e outras questões sobre privacidade, proteção de dados pessoais, acesso, compartilhamento e;ou modificação de informações de dados pessoais , privacidade de dados do consumidor e do trabalhador, informações de testes médicos e situação de saúde de funcionários, Interrupção voluntária da gravidez (aborto); eutanásia; proibição de controle de natalidade impositivo</t>
  </si>
  <si>
    <t>0209</t>
  </si>
  <si>
    <t>ATIVIDADES CONTRA O ESTADO</t>
  </si>
  <si>
    <t>Atividades relacionadas a espionagem, atividades subsersivas, espionagem militar, crimes contra o estado brasileiro, Promover insurreição armada, guerra civil, Crimes Contra o Estado e a Ordem Política e Social. Terrorismo usar 1227 interno ou 1927 internacional.</t>
  </si>
  <si>
    <t>Observações que versam sobre a direitos civis e liberdades, mas que não se enquadram em nenhum dos itens acima.</t>
  </si>
  <si>
    <t>03</t>
  </si>
  <si>
    <t>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t>
  </si>
  <si>
    <t>0301</t>
  </si>
  <si>
    <t>SISTEMA NACIONAL DE SAÚDE E O SUS</t>
  </si>
  <si>
    <t>Discussões, questões e tópicos relacioandos aos modelos de sistema de saúde propostos. Codificar aqui todas as questões gerais do SUS. Atuação do SUS, atendimento do SUS, estrutura e composição do SUS, reformas no SUS, alteraçõs em legislações do SUS, judicialização da saúde,. Codificar o direito a medicamentos (335). Acordos e parcerias (323)</t>
  </si>
  <si>
    <t>PLANOS DE SAÚDE, SISTEMAS PRIVADOS E ALTERNATIVOS DE SAÚDE</t>
  </si>
  <si>
    <t>Observações sobre quaisquer plano ou atuação complementar ao SUS, sobretudo de inciativa privada, As Organizações Sociais (OS) e as Organizações da Sociedade Civil de Interesse Público (OSCIP), ONGs em saúde, legislações sobre planos de saúde, regulamentação de plano de saúde, aumento de plano de saúde.</t>
  </si>
  <si>
    <t>CUIDADOS PRIMARIOS E ATENÇÃO BÁSICA</t>
  </si>
  <si>
    <t>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t>
  </si>
  <si>
    <t>0321</t>
  </si>
  <si>
    <t>INDÚSTRIA FARMACEUTICA, MEDICAMENTOS E LABORATÓRIOS</t>
  </si>
  <si>
    <t>Regulamentação da industria farmacêutica, aprovação de medicamentos, ANVISA, leis de regulação de laboratórios clínicios, controle de medicamentos, rótulos, infomações sobre medicamentos, regulação de ensaios clínicos, testes laboratoriais com animais e seres vivos, publicidade e propaganda de medicamentos . Exemplo: contra-indicação para casos de suspeita de dengue. PreP, Pílula do Câncer, Maconha medicinal. Codificar questões de pagamento de medicamentos pelo SUS via judicial em 335</t>
  </si>
  <si>
    <t>ESTRUTURAS, HOSPITAIS, CLÍNICAS</t>
  </si>
  <si>
    <t>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t>
  </si>
  <si>
    <t>ACORDOS</t>
  </si>
  <si>
    <t>Questões relacionadas a Acordos nacionais e internacionais na saúde. Parcerias público privadas em saúde. Vagas do SUS em hospitais privados, acordos e parcerias. Somente utilizar esse código quando há acordos e parcerias entre instituições com o SUS. Não confundir com regulação e alternativas de saúde particular (302).</t>
  </si>
  <si>
    <t>0324</t>
  </si>
  <si>
    <t>FRAUDES, ABUSOS E EXERCÍCIO ILEGAL</t>
  </si>
  <si>
    <t>Más práticas médicas, práticas não reconhecidas e não permitidas, exercício ikegal da medicina, diploma falso, indenizações de pacientes, procedimentos errados, conflito de interesse, abusos médicos, sigilo médico, relação paciente e médico</t>
  </si>
  <si>
    <t>0325</t>
  </si>
  <si>
    <t>CARREIRAS PROFISSIONAIS E FORMAÇÃO</t>
  </si>
  <si>
    <t>Aprovação de cursos de medicina, Conselhos de Medicina, Conselho de Farmácia, Conselhos profissionais das áreas da Saude, CRM, CREFITO, CRF, Ordens de médicos, organizações profissionais, cursos de capacitação, formação profissional em saúde, estágios em medicina, internato em saúde, certificações e licensas para exercício da profissão, tipos de contratos e carreira na saúde, profissão, salário.</t>
  </si>
  <si>
    <t>PREVENÇÃO, CAMPANHAS E PROMOÇÃO</t>
  </si>
  <si>
    <t>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t>
  </si>
  <si>
    <t>SAÚDE INFANTIL, GRAVIDEZ E PRÉ-NATAL</t>
  </si>
  <si>
    <t>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t>
  </si>
  <si>
    <t>SAÚDE MENTAL</t>
  </si>
  <si>
    <t>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t>
  </si>
  <si>
    <t>TRATAMENTOS, CIRUGIAS, ATENDIMENTOS, DOENÇAS E REABILITAÇÃO</t>
  </si>
  <si>
    <t>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t>
  </si>
  <si>
    <t>REGULAMENTAÇÃO DE FARMÁCIAS , COMPRA E CONSUMO DE MEDICAMENTOS</t>
  </si>
  <si>
    <t>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t>
  </si>
  <si>
    <t>0341</t>
  </si>
  <si>
    <t>TABAGISMO</t>
  </si>
  <si>
    <t>Regulação da publicidade e propaganda do tabaco, normas e proibições sobre venda e uso em locais fechados ou públicos, riscos do tabagismo, programas educativos e preventivos específicos sobre o tabaco, doenças associadas ao tabagismo. Cancer de Pulmao, garganta oriundos de tabagismo, enfisema, doencas cardíacas e respiratorias relacionadas ao tabaco.</t>
  </si>
  <si>
    <t>0342</t>
  </si>
  <si>
    <t>ALCOOLISMO e TOXICODEPENDÊNCIA</t>
  </si>
  <si>
    <t>Regulação da publicidade e propaganda de bebidas alcoolicas, rotulos, venda e comercialização, LEI SECA, campanhas de prevenção específicas sobre alcoolismo, centros de recuperação, tratamentos aprovados, doenças relacionadas ao consumo excessivo e a dependencia de beidas alcoolicas. Programas de prevenção específicas contra drogas ilegais, centros especializados, políticas de proteção e de recuperação de usuários, Cracolândia, sempre relaciobadas com a saúde e drogas. Cocaína, Crack, maconha, LSD. Não confundir com tráfico (1203) ou regulamentação da legalidade de drogas (321)</t>
  </si>
  <si>
    <t>0398</t>
  </si>
  <si>
    <t>PESQUISA E DESENVOLVIMENTO</t>
  </si>
  <si>
    <t>Questões relacionadas a investigações, pesquisa em saúde, desenvolvimentos de drogas e tratamentos ainda em estudo, pesquisas e estudos laboratoriais, estatísticas e comportamentos de saúde, estudos e dados sobre mortes, doenças com fins acadêmicos , Testes de medicamentos.</t>
  </si>
  <si>
    <t>0399</t>
  </si>
  <si>
    <t>Observações que versam sobre SAÚDE, mas que não se enquadram em nenhum dos itens acima.</t>
  </si>
  <si>
    <t>AGRICULTURA, PECUÁRIA E PESCA</t>
  </si>
  <si>
    <t>0400</t>
  </si>
  <si>
    <t>Quando há combinação de diversos assuntos relacionados as políticas de AGRICULTURA, PECUÁRIA E PESCA. Questões relativas ao orcamento das pastas ministeriais, políticas gerais de proteção e desenvolvimento de mercado de agricultura, pecuária e pesca. Políticas gerais de desenvolvimento rural, agrícola e florestal, Designação de áreas para plantio, cultivo e criação de animais. Licenciamentos e regulemntações de produção, cultivo e criação;</t>
  </si>
  <si>
    <t>0401</t>
  </si>
  <si>
    <t>COMÉRCIO AGRÍCOLA E PECUÁRIO</t>
  </si>
  <si>
    <t>Observações que dizem respeito ao comércio, importações, exportações, taxações, acordos de comercialização, barreiras comerciais, regulamentação de preços de produtos agrícolas, indicadores comerciais e de vendas, indicadores de produção, comerciais.</t>
  </si>
  <si>
    <t>0402</t>
  </si>
  <si>
    <t>SUBSÍDIOS, SEGUROS, E CRÉDITOS DA AGRICULTURA</t>
  </si>
  <si>
    <t>Questões relacionadas a subsídios, isenções de taxas, créditos específicos, bancos e linhas de financiamento agrário e pecuário. Ações específicas do Banco Rural, Banco do Nordeste, Crédito Rural, PRONAF - Programa Nacional de Fortalecimento da Agricultura Familiar, agricultura familiar, seguro de plantações e de produtos, programas de incentivo economico, fiscal ou empréstimo para a produção agricola e pecuária, subsídios para a compra de frotas, tratores, maquinário agrícola . Questões de comércio, exportações devem ser codificadas no 401.</t>
  </si>
  <si>
    <t>0403</t>
  </si>
  <si>
    <t>SEGURANÇA ALIMENTAR, CONTROLE ALIMENTAR E REGULAÇÕES</t>
  </si>
  <si>
    <t>Indicações de regulação de rótulos, informações nutricionais, regras e limites de composição nutricional em embalagens, utilização de hormônios, trangênicos, programas de segurança alimentar e nutrição, regulações sanitárias para armanezamento e transporte de alimentos, controle de contaminação de oridutos alimentares, regulamentação de matadouros, exploração de animais, regulamentação de corantes, residuos de pesticidas em frutas e vegetais. Não confundir com o sucódigo 331, sobre prevenção, campanhas e promoção.</t>
  </si>
  <si>
    <t>0404</t>
  </si>
  <si>
    <t>PROMOÇÃO E DIVULGAÇÃO DE PROGRAMAS AGRÍCOLAS</t>
  </si>
  <si>
    <t>Atividades de divulgação, promoção e propaganda da agricultura e pecuária. Ações coordenadas de marketing agrícola. Agro é POP.</t>
  </si>
  <si>
    <t>CONTROLE DE DOENÇAS ANIMAIS</t>
  </si>
  <si>
    <t>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</si>
  <si>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0408</t>
  </si>
  <si>
    <t>PESCA E CAÇA</t>
  </si>
  <si>
    <t>Regulamentações de zonas pesqueiras, programas de incentivo e de proteção a pesca, questões de produção, armazenamento de peixes. Permição e proibição de pesca (questões envolvendo pororoca, piracema etc)</t>
  </si>
  <si>
    <t>0498</t>
  </si>
  <si>
    <t>PESQUISA E DESENVOLVIMENTO AGRÍCOLA</t>
  </si>
  <si>
    <t>Observações sobre estudos na área agrícola, modificação genética, transgenicos, pesquisas acadêmicas de produção e melhorias de produtos agrícolas, engenharia genética, estudos de nutrição animal, tecnicas de pesquisa.</t>
  </si>
  <si>
    <t>Observações que versam sobre AGRICULTURA, PECUÁRIA E PESCA, mas que não se enquadram em nenhum dos itens acima.</t>
  </si>
  <si>
    <t>05</t>
  </si>
  <si>
    <t>TRABALHO, EMPREGO E PREVIDÊNCIA</t>
  </si>
  <si>
    <t>0500</t>
  </si>
  <si>
    <t>Quando há combinação de diversos assuntos relacionados as políticas de TRABALHO E EMPREGO. Tópicos relacionados as políticas gerais de emprego e de trabalho, legislações gerais e prioridades no Ministério do Trabalho, orçamento do ministério e pastas, indicadores de emprego e de trabalho. Indicadores e trabalho formal e trabalho informal (Considerar indicadores de macroeconômicos de renda em 100)</t>
  </si>
  <si>
    <t>0501</t>
  </si>
  <si>
    <t>CONDIÇÕES DE TRABALHO, SEGURANÇA E PROTEÇÃO DO TRABALHADOR</t>
  </si>
  <si>
    <t>Observações sobre condições de trabalho, definições específicas sobre regulamentação de trabalhos, danos e doenças causadas pelo trabalho, normas de segurança do trabalho, doenças ocupacionais, equipamentos de segurança do trabalho, insalubridade, qualidade no ambiente de trabalho, seguros contra acidentes de trabalho, saúde ocupacional, CIPA</t>
  </si>
  <si>
    <t>FORMAÇÃO E DESENVOLVIMENTO PROFISSIONAL</t>
  </si>
  <si>
    <t>Programas de capacitação profissional, programas de incentivo ao emprego geral, reciclagem, realocação profissional em outra área, acordos e parcerias do estado com empresas privadas na capacitação, formação e treinamento profissional.</t>
  </si>
  <si>
    <t>0503</t>
  </si>
  <si>
    <t>BENEFÍCIOS E PREVIDÊNCIA</t>
  </si>
  <si>
    <t>Todas as políticas relacionadas a beneficios vinculados ao trabalho e emprego devem ser codificadas aqui no 503, e não em políticas sociais. Inclui questões relacionadas com todos os benefícios dos empregados, pensões e aposentadoria, incluindo o seguro-desemprego fornecido pelo governo. Acesso aos planos de previdência, aposentadoria, pensões, planos privados e públicos de previdência, acordos de previdencia privada, décimo terceiro salário, aposentadoria por invalidez, regras de aposentadoria e de previdencia, licença maternidade e licença paternidade, auxilio maternidade ou salário maternidade pago pela Previdencia apenas para segurados do sistema. Todas as políticas sociais condicionadas a emprego formal sobre (1) previdencia e (2) beneficios substantivos; INSS, PREVIDENCIA SOCIAL. Para normas relacionadas a direitos do mundo do trabalho (exceto previdencia) usar 505. Para carreiras militares, codificar em 1608. Quando for emprego público codificar no 2004.</t>
  </si>
  <si>
    <t>0504</t>
  </si>
  <si>
    <t>SINDICADOS E ASSOCIAÇÕES TRABALHISTAS</t>
  </si>
  <si>
    <t>Organizações sindicais, representatividade de profissão, Conselhos profissionais gerais (exceto quanto houver conselhos de areas temáticas como saúde, educação, codificar na respectiva área). Direito de greve, greves, mobilizações e protestos relacionados ao emprego, regulementação sindical, fundo sindical, financiamento de sindicatos, cooperativas de trabalho</t>
  </si>
  <si>
    <t>0505</t>
  </si>
  <si>
    <t>REGULAÇÃO TRABALHISTA, LEIS E DIREITOS</t>
  </si>
  <si>
    <t>Salário mínimo, tabelas salariais, férias, venda de férias, férias remuneradas, frequência, falta, horário de trabalho, hora-extra, banco de horas, flexibilização de leis trabalhistas, negociação dos direitos dos trabalhadores com empresas, governo e associações. Justa causa, demissão, contratação, planos de demissão voluntária, contratos de trabalho temporário, contratação de meses de experiência, Questões que envolvem negociações trabalhistas e direitos assegurados pela constituição (art. 7º) e pela lei que não envolvam benefícios. Para carreiras militares, codificar em 1608. Quando for emprego público codificar no 2004.</t>
  </si>
  <si>
    <t>0506</t>
  </si>
  <si>
    <t>EMPREGO DE JÓVENS</t>
  </si>
  <si>
    <t>Políticas de promoção e incentivo a contratação de jovens, primeiro emprego, treinee, jovem aprendiz, políticas específicas voltadas para idades mínimas de ingresso no mercado formal, proteções e direitos específicos de emprego de jovens</t>
  </si>
  <si>
    <t>0529</t>
  </si>
  <si>
    <t>TRABALHO DE IMIGRANTES</t>
  </si>
  <si>
    <t>Autorização de trabalho de imigrantes, formalização de trabalho de imigrantes, vistos, autorizações de trabalho. Trabalho escravo ou qualquer assunto envolvendo imigrantes (900)</t>
  </si>
  <si>
    <t>Observações que versam sobre TRABALHO E EMPREGO, mas que não se enquadram em nenhum dos itens acima.</t>
  </si>
  <si>
    <t>0600</t>
  </si>
  <si>
    <t>Quando há combinação de diversos assuntos relacionados as políticas de EDUCAÇÃO. Tópicos relacionados as políticas gerais de educação sem citar o nível, orçamento para educação, questões relacionadas ao Ministério da Educacação e da Cultura, fusão, desmembramento, situação da educação no país, dados nacionais, métodos educacionais, qualidade e avaliacoes da educação geral</t>
  </si>
  <si>
    <t>0601</t>
  </si>
  <si>
    <t>EDUCAÇÃO SUPERIOR</t>
  </si>
  <si>
    <t>Tópicos relacionados a políticas e programas de ensino superior, faculdades, universidades, centros educacionais de ensino superior, REUNI, PROUNI, FIES, SISU, Vestibular, Institutos Federais, ENEM quando usado como forma de acesso ao ensino superior, moradia universitária, restaurante universitario, bolsas de estudos em ensino superior, graduação e pós-graduação, mestrado, doutorado, pós-doutorado, evasão, matrícula, CAPES, certificação de cursos, abertura e fechamento de cursos, vagas e assentos, parcerias público privadas em educação superior, autonomia universitária., programas de capacitação de docentes, bolsas para docencia. Quando politica de cotas do para ingresso na Universidade, codificar aqui. Cotas raciais, cotas economicas, cotas etnicas, vestibular indigena, vestibular refugiados. Demais politicas de cotas no codigo 2. Questoes relacionadas a financiamento de pesquisas, CNPQ, institutos de pesquisa e desenvolvimento tecnologico, codificar em 1798. Questões sobre programas de educação em saúde, codificar em 325.</t>
  </si>
  <si>
    <t>ENSINO BÁSICO, FUNDAMENTAL E MÉDIO</t>
  </si>
  <si>
    <t>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t>
  </si>
  <si>
    <t>EDUCAÇÃO ESPECIAL, INCLUSÃO</t>
  </si>
  <si>
    <t>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t>
  </si>
  <si>
    <t>0604</t>
  </si>
  <si>
    <t>ENSINO PROFISSIONAL</t>
  </si>
  <si>
    <t>Ensino profissionalizante, cursos profissionais, ensino técnico, escolas técnicas, sistema S, acordos de coorperacao entre empresas e escolas tecnicas profissionalizantes, PRONATEC, ensino- técnico-profissional</t>
  </si>
  <si>
    <t>PROMOCAO DA QUALIDADE, ESTRUTURA E AÇÕES</t>
  </si>
  <si>
    <t>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t>
  </si>
  <si>
    <t>0698</t>
  </si>
  <si>
    <t>Acoes e instituicoes que trabalham exclusivamente com a pesquisa sobre educacao, treinamento de docentes, avalaiação de docentes, estudos e pesqusias para melhoria da educação.</t>
  </si>
  <si>
    <t>0699</t>
  </si>
  <si>
    <t>Observações que versam sobre EDUCAÇÃO mas que não se enquadram em nenhum dos itens acima.</t>
  </si>
  <si>
    <t>07</t>
  </si>
  <si>
    <t>MEIO AMBIENTE</t>
  </si>
  <si>
    <t>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t>
  </si>
  <si>
    <t>0701</t>
  </si>
  <si>
    <t>TRATAMENTO E DISTRIBUIÇÃO DE ÁGUA POTÁVEL</t>
  </si>
  <si>
    <t>Assuntos relacionados a agua potável, estações de tratamento, distribuição e manutenção de água potável.Qualidade da água, níveis de materiais quimicos na agua potável, nível de flúor na água; níveis de dioxinas de água. SABESP. Não confundir com energia hidroelétricas 802. Ainda sobre a questão da água: Se o assunto NÃO FOR TRATAMENTO DE ÁGUA POTÁVEL, mas sim questões sobre Poluição e conservação de mares e rios codificar no 711. Se a questão for sobre ESTRUTURAS E RECURSOS HÍDRICOS, fontes de água mineral, usar o 2104.</t>
  </si>
  <si>
    <t>RESÍDUOS SÓLIDOS</t>
  </si>
  <si>
    <t>Regulação e tratamento de resíduos sólidos, gestão do lixo, lixão, depósitos de lixo, destino, coleta e questões sobre lixo, lixo doméstico, lixo industrial. Aterros e outras formas de destinação final de resíduos.Reciclagem deve ser codificado em 707</t>
  </si>
  <si>
    <t>0704</t>
  </si>
  <si>
    <t>TRATAMENTOS E DANOS QUÍMICOS E TÓXICOS</t>
  </si>
  <si>
    <t>Transporte de produtos químicos e tóxicos, proteção de territórios contra contaminação química e tóxica, explisivos, resíduos quimicos e minerais, contaminação ambiental, uso de pesticidas, controle e uso de agrotoxicos. Quando os danos forem por conta de material belico, militar ou guerra, usar o 1614</t>
  </si>
  <si>
    <t>POLUIÇÃO DO AR, VISUAL E SONORA E TEMPERATURA</t>
  </si>
  <si>
    <t>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t>
  </si>
  <si>
    <t>RECICLAGEM</t>
  </si>
  <si>
    <t>Observações sobre política de reciclagem, lixo reciclado, fontes reciclaveis, proibicoes de descarte, manuseio, regulação da profissao, catadores, efeitos, insenção de impostos para reciclados.</t>
  </si>
  <si>
    <t>0708</t>
  </si>
  <si>
    <t>AMBIENTE INTERNO</t>
  </si>
  <si>
    <t>Qualidade interna de prédios, edifícios, amianto, qualidade de ruído, proteção do ambiente interno, radiação interna a edifícios, equiamentos e temperaturas internas, regulação de gas encanado, eletricidade, normas da ABNT sobre segurança interna, rota de fuga, alvará de funcionamento, alvará de bombeiros</t>
  </si>
  <si>
    <t>PROTEÇÃO DE ESPÉCIES, FAUNA, FLORA E FLORESTAS</t>
  </si>
  <si>
    <t>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t>
  </si>
  <si>
    <t>CONSERVAÇÃO DO SOLO, MAR, RIOS, PRAIAS E COSTAS</t>
  </si>
  <si>
    <t>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t>
  </si>
  <si>
    <t>0798</t>
  </si>
  <si>
    <t>Pesquisas e desenvolvimento de ciência na area do Meio ambiente, proteção ambiental, flora, fauna, florestas por instituições ou pesquisas que versem exclusivamente sobre esses temas.</t>
  </si>
  <si>
    <t>0799</t>
  </si>
  <si>
    <t>Observações que versam sobre O MEIO AMBIENTE mas que não se enquadram em nenhum dos itens acima.</t>
  </si>
  <si>
    <t>ENERGIA</t>
  </si>
  <si>
    <t>0800</t>
  </si>
  <si>
    <t>Quando há combinação de diversos assuntos relacionados as políticas de ENERGIA. Tópicos relacionados as políticas gerais de energia, orçamento, crises, multiplicidade de fontes energéticas, segurança energética, comitês de energia, regulamentações gerais sobre políticas energéticas sem tipificação, taxações gerais.</t>
  </si>
  <si>
    <t>0801</t>
  </si>
  <si>
    <t>ENERGIA NUCLEAR</t>
  </si>
  <si>
    <t>Tópicos relacionados a Política de energia nuclear e atômica, usina nuclear, energia nuclear, ANGRA, proteção contra acidentes nucleares, acidentes nucleares, proteção nuclear, resíduos nucleares radioativos, reatores nucleares, recomendações internacionais sobre energia nuclear, instalação de usinas nucleares, lixo nuclear</t>
  </si>
  <si>
    <t>0802</t>
  </si>
  <si>
    <t>ELETRICIDADE E HIDROELÉTRICAS</t>
  </si>
  <si>
    <t>Planejamento de rede elétrica, postes, rede elétrica de fiação, distribuição de energia elétrica, privatizações e estataizações de companhias elétricas. Hidroelétricas, construção e manutenção de hidroeletricas, capacidade produtiva de hidroeletricas, licenciamento e normas de funcionamento de hidroeletricas, precos, taxas e tarifas de produção e distribuição de eletricidade, acidentes com producao e distribuicao de rede eletrica e hidroeletricas</t>
  </si>
  <si>
    <t>0803</t>
  </si>
  <si>
    <t>GÁS E PETRÓLEO</t>
  </si>
  <si>
    <t>Observações relacionadas ao processo de produção, extração, distribuição, regulamção, comércio, taxas e consumo de GÁS, ETANOL E PETRÓLEO como FONTE DE ENERGIA. Regulamentação de gás natural GNV, gás de cozinha, botijão de gás, gás encanado, empresas de distribuição de gás, regulamentação de produção e distribuição de gás, veículos com GNV, planos de segurança de gás, preços de gás. Petróleo, diesel, gasolina, políticas de preço de combustível (menos etanol) , refinarias, plataformas de extração, Petrobrás, políticas de importação, exportação, compra de refinarias, venda de petróleo, usos de petróleo como combustível, reservas estratégicas de petróleo, pré-sal, poços de petróleo, desempenho de etanol, comparação etanol gasolina, preço do etanol, postos de gasolina, distribuição e venda de gasolina e GNV . Não codificar escandalos, corrupção, ou problemas de justica e administrativos aqui. Nesse código apenas questões relacionadas a POLÍTICA ENERGÉTICA ENVOLVENDO GÁS, PETRÓLEO E FONTES NAO RENOVAVEIS</t>
  </si>
  <si>
    <t>0805</t>
  </si>
  <si>
    <t>MINAS, CARVÃO E TERMOELÉTRICAS</t>
  </si>
  <si>
    <t>Questões que envolvam uso de carvão e minérios na produção elétrica, minas de carvão, carvoarias, preço do carvão, termoelétricas, regulação e preço de energia com ativação de termoelétricas, exploração de carvão, importação e exportação de carvão, tipos de carvão. Nao codificar aqui questões relacionadas ao trabalho em minas de carvão, insalubridade de carvão. Tudo isso deve ser colocado no codigo 5, trabalho e emprego. Uso de MINAS como fontes de recusros naturais que não seja para energia usar o 2103</t>
  </si>
  <si>
    <t>0806</t>
  </si>
  <si>
    <t>ETANOL, ENERGIAS RENOVÁVEIS E ALTERNATIVAS</t>
  </si>
  <si>
    <t>Obrservações relacionadas a políticas e projetos de produção, regulação e consumo de energias renováveis e alternativas as mencionadas acima (elétrica, hidroelétricas, térmica, gás, petróleo, carvão). Políticas de energia de hidrogênio, Biodiesel, energia eólica, instalação de pontos de energia eólica, energia solar, energia de biomassa, energias renováveis, energia de ondas, biogás, energias alternativas, energia proveniente de lixo, energia geotérmica, combustíveis alternativos. produção de etanol, desempenho de etanol, subsideos para producao do etanol, preço, regulação de etanol. Outras ernegias provenienetes de restos, bagaços, de plantas e compostos animais e vegetais</t>
  </si>
  <si>
    <t>0807</t>
  </si>
  <si>
    <t>CONTROLE E EFICIÊNCIA ENERGÉTICA</t>
  </si>
  <si>
    <t>Políticas de controle e eficiência de equipamentos elétricos, selos de eficiencia energética, normas de consumo energético, controle de energia doméstica, horário de verão, conservação, manutenção e controle de energia pública.</t>
  </si>
  <si>
    <t>0898</t>
  </si>
  <si>
    <t>Observações sobre pesquisas e desenvolvimento de ciência na area ENERGÉTICA geral, que versem exclusivamente sobre esses temas não tratados nos itens acima.</t>
  </si>
  <si>
    <t>0899</t>
  </si>
  <si>
    <t>Observações que versam sobre ENERGIA mas que não se enquadram em nenhum dos itens acima.</t>
  </si>
  <si>
    <t>09</t>
  </si>
  <si>
    <t>IMIGRAÇÃO E REFUGIADOS</t>
  </si>
  <si>
    <t>Observações relacionadas com o numero de refugiados ou imigrantes, residência e permissão de permanência no país. Todas as questões sobre imigrantes, asilo, ajuda. Não confundir com visto de turismo (1504). Qualquer questão sobre TRABALHO FORMAL de imigrante no 529.</t>
  </si>
  <si>
    <t>TRANSPORTES</t>
  </si>
  <si>
    <t>Observações generalistas sobre políticas de transporte, sem especificações de qual área. Informações envolvendo diversas áreas da política de transporte, orçamento geral de transporte, política nacional de transporte.</t>
  </si>
  <si>
    <t>TRANSPORTES PÚBLICOS</t>
  </si>
  <si>
    <t>Tópico destinado a todos os tipos de políticas de transporte público de pessoas. Onibus, Metro, Trem, Trem de superfície VLT, barcos, balsas, navios, embarcações fluviais. Políticas de segurança, normas e regras de uso de transporte público. Carteirinha estudantil, passe de idoso, valores de passagens, isenções de tarifas, tarifas especiais. Quando o assunto for relacionado a transporte de pessoas, codificar aqui. Quando se tratar de Transporte não públicos (carro, taxi, uber, avião, helicóptero) codificar na área temática de regulações abaixo.</t>
  </si>
  <si>
    <t>CARROS, TRÂNSITO, CONSTRUÇÃO E MANUTENÇÃO DE RUAS E ESTRADAS</t>
  </si>
  <si>
    <t>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t>
  </si>
  <si>
    <t>AEROPORTOS E TRÁFEGO AÉREO</t>
  </si>
  <si>
    <t>Questões relacionadas ao transporte aéreo, aeroporto, avião, jatos, helicópteros, transporte de pessoas e de carga aéreo, regras, regulações, ANAC, aviação civil, gestão de aeroportos, privatizações, estatização de aeroportos, companhias aereas, bagagem de viagem aérea, taxas, precos e questões relacionadas com uso de sistema aéreo, Drones, Regulação de espaço aéreo. Fretamento aéreo de aviões, jatos ou helicópteros. Construção de AEROPORTOS usar o 1010</t>
  </si>
  <si>
    <t>TRANSPORTE FERROVIÁRIO DE CARGAS</t>
  </si>
  <si>
    <t>Observações sobre as políticas de transporte de cargas ferroviário. Ferrovias, concessões de uso de ferrovia, manutenção, construção e retirada de trilhos e ferrovias, estações ferroviárias. Financiamento de obras, PPPs em ferrovias, privatizações, estatizações.</t>
  </si>
  <si>
    <t>TRANSPORTE MARÍTIMO E FLUVIAL</t>
  </si>
  <si>
    <t>Observações relacionadas a regulamentação do transporte marítimo, balsas, ferries, barcos, embarcações marítimas e fluviais. Regulamentações sobre o uso de lanchas, jetsky, regras de marinas, regras de navegação, aproximação do litoral, áreas reservadas para transporte aquático, rotas de Cruzeiros, taxas de embarcação, construção de navios e de embarcações. Construção e manutenção de portos e estruturas fisicas em recursos hidricos, usar 2104</t>
  </si>
  <si>
    <t>Observações sobre pesquisas e desenvolvimento de ciência na area TRANSPORTE geral, que versem exclusivamente sobre esses temas não tratados nos itens acima.</t>
  </si>
  <si>
    <t>Observações que versam sobre TRANSPORTE mas que não se enquadram em nenhum dos itens acima.</t>
  </si>
  <si>
    <t>JUDICIÁRIO, JUSTIÇA, CRIMES E VIOLÊNCIA</t>
  </si>
  <si>
    <t>1200</t>
  </si>
  <si>
    <t>Observações generalistas sobre políticas de combate ao Crime, Violência, combinação de múltiplos indicadores de subcódigos, orçamentos gerais para ministerio da justica, indicadores de criminalidade e de violência geral (sem mostrar fragmentos ou variáveis que estão abaixo), indicadores de lei e de crimes sobre justiça, violencia. Segurança pública geral.</t>
  </si>
  <si>
    <t>POLÍCIA, AGENCIAS E INSTITUIÇÕES - LEI E CRIMES</t>
  </si>
  <si>
    <t>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t>
  </si>
  <si>
    <t>CRIME ORGANIZADO, MILÍCIAS E FACÇÕES</t>
  </si>
  <si>
    <t>Observações relacionadas exclusivamente crime do colarinho branco, facções criminosas, milicias, PCC - EXCETO DROGAS (1203). Fraudes em campanhas eleitorais, fraudes em declarações de bens, fraudes em imposto de renda, enriquecimento ilicito, evasão fiscal, contas não declaradas no exterior. Crimes onlibe, Cyber-crimes. Se o assunto for sobre drogas codificar no 1203. Corrupção da administração pública em suas relações ilícitas com empresas privadas no 2007. C413Impeachment e escandalos do executivo (presidente e vice-presidente 2010)</t>
  </si>
  <si>
    <t>DROGAS - TRÁFICO, PRODUÇÃO E COMBATE</t>
  </si>
  <si>
    <t>Assuntos relacionados a todo tipo de crime e violencia relacionado a drogas ilícitas. Controle de produção, organizações de tráfico de drogas, trágico internacional, drogas e fronteiras, legalização de consumo, formas de consumo, legislações sobre uso, consumo e transporte de substâncias ilícitas. Somente assuntos relacionados a drogas como crime, violencia e combate na justiça. Questoes relacionadas a saude, dependencia, codificar no 341</t>
  </si>
  <si>
    <t>1204</t>
  </si>
  <si>
    <t>INSTITUIÇÕES E ESTRUTURAS DO PODER JUDICIÁRIO</t>
  </si>
  <si>
    <t>Poder Judiciário como instituição. Construção, manutenção de tribunais, espaços fisicos e funcionamento sistema judiciario. Instancias, posições, hierarquias, modernização da justiça, tipos de estratificações e setores especiais, pequenas causas, criação e manutenção de varas, organização de varas, como vara da familia, vara da criança e do adolescente, funcionamento e atuação do MP</t>
  </si>
  <si>
    <t>1205</t>
  </si>
  <si>
    <t>PRISÃO E SISTEMA PRISIONAL</t>
  </si>
  <si>
    <t>Carceragens, prisões, presídeos, sistema prisional, normas gerais sobre prisão, tempo de pena regular, situação de presídios, construção de presídios, federalização, estatização, privatização, liberdade condicional, prisão preventiva, prisão domiciliar, questões médicas em prisão, saída temporária, leis de execuções penais, sistema penitenciário, instituições que compõe o sistema penitenciario</t>
  </si>
  <si>
    <t>1206</t>
  </si>
  <si>
    <t>CRIMINALIDADE JUVENIL, JUSTIÇA RESTAURATIVA</t>
  </si>
  <si>
    <t>Justiça restaurativa, FEBEM, maioridade penal, programas de prevenção a criminalidade juvenil, crimes cometidos por menores de idade, centros de detenção e ressocialização de jovens, fundação casa, violência juvenil. Se o tema da juventude estiver vinculado com DROGAS, codificar em drogas, 1203.</t>
  </si>
  <si>
    <t>1207</t>
  </si>
  <si>
    <t>ABUSO INFANTIL, PEDOFILIA E PRONOGRAFIA INFANTIL</t>
  </si>
  <si>
    <t>Questões relacionadas a quaisquer tipo de crimes relacionados a crianças. Abuso sexual infantil, pornografia infantil, pedofilia, violência infantil domestica, trabalho intanfil, trabalho escravo infantil, desaparecimento de crianças, rapto de crianças, maus tratos domésticos, bullying. Questões de saúde intantil no codigo 332</t>
  </si>
  <si>
    <t>VIOLÊNCIA DOMÉSTICA E FAMILIAR</t>
  </si>
  <si>
    <t>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t>
  </si>
  <si>
    <t>1210</t>
  </si>
  <si>
    <t>REVISÕES DE CÓDIGO CIVIL E PENAL</t>
  </si>
  <si>
    <t>Observações sobre código civil, atualizações do código civil e do código penal. Revisão de sentenças como prisão em segunda instancia, decisões do STF, jurisprudencia, pena de morte, decisões inovadoras que mudam o sistema civil e penal. Não relacionar aqui questões de crimes comuns, assaltos, roubos (1211)</t>
  </si>
  <si>
    <t>CRIME COMUM , VIOLÊNCIA E PREVENÇÃO</t>
  </si>
  <si>
    <t>Crime comum, roubo, furto, estelionato, assassinatos. Programas de prevenção de crimes gerais, que não sejam crimes específicos listados acima. Programas de prevenção, anuncios, panfletos sobre roubo, furto, violência e crimes.</t>
  </si>
  <si>
    <t>1227</t>
  </si>
  <si>
    <t>TERRORISMO</t>
  </si>
  <si>
    <t>Política antiterrorismo; vítimas de terrorismo, Terrorismo em terras nacionais. Prevenção ao terrorismo. Terrorismo internacional codificar no 1927</t>
  </si>
  <si>
    <t>1299</t>
  </si>
  <si>
    <t>Observações que versam sobre JUSTIÇA, CRIMES E VIOLÊNCIA mas que não se enquadram em nenhum dos itens acima.</t>
  </si>
  <si>
    <t>POLÍTICAS SOCIAIS</t>
  </si>
  <si>
    <t>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t>
  </si>
  <si>
    <t>ASSISTÊNCIA ALIMENTAR</t>
  </si>
  <si>
    <t>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t>
  </si>
  <si>
    <t>1302</t>
  </si>
  <si>
    <t>COMBATE A POBREZA , ASSITÊNCIAS FINANCEIRA E RENDA</t>
  </si>
  <si>
    <t>Observações sobre políticas sociais que visam a redução da pobreza, políticas de distribuição de renda, políticas sociais de bolsas, bolsa gás, bolsa família, brasil carinhoso, políticas sociais de assitência que envolvam transferencia direta de renda via bolsas, assistência financeira, questões relacionadas a pobreza, linha da pobreza, abaixo da linha da pobreza. Se envolver alimentação, codificar na 1301 ou 1300 se ambos</t>
  </si>
  <si>
    <t>POLÍTICAS SOCIAIS DE ASSISTÊNCIA PARA IDOSOS</t>
  </si>
  <si>
    <t>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t>
  </si>
  <si>
    <t>POLÍTICAS SOCIAIS DE ASSISTÊNCIA PARA PESSOAS COM DEFICIÊNCIAS</t>
  </si>
  <si>
    <t>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t>
  </si>
  <si>
    <t>1305</t>
  </si>
  <si>
    <t>SERVIÇOS SOCIAIS DE CARIDADE, VOLUNTARIADO.</t>
  </si>
  <si>
    <t>Voluntariado doméstico, servicos sociais e atuação de ONGs, atuação de igrejas na promoção de igualdade social e assistência social. Velha assitência social voltada ao assisencialismo e questoes não coordenadas pelo estado como direito. Ações sem fins lucrativos e sem relaçãodireta com o Estado. Não envolvem ONGs, ou terceirização de serviços. Instituições internacionais ou nacionais.</t>
  </si>
  <si>
    <t>POLÍTICAS SOCIAIS PARA FAMÍLIAS E INFÂNCIA</t>
  </si>
  <si>
    <t>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t>
  </si>
  <si>
    <t>1399</t>
  </si>
  <si>
    <t>Observações que versam sobre POLITICA SOCIAL mas que não se enquadram em nenhum dos itens acima.</t>
  </si>
  <si>
    <t>HABITAÇÃO, INFRAESTRUTURA E REFORMA AGRÁRIA</t>
  </si>
  <si>
    <t>Observações gerais sobre políticas de habitação, urbanismo e infra-estrutura geral, sem mencionar de urbana ou rural, ou setorial e que envolvam mais de um casos dos subtópicos, políticas gerais. Ministerio das cidades, políticas gerais de habitação plano macro, orcamentos, expansão da construção civil, finaciamento imobiliário, crédito imobiliário, regulação imobiliária, PAC - programa de aceleração do crescimento, apenas quando for geral. Quando se tratar de alguma obra específica, de transporte (10) ou saneamento (12) codificar na política setorial específica.</t>
  </si>
  <si>
    <t>1401</t>
  </si>
  <si>
    <t>Políticas de habitação (exclusivamente sobre regulamentações de construção civil) planejamento urbano, IPTU, plano diretor, segurança habitacional, Planta genérica de valores, definição geográfica de bairros, subprefeituras, regiões, preservação de habitações históricas.</t>
  </si>
  <si>
    <t>REABILITAÇÃO URBANA, ECONOMIA URBANA</t>
  </si>
  <si>
    <t>Reabilitação de áreas urbanas, revitalização urbana, modernização de áreas, mercados públicos, revitalização de praças, política urbana nacional, desenvolvimento urbano , desenvolvimento econômico de estados e cidades, modernização de espaços urbanos</t>
  </si>
  <si>
    <t>1404</t>
  </si>
  <si>
    <t>POLÍTICA DE HABITAÇÃO RURAL</t>
  </si>
  <si>
    <t>Políticas de habitação em meio rural. Construção de casas. Exclusivamente assuntos de habitação e moradia em meio rural. Quando for relacionado a infraestrutura fora da habitação, codificar no 1405.</t>
  </si>
  <si>
    <t>1405</t>
  </si>
  <si>
    <t>INFRAESTRUTURA RURAL E REFORMA AGRÁRIA</t>
  </si>
  <si>
    <t>Políticas de desenvolvimento economico e de infraestrutura em zona rural. Todos assuntos relacionados a Ocupação de terras improdutivas, Reforma Agraria, Movimento de terra, desapropriações para produção rural. Assuntos relacionados a infraestrutura pública na zona rural e não com habitação ou casas. Não confundir com habitação rural ou ocupações de movimento sem terra. Questões relacionadas a acesso infraestrutura geral que envolva diversos assuntos em area rural, como ( esgoto e agua tratada + rede elétrica + cisternas + comercio + estradas +acessos) quando não for uma política específica e sim diversas políticas estruturais em meio rural.</t>
  </si>
  <si>
    <t>POLÍTICAS DE HABITAÇÃO SOCIAL</t>
  </si>
  <si>
    <t>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t>
  </si>
  <si>
    <t>1407</t>
  </si>
  <si>
    <t>HABITAÇÃO DE VETERANOS</t>
  </si>
  <si>
    <t>subsídios para aluguel ou compra de casa para veteranos militares. Inclui questões relacionadas com a habitação para os idosos, incluindo instalações de alojamento para os idosos com deficiência, casas de repouso. Não confundir com saúde do idoso ou com</t>
  </si>
  <si>
    <t>1408</t>
  </si>
  <si>
    <t>HABITACAO DE IDOSOS</t>
  </si>
  <si>
    <t>políticas sociais para idosos. Apenas questões sobre habitação de idosos.</t>
  </si>
  <si>
    <t>1409</t>
  </si>
  <si>
    <t>SEM TETO, MORADORES DE RUA URBANOS</t>
  </si>
  <si>
    <t>Assuntos relacionados a moradores de rua, sem teto, políticas de remoção, realojamento, albergues públicos, políticas relacionadas a dormir nas ruas, pontes, viadutos, cobertores, políticas específicas para tratar de população de rua e habitação.</t>
  </si>
  <si>
    <t>1499</t>
  </si>
  <si>
    <t>Observações que versam sobre HABITAÇÃO E URBANISMO mas que não se enquadram em nenhum dos itens acima.</t>
  </si>
  <si>
    <t>SISTEMA BANCÁRIO, INSTITUIÇÕES FINANCEIRAS E COMÉRCIO INTERNO</t>
  </si>
  <si>
    <t>1500</t>
  </si>
  <si>
    <t>Observações gerais sobre políticas de sistema bancario, financeiro e comercio que envolvam mais de um casos dos subtópicos, políticas gerais. Estrategias gerais de organização bancária com acesso a crédito, assuntos mcro sobre sistemas de creditos e bancarios no país, informações pesquisas sobre comercio, compra e gastos. Faturamento de setores, política comercial e financeira ampla.</t>
  </si>
  <si>
    <t>1501</t>
  </si>
  <si>
    <t>SISTEMA BANCÁRIO E REGULAÇÃO FINANCEIRA</t>
  </si>
  <si>
    <t>Assuntos relacionados a todo tipo de regulamentação de sistema bancário, transações, fiscalização e supervisão de bancos, relação entre bancos, bancos públicos e privados, regulamentação de instituições financeiras, investigação sobre fraudes bancárias, desregulação de monopólio de bancos, poupança. Banco Central no 104.</t>
  </si>
  <si>
    <t>1502</t>
  </si>
  <si>
    <t>MERCADO FINANCEIRO E BOLSA DE VALORES</t>
  </si>
  <si>
    <t>Investimentos em mercado financeiro, bolsa de valores, regulação de commodity.</t>
  </si>
  <si>
    <t>1504</t>
  </si>
  <si>
    <t>CRÉDITO FINANCIERO, FINANCIAMENTOS E CONSUMO</t>
  </si>
  <si>
    <t>Assuntos relacionados a todo tipo de oferta e regulação de crédito e financiamentos para o consumidor final. Crédito pessoal, crédito ao consumidor, Cartão de Crédito, Crédito consignado, Crediários, dívidas, renegociações, parcelamentos. Crédito para veículo, Crédito para reforma, Hipoteca (assunto é o crédito e o financiamento, e não a política de habitação) Não está relacionado a diretrizes do Banco Central em macroeconomia. Nao confundir com taxas de juros sobre créditos concedidos e financiamentos devem ser colocados em macroeconomia também</t>
  </si>
  <si>
    <t>1505</t>
  </si>
  <si>
    <t>SEGUROS BANCÁRIOS, FINANCEIROS E AO CRÉDITO</t>
  </si>
  <si>
    <t>Seguros exclusivamente relacionados ao consumo e ao sistema financeiro e bancario. Seguro contra fraudes de transações, seguros ofertados pelos bancos, seguro de vida, seguro fiança, seguros obrigatórios, seguros em contratações bancárias e de consumo</t>
  </si>
  <si>
    <t>1507</t>
  </si>
  <si>
    <t>FALÊNCIA, RECUPERAÇÃO JUDICIAL, QUEBRA FINANCEIRA</t>
  </si>
  <si>
    <t>Processos de falencias empresariais, recuperação judicial, quebra financeira, insolvencia, Concordata. Quando a falencia for bancária codificar no 1501.</t>
  </si>
  <si>
    <t>1520</t>
  </si>
  <si>
    <t>MONOPÓLIOS, FUSÕES E ASSUNTOS ANTITRUST</t>
  </si>
  <si>
    <t>Assuntos relacionados ao CADE, aprovações de monopólios, oligopólios, fusões de empresas, setorização financeira e comercial, regulamentações anti trust, competição de mercado. Políticas comerciais desleais, lucros de grandes grupos economicos (quando for monopolio natural como energia ou monopolio de distribuicao de luz, codificar na política setorial)</t>
  </si>
  <si>
    <t>1521</t>
  </si>
  <si>
    <t>PEQUENA E MICRO EMPRESA</t>
  </si>
  <si>
    <t>questoes relacionadas a formação, atuacao, normatizações de pequenas e micro empresas. Microempreendedor individual, acesso a créditos, políticas específicas para formalização de pequeno e micro empresas, Simplificação tributária</t>
  </si>
  <si>
    <t>1522</t>
  </si>
  <si>
    <t>PROPRIEDADE INTELECTUAL</t>
  </si>
  <si>
    <t>regulamentação de patentes, propriedade intelectual em todas as áreas, marcas, pirataria, plágio, direitos autorais, direito de imagem, direito sobre marca, regulacao, Regulamentação e quebra de patentes</t>
  </si>
  <si>
    <t>1523</t>
  </si>
  <si>
    <t>RESSARCIMENTOS POR DESASTRES NATURAIS</t>
  </si>
  <si>
    <t>Pagamento a industrias, comércio, pessoas físicas como ressarcimento de prejuizos causados por desastres ambientais. Pagamento de compensação pra pessoas, industria e comércio afetados em caso de desastre, prejuízo com safra, desocupação, aluguel social temporario. Quando o assunto envolver o desastre natural em si, com questoes relacionadas ao meio ambiente, solo, rios, estruturas, fauna e flora, codificar no 700.</t>
  </si>
  <si>
    <t>Assuntos que se relacionam com a política de desenvolvimento de turismo, cidades turisticas, obras turisticas, assuntos relacioandos a incentismo aos turismo, apoios setoriais para promocao de turismo, visto de turismo, promoção do turismo brasileiro.</t>
  </si>
  <si>
    <t>1525</t>
  </si>
  <si>
    <t>DIREITOS DO CONSUMIDOR</t>
  </si>
  <si>
    <t>Questões relacionadas ao direito do consumidor, direito de trocam devolução, garantias de produtos, datas e formas de acesso de direitos, PROCON, reclamações, SAC, regulamentação de vendas online e por telefone.</t>
  </si>
  <si>
    <t>1526</t>
  </si>
  <si>
    <t>ESPORTE, JOGOS DE AZAR, LOTERIA, MEGA SENA E APOSTAS</t>
  </si>
  <si>
    <t>Combate a jogos ilícitos, jogo do bicho, regulamentação de sorteios e jogos regulamentados, Loteria e repartição dos recursos pela Caixa Econômica Federal Bingo, caça niquel, loteria, mega sena, jogos de azar, cassinos, poquer, corridas de cavalo, assuntos relacionados a comercio em esportes profissionais que envolvam industria do esporte, clubes esportivos, financiamento no esporte. Caso envolva direcionamento de recurso pela CEF para áreas específicas, codificar na área (saúde, educação, etc)</t>
  </si>
  <si>
    <t>1599</t>
  </si>
  <si>
    <t>Observações que versam sobre SISTEMA BANCARIO, INSTITUICOES FINANCEIRAS E COMERCIO mas que não se enquadram em nenhum dos itens acima.</t>
  </si>
  <si>
    <t>DEFESA, FORÇAS ARMADAS, MILITARES E GUERRA</t>
  </si>
  <si>
    <t>1600</t>
  </si>
  <si>
    <t>Questões que envolvam mais de um assunto entre os subcodigos abaixo sobre política de defesa. Política Nacional de defesa, política de fronteiras, Estratégias nacionais de defesa e segurança nacional.</t>
  </si>
  <si>
    <t>1602</t>
  </si>
  <si>
    <t>ALIANÇAS, ACORDOS DE DEFESA E FRONTEIRAS</t>
  </si>
  <si>
    <t>Alianças e acordos militares de preteção e defesa de território, políticas de fronteira conjuntas, operações conjuntas militares e forças armadas em fronteiras, ajuda militar, cooperação internacional militar.</t>
  </si>
  <si>
    <t>1603</t>
  </si>
  <si>
    <t>INTELIGÊNCIA E ESPIONAGEM</t>
  </si>
  <si>
    <t>questões relacionadas com inteligência militar, inteligência das forças armadas, academias militares e de estudos de forças armadas, Barro Branco, Abin, regulamentação de informações militares, sigilos e documentos militares, espoinagem internacional</t>
  </si>
  <si>
    <t>1604</t>
  </si>
  <si>
    <t>FUNCIONAMENTO E ORGANIZACAO DAS FORÇAS ARMADAS E CAPACIDADES MILITARES</t>
  </si>
  <si>
    <t>Assuntos que tratam da fiscalização, funcionamento e estrutura organizacional das forças armadas militares. Separação da Marinha, Aeronáutica e Exercito, capacidades tecnológicas e de armamento, planos de modernização, atualização de organizações, sistemas internos de comunicação, testes e avaliações</t>
  </si>
  <si>
    <t>1605</t>
  </si>
  <si>
    <t>CONTROLE DE ARMAS E ARMAMENTO</t>
  </si>
  <si>
    <t>controle do posse e venda de armas, idade legal para compra, legislação de posse de arma, proibição e controle de vendas e uso de armas, armas de destuição em massa, armas nucleares, legislação sobre escolas de tiro, prática de tiro, usos e tipos de armamentos, campanhas e concientização sobre posse de arma</t>
  </si>
  <si>
    <t>1606</t>
  </si>
  <si>
    <t>VENDA DE ARMAS INTERNACIONAIS E AJUDA MILITAR INTERNACIONAL</t>
  </si>
  <si>
    <t>Exclusivamente para assuntos que tratem da venda internacional de armas, do Brasil para outros países. E para ajuda bélica, socorro armado do Brasil para outros países, doação e venda de equipamentos bélicos como caças, tanques do Brasil para outros países.</t>
  </si>
  <si>
    <t>1608</t>
  </si>
  <si>
    <t>RECURSOS HUMANOS, CARREIRAS E TRABALHO MILITAR</t>
  </si>
  <si>
    <t>Profissão, carreira e trabalho das formas armadas no Brasil. Hierarquias militares, funções, trabalho, pensões militares, programas para assitÊncia de filhos e esposas de militares, aposentadoria militar, bonus e isenções que envolvam pessoal de carreira militar, pensão para filhas solteiras, serviço militar obrigatório, reservista, acidentes de trabalho militar, exames obrigatórios, progressão de carreira, cortes militares, legislação militar. (NÃO CONFUNDIR COM POLÍCIA CIVIL MILITAR E FEDERAL codigo 1201)</t>
  </si>
  <si>
    <t>1610</t>
  </si>
  <si>
    <t>COMPRAS DE MATERIAL MILITAR, ARMAS E SUPLEMENTOS BÉLICOS</t>
  </si>
  <si>
    <t>Legislação e assuntos relacionados a COMPRA de material militar, suplementos bélicos, armas de fogo, suplementos, tanques, navios de guerra, aviões caça e demais suplementos armamentos. Formas de compras de material militar, negociações, e precos de armamentos e suplementos para forças armadas</t>
  </si>
  <si>
    <t>1611</t>
  </si>
  <si>
    <t>INSTALAÇÕES E ESTRUTURAS FÍSICAS MILITARES</t>
  </si>
  <si>
    <t>Observações que versam exclusivamente sobre estruturas físicas militares. Despesas e projetos com novas instalações, encerramento e fechamento de instalaçoes, bases, postos, vendas e compras de novos prédios, renovações e reformas em instalações, prédios e estruturas físicas. Expansão de bases militares. UPP - Unidades pacificadoras Assustos relacionados aos reservistas das forças armadas. Acionamento de reservistas. Transferencia de oficiais para a Reserva remunerada antes de serem reformados aos 65 anos.</t>
  </si>
  <si>
    <t>1612</t>
  </si>
  <si>
    <t>RESERVA MILITAR</t>
  </si>
  <si>
    <t>Não envolve pensões ou habitação.</t>
  </si>
  <si>
    <t>1614</t>
  </si>
  <si>
    <t>RESÍDUOS BÉLICOS E MILITARES</t>
  </si>
  <si>
    <t>Consequencias ao meio ambiente após guerras, resíduos bélicos, consequencias ambientais, tóxicas causadas por material belico, armas e guerras.</t>
  </si>
  <si>
    <t>1615</t>
  </si>
  <si>
    <t>COLABORAÇÕES ENTRE SETORES DE DEFESA - CIVIL, MILITAR E FORMAS ARMADAS</t>
  </si>
  <si>
    <t>Ações específicas de colaboração mutua entre setores da defesa civil (bombeiros, policia civil, SAMU, socorristas) e das forças armadas. Questões que tratem da atuação, despesas ou coordenação em situações de emergencia, grandes catastrofes, incendios. Se há atuação apenas da força civil, codificar no 1209. Quando o tema principal é a catástrofe, codificar no tipo de catástrofe . Aqui codificar apenas quando o principal tema for a união, colaboracao entre defesa civil, policias e bombeiros JUNTO com forças militares.</t>
  </si>
  <si>
    <t>1616</t>
  </si>
  <si>
    <t>EMPREGO CIVIL EM UNIDADES MILITARES</t>
  </si>
  <si>
    <t>Ocupação de cargos em instalações militares por civis. Questões relacionadas ao trabalho, contratacão e regras de trabalho de cidadaos NÃO militares, em atuação militar.</t>
  </si>
  <si>
    <t>1617</t>
  </si>
  <si>
    <t>CONTRATOS DE DEFESA SEM ARMAMENTO</t>
  </si>
  <si>
    <t>Compra e negociação de contratos de defesa e aquisição de serviços militares que NÃO ENVOLVAM ARMAMENTO.</t>
  </si>
  <si>
    <t>1619</t>
  </si>
  <si>
    <t>GUERRA E OPERAÇÕES DE GUERRA</t>
  </si>
  <si>
    <t>Conflitos armados, guerras</t>
  </si>
  <si>
    <t>1620</t>
  </si>
  <si>
    <t>DENUNCIAS DE ABUSOS CONTRA AS FORÇAS ARMADAS</t>
  </si>
  <si>
    <t>Violações dos direitos humanos durante guerras OU missões dentro de forças armadas. Torturas, assassinatos de inocentes parentes familiares de atuantes em guerra. Reclamações contra as forças armadas, crimes de guerra.</t>
  </si>
  <si>
    <t>1698</t>
  </si>
  <si>
    <t>PESQUISA E DESEVOLVIMENTO SOBRE ASSUNTOS MILITARES E BÉLICOS</t>
  </si>
  <si>
    <t>Pesquisas e desenvolvimento de novas armas, novos equipamentos, pesquisa bélica, pesquisa de guerra.</t>
  </si>
  <si>
    <t>1699</t>
  </si>
  <si>
    <t>Observações que versam sobre DEFESA, GUERRA, mas que não se enquadram em nenhum dos itens acima.</t>
  </si>
  <si>
    <t>CIÊNCIA, TECNOLOGIA E COMUNICAÇÕES</t>
  </si>
  <si>
    <t>1700</t>
  </si>
  <si>
    <t>Observações que contenham multiplas informações sobre ciência, tecnologia e comunicações. Quando não é possível separar em um único sub-codigo pois envolve diversas materias dentro desse tópico. Estratágias gerais para ciência, pesquisa e comunicação, Orçamentos instituições de Pesquisa, tecnologia e desenvolvimento, CNPq.</t>
  </si>
  <si>
    <t>1701</t>
  </si>
  <si>
    <t>MISSÕES ESPACIAIS E PESQUISA ESPACIAL</t>
  </si>
  <si>
    <t>Missões espaciais, assuntos recalcionados a participação e desenvolvimento de conhecimento espacial, materias relacionadas a viagens ao espaço, missões, participações em missões,</t>
  </si>
  <si>
    <t>1704</t>
  </si>
  <si>
    <t>SATÉLITES</t>
  </si>
  <si>
    <t>Lançamento de satélites, tratados de usos de satélites, uso comercial no espaço</t>
  </si>
  <si>
    <t>1705</t>
  </si>
  <si>
    <t>COOPERAÇÃO CIENTÍFICA</t>
  </si>
  <si>
    <t>Cooperação científica entre países, universidades, pesquisas compartilhadas entre nações e instituições para desenvolvimento e pesquisa científica. Ações específicas de parceria, Ciencias sem Fronteiras. Chamadas de internacionalização de pesquisa, desenvolvimento de pesquisa conjunto, ações e chamadas do CNPQ</t>
  </si>
  <si>
    <t>TELEFONIA E INTERNET</t>
  </si>
  <si>
    <t>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t>
  </si>
  <si>
    <t>1707</t>
  </si>
  <si>
    <t>RADIO, TV, JORNAIS E MIDIAS</t>
  </si>
  <si>
    <t>Industria da midia, assuntos relacionados a regras, concessoes, radio, radio comunitaria, TV, canais de TV, televisao, regulamentação da midia, jornais impressos, aprovações de aquisicões e fusões de empresas midiaticas, Canais privados e Canais estatais, TV estatal, Radio estatal. Hora do Brasil, obrigações de transmissão (esse medicamento é contra-indicado em casos de suspeitas de dengue), avisos, alertas, obrigações. Renovações de contrato midiatico</t>
  </si>
  <si>
    <t>1708</t>
  </si>
  <si>
    <t>METEREOLOGIA E TEMPO</t>
  </si>
  <si>
    <t>Desenvolvimento de pesquisas e transmissao metereologica, ciencias geologicas e de metereologia, servicos metereologicos nacionais, sismologia, oceanografia. Mudanças climáricas codificar no 705</t>
  </si>
  <si>
    <t>1709</t>
  </si>
  <si>
    <t>INDUSTRIA E SEGURANÇA INFORMÁTICA</t>
  </si>
  <si>
    <t>Desenvolvimento de computadores, tecnologia computacional, hacker, invasão de computadores, virus, desenvolvimento de softwares, midias sociais. Internet apenas quando for sobre o desenvolvimento de tecnologia, e não quando o "meio" de cometer o crime for a internet. Quando o tema for "crime digital" contra individuos (carolina Dieckman) ou se tratar de crime organizado de falsificacao de transações, compras online (1202)</t>
  </si>
  <si>
    <t>1798</t>
  </si>
  <si>
    <t>PESQUISA E DESEVOLVIMENTO SOBRE COMUNICAÇÃO, MIDIA E TELEFONIA</t>
  </si>
  <si>
    <t>Pesquisas e desenvolvimento relacionado aos tópicos de ciencia, tecnologia e telecomunicações, Desenvolvimento de novos meios, novas tecnologias, parcerias internacionais em pesquisa.</t>
  </si>
  <si>
    <t>1799</t>
  </si>
  <si>
    <t>Observações que versam sobre CIÊNCIA, TECNOLOGIA E COMUNICAÇÃO, mas que não se enquadram em nenhum dos itens acima.</t>
  </si>
  <si>
    <t>COMÉRCIO EXTERIOR, IMPORTAÇÕES E EXPORTAÇÕES</t>
  </si>
  <si>
    <t>1800</t>
  </si>
  <si>
    <t>Informações gerais sobre política de comércio exterior, regulamentações gerais sobre prioridades e objetivos do comércio exterior, planejamento e orcamentos gerais para venda, divulgação e economia internacional.</t>
  </si>
  <si>
    <t>1802</t>
  </si>
  <si>
    <t>ACORDOS E DISPUTAS NO COMÉRCIO EXTERIOR</t>
  </si>
  <si>
    <t>Regulações específicas de comércio externo que se relacionem tanto com a exportação quanto importação de determinados produtos. Acordos internacionais de compra e de venda, acordos bilaterais ou acordos de blocos, como Mercosul, EU. Arbitragem internacional de fusões, acordos de parcerias internacionais.</t>
  </si>
  <si>
    <t>1803</t>
  </si>
  <si>
    <t>EXPORTAÇÃO, REGULAÇÃO E INCENTIVOS COMERCIAIS DE VENDA INTERNACIONAL</t>
  </si>
  <si>
    <t>Programas específicos de exportação. Normas, regras, regulações, incentivos fiscais, economicos, boicotes e suspensão de exportações. Todos os assuntos relacionados exclusivamente a venda de produtos e serviços no ambito internacional de qualquer setor. Exportação de soja, frango, tecnologia, carros, manufaturas. Apenas nao se aplica a armas e questoes militares</t>
  </si>
  <si>
    <t>1804</t>
  </si>
  <si>
    <t>INVESTIMENTO PRIVADO INTERNACIONAL</t>
  </si>
  <si>
    <t>Atuação de empresas privadas brasileiras no mercado internacional, investimento privado nacional no exterior e investimento internacional no Brasil. Atuação de empresas internacionais no mercado brasileiro, investimento internacional no Brasil e investimento brasileiro no exterior.</t>
  </si>
  <si>
    <t>1806</t>
  </si>
  <si>
    <t>COMPETITIVIDADE INTERNACIONAL, RESULTADOS DA BALANÇA COMERCIAL</t>
  </si>
  <si>
    <t>Questões que versam sobre os resultados da balanca comercial de Exportacoes e Importacoes, resultados economicos no ambito internacional, posicao economica do pais no cenario mundial, competitividade comercial em ambiente internacional. Competicao Brasil e China no mercado internacional de frangos.</t>
  </si>
  <si>
    <t>1807</t>
  </si>
  <si>
    <t>IMPORTAÇOES, REGULAÇÕES E INCENTIVOS COMERCIAIS DE COMPRA INTERNACIONAL</t>
  </si>
  <si>
    <t>Programas específicos de importações. Normas, regras, regulações, incentivos fiscais, economicos, boicotes e suspensão de importações. Todos os assuntos relacionados exclusivamente a compra de produtos e serviços no ambito internacional de qualquer setor. Tarifas, taxas de importacões, suspensão de taxas, descontos de todos os setores, agricultura, , tecnologia, carros, manufatura. Apenas nao se aplica a armas e questoes militares</t>
  </si>
  <si>
    <t>1808</t>
  </si>
  <si>
    <t>CÂMBIO E SISTEMA CAMBIAL</t>
  </si>
  <si>
    <t>Política cambial, guerra cambial, câmbio, manipulação de taxas de cambio, impacto do sistema cambial e valores de cambio para o comercio internacional. Valorização e Desvalorização de moeda no mercado internacional. Dolar, Euro.</t>
  </si>
  <si>
    <t>1899</t>
  </si>
  <si>
    <t>Observações que versam sobre POLÍTICA DE COMÉRCIO EXTERIOR, mas que não se enquadram em nenhum dos itens acima.</t>
  </si>
  <si>
    <t>19</t>
  </si>
  <si>
    <t>RELAÇÕES INTERNACIONAIS E POLÍTICA EXTERNA</t>
  </si>
  <si>
    <t>1900</t>
  </si>
  <si>
    <t>Observações generalistas sobre relações internacionais e política externa que não envolvam o COMERCIO EXTERIOR. Prioridades de política externa, acordos de cooperação que envolvam multiplos subtopicos e que não seja possivel colocar em apenas um.</t>
  </si>
  <si>
    <t>1901</t>
  </si>
  <si>
    <t>RELAÇÕES E COOPERAÇÃO EM POLÍTICA INTERNACIONAL</t>
  </si>
  <si>
    <t>Assuntos relacionados com cooperação de políticas gerais, atuação internacional e promoção de políticas, acordos bilaterais ou multilaterais não comerciais de políticas. Protolocos de desenvolvimento que não sejam ambientais ou comerciais. Outros tipos de política que envolvam estrategias e acordos internacionais</t>
  </si>
  <si>
    <t>1902</t>
  </si>
  <si>
    <t>ATUAÇÃO INTERNACIONAL SOBRE QUESTÕES CLIMÁTICAS E AMBIENTAIS</t>
  </si>
  <si>
    <t>Questões do ambito internacional sobre assuntos relacionados ao clima e meio-ambiente. Protocolo de Kyoto, Acordo climático de Paris, acordos e protocolos sobre emissao de gases, temperatura global, aquecimento global, proteção do Artico e da Antartica.</t>
  </si>
  <si>
    <t>1905</t>
  </si>
  <si>
    <t>PAÍSES EM DESENVOLVIMENTO</t>
  </si>
  <si>
    <t>Quaisquer observações que se relacionem com assuntos típicos de países em desenvolvimento. Assuntos internacionais sobre fome, problemas da população, disponibilidade de comida, pobreza, educação. Quando o assunto for em países africanos e da América do Sul, países com altos indices de pobreza e desigualdade economica, que NAO ENVOLVAM QUESTÕES DE AJUDA FINANCEIRA (1901) e sim assuntos de desenvolvimento humano, pobreza, fome, educacao. outras políticas que nao economicas ou financeiras. Se o assunto for esses países em desenvolvimento, mas o tema NÃO FOR SOBRE DESENVOLVIMENTO, codificar ou em 18 se for comercial ou em 1921.</t>
  </si>
  <si>
    <t>1906</t>
  </si>
  <si>
    <t>ORGANIZAÇÕES FINANCEIRAS E ECONÔMICAS INTERNACIONAIS</t>
  </si>
  <si>
    <t>Organizações financeiras internacionais. FMI, BANCO MUNDIAL, OECD, BRICS,</t>
  </si>
  <si>
    <t>1910</t>
  </si>
  <si>
    <t>EUROPA E UNIÃO EUROPEIA</t>
  </si>
  <si>
    <t>Questões sobre a União Européia e países da Europa ocidental. União Européia, Euro, Zona do Euro, Alemanha, Andorra, Austria, Belgica, Vaticano, Espanha, França, Grécia, Holanda, Irlanda, Islândia, Itália, Leichtenstein, Luxemburgo, Malta, Monaco, Portugal, Reino Unido, São Marino, Suiça, Suécia, Dinamarca, Groenlandia, Finlandia, Noruega e Turquia.</t>
  </si>
  <si>
    <t>1921</t>
  </si>
  <si>
    <t>PAÍSES E REGIÕES ESPECÍFICAS</t>
  </si>
  <si>
    <t>Subcodigo fundido dos diversos outros codigos existentes de países separados. Foi juntado no subcodigo 1921 tudo o que se refere a assuntos internacional sobre paises que não sejam em desenvolvimento e países da Europa.</t>
  </si>
  <si>
    <t>1925</t>
  </si>
  <si>
    <t>DIREITOS HUMANOS AMBITO INTERNACIONAL</t>
  </si>
  <si>
    <t>Violação de direitos Humanos em ambito internaciona. Cortes e Justiça internacional. Cortes interamericana, cortes e tribunais internacionais sobre violência, tortura, violação de direitos humanos em ambito internacional. Genocídios internacionais, Assuntos LGBT internacional, opressao a minorias, mulheres em ambito internacional. NAO CONFUNDIR COM ASSUNTOS NACIONAIS DO CODIGO 2.</t>
  </si>
  <si>
    <t>1926</t>
  </si>
  <si>
    <t>ORGANIZAÇÕES INTERNACIONAIS NÃO</t>
  </si>
  <si>
    <t>Organizações internacionais, ONGs, que não atuam sobre questões financeiras ou comerciais. ONU, UNESCO, OIT...missões de paz, incuir todas as questões que envolvem missões</t>
  </si>
  <si>
    <t>1927</t>
  </si>
  <si>
    <t>TERRORISMO INTERNACIONAL</t>
  </si>
  <si>
    <t>Observações sobre ações terroristas que não envolvam o Brasil, que não ocorram diretamente no Brasil. Terrorismo internacional, pirataria internacional.</t>
  </si>
  <si>
    <t>1929</t>
  </si>
  <si>
    <t>DIPLOMACIA E EMBAIXADAS E PASSAPORTES</t>
  </si>
  <si>
    <t>Diplomacia, ações de diplomacia, embaixadas, deportações, passaportes, carreiras, despesas, formação de diplomatas, embaixadas, embaixadores, cidadania internacional, consulados.</t>
  </si>
  <si>
    <t>1999</t>
  </si>
  <si>
    <t>Observações que versam sobre RELAÇÕES INTERNACIONAIS E POLÍTICA EXTERNA, mas que não se enquadram em nenhum dos itens acima.</t>
  </si>
  <si>
    <t>GOVERNO E ADMINISTRAÇÃO PÚBLICA</t>
  </si>
  <si>
    <t>Observações que contemplam mais de um subcódigo abaixo ou que tratem de informações generalistas sobre a administração pública e os Poderes Executivo e Legislativo. Regulamento do poder legislativo e executivo, formas de atuação da camara e do senado, forma de organização do poder legislativo, formação de bancadas, organização de comissões e comites do legislativo, Estatuto, frentes parlamentares, colégio de líderes, ministérios, pastas, formação e estruturas</t>
  </si>
  <si>
    <t>2001</t>
  </si>
  <si>
    <t>RELAÇÕES INTRAGOVERNAMENTAIS E FEDERALISMO</t>
  </si>
  <si>
    <t>Competencias entre união, estados e municípios, federalismo, relação entre os niveis de poderes no Brasil. Responsabilidades de cada nível de governo, responsabilidades conjuntas, repasses federativos, relação entre presidentes, governadores e prefeitos. Centralização, descentralização da administração e da atuação do poder executivo. Se o assunto for sobre centralização ou descentralização de uma política específica (saude, educacao, assistencia) codificar na política setorial.</t>
  </si>
  <si>
    <t>BUROCRACIA, EFICIÊNCIA E FUNCIONAMENTO DA ADMINISTRAÇÃO PÚBLICA</t>
  </si>
  <si>
    <t>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t>
  </si>
  <si>
    <t>2003</t>
  </si>
  <si>
    <t>CORREIOS</t>
  </si>
  <si>
    <t>Organização dos Correios, oferta de servicos, todas informações sobre estruturas, atuação, organização dos Correios. Funções, hierarquia, contratações sobre Correios e serviços postais.</t>
  </si>
  <si>
    <t>2004</t>
  </si>
  <si>
    <t>EMPREGO E ORGANIZAÇÃO DA ADMINISTRAÇÃO PÚBLICA</t>
  </si>
  <si>
    <t>Empregos públicos, concursos públicos, funcionalismo, cargos públicos concursados, formas de trabalho no setor público (que não seja indicação e cargos de confiança). Tudo o que for relacionado as especificidades do trabalho, benefícios e pagamentos e carreira de emprego público. Remuneração, estabilidade, recrutamento, seleção.Estabilidade do servidor público, hierarquia na carreira. Competências, exigências para concurso público.</t>
  </si>
  <si>
    <t>2005</t>
  </si>
  <si>
    <t>CARGOS DE CONFIANÇA, NOMEAÇOES E EXONERAÇÕES</t>
  </si>
  <si>
    <t>Cargos de confiança. Nomeações e exonerações desse tipo específico de atuação no serviço público. Nomeação de gestores, secretarios, ministros, noemação para empresas públicas, critérios para nomeaçãode cargos de confiança e indicações governamentais. Não confundir com emprego público do 2004.</t>
  </si>
  <si>
    <t>2006</t>
  </si>
  <si>
    <t>CONDECORAÇÕES, PREMIAÇÕES E HONRA AO MÉRITO E CASA DA MOEDA</t>
  </si>
  <si>
    <t>Assuntos relacionados a condecorações, honra ao mérito, premiações, honras públicas, medalhas, títulos especiais, Casa da Moeda</t>
  </si>
  <si>
    <t>2007</t>
  </si>
  <si>
    <t>COMPRAS PÚBLICAS, CONTRATOS E CORRUPÇÃO NA ADMINISTRAÇAO PÚBLICA</t>
  </si>
  <si>
    <t>Regras sobre compras e contratos públicos, formas de negociações, pagamentos e relações comerciais com o governo. Contratos, subcontratos, normas de regulações gerais de parcerias publico privado, empresas públicas e prestação de servicos. Assuntos relacionados a corrupção do poder executivo, corrupção de empresas públicas, fraudes em contratos públicos, fraudes em procedimentos legais. Transparência nos contratos e prestação de contas públicas.</t>
  </si>
  <si>
    <t>2008</t>
  </si>
  <si>
    <t>EMPRESAS PUBLICAS PRIVATIZAÇÕES E GESTÃO DE PROPRIEDADES DO GOVERNO</t>
  </si>
  <si>
    <t>Gestão de propriedades públicas.Empresas Publicas, Privatizações e gestao de empresas públicas e propriedades do governo federal. Gestão do setor público, vendas e compras de edifícios, empresas, alugueis de espaços. Patrimonio cultural, museus usar o 23.</t>
  </si>
  <si>
    <t>2009</t>
  </si>
  <si>
    <t>ADMINISTRAÇÃO FISCAL</t>
  </si>
  <si>
    <t>Atuação, competência e gestão da área fiscal que não envolva a criação, extinção, majoração ou diminuição dos tributos. Ações para a cobrança e recolhimento de taxas, impostos e contribuições. Gestão visando atender à LOA e outras normas referentes à área.Devolução de impostos cobrados de forma indevida. Atendimento e prestação de serviço fiscal.</t>
  </si>
  <si>
    <t>2010</t>
  </si>
  <si>
    <t>IMPEACHMENT E ESCANDALOS DO PODER EXECUTIVO</t>
  </si>
  <si>
    <t>Escandalos que envolvem o presidente e o vice-presidente em escandalos, processo de impeachment, aberturas e pedidos de impeachment. Corrupção exclusiva dos chefes do poder executivo e vice-presidentes.</t>
  </si>
  <si>
    <t>2011</t>
  </si>
  <si>
    <t>RELAÇÕES ENTRE EXECUTIVO E LEGISLATIVO</t>
  </si>
  <si>
    <t>Relação entre o poder executivo e o poder legislativo, normas de atuação conjunta, aprovações, base governista na camara e no senado. Acordos parlamentares. Aprovações e reprovações. Vetos, articulação, oposição, acordos parlamentares, audiências entre os poderes.</t>
  </si>
  <si>
    <t>2012</t>
  </si>
  <si>
    <t>ELEIÇÕES, CAMPANHAS ELEITORAIS E PARTIDOS</t>
  </si>
  <si>
    <t>Legislação eleitoral, campanhas eleitoriais, normas, regras, horário eleitoral, indicação partidária, candidatos, financiamento partidário, fundo partidário, estruturação partidária. Fusão de partidos, criação de partidos políticos, Cláusula de barreira, financiamento público e privado, pesquisas eleitorais, referendos, organização interna dos partidos.</t>
  </si>
  <si>
    <t>2013</t>
  </si>
  <si>
    <t>CENSO DEMOGRÁFICO</t>
  </si>
  <si>
    <t>Questões relacionadas ao Censo Demográfico, tipos de perguntas, indicadores, período, frequencia, pesquisadores, aplicações, demografia, evolução da população. Observações relacionadas ao Distrito Federal. Capital do país. Envolve todas as questões setoriais</t>
  </si>
  <si>
    <t>2014</t>
  </si>
  <si>
    <t>CAPITAL FEDERAL</t>
  </si>
  <si>
    <t>de educação, saúde, transporte. Tudo o que for referente a capital federal, inserir nesse código.</t>
  </si>
  <si>
    <t>2015</t>
  </si>
  <si>
    <t>AVALIAÇÃO E RECLAMAÇÕES CONTRA A ADMINSITRAÇÃO PÚBLICA E SERVIÇOS PÚBLICOS</t>
  </si>
  <si>
    <t>reclamações e avaliações sobre o poder executivo e sobre a administração pública. Processos contra a administração pública, processos de avaliação e reclamação contra pessoal e contra a própria administração pública, ouvidoria, indenizações contra o serviço público.</t>
  </si>
  <si>
    <t>2030</t>
  </si>
  <si>
    <t>FERIADOS E PONTOS FACULTATIVOS</t>
  </si>
  <si>
    <t>Proclamação de feriados, pontos facultativos, proclamação de luto nacional, datas comemorativas, homenagens.</t>
  </si>
  <si>
    <t>2099</t>
  </si>
  <si>
    <t>Observações que versam sobre GOVERNO E ADMINISTRAÇÃO PÚBLICA, mas que não se enquadram em nenhum dos itens acima.</t>
  </si>
  <si>
    <t>21</t>
  </si>
  <si>
    <t>TERRITÓRIO E RECURSOS NATURAIS</t>
  </si>
  <si>
    <t>Gestão do território e dos seus recursos. Estratégia de exploração e desenvolvimento de recursos naturais. C130Assuntos gerais sobre recursos naturais, ordenamento do territorio, orcamentos e valores anuais, dados e pesquisas sobre recursos naturais e questões que envolvam diversos assuntos dos subcodigos abaixo. Todos os subcodigos estao reclacionados ao território, ao uso da terra e dos recursos naturais da terra.</t>
  </si>
  <si>
    <t>PARQUES PÚBLICOS E RESERVAS DE PRESERVAÇÃO</t>
  </si>
  <si>
    <t>Regulação, normas, orinetações, manutenção em território publico aberto, como parques, reservas ambientais, áreas protegidas e de preservação ambiental. Regulação de parques naturais e áreas protegidas. Utilização de bosques e florestas públicas</t>
  </si>
  <si>
    <t>POPULAÇÕES TRADICIONAIS BRASILEIRAS - INDÍGENAS, QUILOMBOLAS, RIBEIRINHOS, SERINGUEIROS, CAIÇARAS</t>
  </si>
  <si>
    <t>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t>
  </si>
  <si>
    <t>2103</t>
  </si>
  <si>
    <t>EXTRAÇÃO E COMÉRCIO DE RECURSOS NATURAIS</t>
  </si>
  <si>
    <t>Utilização de terras e do território nacional para exploração mineral, metais, pedras preciosas, ouro, que não estejam relacionados com a produção de energia. Regulação da terra e dos usos de recursos naturais, garimpo, extração de ouro, prata, madeireiras. Utilização de recursos naturais de origem hídrica como praias, bacias Hidrográficas, termas, mar, rio e seus recursos. Fontes de água mineral. Construção e manutenção de infraestruturas como represas, portos, marinas e ancoradouros; planejamento hidrológico; concessões de recursos hídricos para exploração privada. Dragagens. Quando for para geração de energia, usar o 802.</t>
  </si>
  <si>
    <t>2104</t>
  </si>
  <si>
    <t>RECURSOS HIDRICOS</t>
  </si>
  <si>
    <t>Quando o assunto envolver poluição, manutenção e conservação da água usar o 711.</t>
  </si>
  <si>
    <t>2105</t>
  </si>
  <si>
    <t>TERRITÓRIOS ANEXOS E PERDIDOS</t>
  </si>
  <si>
    <t>Questões vinculadas ao tamanho do país, incorporações ao território, perda de território.</t>
  </si>
  <si>
    <t>2199</t>
  </si>
  <si>
    <t>Observações que versam sobre TERRITÓRIO E RECURSOS NATURAIS , mas que não se enquadram em nenhum dos itens acima.</t>
  </si>
  <si>
    <t>CULTURA, ESPORTE E LAZER</t>
  </si>
  <si>
    <t>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t>
  </si>
  <si>
    <t>Sigla</t>
  </si>
  <si>
    <t>Estimativa ZUCCO POWER 2021</t>
  </si>
  <si>
    <t>Estimativa ZUCCO POWER 2017</t>
  </si>
  <si>
    <t>ideologia</t>
  </si>
  <si>
    <t>2022</t>
  </si>
  <si>
    <t>2022_ALVARO_DAMIAO</t>
  </si>
  <si>
    <t>DEM</t>
  </si>
  <si>
    <t>Democratas</t>
  </si>
  <si>
    <t>0.431</t>
  </si>
  <si>
    <t>direita</t>
  </si>
  <si>
    <t>2022_BELLA_GONCALVES</t>
  </si>
  <si>
    <t>PSOL</t>
  </si>
  <si>
    <t>partido socialismo e liberdade</t>
  </si>
  <si>
    <t>-0.874</t>
  </si>
  <si>
    <t>esquerda</t>
  </si>
  <si>
    <t>2022_BIM_DA_AMBULANCIA</t>
  </si>
  <si>
    <t>PSD</t>
  </si>
  <si>
    <t>partido social democratico</t>
  </si>
  <si>
    <t>0.296</t>
  </si>
  <si>
    <t>2022_BRAULIO_LARA</t>
  </si>
  <si>
    <t>NOVO</t>
  </si>
  <si>
    <t>partido novo</t>
  </si>
  <si>
    <t>0.711</t>
  </si>
  <si>
    <t>2022_BRUNO_MIRANDA</t>
  </si>
  <si>
    <t>PDT</t>
  </si>
  <si>
    <t>partido democratico trabalhista</t>
  </si>
  <si>
    <t>-0.356</t>
  </si>
  <si>
    <t>2022_CIRO_PEREIRA</t>
  </si>
  <si>
    <t>PTB</t>
  </si>
  <si>
    <t>partido trabalhista brasileiro</t>
  </si>
  <si>
    <t>0.455</t>
  </si>
  <si>
    <t>2022_CLAUDIO_DO_MUNDO_NOVO</t>
  </si>
  <si>
    <t>2022_DR_CELIO_FROIS</t>
  </si>
  <si>
    <t>CIDADANIA</t>
  </si>
  <si>
    <t>cidadania</t>
  </si>
  <si>
    <t>-0.014</t>
  </si>
  <si>
    <t>centro</t>
  </si>
  <si>
    <t>2022_DUDA_SALABERT</t>
  </si>
  <si>
    <t>2022_FERNANDA_PEREIRA_ALTOE</t>
  </si>
  <si>
    <t>2022_FERNANDO_LUIZ</t>
  </si>
  <si>
    <t>2022_FLAVIA_BORJA</t>
  </si>
  <si>
    <t>AVANTE</t>
  </si>
  <si>
    <t>avante</t>
  </si>
  <si>
    <t>2022_GILSON_GUIMARAES</t>
  </si>
  <si>
    <t>REDE</t>
  </si>
  <si>
    <t>rede sustentabilidade</t>
  </si>
  <si>
    <t>-0.555</t>
  </si>
  <si>
    <t>2022_HELINHO_DA_FARMACIA</t>
  </si>
  <si>
    <t>2022_HENRIQUE_BRAGA</t>
  </si>
  <si>
    <t>PSDB</t>
  </si>
  <si>
    <t>partido da social democracia brasileira</t>
  </si>
  <si>
    <t>0.157</t>
  </si>
  <si>
    <t>2022_IRLAN_MELO</t>
  </si>
  <si>
    <t>2022_IZA_LOURENCA</t>
  </si>
  <si>
    <t>2022_JORGE_SANTOS</t>
  </si>
  <si>
    <t>REPUBLICANOS</t>
  </si>
  <si>
    <t>republicanos</t>
  </si>
  <si>
    <t>0.550</t>
  </si>
  <si>
    <t>2022_JOSE_FERREIRA</t>
  </si>
  <si>
    <t>PP</t>
  </si>
  <si>
    <t>progressistas</t>
  </si>
  <si>
    <t>0.510</t>
  </si>
  <si>
    <t>2022_JUNINHO_LOS_HERMANOS</t>
  </si>
  <si>
    <t>2022_LEO</t>
  </si>
  <si>
    <t>PSL</t>
  </si>
  <si>
    <t>Partido Social Liberal</t>
  </si>
  <si>
    <t>0.803</t>
  </si>
  <si>
    <t>2022_MACAE_EVARISTO</t>
  </si>
  <si>
    <t>PT</t>
  </si>
  <si>
    <t>partido dos trabalhadores</t>
  </si>
  <si>
    <t>-0.691</t>
  </si>
  <si>
    <t>2022_MARCELA_TROPIA</t>
  </si>
  <si>
    <t>2022_MARCOS_CRISPIM</t>
  </si>
  <si>
    <t>PSC</t>
  </si>
  <si>
    <t>partido social cristao</t>
  </si>
  <si>
    <t>0.596</t>
  </si>
  <si>
    <t>2022_MARILDA_PORTELA</t>
  </si>
  <si>
    <t>2022_MILTINHO_CGE</t>
  </si>
  <si>
    <t>2022_NELY_AQUINO</t>
  </si>
  <si>
    <t>PODE</t>
  </si>
  <si>
    <t>podemos</t>
  </si>
  <si>
    <t>0.386</t>
  </si>
  <si>
    <t>2022_NIKOLAS_FERREIRA</t>
  </si>
  <si>
    <t>PRTB</t>
  </si>
  <si>
    <t>Partido Renovador Trabalhista Brasileiro</t>
  </si>
  <si>
    <t>2022_PEDRO_PATRUS</t>
  </si>
  <si>
    <t>2022_PROFESSORA_MARLI</t>
  </si>
  <si>
    <t>2022_PROFESSOR_CLAUDINEY_DULIM</t>
  </si>
  <si>
    <t>2022_PROFESSOR_JULIANO_LOPES</t>
  </si>
  <si>
    <t>PTC</t>
  </si>
  <si>
    <t>Partido Trabalhista Comunitário</t>
  </si>
  <si>
    <t>2022_RAMON_BIBIANO_DA_CASA_DE_APOIO</t>
  </si>
  <si>
    <t>2022_REINALDO_GOMES_PRETO_SACOLAO</t>
  </si>
  <si>
    <t>MDB</t>
  </si>
  <si>
    <t>movimento democratico brasileiro</t>
  </si>
  <si>
    <t>0.137</t>
  </si>
  <si>
    <t>2022_ROGERIO_ALKIMIM</t>
  </si>
  <si>
    <t>Rogerio Alkimim</t>
  </si>
  <si>
    <t>PMN</t>
  </si>
  <si>
    <t>partido da mobilizacao nacional</t>
  </si>
  <si>
    <t>2022_RUBAO</t>
  </si>
  <si>
    <t>2022_WALTER_TOSTA</t>
  </si>
  <si>
    <t>PL</t>
  </si>
  <si>
    <t>partido liberal</t>
  </si>
  <si>
    <t>0.493</t>
  </si>
  <si>
    <t>2022_WANDERLEY_PORTO</t>
  </si>
  <si>
    <t>PATRIOTA</t>
  </si>
  <si>
    <t>patriota</t>
  </si>
  <si>
    <t>2022_WESLEY</t>
  </si>
  <si>
    <t>PROS</t>
  </si>
  <si>
    <t>Partido Republicano da Ordem Social</t>
  </si>
  <si>
    <t>0.032</t>
  </si>
  <si>
    <t>2022_WILSINHO_DA_TABU</t>
  </si>
  <si>
    <t>SD</t>
  </si>
  <si>
    <t>solidariedade</t>
  </si>
  <si>
    <t>0.190</t>
  </si>
  <si>
    <t>sem partido</t>
  </si>
  <si>
    <t>UNIAO</t>
  </si>
  <si>
    <t>uniao brasil</t>
  </si>
  <si>
    <t>0.660</t>
  </si>
  <si>
    <t>AGIR</t>
  </si>
  <si>
    <t>agir</t>
  </si>
  <si>
    <t>2024_BRAULIO_LARA</t>
  </si>
  <si>
    <t>2024_BRUNO_MIRANDA</t>
  </si>
  <si>
    <t>2024_BRUNO_PEDRALVA</t>
  </si>
  <si>
    <t>Bruno Pedralva</t>
  </si>
  <si>
    <t>2024_CIDA_FALABELLA</t>
  </si>
  <si>
    <t>Cida Falabella</t>
  </si>
  <si>
    <t>2024_CIRO_PEREIRA</t>
  </si>
  <si>
    <t>2024_CLEITON_XAVIER</t>
  </si>
  <si>
    <t>2024_CLAUDIO_DO_MUNDO_NOVO</t>
  </si>
  <si>
    <t>2024_CESAR_GORDIN</t>
  </si>
  <si>
    <t>2024_DR_CELIO_FROIS</t>
  </si>
  <si>
    <t>PV</t>
  </si>
  <si>
    <t>partido verde</t>
  </si>
  <si>
    <t>-0.069</t>
  </si>
  <si>
    <t>2024_FERNANDA_PEREIRA_ALTOE</t>
  </si>
  <si>
    <t>2024_FERNANDO_LUIZ</t>
  </si>
  <si>
    <t>2024_FLAVIA_BORJA</t>
  </si>
  <si>
    <t>2024_GABRIEL</t>
  </si>
  <si>
    <t>2024_GILSON_GUIMARAES</t>
  </si>
  <si>
    <t>2024_HELINHO_DA_FARMACIA</t>
  </si>
  <si>
    <t>2024_HENRIQUE_BRAGA</t>
  </si>
  <si>
    <t>2024_IRLAN_MELO</t>
  </si>
  <si>
    <t>2024_IZA_LOURENCA</t>
  </si>
  <si>
    <t>2024_JANAINA_CARDOSO</t>
  </si>
  <si>
    <t>2024_JORGE_SANTOS</t>
  </si>
  <si>
    <t>2024_JOSE_FERREIRA</t>
  </si>
  <si>
    <t>2024_JUNINHO_LOS_HERMANOS</t>
  </si>
  <si>
    <t>2024_LOIDE_GONCALVES</t>
  </si>
  <si>
    <t>Loíde Gonçalves</t>
  </si>
  <si>
    <t>2024_MANINHO_FELIX</t>
  </si>
  <si>
    <t>Maninho Félix</t>
  </si>
  <si>
    <t>2024_MARCELA_TROPIA</t>
  </si>
  <si>
    <t>2024_MARCOS_CRISPIM</t>
  </si>
  <si>
    <t>2024_MARILDA_PORTELA</t>
  </si>
  <si>
    <t>2024_MILTINHO_CGE</t>
  </si>
  <si>
    <t>2024_PEDRO_PATRUS</t>
  </si>
  <si>
    <t>2024_PROFESSOR_JULIANO_LOPES</t>
  </si>
  <si>
    <t>2024_PROFESSORA_MARLI</t>
  </si>
  <si>
    <t>2024_RAMON_BIBIANO_DA_CASA_DE_APOIO</t>
  </si>
  <si>
    <t>2024_REINALDO_GOMES_PRETO_SACOLAO</t>
  </si>
  <si>
    <t>2024_ROBERTO_DA_FARMACIA</t>
  </si>
  <si>
    <t>Roberto da Farmácia</t>
  </si>
  <si>
    <t>2024_RUBAO</t>
  </si>
  <si>
    <t>2024_SERGIO_FERNANDO_PINHO_TAVARES</t>
  </si>
  <si>
    <t>2024_WAGNER_FERREIRA</t>
  </si>
  <si>
    <t>Wagner Ferreira</t>
  </si>
  <si>
    <t>2024_WANDERLEY_PORTO</t>
  </si>
  <si>
    <t>2024_WESLEY</t>
  </si>
  <si>
    <t>2024_WILSINHO_DA_TABU</t>
  </si>
  <si>
    <t>2024_ALVARO_DAMIAO</t>
  </si>
  <si>
    <t>2025_BRAULIO_LARA</t>
  </si>
  <si>
    <t>2025_BRUNO_MIRANDA</t>
  </si>
  <si>
    <t>2025_BRUNO_PEDRALVA</t>
  </si>
  <si>
    <t>2025_CIDA_FALABELLA</t>
  </si>
  <si>
    <t>2025_CIRO_PEREIRA</t>
  </si>
  <si>
    <t>2025_CLEITON_XAVIER</t>
  </si>
  <si>
    <t>2025_CLAUDIO_DO_MUNDO_NOVO</t>
  </si>
  <si>
    <t>2025_DR_CELIO_FROIS</t>
  </si>
  <si>
    <t>2025_FERNANDA_PEREIRA_ALTOE</t>
  </si>
  <si>
    <t>2025_FERNANDO_LUIZ</t>
  </si>
  <si>
    <t>2025_FLAVIA_BORJA</t>
  </si>
  <si>
    <t>DC</t>
  </si>
  <si>
    <t>democracia crista</t>
  </si>
  <si>
    <t>2025_GABRIEL</t>
  </si>
  <si>
    <t>2025_GILSON_GUIMARAES</t>
  </si>
  <si>
    <t>PSB</t>
  </si>
  <si>
    <t>partido socialista brasileiro</t>
  </si>
  <si>
    <t>-0.427</t>
  </si>
  <si>
    <t>2025_HELINHO_DA_FARMACIA</t>
  </si>
  <si>
    <t>2025_HENRIQUE_BRAGA</t>
  </si>
  <si>
    <t>2025_IRLAN_MELO</t>
  </si>
  <si>
    <t>2025_IZA_LOURENCA</t>
  </si>
  <si>
    <t>2025_JANAINA_CARDOSO</t>
  </si>
  <si>
    <t>2025_JORGE_SANTOS</t>
  </si>
  <si>
    <t>2025_JOSE_FERREIRA</t>
  </si>
  <si>
    <t>2025_JUNINHO_LOS_HERMANOS</t>
  </si>
  <si>
    <t>2025_LOIDE_GONCALVES</t>
  </si>
  <si>
    <t>2025_MANINHO_FELIX</t>
  </si>
  <si>
    <t>2025_MARCELA_TROPIA</t>
  </si>
  <si>
    <t>2025_MARCOS_CRISPIM</t>
  </si>
  <si>
    <t>2025_MARILDA_PORTELA</t>
  </si>
  <si>
    <t>2025_MILTINHO_CGE</t>
  </si>
  <si>
    <t>2025_PEDRO_PATRUS</t>
  </si>
  <si>
    <t>2025_PRETO</t>
  </si>
  <si>
    <t>Preto</t>
  </si>
  <si>
    <t>2025_PROFESSOR_CLAUDINEY_DULIM</t>
  </si>
  <si>
    <t>2025_PROFESSOR_JULIANO_LOPES</t>
  </si>
  <si>
    <t>2025_PROFESSORA_MARLI</t>
  </si>
  <si>
    <t>2025_PROFESSORA_NARA</t>
  </si>
  <si>
    <t>Professora Nara</t>
  </si>
  <si>
    <t>2025_RAMON_BIBIANO_DA_CASA_DE_APOIO</t>
  </si>
  <si>
    <t>2025_REINALDO_GOMES_PRETO_SACOLAO</t>
  </si>
  <si>
    <t>2025_RUBAO</t>
  </si>
  <si>
    <t>2025_SERGIO_FERNANDO_PINHO_TAVARES</t>
  </si>
  <si>
    <t>2025_WAGNER_FERREIRA</t>
  </si>
  <si>
    <t>2025_WANDERLEY_PORTO</t>
  </si>
  <si>
    <t>PRD</t>
  </si>
  <si>
    <t>partido renovacao democratica</t>
  </si>
  <si>
    <t>2025_WILSINHO_DA_TABU</t>
  </si>
  <si>
    <t>2025_ALVARO_DAMIAO</t>
  </si>
  <si>
    <t>2026</t>
  </si>
  <si>
    <t>2026_ARRUDA</t>
  </si>
  <si>
    <t>Arruda</t>
  </si>
  <si>
    <t>2026_BRAULIO_LARA</t>
  </si>
  <si>
    <t>Bráulio Lara</t>
  </si>
  <si>
    <t>2026_BRUNO_MIRANDA</t>
  </si>
  <si>
    <t>2026_BRUNO_PEDRALVA</t>
  </si>
  <si>
    <t>2026_CIDA_FALABELLA</t>
  </si>
  <si>
    <t>2026_CLAUDIO_DO_MUNDO_NOVO</t>
  </si>
  <si>
    <t>2026_CLEITON_XAVIER</t>
  </si>
  <si>
    <t>2026_DIEGO_SANCHES</t>
  </si>
  <si>
    <t>Diego Sanches</t>
  </si>
  <si>
    <t>2026_DRA_MICHELLY_SIQUEIRA</t>
  </si>
  <si>
    <t>Dra. Michelly Siqueira</t>
  </si>
  <si>
    <t>2026_EDMAR_BRANCO</t>
  </si>
  <si>
    <t>Edmar Branco</t>
  </si>
  <si>
    <t>PCdoB</t>
  </si>
  <si>
    <t>Partido Comunista do Brasil</t>
  </si>
  <si>
    <t>−0.822</t>
  </si>
  <si>
    <t>2026_FERNANDA_PEREIRA_ALTOE</t>
  </si>
  <si>
    <t>Fernanda Altoé</t>
  </si>
  <si>
    <t>2026_FLAVIA_BORJA</t>
  </si>
  <si>
    <t>2026_HELINHO_DA_FARMACIA</t>
  </si>
  <si>
    <t>2026_HELTON_JUNIOR</t>
  </si>
  <si>
    <t>Helton Junior</t>
  </si>
  <si>
    <t>2026_IRLAN_MELO</t>
  </si>
  <si>
    <t>2026_IZA_LOURENCA</t>
  </si>
  <si>
    <t>2026_JANAINA_CARDOSO</t>
  </si>
  <si>
    <t>Janaína Cardoso</t>
  </si>
  <si>
    <t>2026_JOSE_FERREIRA</t>
  </si>
  <si>
    <t>2026_JUHLIA_SANTOS</t>
  </si>
  <si>
    <t>Juhlia Santos</t>
  </si>
  <si>
    <t>2026_JUNINHO_LOS_HERMANOS</t>
  </si>
  <si>
    <t>2026_LEONARDO_ANGELO_DA_ITATIAIA</t>
  </si>
  <si>
    <t>Leonardo Ângelo da Itatiaia</t>
  </si>
  <si>
    <t>2026_LOIDE_GONCALVES</t>
  </si>
  <si>
    <t>2026_LUCAS_GANEM</t>
  </si>
  <si>
    <t>Lucas Ganem</t>
  </si>
  <si>
    <t>2026_LUIZA_DULCI</t>
  </si>
  <si>
    <t>Luiza Dulci</t>
  </si>
  <si>
    <t>2026_MANINHO_FELIX</t>
  </si>
  <si>
    <t>Maninho Felix</t>
  </si>
  <si>
    <t>2026_MARCELA_TROPIA</t>
  </si>
  <si>
    <t>2026_MARILDA_PORTELA</t>
  </si>
  <si>
    <t>2026_NENEM_DA_FARMACIA</t>
  </si>
  <si>
    <t>Neném da Farmácia</t>
  </si>
  <si>
    <t>2026_OSVALDO_LOPES</t>
  </si>
  <si>
    <t>Osvaldo Lopes</t>
  </si>
  <si>
    <t>2026_PABLO_ALMEIDA</t>
  </si>
  <si>
    <t>Pablo Almeida</t>
  </si>
  <si>
    <t>2026_PEDRO_PATRUS</t>
  </si>
  <si>
    <t>2026_PEDRO_ROUSSEFF</t>
  </si>
  <si>
    <t>Pedro Roussef</t>
  </si>
  <si>
    <t>2026_PROFESSORA_MARLI</t>
  </si>
  <si>
    <t>2026_PROFESSOR_JULIANO_LOPES</t>
  </si>
  <si>
    <t>2026_RUDSON_PAIXAO</t>
  </si>
  <si>
    <t>Rudson Paixão</t>
  </si>
  <si>
    <t>2026_SARGENTO_JALYSON</t>
  </si>
  <si>
    <t>Sargento Jalyson</t>
  </si>
  <si>
    <t>2026_TILELEO</t>
  </si>
  <si>
    <t>Tileléo</t>
  </si>
  <si>
    <t>2026_UNER_AUGUSTO</t>
  </si>
  <si>
    <t>Uner Augusto</t>
  </si>
  <si>
    <t>2026_VILE_SANTOS</t>
  </si>
  <si>
    <t>Vile Santos</t>
  </si>
  <si>
    <t>2026_WAGNER_FERREIRA</t>
  </si>
  <si>
    <t>2026_WANDERLEY_PORTO</t>
  </si>
  <si>
    <t>LOCALIDADE</t>
  </si>
  <si>
    <t>endereco_padronizado</t>
  </si>
  <si>
    <t>bairro</t>
  </si>
  <si>
    <t>regional</t>
  </si>
  <si>
    <t>territorio</t>
  </si>
  <si>
    <t>logradouro</t>
  </si>
  <si>
    <t>numero</t>
  </si>
  <si>
    <t>cep</t>
  </si>
  <si>
    <t>latitude</t>
  </si>
  <si>
    <t>longitude</t>
  </si>
  <si>
    <t>coordenada_x</t>
  </si>
  <si>
    <t>coordenada_y</t>
  </si>
  <si>
    <t>Abrigo Frei Otto</t>
  </si>
  <si>
    <t>Santa Monica</t>
  </si>
  <si>
    <t>VENDA NOVA</t>
  </si>
  <si>
    <t>VN3</t>
  </si>
  <si>
    <t>Rua Rui Barbosa</t>
  </si>
  <si>
    <t>31525-130</t>
  </si>
  <si>
    <t>Abrigo Pró-Criança</t>
  </si>
  <si>
    <t>Sao Cristovao</t>
  </si>
  <si>
    <t>NOROESTE</t>
  </si>
  <si>
    <t>NO1</t>
  </si>
  <si>
    <t>Rua Gonçalo Alves</t>
  </si>
  <si>
    <t>31110-480</t>
  </si>
  <si>
    <t>Ação Social Filadélfia</t>
  </si>
  <si>
    <t>Vista Alegre</t>
  </si>
  <si>
    <t>OESTE</t>
  </si>
  <si>
    <t>O2</t>
  </si>
  <si>
    <t>Rua Epaminondas Otoni</t>
  </si>
  <si>
    <t>30512-700</t>
  </si>
  <si>
    <t>Anfiteatro na Vila Senhor dos Passos</t>
  </si>
  <si>
    <t>Rua 15 de Abril, Vila Senhor dos Passos, Bairro Lagoinha.</t>
  </si>
  <si>
    <t>Lagoinha</t>
  </si>
  <si>
    <t>Rua 15 de Abril</t>
  </si>
  <si>
    <t>Associação Comunitária do Bairro Alvorada, Manacás e parte do Bairro Castelo</t>
  </si>
  <si>
    <t>Rua Flor D´Água,711, Bairro Jardim Alvorada</t>
  </si>
  <si>
    <t>Jardim Alvorada</t>
  </si>
  <si>
    <t>PAMPULHA</t>
  </si>
  <si>
    <t>P4</t>
  </si>
  <si>
    <t>Rua Flor D Água</t>
  </si>
  <si>
    <t>30810-310</t>
  </si>
  <si>
    <t>Associação Grupo de Idoso Alegria de Viver</t>
  </si>
  <si>
    <t>Cachoeirinha</t>
  </si>
  <si>
    <t>NORDESTE</t>
  </si>
  <si>
    <t>NE4</t>
  </si>
  <si>
    <t>Rua Cônego Santana</t>
  </si>
  <si>
    <t>31130-450</t>
  </si>
  <si>
    <t xml:space="preserve">Associação Irmão Sol - Casa das Meninas </t>
  </si>
  <si>
    <t>Rua Professora Natalia Lessa, 10 – Trevo – MG – CEP: 31540-580</t>
  </si>
  <si>
    <t>Trevo</t>
  </si>
  <si>
    <t>P1</t>
  </si>
  <si>
    <t>Rua Professora Natalia Lessa</t>
  </si>
  <si>
    <t>31540-580</t>
  </si>
  <si>
    <t>Associação Nutris - Núcleo de Trabalho e Integração Social</t>
  </si>
  <si>
    <t>Mariano de Abreu</t>
  </si>
  <si>
    <t>LESTE</t>
  </si>
  <si>
    <t>L1</t>
  </si>
  <si>
    <t>Rua Madre Izabel Trejeiro</t>
  </si>
  <si>
    <t>31050-320</t>
  </si>
  <si>
    <t>Associação Shekinah de Assistência Social - ASAS</t>
  </si>
  <si>
    <t>Conjunto Taquaril</t>
  </si>
  <si>
    <t>L4</t>
  </si>
  <si>
    <t>Rua Alair Pereira da Silva</t>
  </si>
  <si>
    <t>30290-580</t>
  </si>
  <si>
    <t>Avenida Aggeo Pio Sobrinho</t>
  </si>
  <si>
    <t>2023_BRAULIO_LARA_364_01; 2023_BRAULIO_LARA_365_01</t>
  </si>
  <si>
    <t>Avenida Aggeo Pio Sobrinho, Buritis</t>
  </si>
  <si>
    <t>Buritis</t>
  </si>
  <si>
    <t>O5</t>
  </si>
  <si>
    <t>Avenida Amintas Jacques de Moraes</t>
  </si>
  <si>
    <t>Santa Amelia</t>
  </si>
  <si>
    <t>Avenida Deputado Anuar Menhem</t>
  </si>
  <si>
    <t>Avenida Henrique Badaró Portugal</t>
  </si>
  <si>
    <t>Rua Henrique Badaró Portugal, Buritis</t>
  </si>
  <si>
    <t>Rua Henrique Badaró Portugal</t>
  </si>
  <si>
    <t>Avenida Ivaí, Dom Bosco</t>
  </si>
  <si>
    <t>2023_CIRO_PEREIRA_1037_01; 2023_JUNINHO_LOS_HERMANOS_1070_01</t>
  </si>
  <si>
    <t>Dom Bosco</t>
  </si>
  <si>
    <t>NO3</t>
  </si>
  <si>
    <t>Avenida Ivaí</t>
  </si>
  <si>
    <t>Madre Gertrudes</t>
  </si>
  <si>
    <t>Avenida Palestina com Avenida Sideral</t>
  </si>
  <si>
    <t>Sagrada Familia</t>
  </si>
  <si>
    <t>L2</t>
  </si>
  <si>
    <t>Avenida Petrolina</t>
  </si>
  <si>
    <t>Jaragua</t>
  </si>
  <si>
    <t>P3</t>
  </si>
  <si>
    <t>Avenida Sebastião de Brito</t>
  </si>
  <si>
    <t>Avenida Sebastião de Brito, regional Pampulha.</t>
  </si>
  <si>
    <t>Av. Sebastião de Brito, regional Pampulha</t>
  </si>
  <si>
    <t xml:space="preserve">Dona Clara </t>
  </si>
  <si>
    <t>Avenida Senador Lima Guimarães, no bairro Buritis</t>
  </si>
  <si>
    <t>Avenida Senador Lima Guimarães, Buritis</t>
  </si>
  <si>
    <t>Avenida Senador Lima Guimarães</t>
  </si>
  <si>
    <t>Avenida Sideral</t>
  </si>
  <si>
    <t>Jatoba</t>
  </si>
  <si>
    <t>BARREIRO</t>
  </si>
  <si>
    <t>B3</t>
  </si>
  <si>
    <t>Avenida Solferina Ricci Pace</t>
  </si>
  <si>
    <t>32400-000</t>
  </si>
  <si>
    <t>Avenida Várzea da Palma</t>
  </si>
  <si>
    <t>Av. Várzea da Palma, Venda Nova</t>
  </si>
  <si>
    <t>Venda Nova</t>
  </si>
  <si>
    <t>31540-350</t>
  </si>
  <si>
    <t>Barreiro</t>
  </si>
  <si>
    <t>B2</t>
  </si>
  <si>
    <t>Avenida Waldyr Soeiro Emrich</t>
  </si>
  <si>
    <t>Biquinha Sagrada Família.</t>
  </si>
  <si>
    <t>Rua Abílio Machado</t>
  </si>
  <si>
    <t>31030-390</t>
  </si>
  <si>
    <t>Campo Castanheira II (Arena  C2)</t>
  </si>
  <si>
    <t>Avenida Waldyr Soeiro Emrich, 5007</t>
  </si>
  <si>
    <t>Castanheira</t>
  </si>
  <si>
    <t>B5</t>
  </si>
  <si>
    <t>30670-005</t>
  </si>
  <si>
    <t>Campo de Futebol Céu Azul</t>
  </si>
  <si>
    <t>Rua João Gualberto dos Santos, 896 - Céu Azul, Belo Horizonte - MG, 31580-500</t>
  </si>
  <si>
    <t>Ceu Azul</t>
  </si>
  <si>
    <t>VN4</t>
  </si>
  <si>
    <t>Rua João Gualberto dos Santos</t>
  </si>
  <si>
    <t>31580-500</t>
  </si>
  <si>
    <t>Campo de Futebol Jatobá Quatro</t>
  </si>
  <si>
    <t>Rua Lacyr Maffia, esquina com a Avenida Haydée Abras Homssi, Jatobá IV.</t>
  </si>
  <si>
    <t>Conjunto Jatoba</t>
  </si>
  <si>
    <t>Rua Lacyr Maffia, esquina com a Avenida Haydée Abras Homssi</t>
  </si>
  <si>
    <t>30664-200</t>
  </si>
  <si>
    <t>Rua Cibipuruna - Monte Azul</t>
  </si>
  <si>
    <t>Monte Azul</t>
  </si>
  <si>
    <t>NORTE</t>
  </si>
  <si>
    <t>N2</t>
  </si>
  <si>
    <t>Rua Cibipuruna</t>
  </si>
  <si>
    <t>Campo de Futebol Poeirinha</t>
  </si>
  <si>
    <t>Rua João Antônio nº 240 - bairro Mariano de Abreu, Belo Horizonte; CEP: 31050-375.</t>
  </si>
  <si>
    <t>Rua João Antônio</t>
  </si>
  <si>
    <t>31050-375</t>
  </si>
  <si>
    <t>Campo de Futebol Rock in Rio</t>
  </si>
  <si>
    <t>Rua 5 de Janeiro, ao lado do nº 145, bairro Mariano de Abreu.</t>
  </si>
  <si>
    <t>Rua 5 de Janeiro</t>
  </si>
  <si>
    <t>31050-340</t>
  </si>
  <si>
    <t xml:space="preserve">Campo de Futebol Tupinambás </t>
  </si>
  <si>
    <t>Rua Santo Agostinho, nº 1480 - bairro Horto Florestal, Belo Horizonte; CEP: 31035-480;</t>
  </si>
  <si>
    <t>Horto Florestal</t>
  </si>
  <si>
    <t>Rua Santo Agostinho</t>
  </si>
  <si>
    <t>31035-480</t>
  </si>
  <si>
    <t>Campo do itatiaia</t>
  </si>
  <si>
    <t>Bandeirantes</t>
  </si>
  <si>
    <t>P2</t>
  </si>
  <si>
    <t>Rua Clóvis Salgado</t>
  </si>
  <si>
    <t>31365-440</t>
  </si>
  <si>
    <t>Rua Castelo Novo, 1001 - Santa Efigênia, Belo Horizonte - MG, 30260-380</t>
  </si>
  <si>
    <t>Santa Efigenia</t>
  </si>
  <si>
    <t>CENTRO-SUL</t>
  </si>
  <si>
    <t>CS1</t>
  </si>
  <si>
    <t>Rua Castelo Novo</t>
  </si>
  <si>
    <t>30260-380</t>
  </si>
  <si>
    <t>Campo esportivo Rua Eduardo Henrique Mendes</t>
  </si>
  <si>
    <t>Rua Dois, 64, esquina com Av. Tereza Cristina, Nova Gameleira, CEP 30516-465</t>
  </si>
  <si>
    <t>Nova Gameleira</t>
  </si>
  <si>
    <t>Rua Dois</t>
  </si>
  <si>
    <t>30516-465</t>
  </si>
  <si>
    <t>Campo Manchester</t>
  </si>
  <si>
    <t>R. Joviano Coelho Júnior, 62-100 - Rio Branco, Belo Horizonte - MG, 31535-130</t>
  </si>
  <si>
    <t>Rio Branco</t>
  </si>
  <si>
    <t>Rua Joviano Coelho Júnior</t>
  </si>
  <si>
    <t>31535-130</t>
  </si>
  <si>
    <t>Rua General Ephigênio Ruas Santos, 16-198 - Itapoã, Belo Horizonte - MG, 31710-500</t>
  </si>
  <si>
    <t>Itapoa</t>
  </si>
  <si>
    <t>Rua General Ephigênio Ruas Santos</t>
  </si>
  <si>
    <t>31710-500</t>
  </si>
  <si>
    <t>Campo Telê Santana</t>
  </si>
  <si>
    <t>2023_BIM_DA_AMBULANCIA_752_01; 2023_FLAVIA_BORJA_212_01; 2023_FLAVIA_BORJA_213_01</t>
  </si>
  <si>
    <t>Sinimbu</t>
  </si>
  <si>
    <t>Rua Augusto dos Anjos</t>
  </si>
  <si>
    <t>31535-000</t>
  </si>
  <si>
    <t>CARE Venda Nova</t>
  </si>
  <si>
    <t>Rua Padre Pedro Pinto</t>
  </si>
  <si>
    <t>31510-000</t>
  </si>
  <si>
    <t>Centro Cultural Venda Nova</t>
  </si>
  <si>
    <t>R. José Ferreira dos Santos, 184 - Jardim dos Comerciários, Belo Horizonte - MG, 31640-060</t>
  </si>
  <si>
    <t>Jardim dos Comerciarios</t>
  </si>
  <si>
    <t>VN2</t>
  </si>
  <si>
    <t>Rua José Ferreira dos Santos</t>
  </si>
  <si>
    <t>31640-060</t>
  </si>
  <si>
    <t>Centro de Assistência à Mulher na UPA Venda Nova</t>
  </si>
  <si>
    <t>Rua Padre Pedro Pinto, 322 - Venda Nova - CEP: 31610-000</t>
  </si>
  <si>
    <t>31610-000</t>
  </si>
  <si>
    <t xml:space="preserve">Centro de Assistência Benedito Venâncio </t>
  </si>
  <si>
    <t>Boa Vista</t>
  </si>
  <si>
    <t>Rua Marcelino Ramos</t>
  </si>
  <si>
    <t>31060-510</t>
  </si>
  <si>
    <t>Centro de Esterilização de Cães e Gatos Barreiro</t>
  </si>
  <si>
    <t>Avenida Antônio Praça Piedade, 68, bairro Bonsucesso, Belo Horizonte/MG.</t>
  </si>
  <si>
    <t>Bonsucesso</t>
  </si>
  <si>
    <t>B1</t>
  </si>
  <si>
    <t>Avenida Antônio Praça Piedade</t>
  </si>
  <si>
    <t>Centro de esterilização de cães e gatos rua Alexandre Siqueira</t>
  </si>
  <si>
    <t>Rua Alexandre Siqueira, nº 375, no Bairro Salgado Filho, na Regional Oeste</t>
  </si>
  <si>
    <t>Salgado Filho</t>
  </si>
  <si>
    <t>O1</t>
  </si>
  <si>
    <t>Rua Alexandre Siqueira</t>
  </si>
  <si>
    <t>30550-570</t>
  </si>
  <si>
    <t>2023_BRUNO_MIRANDA_712_01; 2023_REINALDO_GOMES_PRETO_SACOLAO_962_01</t>
  </si>
  <si>
    <t>Rua Maura, 749 no Bairro Ipiranga</t>
  </si>
  <si>
    <t>Ipiranga</t>
  </si>
  <si>
    <t>NE5</t>
  </si>
  <si>
    <t>Rua Maura</t>
  </si>
  <si>
    <t>31160-260</t>
  </si>
  <si>
    <t>Centro de Referência da Pessoa Idosa</t>
  </si>
  <si>
    <t>Rua Perdizes, nº 336, no Bairro Caiçaras.</t>
  </si>
  <si>
    <t>Caiçaras</t>
  </si>
  <si>
    <t>NO2</t>
  </si>
  <si>
    <t>Rua Perdizes</t>
  </si>
  <si>
    <t>30770-270</t>
  </si>
  <si>
    <t>Centro de Referência em Saúde Mental Infanto-Juvenil Centro-Sul (CERSAMi Centro-Sul/CEPAI)</t>
  </si>
  <si>
    <t>2023_BELLA_GONCALVES_566_01; 2023_GILSON_GUIMARAES_645_01</t>
  </si>
  <si>
    <t xml:space="preserve"> R. Padre Marinho, 150 - Santa Efigênia, Belo Horizonte - MG, 30140-040</t>
  </si>
  <si>
    <t xml:space="preserve">CENTRO-SUL </t>
  </si>
  <si>
    <t>Rua Padre Marinho</t>
  </si>
  <si>
    <t>30140-040</t>
  </si>
  <si>
    <t>Centro de Referência em Saúde Mental Infanto-Juvenil Nordeste  (CERSAMi Nordeste)</t>
  </si>
  <si>
    <t>Praça Muquí, 155 - Renascença, Belo Horizonte - MG, 31130-520</t>
  </si>
  <si>
    <t>Renascenca</t>
  </si>
  <si>
    <t>Praça Muquí</t>
  </si>
  <si>
    <t>31130-520</t>
  </si>
  <si>
    <t>Centro de Referência em Saúde Mental Infanto-Juvenil Noroeste (CERSAMi Noroeste)</t>
  </si>
  <si>
    <t>2023_BELLA_GONCALVES_566_01; 2023_JOSE_FERREIRA_877_01; 2023_MACAE_EVARISTO_543_01</t>
  </si>
  <si>
    <t>R. Manhumirim, 415 - Padre Eustáquio, Belo Horizonte - MG, 30720-070</t>
  </si>
  <si>
    <t>Padre Eustaquio</t>
  </si>
  <si>
    <t>NO4</t>
  </si>
  <si>
    <t>Rua Manhumirim</t>
  </si>
  <si>
    <t>30720-070</t>
  </si>
  <si>
    <t>Centro de Referência em Saúde Mental Noroeste (CERSAM Noroeste)</t>
  </si>
  <si>
    <t>2023_BELLA_GONCALVES_566_01; 2023_JOSE_FERREIRA_875_01</t>
  </si>
  <si>
    <t>R. Camarugi, 10 - Padre Eustáquio, Belo Horizonte - MG, 30720-090</t>
  </si>
  <si>
    <t>Rua Camarugi</t>
  </si>
  <si>
    <t>30720-090</t>
  </si>
  <si>
    <t>Centro de Saúde Alameda dos Ipês</t>
  </si>
  <si>
    <t>2023_BIM_DA_AMBULANCIA_818_01; 2023_CLAUDIO_DO_MUNDO_NOVO_458_01</t>
  </si>
  <si>
    <t>Rua Ministro Oliveira Salazar</t>
  </si>
  <si>
    <t>31520-400</t>
  </si>
  <si>
    <t>Centro de Saúde Alcides Lins</t>
  </si>
  <si>
    <t>R. Panema, 275 - Concórdia, Belo Horizonte - MG, 31130-620</t>
  </si>
  <si>
    <t>Concordia</t>
  </si>
  <si>
    <t>Rua Panema</t>
  </si>
  <si>
    <t>31130-620</t>
  </si>
  <si>
    <t>Centro de Saúde Alto Vera Cruz</t>
  </si>
  <si>
    <t>R. Gen. Osório, 959 Alto - Vera Cruz, Belo Horizonte - MG, 30285-320</t>
  </si>
  <si>
    <t>Alto Vera Cruz</t>
  </si>
  <si>
    <t>Rua General Osório</t>
  </si>
  <si>
    <t>30285-320</t>
  </si>
  <si>
    <t>Centro de Saúde Amilcar Vianna Martins</t>
  </si>
  <si>
    <t>2023_BRAULIO_LARA_370_01; 2023_GABRIEL_464_01</t>
  </si>
  <si>
    <t>Cinquentenario</t>
  </si>
  <si>
    <t>O4</t>
  </si>
  <si>
    <t>Rua Nelson de Senna</t>
  </si>
  <si>
    <t>30570-060</t>
  </si>
  <si>
    <t>Centro de Saúde Andradas</t>
  </si>
  <si>
    <t>2023_BIM_DA_AMBULANCIA_811_01; 2023_BIM_DA_AMBULANCIA_819_01</t>
  </si>
  <si>
    <t>Regional Venda Nova, situado à rua Mariana Amélia de Azevedo, 21 - Bairro São João Batista</t>
  </si>
  <si>
    <t>Sao Joao Batista</t>
  </si>
  <si>
    <t>Rua Mariana Amélia de Azevedo</t>
  </si>
  <si>
    <t>31510-470</t>
  </si>
  <si>
    <t>Centro de Saúde Betânia</t>
  </si>
  <si>
    <t>2023_BRAULIO_LARA_370_01; 2023_WALTER_TOSTA_305_01</t>
  </si>
  <si>
    <t>Rua das Canoas, 678 -Betânia, Belo Horizonte - MG, 30580-040</t>
  </si>
  <si>
    <t>Betania</t>
  </si>
  <si>
    <t>Rua das Canoas</t>
  </si>
  <si>
    <t>30580-040</t>
  </si>
  <si>
    <t>Centro de Saúde Boa Vista</t>
  </si>
  <si>
    <t>2023_RUBAO_1080_01; 2023_RUBAO_997_01; 2023_WILSINHO_DA_TABU_734_01</t>
  </si>
  <si>
    <t>rua Guruá, nº 833, bairro Boa Vista, Belo Horizonte, CEP 31.060-550</t>
  </si>
  <si>
    <t>Rua Guruá</t>
  </si>
  <si>
    <t>31060-550</t>
  </si>
  <si>
    <t>2023_HELINHO_DA_FARMACIA_131_01; 2023_IRLAN_MELO_763_01</t>
  </si>
  <si>
    <t>R. Dr. Cristiano Rezende, 1875 - Bonsucesso, Belo Horizonte - MG, 31170-800</t>
  </si>
  <si>
    <t>Rua Doutor Cristiano Rezende</t>
  </si>
  <si>
    <t>31170-800</t>
  </si>
  <si>
    <t>Centro de Saúde Cafezal</t>
  </si>
  <si>
    <t>R. Bela Vista, 30 - Serra, Belo Horizonte - MG, 30250-010</t>
  </si>
  <si>
    <t>Serra</t>
  </si>
  <si>
    <t>CS2</t>
  </si>
  <si>
    <t>Rua Bela Vista</t>
  </si>
  <si>
    <t>30250-010</t>
  </si>
  <si>
    <t>2023_JOSE_FERREIRA_1084_01; 2023_JUNINHO_LOS_HERMANOS_413_01; 2023_WESLEY_482_01</t>
  </si>
  <si>
    <t>Av. das Castanholas, 277 - Califórnia, Belo Horizonte - MG, 30850-760</t>
  </si>
  <si>
    <t>California</t>
  </si>
  <si>
    <t>Avenida das Castanholas</t>
  </si>
  <si>
    <t>30850-760</t>
  </si>
  <si>
    <t>R. Ângela Benareges, 10 - Capitão Eduardo, Belo Horizonte - MG, 31998-360</t>
  </si>
  <si>
    <t>Capitao Eduardo</t>
  </si>
  <si>
    <t>NE1</t>
  </si>
  <si>
    <t>Rua Ângela Benareges</t>
  </si>
  <si>
    <t>31998-360</t>
  </si>
  <si>
    <t>Centro de Saúde Céu Azul</t>
  </si>
  <si>
    <t>2023_BIM_DA_AMBULANCIA_820_01; 2023_BIM_DA_AMBULANCIA_822_01; 2023_CLAUDIO_DO_MUNDO_NOVO_460_01; 2023_RAMON_BIBIANO_DA_CASA_DE_APOIO_226_01</t>
  </si>
  <si>
    <t>Rua Alice Marques</t>
  </si>
  <si>
    <t>31580-090</t>
  </si>
  <si>
    <t>2023_BRUNO_MIRANDA_657_01; 2023_BRUNO_MIRANDA_761_01; 2023_CIRO_PEREIRA_1025_01</t>
  </si>
  <si>
    <t>Rua Dr. Furtado de Menezes, 610 - Ipiranga, Belo Horizonte - MG, 31160-170</t>
  </si>
  <si>
    <t>Rua Dr. Furtado de Menezes</t>
  </si>
  <si>
    <t xml:space="preserve"> 31160-170</t>
  </si>
  <si>
    <t>Rua Polycarpo de Magalhães Viotti, 261 - Bandeirantes (Pampulha), Belo Horizonte - MG, 31365-300</t>
  </si>
  <si>
    <t>Rua Polycarpo de Magalhaes Viotti</t>
  </si>
  <si>
    <t>31365-300</t>
  </si>
  <si>
    <t>Centro de Saúde Conjunto Betânia</t>
  </si>
  <si>
    <t>2023_WALTER_TOSTA_304_01; 2023_WILSINHO_DA_TABU_729_01</t>
  </si>
  <si>
    <t>Rua Onã, 105, Bairro Betânia, Regional Oeste, Belo Horizonte</t>
  </si>
  <si>
    <t>Rua Onã</t>
  </si>
  <si>
    <t>30590-370</t>
  </si>
  <si>
    <t xml:space="preserve">Centro de Saúde Conjunto Paulo VI </t>
  </si>
  <si>
    <t>R. das Almas, 122 - Conjunto Paulo VI, Belo Horizonte - MG, 31998-020</t>
  </si>
  <si>
    <t>Conjunto Paulo VI</t>
  </si>
  <si>
    <t>Rua das Almas</t>
  </si>
  <si>
    <t>31998-020</t>
  </si>
  <si>
    <t>Centro de Saúde Copacabana</t>
  </si>
  <si>
    <t>Copacabana</t>
  </si>
  <si>
    <t>Rua Inglaterra</t>
  </si>
  <si>
    <t>31540-360</t>
  </si>
  <si>
    <t>R. Eneida, 1583 - Coqueiros, Belo Horizonte - MG, 30881-120</t>
  </si>
  <si>
    <t>Coqueiros</t>
  </si>
  <si>
    <t>Rua Eneida</t>
  </si>
  <si>
    <t>30881-120</t>
  </si>
  <si>
    <t>Centro de Saúde Diamante/ Teixeira Dias</t>
  </si>
  <si>
    <t>Rua Rúbia Mara Barbosa, 113 - Olaria, Belo Horizonte - MG, 30660-298</t>
  </si>
  <si>
    <t>Olaria</t>
  </si>
  <si>
    <t>Rua Rúbia Mara Barbosa</t>
  </si>
  <si>
    <t>30660-298</t>
  </si>
  <si>
    <t>2023_JOSE_FERREIRA_1085_01; 2023_JUNINHO_LOS_HERMANOS_412_01</t>
  </si>
  <si>
    <t>Rua Olinto Magalhães, 1939 - Dom Bosco, Belo Horizonte - MG, 30830-050</t>
  </si>
  <si>
    <t>Rua Olinto Magalhães</t>
  </si>
  <si>
    <t>30830-050</t>
  </si>
  <si>
    <t>2023_BRUNO_MIRANDA_652_01; 2023_BRUNO_MIRANDA_659_01; 2023_CIRO_PEREIRA_1026_01</t>
  </si>
  <si>
    <t>Av. Joaquim José Diniz, 855 - Fernão Dias, Belo Horizonte - MG, 31910-520</t>
  </si>
  <si>
    <t>Fernao Dias</t>
  </si>
  <si>
    <t>NE3</t>
  </si>
  <si>
    <t>Avenida Joaquim José Diniz</t>
  </si>
  <si>
    <t>31910-520</t>
  </si>
  <si>
    <t>Centro de Saúde Dom Orione</t>
  </si>
  <si>
    <t>2023_NIKOLAS_FERREIRA_917_01; 2023_NIKOLAS_FERREIRA_918_01</t>
  </si>
  <si>
    <t>Sao Luiz</t>
  </si>
  <si>
    <t>Avenida Otacílio Negrão de Lima</t>
  </si>
  <si>
    <t>31310-022</t>
  </si>
  <si>
    <t>2023_JUNINHO_LOS_HERMANOS_418_01; 2023_MILTINHO_CGE_689_01</t>
  </si>
  <si>
    <t>R. Eneida, 955 - Glória, Belo Horizonte - MG, 30881-520</t>
  </si>
  <si>
    <t>Gloria</t>
  </si>
  <si>
    <t>30881-520</t>
  </si>
  <si>
    <t>2023_CLEITON_XAVIER_1090_01; 2023_HELINHO_DA_FARMACIA_130_01; 2023_RAMON_BIBIANO_DA_CASA_DE_APOIO_225_01; 2023_RUBAO_1079_01; 2023_RUBAO_994_01</t>
  </si>
  <si>
    <t>Rua Pomba, 677 - Goiânia, Belo Horizonte - MG, 31950-490</t>
  </si>
  <si>
    <t>Goiania</t>
  </si>
  <si>
    <t>NE2</t>
  </si>
  <si>
    <t>Rua Pomba</t>
  </si>
  <si>
    <t>31950-490</t>
  </si>
  <si>
    <t>2023_DUDA_SALABERT_567_01; 2023_WILSINHO_DA_TABU_733_01</t>
  </si>
  <si>
    <t>Rua São Vicente, 405 - Granja de Freitas, Belo Horizonte - MG, 30286-070</t>
  </si>
  <si>
    <t>Granja de Freitas</t>
  </si>
  <si>
    <t xml:space="preserve">LESTE </t>
  </si>
  <si>
    <t>Rua São Vicente</t>
  </si>
  <si>
    <t>30286-070</t>
  </si>
  <si>
    <t>Centro de Saúde Heliópolis</t>
  </si>
  <si>
    <t>2023_RAMON_BIBIANO_DA_CASA_DE_APOIO_238_01; 2023_WILSINHO_DA_TABU_732_01</t>
  </si>
  <si>
    <t>Rua dos Beneditinos nº 120 Bairro Heliópolis</t>
  </si>
  <si>
    <t>Heliopolis</t>
  </si>
  <si>
    <t>N3</t>
  </si>
  <si>
    <t>Rua dos Beneditinos</t>
  </si>
  <si>
    <t>31730-758</t>
  </si>
  <si>
    <t>2023_GABRIEL_297_01; 2023_MILTINHO_CGE_687_01</t>
  </si>
  <si>
    <t>R. Pouso Alegre, 2042 - Horto, Belo Horizonte - MG, 31015-104</t>
  </si>
  <si>
    <t>Horto</t>
  </si>
  <si>
    <t>Rua Pouso Alegre</t>
  </si>
  <si>
    <t>31015-104</t>
  </si>
  <si>
    <t>Centro de Saúde Independência</t>
  </si>
  <si>
    <t>Rua Maria Antonieta Ferreira, 151, Independência, CEP: 30.672-090.</t>
  </si>
  <si>
    <t>Independencia</t>
  </si>
  <si>
    <t>Rua Maria Antonieta Ferreira</t>
  </si>
  <si>
    <t>30672-090</t>
  </si>
  <si>
    <t>Centro de Saúde Itamarati</t>
  </si>
  <si>
    <t>Rua Anita Blumberg, nº 63, Paquetá</t>
  </si>
  <si>
    <t>Paqueta</t>
  </si>
  <si>
    <t>Rua Anita Blumberg</t>
  </si>
  <si>
    <t>31340-150</t>
  </si>
  <si>
    <t>2023_JUNINHO_LOS_HERMANOS_421_01; 2023_RAMON_BIBIANO_DA_CASA_DE_APOIO_229_01</t>
  </si>
  <si>
    <t>R. Engenho do Sol, 580 - Engenho Nogueira, Belo Horizonte - MG, 31320-610</t>
  </si>
  <si>
    <t>Engenho Nogueira</t>
  </si>
  <si>
    <t>Rua Engenho do Sol</t>
  </si>
  <si>
    <t>31320-610</t>
  </si>
  <si>
    <t>2023_BIM_DA_AMBULANCIA_815_01; 2023_BIM_DA_AMBULANCIA_816_01; 2023_LEO_1047_01</t>
  </si>
  <si>
    <t>Europa</t>
  </si>
  <si>
    <t>VN1</t>
  </si>
  <si>
    <t>Rua Edimburgo</t>
  </si>
  <si>
    <t>31620-530</t>
  </si>
  <si>
    <t>Centro de Saúde Jardim Felicidade</t>
  </si>
  <si>
    <t>R. Cecilia Trindade Silva, 201 - Jardim Felicidade, Belo Horizonte - MG, 31742-533</t>
  </si>
  <si>
    <t>Jardim Felicidade</t>
  </si>
  <si>
    <t>Rua Cecilia Trindade Silva</t>
  </si>
  <si>
    <t>31742-533</t>
  </si>
  <si>
    <t>Jardim Filadelfia</t>
  </si>
  <si>
    <t>Rua Caitité</t>
  </si>
  <si>
    <t>30860-320</t>
  </si>
  <si>
    <t>Centro de Saúde Jardim Guanabara</t>
  </si>
  <si>
    <t>2023_NIKOLAS_FERREIRA_919_01; 2023_NIKOLAS_FERREIRA_920_01</t>
  </si>
  <si>
    <t>Jardim Guanabara</t>
  </si>
  <si>
    <t>Rua Fanny Martins de Barros</t>
  </si>
  <si>
    <t>31742-218</t>
  </si>
  <si>
    <t>2023_GABRIEL_293_01; 2023_PROFESSORA_MARLI_843_01; 2023_RAMON_BIBIANO_DA_CASA_DE_APOIO_224_01</t>
  </si>
  <si>
    <t>R. Leopoldo Pereira, 407 - Jardim Montanhês, Belo Horizonte - MG, 30750-140</t>
  </si>
  <si>
    <t>Jardim Montanhes</t>
  </si>
  <si>
    <t>Rua Leopoldo Pereira</t>
  </si>
  <si>
    <t>30750-140</t>
  </si>
  <si>
    <t>Rua Frei Luiz de Souza, 811 - João Pinheiro, Belo Horizonte - MG, 30530-310</t>
  </si>
  <si>
    <t>Joao Pinheiro</t>
  </si>
  <si>
    <t>Rua Frei Luiz de Souza</t>
  </si>
  <si>
    <t>30530-310</t>
  </si>
  <si>
    <t>Avenida dos Sociais, 305, bairro Jardim Vitória</t>
  </si>
  <si>
    <t>Jardim Vitoria</t>
  </si>
  <si>
    <t>Avenida dos Sociais</t>
  </si>
  <si>
    <t>31975-265</t>
  </si>
  <si>
    <t>Centro de Saúde Lagoa</t>
  </si>
  <si>
    <t>2023_BIM_DA_AMBULANCIA_812_01; 2023_FLAVIA_BORJA_210_01</t>
  </si>
  <si>
    <t>Regional Venda Nova, situado na rua José Sabino Maciel, 176 - Bairro Lagoa, CEP: 31578-060.</t>
  </si>
  <si>
    <t xml:space="preserve">Lagoa </t>
  </si>
  <si>
    <t>Rua José Sabino Maciel</t>
  </si>
  <si>
    <t>31578-060</t>
  </si>
  <si>
    <t>2023_BRUNO_MIRANDA_651_01; 2023_CLEITON_XAVIER_1088_01; 2023_MARCOS_CRISPIM_801_01</t>
  </si>
  <si>
    <t>Rua Leôncio Chagas, 157 - União, Belo Horizonte - MG, 31170-590</t>
  </si>
  <si>
    <t>Uniao</t>
  </si>
  <si>
    <t>Rua Leôncio Chagas</t>
  </si>
  <si>
    <t xml:space="preserve"> 31170-590</t>
  </si>
  <si>
    <t>Centro de Saúde Lindeia</t>
  </si>
  <si>
    <t>Lindeia</t>
  </si>
  <si>
    <t>Rua Flor de Maio</t>
  </si>
  <si>
    <t>30690-170</t>
  </si>
  <si>
    <t>Rua Branca</t>
  </si>
  <si>
    <t>31970-685</t>
  </si>
  <si>
    <t>Centro de Saúde Maria Goretti</t>
  </si>
  <si>
    <t>R. Herculano Soares Rocha, 780 - Ipê, Belo Horizonte - MG, 31930-020</t>
  </si>
  <si>
    <t>Ipe</t>
  </si>
  <si>
    <t>Rua Herculano Soares Rocha</t>
  </si>
  <si>
    <t>31930-020</t>
  </si>
  <si>
    <t>Centro de Saúde Mariano de Abreu</t>
  </si>
  <si>
    <t>Casa Branca</t>
  </si>
  <si>
    <t>Rua Barreiro</t>
  </si>
  <si>
    <t>31050-140</t>
  </si>
  <si>
    <t>Centro de Saúde Minas Caixa</t>
  </si>
  <si>
    <t>2023_BIM_DA_AMBULANCIA_810_01; 2023_BIM_DA_AMBULANCIA_817_01; 2023_CLAUDIO_DO_MUNDO_NOVO_459_01; 2023_GABRIEL_298_01; 2023_REINALDO_GOMES_PRETO_SACOLAO_973_01</t>
  </si>
  <si>
    <t>Regional Venda Nova, situado à rua Capitão Sérgio Pires, 226 - Bairro Minas Caixa.</t>
  </si>
  <si>
    <t>Minas Caixa</t>
  </si>
  <si>
    <t>Rua Capitão Sérgio Pires</t>
  </si>
  <si>
    <t>31615-640</t>
  </si>
  <si>
    <t>Centro de Saúde Miramar</t>
  </si>
  <si>
    <t>R. Eridano, 540 - Miramar (Barreiro), Belo Horizonte - MG, 30644-100</t>
  </si>
  <si>
    <t>Miramar</t>
  </si>
  <si>
    <t>B4</t>
  </si>
  <si>
    <t>Rua Eridano</t>
  </si>
  <si>
    <t>30644-100</t>
  </si>
  <si>
    <t>R. Cruz de Malta, 73 - Nazare, Belo Horizonte - MG, 31990-180</t>
  </si>
  <si>
    <t>Nazare</t>
  </si>
  <si>
    <t>Rua Cruz de Malta</t>
  </si>
  <si>
    <t>31990-180</t>
  </si>
  <si>
    <t>Centro de Saúde Noraldino de Lima</t>
  </si>
  <si>
    <t>2023_BRAULIO_LARA_370_01; 2023_WALTER_TOSTA_306_01</t>
  </si>
  <si>
    <t>Av. Amazonas, 4373 - Nova Suíça, Belo Horizonte - MG, 30421-169</t>
  </si>
  <si>
    <t>Nova Suica</t>
  </si>
  <si>
    <t>Avenida Amazonas</t>
  </si>
  <si>
    <t>30421-169</t>
  </si>
  <si>
    <t>Centro de Saúde Nova York</t>
  </si>
  <si>
    <t>Rua Wilton Marques Pereira, 10 - Nova York, Belo Horizonte - MG, 31650-585</t>
  </si>
  <si>
    <t>Nova York</t>
  </si>
  <si>
    <t>Rua Wilton Marques Pereira</t>
  </si>
  <si>
    <t>31650-585</t>
  </si>
  <si>
    <t>Centro de Saúde Novo Aarão Reis</t>
  </si>
  <si>
    <t>Av. Detetive Eduardo Fernandes, 200 - Novo Aarão Reis, Belo Horizonte - MG, 31845-000</t>
  </si>
  <si>
    <t>Novo Aarao Reis</t>
  </si>
  <si>
    <t>Avenida Detetive Eduardo Fernandes</t>
  </si>
  <si>
    <t>31845-000</t>
  </si>
  <si>
    <t>2023_DUDA_SALABERT_564_01; 2023_MARCOS_CRISPIM_743_01; 2023_NIKOLAS_FERREIRA_912_01; 2023_NIKOLAS_FERREIRA_913_01</t>
  </si>
  <si>
    <t>Rua Pedro Alexandrino Mendonça, 12 - Taquaril, Belo Horizonte - MG, 30290-590</t>
  </si>
  <si>
    <t>Taquaril</t>
  </si>
  <si>
    <t>Rua Pedro Alexandrino Mendonça</t>
  </si>
  <si>
    <t>30290-590</t>
  </si>
  <si>
    <t>Centro de Saúde Ouro Minas (Centro de Saúde Olavo Albino Correia)</t>
  </si>
  <si>
    <t>Rua Papa Honório III, 8, bairro Ouro Minas, CEP 31870-150.</t>
  </si>
  <si>
    <t>Ouro Minas</t>
  </si>
  <si>
    <t>Rua Papa Honório III</t>
  </si>
  <si>
    <t xml:space="preserve"> 31870-150</t>
  </si>
  <si>
    <t>Centro de Saúde Ouro Preto</t>
  </si>
  <si>
    <t>2023_BRAULIO_LARA_372_01; 2023_NIKOLAS_FERREIRA_914_01; 2023_NIKOLAS_FERREIRA_915_01; 2023_RAMON_BIBIANO_DA_CASA_DE_APOIO_239_01; 2023_SERGIO_FERNANDO_PINHO_TAVARES_1100_01</t>
  </si>
  <si>
    <t>R. Jonas Jean, 77 - Ouro Preto, Belo Horizonte - MG, 31320-335</t>
  </si>
  <si>
    <t>Ouro Preto</t>
  </si>
  <si>
    <t>Rua Jonas Jean</t>
  </si>
  <si>
    <t>31320-335</t>
  </si>
  <si>
    <t>Centro de Saúde Padre Eustáquio</t>
  </si>
  <si>
    <t>R. Carioca, 820 - Padre Eustáquio, Belo Horizonte - MG, 30730-420</t>
  </si>
  <si>
    <t>Rua Carioca</t>
  </si>
  <si>
    <t>30730-420</t>
  </si>
  <si>
    <t>Centro de Saúde Padre Eustáquio Rua Humaitá</t>
  </si>
  <si>
    <t>Rua humaitá nº 1125 bairro Padre Eustáquio</t>
  </si>
  <si>
    <t>Rua Humaitá</t>
  </si>
  <si>
    <t>30720-410</t>
  </si>
  <si>
    <t>2023_CIRO_PEREIRA_1027_01; 2023_LEO_1016_01; 2023_NIKOLAS_FERREIRA_908_01; 2023_NIKOLAS_FERREIRA_909_01</t>
  </si>
  <si>
    <t>Rua Conceição Vidigal Paulucci, 150 - Palmares, Belo Horizonte - MG, 31155-440</t>
  </si>
  <si>
    <t>Palmares</t>
  </si>
  <si>
    <t>Rua Conceição Vidigal Paulucci</t>
  </si>
  <si>
    <t>31155-440</t>
  </si>
  <si>
    <t>Centro de Saúde Padre Joaquim Maia</t>
  </si>
  <si>
    <t>Liberdade</t>
  </si>
  <si>
    <t>Rua Boaventura</t>
  </si>
  <si>
    <t>31270-310</t>
  </si>
  <si>
    <t>Av. João XXIII, 1233 - Alípio de Melo, Belo Horizonte - MG, 30820-660</t>
  </si>
  <si>
    <t>Alipio de Melo</t>
  </si>
  <si>
    <t>Avenida João XXIII</t>
  </si>
  <si>
    <t>30820-660</t>
  </si>
  <si>
    <t>Centro de Saúde Palmeiras</t>
  </si>
  <si>
    <t>Av. Dom João VI, 1821 - Palmeiras, Belo Horizonte - MG, 30575-460</t>
  </si>
  <si>
    <t>Palmeiras</t>
  </si>
  <si>
    <t>Avenida Dom João VI</t>
  </si>
  <si>
    <t>30575-460</t>
  </si>
  <si>
    <t>2023_GILSON_GUIMARAES_640_01; 2023_MILTINHO_CGE_684_01</t>
  </si>
  <si>
    <t>Av. Mem de Sá, 1001 - Paraíso, Belo Horizonte - MG, 30260-270</t>
  </si>
  <si>
    <t>Paraiso</t>
  </si>
  <si>
    <t>L3</t>
  </si>
  <si>
    <t>Avenida Mem de Sá</t>
  </si>
  <si>
    <t>30260-270</t>
  </si>
  <si>
    <t>2023_BIM_DA_AMBULANCIA_1063_01; 2023_BIM_DA_AMBULANCIA_839_01; 2023_CLEITON_XAVIER_1089_01</t>
  </si>
  <si>
    <t>Mantiqueira</t>
  </si>
  <si>
    <t>Rua João Ferreira da Silva</t>
  </si>
  <si>
    <t>31680-050</t>
  </si>
  <si>
    <t>Centro de Saúde Pilar Olhos D’água</t>
  </si>
  <si>
    <t>2023_BRAULIO_LARA_370_01; 2023_HELINHO_DA_FARMACIA_128_01; 2023_WANDERLEY_PORTO_172_01</t>
  </si>
  <si>
    <t>R. São Pedro da Aldeia, 55 - Pilar, Belo Horizonte - MG, 30390-000</t>
  </si>
  <si>
    <t>Pilar</t>
  </si>
  <si>
    <t>Rua São Pedro da Aldeia</t>
  </si>
  <si>
    <t>30390-000</t>
  </si>
  <si>
    <t>Centro de Saúde Pindorama</t>
  </si>
  <si>
    <t>2023_JOSE_FERREIRA_1086_01; 2023_JUNINHO_LOS_HERMANOS_417_01</t>
  </si>
  <si>
    <t>R. Rutilo, 96 - Pindorama, Belo Horizonte - MG, 30880-600</t>
  </si>
  <si>
    <t>Pindorama</t>
  </si>
  <si>
    <t>Rua Rutilo</t>
  </si>
  <si>
    <t>30880-600</t>
  </si>
  <si>
    <t>2023_MACAE_EVARISTO_545_01; 2023_MILTINHO_CGE_685_01; 2023_RUBAO_1083_01; 2023_WILSINHO_DA_TABU_727_01</t>
  </si>
  <si>
    <t>R. Leopoldo Gomes, 440 - Pompéia, Belo Horizonte - MG, 30280-460</t>
  </si>
  <si>
    <t>Pompeia</t>
  </si>
  <si>
    <t>Rua Leopoldo Gomes</t>
  </si>
  <si>
    <t>30280-460</t>
  </si>
  <si>
    <t>2023_LEO_1045_01; 2023_PEDRO_PATRUS_776_01</t>
  </si>
  <si>
    <t>Primeiro de Maio</t>
  </si>
  <si>
    <t>N4</t>
  </si>
  <si>
    <t>Rua Volts</t>
  </si>
  <si>
    <t>31810-000</t>
  </si>
  <si>
    <t xml:space="preserve">Centro de Saúde Regina </t>
  </si>
  <si>
    <t>2023_BIM_DA_AMBULANCIA_831_01; 2023_WESLEY_483_01</t>
  </si>
  <si>
    <t>Rua Aristolino Basílio de Oliveira, 467 - Bairro Regina - CEP: 30.692-000</t>
  </si>
  <si>
    <t>Regina</t>
  </si>
  <si>
    <t>Rua Aristolino Basílio de Oliveira</t>
  </si>
  <si>
    <t>30692-000</t>
  </si>
  <si>
    <t>2023_BRAULIO_LARA_370_01; 2023_IRLAN_MELO_762_01; 2023_PROFESSORA_MARLI_842_01; 2023_WALTER_TOSTA_315_01</t>
  </si>
  <si>
    <t>R. Campína Verde, 375 - Salgado Filho, Belo Horizonte - MG, 30550-340</t>
  </si>
  <si>
    <t>Rua Campina Verde</t>
  </si>
  <si>
    <t>30550-340</t>
  </si>
  <si>
    <t>R. Antero de Quental, 185 - Santa Branca, Belo Horizonte - MG, 31565-120</t>
  </si>
  <si>
    <t>Santa Branca</t>
  </si>
  <si>
    <t xml:space="preserve">PAMPULHA </t>
  </si>
  <si>
    <t>Rua Antero de Quental</t>
  </si>
  <si>
    <t>31565-120</t>
  </si>
  <si>
    <t>Centro de Saúde Santa Inês</t>
  </si>
  <si>
    <t>Rua Itumirim, nº 50, no bairro Santa Inês.</t>
  </si>
  <si>
    <t>Santa Ines</t>
  </si>
  <si>
    <t>Rua Itumirim</t>
  </si>
  <si>
    <t>31080-230</t>
  </si>
  <si>
    <t>Centro de Saúde Santa Rosa</t>
  </si>
  <si>
    <t>Av. Bueno Siqueira, 100 - Universitário, Belo Horizonte - MG, 31255-450</t>
  </si>
  <si>
    <t>Universitario</t>
  </si>
  <si>
    <t>Avenida Bueno Siqueira</t>
  </si>
  <si>
    <t>31255-450</t>
  </si>
  <si>
    <t>2023_BRAULIO_LARA_372_01; 2023_JUNINHO_LOS_HERMANOS_423_01; 2023_RAMON_BIBIANO_DA_CASA_DE_APOIO_228_01</t>
  </si>
  <si>
    <t>Rua Senador Virgílio Távora, 157 - Santa Terezinha, Belo Horizonte - MG, 31360-220</t>
  </si>
  <si>
    <t xml:space="preserve">Santa Terezinha </t>
  </si>
  <si>
    <t>Rua Senador Virgílio Távora</t>
  </si>
  <si>
    <t>31360-220</t>
  </si>
  <si>
    <t>Centro de Saúde Santo Antônio</t>
  </si>
  <si>
    <t>2023_BIM_DA_AMBULANCIA_803_01; 2023_BIM_DA_AMBULANCIA_814_01</t>
  </si>
  <si>
    <t>Regional Venda Nova, situado à rua Irineu Pinto, 255 - São João Batista.</t>
  </si>
  <si>
    <t>Rua Irineu Pinto</t>
  </si>
  <si>
    <t>31510-020</t>
  </si>
  <si>
    <t>Centro de Saúde Santos Anjos</t>
  </si>
  <si>
    <t>Rua Miosótis</t>
  </si>
  <si>
    <t>31230-180</t>
  </si>
  <si>
    <t>Centro de Saúde São Cristóvão</t>
  </si>
  <si>
    <t>Rua Itapecerica</t>
  </si>
  <si>
    <t>31210-030</t>
  </si>
  <si>
    <t>Centro de Saúde São Geraldo</t>
  </si>
  <si>
    <t>2023_RUBAO_1081_01; 2023_RUBAO_996_01</t>
  </si>
  <si>
    <t>Sao Geraldo</t>
  </si>
  <si>
    <t>Avenida Itaituba</t>
  </si>
  <si>
    <t>31060-420</t>
  </si>
  <si>
    <t>Centro de Saúde São Jorge</t>
  </si>
  <si>
    <t>Grajau</t>
  </si>
  <si>
    <t>Rua Garret</t>
  </si>
  <si>
    <t>30431-186</t>
  </si>
  <si>
    <t>2023_JUNINHO_LOS_HERMANOS_415_01; 2023_RAMON_BIBIANO_DA_CASA_DE_APOIO_223_01</t>
  </si>
  <si>
    <t>R. Violeta de Melo, 655 - Jardim São José, Belo Horizonte - MG, 30820-470</t>
  </si>
  <si>
    <t>Jardim Sao Jose</t>
  </si>
  <si>
    <t>Rua Violeta de Melo</t>
  </si>
  <si>
    <t>30820-470</t>
  </si>
  <si>
    <t>Centro de Saúde São José Operário</t>
  </si>
  <si>
    <t>2023_RUBAO_1082_01; 2023_RUBAO_995_01</t>
  </si>
  <si>
    <t>Rua Simão Pereira, nº 73, bairro Nova Vista, Belo Horizonte, CEP: 31.070-220</t>
  </si>
  <si>
    <t>Nova Vista</t>
  </si>
  <si>
    <t>Rua Simão Pereira</t>
  </si>
  <si>
    <t>31070-220</t>
  </si>
  <si>
    <t>Centro de Saúde São Marcos</t>
  </si>
  <si>
    <t>R. Paulista, 571 - São Marcos, Belo Horizonte - MG, 31910-340</t>
  </si>
  <si>
    <t>Sao Marcos</t>
  </si>
  <si>
    <t>Rua Paulista</t>
  </si>
  <si>
    <t>31910-340</t>
  </si>
  <si>
    <t>R. Nossa Sra. de Fátima, 2240 - Nossa Senhora de Fátima, Belo Horizonte - MG, 30230-000</t>
  </si>
  <si>
    <t>Nossa Senhora de Fatima</t>
  </si>
  <si>
    <t>CS3</t>
  </si>
  <si>
    <t>Rua Nossa Senhora de Fátima</t>
  </si>
  <si>
    <t>30230-000</t>
  </si>
  <si>
    <t>Centro de Saúde São Paulo</t>
  </si>
  <si>
    <t>R. Aiuruoca, 455 - São Paulo, Belo Horizonte - MG, 31910-000</t>
  </si>
  <si>
    <t>Sao Paulo</t>
  </si>
  <si>
    <t>Rua Aiuruoca</t>
  </si>
  <si>
    <t xml:space="preserve"> 31910-000</t>
  </si>
  <si>
    <t>Centro de Saúde São Tomás</t>
  </si>
  <si>
    <t>R. Santa Rosa, 54 - São Tomaz, Belo Horizonte - MG, 31741-095</t>
  </si>
  <si>
    <t>Sao Tomaz</t>
  </si>
  <si>
    <t>Rua Santa Rosa</t>
  </si>
  <si>
    <t>31741-095</t>
  </si>
  <si>
    <t>Serrano</t>
  </si>
  <si>
    <t>Rua Tocantins</t>
  </si>
  <si>
    <t>Rua Des. Bráulio, 2.200 - Taquaril, Belo Horizonte - MG, 30290-020</t>
  </si>
  <si>
    <t>Rua Desembargador Bráulio</t>
  </si>
  <si>
    <t>30290-020</t>
  </si>
  <si>
    <t>Centro de Saúde Teixeira Dias</t>
  </si>
  <si>
    <t xml:space="preserve">Teixeira Dias </t>
  </si>
  <si>
    <t>Rua Maria Marcolina Souza</t>
  </si>
  <si>
    <t>30644-190</t>
  </si>
  <si>
    <t>Centro de Saúde Urucuia</t>
  </si>
  <si>
    <t>Pongelupe</t>
  </si>
  <si>
    <t>Rua Nelson de Paula Pires</t>
  </si>
  <si>
    <t>30628-030</t>
  </si>
  <si>
    <t>2023_NIKOLAS_FERREIRA_910_01; 2023_NIKOLAS_FERREIRA_911_01; 2023_WANDERLEY_PORTO_177_01; 2023_WESLEY_479_01</t>
  </si>
  <si>
    <t>Vale do Jatoba</t>
  </si>
  <si>
    <t>Rua Domício Gabriel de Vasconcelos</t>
  </si>
  <si>
    <t>Centro de Saúde Ventosa</t>
  </si>
  <si>
    <t>2023_PEDRO_PATRUS_772_01; 2023_WALTER_TOSTA_291_01</t>
  </si>
  <si>
    <t>R. Corcovado, 1522 - Jardim America, Belo Horizonte - MG, 30421-496</t>
  </si>
  <si>
    <t>Jardim America</t>
  </si>
  <si>
    <t>Rua Corcovado</t>
  </si>
  <si>
    <t>30421-496</t>
  </si>
  <si>
    <t>Centro de Saúde Vila CEMIG</t>
  </si>
  <si>
    <t>2023_IZA_LOURENCA_650_01; 2023_LEO_1043_01; 2023_PROFESSOR_JULIANO_LOPES_993_01</t>
  </si>
  <si>
    <t>R. Coletivo, 68 - Vila Cemig, Belo Horizonte - MG, 30624-350</t>
  </si>
  <si>
    <t>Vila Cemig</t>
  </si>
  <si>
    <t>Rua Coletivo</t>
  </si>
  <si>
    <t>30624-350</t>
  </si>
  <si>
    <t xml:space="preserve">Centro de Saúde Vila Imperial </t>
  </si>
  <si>
    <t>Rua Guilherme Pinto da Fonseca, 350 - Me. Gertrudes, Belo Horizonte - MG, 30518-240</t>
  </si>
  <si>
    <t>Rua Guilherme Pinto da Fonseca</t>
  </si>
  <si>
    <t>30518-240</t>
  </si>
  <si>
    <t>Centro de Saúde Vila Leolina</t>
  </si>
  <si>
    <t>2023_BRAULIO_LARA_370_01; 2023_PEDRO_PATRUS_786_01; 2023_PEDRO_PATRUS_788_01; 2023_WALTER_TOSTA_472_01</t>
  </si>
  <si>
    <t>Praça do Ensino, 240 - Alpes, Belo Horizonte - MG, 30421-484</t>
  </si>
  <si>
    <t>Alpes</t>
  </si>
  <si>
    <t>O3</t>
  </si>
  <si>
    <t>Praça do Ensino</t>
  </si>
  <si>
    <t>30421-484</t>
  </si>
  <si>
    <t>2023_MARCOS_CRISPIM_821_01; 2023_WESLEY_480_01</t>
  </si>
  <si>
    <t>Rua Otaviano de Carvalho, 174 - Vila Pinho Vale do Jatobá, Belo Horizonte - MG, 30668-090</t>
  </si>
  <si>
    <t>Vila Pinho</t>
  </si>
  <si>
    <t>Rua Otaviano de Carvalho</t>
  </si>
  <si>
    <t>30668-090</t>
  </si>
  <si>
    <t>R. Sêneca, 9 - Nova Cintra, Belo Horizonte - MG, 30516-260</t>
  </si>
  <si>
    <t>Nova Cintra</t>
  </si>
  <si>
    <t>Rua Sêneca</t>
  </si>
  <si>
    <t>30516-260</t>
  </si>
  <si>
    <t>2023_BRAULIO_LARA_370_01; 2023_NIKOLAS_FERREIRA_906_01; 2023_NIKOLAS_FERREIRA_907_01</t>
  </si>
  <si>
    <t>Av. Amazonas, 8889 - Térreo - Me. Gertrudes, Belo Horizonte - MG, 30180-001</t>
  </si>
  <si>
    <t>30180-001</t>
  </si>
  <si>
    <t>Centro de Vivência Agroecológica CEVAE Taquaril</t>
  </si>
  <si>
    <t>Rua Estr. dos Freitas - Granja de Freitas, Belo Horizonte - MG, 30285-310</t>
  </si>
  <si>
    <t>Rua Estrada dos Freitas</t>
  </si>
  <si>
    <t>30285-310</t>
  </si>
  <si>
    <t>Centro Especializado Odontológico Rua Eugênio Volpíni</t>
  </si>
  <si>
    <t>Rua Eugênio Volpíni</t>
  </si>
  <si>
    <t>31515-190</t>
  </si>
  <si>
    <t>Centro Especializado Odontológico Rua Padre Pedro Pinto</t>
  </si>
  <si>
    <t>Centro Esportivo do Conjunto Águas Claras</t>
  </si>
  <si>
    <t>Rua João Bosco do Carmo, esquina com a Rua Terezinha de Jesus Carvalho, bairro Conjunto Águas Claras.</t>
  </si>
  <si>
    <t>Aguas Claras</t>
  </si>
  <si>
    <t>Rua João Bosco do Carmo, esquina com a Rua Terezinha de Jesus Carvalho</t>
  </si>
  <si>
    <t>Centro Esportivo José Calegário de Cristo</t>
  </si>
  <si>
    <t>Solar do Barreiro</t>
  </si>
  <si>
    <t>Rua Ulisses Surette</t>
  </si>
  <si>
    <t>30628-270</t>
  </si>
  <si>
    <t xml:space="preserve">Centro Infanto Juvenil Crescer Sorrindo </t>
  </si>
  <si>
    <t>Rua Peperi, 975 - Bairro Nova Granada</t>
  </si>
  <si>
    <t>Nova Granada</t>
  </si>
  <si>
    <t>Rua Peperi</t>
  </si>
  <si>
    <t>30431-395</t>
  </si>
  <si>
    <t>Centro Municipal de Oftalmologia</t>
  </si>
  <si>
    <t>2023_GILSON_GUIMARAES_643_01; 2023_GILSON_GUIMARAES_648_01</t>
  </si>
  <si>
    <t>Carlos Prates</t>
  </si>
  <si>
    <t>Rua Frederico Bracher Júnior</t>
  </si>
  <si>
    <t>30710-580</t>
  </si>
  <si>
    <t>Complexo Hospitalar São Francisco CNES 0026840</t>
  </si>
  <si>
    <t>2023_IRLAN_MELO_809_01; 2023_PROFESSORA_MARLI_886_01; 2023_RUBAO_1005_01; 2023_BRAULIO_LARA_383_01; 2023_HENRIQUE_BRAGA_942_01; 2023_JOSE_FERREIRA_876_01; 2023_WESLEY_523_01; 2023_WILSINHO_DA_TABU_708_01</t>
  </si>
  <si>
    <t>R. Itamaracá, 535 - Concórdia, Belo Horizonte - MG, 31110-580</t>
  </si>
  <si>
    <t>Rua Itamaracá</t>
  </si>
  <si>
    <t>31110-580</t>
  </si>
  <si>
    <t>Avenida Perimetral, 1.500, Vale do Jatobá</t>
  </si>
  <si>
    <t>Avenida Perimetral</t>
  </si>
  <si>
    <t>CRAS Apolônia</t>
  </si>
  <si>
    <t>R. Visc. de Itaboraí, 304 - Jardim Leblon, Belo Horizonte - MG, 31540-460</t>
  </si>
  <si>
    <t>Jardim Leblon</t>
  </si>
  <si>
    <t>Rua Visc. de Itaboraí</t>
  </si>
  <si>
    <t>31540-460</t>
  </si>
  <si>
    <t>CRAS Providência</t>
  </si>
  <si>
    <t>Rua São Sebastião, 140 - Minaslandia, Belo Horizonte - MG, 31810-380</t>
  </si>
  <si>
    <t>Minaslandia</t>
  </si>
  <si>
    <t>Rua São Sebastião</t>
  </si>
  <si>
    <t>31810-380</t>
  </si>
  <si>
    <t>R. Ludgéro Felipe Ferreira, 42 - Conj. Taquaril, Belo Horizonte - MG, 30290-650</t>
  </si>
  <si>
    <t>R. Ludgéro Felipe Ferreira</t>
  </si>
  <si>
    <t>30290-650</t>
  </si>
  <si>
    <t>Creche arco íris</t>
  </si>
  <si>
    <t>R. Visc. de Itaboraí, 191 - Jardim Leblon, Belo Horizonte - MG, 31540-460</t>
  </si>
  <si>
    <t>Rua Visconde de Itaboraí</t>
  </si>
  <si>
    <t>2023_REINALDO_GOMES_PRETO_SACOLAO_936_01; 2023_REINALDO_GOMES_PRETO_SACOLAO_957_01</t>
  </si>
  <si>
    <t>Rua Jane Eyre, nº 700, no Bairro Primeiro de Maio.</t>
  </si>
  <si>
    <t>Rua Jane Eyre</t>
  </si>
  <si>
    <t>31810-290</t>
  </si>
  <si>
    <t>Entre as ruas Pernambuco e Fernandes Tourinho,Centro</t>
  </si>
  <si>
    <t>Centro</t>
  </si>
  <si>
    <t>Entre as ruas Pernambuco e Fernandes Tourinho</t>
  </si>
  <si>
    <t>Escadaria  Rua Flor de Verdade, 273, Jardim Montanhês</t>
  </si>
  <si>
    <t>Rua Flor de Verdade</t>
  </si>
  <si>
    <t>30810-110</t>
  </si>
  <si>
    <t>Escadaria entre Rua São Pedro e Rua Sylvio Silva</t>
  </si>
  <si>
    <t>Escadaria entre R. São Pedro, 92 e R. Sylvio Silva, 239 - Paulo VI, Belo Horizonte - MG</t>
  </si>
  <si>
    <t>Paulo VI</t>
  </si>
  <si>
    <t xml:space="preserve">Rua São Pedro  </t>
  </si>
  <si>
    <t>31995-370</t>
  </si>
  <si>
    <t>Escola Governador Carlos Lacerda</t>
  </si>
  <si>
    <t>Rua Princesa Leopoldina, 490 - Ipiranga, Belo Horizonte - MG, 31160-120</t>
  </si>
  <si>
    <t>Rua Princesa Leopoldina</t>
  </si>
  <si>
    <t>31160-120</t>
  </si>
  <si>
    <t>Escola Municipal Adauto Lúcio Cardoso</t>
  </si>
  <si>
    <t>2023_RAMON_BIBIANO_DA_CASA_DE_APOIO_230_01; 2023_RAMON_BIBIANO_DA_CASA_DE_APOIO_231_01</t>
  </si>
  <si>
    <t>Rua Ernesto Gazzolli, 116-182 - Céu Azul, Belo Horizonte - MG, 31580-160</t>
  </si>
  <si>
    <t>Rua Ernesto Gazzolli</t>
  </si>
  <si>
    <t>31580-160</t>
  </si>
  <si>
    <t>Escola Municipal Cônsul Antônio Cadar</t>
  </si>
  <si>
    <t>Rua Rio Parnaíba, 30 - Providência, Belo Horizonte - MG, 31814-140</t>
  </si>
  <si>
    <t>Providência</t>
  </si>
  <si>
    <t>Rua Rio Parnaíba</t>
  </si>
  <si>
    <t xml:space="preserve"> 31814-140</t>
  </si>
  <si>
    <t>Escola Municipal de Educação Infantil  Silva Lobo</t>
  </si>
  <si>
    <t>Av. Silva Lobo, 2220 - Nova Granada, Belo Horizonte - MG, 30431-262</t>
  </si>
  <si>
    <t>Avenida Silva Lobo</t>
  </si>
  <si>
    <t>30431-262</t>
  </si>
  <si>
    <t>Escola Municipal de Educação Infantil  Solar Rubi</t>
  </si>
  <si>
    <t>Av. Warlei Aparecido Martins, 730 - Solar do Barreiro, Belo Horizonte - MG, 30628-615</t>
  </si>
  <si>
    <t>Avenida Warlei Aparecido Martins</t>
  </si>
  <si>
    <t>30628-615</t>
  </si>
  <si>
    <t>Escola Municipal de Educação Infantil  Taquaril</t>
  </si>
  <si>
    <t>R. Des. Bráulio, 3550 - Taquaril, Belo Horizonte - MG, 30290-020</t>
  </si>
  <si>
    <t>Escola Municipal de Educação Infantil  VENDA NOVA</t>
  </si>
  <si>
    <t>Rua Dr. Álvaro Camargos, 14 - Venda Nova, Belo Horizonte - MG, 31515-142</t>
  </si>
  <si>
    <t>Rua Doutor Álvaro Camargos</t>
  </si>
  <si>
    <t>31515-142</t>
  </si>
  <si>
    <t>Escola Municipal de Educação Infantil  Vila Leonina</t>
  </si>
  <si>
    <t>R. Dezenove de Dezembro, 331 - Leonina, Belo Horizonte - MG, 30451-630</t>
  </si>
  <si>
    <t>Leonina</t>
  </si>
  <si>
    <t>Rua Dezenove de Dezembro</t>
  </si>
  <si>
    <t>30451-630</t>
  </si>
  <si>
    <t>Escola Municipal de Educação Infantil Christovam Colombo dos Santos</t>
  </si>
  <si>
    <t>R. Ver. Nelson Cunha, 90 - Estoril, Belo Horizonte - MG, 30455-070</t>
  </si>
  <si>
    <t>Estoril</t>
  </si>
  <si>
    <t>Rua Vereador Nelson Cunha</t>
  </si>
  <si>
    <t>30455-070</t>
  </si>
  <si>
    <t>Escola Municipal de Ensino Especial Frei Leopoldo</t>
  </si>
  <si>
    <t>2023_IRLAN_MELO_798_01; 2023_PROFESSORA_MARLI_882_01; 2023_WALTER_TOSTA_325_01</t>
  </si>
  <si>
    <t>Rua Clóvis Cyrilo Limonge, 141 - Havaí, Belo Horizonte - MG, 30555-030</t>
  </si>
  <si>
    <t>Havai</t>
  </si>
  <si>
    <t>Rua Clóvis Cyrilo Limonge</t>
  </si>
  <si>
    <t>30555-030</t>
  </si>
  <si>
    <t>Escola Municipal Deputado Milton Salles</t>
  </si>
  <si>
    <t>R. Teófilo Filho, 222 - Estoril, Belo Horizonte - MG, 30494-005</t>
  </si>
  <si>
    <t>Rua Teófilo Filho</t>
  </si>
  <si>
    <t>30494-005</t>
  </si>
  <si>
    <t>Escola Municipal Edith Pimenta da Veiga</t>
  </si>
  <si>
    <t>Alameda Vargem Grande, 38 Vila - Castanheira, Belo Horizonte - MG, 30668-150</t>
  </si>
  <si>
    <t>Alameda Vargem Grande</t>
  </si>
  <si>
    <t>30668-150</t>
  </si>
  <si>
    <t>Escola Municipal Elisa Buzelin</t>
  </si>
  <si>
    <t>Rua Jair Afonso Inácio, 277 - Piratininga, Belo Horizonte - MG, 31570-430</t>
  </si>
  <si>
    <t>Piratininga</t>
  </si>
  <si>
    <t>Rua Jair Afonso Inácio</t>
  </si>
  <si>
    <t>31570-430</t>
  </si>
  <si>
    <t>Escola Municipal Henriqueta Lisboa</t>
  </si>
  <si>
    <t>Rua Georgina de Pádua, 207 - Fernão Dias, Belo Horizonte - MG, 31920-360</t>
  </si>
  <si>
    <t>Rua Georgina de Pádua</t>
  </si>
  <si>
    <t>31920-360</t>
  </si>
  <si>
    <t>Escola Municipal Hugo Werneck</t>
  </si>
  <si>
    <t>R. Oscar Trompowsky, 1372 - São Jorge, Belo Horizonte - MG, 30440-000</t>
  </si>
  <si>
    <t>Sao Jorge</t>
  </si>
  <si>
    <t>Rua Oscar Trompowsky</t>
  </si>
  <si>
    <t>30440-000</t>
  </si>
  <si>
    <t>Escola Municipal Luiz Gonzaga Júnior</t>
  </si>
  <si>
    <t>R. Maria Pereira Damasceno, 65 - Vale do Jatoba, Belo Horizonte - MG, 30668-430</t>
  </si>
  <si>
    <t>Rua Maria Pereira Damasceno</t>
  </si>
  <si>
    <t>30668-430</t>
  </si>
  <si>
    <t>Escola Municipal Minervina Augusta</t>
  </si>
  <si>
    <t>Rua David Canabarro, 18 - Campo Alegre, Belo Horizonte - MG, 31730-200</t>
  </si>
  <si>
    <t>Campo Alegre</t>
  </si>
  <si>
    <t>Rua David Canabarro</t>
  </si>
  <si>
    <t>31730-200</t>
  </si>
  <si>
    <t>Escola Municipal Oswaldo Cruz</t>
  </si>
  <si>
    <t>R. Santos, 2200 - Jardim America, Belo Horizonte - MG, 30421-490</t>
  </si>
  <si>
    <t>Rua Santos</t>
  </si>
  <si>
    <t>30421-490</t>
  </si>
  <si>
    <t>Escola Municipal Oswaldo Pieruccetti</t>
  </si>
  <si>
    <t>R. Regida, 309 - Conj. Jardim Filadélfia, Belo Horizonte - MG, 30860-320</t>
  </si>
  <si>
    <t>Conjunto Jardim Filadelfia</t>
  </si>
  <si>
    <t>Rua Regida</t>
  </si>
  <si>
    <t>Escola Municipal Professor Daniel Alvarenga</t>
  </si>
  <si>
    <t>Rua Coquilho, 155 - Vila Zilah Sposito, Belo Horizonte - MG, 31748-495</t>
  </si>
  <si>
    <t>Vila Zilah Sposito</t>
  </si>
  <si>
    <t>N1</t>
  </si>
  <si>
    <t>Rua Coquilho</t>
  </si>
  <si>
    <t>31748-495</t>
  </si>
  <si>
    <t>Escola Municipal Professor Domiciano Vieira</t>
  </si>
  <si>
    <t>2023_WILSINHO_DA_TABU_716_01; 2023_WILSINHO_DA_TABU_717_01</t>
  </si>
  <si>
    <t>R. São Bento, 1591 - Horto, Belo Horizonte - MG, 31035-060</t>
  </si>
  <si>
    <t>Rua São Bento</t>
  </si>
  <si>
    <t>31035-060</t>
  </si>
  <si>
    <t>Escola Municipal Professor Emídio Beruto</t>
  </si>
  <si>
    <t>2023_WILSINHO_DA_TABU_718_01; 2023_WILSINHO_DA_TABU_719_01</t>
  </si>
  <si>
    <t>R. Conceição do Pará, 1726 - Santa Ines, Belo Horizonte - MG, 31080-020</t>
  </si>
  <si>
    <t>Rua Conceição do Pará</t>
  </si>
  <si>
    <t>31080-020</t>
  </si>
  <si>
    <t>Escola Municipal Professor Moacyr de Andrade</t>
  </si>
  <si>
    <t>Rua dos Caçadores, 93 - Vila Santa Branca (Venda Nova), Belo Horizonte - MG, 31575-320</t>
  </si>
  <si>
    <t>Lagoa</t>
  </si>
  <si>
    <t>Rua dos Caçadores</t>
  </si>
  <si>
    <t>31575-320</t>
  </si>
  <si>
    <t>Escola Municipal Professora Maria Modesta Cravo</t>
  </si>
  <si>
    <t>2023_CIRO_PEREIRA_1035_01; 2023_WILSINHO_DA_TABU_720_01; 2023_WILSINHO_DA_TABU_721_01</t>
  </si>
  <si>
    <t>Av. Doutor Júlio Otaviano Ferreira, 1085 - Cidade Nova, Belo Horizonte - MG, 31170-200</t>
  </si>
  <si>
    <t>Cidade Nova</t>
  </si>
  <si>
    <t>Avenida Doutor Júlio Otaviano Ferreira</t>
  </si>
  <si>
    <t>31170-200</t>
  </si>
  <si>
    <t>Escola Municipal Rui da Costa Val</t>
  </si>
  <si>
    <t>Rua Célia Trindade Silva</t>
  </si>
  <si>
    <t>Av. Mem de Sá, 600 - Santa Efigênia, Belo Horizonte - MG, 30260-270</t>
  </si>
  <si>
    <t>Escola Municipal Sebastião Guilherme</t>
  </si>
  <si>
    <t>R. Calendula, 10 - Olaria, Belo Horizonte - MG, 30660-440</t>
  </si>
  <si>
    <t>Rua Calendula</t>
  </si>
  <si>
    <t>30660-440</t>
  </si>
  <si>
    <t>Escola Municipal Secretário Humberto Almeida</t>
  </si>
  <si>
    <t>R. Areia Branca, 3 - Ribeiro de Abreu, Belo Horizonte - MG, 31872-400</t>
  </si>
  <si>
    <t>Ribeiro de Abreu</t>
  </si>
  <si>
    <t>Rua Areia Branca</t>
  </si>
  <si>
    <t>31872-400</t>
  </si>
  <si>
    <t>Estúdio De Música Centro de Referencia da Juventude (CRJ)</t>
  </si>
  <si>
    <t>2023_PEDRO_PATRUS_783_01; 2023_IZA_LOURENCA_625_01</t>
  </si>
  <si>
    <t>Rua Guaicurus, 50 - Centro</t>
  </si>
  <si>
    <t>Rua Guaicurus</t>
  </si>
  <si>
    <t>30111-060</t>
  </si>
  <si>
    <t>GEDAM GRUPO DE EDUCAÇãO DESENVOLVIMENTO E APOIO AO MENOR</t>
  </si>
  <si>
    <t>Rua Alameda do Grotão, nº 07 - Nova Barroca</t>
  </si>
  <si>
    <t>Nova Barroca</t>
  </si>
  <si>
    <t>Rua Alameda do Grotão</t>
  </si>
  <si>
    <t>30555-270</t>
  </si>
  <si>
    <t>Grupamento de Operações com cães da Guarda Civil de BH (Parque Gilherme Lage)</t>
  </si>
  <si>
    <t>Rua Angola</t>
  </si>
  <si>
    <t>31910-060</t>
  </si>
  <si>
    <t>Hemocentro de Belo Horizonte - Fundação Hemominas</t>
  </si>
  <si>
    <t>Alameda Ezequiel Dias, 321 - Santa Efigênia, Belo Horizonte - MG, 30130-110</t>
  </si>
  <si>
    <t>Alameda Ezequiel Dias</t>
  </si>
  <si>
    <t>30130-110</t>
  </si>
  <si>
    <t>2023_JUNINHO_LOS_HERMANOS_424_01; 2023_WILSINHO_DA_TABU_730_01</t>
  </si>
  <si>
    <t>R. Camilo de Brito, 636 - Padre Eustáquio, Belo Horizonte - MG, 30730-540</t>
  </si>
  <si>
    <t>Rua Camilo de Brito</t>
  </si>
  <si>
    <t>30730-540</t>
  </si>
  <si>
    <t>2023_BRAULIO_LARA_376_01; 2023_CLAUDIO_DO_MUNDO_NOVO_350_01; 2023_FERNANDA_PEREIRA_ALTOE_338_01; 2023_HELINHO_DA_FARMACIA_592_01; 2023_HENRIQUE_BRAGA_943_01; 2023_JORGE_SANTOS_441_01; 2023_JOSE_FERREIRA_873_01; 2023_LEO_1013_01; 2023_MACAE_EVARISTO_536_01; 2023_MARCELA_TROPIA_747_01; 2023_MARCOS_CRISPIM_492_01; 2023_MILTINHO_CGE_672_01; 2023_NELY_AQUINO_281_01; 2023_PROFESSORA_MARLI_885_01; 2023_REINALDO_GOMES_PRETO_SACOLAO_969_01; 2023_RUBAO_1001_01; 2023_WESLEY_473_01; 2023_WILSINHO_DA_TABU_702_01</t>
  </si>
  <si>
    <t>Saudade</t>
  </si>
  <si>
    <t>Rua Juramento</t>
  </si>
  <si>
    <t>30285-408</t>
  </si>
  <si>
    <t>Hospital Eduardo de Menezes, Ambulatório Anyky Lima</t>
  </si>
  <si>
    <t>2023_BELLA_GONCALVES_580_01; 2023_DUDA_SALABERT_563_01</t>
  </si>
  <si>
    <t>Rua Dr. Cristiano Rezende</t>
  </si>
  <si>
    <t>30622-020</t>
  </si>
  <si>
    <t>Hospital Eduardo Menezes (CNES 2181770)</t>
  </si>
  <si>
    <t>2023_NELY_AQUINO_351_01; 2023_PROFESSOR_JULIANO_LOPES_992_01</t>
  </si>
  <si>
    <t>2023_BRAULIO_LARA_382_01; 2023_CIRO_PEREIRA_1023_01; 2023_CLAUDIO_DO_MUNDO_NOVO_348_01; 2023_FERNANDA_PEREIRA_ALTOE_404_01; 2023_FLAVIA_BORJA_201_01; 2023_HELINHO_DA_FARMACIA_590_01; 2023_HENRIQUE_BRAGA_944_01; 2023_IRLAN_MELO_805_01; 2023_JORGE_SANTOS_438_01; 2023_MACAE_EVARISTO_539_01; 2023_MARCOS_CRISPIM_490_01; 2023_MARILDA_PORTELA_512_01; 2023_MILTINHO_CGE_670_01; 2023_PROFESSOR_JULIANO_LOPES_986_01; 2023_PROFESSORA_MARLI_1087_01; 2023_RUBAO_1003_01; 2023_WILSINHO_DA_TABU_703_01</t>
  </si>
  <si>
    <t>R. Doutor Alípio Goulart, 25 - Serra, Belo Horizonte - MG, 30220-330</t>
  </si>
  <si>
    <t>Rua Doutor Alípio Goulart</t>
  </si>
  <si>
    <t>30220-330</t>
  </si>
  <si>
    <t>2023_FERNANDO_LUIZ_197_01; 2023_GILSON_GUIMARAES_646_01; 2023_MILTINHO_CGE_674_01; 2023_NELY_AQUINO_278_01; 2023_PROFESSORA_MARLI_848_01</t>
  </si>
  <si>
    <t>Alameda Ezequiel Dias, 345 - Centro, Belo Horizonte - MG, 30130-110</t>
  </si>
  <si>
    <t>Rua Alameda Ezequiel Dias</t>
  </si>
  <si>
    <t>2023_CLEITON_XAVIER_1068_01; 2023_CLAUDIO_DO_MUNDO_NOVO_456_01; 2023_FERNANDO_LUIZ_199_01; 2023_GILSON_GUIMARAES_639_01; 2023_JORGE_SANTOS_447_01; 2023_NELY_AQUINO_282_01</t>
  </si>
  <si>
    <t>Av. Prof. Alfredo Balena, 400 - Centro, Belo Horizonte - MG, 30130-100</t>
  </si>
  <si>
    <t>Avenida Professor Alfredo Balena</t>
  </si>
  <si>
    <t xml:space="preserve"> 30130-100</t>
  </si>
  <si>
    <t>2023_CLAUDIO_DO_MUNDO_NOVO_451_01; 2023_FERNANDA_PEREIRA_ALTOE_341_01; 2023_JORGE_SANTOS_448_01; 2023_PROFESSOR_JULIANO_LOPES_991_01</t>
  </si>
  <si>
    <t>Milionarios</t>
  </si>
  <si>
    <t>Rua Doutor Cristiano Resende</t>
  </si>
  <si>
    <t>30610-720</t>
  </si>
  <si>
    <t>2023_BRAULIO_LARA_379_01; 2023_CIRO_PEREIRA_1041_01; 2023_CLAUDIO_DO_MUNDO_NOVO_344_01; 2023_FERNANDA_PEREIRA_ALTOE_337_01; 2023_JORGE_SANTOS_439_01; 2023_MARCELA_TROPIA_751_01; 2023_NIKOLAS_FERREIRA_898_01; 2023_REINALDO_GOMES_PRETO_SACOLAO_971_01; 2023_RUBAO_1002_01; 2023_WESLEY_476_01; 2023_WILSINHO_DA_TABU_704_01</t>
  </si>
  <si>
    <t>Avenida Raja Gabáglia, 1002  - Gutierrez, Belo Horizonte - MG, 30441-070</t>
  </si>
  <si>
    <t>Gutierrez</t>
  </si>
  <si>
    <t>Avenida Raja Gabáglia</t>
  </si>
  <si>
    <t xml:space="preserve"> 30441-070</t>
  </si>
  <si>
    <t>Hospital Mario Penna</t>
  </si>
  <si>
    <t>2023_BRAULIO_LARA_371_01; 2023_BRUNO_MIRANDA_623_01; 2023_CIRO_PEREIRA_1022_01; 2023_CLAUDIO_DO_MUNDO_NOVO_401_01; 2023_FERNANDA_PEREIRA_ALTOE_336_01; 2023_JORGE_SANTOS_437_01; 2023_MACAE_EVARISTO_534_01; 2023_MARILDA_PORTELA_513_01; 2023_MILTINHO_CGE_671_01; 2023_NELY_AQUINO_280_01; 2023_PROFESSORA_MARLI_845_01; 2023_RUBAO_1000_01; 2023_WILSINHO_DA_TABU_705_01</t>
  </si>
  <si>
    <t>R. Joaquim Cândido Filho, 91 - Luxemburgo, Belo Horizonte - MG, 30380-420</t>
  </si>
  <si>
    <t>Luxemburgo</t>
  </si>
  <si>
    <t>CS4</t>
  </si>
  <si>
    <t>Rua Joaquim Cândido Filho</t>
  </si>
  <si>
    <t>30380-420</t>
  </si>
  <si>
    <t>Hospital Metrepolitano Doutor Célio de Castro</t>
  </si>
  <si>
    <t>2023_BRAULIO_LARA_377_01; 2023_HENRIQUE_BRAGA_939_01; 2023_IRLAN_MELO_808_01; 2023_MACAE_EVARISTO_537_01; 2023_WANDERLEY_PORTO_173_01</t>
  </si>
  <si>
    <t>Rua Dona Luiza, 311 - Milionários, Belo Horizonte - MG, 30620-090</t>
  </si>
  <si>
    <t>Milionários</t>
  </si>
  <si>
    <t>Rua Dona Luiza</t>
  </si>
  <si>
    <t>30620-090</t>
  </si>
  <si>
    <t>2023_BIM_DA_AMBULANCIA_825_01; 2023_CLEITON_XAVIER_1067_01; 2023_CLAUDIO_DO_MUNDO_NOVO_452_01; 2023_DUDA_SALABERT_568_01; 2023_DUDA_SALABERT_570_01; 2023_DUDA_SALABERT_572_01; 2023_FERNANDA_PEREIRA_ALTOE_339_01; 2023_FERNANDO_LUIZ_198_01; 2023_FLAVIA_BORJA_211_01; 2023_HENRIQUE_BRAGA_938_01; 2023_JORGE_SANTOS_449_01; 2023_JOSE_FERREIRA_878_01; 2023_JUNINHO_LOS_HERMANOS_426_01; 2023_MACAE_EVARISTO_577_01; 2023_NELY_AQUINO_276_01; 2023_NIKOLAS_FERREIRA_924_01; 2023_PEDRO_PATRUS_779_01; 2023_PROFESSOR_CLAUDINEY_DULIM_895_01; 2023_ALVARO_DAMIAO_1060_01</t>
  </si>
  <si>
    <t>Rua Formiga, 50 - São Cristóvão, Belo Horizonte - MG, 31110-430</t>
  </si>
  <si>
    <t>Rua Formiga</t>
  </si>
  <si>
    <t>31110-430</t>
  </si>
  <si>
    <t>2023_IRLAN_MELO_806_01; 2023_JORGE_SANTOS_442_01; 2023_MARCELA_TROPIA_746_01; 2023_MARILDA_PORTELA_514_01; 2023_WESLEY_475_01; 2023_WILSINHO_DA_TABU_706_01</t>
  </si>
  <si>
    <t>R. Estoril, 207 - São Francisco, Belo Horizonte - MG, 31255-190</t>
  </si>
  <si>
    <t>Sao Francisco</t>
  </si>
  <si>
    <t>Rua Estoril</t>
  </si>
  <si>
    <t>31255-190</t>
  </si>
  <si>
    <t>2023_CLAUDIO_DO_MUNDO_NOVO_349_01; 2023_IZA_LOURENCA_634_01; 2023_MACAE_EVARISTO_538_01; 2023_WESLEY_474_01</t>
  </si>
  <si>
    <t>Rua das Gabirobas, 1 - Vila Cloris, Belo Horizonte - MG, 31744-012</t>
  </si>
  <si>
    <t>Vila Cloris</t>
  </si>
  <si>
    <t>Rua das Gabirobas</t>
  </si>
  <si>
    <t>31744-012</t>
  </si>
  <si>
    <t>2023_BRAULIO_LARA_380_01; 2023_CLAUDIO_DO_MUNDO_NOVO_343_01; 2023_FERNANDA_PEREIRA_ALTOE_334_01; 2023_GABRIEL_332_01; 2023_HELINHO_DA_FARMACIA_591_01; 2023_HENRIQUE_BRAGA_940_01; 2023_IRLAN_MELO_804_01; 2023_JORGE_SANTOS_436_01; 2023_LEO_1015_01; 2023_MACAE_EVARISTO_540_01; 2023_MILTINHO_CGE_673_01; 2023_NELY_AQUINO_279_01; 2023_NIKOLAS_FERREIRA_897_01; 2023_PROFESSORA_MARLI_884_01; 2023_REINALDO_GOMES_PRETO_SACOLAO_970_01; 2023_RUBAO_1004_01; 2023_WESLEY_477_01; 2023_WILSINHO_DA_TABU_735_01</t>
  </si>
  <si>
    <t>Avenida Francisco Sales</t>
  </si>
  <si>
    <t>30150-223</t>
  </si>
  <si>
    <t>2023_BRAULIO_LARA_378_01; 2023_BRUNO_MIRANDA_633_01; 2023_DUDA_SALABERT_561_01; 2023_HENRIQUE_BRAGA_941_01; 2023_IRLAN_MELO_807_01; 2023_IZA_LOURENCA_637_01; 2023_JORGE_SANTOS_440_01; 2023_MACAE_EVARISTO_535_01; 2023_MARCELA_TROPIA_748_01; 2023_PEDRO_PATRUS_778_01; 2023_PROFESSORA_MARLI_846_01; 2023_WILSINHO_DA_TABU_709_01</t>
  </si>
  <si>
    <t>Tupi</t>
  </si>
  <si>
    <t>Rua Antônio Bandeira</t>
  </si>
  <si>
    <t>31844-130</t>
  </si>
  <si>
    <t>R. dos Aimorés, 2896 - Santo Agostinho, Belo Horizonte - MG, 30140-073</t>
  </si>
  <si>
    <t>Santo Agostinho</t>
  </si>
  <si>
    <t>Rua dos Aimorés</t>
  </si>
  <si>
    <t>30140-073</t>
  </si>
  <si>
    <t>Instituto Pedra Viva</t>
  </si>
  <si>
    <t>2023_RUBAO_1078_01; 2023_PROFESSOR_JULIANO_LOPES_983_01</t>
  </si>
  <si>
    <t>Av. do Contorno, 3017 - Santa Efigênia, Belo Horizonte - MG, 30110-017</t>
  </si>
  <si>
    <t>Avenida do Contorno</t>
  </si>
  <si>
    <t>30110-017</t>
  </si>
  <si>
    <t>Laboratório Municipal de Análises Clínicas e Citopatológicas</t>
  </si>
  <si>
    <t>Lar dos Meninos Dom Orione</t>
  </si>
  <si>
    <t>Av. Dom Orione, 187 - Pampulha, Belo Horizonte - MG, 31310-020</t>
  </si>
  <si>
    <t>Avenida Dom Orione</t>
  </si>
  <si>
    <t>31310-020</t>
  </si>
  <si>
    <t>2023_CLAUDIO_DO_MUNDO_NOVO_453_01; 2023_FERNANDA_PEREIRA_ALTOE_340_01; 2023_GILSON_GUIMARAES_647_01; 2023_JORGE_SANTOS_450_01; 2023_MARCELA_TROPIA_750_01; 2023_NELY_AQUINO_283_01</t>
  </si>
  <si>
    <t>Prado</t>
  </si>
  <si>
    <t xml:space="preserve">OESTE </t>
  </si>
  <si>
    <t>30110-064</t>
  </si>
  <si>
    <t>Mirante do Campinho</t>
  </si>
  <si>
    <t>2023_GILSON_GUIMARAES_630_01; 2023_GILSON_GUIMARAES_631_01</t>
  </si>
  <si>
    <t>Marcola</t>
  </si>
  <si>
    <t>Rua Mangabeira da Serra</t>
  </si>
  <si>
    <t>30220-265</t>
  </si>
  <si>
    <t>Núcleo Assistencial Caminhos para Jesus</t>
  </si>
  <si>
    <t>Floramar</t>
  </si>
  <si>
    <t>Rua José Ferreira Magalhães</t>
  </si>
  <si>
    <t>31742-093</t>
  </si>
  <si>
    <t>Núcleo de Trabalho e Integração Social - NUTRIS</t>
  </si>
  <si>
    <t>Rua Mirante</t>
  </si>
  <si>
    <t>31070-390</t>
  </si>
  <si>
    <t>Av. Prof. Alfredo Balena, 189 - 5 andar - Centro, Belo Horizonte - MG, 30130-100</t>
  </si>
  <si>
    <t>30130-100</t>
  </si>
  <si>
    <t>Parque Aggeo Pio Sobrinho</t>
  </si>
  <si>
    <t>Av. Professor Mário Werneck, 2691 - Buritis, Belo Horizonte - MG, 30575-180</t>
  </si>
  <si>
    <t>Avenida Professor Mário Werneck</t>
  </si>
  <si>
    <t>30575-180</t>
  </si>
  <si>
    <t>Parque Bandeirante Silva Ortiz</t>
  </si>
  <si>
    <t>R. José Cláudio Rezende, 328 - Estoril, Belo Horizonte - MG, 30494-230</t>
  </si>
  <si>
    <t>Rua José Cláudio Rezende</t>
  </si>
  <si>
    <t>30494-230</t>
  </si>
  <si>
    <t>Parque Conjunto Estrela D'alva</t>
  </si>
  <si>
    <t>Av. Costa do Marfim, 400 - Estrela Dalva, Belo Horizonte - MG, 30575-000</t>
  </si>
  <si>
    <t>Estrela Dalva</t>
  </si>
  <si>
    <t>Avenida Costa do Marfim</t>
  </si>
  <si>
    <t>30575-000</t>
  </si>
  <si>
    <t>Parque Ecológico Roberto Burle Marx (Parque das Águas)</t>
  </si>
  <si>
    <t>Av. Ximango, 809 - Flávio Marques Lisboa, Belo Horizonte - MG, 30624-160</t>
  </si>
  <si>
    <t>Flavio Marques Lisboa</t>
  </si>
  <si>
    <t>Avenida Ximango</t>
  </si>
  <si>
    <t>30624-160</t>
  </si>
  <si>
    <t>Parque Municipal Américo René Gianetti</t>
  </si>
  <si>
    <t>Av. Afonso Pena, 1377 - Centro, Belo Horizonte - MG, 30130-002</t>
  </si>
  <si>
    <t>Avenida Afonso Pena</t>
  </si>
  <si>
    <t>30130-002</t>
  </si>
  <si>
    <t>Av. Pres. Tancredo Neves, 2900 - Paquetá, Belo Horizonte - MG, 31330-910</t>
  </si>
  <si>
    <t>Avenida Pres. Tancredo Neves</t>
  </si>
  <si>
    <t>31330-910</t>
  </si>
  <si>
    <t>2023_FERNANDA_PEREIRA_ALTOE_409_01; 2023_MARCELA_TROPIA_658_01</t>
  </si>
  <si>
    <t>Av. Arthur Bernardes, 85 - Vila Paris, Belo Horizonte - MG, 30380-752</t>
  </si>
  <si>
    <t>Vila Paris</t>
  </si>
  <si>
    <t>Avenida Arthur Bernardes</t>
  </si>
  <si>
    <t>30380-752</t>
  </si>
  <si>
    <t>Parque Municipal Monsenhor Expedito D’Ávila (Parque Municipal Julien Rien)</t>
  </si>
  <si>
    <t>Av. dos Bandeirantes, 911 - Anchieta, Belo Horizonte - MG, 30310-403</t>
  </si>
  <si>
    <t>Anchieta</t>
  </si>
  <si>
    <t>Avenida dos Bandeirantes</t>
  </si>
  <si>
    <t>30310-403</t>
  </si>
  <si>
    <t>Rua Dep. Bernardino Sena Figueiredo, 1.022 - Cidade Nova, Belo Horizonte - MG, 31170-210</t>
  </si>
  <si>
    <t>Rua Deputado Bernardino Sena Figueiredo</t>
  </si>
  <si>
    <t>31170-210</t>
  </si>
  <si>
    <t>2023_CIRO_PEREIRA_1029_01; 2023_FERNANDA_PEREIRA_ALTOE_410_01</t>
  </si>
  <si>
    <t>R. Antônio Peregrino Nascimento, 215 - Palmares, Belo Horizonte - MG, 31155-730</t>
  </si>
  <si>
    <t>Rua Antônio Peregrino Nascimento</t>
  </si>
  <si>
    <t>31155-730</t>
  </si>
  <si>
    <t>Praça Abadia</t>
  </si>
  <si>
    <t>2023_WILSINHO_DA_TABU_740_01; 2023_MILTINHO_CGE_675_01; 2023_MILTINHO_CGE_677_01</t>
  </si>
  <si>
    <t>Esplanada</t>
  </si>
  <si>
    <t>Rua Tulipa com Rua Mariano de Abreu</t>
  </si>
  <si>
    <t>Praça Antônio M de Araújo</t>
  </si>
  <si>
    <t>Praça Antônio M de Araújo, Bairro Palmares</t>
  </si>
  <si>
    <t>31155-630</t>
  </si>
  <si>
    <t>Praça Arcângelo Maleta</t>
  </si>
  <si>
    <t>Praça Arcângelo Maleta - Santa Lúcia, Belo Horizonte - MG, 30360-330</t>
  </si>
  <si>
    <t>Santa Lucia</t>
  </si>
  <si>
    <t>30360-330</t>
  </si>
  <si>
    <t>Praça Aroldo Tenuta, no bairro Buritis</t>
  </si>
  <si>
    <r>
      <t>Avenida Professor Mário Werneck, 2141 - Buritis</t>
    </r>
    <r>
      <rPr>
        <sz val="11"/>
        <color rgb="FF000000"/>
        <rFont val="Calibri"/>
      </rPr>
      <t>.</t>
    </r>
  </si>
  <si>
    <t>Praça Bolívia M. Viana, bairro Fernão dias.</t>
  </si>
  <si>
    <t>Praça Bolívia M. Viana</t>
  </si>
  <si>
    <t>Praça Cívica</t>
  </si>
  <si>
    <t>Praça entre a Avenida Djalma Vieira Cristo, a Rua Domício Gabriel de Vasconcelos e a Rua Ramon Thomé, bairro Vale do Jatobá, CEP 30664-220.</t>
  </si>
  <si>
    <t>30664-220</t>
  </si>
  <si>
    <t>Avenida dos Andradas</t>
  </si>
  <si>
    <t>30120-010</t>
  </si>
  <si>
    <t>Praça da Paz Celestial</t>
  </si>
  <si>
    <t>Sion</t>
  </si>
  <si>
    <t>Praça Deputado Renato Azeredo</t>
  </si>
  <si>
    <t>30315-420</t>
  </si>
  <si>
    <t>Praça do Comércio,Vale do Jatobá</t>
  </si>
  <si>
    <t>Praça do Comércio, localizada entre as Ruas Gênesis, Luiz João de Oliveira e Luiz Leite de Faria, no Vale do Jatobá</t>
  </si>
  <si>
    <t>Praça do Comércio</t>
  </si>
  <si>
    <t>30664-120</t>
  </si>
  <si>
    <t>Praça Dom Bosco</t>
  </si>
  <si>
    <t>30180-050</t>
  </si>
  <si>
    <t>Praça Enio de Souza, bairro Vera Cruz</t>
  </si>
  <si>
    <t>Vera Cruz</t>
  </si>
  <si>
    <t>Praça Enio de Souza</t>
  </si>
  <si>
    <t>30285-128</t>
  </si>
  <si>
    <t>Praça entre a Avenida Djalma Vieira Cristo, a Rua Francisco Poletto e a Rua Luiz João de Oliveira, bairro Vale do Jatobá</t>
  </si>
  <si>
    <t>Praça entre a Avenida Djalma Vieira Cristo, a Rua Tenente-Coronel João de Assis e a Rua Maria Domingas da Rocha, bairro Vale do Jatobá</t>
  </si>
  <si>
    <t>Praça entre a Avenida Djalma Vieira Cristo, a Rua Tenente-Coronel João de Assis e a Rua Maria Domingas da Rocha</t>
  </si>
  <si>
    <t>Praça entre as ruas Gênesis, Luiz João de Oliveira e Luiz Leite de Faria, Vale do Jatobá</t>
  </si>
  <si>
    <t>Praça entre as ruas Gênesis, Luiz João de Oliveira e Luiz Leite de Faria</t>
  </si>
  <si>
    <t>Praça Giordano Bruno</t>
  </si>
  <si>
    <t>Rua Nelson Lemos de Carvalho, Palmares, 31160-600</t>
  </si>
  <si>
    <t>Rua Nelson Lemos de Carvalho</t>
  </si>
  <si>
    <t>31160-600</t>
  </si>
  <si>
    <t>Praça Guará</t>
  </si>
  <si>
    <t>Rua Gustavo da Silveira</t>
  </si>
  <si>
    <t>Praça João Felisberto, no bairro Campo Alegre</t>
  </si>
  <si>
    <t>Praça João Felisberto</t>
  </si>
  <si>
    <t>31730-320</t>
  </si>
  <si>
    <t>Praça José Jeremias</t>
  </si>
  <si>
    <t>Praça José Sobrinho</t>
  </si>
  <si>
    <t>Rua Matilde Augusta de Jesus, com Rua Luiz Zito Ferreira, bairro Olaria</t>
  </si>
  <si>
    <t>Rua Matildes Augusta de Jesus</t>
  </si>
  <si>
    <t>Praça José Sobrinho Barros</t>
  </si>
  <si>
    <t>Rua Jornalista Djalma Azevedo, 224, Diamante, CEP: 30.660-230.</t>
  </si>
  <si>
    <t>Diamante</t>
  </si>
  <si>
    <t>Rua Jornalista Djalma Azevedo</t>
  </si>
  <si>
    <t>30660-230</t>
  </si>
  <si>
    <t>Praça localizada na interseção da Rua Sete de Setembro com a Avenida A, bairro Maria Teresa</t>
  </si>
  <si>
    <t>Maria Teresa</t>
  </si>
  <si>
    <t>Rua Sete de Setembro com a Avenida A, bairro Maria Teresa</t>
  </si>
  <si>
    <t>Praça Maldonado na Rua Francisco Duarte Mendonça, próximo ao nº 2010 - Bairro Teixeira Dias</t>
  </si>
  <si>
    <t>Teixeira Dias</t>
  </si>
  <si>
    <t>Praça Maldonado Rua Francisco Duarte Mendonça</t>
  </si>
  <si>
    <t>Praça Manoel de Souza Barros, Bairro Castelo</t>
  </si>
  <si>
    <t>Praça Manoel de Souza Barros - Castelo</t>
  </si>
  <si>
    <t>Castelo</t>
  </si>
  <si>
    <t>Praça Manoel de Souza Barros</t>
  </si>
  <si>
    <t>Praça Miguel Cândido da Rocha</t>
  </si>
  <si>
    <t>Praça Miguel Cândido da Rocha, entre as Ruas Marcelo Bernuci e Florinda Rosalina, bairro Atila de Paiva</t>
  </si>
  <si>
    <t>Atila de Paiva</t>
  </si>
  <si>
    <t>Praça Minerva, localizada na Rua Maripora, no bairro Jatobá</t>
  </si>
  <si>
    <t xml:space="preserve">Praça Minerva </t>
  </si>
  <si>
    <t>Praça Orlando Silva</t>
  </si>
  <si>
    <t>Praça Orlando Silva - Dom Bosco, Belo Horizonte - MG, 30535-016</t>
  </si>
  <si>
    <t>Praça Orlando silva</t>
  </si>
  <si>
    <t>30535-016</t>
  </si>
  <si>
    <t>Praça Pero Vaz de Caminha</t>
  </si>
  <si>
    <t>Praça Pero Vaz de Caminha, bairro Taquaril</t>
  </si>
  <si>
    <t>30290-080</t>
  </si>
  <si>
    <t xml:space="preserve">Praça Rua Pouso Alegre Horto </t>
  </si>
  <si>
    <t>Praça localizada entre as ruas Pouso Alegre e Avenida Silviano Brandão, Bairro Horto, próximo ao número 2861 - rua Pouso Alegre.</t>
  </si>
  <si>
    <t>Praça Sagrado Coração de Maria</t>
  </si>
  <si>
    <t>Praça Avenida Djalma Vieira Cristo com a Rua Maria Lopes da Silva, bairro Vale do Jatobá, CEP 30666-250.</t>
  </si>
  <si>
    <t>30666-250</t>
  </si>
  <si>
    <t>2023_MILTINHO_CGE_676_01; 2023_MILTINHO_CGE_678_01</t>
  </si>
  <si>
    <t>Dona Clara</t>
  </si>
  <si>
    <t>Praça Santa Catarina Labouré</t>
  </si>
  <si>
    <t>2023_MARCELA_TROPIA_695_01; 2023_MARCELA_TROPIA_697_01</t>
  </si>
  <si>
    <t>Aeroporto</t>
  </si>
  <si>
    <t>Praça Santo Antônio</t>
  </si>
  <si>
    <t>31270-860</t>
  </si>
  <si>
    <t>Praça São Caetano do Sul, Piratininga</t>
  </si>
  <si>
    <t>2023_FLAVIA_BORJA_209_01; 2023_BIM_DA_AMBULANCIA_759_01</t>
  </si>
  <si>
    <t>Praça São Caetano do Sul</t>
  </si>
  <si>
    <t>Praça São Gabriel</t>
  </si>
  <si>
    <t>Sao Gabriel</t>
  </si>
  <si>
    <t>Rua Lajedo</t>
  </si>
  <si>
    <t>31985-010</t>
  </si>
  <si>
    <t>PRAÇA SARGENTO MOREIRA NEVES, Piratininga</t>
  </si>
  <si>
    <t>R. Caraguatatuba, 208 - Piratininga, Belo Horizonte - MG, 31573-420</t>
  </si>
  <si>
    <t>Rua Caraguatatuba</t>
  </si>
  <si>
    <t xml:space="preserve"> 31573-420</t>
  </si>
  <si>
    <t>Praça Três</t>
  </si>
  <si>
    <t>Rua Henry Corrêa de Araújo, esquina com a Rua Francisco Ferreira García e Rua José Gonçalves de Alkimim, todas no bairro Vale do Jatobá (CEP: 30.664-100).</t>
  </si>
  <si>
    <t>30664-100</t>
  </si>
  <si>
    <t>Projeto Samuel</t>
  </si>
  <si>
    <t>Jardim Atlantico</t>
  </si>
  <si>
    <t>Rua Doutor Natalino Triginelli</t>
  </si>
  <si>
    <t>31710-420</t>
  </si>
  <si>
    <t>PROVIDENS AÇãO SOCIAL ARQUIDIOCESANA</t>
  </si>
  <si>
    <t>Rua Além Paraíba</t>
  </si>
  <si>
    <t>31210-120</t>
  </si>
  <si>
    <t>Quadra Poliesportiva do Conjunto Esperança</t>
  </si>
  <si>
    <t>Rua Atlanta, 49, Conjunto Esperança, Regional Barreiro, Belo Horizonte/MG — CEP 30624-500.</t>
  </si>
  <si>
    <t>Esperanca</t>
  </si>
  <si>
    <t>Rua Atlanta</t>
  </si>
  <si>
    <t>30624-500</t>
  </si>
  <si>
    <t>Quadra Rua Cinabrio</t>
  </si>
  <si>
    <t>Rua Cinábrio</t>
  </si>
  <si>
    <t>31210-360</t>
  </si>
  <si>
    <t>Quadra Rua Dr. João Carvalhais de Paiva</t>
  </si>
  <si>
    <t>R. Dr. João Carvalhais de Paiva, 185 - São Cristóvão, Belo Horizonte - MG, 31210-730</t>
  </si>
  <si>
    <t>Rua Doutor João Carvalhais de Paiva</t>
  </si>
  <si>
    <t>31210-730</t>
  </si>
  <si>
    <t>Quadra Rua José Cláudio Sanches, 660 - Califórnia II, CEP: 30.855-445</t>
  </si>
  <si>
    <t xml:space="preserve">CONJUNTO CALIFÓRNIA II </t>
  </si>
  <si>
    <t>Rua José Cláudio Sanches</t>
  </si>
  <si>
    <t>30855-445</t>
  </si>
  <si>
    <t>Quadra Serra Verde</t>
  </si>
  <si>
    <t>Rua Coronel Manuel Assunção, s/n - Serra Verde, Belo Horizonte - MG</t>
  </si>
  <si>
    <t>Rua Coronel Manuel Assunção</t>
  </si>
  <si>
    <t>31615-200</t>
  </si>
  <si>
    <t>Quadras da Vila Leonina</t>
  </si>
  <si>
    <t>Praça do Ensino, Rua Onze de Abril, Estoril</t>
  </si>
  <si>
    <t>Rua Onze de Abril</t>
  </si>
  <si>
    <t xml:space="preserve">Rua Aladim Correa de Faria (CEP 30.644.210), próximo ao nº 796, bairro Diamante  </t>
  </si>
  <si>
    <t>Rua Aladim Correa de Faria</t>
  </si>
  <si>
    <t>30644-210</t>
  </si>
  <si>
    <t xml:space="preserve">Rua Alcindo Gonçalves Cotta, nº 146 - Conjunto Ademar Maldonado - CEP 30.640.240 </t>
  </si>
  <si>
    <t>Rua Alcindo Gonçalves Cotta, nº 146 - Conjunto Ademar Maldonado, 30640-240</t>
  </si>
  <si>
    <t>Conjunto Ademar Maldonado</t>
  </si>
  <si>
    <t>Rua Alcindo Gonçalves Cotta</t>
  </si>
  <si>
    <t>30640-240</t>
  </si>
  <si>
    <t>Rua Alicedro</t>
  </si>
  <si>
    <t>2023_WANDERLEY_PORTO_163_01; 2023_WANDERLEY_PORTO_168_01</t>
  </si>
  <si>
    <t>Rua Alternador com Rua Fotometro</t>
  </si>
  <si>
    <t>30672-165</t>
  </si>
  <si>
    <t>Rua Benjamin Flores, bairro Santo Antônio</t>
  </si>
  <si>
    <t>Santo Antonio</t>
  </si>
  <si>
    <t>Rua Benjamin Flores</t>
  </si>
  <si>
    <t>Rua Cândido de Figueiredo, Bairro Santa Mônica</t>
  </si>
  <si>
    <t>Rua Cândido de Figueiredo</t>
  </si>
  <si>
    <t xml:space="preserve">Rua Curupaiti Bairro Padre Eustáquio </t>
  </si>
  <si>
    <t>Rua Curupaiti</t>
  </si>
  <si>
    <t>30730-130</t>
  </si>
  <si>
    <t>Rua Desembargador Alarico Barroso, Bairro Ouro Preto</t>
  </si>
  <si>
    <t>Rua Desembargador Alarico Barroso</t>
  </si>
  <si>
    <t>Rua Dom João Antônio dos Santos, Bairro Coração Eucarístico</t>
  </si>
  <si>
    <t xml:space="preserve"> Rua Dom João Antônio dos Santos, Bairro Coração Eucarístico</t>
  </si>
  <si>
    <t>Coracao Eucaristico</t>
  </si>
  <si>
    <t xml:space="preserve"> Rua Dom João Antônio dos Santos</t>
  </si>
  <si>
    <t>Rua Domício Gabriel de Vasconcelos, CEP: 30664-480, bairro Vale do Jatobá</t>
  </si>
  <si>
    <t>30664-480</t>
  </si>
  <si>
    <t>Rua Dos Flocos, bairro Lindéia</t>
  </si>
  <si>
    <t>Lindéia</t>
  </si>
  <si>
    <t xml:space="preserve">BARREIRO </t>
  </si>
  <si>
    <t>Rua Dos Flocos</t>
  </si>
  <si>
    <t xml:space="preserve">Rua Edgard Torres </t>
  </si>
  <si>
    <t>Rua Edgard Torres</t>
  </si>
  <si>
    <t>31610-510</t>
  </si>
  <si>
    <t>Novo Gloria</t>
  </si>
  <si>
    <t>Rua Elias Saliba</t>
  </si>
  <si>
    <t>Rua Emanuel</t>
  </si>
  <si>
    <t xml:space="preserve"> 30930-240</t>
  </si>
  <si>
    <t>Rua Ernani Agrícola com a Rua Ulisses Marcondes Escobar, Buritis</t>
  </si>
  <si>
    <t>Rua Ernani Agrícola com a Rua Walter Guimarães Figueiredo, Buritis</t>
  </si>
  <si>
    <t>Rua Fidélis Martins com Rua Ulisses Marcondes Escobar, Buritis</t>
  </si>
  <si>
    <t>Rua Freixo</t>
  </si>
  <si>
    <t>30660-540</t>
  </si>
  <si>
    <t>Rua Goiás, bairro Centro</t>
  </si>
  <si>
    <t>Rua Goiás</t>
  </si>
  <si>
    <t>Rua Honório Bicalho, bairro Nova Vista</t>
  </si>
  <si>
    <t>Rua Honório Bicalho, bairro Nova Vista, CEP: 31070-030</t>
  </si>
  <si>
    <t>Rua Honório Bicalho</t>
  </si>
  <si>
    <t>31070-030</t>
  </si>
  <si>
    <t>Rua Iguassu, bairro Concórdia</t>
  </si>
  <si>
    <t>Rua Iguassu</t>
  </si>
  <si>
    <t>Rua Ilha Grande, no trecho situado entre a Rua das Garoupas e Rua do Gandu</t>
  </si>
  <si>
    <t>Rua Itabira, bairro Colégio Batista</t>
  </si>
  <si>
    <t>Colegio Batista</t>
  </si>
  <si>
    <t>Rua Itabira</t>
  </si>
  <si>
    <t>Rua Itapeva, bairro Concórdia</t>
  </si>
  <si>
    <t>Rua Itapeva</t>
  </si>
  <si>
    <t>Rua João Neiva, bairro Boa Vista</t>
  </si>
  <si>
    <t>Rua João Neiva</t>
  </si>
  <si>
    <t>31070-380</t>
  </si>
  <si>
    <t>Rua João Veríssimo Carvalho, CEP: 30.670-300, bairro Vila Pinho</t>
  </si>
  <si>
    <t>Rua João Veríssimo Carvalho</t>
  </si>
  <si>
    <t>30670-300</t>
  </si>
  <si>
    <t xml:space="preserve">Rua José Amaury Ferrara </t>
  </si>
  <si>
    <t>Rua José Amaury Ferrara, Buritis</t>
  </si>
  <si>
    <t>Rua José Amaury Ferrara com Rua Engenheiro Aluísio Rocha, Buritis</t>
  </si>
  <si>
    <t>Rua José Rodrigues Pereira</t>
  </si>
  <si>
    <t>Rua José Rodrigues Pereira, Buritis</t>
  </si>
  <si>
    <t>Rua L, CEP: 306664-740, Bairro Conjunto Jatobá</t>
  </si>
  <si>
    <t>Rua L</t>
  </si>
  <si>
    <t>30664-740</t>
  </si>
  <si>
    <t>Rua Lauro Ferreira, Buritis</t>
  </si>
  <si>
    <t>Rua Lauro Fereira</t>
  </si>
  <si>
    <t>Rua Luiz Lopes – bairro Novo Ouro Preto</t>
  </si>
  <si>
    <t>Novo Ouro Preto</t>
  </si>
  <si>
    <t>Rua Luiz Lopes</t>
  </si>
  <si>
    <t>31320-150</t>
  </si>
  <si>
    <t>Rua Marco Aurélio de Miranda com Av. Protássio Oliveira Pena</t>
  </si>
  <si>
    <t xml:space="preserve">Rua Maria Heilbuth Surette com a Rua Moacyr José Bernardes </t>
  </si>
  <si>
    <t>Rua Maria Heilbuth Surette com a Rua Moacyr José Bernardes, Buritis</t>
  </si>
  <si>
    <t>Rua Mário Werneck com Rua Engenheiro Aluísio Rocha</t>
  </si>
  <si>
    <t>Rua Mário Werneck com Rua Engenheiro Aluísio Rocha, Buritis</t>
  </si>
  <si>
    <t>Rua Mirante, bairro Boa Vista.</t>
  </si>
  <si>
    <t xml:space="preserve">Rua Moacyr José Bernardes com a Rua Eduardo Frieiro </t>
  </si>
  <si>
    <t>Rua Nair Telles Dos Santos, CEP: 30.668-100, bairro Castanheira</t>
  </si>
  <si>
    <t>Rua Nair Telles Dos Santos</t>
  </si>
  <si>
    <t>30668-100</t>
  </si>
  <si>
    <t>Rua Oscar Castanheira</t>
  </si>
  <si>
    <t>Rua Padre Argemiro Moreira, Bairro São Gabriel</t>
  </si>
  <si>
    <t>Rua Padre Argemiro Moreira</t>
  </si>
  <si>
    <t>Rua Paulo Alves de Vasconcellos</t>
  </si>
  <si>
    <t>30664-270</t>
  </si>
  <si>
    <t>Rua Paulo Diniz Carneiro com Rua Deputado Sebastião Nascimento</t>
  </si>
  <si>
    <t>Rua Paulo Diniz Carneiro com Rua Deputado Sebastião Nascimento, Buritis</t>
  </si>
  <si>
    <t>Rua Professor Otílio Macedo, CEP: 30.930-160, bairro Pilar</t>
  </si>
  <si>
    <t>Rua Professor Otilio Macedo</t>
  </si>
  <si>
    <t>30930-160</t>
  </si>
  <si>
    <t>Rua Professora Aspasia Ayer, CEP: 30.660-340, bairro Olaria</t>
  </si>
  <si>
    <t>Rua Professora Aspasia Ayer</t>
  </si>
  <si>
    <t>30660-340</t>
  </si>
  <si>
    <t>Vila Batik</t>
  </si>
  <si>
    <t>Rua Roberto Martins da Costa</t>
  </si>
  <si>
    <t>30664-003</t>
  </si>
  <si>
    <t>Rua Rubens Caporali Ribeiro</t>
  </si>
  <si>
    <t>Rua Rubens Caporali Ribeiro, Buritis</t>
  </si>
  <si>
    <t>Rua Sai, no bairro Concórdia</t>
  </si>
  <si>
    <t>Rua Sai</t>
  </si>
  <si>
    <t>Rua Tamboril, no bairro Concórdia</t>
  </si>
  <si>
    <t>Rua Tamboril,no bairro Concórdia</t>
  </si>
  <si>
    <t>Rua Tamboril</t>
  </si>
  <si>
    <t>Rua Tiziu</t>
  </si>
  <si>
    <t>31950-370</t>
  </si>
  <si>
    <t>Rua Travessa Quatro Mil Setecentos e Oitenta e Sete, Bairro Carlos Prates</t>
  </si>
  <si>
    <t>Rua Travessa das Flores, Bairro Carlos Prates</t>
  </si>
  <si>
    <t>Rua Travessa das Flores</t>
  </si>
  <si>
    <t>30710-220</t>
  </si>
  <si>
    <t>Rua Ubá, bairro Colégio Batista</t>
  </si>
  <si>
    <t>Rua Ubá</t>
  </si>
  <si>
    <t>Rua Vicente de Carvalho, Bairro Santa Mônica</t>
  </si>
  <si>
    <t xml:space="preserve"> Rua Vicente de Carvalho, Bairro Santa Mônica</t>
  </si>
  <si>
    <t>Rua Vicente de Carvalho</t>
  </si>
  <si>
    <t>Rua Vicente Feola</t>
  </si>
  <si>
    <t>Rua Visconde de Taunay, entre a Ave. Dr. Álvaro Camargos e Rua Gonçalves Magalhães</t>
  </si>
  <si>
    <t>Sine Venda Nova</t>
  </si>
  <si>
    <t>Unidade da Academia da Cidade Diamante</t>
  </si>
  <si>
    <t>R. Maria Marcolina de Souza, 40 - Diamante</t>
  </si>
  <si>
    <t>Rua Maria Marcolina de Souza</t>
  </si>
  <si>
    <t>2023_BIM_DA_AMBULANCIA_841_01; 2023_GABRIEL_946_01; 2023_HELINHO_DA_FARMACIA_132_01; 2023_HENRIQUE_BRAGA_945_01; 2023_IZA_LOURENCA_638_01; 2023_NIKOLAS_FERREIRA_904_01; 2023_NIKOLAS_FERREIRA_905_01; 2023_PROFESSOR_JULIANO_LOPES_990_01; 2023_WESLEY_481_01</t>
  </si>
  <si>
    <t>Rua Aurélio Lopes, 20 - Bairro Diamante - Barreiro</t>
  </si>
  <si>
    <t>Rua Aurélio Lopes</t>
  </si>
  <si>
    <t>30627-204</t>
  </si>
  <si>
    <t>2023_GILSON_GUIMARAES_642_01; 2023_JORGE_SANTOS_443_01; 2023_MACAE_EVARISTO_549_01; 2023_MARCOS_CRISPIM_1019_01; 2023_RUBAO_999_01; 2023_WILSINHO_DA_TABU_728_01</t>
  </si>
  <si>
    <t>Av. dos Andradas, 7450 - Vera Cruz, Belo Horizonte - MG, 30120-010</t>
  </si>
  <si>
    <t>2023_CIRO_PEREIRA_1024_01; 2023_MACAE_EVARISTO_550_01; 2023_MILTINHO_CGE_691_01</t>
  </si>
  <si>
    <t>R. Joaquim Gouveia, 560 - São Paulo, Belo Horizonte - MG, 31910-040</t>
  </si>
  <si>
    <t>Rua Joaquim Gouveia</t>
  </si>
  <si>
    <t>31910-040</t>
  </si>
  <si>
    <t>2023_HENRIQUE_BRAGA_947_01; 2023_JUNINHO_LOS_HERMANOS_425_01</t>
  </si>
  <si>
    <t>R. Pereira Passos, 38 - São Cristóvão, Belo Horizonte - MG, 31210-720</t>
  </si>
  <si>
    <t>Rua Pereira Passos</t>
  </si>
  <si>
    <t>31210-720</t>
  </si>
  <si>
    <t>UPA Norte</t>
  </si>
  <si>
    <t>Avenida Risoleta Neves, 281 - Bairro Novo Aarão Reis.</t>
  </si>
  <si>
    <t>Avenida Risoleta Neves</t>
  </si>
  <si>
    <t>31812-070</t>
  </si>
  <si>
    <t xml:space="preserve">UPA OESTE </t>
  </si>
  <si>
    <t>2023_BRAULIO_LARA_373_01; 2023_HENRIQUE_BRAGA_946_01; 2023_MACAE_EVARISTO_548_01</t>
  </si>
  <si>
    <t>R. Santa Cruz, 137 - Alto Barroca, Belo Horizonte - MG, 30431-045</t>
  </si>
  <si>
    <t>Alto Barroca</t>
  </si>
  <si>
    <t>Rua Santa Cruz</t>
  </si>
  <si>
    <t>30431-045</t>
  </si>
  <si>
    <t>UPA Oeste Jardim América</t>
  </si>
  <si>
    <t>2023_NIKOLAS_FERREIRA_900_01; 2023_NIKOLAS_FERREIRA_901_01</t>
  </si>
  <si>
    <t>Avenida Barão Homem de Melo</t>
  </si>
  <si>
    <t>30160-090</t>
  </si>
  <si>
    <t>2023_BIM_DA_AMBULANCIA_844_01; 2023_JOSE_FERREIRA_871_01</t>
  </si>
  <si>
    <t>Av. Santa Terezinha, 515 - Santa Terezinha, Belo Horizonte - MG, 31360-000</t>
  </si>
  <si>
    <t>Avenida Santa Terezinha</t>
  </si>
  <si>
    <t>31360-000</t>
  </si>
  <si>
    <t>UPA Venda Nova</t>
  </si>
  <si>
    <t>2023_BIM_DA_AMBULANCIA_849_01; 2023_NIKOLAS_FERREIRA_902_01; 2023_NIKOLAS_FERREIRA_903_01</t>
  </si>
  <si>
    <t>Rua Padre Pedro Pinto, 175 - Venda Nova</t>
  </si>
  <si>
    <t>31515-000</t>
  </si>
  <si>
    <t>data_decisao</t>
  </si>
  <si>
    <t>dimensao</t>
  </si>
  <si>
    <t>duvida</t>
  </si>
  <si>
    <t>decisao_adotada</t>
  </si>
  <si>
    <t>justificativa</t>
  </si>
  <si>
    <t>exemplo_positivo</t>
  </si>
  <si>
    <t>exemplo_negativo</t>
  </si>
  <si>
    <t>subcodigo_relacionado</t>
  </si>
  <si>
    <t>status_regra</t>
  </si>
  <si>
    <t>versao_inicio</t>
  </si>
  <si>
    <t>substituida_por</t>
  </si>
  <si>
    <t>observacoes</t>
  </si>
  <si>
    <t>D001</t>
  </si>
  <si>
    <t>territorialidade e georreferenciamento.</t>
  </si>
  <si>
    <t>uma emenda que menciona equipamento ou instituição específica, mas não apresenta endereço, bairro ou regional, deve ser considerada como possuindo localidade explícita?</t>
  </si>
  <si>
    <r>
      <rPr>
        <b/>
        <sz val="11"/>
        <color rgb="FF000000"/>
        <rFont val="Calibri"/>
        <family val="2"/>
        <scheme val="minor"/>
      </rPr>
      <t>CASO 1 - endereço explicitamente informado:</t>
    </r>
    <r>
      <rPr>
        <sz val="11"/>
        <color rgb="FF000000"/>
        <rFont val="Calibri"/>
        <family val="2"/>
        <scheme val="minor"/>
      </rPr>
      <t xml:space="preserve"> localidade_explicita = 1; origem_localizacao = TEXTO; georreferenciavel_final = 1; nivel_precisao = ENDEREÇO
Esse caso entra tanto em localidade_explicita = 1 quanto na ampliada e georreferenciacao.                                                                   </t>
    </r>
    <r>
      <rPr>
        <b/>
        <sz val="11"/>
        <color rgb="FF000000"/>
        <rFont val="Calibri"/>
        <family val="2"/>
        <scheme val="minor"/>
      </rPr>
      <t xml:space="preserve">CASO 2 - regional explicitamente informada: </t>
    </r>
    <r>
      <rPr>
        <sz val="11"/>
        <color rgb="FF000000"/>
        <rFont val="Calibri"/>
        <family val="2"/>
        <scheme val="minor"/>
      </rPr>
      <t xml:space="preserve">regional também é informação de endereço.   localidade_explicita = 1;
origem_localizacao = TEXTO; georreferenciavel_final = 1; nivel_precisao = REGIONAL. Caso você procure o endereço oficial do Centro de Saúde Pilar: localidade_recuperada_externamente = 1; origem_localizacao = TEXTO + FONTE EXTERNA; nivel_precisao = ENDEREÇO
O dado externo apenas aumenta a precisão. Ele não muda o fato de que a emenda já tinha informação territorial explícita.
</t>
    </r>
    <r>
      <rPr>
        <b/>
        <sz val="11"/>
        <color rgb="FF000000"/>
        <rFont val="Calibri"/>
        <family val="2"/>
        <scheme val="minor"/>
      </rPr>
      <t xml:space="preserve">CASO 3 - equipamento nomeado, mas sem localidade: “Para reforma do Centro de Saúde XYZ.”  </t>
    </r>
    <r>
      <rPr>
        <sz val="11"/>
        <color rgb="FF000000"/>
        <rFont val="Calibri"/>
        <family val="2"/>
        <scheme val="minor"/>
      </rPr>
      <t>Nesse caso, a emenda contém um referente espacial específico, mas não apresenta a localização no próprio texto.</t>
    </r>
    <r>
      <rPr>
        <b/>
        <sz val="11"/>
        <color rgb="FF000000"/>
        <rFont val="Calibri"/>
        <family val="2"/>
        <scheme val="minor"/>
      </rPr>
      <t xml:space="preserve">
Classificação:</t>
    </r>
    <r>
      <rPr>
        <sz val="11"/>
        <color rgb="FF000000"/>
        <rFont val="Calibri"/>
        <family val="2"/>
        <scheme val="minor"/>
      </rPr>
      <t xml:space="preserve"> localidade_explicita = 0; referente_espacial_nomeado = 1; georeferenciavel_final =  1                                        </t>
    </r>
    <r>
      <rPr>
        <b/>
        <sz val="11"/>
        <color rgb="FF000000"/>
        <rFont val="Calibri"/>
        <family val="2"/>
        <scheme val="minor"/>
      </rPr>
      <t>CASO 4</t>
    </r>
    <r>
      <rPr>
        <sz val="11"/>
        <color rgb="FF000000"/>
        <rFont val="Calibri"/>
        <family val="2"/>
        <scheme val="minor"/>
      </rPr>
      <t xml:space="preserve"> - </t>
    </r>
    <r>
      <rPr>
        <b/>
        <sz val="11"/>
        <color rgb="FF000000"/>
        <rFont val="Calibri"/>
        <family val="2"/>
        <scheme val="minor"/>
      </rPr>
      <t xml:space="preserve">entidade e CNPJ, mas sem local de execução: “Destinação de recurso para o Instituto de Acolhimento Casa do Caminho, CNPJ [...], para atividades socioassistenciais.”: </t>
    </r>
    <r>
      <rPr>
        <sz val="11"/>
        <color rgb="FF000000"/>
        <rFont val="Calibri"/>
        <family val="2"/>
        <scheme val="minor"/>
      </rPr>
      <t>O CNPJ permite identificar a sede cadastral da entidade, mas o endereço da sede não necessariamente corresponde ao local em que as atividades financiadas serão executadas.      Por isso, irei colocar localidade_explicita = 0 e georreferenciavel = 0.</t>
    </r>
  </si>
  <si>
    <t>D002</t>
  </si>
  <si>
    <t>Redes de drenagem urbana e manejo de águas pluviais</t>
  </si>
  <si>
    <t>Como classificar emendas destinadas à implantação, manutenção, recuperação ou ampliação de redes de drenagem urbana?</t>
  </si>
  <si>
    <t>Classificar em 0711 as emendas cujo objeto substantivo seja a implantação, manutenção, recuperação ou ampliação de estruturas destinadas ao escoamento de águas pluviais e à prevenção ou redução de alagamentos, inundações e erosões urbanas. A obra de infraestrutura é considerada o instrumento de implementação da política de drenagem.</t>
  </si>
  <si>
    <t>exemplo_positivo: “Manutenção de Rede de Drenagem da Rua Edgard Torres – Minas Caixa – Venda Nova” = 0711.</t>
  </si>
  <si>
    <t>D003</t>
  </si>
  <si>
    <t>PRAÇAS</t>
  </si>
  <si>
    <t>COMO CLASSIFICAR PRAÇAS?</t>
  </si>
  <si>
    <r>
      <t xml:space="preserve">Parque público, sem finalidade esportiva específica → </t>
    </r>
    <r>
      <rPr>
        <b/>
        <sz val="11"/>
        <color rgb="FF000000"/>
        <rFont val="Calibri"/>
        <family val="2"/>
        <scheme val="minor"/>
      </rPr>
      <t xml:space="preserve">2101 </t>
    </r>
    <r>
      <rPr>
        <sz val="11"/>
        <color rgb="FF000000"/>
        <rFont val="Calibri"/>
        <family val="2"/>
        <scheme val="minor"/>
      </rPr>
      <t xml:space="preserve">                                                                                                             Quadra, pista de caminhada, playground ou campo → </t>
    </r>
    <r>
      <rPr>
        <b/>
        <sz val="11"/>
        <color rgb="FF000000"/>
        <rFont val="Calibri"/>
        <family val="2"/>
        <scheme val="minor"/>
      </rPr>
      <t>2300</t>
    </r>
    <r>
      <rPr>
        <sz val="11"/>
        <color rgb="FF000000"/>
        <rFont val="Calibri"/>
        <family val="2"/>
        <scheme val="minor"/>
      </rPr>
      <t xml:space="preserve">                                                                                                                 Escadaria, praça ou espaço urbano revitalizado → </t>
    </r>
    <r>
      <rPr>
        <b/>
        <sz val="11"/>
        <color rgb="FF000000"/>
        <rFont val="Calibri"/>
        <family val="2"/>
        <scheme val="minor"/>
      </rPr>
      <t xml:space="preserve">1403                                                                                                                       </t>
    </r>
    <r>
      <rPr>
        <sz val="11"/>
        <color rgb="FF000000"/>
        <rFont val="Calibri"/>
        <family val="2"/>
        <scheme val="minor"/>
      </rPr>
      <t xml:space="preserve"> Construção ou revitalização genérica de praça, sem equipamento esportivo ou finalidade ambiental específica → </t>
    </r>
    <r>
      <rPr>
        <b/>
        <sz val="11"/>
        <color rgb="FF000000"/>
        <rFont val="Calibri"/>
        <family val="2"/>
        <scheme val="minor"/>
      </rPr>
      <t>1403 — Reabilitação urbana e economia urbana.</t>
    </r>
    <r>
      <rPr>
        <sz val="11"/>
        <color rgb="FF000000"/>
        <rFont val="Calibri"/>
        <family val="2"/>
        <scheme val="minor"/>
      </rPr>
      <t xml:space="preserve">
Praça com pista de caminhada, quadra, playground, academia ao ar livre ou estrutura recreativa →</t>
    </r>
    <r>
      <rPr>
        <b/>
        <sz val="11"/>
        <color rgb="FF000000"/>
        <rFont val="Calibri"/>
        <family val="2"/>
        <scheme val="minor"/>
      </rPr>
      <t xml:space="preserve"> 2300 — Esporte e lazer.</t>
    </r>
    <r>
      <rPr>
        <sz val="11"/>
        <color rgb="FF000000"/>
        <rFont val="Calibri"/>
        <family val="2"/>
        <scheme val="minor"/>
      </rPr>
      <t xml:space="preserve">
Parque ou área verde com foco em preservação, manutenção ambiental ou espaço natural público → </t>
    </r>
    <r>
      <rPr>
        <b/>
        <sz val="11"/>
        <color rgb="FF000000"/>
        <rFont val="Calibri"/>
        <family val="2"/>
        <scheme val="minor"/>
      </rPr>
      <t>2101.</t>
    </r>
  </si>
  <si>
    <t>D004</t>
  </si>
  <si>
    <t>PUBLICO ALVO EM CASO DE MATERNIDADE</t>
  </si>
  <si>
    <t>QUAL SERA O PUBLICO ALVO EM CASO DE MATERNIDADE</t>
  </si>
  <si>
    <t>Mulheres — gestantes, parturientes e puérperas; recém-nascidos</t>
  </si>
  <si>
    <t>D005</t>
  </si>
  <si>
    <t>CASTRAÇÃO DE CAES E GATOS</t>
  </si>
  <si>
    <t>QUAL SERA O SUBCODIGO</t>
  </si>
  <si>
    <t>405: CONTROLE DE DOENÇAS
ANIMAIS
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t>
  </si>
  <si>
    <t>D006</t>
  </si>
  <si>
    <t>CENTRO DE SAUDE ENDEREÇO ANTIGO</t>
  </si>
  <si>
    <t>EM 2023 ERA UM E MUDOU EM 2025</t>
  </si>
  <si>
    <t>PERMANECER COM O TEMPO TEMPORAL CERTO. EXEMPLO:  Centro de Saúde Itamarati. Em 2025 mudou para Avenida Presidente Tancredo Neves, 4.210. Para uma emenda de 2023, utilizei o endereço à época: Centro de Saúde Itamarati, Rua Anita Blumberg, 63, bairro Paquetá, CEP 31340-150.</t>
  </si>
  <si>
    <t>Centro de Saúde Marco Antônio Menezes</t>
  </si>
  <si>
    <t>2023_MACAE_EVARISTO_546_01; 2023_MILTINHO_CGE_688_01; 2023_WILSINHO_DA_TABU_726_01</t>
  </si>
  <si>
    <t>Rua Petrolina, 869 Horto</t>
  </si>
  <si>
    <t>Rua Petrolina</t>
  </si>
  <si>
    <t>Escola Municipal de Educação Infantil Céu Azul</t>
  </si>
  <si>
    <t>Rua São João Batista do Glória, 530, bairro Piratininga</t>
  </si>
  <si>
    <t>Rua São João Batista do Glória</t>
  </si>
  <si>
    <t>cultura_ou_esporte</t>
  </si>
  <si>
    <t>cultura</t>
  </si>
  <si>
    <t>esporte e lazer</t>
  </si>
  <si>
    <t>LOCALIDADE</t>
  </si>
  <si>
    <t>ID_LOCALIDADE</t>
  </si>
  <si>
    <t>endereco_padronizado</t>
  </si>
  <si>
    <t>bairro</t>
  </si>
  <si>
    <t>regional</t>
  </si>
  <si>
    <t>territorio</t>
  </si>
  <si>
    <t>logradouro</t>
  </si>
  <si>
    <t>numero</t>
  </si>
  <si>
    <t>cep</t>
  </si>
  <si>
    <t>latitude</t>
  </si>
  <si>
    <t>longitude</t>
  </si>
  <si>
    <t>coordenada_x</t>
  </si>
  <si>
    <t>coordenada_y</t>
  </si>
  <si>
    <t>Abrigo Pró-Criança</t>
  </si>
  <si>
    <t>LOC_331</t>
  </si>
  <si>
    <t>Rua Gonçalo Alves, 116 no bairro São Cristovão</t>
  </si>
  <si>
    <t>Sao Cristovao</t>
  </si>
  <si>
    <t>NOROESTE</t>
  </si>
  <si>
    <t>NO1</t>
  </si>
  <si>
    <t>Rua Gonçalo Alves</t>
  </si>
  <si>
    <t>116</t>
  </si>
  <si>
    <t>31110-480</t>
  </si>
  <si>
    <t>Ação Social Filadélfia</t>
  </si>
  <si>
    <t>LOC_332</t>
  </si>
  <si>
    <t>Rua Epaminondas Otoni 315/265 Bairro Vista Alegre</t>
  </si>
  <si>
    <t>Vista Alegre</t>
  </si>
  <si>
    <t>OESTE</t>
  </si>
  <si>
    <t>O2</t>
  </si>
  <si>
    <t>Rua Epaminondas Otoni</t>
  </si>
  <si>
    <t>315</t>
  </si>
  <si>
    <t>30512-700</t>
  </si>
  <si>
    <t>Anfiteatro na Vila Senhor dos Passos</t>
  </si>
  <si>
    <t>LOC_333</t>
  </si>
  <si>
    <t>Rua 15 de Abril, Vila Senhor dos Passos, Bairro Lagoinha.</t>
  </si>
  <si>
    <t>Lagoinha</t>
  </si>
  <si>
    <t>Rua 15 de Abril</t>
  </si>
  <si>
    <t>Associação Comunitária do Bairro Alvorada, Manacás e parte do Bairro Castelo</t>
  </si>
  <si>
    <t>LOC_334</t>
  </si>
  <si>
    <t>Rua Flor D´Água,711, Bairro Jardim Alvorada</t>
  </si>
  <si>
    <t>Jardim Alvorada</t>
  </si>
  <si>
    <t>PAMPULHA</t>
  </si>
  <si>
    <t>P4</t>
  </si>
  <si>
    <t>Rua Flor D Água</t>
  </si>
  <si>
    <t>711</t>
  </si>
  <si>
    <t>30810-310</t>
  </si>
  <si>
    <t>Associação Grupo de Idoso Alegria de Viver</t>
  </si>
  <si>
    <t>LOC_335</t>
  </si>
  <si>
    <t>Rua Cônego Santana, 545 - Cachoeirinha.</t>
  </si>
  <si>
    <t>Cachoeirinha</t>
  </si>
  <si>
    <t>NORDESTE</t>
  </si>
  <si>
    <t>NE4</t>
  </si>
  <si>
    <t>Rua Cônego Santana</t>
  </si>
  <si>
    <t>545</t>
  </si>
  <si>
    <t>31130-450</t>
  </si>
  <si>
    <t>Associação Nutris - Núcleo de Trabalho e Integração Social</t>
  </si>
  <si>
    <t>LOC_336</t>
  </si>
  <si>
    <t>Rua Madre Izabel Trejeiro, nº 100, bairro Mariano de Abreu, Belo Horizonte.</t>
  </si>
  <si>
    <t>Mariano de Abreu</t>
  </si>
  <si>
    <t>LESTE</t>
  </si>
  <si>
    <t>L1</t>
  </si>
  <si>
    <t>Rua Madre Izabel Trejeiro</t>
  </si>
  <si>
    <t>100</t>
  </si>
  <si>
    <t>31050-320</t>
  </si>
  <si>
    <t>Associação Shekinah de Assistência Social - ASAS</t>
  </si>
  <si>
    <t>LOC_337</t>
  </si>
  <si>
    <t>Rua Alair Pereira da Silva, 205 - Conjunto Taquaril, CEP: 30.290-580.</t>
  </si>
  <si>
    <t>Conjunto Taquaril</t>
  </si>
  <si>
    <t>L4</t>
  </si>
  <si>
    <t>Rua Alair Pereira da Silva</t>
  </si>
  <si>
    <t>205</t>
  </si>
  <si>
    <t>30290-580</t>
  </si>
  <si>
    <t>Avenida Aggeo Pio Sobrinho</t>
  </si>
  <si>
    <t>LOC_338</t>
  </si>
  <si>
    <t>Avenida Aggeo Pio Sobrinho, Buritis</t>
  </si>
  <si>
    <t>Buritis</t>
  </si>
  <si>
    <t>O5</t>
  </si>
  <si>
    <t>Avenida Amintas Jacques de Moraes, na Regional Noroeste</t>
  </si>
  <si>
    <t>LOC_339</t>
  </si>
  <si>
    <t>Avenida Deputado Anuar Menhem, no bairro Santa Amélia.</t>
  </si>
  <si>
    <t>LOC_340</t>
  </si>
  <si>
    <t>Santa Amelia</t>
  </si>
  <si>
    <t>P1</t>
  </si>
  <si>
    <t>Avenida Deputado Anuar Menhem</t>
  </si>
  <si>
    <t>Avenida Henrique Badaró Portugal</t>
  </si>
  <si>
    <t>LOC_341</t>
  </si>
  <si>
    <t>Rua Henrique Badaró Portugal, Buritis</t>
  </si>
  <si>
    <t>Rua Henrique Badaró Portugal</t>
  </si>
  <si>
    <t>Avenida Ivaí, Dom Bosco</t>
  </si>
  <si>
    <t>LOC_342</t>
  </si>
  <si>
    <t>Dom Bosco</t>
  </si>
  <si>
    <t>NO3</t>
  </si>
  <si>
    <t>Avenida Ivaí</t>
  </si>
  <si>
    <t>Avenida Palestina, com Avenida Sideral - Madre Gertrudes, na Regional Oeste.</t>
  </si>
  <si>
    <t>LOC_343</t>
  </si>
  <si>
    <t>Madre Gertrudes</t>
  </si>
  <si>
    <t>Avenida Palestina com Avenida Sideral</t>
  </si>
  <si>
    <t>Avenida Petrolina, no Bairro Sagrada Família</t>
  </si>
  <si>
    <t>LOC_344</t>
  </si>
  <si>
    <t>Sagrada Familia</t>
  </si>
  <si>
    <t>L2</t>
  </si>
  <si>
    <t>Avenida Petrolina</t>
  </si>
  <si>
    <t>Avenida Sebastião de Brito, bairro: Jaraguá.</t>
  </si>
  <si>
    <t>LOC_345</t>
  </si>
  <si>
    <t>Jaragua</t>
  </si>
  <si>
    <t>P3</t>
  </si>
  <si>
    <t>Avenida Sebastião de Brito</t>
  </si>
  <si>
    <t>Avenida Sebastião de Brito, regional Pampulha.</t>
  </si>
  <si>
    <t>LOC_346</t>
  </si>
  <si>
    <t>Av. Sebastião de Brito, regional Pampulha</t>
  </si>
  <si>
    <t>Dona Clara</t>
  </si>
  <si>
    <t>Avenida Senador Lima Guimarães, no bairro Buritis</t>
  </si>
  <si>
    <t>LOC_347</t>
  </si>
  <si>
    <t>Avenida Senador Lima Guimarães, Buritis</t>
  </si>
  <si>
    <t>Avenida Senador Lima Guimarães</t>
  </si>
  <si>
    <t>Avenida Sideral entre Rua Caraí e Beco São José - Bairro Madre Gertrudes, Região Oeste.</t>
  </si>
  <si>
    <t>LOC_348</t>
  </si>
  <si>
    <t>Avenida Sideral</t>
  </si>
  <si>
    <t>Avenida Solferina Ricci Pace, próximo ao número 400, Jatobá, CEP: 32.400-000.</t>
  </si>
  <si>
    <t>LOC_349</t>
  </si>
  <si>
    <t>Jatoba</t>
  </si>
  <si>
    <t>BARREIRO</t>
  </si>
  <si>
    <t>B3</t>
  </si>
  <si>
    <t>Avenida Solferina Ricci Pace</t>
  </si>
  <si>
    <t>400</t>
  </si>
  <si>
    <t>32400-000</t>
  </si>
  <si>
    <t>Avenida Várzea da Palma</t>
  </si>
  <si>
    <t>LOC_350</t>
  </si>
  <si>
    <t>Av. Várzea da Palma, Venda Nova</t>
  </si>
  <si>
    <t>Venda Nova</t>
  </si>
  <si>
    <t>VENDA NOVA</t>
  </si>
  <si>
    <t>VN3</t>
  </si>
  <si>
    <t>31540-350</t>
  </si>
  <si>
    <t>Avenida Waldyr Soeiro Emrich, nº289, Barreiro.</t>
  </si>
  <si>
    <t>LOC_351</t>
  </si>
  <si>
    <t>Barreiro</t>
  </si>
  <si>
    <t>B2</t>
  </si>
  <si>
    <t>Avenida Waldyr Soeiro Emrich</t>
  </si>
  <si>
    <t>289</t>
  </si>
  <si>
    <t>Biquinha Sagrada Família.</t>
  </si>
  <si>
    <t>LOC_352</t>
  </si>
  <si>
    <t>Rua Abílio Machado, próximo ao número 977, esquina com a Avenida Petrolina, bairro Sagrada Família.</t>
  </si>
  <si>
    <t>Rua Abílio Machado</t>
  </si>
  <si>
    <t>977</t>
  </si>
  <si>
    <t>31030-390</t>
  </si>
  <si>
    <t>Campo Castanheira II (Arena C2)</t>
  </si>
  <si>
    <t>LOC_353</t>
  </si>
  <si>
    <t>Avenida Waldyr Soeiro Emrich, 5007</t>
  </si>
  <si>
    <t>Castanheira</t>
  </si>
  <si>
    <t>B5</t>
  </si>
  <si>
    <t>5007</t>
  </si>
  <si>
    <t>30670-005</t>
  </si>
  <si>
    <t>Campo de Futebol Céu Azul</t>
  </si>
  <si>
    <t>LOC_354</t>
  </si>
  <si>
    <t>Rua João Gualberto dos Santos, 896 - Céu Azul, Belo Horizonte - MG, 31580-500</t>
  </si>
  <si>
    <t>Ceu Azul</t>
  </si>
  <si>
    <t>VN4</t>
  </si>
  <si>
    <t>Rua João Gualberto dos Santos</t>
  </si>
  <si>
    <t>896</t>
  </si>
  <si>
    <t>31580-500</t>
  </si>
  <si>
    <t>Campo de Futebol Jatobá Quatro</t>
  </si>
  <si>
    <t>LOC_355</t>
  </si>
  <si>
    <t>Rua Lacyr Maffia, esquina com a Avenida Haydée Abras Homssi, Jatobá IV.</t>
  </si>
  <si>
    <t>Conjunto Jatoba</t>
  </si>
  <si>
    <t>Rua Lacyr Maffia, esquina com a Avenida Haydée Abras Homssi</t>
  </si>
  <si>
    <t>30664-200</t>
  </si>
  <si>
    <t>Campo de Futebol Monte Azul</t>
  </si>
  <si>
    <t>LOC_356</t>
  </si>
  <si>
    <t>Rua Cibipuruna - Monte Azul</t>
  </si>
  <si>
    <t>Monte Azul</t>
  </si>
  <si>
    <t>NORTE</t>
  </si>
  <si>
    <t>N2</t>
  </si>
  <si>
    <t>Rua Cibipuruna</t>
  </si>
  <si>
    <t>Campo de Futebol Poeirinha</t>
  </si>
  <si>
    <t>LOC_357</t>
  </si>
  <si>
    <t>Rua João Antônio nº 240 - bairro Mariano de Abreu, Belo Horizonte; CEP: 31050-375.</t>
  </si>
  <si>
    <t>Rua João Antônio</t>
  </si>
  <si>
    <t>240</t>
  </si>
  <si>
    <t>31050-375</t>
  </si>
  <si>
    <t>Campo de Futebol Rock in Rio</t>
  </si>
  <si>
    <t>LOC_358</t>
  </si>
  <si>
    <t>Rua 5 de Janeiro, ao lado do nº 145, bairro Mariano de Abreu.</t>
  </si>
  <si>
    <t>Rua 5 de Janeiro</t>
  </si>
  <si>
    <t>145</t>
  </si>
  <si>
    <t>31050-340</t>
  </si>
  <si>
    <t>Campo de Futebol Tupinambás</t>
  </si>
  <si>
    <t>LOC_359</t>
  </si>
  <si>
    <t>Rua Santo Agostinho, nº 1480 - bairro Horto Florestal, Belo Horizonte; CEP: 31035-480;</t>
  </si>
  <si>
    <t>Horto Florestal</t>
  </si>
  <si>
    <t>Rua Santo Agostinho</t>
  </si>
  <si>
    <t>1480</t>
  </si>
  <si>
    <t>31035-480</t>
  </si>
  <si>
    <t>Campo do itatiaia</t>
  </si>
  <si>
    <t>LOC_360</t>
  </si>
  <si>
    <t>rua Clóvis Salgado, 1300 - Bandeirantes</t>
  </si>
  <si>
    <t>Bandeirantes</t>
  </si>
  <si>
    <t>P2</t>
  </si>
  <si>
    <t>Rua Clóvis Salgado</t>
  </si>
  <si>
    <t>1300</t>
  </si>
  <si>
    <t>31365-440</t>
  </si>
  <si>
    <t>Campo do Najá</t>
  </si>
  <si>
    <t>LOC_361</t>
  </si>
  <si>
    <t>Rua Castelo Novo, 1001 - Santa Efigênia, Belo Horizonte - MG, 30260-380</t>
  </si>
  <si>
    <t>Santa Efigenia</t>
  </si>
  <si>
    <t>CENTRO-SUL</t>
  </si>
  <si>
    <t>CS1</t>
  </si>
  <si>
    <t>Rua Castelo Novo</t>
  </si>
  <si>
    <t>1001</t>
  </si>
  <si>
    <t>30260-380</t>
  </si>
  <si>
    <t>Campo esportivo Rua Eduardo Henrique Mendes</t>
  </si>
  <si>
    <t>LOC_362</t>
  </si>
  <si>
    <t>Rua Eduardo Henrique Mendes, 64, bairro Nova Gameleira</t>
  </si>
  <si>
    <t>Nova Gameleira</t>
  </si>
  <si>
    <t>Rua Eduardo Henrique Mendes</t>
  </si>
  <si>
    <t>64</t>
  </si>
  <si>
    <t>30516-465</t>
  </si>
  <si>
    <t>Campo Manchester</t>
  </si>
  <si>
    <t>LOC_363</t>
  </si>
  <si>
    <t>R. Joviano Coelho Júnior, 62-100 - Rio Branco, Belo Horizonte - MG, 31535-130</t>
  </si>
  <si>
    <t>Rio Branco</t>
  </si>
  <si>
    <t>Rua Joviano Coelho Júnior</t>
  </si>
  <si>
    <t>31535-130</t>
  </si>
  <si>
    <t>Campo Taça de Ouro</t>
  </si>
  <si>
    <t>LOC_364</t>
  </si>
  <si>
    <t>Rua General Ephigênio Ruas Santos, 16-198 - Itapoã, Belo Horizonte - MG, 31710-500</t>
  </si>
  <si>
    <t>Itapoa</t>
  </si>
  <si>
    <t>Rua General Ephigênio Ruas Santos</t>
  </si>
  <si>
    <t>198</t>
  </si>
  <si>
    <t>31710-500</t>
  </si>
  <si>
    <t>Campo Telê Santana</t>
  </si>
  <si>
    <t>LOC_365</t>
  </si>
  <si>
    <t>rua Augusto dos Anjos, Bairro SINIMBU - CEP 31.535-000</t>
  </si>
  <si>
    <t>Sinimbu</t>
  </si>
  <si>
    <t>Rua Augusto dos Anjos</t>
  </si>
  <si>
    <t>31.535-000</t>
  </si>
  <si>
    <t>CARE Venda Nova</t>
  </si>
  <si>
    <t>LOC_366</t>
  </si>
  <si>
    <t>Rua Padre Pedro Pinto, 1055 - Bairro Venda Nova</t>
  </si>
  <si>
    <t>Rua Padre Pedro Pinto</t>
  </si>
  <si>
    <t>1055</t>
  </si>
  <si>
    <t>31510-000</t>
  </si>
  <si>
    <t>Centro Cultural Venda Nova</t>
  </si>
  <si>
    <t>LOC_367</t>
  </si>
  <si>
    <t>R. José Ferreira dos Santos, 184 - Jardim dos Comerciários, Belo Horizonte - MG, 31640-060</t>
  </si>
  <si>
    <t>Jardim dos Comerciarios</t>
  </si>
  <si>
    <t>VN2</t>
  </si>
  <si>
    <t>Rua José Ferreira dos Santos</t>
  </si>
  <si>
    <t>184</t>
  </si>
  <si>
    <t>31640-060</t>
  </si>
  <si>
    <t>Centro de Assistência à Mulher na UPA Venda Nova</t>
  </si>
  <si>
    <t>LOC_368</t>
  </si>
  <si>
    <t>Rua Padre Pedro Pinto, 322 - Venda Nova - CEP: 31610-000</t>
  </si>
  <si>
    <t>322</t>
  </si>
  <si>
    <t>31610-000</t>
  </si>
  <si>
    <t>Centro de Assistência Benedito Venâncio</t>
  </si>
  <si>
    <t>LOC_369</t>
  </si>
  <si>
    <t>rua Marcelino Ramos nº 281, Belo Horizonte, Boa Vista, CEP 31.060-51</t>
  </si>
  <si>
    <t>Boa Vista</t>
  </si>
  <si>
    <t>Rua Marcelino Ramos</t>
  </si>
  <si>
    <t>281</t>
  </si>
  <si>
    <t>3106-051</t>
  </si>
  <si>
    <t>Centro de Esterilização de Cães e Gatos Barreiro</t>
  </si>
  <si>
    <t>LOC_370</t>
  </si>
  <si>
    <t>Avenida Antônio Praça Piedade, 68, bairro Bonsucesso, Belo Horizonte/MG.</t>
  </si>
  <si>
    <t>Bonsucesso</t>
  </si>
  <si>
    <t>B1</t>
  </si>
  <si>
    <t>Avenida Antônio Praça Piedade</t>
  </si>
  <si>
    <t>68</t>
  </si>
  <si>
    <t>Centro de esterilização de cães e gatos rua Alexandre Siqueira</t>
  </si>
  <si>
    <t>LOC_371</t>
  </si>
  <si>
    <t>Rua Alexandre Siqueira, nº 375, no Bairro Salgado Filho, na Regional Oeste</t>
  </si>
  <si>
    <t>Salgado Filho</t>
  </si>
  <si>
    <t>O1</t>
  </si>
  <si>
    <t>Rua Alexandre Siqueira</t>
  </si>
  <si>
    <t>375</t>
  </si>
  <si>
    <t>30550-570</t>
  </si>
  <si>
    <t>Centro de Estudos e Atendimento ao Menor - CEAME</t>
  </si>
  <si>
    <t>LOC_372</t>
  </si>
  <si>
    <t>Rua Maura, 749 no Bairro Ipiranga</t>
  </si>
  <si>
    <t>Ipiranga</t>
  </si>
  <si>
    <t>NE5</t>
  </si>
  <si>
    <t>Rua Maura</t>
  </si>
  <si>
    <t>749</t>
  </si>
  <si>
    <t>31160-260</t>
  </si>
  <si>
    <t>Centro de Referência da Pessoa Idosa</t>
  </si>
  <si>
    <t>LOC_373</t>
  </si>
  <si>
    <t>Rua Perdizes, nº 336, no Bairro Caiçaras.</t>
  </si>
  <si>
    <t>Caiçaras</t>
  </si>
  <si>
    <t>NO2</t>
  </si>
  <si>
    <t>Rua Perdizes</t>
  </si>
  <si>
    <t>336</t>
  </si>
  <si>
    <t>30770-270</t>
  </si>
  <si>
    <t>Centro de Referência em Saúde Mental Infanto-Juvenil Centro-Sul (CERSAMi Centro-Sul/CEPAI)</t>
  </si>
  <si>
    <t>LOC_374</t>
  </si>
  <si>
    <t>R. Padre Marinho, 150 - Santa Efigênia, Belo Horizonte - MG, 30140-040</t>
  </si>
  <si>
    <t>Rua Padre Marinho</t>
  </si>
  <si>
    <t>150</t>
  </si>
  <si>
    <t>30140-040</t>
  </si>
  <si>
    <t>Centro de Referência em Saúde Mental Infanto-Juvenil Nordeste (CERSAMi Nordeste)</t>
  </si>
  <si>
    <t>LOC_375</t>
  </si>
  <si>
    <t>Praça Muquí, 155 - Renascença, Belo Horizonte - MG, 31130-520</t>
  </si>
  <si>
    <t>Renascenca</t>
  </si>
  <si>
    <t>Praça Muquí</t>
  </si>
  <si>
    <t>31130-520</t>
  </si>
  <si>
    <t>Centro de Referência em Saúde Mental Infanto-Juvenil Noroeste (CERSAMi Noroeste)</t>
  </si>
  <si>
    <t>LOC_376</t>
  </si>
  <si>
    <t>R. Manhumirim, 415 - Padre Eustáquio, Belo Horizonte - MG, 30720-070</t>
  </si>
  <si>
    <t>Padre Eustaquio</t>
  </si>
  <si>
    <t>NO4</t>
  </si>
  <si>
    <t>Rua Manhumirim</t>
  </si>
  <si>
    <t>415</t>
  </si>
  <si>
    <t>30720-070</t>
  </si>
  <si>
    <t>Centro de Referência em Saúde Mental Noroeste (CERSAM Noroeste)</t>
  </si>
  <si>
    <t>LOC_377</t>
  </si>
  <si>
    <t>R. Camarugi, 10 - Padre Eustáquio, Belo Horizonte - MG, 30720-090</t>
  </si>
  <si>
    <t>Rua Camarugi</t>
  </si>
  <si>
    <t>10</t>
  </si>
  <si>
    <t>30720-090</t>
  </si>
  <si>
    <t>Centro de Saúde Alameda dos Ipês</t>
  </si>
  <si>
    <t>LOC_45</t>
  </si>
  <si>
    <t>Regional Venda Nova, situado à rua Ministro Oliveira Salazar, 1186 - Bairro Santa Mônica</t>
  </si>
  <si>
    <t>Santa Monica</t>
  </si>
  <si>
    <t>Rua Ministro Oliveira Salazar</t>
  </si>
  <si>
    <t>1186</t>
  </si>
  <si>
    <t>31520-400</t>
  </si>
  <si>
    <t>Centro de Saúde Alcides Lins</t>
  </si>
  <si>
    <t>LOC_46</t>
  </si>
  <si>
    <t>R. Panema, 275 - Concórdia, Belo Horizonte - MG, 31130-620</t>
  </si>
  <si>
    <t>Concordia</t>
  </si>
  <si>
    <t>Rua Panema</t>
  </si>
  <si>
    <t>275</t>
  </si>
  <si>
    <t>31130-620</t>
  </si>
  <si>
    <t>Centro de Saúde Alto Vera Cruz</t>
  </si>
  <si>
    <t>LOC_47</t>
  </si>
  <si>
    <t>R. Gen. Osório, 959 Alto - Vera Cruz, Belo Horizonte - MG, 30285-320</t>
  </si>
  <si>
    <t>Alto Vera Cruz</t>
  </si>
  <si>
    <t>Rua General Osório</t>
  </si>
  <si>
    <t>959</t>
  </si>
  <si>
    <t>30285-320</t>
  </si>
  <si>
    <t>Centro de Saúde Amilcar Vianna Martins</t>
  </si>
  <si>
    <t>LOC_59</t>
  </si>
  <si>
    <t>R. Nelson de Senna, 90 - Cinquentenario, Belo Horizonte - MG, 30570-060</t>
  </si>
  <si>
    <t>Cinquentenario</t>
  </si>
  <si>
    <t>O4</t>
  </si>
  <si>
    <t>Rua Nelson de Senna</t>
  </si>
  <si>
    <t>90</t>
  </si>
  <si>
    <t>30570-060</t>
  </si>
  <si>
    <t>Centro de Saúde Andradas</t>
  </si>
  <si>
    <t>LOC_378</t>
  </si>
  <si>
    <t>Regional Venda Nova, situado à rua Mariana Amélia de Azevedo, 21 - Bairro São João Batista</t>
  </si>
  <si>
    <t>Sao Joao Batista</t>
  </si>
  <si>
    <t>Rua Mariana Amélia de Azevedo</t>
  </si>
  <si>
    <t>21</t>
  </si>
  <si>
    <t>31510-470</t>
  </si>
  <si>
    <t>Centro de Saúde Betânia</t>
  </si>
  <si>
    <t>LOC_48</t>
  </si>
  <si>
    <t>Rua das Canoas, 678 -Betânia, Belo Horizonte - MG, 30580-040</t>
  </si>
  <si>
    <t>Betania</t>
  </si>
  <si>
    <t>Rua das Canoas</t>
  </si>
  <si>
    <t>678</t>
  </si>
  <si>
    <t>30580-040</t>
  </si>
  <si>
    <t>Centro de Saúde Boa Vista</t>
  </si>
  <si>
    <t>LOC_49</t>
  </si>
  <si>
    <t>rua Guruá, nº 833, bairro Boa Vista, Belo Horizonte, CEP 31.060-550</t>
  </si>
  <si>
    <t>Rua Guruá</t>
  </si>
  <si>
    <t>833</t>
  </si>
  <si>
    <t>31060-550</t>
  </si>
  <si>
    <t>Centro de Saúde Bonsucesso</t>
  </si>
  <si>
    <t>LOC_379</t>
  </si>
  <si>
    <t>R. Dr. Cristiano Rezende, 1875 - Bonsucesso, Belo Horizonte - MG, 31170-800</t>
  </si>
  <si>
    <t>Rua Doutor Cristiano Rezende</t>
  </si>
  <si>
    <t>1875</t>
  </si>
  <si>
    <t>31170-800</t>
  </si>
  <si>
    <t>Centro de Saúde Cafezal</t>
  </si>
  <si>
    <t>LOC_52</t>
  </si>
  <si>
    <t>R. Bela Vista, 30 - Serra, Belo Horizonte - MG, 30250-010</t>
  </si>
  <si>
    <t>Serra</t>
  </si>
  <si>
    <t>CS2</t>
  </si>
  <si>
    <t>Rua Bela Vista</t>
  </si>
  <si>
    <t>30</t>
  </si>
  <si>
    <t>30250-010</t>
  </si>
  <si>
    <t>Centro de Saúde Califórnia</t>
  </si>
  <si>
    <t>LOC_53</t>
  </si>
  <si>
    <t>Av. das Castanholas, 277 - Califórnia, Belo Horizonte - MG, 30850-760</t>
  </si>
  <si>
    <t>California</t>
  </si>
  <si>
    <t>Avenida das Castanholas</t>
  </si>
  <si>
    <t>277</t>
  </si>
  <si>
    <t>30850-760</t>
  </si>
  <si>
    <t>Centro de Saúde Capitão Eduardo</t>
  </si>
  <si>
    <t>LOC_55</t>
  </si>
  <si>
    <t>R. Ângela Benareges, 10 - Capitão Eduardo, Belo Horizonte - MG, 31998-360</t>
  </si>
  <si>
    <t>Capitao Eduardo</t>
  </si>
  <si>
    <t>NE1</t>
  </si>
  <si>
    <t>Rua Ângela Benareges</t>
  </si>
  <si>
    <t>31998-360</t>
  </si>
  <si>
    <t>Centro de Saúde Céu Azul</t>
  </si>
  <si>
    <t>LOC_56</t>
  </si>
  <si>
    <t>Rua Alice Marques, 187 - Bairro Céu Azul</t>
  </si>
  <si>
    <t>Rua Alice Marques</t>
  </si>
  <si>
    <t>187</t>
  </si>
  <si>
    <t>31580-090</t>
  </si>
  <si>
    <t>Centro de Saúde Cidade Ozanan</t>
  </si>
  <si>
    <t>LOC_380</t>
  </si>
  <si>
    <t>Rua Dr. Furtado de Menezes, 610 - Ipiranga, Belo Horizonte - MG, 31160-170</t>
  </si>
  <si>
    <t>Rua Dr. Furtado de Menezes</t>
  </si>
  <si>
    <t>610</t>
  </si>
  <si>
    <t>31160-170</t>
  </si>
  <si>
    <t>Centro de Saúde Confisco</t>
  </si>
  <si>
    <t>LOC_381</t>
  </si>
  <si>
    <t>Rua Polycarpo de Magalhães Viotti, 261 - Bandeirantes (Pampulha), Belo Horizonte - MG, 31365-300</t>
  </si>
  <si>
    <t>Rua Polycarpo de Magalhaes Viotti</t>
  </si>
  <si>
    <t>261</t>
  </si>
  <si>
    <t>31365-300</t>
  </si>
  <si>
    <t>Centro de Saúde Conjunto Betânia</t>
  </si>
  <si>
    <t>LOC_239</t>
  </si>
  <si>
    <t>Rua Onã, 105, Bairro Betânia, Regional Oeste, Belo Horizonte</t>
  </si>
  <si>
    <t>Rua Onã</t>
  </si>
  <si>
    <t>105</t>
  </si>
  <si>
    <t>30590-370</t>
  </si>
  <si>
    <t>Centro de Saúde Conjunto Paulo VI</t>
  </si>
  <si>
    <t>LOC_96</t>
  </si>
  <si>
    <t>R. das Almas, 122 - Conjunto Paulo VI, Belo Horizonte - MG, 31998-020</t>
  </si>
  <si>
    <t>Conjunto Paulo VI</t>
  </si>
  <si>
    <t>Rua das Almas</t>
  </si>
  <si>
    <t>122</t>
  </si>
  <si>
    <t>31998-020</t>
  </si>
  <si>
    <t>Centro de Saúde Copacabana</t>
  </si>
  <si>
    <t>LOC_382</t>
  </si>
  <si>
    <t>Rua Inglaterra nº 940 Bairro Copacabana</t>
  </si>
  <si>
    <t>Copacabana</t>
  </si>
  <si>
    <t>Rua Inglaterra</t>
  </si>
  <si>
    <t>940</t>
  </si>
  <si>
    <t>31540-360</t>
  </si>
  <si>
    <t>Centro de Saúde Coqueiros</t>
  </si>
  <si>
    <t>LOC_58</t>
  </si>
  <si>
    <t>R. Eneida, 1583 - Coqueiros, Belo Horizonte - MG, 30881-120</t>
  </si>
  <si>
    <t>Coqueiros</t>
  </si>
  <si>
    <t>Rua Eneida</t>
  </si>
  <si>
    <t>1583</t>
  </si>
  <si>
    <t>30881-120</t>
  </si>
  <si>
    <t>Centro de Saúde Diamante/ Teixeira Dias</t>
  </si>
  <si>
    <t>LOC_383</t>
  </si>
  <si>
    <t>Rua Rúbia Mara Barbosa, 113 - Olaria, Belo Horizonte - MG, 30660-298</t>
  </si>
  <si>
    <t>Olaria</t>
  </si>
  <si>
    <t>Rua Rúbia Mara Barbosa</t>
  </si>
  <si>
    <t>113</t>
  </si>
  <si>
    <t>30660-298</t>
  </si>
  <si>
    <t>Centro de Saúde Dom Bosco</t>
  </si>
  <si>
    <t>LOC_62</t>
  </si>
  <si>
    <t>Rua Olinto Magalhães, 1939 - Dom Bosco, Belo Horizonte - MG, 30830-050</t>
  </si>
  <si>
    <t>Rua Olinto Magalhães</t>
  </si>
  <si>
    <t>1939</t>
  </si>
  <si>
    <t>30830-050</t>
  </si>
  <si>
    <t>Centro de Saúde Dom Joaquim</t>
  </si>
  <si>
    <t>LOC_384</t>
  </si>
  <si>
    <t>Av. Joaquim José Diniz, 855 - Fernão Dias, Belo Horizonte - MG, 31910-520</t>
  </si>
  <si>
    <t>Fernao Dias</t>
  </si>
  <si>
    <t>NE3</t>
  </si>
  <si>
    <t>Avenida Joaquim José Diniz</t>
  </si>
  <si>
    <t>855</t>
  </si>
  <si>
    <t>31910-520</t>
  </si>
  <si>
    <t>Centro de Saúde Dom Orione</t>
  </si>
  <si>
    <t>LOC_385</t>
  </si>
  <si>
    <t>Avenida Otacílio Negrão de Lima, nº 2.220, bairro São Luiz.</t>
  </si>
  <si>
    <t>Sao Luiz</t>
  </si>
  <si>
    <t>Avenida Otacílio Negrão de Lima</t>
  </si>
  <si>
    <t>2220</t>
  </si>
  <si>
    <t>31310-022</t>
  </si>
  <si>
    <t>Centro de Saúde Glória</t>
  </si>
  <si>
    <t>LOC_66</t>
  </si>
  <si>
    <t>R. Eneida, 955 - Glória, Belo Horizonte - MG, 30881-520</t>
  </si>
  <si>
    <t>Gloria</t>
  </si>
  <si>
    <t>955</t>
  </si>
  <si>
    <t>30881-520</t>
  </si>
  <si>
    <t>Centro de Saúde Goiânia</t>
  </si>
  <si>
    <t>LOC_67</t>
  </si>
  <si>
    <t>Rua Pomba, 677 - Goiânia, Belo Horizonte - MG, 31950-490</t>
  </si>
  <si>
    <t>Goiania</t>
  </si>
  <si>
    <t>NE2</t>
  </si>
  <si>
    <t>Rua Pomba</t>
  </si>
  <si>
    <t>677</t>
  </si>
  <si>
    <t>31950-490</t>
  </si>
  <si>
    <t>Centro de Saúde Granja de Freitas</t>
  </si>
  <si>
    <t>LOC_68</t>
  </si>
  <si>
    <t>Rua São Vicente, 405 - Granja de Freitas, Belo Horizonte - MG, 30286-070</t>
  </si>
  <si>
    <t>Granja de Freitas</t>
  </si>
  <si>
    <t>Rua São Vicente</t>
  </si>
  <si>
    <t>405</t>
  </si>
  <si>
    <t>30286-070</t>
  </si>
  <si>
    <t>Centro de Saúde Heliópolis</t>
  </si>
  <si>
    <t>LOC_70</t>
  </si>
  <si>
    <t>Rua dos Beneditinos nº 120 Bairro Heliópolis</t>
  </si>
  <si>
    <t>Heliopois</t>
  </si>
  <si>
    <t>N3</t>
  </si>
  <si>
    <t>Rua dos Beneditinos</t>
  </si>
  <si>
    <t>120</t>
  </si>
  <si>
    <t>31730-758</t>
  </si>
  <si>
    <t>Centro de Saúde Horto</t>
  </si>
  <si>
    <t>LOC_386</t>
  </si>
  <si>
    <t>R. Pouso Alegre, 2042 - Horto, Belo Horizonte - MG, 31015-104</t>
  </si>
  <si>
    <t>Horto</t>
  </si>
  <si>
    <t>Rua Pouso Alegre</t>
  </si>
  <si>
    <t>2042</t>
  </si>
  <si>
    <t>31015-104</t>
  </si>
  <si>
    <t>Centro de Saúde Independência</t>
  </si>
  <si>
    <t>LOC_241</t>
  </si>
  <si>
    <t>Rua Maria Antonieta Ferreira, 151, Independência, CEP: 30.672-090.</t>
  </si>
  <si>
    <t>Independencia</t>
  </si>
  <si>
    <t>Rua Maria Antonieta Ferreira</t>
  </si>
  <si>
    <t>151</t>
  </si>
  <si>
    <t>30672-090</t>
  </si>
  <si>
    <t>Centro de Saúde Itamarati</t>
  </si>
  <si>
    <t>LOC_387</t>
  </si>
  <si>
    <t>Rua Anita Blumberg, nº 63, Paquetá</t>
  </si>
  <si>
    <t>Paqueta</t>
  </si>
  <si>
    <t>Rua Anita Blumberg</t>
  </si>
  <si>
    <t>63</t>
  </si>
  <si>
    <t>31340-150</t>
  </si>
  <si>
    <t>Centro de Saúde Jardim Alvorada</t>
  </si>
  <si>
    <t>LOC_388</t>
  </si>
  <si>
    <t>R. Engenho do Sol, 580 - Engenho Nogueira, Belo Horizonte - MG, 31320-610</t>
  </si>
  <si>
    <t>Engenho Nogueira</t>
  </si>
  <si>
    <t>Rua Engenho do Sol</t>
  </si>
  <si>
    <t>580</t>
  </si>
  <si>
    <t>31320-610</t>
  </si>
  <si>
    <t>Centro de Saúde Jardim Europa</t>
  </si>
  <si>
    <t>LOC_389</t>
  </si>
  <si>
    <t>Rua Edimburgo, 140 - Jardim Europa - Regional Venda Nova</t>
  </si>
  <si>
    <t>Europa</t>
  </si>
  <si>
    <t>VN1</t>
  </si>
  <si>
    <t>Rua Edimburgo</t>
  </si>
  <si>
    <t>140</t>
  </si>
  <si>
    <t>31620-530</t>
  </si>
  <si>
    <t>Centro de Saúde Jardim Felicidade</t>
  </si>
  <si>
    <t>LOC_74</t>
  </si>
  <si>
    <t>R. Cecilia Trindade Silva, 201 - Jardim Felicidade, Belo Horizonte - MG, 31742-533</t>
  </si>
  <si>
    <t>Jardim Felicidade</t>
  </si>
  <si>
    <t>Rua Cecilia Trindade Silva</t>
  </si>
  <si>
    <t>201</t>
  </si>
  <si>
    <t>31742-533</t>
  </si>
  <si>
    <t>Centro de Saúde Jardim Filadélfia</t>
  </si>
  <si>
    <t>LOC_390</t>
  </si>
  <si>
    <t>Rua Caitité, nº 319, no bairro Jardim Filadélfia, na Regional Noroeste</t>
  </si>
  <si>
    <t>Jardim Filadelfia</t>
  </si>
  <si>
    <t>Rua Caitité</t>
  </si>
  <si>
    <t>319</t>
  </si>
  <si>
    <t>30860-320</t>
  </si>
  <si>
    <t>Centro de Saúde Jardim Guanabara</t>
  </si>
  <si>
    <t>LOC_391</t>
  </si>
  <si>
    <t>Rua Fanny Martins de Barros, nº 71, bairro Jardim Guanabara</t>
  </si>
  <si>
    <t>Jardim Guanabara</t>
  </si>
  <si>
    <t>Rua Fanny Martins de Barros</t>
  </si>
  <si>
    <t>71</t>
  </si>
  <si>
    <t>31742-218</t>
  </si>
  <si>
    <t>Centro de Saúde Jardim Montanhês</t>
  </si>
  <si>
    <t>LOC_76</t>
  </si>
  <si>
    <t>R. Leopoldo Pereira, 407 - Jardim Montanhês, Belo Horizonte - MG, 30750-140</t>
  </si>
  <si>
    <t>Jardim Montanhes</t>
  </si>
  <si>
    <t>Rua Leopoldo Pereira</t>
  </si>
  <si>
    <t>407</t>
  </si>
  <si>
    <t>30750-140</t>
  </si>
  <si>
    <t>Centro de Saúde João Pinheiro</t>
  </si>
  <si>
    <t>LOC_77</t>
  </si>
  <si>
    <t>Rua Frei Luiz de Souza, 811 - João Pinheiro, Belo Horizonte - MG, 30530-310</t>
  </si>
  <si>
    <t>Joao Pinheiro</t>
  </si>
  <si>
    <t>Rua Frei Luiz de Souza</t>
  </si>
  <si>
    <t>811</t>
  </si>
  <si>
    <t>30530-310</t>
  </si>
  <si>
    <t>Centro de Saúde João Vital - Anexo Vila Maria</t>
  </si>
  <si>
    <t>LOC_124</t>
  </si>
  <si>
    <t>Avenida dos Sociais, 305, bairro Jardim Vitória</t>
  </si>
  <si>
    <t>Jardim Vitoria</t>
  </si>
  <si>
    <t>Avenida dos Sociais</t>
  </si>
  <si>
    <t>305</t>
  </si>
  <si>
    <t>31975-265</t>
  </si>
  <si>
    <t>Centro de Saúde Lagoa</t>
  </si>
  <si>
    <t>LOC_392</t>
  </si>
  <si>
    <t>Regional Venda Nova, situado na rua José Sabino Maciel, 176 - Bairro Lagoa, CEP: 31578-060.</t>
  </si>
  <si>
    <t>Lagoa</t>
  </si>
  <si>
    <t>Rua José Sabino Maciel</t>
  </si>
  <si>
    <t>176</t>
  </si>
  <si>
    <t>31578-060</t>
  </si>
  <si>
    <t>Centro de Saúde Leopoldo Chrisóstomo de Castro</t>
  </si>
  <si>
    <t>LOC_393</t>
  </si>
  <si>
    <t>Rua Leôncio Chagas, 157 - União, Belo Horizonte - MG, 31170-590</t>
  </si>
  <si>
    <t>Uniao</t>
  </si>
  <si>
    <t>Rua Leôncio Chagas</t>
  </si>
  <si>
    <t>157</t>
  </si>
  <si>
    <t>31170-590</t>
  </si>
  <si>
    <t>Centro de Saúde Lindeia</t>
  </si>
  <si>
    <t>LOC_81</t>
  </si>
  <si>
    <t>Rua Flor de Maio, 172 - Lindeia. Cep 30.690-170</t>
  </si>
  <si>
    <t>Lindeia</t>
  </si>
  <si>
    <t>Rua Flor de Maio</t>
  </si>
  <si>
    <t>172</t>
  </si>
  <si>
    <t>30690-170</t>
  </si>
  <si>
    <t>Centro de Saúde Marcelo Pontel Gomes</t>
  </si>
  <si>
    <t>LOC_394</t>
  </si>
  <si>
    <t>Rua Branca, nº 15, Jardim Vitória, Belo Horizonte, CEP 31.970-685</t>
  </si>
  <si>
    <t>Rua Branca</t>
  </si>
  <si>
    <t>15</t>
  </si>
  <si>
    <t>31970-685</t>
  </si>
  <si>
    <t>Centro de Saúde Marco Antônio Menezes</t>
  </si>
  <si>
    <t>LOC_80</t>
  </si>
  <si>
    <t>Rua Petrolina, 869 Horto</t>
  </si>
  <si>
    <t>Rua Petrolina</t>
  </si>
  <si>
    <t>869</t>
  </si>
  <si>
    <t>Centro de Saúde Maria Goretti</t>
  </si>
  <si>
    <t>LOC_396</t>
  </si>
  <si>
    <t>R. Herculano Soares Rocha, 780 - Ipê, Belo Horizonte - MG, 31930-020</t>
  </si>
  <si>
    <t>Ipe</t>
  </si>
  <si>
    <t>Rua Herculano Soares Rocha</t>
  </si>
  <si>
    <t>780</t>
  </si>
  <si>
    <t>31930-020</t>
  </si>
  <si>
    <t>Centro de Saúde Mariano de Abreu</t>
  </si>
  <si>
    <t>LOC_397</t>
  </si>
  <si>
    <t>rua Barreiro, nº 1007, bairro Casa Branca, Belo Horizonte, CEP: 31.050-140.</t>
  </si>
  <si>
    <t>Casa Branca</t>
  </si>
  <si>
    <t>Rua Barreiro</t>
  </si>
  <si>
    <t>1007</t>
  </si>
  <si>
    <t>31050-140</t>
  </si>
  <si>
    <t>Centro de Saúde Minas Caixa</t>
  </si>
  <si>
    <t>LOC_83</t>
  </si>
  <si>
    <t>Regional Venda Nova, situado à rua Capitão Sérgio Pires, 226 - Bairro Minas Caixa.</t>
  </si>
  <si>
    <t>Minas Caixa</t>
  </si>
  <si>
    <t>Rua Capitão Sérgio Pires</t>
  </si>
  <si>
    <t>226</t>
  </si>
  <si>
    <t>31615-640</t>
  </si>
  <si>
    <t>Centro de Saúde Miramar</t>
  </si>
  <si>
    <t>LOC_242</t>
  </si>
  <si>
    <t>R. Eridano, 540 - Miramar (Barreiro), Belo Horizonte - MG, 30644-100</t>
  </si>
  <si>
    <t>Miramar</t>
  </si>
  <si>
    <t>B4</t>
  </si>
  <si>
    <t>Rua Eridano</t>
  </si>
  <si>
    <t>540</t>
  </si>
  <si>
    <t>30644-100</t>
  </si>
  <si>
    <t>Centro de Saúde Nazaré</t>
  </si>
  <si>
    <t>LOC_398</t>
  </si>
  <si>
    <t>R. Cruz de Malta, 73 - Nazare, Belo Horizonte - MG, 31990-180</t>
  </si>
  <si>
    <t>Nazare</t>
  </si>
  <si>
    <t>Rua Cruz de Malta</t>
  </si>
  <si>
    <t>73</t>
  </si>
  <si>
    <t>31990-180</t>
  </si>
  <si>
    <t>Centro de Saúde Noraldino de Lima</t>
  </si>
  <si>
    <t>LOC_84</t>
  </si>
  <si>
    <t>Av. Amazonas, 4373 - Nova Suíça, Belo Horizonte - MG, 30421-169</t>
  </si>
  <si>
    <t>Nova Suica</t>
  </si>
  <si>
    <t>Avenida Amazonas</t>
  </si>
  <si>
    <t>4373</t>
  </si>
  <si>
    <t>30421-169</t>
  </si>
  <si>
    <t>Centro de Saúde Nova York</t>
  </si>
  <si>
    <t>LOC_399</t>
  </si>
  <si>
    <t>Rua Wilton Marques Pereira, 10 - Nova York, Belo Horizonte - MG, 31650-585</t>
  </si>
  <si>
    <t>Nova York</t>
  </si>
  <si>
    <t>Rua Wilton Marques Pereira</t>
  </si>
  <si>
    <t>31650-585</t>
  </si>
  <si>
    <t>Centro de Saúde Novo Aarão Reis</t>
  </si>
  <si>
    <t>LOC_86</t>
  </si>
  <si>
    <t>Av. Detetive Eduardo Fernandes, 200 - Novo Aarão Reis, Belo Horizonte - MG, 31845-000</t>
  </si>
  <si>
    <t>Novo Aarao Reis</t>
  </si>
  <si>
    <t>Avenida Detetive Eduardo Fernandes</t>
  </si>
  <si>
    <t>200</t>
  </si>
  <si>
    <t>31845-000</t>
  </si>
  <si>
    <t>Centro de Saúde Novo Horizonte</t>
  </si>
  <si>
    <t>LOC_87</t>
  </si>
  <si>
    <t>Rua Pedro Alexandrino Mendonça, 12 - Taquaril, Belo Horizonte - MG, 30290-590</t>
  </si>
  <si>
    <t>Taquaril</t>
  </si>
  <si>
    <t>Rua Pedro Alexandrino Mendonça</t>
  </si>
  <si>
    <t>12</t>
  </si>
  <si>
    <t>30290-590</t>
  </si>
  <si>
    <t>Centro de Saúde Ouro Minas (Centro de Saúde Olavo Albino Correia)</t>
  </si>
  <si>
    <t>LOC_88</t>
  </si>
  <si>
    <t>Rua Papa Honório III, 8, bairro Ouro Minas, CEP 31870-150.</t>
  </si>
  <si>
    <t>Ouro Minas</t>
  </si>
  <si>
    <t>Rua Papa Honório III</t>
  </si>
  <si>
    <t>8</t>
  </si>
  <si>
    <t>31870-150</t>
  </si>
  <si>
    <t>Centro de Saúde Ouro Preto</t>
  </si>
  <si>
    <t>LOC_89</t>
  </si>
  <si>
    <t>R. Jonas Jean, 77 - Ouro Preto, Belo Horizonte - MG, 31320-335</t>
  </si>
  <si>
    <t>Ouro Preto</t>
  </si>
  <si>
    <t>Rua Jonas Jean</t>
  </si>
  <si>
    <t>77</t>
  </si>
  <si>
    <t>31320-335</t>
  </si>
  <si>
    <t>Centro de Saúde Padre Eustáquio</t>
  </si>
  <si>
    <t>LOC_400</t>
  </si>
  <si>
    <t>R. Carioca, 820 - Padre Eustáquio, Belo Horizonte - MG, 30730-420</t>
  </si>
  <si>
    <t>Rua Carioca</t>
  </si>
  <si>
    <t>820</t>
  </si>
  <si>
    <t>30730-420</t>
  </si>
  <si>
    <t>Centro de Saúde Padre Eustáquio Rua Humaitá</t>
  </si>
  <si>
    <t>LOC_401</t>
  </si>
  <si>
    <t>Rua humaitá nº 1125 bairro Padre Eustáquio</t>
  </si>
  <si>
    <t>Rua Humaitá</t>
  </si>
  <si>
    <t>1125</t>
  </si>
  <si>
    <t>30720-410</t>
  </si>
  <si>
    <t>Centro de Saúde Padre Fernando de Melo</t>
  </si>
  <si>
    <t>LOC_90</t>
  </si>
  <si>
    <t>Rua Conceição Vidigal Paulucci, 150 - Palmares, Belo Horizonte - MG, 31155-440</t>
  </si>
  <si>
    <t>Palmares</t>
  </si>
  <si>
    <t>Rua Conceição Vidigal Paulucci</t>
  </si>
  <si>
    <t>31155-440</t>
  </si>
  <si>
    <t>Centro de Saúde Padre Joaquim Maia</t>
  </si>
  <si>
    <t>LOC_91</t>
  </si>
  <si>
    <t>Rua Boaventura, 1900 - Liberdade, Belo Horizonte - MG, 31270-310</t>
  </si>
  <si>
    <t>Liberdade</t>
  </si>
  <si>
    <t>Rua Boaventura</t>
  </si>
  <si>
    <t>1900</t>
  </si>
  <si>
    <t>31270-310</t>
  </si>
  <si>
    <t>Centro de Saúde Padre Tiago</t>
  </si>
  <si>
    <t>LOC_93</t>
  </si>
  <si>
    <t>Av. João XXIII, 1233 - Alípio de Melo, Belo Horizonte - MG, 30820-660</t>
  </si>
  <si>
    <t>Alipio de Melo</t>
  </si>
  <si>
    <t>Avenida João XXIII</t>
  </si>
  <si>
    <t>1233</t>
  </si>
  <si>
    <t>30820-660</t>
  </si>
  <si>
    <t>Centro de Saúde Palmeiras</t>
  </si>
  <si>
    <t>LOC_94</t>
  </si>
  <si>
    <t>Av. Dom João VI, 1821 - Palmeiras, Belo Horizonte - MG, 30575-460</t>
  </si>
  <si>
    <t>Palmeiras</t>
  </si>
  <si>
    <t>Avenida Dom João VI</t>
  </si>
  <si>
    <t>1821</t>
  </si>
  <si>
    <t>30575-460</t>
  </si>
  <si>
    <t>Centro de Saúde Paraíso</t>
  </si>
  <si>
    <t>LOC_95</t>
  </si>
  <si>
    <t>Av. Mem de Sá, 1001 - Paraíso, Belo Horizonte - MG, 30260-270</t>
  </si>
  <si>
    <t>Paraiso</t>
  </si>
  <si>
    <t>L3</t>
  </si>
  <si>
    <t>Avenida Mem de Sá</t>
  </si>
  <si>
    <t>30260-270</t>
  </si>
  <si>
    <t>Centro de Saúde Paraúna</t>
  </si>
  <si>
    <t>LOC_402</t>
  </si>
  <si>
    <t>rua João Ferreira da Silva, 248 - Bairro Mantiqueira - Venda Nova</t>
  </si>
  <si>
    <t>Mantiqueira</t>
  </si>
  <si>
    <t>Rua João Ferreira da Silva</t>
  </si>
  <si>
    <t>248</t>
  </si>
  <si>
    <t>31680-050</t>
  </si>
  <si>
    <t>Centro de Saúde Pilar Olhos D’água</t>
  </si>
  <si>
    <t>LOC_97</t>
  </si>
  <si>
    <t>R. São Pedro da Aldeia, 55 - Pilar, Belo Horizonte - MG, 30390-000</t>
  </si>
  <si>
    <t>Pilar</t>
  </si>
  <si>
    <t>Rua São Pedro da Aldeia</t>
  </si>
  <si>
    <t>55</t>
  </si>
  <si>
    <t>30390-000</t>
  </si>
  <si>
    <t>Centro de Saúde Pindorama</t>
  </si>
  <si>
    <t>LOC_98</t>
  </si>
  <si>
    <t>R. Rutilo, 96 - Pindorama, Belo Horizonte - MG, 30880-600</t>
  </si>
  <si>
    <t>Pindorama</t>
  </si>
  <si>
    <t>Rua Rutilo</t>
  </si>
  <si>
    <t>96</t>
  </si>
  <si>
    <t>30880-600</t>
  </si>
  <si>
    <t>Centro de Saúde Pompéia</t>
  </si>
  <si>
    <t>LOC_99</t>
  </si>
  <si>
    <t>R. Leopoldo Gomes, 440 - Pompéia, Belo Horizonte - MG, 30280-460</t>
  </si>
  <si>
    <t>Pompeia</t>
  </si>
  <si>
    <t>Rua Leopoldo Gomes</t>
  </si>
  <si>
    <t>440</t>
  </si>
  <si>
    <t>30280-460</t>
  </si>
  <si>
    <t>Centro de Saúde Primeiro de Maio</t>
  </si>
  <si>
    <t>LOC_403</t>
  </si>
  <si>
    <t>R. Volts, 81 - Primeiro de Maio, Belo Horizonte - MG, 31810-000.</t>
  </si>
  <si>
    <t>Primeiro de Maio</t>
  </si>
  <si>
    <t>N4</t>
  </si>
  <si>
    <t>Rua Volts</t>
  </si>
  <si>
    <t>81</t>
  </si>
  <si>
    <t>31810-000</t>
  </si>
  <si>
    <t>Centro de Saúde Regina</t>
  </si>
  <si>
    <t>LOC_404</t>
  </si>
  <si>
    <t>Rua Aristolino Basílio de Oliveira, 467 - Bairro Regina - CEP: 30.692-000</t>
  </si>
  <si>
    <t>Regina</t>
  </si>
  <si>
    <t>Rua Aristolino Basílio de Oliveira</t>
  </si>
  <si>
    <t>467</t>
  </si>
  <si>
    <t>30.692-000</t>
  </si>
  <si>
    <t>Centro de Saúde Salgado Filho</t>
  </si>
  <si>
    <t>LOC_102</t>
  </si>
  <si>
    <t>R. Campína Verde, 375 - Salgado Filho, Belo Horizonte - MG, 30550-340</t>
  </si>
  <si>
    <t>Rua Campina Verde</t>
  </si>
  <si>
    <t>30550-340</t>
  </si>
  <si>
    <t>Centro de Saúde Santa Amélia</t>
  </si>
  <si>
    <t>LOC_405</t>
  </si>
  <si>
    <t>R. Antero de Quental, 185 - Santa Branca, Belo Horizonte - MG, 31565-120</t>
  </si>
  <si>
    <t>Santa Branca</t>
  </si>
  <si>
    <t>Rua Antero de Quental</t>
  </si>
  <si>
    <t>185</t>
  </si>
  <si>
    <t>31565-120</t>
  </si>
  <si>
    <t>Centro de Saúde Santa Inês</t>
  </si>
  <si>
    <t>LOC_104</t>
  </si>
  <si>
    <t>Rua Itumirim, nº 50, no bairro Santa Inês.</t>
  </si>
  <si>
    <t>Santa Ines</t>
  </si>
  <si>
    <t>Rua Itumirim</t>
  </si>
  <si>
    <t>50</t>
  </si>
  <si>
    <t>31080-230</t>
  </si>
  <si>
    <t>Centro de Saúde Santa Rosa</t>
  </si>
  <si>
    <t>LOC_106</t>
  </si>
  <si>
    <t>Av. Bueno Siqueira, 100 - Universitário, Belo Horizonte - MG, 31255-450</t>
  </si>
  <si>
    <t>Universitario</t>
  </si>
  <si>
    <t>Avenida Bueno Siqueira</t>
  </si>
  <si>
    <t>31255-450</t>
  </si>
  <si>
    <t>Centro de Saúde Santa Terezinha</t>
  </si>
  <si>
    <t>LOC_107</t>
  </si>
  <si>
    <t>Rua Senador Virgílio Távora, 157 - Santa Terezinha, Belo Horizonte - MG, 31360-220</t>
  </si>
  <si>
    <t>Santa Terezinha</t>
  </si>
  <si>
    <t>Rua Senador Virgílio Távora</t>
  </si>
  <si>
    <t>31360-220</t>
  </si>
  <si>
    <t>Centro de Saúde Santo Antônio</t>
  </si>
  <si>
    <t>LOC_108</t>
  </si>
  <si>
    <t>Regional Venda Nova, situado à rua Irineu Pinto, 255 - São João Batista.</t>
  </si>
  <si>
    <t>Rua Irineu Pinto</t>
  </si>
  <si>
    <t>255</t>
  </si>
  <si>
    <t>31510-020</t>
  </si>
  <si>
    <t>Centro de Saúde Santos Anjos</t>
  </si>
  <si>
    <t>LOC_109</t>
  </si>
  <si>
    <t>Rua Miosótis nº 15 B Bairro Caiçaras</t>
  </si>
  <si>
    <t>Rua Miosótis</t>
  </si>
  <si>
    <t>31230-180</t>
  </si>
  <si>
    <t>Centro de Saúde São Cristóvão</t>
  </si>
  <si>
    <t>LOC_406</t>
  </si>
  <si>
    <t>Rua Itapecerica nº 555 Bairro Lagoinha</t>
  </si>
  <si>
    <t>Rua Itapecerica</t>
  </si>
  <si>
    <t>555</t>
  </si>
  <si>
    <t>31210-030</t>
  </si>
  <si>
    <t>Centro de Saúde São Geraldo</t>
  </si>
  <si>
    <t>LOC_111</t>
  </si>
  <si>
    <t>Avenida Itaituba, nº 318, bairro São Geraldo, Belo Horizonte, CEP: 31.060-420;</t>
  </si>
  <si>
    <t>Sao Geraldo</t>
  </si>
  <si>
    <t>Avenida Itaituba</t>
  </si>
  <si>
    <t>318</t>
  </si>
  <si>
    <t>31060-420</t>
  </si>
  <si>
    <t>Centro de Saúde São Jorge</t>
  </si>
  <si>
    <t>LOC_112</t>
  </si>
  <si>
    <t>Rua Garret, 45, Bairro Grajaú, Regional Oeste, Belo Horizonte</t>
  </si>
  <si>
    <t>Grajau</t>
  </si>
  <si>
    <t>Rua Garret</t>
  </si>
  <si>
    <t>45</t>
  </si>
  <si>
    <t>30431-186</t>
  </si>
  <si>
    <t>Centro de Saúde São José</t>
  </si>
  <si>
    <t>LOC_113</t>
  </si>
  <si>
    <t>R. Violeta de Melo, 655 - Jardim São José, Belo Horizonte - MG, 30820-470</t>
  </si>
  <si>
    <t>Jardim Sao Jose</t>
  </si>
  <si>
    <t>Rua Violeta de Melo</t>
  </si>
  <si>
    <t>655</t>
  </si>
  <si>
    <t>30820-470</t>
  </si>
  <si>
    <t>Centro de Saúde São José Operário</t>
  </si>
  <si>
    <t>LOC_114</t>
  </si>
  <si>
    <t>Rua Simão Pereira, nº 73, bairro Nova Vista, Belo Horizonte, CEP: 31.070-220</t>
  </si>
  <si>
    <t>Nova Vista</t>
  </si>
  <si>
    <t>Rua Simão Pereira</t>
  </si>
  <si>
    <t>31070-220</t>
  </si>
  <si>
    <t>Centro de Saúde São Marcos</t>
  </si>
  <si>
    <t>LOC_407</t>
  </si>
  <si>
    <t>R. Paulista, 571 - São Marcos, Belo Horizonte - MG, 31910-340</t>
  </si>
  <si>
    <t>Sao Marcos</t>
  </si>
  <si>
    <t>Rua Paulista</t>
  </si>
  <si>
    <t>571</t>
  </si>
  <si>
    <t>31910-340</t>
  </si>
  <si>
    <t>Centro de Saúde São Miguel Arcanjo</t>
  </si>
  <si>
    <t>LOC_115</t>
  </si>
  <si>
    <t>R. Nossa Sra. de Fátima, 2240 - Nossa Senhora de Fátima, Belo Horizonte - MG, 30230-000</t>
  </si>
  <si>
    <t>Nossa Senhora de Fatima</t>
  </si>
  <si>
    <t>CS3</t>
  </si>
  <si>
    <t>Rua Nossa Senhora de Fátima</t>
  </si>
  <si>
    <t>2240</t>
  </si>
  <si>
    <t>30230-000</t>
  </si>
  <si>
    <t>Centro de Saúde São Paulo</t>
  </si>
  <si>
    <t>LOC_408</t>
  </si>
  <si>
    <t>R. Aiuruoca, 455 - São Paulo, Belo Horizonte - MG, 31910-000</t>
  </si>
  <si>
    <t>Sao Paulo</t>
  </si>
  <si>
    <t>Rua Aiuruoca</t>
  </si>
  <si>
    <t>455</t>
  </si>
  <si>
    <t>31910-000</t>
  </si>
  <si>
    <t>Centro de Saúde São Tomás</t>
  </si>
  <si>
    <t>LOC_116</t>
  </si>
  <si>
    <t>R. Santa Rosa, 54 - São Tomaz, Belo Horizonte - MG, 31741-095</t>
  </si>
  <si>
    <t>Sao Tomaz</t>
  </si>
  <si>
    <t>Rua Santa Rosa</t>
  </si>
  <si>
    <t>54</t>
  </si>
  <si>
    <t>31741-095</t>
  </si>
  <si>
    <t>Centro de Saúde Serrano</t>
  </si>
  <si>
    <t>LOC_117</t>
  </si>
  <si>
    <t>Rua Tocantins, nº 471, no bairro Serrano, na Regional Pampulha</t>
  </si>
  <si>
    <t>Serrano</t>
  </si>
  <si>
    <t>Rua Tocantins</t>
  </si>
  <si>
    <t>471</t>
  </si>
  <si>
    <t>Centro de Saúde Taquaril</t>
  </si>
  <si>
    <t>LOC_118</t>
  </si>
  <si>
    <t>Rua Des. Bráulio, 2.200 - Taquaril, Belo Horizonte - MG, 30290-020</t>
  </si>
  <si>
    <t>Rua Desembargador Bráulio</t>
  </si>
  <si>
    <t>2200</t>
  </si>
  <si>
    <t>30290-020</t>
  </si>
  <si>
    <t>Centro de Saúde Teixeira Dias</t>
  </si>
  <si>
    <t>LOC_240</t>
  </si>
  <si>
    <t>Rua Maria Marcolina Souza, 40 - Teixeira Dias (Barreiro) - Cep 30.644-190</t>
  </si>
  <si>
    <t>Teixeira Dias</t>
  </si>
  <si>
    <t>Rua Maria Marcolina Souza</t>
  </si>
  <si>
    <t>40</t>
  </si>
  <si>
    <t>30644-190</t>
  </si>
  <si>
    <t>Centro de Saúde Urucuia</t>
  </si>
  <si>
    <t>LOC_409</t>
  </si>
  <si>
    <t>Rua Nelson de Paula Pires, 325 - Pongelupe. Cep 30.628-030</t>
  </si>
  <si>
    <t>Pongelupe</t>
  </si>
  <si>
    <t>Rua Nelson de Paula Pires</t>
  </si>
  <si>
    <t>325</t>
  </si>
  <si>
    <t>30628-030</t>
  </si>
  <si>
    <t>Centro de Saúde Vale do Jatobá</t>
  </si>
  <si>
    <t>LOC_410</t>
  </si>
  <si>
    <t>Rua Domício Gabriel de Vasconcelos, nº 100, bairro Vale do Jatobá</t>
  </si>
  <si>
    <t>Vale do Jatoba</t>
  </si>
  <si>
    <t>Rua Domício Gabriel de Vasconcelos</t>
  </si>
  <si>
    <t>Centro de Saúde Ventosa</t>
  </si>
  <si>
    <t>LOC_411</t>
  </si>
  <si>
    <t>R. Corcovado, 1522 - Jardim America, Belo Horizonte - MG, 30421-496</t>
  </si>
  <si>
    <t>Jardim America</t>
  </si>
  <si>
    <t>Rua Corcovado</t>
  </si>
  <si>
    <t>1522</t>
  </si>
  <si>
    <t>30421-496</t>
  </si>
  <si>
    <t>Centro de Saúde Vila CEMIG</t>
  </si>
  <si>
    <t>LOC_412</t>
  </si>
  <si>
    <t>R. Coletivo, 68 - Vila Cemig, Belo Horizonte - MG, 30624-350</t>
  </si>
  <si>
    <t>Vila Cemig</t>
  </si>
  <si>
    <t>Rua Coletivo</t>
  </si>
  <si>
    <t>30624-350</t>
  </si>
  <si>
    <t>Centro de Saúde Vila Imperial</t>
  </si>
  <si>
    <t>LOC_122</t>
  </si>
  <si>
    <t>Rua Guilherme Pinto da Fonseca, 350 - Me. Gertrudes, Belo Horizonte - MG, 30518-240</t>
  </si>
  <si>
    <t>Rua Guilherme Pinto da Fonseca</t>
  </si>
  <si>
    <t>350</t>
  </si>
  <si>
    <t>30518-240</t>
  </si>
  <si>
    <t>Centro de Saúde Vila Leolina</t>
  </si>
  <si>
    <t>LOC_123</t>
  </si>
  <si>
    <t>Praça do Ensino, 240 - Alpes, Belo Horizonte - MG, 30421-484</t>
  </si>
  <si>
    <t>Alpes</t>
  </si>
  <si>
    <t>O3</t>
  </si>
  <si>
    <t>Praça do Ensino</t>
  </si>
  <si>
    <t>30421-484</t>
  </si>
  <si>
    <t>Centro de Saúde Vila Pinho</t>
  </si>
  <si>
    <t>LOC_413</t>
  </si>
  <si>
    <t>Rua Otaviano de Carvalho, 174 - Vila Pinho Vale do Jatobá, Belo Horizonte - MG, 30668-090</t>
  </si>
  <si>
    <t>Vila Pinho</t>
  </si>
  <si>
    <t>Rua Otaviano de Carvalho</t>
  </si>
  <si>
    <t>174</t>
  </si>
  <si>
    <t>30668-090</t>
  </si>
  <si>
    <t>Centro de Saúde Vista Alegre</t>
  </si>
  <si>
    <t>LOC_125</t>
  </si>
  <si>
    <t>R. Sêneca, 9 - Nova Cintra, Belo Horizonte - MG, 30516-260</t>
  </si>
  <si>
    <t>Nova Cintra</t>
  </si>
  <si>
    <t>Rua Sêneca</t>
  </si>
  <si>
    <t>9</t>
  </si>
  <si>
    <t>30516-260</t>
  </si>
  <si>
    <t>Centro de Saúde Waldomiro Lobo</t>
  </si>
  <si>
    <t>LOC_414</t>
  </si>
  <si>
    <t>Av. Amazonas, 8889 - Térreo - Me. Gertrudes, Belo Horizonte - MG, 30180-001</t>
  </si>
  <si>
    <t>8889</t>
  </si>
  <si>
    <t>30180-001</t>
  </si>
  <si>
    <t>Centro de Vivência Agroecológica CEVAE Taquaril</t>
  </si>
  <si>
    <t>LOC_415</t>
  </si>
  <si>
    <t>Rua Estr. dos Freitas - Granja de Freitas, Belo Horizonte - MG, 30285-310</t>
  </si>
  <si>
    <t>Rua Estrada dos Freitas</t>
  </si>
  <si>
    <t>30285-310</t>
  </si>
  <si>
    <t>Centro Especializado Odontológico Rua Eugenio Volpini</t>
  </si>
  <si>
    <t>LOC_416</t>
  </si>
  <si>
    <t>rua Eugênio Volpíni, 143 - São João Batista.</t>
  </si>
  <si>
    <t>Rua Eugênio Volpíni</t>
  </si>
  <si>
    <t>143</t>
  </si>
  <si>
    <t>31515-190</t>
  </si>
  <si>
    <t>Centro Especializado Odontológico Rua Padre Pedro Pinto</t>
  </si>
  <si>
    <t>LOC_417</t>
  </si>
  <si>
    <t>rua Padre Pedro Pinto, 322. Venda Nova</t>
  </si>
  <si>
    <t>Centro Esportivo do Conjunto Águas Claras</t>
  </si>
  <si>
    <t>LOC_418</t>
  </si>
  <si>
    <t>Rua João Bosco do Carmo, esquina com a Rua Terezinha de Jesus Carvalho, bairro Conjunto Águas Claras.</t>
  </si>
  <si>
    <t>Aguas Claras</t>
  </si>
  <si>
    <t>Rua João Bosco do Carmo, esquina com a Rua Terezinha de Jesus Carvalho</t>
  </si>
  <si>
    <t>Centro Esportivo José Calegário de Cristo</t>
  </si>
  <si>
    <t>LOC_419</t>
  </si>
  <si>
    <t>Rua Ulisses Surette, 386 - Solar do Barreiro, Belo Horizonte - MG, 30628-270.</t>
  </si>
  <si>
    <t>Solar do Barreiro</t>
  </si>
  <si>
    <t>Rua Ulisses Surette</t>
  </si>
  <si>
    <t>386</t>
  </si>
  <si>
    <t>30628-270</t>
  </si>
  <si>
    <t>Centro Municipal de Oftalmologia</t>
  </si>
  <si>
    <t>LOC_420</t>
  </si>
  <si>
    <t>R. Frederico Bracher Júnior, 103 - Carlos Prates, Belo Horizonte - MG, 30710-580</t>
  </si>
  <si>
    <t>Carlos Prates</t>
  </si>
  <si>
    <t>Rua Frederico Bracher Júnior</t>
  </si>
  <si>
    <t>103</t>
  </si>
  <si>
    <t>30710-580</t>
  </si>
  <si>
    <t>Complexo Hospitalar São Francisco CNES 0026840</t>
  </si>
  <si>
    <t>LOC_421</t>
  </si>
  <si>
    <t>R. Itamaracá, 535 - Concórdia, Belo Horizonte - MG, 31110-580</t>
  </si>
  <si>
    <t>Rua Itamaracá</t>
  </si>
  <si>
    <t>535</t>
  </si>
  <si>
    <t>31110-580</t>
  </si>
  <si>
    <t>Córrego Capão dos Porcos ou Mineirão - Vila Pinho</t>
  </si>
  <si>
    <t>LOC_422</t>
  </si>
  <si>
    <t>Avenida Perimetral, 1.500, Vale do Jatobá</t>
  </si>
  <si>
    <t>Avenida Perimetral</t>
  </si>
  <si>
    <t>1500</t>
  </si>
  <si>
    <t>CRAS Apolônia</t>
  </si>
  <si>
    <t>LOC_423</t>
  </si>
  <si>
    <t>R. Visc. de Itaboraí, 304 - Jardim Leblon, Belo Horizonte - MG, 31540-460</t>
  </si>
  <si>
    <t>Jardim Leblon</t>
  </si>
  <si>
    <t>Rua Visc. de Itaboraí</t>
  </si>
  <si>
    <t>304</t>
  </si>
  <si>
    <t>31540-460</t>
  </si>
  <si>
    <t>CRAS Providência</t>
  </si>
  <si>
    <t>LOC_424</t>
  </si>
  <si>
    <t>Rua São Sebastião, 140 - Minaslandia, Belo Horizonte - MG, 31810-380</t>
  </si>
  <si>
    <t>Minaslandia</t>
  </si>
  <si>
    <t>Rua São Sebastião</t>
  </si>
  <si>
    <t>31810-380</t>
  </si>
  <si>
    <t>CRAS Taquaril</t>
  </si>
  <si>
    <t>LOC_425</t>
  </si>
  <si>
    <t>R. Ludgéro Felipe Ferreira, 42 - Conj. Taquaril, Belo Horizonte - MG, 30290-650</t>
  </si>
  <si>
    <t>R. Ludgéro Felipe Ferreira</t>
  </si>
  <si>
    <t>42</t>
  </si>
  <si>
    <t>30290-650</t>
  </si>
  <si>
    <t>Entidade Turminha Alegre</t>
  </si>
  <si>
    <t>LOC_426</t>
  </si>
  <si>
    <t>Rua Jane Eyre, nº 700, no Bairro Primeiro de Maio.</t>
  </si>
  <si>
    <t>Rua Jane Eyre</t>
  </si>
  <si>
    <t>700</t>
  </si>
  <si>
    <t>31810-290</t>
  </si>
  <si>
    <t>Entre as ruas Pernambuco e Fernandes Tourinho,Centro</t>
  </si>
  <si>
    <t>LOC_427</t>
  </si>
  <si>
    <t>Centro</t>
  </si>
  <si>
    <t>Entre as ruas Pernambuco e Fernandes Tourinho</t>
  </si>
  <si>
    <t>Escadaria  Rua Flor de Verdade, 273, Jardim Montanhês</t>
  </si>
  <si>
    <t>LOC_428</t>
  </si>
  <si>
    <t>Rua Flor de Verdade</t>
  </si>
  <si>
    <t>273</t>
  </si>
  <si>
    <t>30810-110</t>
  </si>
  <si>
    <t>Escadaria entre Rua São Pedro e Rua Sylvio Silva</t>
  </si>
  <si>
    <t>LOC_429</t>
  </si>
  <si>
    <t>Escadaria entre R. São Pedro, 92 e R. Sylvio Silva, 239 - Paulo VI, Belo Horizonte - MG</t>
  </si>
  <si>
    <t>Paulo VI</t>
  </si>
  <si>
    <t>Rua São Pedro</t>
  </si>
  <si>
    <t>92</t>
  </si>
  <si>
    <t>31995-370</t>
  </si>
  <si>
    <t>Escola Governador Carlos Lacerda</t>
  </si>
  <si>
    <t>LOC_430</t>
  </si>
  <si>
    <t>Rua Princesa Leopoldina, 490 - Ipiranga, Belo Horizonte - MG, 31160-120</t>
  </si>
  <si>
    <t>Rua Princesa Leopoldina</t>
  </si>
  <si>
    <t>490</t>
  </si>
  <si>
    <t>31160-120</t>
  </si>
  <si>
    <t>Escola Municipal Adauto Lúcio Cardoso</t>
  </si>
  <si>
    <t>LOC_431</t>
  </si>
  <si>
    <t>Rua Ernesto Gazzolli, 116-182 - Céu Azul, Belo Horizonte - MG, 31580-160</t>
  </si>
  <si>
    <t>Rua Ernesto Gazzolli</t>
  </si>
  <si>
    <t>31580-160</t>
  </si>
  <si>
    <t>Escola Municipal Cônsul Antônio Cadar</t>
  </si>
  <si>
    <t>LOC_432</t>
  </si>
  <si>
    <t>Rua Rio Parnaíba, 30 - Providência, Belo Horizonte - MG, 31814-140</t>
  </si>
  <si>
    <t>Providência</t>
  </si>
  <si>
    <t>Rua Rio Parnaíba</t>
  </si>
  <si>
    <t>31814-140</t>
  </si>
  <si>
    <t>Escola Municipal de Educação Infantil Céu Azul</t>
  </si>
  <si>
    <t>LOC_160</t>
  </si>
  <si>
    <t>Rua São João Batista do Glória, 530, bairro Piratininga</t>
  </si>
  <si>
    <t>Piratininga</t>
  </si>
  <si>
    <t>Rua São João Batista do Glória</t>
  </si>
  <si>
    <t>530</t>
  </si>
  <si>
    <t>Escola Municipal de Educação Infantil - EMEI Professor Christovam Colombo Santos</t>
  </si>
  <si>
    <t>LOC_154</t>
  </si>
  <si>
    <t>Rua Vereador Nelson Cunha, 137, Estoril</t>
  </si>
  <si>
    <t>Estoril</t>
  </si>
  <si>
    <t>Rua Vereador Nelson Cunha</t>
  </si>
  <si>
    <t>137</t>
  </si>
  <si>
    <t>30455-070</t>
  </si>
  <si>
    <t>Escola Municipal de Educação Infantil Silva Lobo</t>
  </si>
  <si>
    <t>LOC_435</t>
  </si>
  <si>
    <t>Av. Silva Lobo, 2220 - Nova Granada, Belo Horizonte - MG, 30431-262</t>
  </si>
  <si>
    <t>Nova Granada</t>
  </si>
  <si>
    <t>Avenida Silva Lobo</t>
  </si>
  <si>
    <t>30431-262</t>
  </si>
  <si>
    <t>Escola Municipal de Educação Infantil Solar Rubi</t>
  </si>
  <si>
    <t>LOC_436</t>
  </si>
  <si>
    <t>Av. Warlei Aparecido Martins, 730 - Solar do Barreiro, Belo Horizonte - MG, 30628-615</t>
  </si>
  <si>
    <t>Avenida Warlei Aparecido Martins</t>
  </si>
  <si>
    <t>730</t>
  </si>
  <si>
    <t>30628-615</t>
  </si>
  <si>
    <t>Escola Municipal de Educação Infantil Taquaril</t>
  </si>
  <si>
    <t>LOC_437</t>
  </si>
  <si>
    <t>R. Des. Bráulio, 3550 - Taquaril, Belo Horizonte - MG, 30290-020</t>
  </si>
  <si>
    <t>3550</t>
  </si>
  <si>
    <t>Escola Municipal de Educação Infantil VENDA NOVA</t>
  </si>
  <si>
    <t>LOC_438</t>
  </si>
  <si>
    <t>Rua Dr. Álvaro Camargos, 14 - Venda Nova, Belo Horizonte - MG, 31515-142</t>
  </si>
  <si>
    <t>Rua Doutor Álvaro Camargos</t>
  </si>
  <si>
    <t>14</t>
  </si>
  <si>
    <t>31515-142</t>
  </si>
  <si>
    <t>Escola Municipal de Educação Infantil Vila Leonina</t>
  </si>
  <si>
    <t>LOC_439</t>
  </si>
  <si>
    <t>R. Dezenove de Dezembro, 331 - Leonina, Belo Horizonte - MG, 30451-630</t>
  </si>
  <si>
    <t>Leonina</t>
  </si>
  <si>
    <t>Rua Dezenove de Dezembro</t>
  </si>
  <si>
    <t>331</t>
  </si>
  <si>
    <t>30451-630</t>
  </si>
  <si>
    <t>Escola Municipal de Ensino Especial Frei Leopoldo</t>
  </si>
  <si>
    <t>LOC_440</t>
  </si>
  <si>
    <t>Rua Clóvis Cyrilo Limonge, 141 - Havaí, Belo Horizonte - MG, 30555-030</t>
  </si>
  <si>
    <t>Havai</t>
  </si>
  <si>
    <t>Rua Clóvis Cyrilo Limonge</t>
  </si>
  <si>
    <t>141</t>
  </si>
  <si>
    <t>30555-030</t>
  </si>
  <si>
    <t>Escola Municipal Deputado Milton Salles</t>
  </si>
  <si>
    <t>LOC_172</t>
  </si>
  <si>
    <t>R. Teófilo Filho, 222 - Estoril, Belo Horizonte - MG, 30494-005</t>
  </si>
  <si>
    <t>Rua Teófilo Filho</t>
  </si>
  <si>
    <t>222</t>
  </si>
  <si>
    <t>30494-005</t>
  </si>
  <si>
    <t>Escola Municipal Edith Pimenta da Veiga</t>
  </si>
  <si>
    <t>LOC_441</t>
  </si>
  <si>
    <t>Alameda Vargem Grande, 38 Vila - Castanheira, Belo Horizonte - MG, 30668-150</t>
  </si>
  <si>
    <t>Alameda Vargem Grande</t>
  </si>
  <si>
    <t>38</t>
  </si>
  <si>
    <t>30668-150</t>
  </si>
  <si>
    <t>Escola Municipal Elisa Buzelin</t>
  </si>
  <si>
    <t>LOC_442</t>
  </si>
  <si>
    <t>Rua Jair Afonso Inácio, 277 - Piratininga, Belo Horizonte - MG, 31570-430</t>
  </si>
  <si>
    <t>Rua Jair Afonso Inácio</t>
  </si>
  <si>
    <t>31570-430</t>
  </si>
  <si>
    <t>Escola Municipal Henriqueta Lisboa</t>
  </si>
  <si>
    <t>LOC_443</t>
  </si>
  <si>
    <t>Rua Georgina de Pádua, 207 - Fernão Dias, Belo Horizonte - MG, 31920-360</t>
  </si>
  <si>
    <t>Rua Georgina de Pádua</t>
  </si>
  <si>
    <t>207</t>
  </si>
  <si>
    <t>31920-360</t>
  </si>
  <si>
    <t>Escola Municipal Hugo Werneck</t>
  </si>
  <si>
    <t>LOC_444</t>
  </si>
  <si>
    <t>R. Oscar Trompowsky, 1372 - São Jorge, Belo Horizonte - MG, 30440-000</t>
  </si>
  <si>
    <t>Sao Jorge</t>
  </si>
  <si>
    <t>Rua Oscar Trompowsky</t>
  </si>
  <si>
    <t>1372</t>
  </si>
  <si>
    <t>30440-000</t>
  </si>
  <si>
    <t>Escola Municipal Luiz Gonzaga Júnior</t>
  </si>
  <si>
    <t>LOC_445</t>
  </si>
  <si>
    <t>R. Maria Pereira Damasceno, 65 - Vale do Jatoba, Belo Horizonte - MG, 30668-430</t>
  </si>
  <si>
    <t>Rua Maria Pereira Damasceno</t>
  </si>
  <si>
    <t>65</t>
  </si>
  <si>
    <t>30668-430</t>
  </si>
  <si>
    <t>Escola Municipal Minervina Augusta</t>
  </si>
  <si>
    <t>LOC_187</t>
  </si>
  <si>
    <t>Rua David Canabarro, 18 - Campo Alegre, Belo Horizonte - MG, 31730-200</t>
  </si>
  <si>
    <t>Campo Alegre</t>
  </si>
  <si>
    <t>Rua David Canabarro</t>
  </si>
  <si>
    <t>18</t>
  </si>
  <si>
    <t>31730-200</t>
  </si>
  <si>
    <t>Escola Municipal Oswaldo Cruz</t>
  </si>
  <si>
    <t>LOC_188</t>
  </si>
  <si>
    <t>R. Santos, 2200 - Jardim America, Belo Horizonte - MG, 30421-490</t>
  </si>
  <si>
    <t>Rua Santos</t>
  </si>
  <si>
    <t>30421-490</t>
  </si>
  <si>
    <t>Escola Municipal Oswaldo Pieruccetti</t>
  </si>
  <si>
    <t>LOC_191</t>
  </si>
  <si>
    <t>R. Regida, 309 - Conj. Jardim Filadélfia, Belo Horizonte - MG, 30860-320</t>
  </si>
  <si>
    <t>Conjunto Jardim Filadelfia</t>
  </si>
  <si>
    <t>Rua Regida</t>
  </si>
  <si>
    <t>309</t>
  </si>
  <si>
    <t>Escola Municipal Professor Daniel Alvarenga</t>
  </si>
  <si>
    <t>LOC_446</t>
  </si>
  <si>
    <t>Rua Coquilho, 155 - Vila Zilah Sposito, Belo Horizonte - MG, 31748-495</t>
  </si>
  <si>
    <t>Vila Zilah Sposito</t>
  </si>
  <si>
    <t>N1</t>
  </si>
  <si>
    <t>Rua Coquilho</t>
  </si>
  <si>
    <t>155</t>
  </si>
  <si>
    <t>31748-495</t>
  </si>
  <si>
    <t>Escola Municipal Professor Domiciano Vieira</t>
  </si>
  <si>
    <t>LOC_447</t>
  </si>
  <si>
    <t>R. São Bento, 1591 - Horto, Belo Horizonte - MG, 31035-060</t>
  </si>
  <si>
    <t>Rua São Bento</t>
  </si>
  <si>
    <t>1591</t>
  </si>
  <si>
    <t>31035-060</t>
  </si>
  <si>
    <t>Escola Municipal Professor Emídio Beruto</t>
  </si>
  <si>
    <t>LOC_448</t>
  </si>
  <si>
    <t>R. Conceição do Pará, 1726 - Santa Ines, Belo Horizonte - MG, 31080-020</t>
  </si>
  <si>
    <t>Rua Conceição do Pará</t>
  </si>
  <si>
    <t>1726</t>
  </si>
  <si>
    <t>31080-020</t>
  </si>
  <si>
    <t>Escola Municipal Professor Moacyr de Andrade</t>
  </si>
  <si>
    <t>LOC_193</t>
  </si>
  <si>
    <t>Rua dos Caçadores, 93 - Vila Santa Branca (Venda Nova), Belo Horizonte - MG, 31575-320</t>
  </si>
  <si>
    <t>Rua dos Caçadores</t>
  </si>
  <si>
    <t>93</t>
  </si>
  <si>
    <t>31575-320</t>
  </si>
  <si>
    <t>Escola Municipal Professora Maria Modesta Cravo</t>
  </si>
  <si>
    <t>LOC_449</t>
  </si>
  <si>
    <t>Av. Doutor Júlio Otaviano Ferreira, 1085 - Cidade Nova, Belo Horizonte - MG, 31170-200</t>
  </si>
  <si>
    <t>Cidade Nova</t>
  </si>
  <si>
    <t>Avenida Doutor Júlio Otaviano Ferreira</t>
  </si>
  <si>
    <t>1085</t>
  </si>
  <si>
    <t>31170-200</t>
  </si>
  <si>
    <t>Escola Municipal Rui da Costa Val</t>
  </si>
  <si>
    <t>LOC_450</t>
  </si>
  <si>
    <t>Rua Célia Trindade Silva, 221, Jardim Felicidade</t>
  </si>
  <si>
    <t>Rua Célia Trindade Silva</t>
  </si>
  <si>
    <t>221</t>
  </si>
  <si>
    <t>Escola Municipal Santos Dumont</t>
  </si>
  <si>
    <t>LOC_169</t>
  </si>
  <si>
    <t>Av. Mem de Sá, 600 - Santa Efigênia, Belo Horizonte - MG, 30260-270</t>
  </si>
  <si>
    <t>600</t>
  </si>
  <si>
    <t>Escola Municipal Sebastião Guilherme</t>
  </si>
  <si>
    <t>LOC_451</t>
  </si>
  <si>
    <t>R. Calendula, 10 - Olaria, Belo Horizonte - MG, 30660-440</t>
  </si>
  <si>
    <t>Rua Calendula</t>
  </si>
  <si>
    <t>30660-440</t>
  </si>
  <si>
    <t>Escola Municipal Secretário Humberto Almeida</t>
  </si>
  <si>
    <t>LOC_195</t>
  </si>
  <si>
    <t>R. Areia Branca, 3 - Ribeiro de Abreu, Belo Horizonte - MG, 31872-400</t>
  </si>
  <si>
    <t>Ribeiro de Abreu</t>
  </si>
  <si>
    <t>Rua Areia Branca</t>
  </si>
  <si>
    <t>3</t>
  </si>
  <si>
    <t>31872-400</t>
  </si>
  <si>
    <t>Estúdio De Música Centro de Referencia da Juventude (CRJ)</t>
  </si>
  <si>
    <t>LOC_452</t>
  </si>
  <si>
    <t>Rua Guaicurus, 50 - Centro</t>
  </si>
  <si>
    <t>Rua Guaicurus</t>
  </si>
  <si>
    <t>30111-060</t>
  </si>
  <si>
    <t>GEDAM GRUPO DE EDUCAÇãO DESENVOLVIMENTO E APOIO AO MENOR</t>
  </si>
  <si>
    <t>LOC_453</t>
  </si>
  <si>
    <t>Rua Alameda do Grotão, nº 07 - Nova Barroca</t>
  </si>
  <si>
    <t>Nova Barroca</t>
  </si>
  <si>
    <t>Rua Alameda do Grotão</t>
  </si>
  <si>
    <t>7</t>
  </si>
  <si>
    <t>30555-270</t>
  </si>
  <si>
    <t>Grupamento de Operações com cães da Guarda Civil de BH (Parque Gilherme Lage)</t>
  </si>
  <si>
    <t>LOC_454</t>
  </si>
  <si>
    <t>Parque Guilherme Lage, na Rua Angola, nº 665, no Bairro São Paulo.</t>
  </si>
  <si>
    <t>Rua Angola</t>
  </si>
  <si>
    <t>665</t>
  </si>
  <si>
    <t>31910-060</t>
  </si>
  <si>
    <t>Hemocentro de Belo Horizonte - Fundação Hemominas</t>
  </si>
  <si>
    <t>LOC_455</t>
  </si>
  <si>
    <t>Alameda Ezequiel Dias, 321 - Santa Efigênia, Belo Horizonte - MG, 30130-110</t>
  </si>
  <si>
    <t>Alameda Ezequiel Dias</t>
  </si>
  <si>
    <t>321</t>
  </si>
  <si>
    <t>30130-110</t>
  </si>
  <si>
    <t>Hospital Alberto Cavalcanti</t>
  </si>
  <si>
    <t>LOC_204</t>
  </si>
  <si>
    <t>R. Camilo de Brito, 636 - Padre Eustáquio, Belo Horizonte - MG, 30730-540</t>
  </si>
  <si>
    <t>Rua Camilo de Brito</t>
  </si>
  <si>
    <t>636</t>
  </si>
  <si>
    <t>30730-540</t>
  </si>
  <si>
    <t>Hospital da Baleia</t>
  </si>
  <si>
    <t>LOC_205</t>
  </si>
  <si>
    <t>R. Juramento, 1464 - Saudade, Belo Horizonte - MG, 30285-408</t>
  </si>
  <si>
    <t>Saudade</t>
  </si>
  <si>
    <t>Rua Juramento</t>
  </si>
  <si>
    <t>1464</t>
  </si>
  <si>
    <t>30285-408</t>
  </si>
  <si>
    <t>Hospital Eduardo de Menezes, Ambulatório Anyky Lima</t>
  </si>
  <si>
    <t>LOC_207</t>
  </si>
  <si>
    <t>R. Dr. Cristiano Rezende, 2213 - Bonsucesso, Belo Horizonte - MG, 30622-020</t>
  </si>
  <si>
    <t>Rua Dr. Cristiano Rezende</t>
  </si>
  <si>
    <t>2213</t>
  </si>
  <si>
    <t>30622-020</t>
  </si>
  <si>
    <t>Hospital Eduardo Menezes (CNES 2181770)</t>
  </si>
  <si>
    <t>LOC_206</t>
  </si>
  <si>
    <t>Hospital Evangélico</t>
  </si>
  <si>
    <t>LOC_208</t>
  </si>
  <si>
    <t>R. Doutor Alípio Goulart, 25 - Serra, Belo Horizonte - MG, 30220-330</t>
  </si>
  <si>
    <t>Rua Doutor Alípio Goulart</t>
  </si>
  <si>
    <t>25</t>
  </si>
  <si>
    <t>30220-330</t>
  </si>
  <si>
    <t>Hospital Infantil João Paulo II</t>
  </si>
  <si>
    <t>LOC_209</t>
  </si>
  <si>
    <t>Alameda Ezequiel Dias, 345 - Centro, Belo Horizonte - MG, 30130-110</t>
  </si>
  <si>
    <t>Rua Alameda Ezequiel Dias</t>
  </si>
  <si>
    <t>345</t>
  </si>
  <si>
    <t>Hospital João XXIII</t>
  </si>
  <si>
    <t>LOC_210</t>
  </si>
  <si>
    <t>Av. Prof. Alfredo Balena, 400 - Centro, Belo Horizonte - MG, 30130-100</t>
  </si>
  <si>
    <t>Avenida Professor Alfredo Balena</t>
  </si>
  <si>
    <t>30130-100</t>
  </si>
  <si>
    <t>Hospital Júlia Kubitscheck</t>
  </si>
  <si>
    <t>LOC_211</t>
  </si>
  <si>
    <t>Rua Doutor Cristiano Resende, nº: 2745, bairro: Milionários</t>
  </si>
  <si>
    <t>Milionarios</t>
  </si>
  <si>
    <t>Rua Doutor Cristiano Resende</t>
  </si>
  <si>
    <t>2745</t>
  </si>
  <si>
    <t>30610-720</t>
  </si>
  <si>
    <t>Hospital Madre Tereza</t>
  </si>
  <si>
    <t>LOC_213</t>
  </si>
  <si>
    <t>Avenida Raja Gabáglia, 1002 - Gutierrez, Belo Horizonte - MG, 30441-070</t>
  </si>
  <si>
    <t>Gutierrez</t>
  </si>
  <si>
    <t>Avenida Raja Gabáglia</t>
  </si>
  <si>
    <t>1002</t>
  </si>
  <si>
    <t>30441-070</t>
  </si>
  <si>
    <t>Hospital Mario Penna</t>
  </si>
  <si>
    <t>LOC_214</t>
  </si>
  <si>
    <t>R. Joaquim Cândido Filho, 91 - Luxemburgo, Belo Horizonte - MG, 30380-420</t>
  </si>
  <si>
    <t>Luxemburgo</t>
  </si>
  <si>
    <t>CS4</t>
  </si>
  <si>
    <t>Rua Joaquim Cândido Filho</t>
  </si>
  <si>
    <t>91</t>
  </si>
  <si>
    <t>30380-420</t>
  </si>
  <si>
    <t>Hospital Metrepolitano Doutor Célio de Castro</t>
  </si>
  <si>
    <t>LOC_216</t>
  </si>
  <si>
    <t>Rua Dona Luiza, 311 - Milionários, Belo Horizonte - MG, 30620-090</t>
  </si>
  <si>
    <t>Milionários</t>
  </si>
  <si>
    <t>Rua Dona Luiza</t>
  </si>
  <si>
    <t>311</t>
  </si>
  <si>
    <t>30620-090</t>
  </si>
  <si>
    <t>Hospital Metropolitano Odilon Behrens</t>
  </si>
  <si>
    <t>LOC_217</t>
  </si>
  <si>
    <t>Rua Formiga, 50 - São Cristóvão, Belo Horizonte - MG, 31110-430</t>
  </si>
  <si>
    <t>Rua Formiga</t>
  </si>
  <si>
    <t>31110-430</t>
  </si>
  <si>
    <t>Hospital Paulo de Tarso</t>
  </si>
  <si>
    <t>LOC_456</t>
  </si>
  <si>
    <t>R. Estoril, 207 - São Francisco, Belo Horizonte - MG, 31255-190</t>
  </si>
  <si>
    <t>Sao Francisco</t>
  </si>
  <si>
    <t>Rua Estoril</t>
  </si>
  <si>
    <t>31255-190</t>
  </si>
  <si>
    <t>Hospital Risoleta Tolentino Neves</t>
  </si>
  <si>
    <t>LOC_219</t>
  </si>
  <si>
    <t>Rua das Gabirobas, 1 - Vila Cloris, Belo Horizonte - MG, 31744-012</t>
  </si>
  <si>
    <t>Vila Cloris</t>
  </si>
  <si>
    <t>Rua das Gabirobas</t>
  </si>
  <si>
    <t>1</t>
  </si>
  <si>
    <t>31744-012</t>
  </si>
  <si>
    <t>Hospital Santa Casa</t>
  </si>
  <si>
    <t>LOC_324</t>
  </si>
  <si>
    <t>Av. Francisco Sales, 1111 - Santa Efigênia, Belo Horizonte - MG, 30150-223</t>
  </si>
  <si>
    <t>Avenida Francisco Sales</t>
  </si>
  <si>
    <t>1111</t>
  </si>
  <si>
    <t>30150-223</t>
  </si>
  <si>
    <t>Hospital Sofia Feldman</t>
  </si>
  <si>
    <t>LOC_220</t>
  </si>
  <si>
    <t>Rua Antônio Bandeira, 1060 - Tupi, Belo Horizonte - MG, 31844-130</t>
  </si>
  <si>
    <t>Tupi</t>
  </si>
  <si>
    <t>Rua Antônio Bandeira</t>
  </si>
  <si>
    <t>1060</t>
  </si>
  <si>
    <t>31844-130</t>
  </si>
  <si>
    <t>Hospital Universitário Ciências Médicas de Minas Gerais</t>
  </si>
  <si>
    <t>LOC_222</t>
  </si>
  <si>
    <t>R. dos Aimorés, 2896 - Santo Agostinho, Belo Horizonte - MG, 30140-073</t>
  </si>
  <si>
    <t>Santo Agostinho</t>
  </si>
  <si>
    <t>Rua dos Aimorés</t>
  </si>
  <si>
    <t>2896</t>
  </si>
  <si>
    <t>30140-073</t>
  </si>
  <si>
    <t>Instituto Pedra Viva</t>
  </si>
  <si>
    <t>LOC_457</t>
  </si>
  <si>
    <t>Rua Itapecerica, nº 951, bairro: Lagoinha</t>
  </si>
  <si>
    <t>951</t>
  </si>
  <si>
    <t>Instituto Raul Soares</t>
  </si>
  <si>
    <t>LOC_458</t>
  </si>
  <si>
    <t>Av. do Contorno, 3017 - Santa Efigênia, Belo Horizonte - MG, 30110-017</t>
  </si>
  <si>
    <t>Avenida do Contorno</t>
  </si>
  <si>
    <t>3017</t>
  </si>
  <si>
    <t>30110-017</t>
  </si>
  <si>
    <t>Laboratório Municipal de Análises Clínicas e Citopatológicas</t>
  </si>
  <si>
    <t>LOC_226</t>
  </si>
  <si>
    <t>Maternidade Odete Valadares</t>
  </si>
  <si>
    <t>LOC_229</t>
  </si>
  <si>
    <t>Av. do Contorno, 9494 - Prado, Belo Horizonte - MG, 30110-064</t>
  </si>
  <si>
    <t>Prado</t>
  </si>
  <si>
    <t>9494</t>
  </si>
  <si>
    <t>30110-064</t>
  </si>
  <si>
    <t>Mirante do Campinho</t>
  </si>
  <si>
    <t>LOC_459</t>
  </si>
  <si>
    <t>Rua Mangabeira da Serra - Marçola</t>
  </si>
  <si>
    <t>Marcola</t>
  </si>
  <si>
    <t>Rua Mangabeira da Serra</t>
  </si>
  <si>
    <t>30220-265</t>
  </si>
  <si>
    <t>Núcleo Assistencial Caminhos para Jesus</t>
  </si>
  <si>
    <t>LOC_460</t>
  </si>
  <si>
    <t>Rua José Ferreira Magalhães, 341, Floramar</t>
  </si>
  <si>
    <t>Floramar</t>
  </si>
  <si>
    <t>Rua José Ferreira Magalhães</t>
  </si>
  <si>
    <t>341</t>
  </si>
  <si>
    <t>31742-093</t>
  </si>
  <si>
    <t>Núcleo de Trabalho e Integração Social - NUTRIS</t>
  </si>
  <si>
    <t>LOC_461</t>
  </si>
  <si>
    <t>Rua Mirante nº 477, Boa Vista, Belo Horizonte, CEP: 31.070-390</t>
  </si>
  <si>
    <t>Rua Mirante</t>
  </si>
  <si>
    <t>477</t>
  </si>
  <si>
    <t>31070-390</t>
  </si>
  <si>
    <t>Parque Aggeo Pio Sobrinho</t>
  </si>
  <si>
    <t>LOC_462</t>
  </si>
  <si>
    <t>Av. Professor Mário Werneck, 2691 - Buritis, Belo Horizonte - MG, 30575-180</t>
  </si>
  <si>
    <t>Avenida Professor Mário Werneck</t>
  </si>
  <si>
    <t>2691</t>
  </si>
  <si>
    <t>30575-180</t>
  </si>
  <si>
    <t>Parque Bandeirante Silva Ortiz</t>
  </si>
  <si>
    <t>LOC_463</t>
  </si>
  <si>
    <t>R. José Cláudio Rezende, 328 - Estoril, Belo Horizonte - MG, 30494-230</t>
  </si>
  <si>
    <t>Rua José Cláudio Rezende</t>
  </si>
  <si>
    <t>328</t>
  </si>
  <si>
    <t>30494-230</t>
  </si>
  <si>
    <t>Parque Conjunto Estrela D'alva</t>
  </si>
  <si>
    <t>LOC_464</t>
  </si>
  <si>
    <t>Av. Costa do Marfim, 400 - Estrela Dalva, Belo Horizonte - MG, 30575-000</t>
  </si>
  <si>
    <t>Estrela Dalva</t>
  </si>
  <si>
    <t>Avenida Costa do Marfim</t>
  </si>
  <si>
    <t>30575-000</t>
  </si>
  <si>
    <t>Parque Ecológico Roberto Burle Marx (Parque das Águas)</t>
  </si>
  <si>
    <t>LOC_465</t>
  </si>
  <si>
    <t>Av. Ximango, 809 - Flávio Marques Lisboa, Belo Horizonte - MG, 30624-160</t>
  </si>
  <si>
    <t>Flavio Marques Lisboa</t>
  </si>
  <si>
    <t>Avenida Ximango</t>
  </si>
  <si>
    <t>809</t>
  </si>
  <si>
    <t>30624-160</t>
  </si>
  <si>
    <t>Parque Municipal Américo René Gianetti</t>
  </si>
  <si>
    <t>LOC_466</t>
  </si>
  <si>
    <t>Av. Afonso Pena, 1377 - Centro, Belo Horizonte - MG, 30130-002</t>
  </si>
  <si>
    <t>Avenida Afonso Pena</t>
  </si>
  <si>
    <t>1377</t>
  </si>
  <si>
    <t>30130-002</t>
  </si>
  <si>
    <t>Parque Municipal Cássia Eller</t>
  </si>
  <si>
    <t>LOC_467</t>
  </si>
  <si>
    <t>Av. Pres. Tancredo Neves, 2900 - Paquetá, Belo Horizonte - MG, 31330-910</t>
  </si>
  <si>
    <t>Avenida Pres. Tancredo Neves</t>
  </si>
  <si>
    <t>2900</t>
  </si>
  <si>
    <t>31330-910</t>
  </si>
  <si>
    <t>Parque Municipal Jornalista Eduardo Couri, no bairro Santa Lúcia</t>
  </si>
  <si>
    <t>LOC_468</t>
  </si>
  <si>
    <t>Av. Arthur Bernardes, 85 - Vila Paris, Belo Horizonte - MG, 30380-752</t>
  </si>
  <si>
    <t>Vila Paris</t>
  </si>
  <si>
    <t>Avenida Arthur Bernardes</t>
  </si>
  <si>
    <t>85</t>
  </si>
  <si>
    <t>30380-752</t>
  </si>
  <si>
    <t>Parque Municipal Monsenhor Expedito D’Ávila (Parque Municipal Julien Rien)</t>
  </si>
  <si>
    <t>LOC_469</t>
  </si>
  <si>
    <t>Av. dos Bandeirantes, 911 - Anchieta, Belo Horizonte - MG, 30310-403</t>
  </si>
  <si>
    <t>Anchieta</t>
  </si>
  <si>
    <t>Avenida dos Bandeirantes</t>
  </si>
  <si>
    <t>911</t>
  </si>
  <si>
    <t>30310-403</t>
  </si>
  <si>
    <t>Parque Municipal Professor Marcos Mazoni, no bairro cidade nova.</t>
  </si>
  <si>
    <t>LOC_470</t>
  </si>
  <si>
    <t>Rua Dep. Bernardino Sena Figueiredo, 1.022 - Cidade Nova, Belo Horizonte - MG, 31170-210</t>
  </si>
  <si>
    <t>Rua Deputado Bernardino Sena Figueiredo</t>
  </si>
  <si>
    <t>1022</t>
  </si>
  <si>
    <t>31170-210</t>
  </si>
  <si>
    <t>Parque Renato Azeredo, bairro palmares.</t>
  </si>
  <si>
    <t>LOC_471</t>
  </si>
  <si>
    <t>R. Antônio Peregrino Nascimento, 215 - Palmares, Belo Horizonte - MG, 31155-730</t>
  </si>
  <si>
    <t>Rua Antônio Peregrino Nascimento</t>
  </si>
  <si>
    <t>215</t>
  </si>
  <si>
    <t>31155-730</t>
  </si>
  <si>
    <t>Praça Abadia</t>
  </si>
  <si>
    <t>LOC_472</t>
  </si>
  <si>
    <t>Praça Abadia, localizada na Rua Tulipa com Rua Mariano de Abreu, Bairro Esplanada.</t>
  </si>
  <si>
    <t>Esplanada</t>
  </si>
  <si>
    <t>Rua Tulipa com Rua Mariano de Abreu</t>
  </si>
  <si>
    <t>Praça Antônio M de Araújo</t>
  </si>
  <si>
    <t>LOC_473</t>
  </si>
  <si>
    <t>Praça Antônio M de Araújo, Bairro Palmares</t>
  </si>
  <si>
    <t>31155-630</t>
  </si>
  <si>
    <t>Praça Arcângelo Maleta</t>
  </si>
  <si>
    <t>LOC_474</t>
  </si>
  <si>
    <t>Praça Arcângelo Maleta - Santa Lúcia, Belo Horizonte - MG, 30360-330</t>
  </si>
  <si>
    <t>Santa Lucia</t>
  </si>
  <si>
    <t>30360-330</t>
  </si>
  <si>
    <t>Praça Aroldo Tenuta, no bairro Buritis</t>
  </si>
  <si>
    <t>LOC_475</t>
  </si>
  <si>
    <t>Avenida Professor Mário Werneck, 2141 - Buritis.</t>
  </si>
  <si>
    <t>2141</t>
  </si>
  <si>
    <t>Praça Bolívia M. Viana, bairro Fernão dias.</t>
  </si>
  <si>
    <t>LOC_476</t>
  </si>
  <si>
    <t>Praça Bolívia M. Viana</t>
  </si>
  <si>
    <t>Praça Cívica</t>
  </si>
  <si>
    <t>LOC_477</t>
  </si>
  <si>
    <t>Praça entre a Avenida Djalma Vieira Cristo, a Rua Domício Gabriel de Vasconcelos e a Rua Ramon Thomé, bairro Vale do Jatobá, CEP 30664-220.</t>
  </si>
  <si>
    <t>30664-220</t>
  </si>
  <si>
    <t>Praça da Estação</t>
  </si>
  <si>
    <t>LOC_478</t>
  </si>
  <si>
    <t>Av. dos Andradas, 337 - Centro, Belo Horizonte - MG, 30120-010</t>
  </si>
  <si>
    <t>Avenida dos Andradas</t>
  </si>
  <si>
    <t>337</t>
  </si>
  <si>
    <t>30120-010</t>
  </si>
  <si>
    <t>Praça da Paz Celestial, localizada no bairro Lagoa</t>
  </si>
  <si>
    <t>LOC_479</t>
  </si>
  <si>
    <t>Praça da Paz Celestial</t>
  </si>
  <si>
    <t>Praça Deputado Renato Azeredo, bairro Sion</t>
  </si>
  <si>
    <t>LOC_480</t>
  </si>
  <si>
    <t>Sion</t>
  </si>
  <si>
    <t>Praça Deputado Renato Azeredo</t>
  </si>
  <si>
    <t>30315-420</t>
  </si>
  <si>
    <t>Praça do Comércio,Vale do Jatobá</t>
  </si>
  <si>
    <t>LOC_481</t>
  </si>
  <si>
    <t>Praça do Comércio, localizada entre as Ruas Gênesis, Luiz João de Oliveira e Luiz Leite de Faria, no Vale do Jatobá</t>
  </si>
  <si>
    <t>Praça do Comércio</t>
  </si>
  <si>
    <t>30664-120</t>
  </si>
  <si>
    <t>Praça Dom Bosco, no bairro Grajaú</t>
  </si>
  <si>
    <t>LOC_482</t>
  </si>
  <si>
    <t>Praça Dom Bosco</t>
  </si>
  <si>
    <t>30180-050</t>
  </si>
  <si>
    <t>Praça Enio de Souza "Guru", no bairro Vera Cruz.</t>
  </si>
  <si>
    <t>LOC_483</t>
  </si>
  <si>
    <t>Praça Enio de Souza, bairro Vera Cruz</t>
  </si>
  <si>
    <t>Vera Cruz</t>
  </si>
  <si>
    <t>Praça Enio de Souza</t>
  </si>
  <si>
    <t>30285-128</t>
  </si>
  <si>
    <t>Praça entre a Avenida Djalma Vieira Cristo, a Rua Francisco Poletto e a Rua Luiz João de Oliveira, bairro Vale do Jatobá</t>
  </si>
  <si>
    <t>LOC_484</t>
  </si>
  <si>
    <t>Praça entre a Avenida Djalma Vieira Cristo, a Rua Tenente-Coronel João de Assis e a Rua Maria Domingas da Rocha, bairro Vale do Jatobá</t>
  </si>
  <si>
    <t>LOC_485</t>
  </si>
  <si>
    <t>Praça entre a Avenida Djalma Vieira Cristo, a Rua Tenente-Coronel João de Assis e a Rua Maria Domingas da Rocha</t>
  </si>
  <si>
    <t>Praça Guará</t>
  </si>
  <si>
    <t>LOC_488</t>
  </si>
  <si>
    <t>Praça Guará, localizada na Rua Gustavo da Silveira, 25 - Horto Instituto Agronômico</t>
  </si>
  <si>
    <t>Rua Gustavo da Silveira</t>
  </si>
  <si>
    <t>Praça João Felisberto, no bairro Campo Alegre</t>
  </si>
  <si>
    <t>LOC_489</t>
  </si>
  <si>
    <t>Praça João Felisberto</t>
  </si>
  <si>
    <t>31730-320</t>
  </si>
  <si>
    <t>Praça José Jeremias, bairro Céu Azul</t>
  </si>
  <si>
    <t>LOC_490</t>
  </si>
  <si>
    <t>Praça José Jeremias</t>
  </si>
  <si>
    <t>Praça José Sobrinho Barros</t>
  </si>
  <si>
    <t>LOC_491</t>
  </si>
  <si>
    <t>Rua Jornalista Djalma Azevedo, 224, Diamante, CEP: 30.660-230.</t>
  </si>
  <si>
    <t>Diamante</t>
  </si>
  <si>
    <t>Rua Jornalista Djalma Azevedo</t>
  </si>
  <si>
    <t>224</t>
  </si>
  <si>
    <t>30660-230</t>
  </si>
  <si>
    <t>Praça localizada na interseção da Rua Sete de Setembro com a Avenida A, bairro Maria Teresa</t>
  </si>
  <si>
    <t>LOC_492</t>
  </si>
  <si>
    <t>Maria Teresa</t>
  </si>
  <si>
    <t>Rua Sete de Setembro com a Avenida A, bairro Maria Teresa</t>
  </si>
  <si>
    <t>Praça Maldonado na Rua Francisco Duarte Mendonça, próximo ao nº 2010 - Bairro Teixeira Dias</t>
  </si>
  <si>
    <t>LOC_493</t>
  </si>
  <si>
    <t>Praça Maldonado Rua Francisco Duarte Mendonça</t>
  </si>
  <si>
    <t>2010</t>
  </si>
  <si>
    <t>Praça Manoel de Souza Barros, Bairro Castelo</t>
  </si>
  <si>
    <t>LOC_494</t>
  </si>
  <si>
    <t>Praça Manoel de Souza Barros - Castelo</t>
  </si>
  <si>
    <t>Castelo</t>
  </si>
  <si>
    <t>Praça Manoel de Souza Barros</t>
  </si>
  <si>
    <t>Praça Miguel Cândido da Rocha</t>
  </si>
  <si>
    <t>LOC_495</t>
  </si>
  <si>
    <t>Praça Miguel Cândido da Rocha, entre as Ruas Marcelo Bernuci e Florinda Rosalina, bairro Atila de Paiva</t>
  </si>
  <si>
    <t>Atila de Paiva</t>
  </si>
  <si>
    <t>Praça Minerva, localizada na Rua Maripora, no bairro Jatobá</t>
  </si>
  <si>
    <t>LOC_496</t>
  </si>
  <si>
    <t>Praça Minerva</t>
  </si>
  <si>
    <t>Praça Orlando Silva</t>
  </si>
  <si>
    <t>LOC_497</t>
  </si>
  <si>
    <t>Praça Orlando Silva - Dom Bosco, Belo Horizonte - MG, 30535-016</t>
  </si>
  <si>
    <t>Praça Orlando silva</t>
  </si>
  <si>
    <t>30535-016</t>
  </si>
  <si>
    <t>Praça Pero Vaz de Caminha</t>
  </si>
  <si>
    <t>LOC_498</t>
  </si>
  <si>
    <t>Praça Pero Vaz de Caminha, bairro Taquaril</t>
  </si>
  <si>
    <t>30290-080</t>
  </si>
  <si>
    <t>Praça Rua Pouso Alegre Horto</t>
  </si>
  <si>
    <t>LOC_499</t>
  </si>
  <si>
    <t>Praça localizada entre as ruas Pouso Alegre e Avenida Silviano Brandão, Bairro Horto, próximo ao número 2861 - rua Pouso Alegre.</t>
  </si>
  <si>
    <t>2861</t>
  </si>
  <si>
    <t>Praça Sagrado Coração de Maria</t>
  </si>
  <si>
    <t>LOC_500</t>
  </si>
  <si>
    <t>Praça Avenida Djalma Vieira Cristo com a Rua Maria Lopes da Silva, bairro Vale do Jatobá, CEP 30666-250.</t>
  </si>
  <si>
    <t>30666-250</t>
  </si>
  <si>
    <t>Praça Santa Catarina Labouré, bairro Dona Clara</t>
  </si>
  <si>
    <t>LOC_501</t>
  </si>
  <si>
    <t>Praça Santa Catarina Labouré</t>
  </si>
  <si>
    <t>Praça Santo Antônio, bairro Aeroporto, na Regional Pampulha</t>
  </si>
  <si>
    <t>LOC_502</t>
  </si>
  <si>
    <t>Aeroporto</t>
  </si>
  <si>
    <t>Praça Santo Antônio</t>
  </si>
  <si>
    <t>31270-860</t>
  </si>
  <si>
    <t>Praça São Caetano do Sul, Piratininga</t>
  </si>
  <si>
    <t>LOC_503</t>
  </si>
  <si>
    <t>Praça São Caetano do Sul</t>
  </si>
  <si>
    <t>Praça São Gabriel</t>
  </si>
  <si>
    <t>LOC_504</t>
  </si>
  <si>
    <t>praça São Gabriel rua Lajedo 170 - bairro São Gabriel - região Nordeste</t>
  </si>
  <si>
    <t>Sao Gabriel</t>
  </si>
  <si>
    <t>Rua Lajedo</t>
  </si>
  <si>
    <t>170</t>
  </si>
  <si>
    <t>31985-010</t>
  </si>
  <si>
    <t>PRAÇA SARGENTO MOREIRA NEVES, Piratininga</t>
  </si>
  <si>
    <t>LOC_505</t>
  </si>
  <si>
    <t>R. Caraguatatuba, 208 - Piratininga, Belo Horizonte - MG, 31573-420</t>
  </si>
  <si>
    <t>Rua Caraguatatuba</t>
  </si>
  <si>
    <t>208</t>
  </si>
  <si>
    <t>31573-420</t>
  </si>
  <si>
    <t>Praça Três</t>
  </si>
  <si>
    <t>LOC_506</t>
  </si>
  <si>
    <t>Rua Henry Corrêa de Araújo, esquina com a Rua Francisco Ferreira García e Rua José Gonçalves de Alkimim, todas no bairro Vale do Jatobá (CEP: 30.664-100).</t>
  </si>
  <si>
    <t>30664-100</t>
  </si>
  <si>
    <t>Projeto Samuel</t>
  </si>
  <si>
    <t>LOC_507</t>
  </si>
  <si>
    <t>Rua Doutor Natalino Triginelli, 555, no bairro Jardim Atlântico</t>
  </si>
  <si>
    <t>Jardim Atlantico</t>
  </si>
  <si>
    <t>Rua Doutor Natalino Triginelli</t>
  </si>
  <si>
    <t>31710-420</t>
  </si>
  <si>
    <t>PROVIDENS AÇãO SOCIAL ARQUIDIOCESANA</t>
  </si>
  <si>
    <t>LOC_508</t>
  </si>
  <si>
    <t>Rua Além Paraíba, nº 208, bairro Lagoinha, Belo Horizonte.</t>
  </si>
  <si>
    <t>Rua Além Paraíba</t>
  </si>
  <si>
    <t>31210-120</t>
  </si>
  <si>
    <t>Quadra Poliesportiva do Conjunto Esperança</t>
  </si>
  <si>
    <t>LOC_509</t>
  </si>
  <si>
    <t>Rua Atlanta, 49, Conjunto Esperança, Regional Barreiro, Belo Horizonte/MG — CEP 30624-500.</t>
  </si>
  <si>
    <t>Esperanca</t>
  </si>
  <si>
    <t>Rua Atlanta</t>
  </si>
  <si>
    <t>49</t>
  </si>
  <si>
    <t>30624-500</t>
  </si>
  <si>
    <t>Quadra Rua Cinabrio</t>
  </si>
  <si>
    <t>LOC_510</t>
  </si>
  <si>
    <t>rua Cinábrio 221 Lagoinha Vila Senhor os Passos - região Noroeste</t>
  </si>
  <si>
    <t>Rua Cinábrio</t>
  </si>
  <si>
    <t>31210-360</t>
  </si>
  <si>
    <t>Quadra Rua Dr. João Carvalhais de Paiva</t>
  </si>
  <si>
    <t>LOC_511</t>
  </si>
  <si>
    <t>R. Dr. João Carvalhais de Paiva, 185 - São Cristóvão, Belo Horizonte - MG, 31210-730</t>
  </si>
  <si>
    <t>Rua Doutor João Carvalhais de Paiva</t>
  </si>
  <si>
    <t>31210-730</t>
  </si>
  <si>
    <t>Quadra Rua José Cláudio Sanches, 660 - Califórnia II, CEP: 30.855-445</t>
  </si>
  <si>
    <t>LOC_512</t>
  </si>
  <si>
    <t>Rua José Cláudio Sanches, 660 - Califórnia II, CEP: 30.855-445</t>
  </si>
  <si>
    <t>CONJUNTO CALIFÓRNIA II</t>
  </si>
  <si>
    <t>Rua José Cláudio Sanches</t>
  </si>
  <si>
    <t>660</t>
  </si>
  <si>
    <t>30855-445</t>
  </si>
  <si>
    <t>Quadra Serra Verde</t>
  </si>
  <si>
    <t>LOC_513</t>
  </si>
  <si>
    <t>Rua Coronel Manuel Assunção, s/n - Serra Verde, Belo Horizonte - MG</t>
  </si>
  <si>
    <t>Rua Coronel Manuel Assunção</t>
  </si>
  <si>
    <t>31615-200</t>
  </si>
  <si>
    <t>Quadras da Vila Leonina</t>
  </si>
  <si>
    <t>LOC_514</t>
  </si>
  <si>
    <t>Praça do Ensino, Rua Onze de Abril, Estoril</t>
  </si>
  <si>
    <t>Rua Onze de Abril</t>
  </si>
  <si>
    <t>Rua Aladim Correa de Faria (CEP 30.644.210), próximo ao nº 796, bairro Diamante</t>
  </si>
  <si>
    <t>LOC_515</t>
  </si>
  <si>
    <t>Rua Aladim Correa de Faria</t>
  </si>
  <si>
    <t>796</t>
  </si>
  <si>
    <t>30644-210</t>
  </si>
  <si>
    <t>Rua Alcindo Gonçalves Cotta, nº 146 - Conjunto Ademar Maldonado - CEP 30.640.240</t>
  </si>
  <si>
    <t>LOC_516</t>
  </si>
  <si>
    <t>Rua Alcindo Gonçalves Cotta, nº 146 - Conjunto Ademar Maldonado, 30640-240</t>
  </si>
  <si>
    <t>Conjunto Ademar Maldonado</t>
  </si>
  <si>
    <t>Rua Alcindo Gonçalves Cotta</t>
  </si>
  <si>
    <t>146</t>
  </si>
  <si>
    <t>30640-240</t>
  </si>
  <si>
    <t>Rua Alicedro, no bairro Pindorama.</t>
  </si>
  <si>
    <t>LOC_517</t>
  </si>
  <si>
    <t>Rua Alicedro</t>
  </si>
  <si>
    <t>Rua Alternador com Rua Fotometro, bairro Independência</t>
  </si>
  <si>
    <t>LOC_518</t>
  </si>
  <si>
    <t>Rua Alternador com Rua Fotometro</t>
  </si>
  <si>
    <t>30672-165</t>
  </si>
  <si>
    <t>Rua Benjamin Flores, bairro Santo Antônio</t>
  </si>
  <si>
    <t>LOC_519</t>
  </si>
  <si>
    <t>Santo Antonio</t>
  </si>
  <si>
    <t>Rua Benjamin Flores</t>
  </si>
  <si>
    <t>Rua Cândido de Figueiredo, Bairro Santa Mônica</t>
  </si>
  <si>
    <t>LOC_520</t>
  </si>
  <si>
    <t>Rua Cândido de Figueiredo</t>
  </si>
  <si>
    <t>Rua Curupaiti Bairro Padre Eustáquio</t>
  </si>
  <si>
    <t>LOC_521</t>
  </si>
  <si>
    <t>Rua Curupaiti</t>
  </si>
  <si>
    <t>30730-130</t>
  </si>
  <si>
    <t>Rua Desembargador Alarico Barroso, Bairro Ouro Preto</t>
  </si>
  <si>
    <t>LOC_522</t>
  </si>
  <si>
    <t>Rua Desembargador Alarico Barroso</t>
  </si>
  <si>
    <t>Rua Dom João Antônio dos Santos, Bairro Coração Eucarístico</t>
  </si>
  <si>
    <t>LOC_523</t>
  </si>
  <si>
    <t>Coracao Eucaristico</t>
  </si>
  <si>
    <t>Rua Dom João Antônio dos Santos</t>
  </si>
  <si>
    <t>Rua Domício Gabriel de Vasconcelos, CEP: 30664-480, bairro Vale do Jatobá</t>
  </si>
  <si>
    <t>LOC_524</t>
  </si>
  <si>
    <t>30664-480</t>
  </si>
  <si>
    <t>Rua Dos Flocos, bairro Lindéia</t>
  </si>
  <si>
    <t>LOC_525</t>
  </si>
  <si>
    <t>Lindéia</t>
  </si>
  <si>
    <t>Rua Dos Flocos</t>
  </si>
  <si>
    <t>Rua Edgard Torres</t>
  </si>
  <si>
    <t>LOC_526</t>
  </si>
  <si>
    <t>rua Edgard Torres - Minas Caixa - Venda Nova.</t>
  </si>
  <si>
    <t>31610-510</t>
  </si>
  <si>
    <t>Rua Elias Saliba, no bairro Novo Glória, da Regional Noroeste</t>
  </si>
  <si>
    <t>LOC_527</t>
  </si>
  <si>
    <t>Novo Gloria</t>
  </si>
  <si>
    <t>Rua Elias Saliba</t>
  </si>
  <si>
    <t>Rua Emanuel, CEP 30930240, bairro Pilar</t>
  </si>
  <si>
    <t>LOC_528</t>
  </si>
  <si>
    <t>Rua Emanuel</t>
  </si>
  <si>
    <t>30930-240</t>
  </si>
  <si>
    <t>Rua Ernani Agrícola com a Rua Ulisses Marcondes Escobar</t>
  </si>
  <si>
    <t>LOC_529</t>
  </si>
  <si>
    <t>Rua Ernani Agrícola com a Rua Ulisses Marcondes Escobar, Buritis</t>
  </si>
  <si>
    <t>Rua Ernani Agrícola com a Rua Walter Guimarães Figueiredo</t>
  </si>
  <si>
    <t>LOC_530</t>
  </si>
  <si>
    <t>Rua Ernani Agrícola com a Rua Walter Guimarães Figueiredo, Buritis</t>
  </si>
  <si>
    <t>Rua Fidélis Martins com Rua Ulisses Marcondes Escobar</t>
  </si>
  <si>
    <t>LOC_531</t>
  </si>
  <si>
    <t>Rua Fidélis Martins com Rua Ulisses Marcondes Escobar, Buritis</t>
  </si>
  <si>
    <t>Rua Freixo, CEP 30.660-540, bairro Olaria</t>
  </si>
  <si>
    <t>LOC_532</t>
  </si>
  <si>
    <t>Rua Freixo</t>
  </si>
  <si>
    <t>30660-540</t>
  </si>
  <si>
    <t>Rua Goiás, bairro Centro</t>
  </si>
  <si>
    <t>LOC_533</t>
  </si>
  <si>
    <t>Rua Goiás</t>
  </si>
  <si>
    <t>Rua Honório Bicalho, bairro Nova Vista</t>
  </si>
  <si>
    <t>LOC_534</t>
  </si>
  <si>
    <t>Rua Honório Bicalho, bairro Nova Vista, CEP: 31070-030</t>
  </si>
  <si>
    <t>Rua Honório Bicalho</t>
  </si>
  <si>
    <t>31070-030</t>
  </si>
  <si>
    <t>Rua Iguassu, bairro Concórdia</t>
  </si>
  <si>
    <t>LOC_535</t>
  </si>
  <si>
    <t>Rua Iguassu</t>
  </si>
  <si>
    <t>Rua Ilha Grande, no trecho situado entre a Rua das Garoupas e Rua do Gandu, no Bairro Jardim Atlântico</t>
  </si>
  <si>
    <t>LOC_536</t>
  </si>
  <si>
    <t>Rua Ilha Grande, no trecho situado entre a Rua das Garoupas e Rua do Gandu</t>
  </si>
  <si>
    <t>Rua Itabira, bairro Colégio Batista</t>
  </si>
  <si>
    <t>LOC_537</t>
  </si>
  <si>
    <t>Colegio Batista</t>
  </si>
  <si>
    <t>Rua Itabira</t>
  </si>
  <si>
    <t>Rua Itapeva, bairro Concórdia</t>
  </si>
  <si>
    <t>LOC_538</t>
  </si>
  <si>
    <t>Rua Itapeva</t>
  </si>
  <si>
    <t>Rua João Neiva, bairro Boa Vista</t>
  </si>
  <si>
    <t>LOC_539</t>
  </si>
  <si>
    <t>Rua João Neiva</t>
  </si>
  <si>
    <t>31070-380</t>
  </si>
  <si>
    <t>Rua João Veríssimo Carvalho, CEP: 30.670-300, bairro Vila Pinho</t>
  </si>
  <si>
    <t>LOC_540</t>
  </si>
  <si>
    <t>Rua João Veríssimo Carvalho</t>
  </si>
  <si>
    <t>30670-300</t>
  </si>
  <si>
    <t>Rua José Amaury Ferrara</t>
  </si>
  <si>
    <t>LOC_541</t>
  </si>
  <si>
    <t>Rua José Amaury Ferrara, Buritis</t>
  </si>
  <si>
    <t>Rua José Amaury Ferrara com Rua Engenheiro Aluísio Rocha</t>
  </si>
  <si>
    <t>LOC_542</t>
  </si>
  <si>
    <t>Rua José Amaury Ferrara com Rua Engenheiro Aluísio Rocha, Buritis</t>
  </si>
  <si>
    <t>Rua José Rodrigues Pereira</t>
  </si>
  <si>
    <t>LOC_543</t>
  </si>
  <si>
    <t>Rua José Rodrigues Pereira, Buritis</t>
  </si>
  <si>
    <t>Rua L, CEP: 306664-740, Bairro Conjunto Jatobá</t>
  </si>
  <si>
    <t>LOC_544</t>
  </si>
  <si>
    <t>Rua L</t>
  </si>
  <si>
    <t>30664-740</t>
  </si>
  <si>
    <t>Rua Lauro Ferreira</t>
  </si>
  <si>
    <t>LOC_545</t>
  </si>
  <si>
    <t>Rua Lauro Ferreira, Buritis</t>
  </si>
  <si>
    <t>Rua Lauro Fereira</t>
  </si>
  <si>
    <t>Rua Luiz Lopes – bairro Novo Ouro Preto, Regional Pampulha</t>
  </si>
  <si>
    <t>LOC_546</t>
  </si>
  <si>
    <t>Rua Luiz Lopes – bairro Novo Ouro Preto</t>
  </si>
  <si>
    <t>Novo Ouro Preto</t>
  </si>
  <si>
    <t>Rua Luiz Lopes</t>
  </si>
  <si>
    <t>31320-150</t>
  </si>
  <si>
    <t>Rua Marco Aurélio de Miranda com Av. Protássio Oliveira Pena, no bairro Buritis</t>
  </si>
  <si>
    <t>LOC_547</t>
  </si>
  <si>
    <t>Rua Marco Aurélio de Miranda com Av. Protássio Oliveira Pena</t>
  </si>
  <si>
    <t>Rua Maria Heilbuth Surette com a Rua Moacyr José Bernardes</t>
  </si>
  <si>
    <t>LOC_548</t>
  </si>
  <si>
    <t>Rua Maria Heilbuth Surette com a Rua Moacyr José Bernardes, Buritis</t>
  </si>
  <si>
    <t>Rua Mário Werneck com Rua Engenheiro Aluísio Rocha</t>
  </si>
  <si>
    <t>LOC_549</t>
  </si>
  <si>
    <t>Rua Mário Werneck com Rua Engenheiro Aluísio Rocha, Buritis</t>
  </si>
  <si>
    <t>Rua Mirante, bairro Boa Vista.</t>
  </si>
  <si>
    <t>LOC_550</t>
  </si>
  <si>
    <t>rua Mirante, bairro Boa Vista.</t>
  </si>
  <si>
    <t>Rua Moacyr José Bernardes com a Rua Eduardo Frieiro</t>
  </si>
  <si>
    <t>LOC_551</t>
  </si>
  <si>
    <t>Rua Nair Telles Dos Santos, CEP: 30.668-100, bairro Castanheira</t>
  </si>
  <si>
    <t>LOC_552</t>
  </si>
  <si>
    <t>Rua Nair Telles Dos Santos</t>
  </si>
  <si>
    <t>30668-100</t>
  </si>
  <si>
    <t>Rua Oscar Castanheira no bairro Dona Clara, Regional Pampulha</t>
  </si>
  <si>
    <t>LOC_553</t>
  </si>
  <si>
    <t>Rua Oscar Castanheira</t>
  </si>
  <si>
    <t>Rua Padre Argemiro Moreira, Bairro São Gabriel</t>
  </si>
  <si>
    <t>LOC_554</t>
  </si>
  <si>
    <t>Rua Padre Argemiro Moreira</t>
  </si>
  <si>
    <t>Rua Paulo Alves de Vasconcellos, CEP: 30664-270, bairro Vale do Jatobá</t>
  </si>
  <si>
    <t>LOC_555</t>
  </si>
  <si>
    <t>Rua Paulo Alves de Vasconcellos</t>
  </si>
  <si>
    <t>30664-270</t>
  </si>
  <si>
    <t>Rua Paulo Diniz Carneiro com Rua Deputado Sebastião Nascimento</t>
  </si>
  <si>
    <t>LOC_556</t>
  </si>
  <si>
    <t>Rua Paulo Diniz Carneiro com Rua Deputado Sebastião Nascimento, Buritis</t>
  </si>
  <si>
    <t>Rua Professor Otílio Macedo, CEP: 30.930-160, bairro Pilar</t>
  </si>
  <si>
    <t>LOC_557</t>
  </si>
  <si>
    <t>Rua Professor Otilio Macedo</t>
  </si>
  <si>
    <t>30930-160</t>
  </si>
  <si>
    <t>Rua Professora Aspasia Ayer, CEP: 30.660-340, bairro Olaria</t>
  </si>
  <si>
    <t>LOC_558</t>
  </si>
  <si>
    <t>Rua Professora Aspasia Ayer</t>
  </si>
  <si>
    <t>30660-340</t>
  </si>
  <si>
    <t>Rua Roberto Martins da Costa, bairro Vila Batik. CEP: 30.664-003.</t>
  </si>
  <si>
    <t>LOC_559</t>
  </si>
  <si>
    <t>Vila Batik</t>
  </si>
  <si>
    <t>Rua Roberto Martins da Costa</t>
  </si>
  <si>
    <t>30664-003</t>
  </si>
  <si>
    <t>Rua Rubens Caporali Ribeiro</t>
  </si>
  <si>
    <t>LOC_560</t>
  </si>
  <si>
    <t>Rua Rubens Caporali Ribeiro, Buritis</t>
  </si>
  <si>
    <t>Rua Sai, no bairro Concórdia</t>
  </si>
  <si>
    <t>LOC_561</t>
  </si>
  <si>
    <t>Rua Sai</t>
  </si>
  <si>
    <t>Rua Tamboril, no bairro Concórdia</t>
  </si>
  <si>
    <t>LOC_562</t>
  </si>
  <si>
    <t>Rua Tamboril,no bairro Concórdia</t>
  </si>
  <si>
    <t>Rua Tamboril</t>
  </si>
  <si>
    <t>Rua Tiziu, nº175, no Bairro Goiânia.</t>
  </si>
  <si>
    <t>LOC_563</t>
  </si>
  <si>
    <t>Rua Tiziu</t>
  </si>
  <si>
    <t>175</t>
  </si>
  <si>
    <t>31950-370</t>
  </si>
  <si>
    <t>Rua Travessa Quatro Mil Setecentos e Oitenta e Sete, Bairro Carlos Prates</t>
  </si>
  <si>
    <t>LOC_564</t>
  </si>
  <si>
    <t>Rua Travessa das Flores, Bairro Carlos Prates</t>
  </si>
  <si>
    <t>Rua Travessa das Flores</t>
  </si>
  <si>
    <t>30710-220</t>
  </si>
  <si>
    <t>Rua Ubá, bairro Colégio Batista</t>
  </si>
  <si>
    <t>LOC_565</t>
  </si>
  <si>
    <t>Rua Ubá</t>
  </si>
  <si>
    <t>Rua Vicente de Carvalho, Bairro Santa Mônica</t>
  </si>
  <si>
    <t>LOC_566</t>
  </si>
  <si>
    <t>Rua Vicente de Carvalho</t>
  </si>
  <si>
    <t>Rua Vicente Feola, 250, Campo Alegre</t>
  </si>
  <si>
    <t>LOC_567</t>
  </si>
  <si>
    <t>Rua Vicente Feola</t>
  </si>
  <si>
    <t>250</t>
  </si>
  <si>
    <t>Rua Visconde de Taunay, entre a Ave. Dr. Álvaro Camargos e Rua Gonçalves Magalhães, no bairro Santa Branca.</t>
  </si>
  <si>
    <t>LOC_568</t>
  </si>
  <si>
    <t>Rua Visconde de Taunay, entre a Ave. Dr. Álvaro Camargos e Rua Gonçalves Magalhães</t>
  </si>
  <si>
    <t>Sine Venda Nova</t>
  </si>
  <si>
    <t>LOC_569</t>
  </si>
  <si>
    <t>rua Padre Pedro Pinto, 1055 - Bairro Venda Nova</t>
  </si>
  <si>
    <t>UPA Barreiro</t>
  </si>
  <si>
    <t>LOC_326</t>
  </si>
  <si>
    <t>Rua Aurélio Lopes, 20 - Bairro Diamante - Barreiro</t>
  </si>
  <si>
    <t>Rua Aurélio Lopes</t>
  </si>
  <si>
    <t>20</t>
  </si>
  <si>
    <t>30627-204</t>
  </si>
  <si>
    <t>UPA Leste</t>
  </si>
  <si>
    <t>LOC_327</t>
  </si>
  <si>
    <t>Av. dos Andradas, 7260 - Vera Cruz, Belo Horizonte - MG, 30120-010</t>
  </si>
  <si>
    <t>7260</t>
  </si>
  <si>
    <t>UPA NORDESTE</t>
  </si>
  <si>
    <t>LOC_571</t>
  </si>
  <si>
    <t>R. Joaquim Gouveia, 560 - São Paulo, Belo Horizonte - MG, 31910-040</t>
  </si>
  <si>
    <t>Rua Joaquim Gouveia</t>
  </si>
  <si>
    <t>560</t>
  </si>
  <si>
    <t>31910-040</t>
  </si>
  <si>
    <t>UPA Noroeste</t>
  </si>
  <si>
    <t>LOC_572</t>
  </si>
  <si>
    <t>R. Pereira Passos, 38 - São Cristóvão, Belo Horizonte - MG, 31210-720</t>
  </si>
  <si>
    <t>Rua Pereira Passos</t>
  </si>
  <si>
    <t>31210-720</t>
  </si>
  <si>
    <t>UPA Norte</t>
  </si>
  <si>
    <t>LOC_573</t>
  </si>
  <si>
    <t>Avenida Risoleta Neves, 281 - Bairro Novo Aarão Reis.</t>
  </si>
  <si>
    <t>Avenida Risoleta Neves</t>
  </si>
  <si>
    <t>31812-070</t>
  </si>
  <si>
    <t>UPA OESTE</t>
  </si>
  <si>
    <t>LOC_574</t>
  </si>
  <si>
    <t>R. Santa Cruz, 137 - Alto Barroca, Belo Horizonte - MG, 30431-045</t>
  </si>
  <si>
    <t>Alto Barroca</t>
  </si>
  <si>
    <t>Rua Santa Cruz</t>
  </si>
  <si>
    <t>30431-045</t>
  </si>
  <si>
    <t>UPA Oeste Jardim América</t>
  </si>
  <si>
    <t>LOC_328</t>
  </si>
  <si>
    <t>Avenida Barão Homem de Melo, nº 1710, bairro Jardim América.</t>
  </si>
  <si>
    <t>Avenida Barão Homem de Melo</t>
  </si>
  <si>
    <t>1710</t>
  </si>
  <si>
    <t>30160-090</t>
  </si>
  <si>
    <t>Upa Pampulha</t>
  </si>
  <si>
    <t>LOC_329</t>
  </si>
  <si>
    <t>Av. Santa Terezinha, 515 - Santa Terezinha, Belo Horizonte - MG, 31360-000</t>
  </si>
  <si>
    <t>Avenida Santa Terezinha</t>
  </si>
  <si>
    <t>515</t>
  </si>
  <si>
    <t>31360-000</t>
  </si>
  <si>
    <t>UPA Venda Nova</t>
  </si>
  <si>
    <t>LOC_575</t>
  </si>
  <si>
    <t>Rua Padre Pedro Pinto, 175 - Venda Nova</t>
  </si>
  <si>
    <t>31515-000</t>
  </si>
  <si>
    <t>Nupad - Núcleo de Ações e Pesquisa em Apoio Diagnóstico da Faculdade de Medicina da UFMG</t>
  </si>
  <si>
    <t>LOC_231</t>
  </si>
  <si>
    <t>Av. Prof. Alfredo Balena, 189 - 5 andar - Centro, Belo Horizonte - MG, 30130-100</t>
  </si>
  <si>
    <t>189</t>
  </si>
  <si>
    <t>Unidade da Academia da Cidade Diamante</t>
  </si>
  <si>
    <t>LOC_576</t>
  </si>
  <si>
    <t>R. Maria Marcolina de Souza, 40 - Diamante</t>
  </si>
  <si>
    <t>Rua Maria Marcolina de Souza</t>
  </si>
  <si>
    <t>Creche arco íris</t>
  </si>
  <si>
    <t>LOC_131</t>
  </si>
  <si>
    <t>R. Visc. de Itaboraí, 191 - Jardim Leblon, Belo Horizonte - MG, 31540-460</t>
  </si>
  <si>
    <t>Rua Visconde de Itaboraí</t>
  </si>
  <si>
    <t>191</t>
  </si>
  <si>
    <t>Associação Irmão Sol - Casa das Meninas</t>
  </si>
  <si>
    <t>LOC_577</t>
  </si>
  <si>
    <t>Rua Professora Natalia Lessa, 10 – Trevo – MG – CEP: 31540-580</t>
  </si>
  <si>
    <t>Trevo</t>
  </si>
  <si>
    <t>Rua Professora Natalia Lessa</t>
  </si>
  <si>
    <t>31540-580</t>
  </si>
  <si>
    <t>Centro Infanto Juvenil Crescer Sorrindo</t>
  </si>
  <si>
    <t>LOC_578</t>
  </si>
  <si>
    <t>Rua Peperi, 975 - Bairro Nova Granada</t>
  </si>
  <si>
    <t>Rua Peperi</t>
  </si>
  <si>
    <t>975</t>
  </si>
  <si>
    <t>30431-395</t>
  </si>
  <si>
    <t>Abrigo Frei Otto</t>
  </si>
  <si>
    <t>LOC_579</t>
  </si>
  <si>
    <t>R. Rui Barbosa, 299 - Santa Monica, Belo Horizonte - MG, 31525-130</t>
  </si>
  <si>
    <t>Rua Rui Barbosa</t>
  </si>
  <si>
    <t>299</t>
  </si>
  <si>
    <t>31525-130</t>
  </si>
  <si>
    <t>Lar dos Meninos Dom Orione</t>
  </si>
  <si>
    <t>LOC_227</t>
  </si>
  <si>
    <t>Av. Dom Orione, 187 - Pampulha, Belo Horizonte - MG, 31310-020</t>
  </si>
  <si>
    <t>Avenida Dom Orione</t>
  </si>
  <si>
    <t>31310-020</t>
  </si>
  <si>
    <t>Praça José Sobrinho</t>
  </si>
  <si>
    <t>LOC_580</t>
  </si>
  <si>
    <t>Rua Matilde Augusta de Jesus, com Rua Luiz Zito Ferreira, bairro Olaria</t>
  </si>
  <si>
    <t>Rua Matildes Augusta de Jesus</t>
  </si>
  <si>
    <t>98</t>
  </si>
  <si>
    <t>ID_RELACAO</t>
  </si>
  <si>
    <t>ID_EMENDA</t>
  </si>
  <si>
    <t>ENDERECO_PADRONIZADO</t>
  </si>
  <si>
    <t>BAIRRO</t>
  </si>
  <si>
    <t>REGIONAL</t>
  </si>
  <si>
    <t>TERRITORIO</t>
  </si>
  <si>
    <t>LOGRADOURO</t>
  </si>
  <si>
    <t>NUMERO</t>
  </si>
  <si>
    <t>CEP</t>
  </si>
  <si>
    <t>LATITUDE</t>
  </si>
  <si>
    <t>LONGITUDE</t>
  </si>
  <si>
    <t>COORDENADA_X</t>
  </si>
  <si>
    <t>COORDENADA_Y</t>
  </si>
  <si>
    <t>REL_001</t>
  </si>
  <si>
    <t>2023_REINALDO_GOMES_PRETO_SACOLAO_964_01</t>
  </si>
  <si>
    <t>REL_002</t>
  </si>
  <si>
    <t>2023_FLAVIA_BORJA_202_01</t>
  </si>
  <si>
    <t>REL_003</t>
  </si>
  <si>
    <t>2023_NIKOLAS_FERREIRA_921_01</t>
  </si>
  <si>
    <t>REL_004</t>
  </si>
  <si>
    <t>2023_PROFESSORA_MARLI_850_01</t>
  </si>
  <si>
    <t>REL_005</t>
  </si>
  <si>
    <t>2023_FERNANDO_LUIZ_246_01</t>
  </si>
  <si>
    <t>REL_006</t>
  </si>
  <si>
    <t>2023_WESLEY_522_01</t>
  </si>
  <si>
    <t>REL_007</t>
  </si>
  <si>
    <t>2023_NELY_AQUINO_275_01</t>
  </si>
  <si>
    <t>REL_008</t>
  </si>
  <si>
    <t>2023_RUBAO_1008_01</t>
  </si>
  <si>
    <t>REL_009</t>
  </si>
  <si>
    <t>2023_WESLEY_487_01</t>
  </si>
  <si>
    <t>REL_010</t>
  </si>
  <si>
    <t>2023_BRAULIO_LARA_364_01</t>
  </si>
  <si>
    <t>REL_011</t>
  </si>
  <si>
    <t>2023_BRAULIO_LARA_365_01</t>
  </si>
  <si>
    <t>REL_012</t>
  </si>
  <si>
    <t>2023_JUNINHO_LOS_HERMANOS_433_01</t>
  </si>
  <si>
    <t>REL_013</t>
  </si>
  <si>
    <t>2023_DR_CELIO_FROIS_262_01</t>
  </si>
  <si>
    <t>REL_014</t>
  </si>
  <si>
    <t>2023_BRAULIO_LARA_354_01</t>
  </si>
  <si>
    <t>REL_015</t>
  </si>
  <si>
    <t>2023_CIRO_PEREIRA_1037_01</t>
  </si>
  <si>
    <t>REL_016</t>
  </si>
  <si>
    <t>2023_JUNINHO_LOS_HERMANOS_1070_01</t>
  </si>
  <si>
    <t>REL_017</t>
  </si>
  <si>
    <t>2023_HENRIQUE_BRAGA_950_01</t>
  </si>
  <si>
    <t>REL_018</t>
  </si>
  <si>
    <t>2023_WILSINHO_DA_TABU_715_01</t>
  </si>
  <si>
    <t>REL_019</t>
  </si>
  <si>
    <t>2023_CLAUDIO_DO_MUNDO_NOVO_524_01</t>
  </si>
  <si>
    <t>REL_020</t>
  </si>
  <si>
    <t>2023_MARCELA_TROPIA_699_01</t>
  </si>
  <si>
    <t>REL_021</t>
  </si>
  <si>
    <t>2023_BRAULIO_LARA_387_01</t>
  </si>
  <si>
    <t>REL_022</t>
  </si>
  <si>
    <t>2023_NIKOLAS_FERREIRA_916_01</t>
  </si>
  <si>
    <t>REL_023</t>
  </si>
  <si>
    <t>2023_WESLEY_489_01</t>
  </si>
  <si>
    <t>REL_024</t>
  </si>
  <si>
    <t>2023_NELY_AQUINO_272_01</t>
  </si>
  <si>
    <t>REL_025</t>
  </si>
  <si>
    <t>2023_HENRIQUE_BRAGA_948_01</t>
  </si>
  <si>
    <t>REL_026</t>
  </si>
  <si>
    <t>2023_WILSINHO_DA_TABU_737_01</t>
  </si>
  <si>
    <t>REL_027</t>
  </si>
  <si>
    <t>2023_WESLEY_491_01</t>
  </si>
  <si>
    <t>REL_028</t>
  </si>
  <si>
    <t>2023_NELY_AQUINO_270_01</t>
  </si>
  <si>
    <t>REL_029</t>
  </si>
  <si>
    <t>2023_WESLEY_488_01</t>
  </si>
  <si>
    <t>REL_030</t>
  </si>
  <si>
    <t>2023_BRUNO_MIRANDA_653_01</t>
  </si>
  <si>
    <t>REL_031</t>
  </si>
  <si>
    <t>2023_RUBAO_1074_01</t>
  </si>
  <si>
    <t>REL_032</t>
  </si>
  <si>
    <t>2023_RUBAO_1073_01</t>
  </si>
  <si>
    <t>REL_033</t>
  </si>
  <si>
    <t>2023_RUBAO_1075_01</t>
  </si>
  <si>
    <t>REL_034</t>
  </si>
  <si>
    <t>2023_BIM_DA_AMBULANCIA_744_01</t>
  </si>
  <si>
    <t>REL_035</t>
  </si>
  <si>
    <t>2023_MARCELA_TROPIA_701_01</t>
  </si>
  <si>
    <t>REL_036</t>
  </si>
  <si>
    <t>2023_WESLEY_493_01</t>
  </si>
  <si>
    <t>REL_037</t>
  </si>
  <si>
    <t>2023_NELY_AQUINO_268_01</t>
  </si>
  <si>
    <t>REL_038</t>
  </si>
  <si>
    <t>2023_BRUNO_MIRANDA_1093_01</t>
  </si>
  <si>
    <t>REL_039</t>
  </si>
  <si>
    <t>2023_BIM_DA_AMBULANCIA_752_01</t>
  </si>
  <si>
    <t>REL_040</t>
  </si>
  <si>
    <t>2023_FLAVIA_BORJA_212_01</t>
  </si>
  <si>
    <t>REL_041</t>
  </si>
  <si>
    <t>2023_FLAVIA_BORJA_213_01</t>
  </si>
  <si>
    <t>REL_042</t>
  </si>
  <si>
    <t>2023_BIM_DA_AMBULANCIA_754_01</t>
  </si>
  <si>
    <t>REL_043</t>
  </si>
  <si>
    <t>2023_IZA_LOURENCA_621_01</t>
  </si>
  <si>
    <t>REL_044</t>
  </si>
  <si>
    <t>2023_BIM_DA_AMBULANCIA_813_01</t>
  </si>
  <si>
    <t>REL_045</t>
  </si>
  <si>
    <t>2023_RUBAO_1076_01</t>
  </si>
  <si>
    <t>REL_046</t>
  </si>
  <si>
    <t>2023_JANAINA_CARDOSO_1101_01</t>
  </si>
  <si>
    <t>REL_047</t>
  </si>
  <si>
    <t>2023_WALTER_TOSTA_324_01</t>
  </si>
  <si>
    <t>REL_048</t>
  </si>
  <si>
    <t>2023_BRUNO_MIRANDA_712_01</t>
  </si>
  <si>
    <t>REL_049</t>
  </si>
  <si>
    <t>2023_REINALDO_GOMES_PRETO_SACOLAO_962_01</t>
  </si>
  <si>
    <t>REL_050</t>
  </si>
  <si>
    <t>2023_REINALDO_GOMES_PRETO_SACOLAO_953_01</t>
  </si>
  <si>
    <t>REL_051</t>
  </si>
  <si>
    <t>2023_BELLA_GONCALVES_566_01</t>
  </si>
  <si>
    <t>REL_052</t>
  </si>
  <si>
    <t>2023_GILSON_GUIMARAES_645_01</t>
  </si>
  <si>
    <t>REL_053</t>
  </si>
  <si>
    <t>2023_MACAE_EVARISTO_544_01</t>
  </si>
  <si>
    <t>REL_054</t>
  </si>
  <si>
    <t>REL_055</t>
  </si>
  <si>
    <t>2023_JOSE_FERREIRA_877_01</t>
  </si>
  <si>
    <t>REL_056</t>
  </si>
  <si>
    <t>2023_MACAE_EVARISTO_543_01</t>
  </si>
  <si>
    <t>REL_057</t>
  </si>
  <si>
    <t>REL_058</t>
  </si>
  <si>
    <t>2023_JOSE_FERREIRA_875_01</t>
  </si>
  <si>
    <t>REL_059</t>
  </si>
  <si>
    <t>2023_BIM_DA_AMBULANCIA_818_01</t>
  </si>
  <si>
    <t>REL_060</t>
  </si>
  <si>
    <t>2023_CLAUDIO_DO_MUNDO_NOVO_458_01</t>
  </si>
  <si>
    <t>REL_061</t>
  </si>
  <si>
    <t>2023_ALVARO_DAMIAO_1055_01</t>
  </si>
  <si>
    <t>REL_062</t>
  </si>
  <si>
    <t>2023_MILTINHO_CGE_686_01</t>
  </si>
  <si>
    <t>REL_063</t>
  </si>
  <si>
    <t>2023_BRAULIO_LARA_370_01</t>
  </si>
  <si>
    <t>REL_064</t>
  </si>
  <si>
    <t>2023_GABRIEL_464_01</t>
  </si>
  <si>
    <t>REL_065</t>
  </si>
  <si>
    <t>2023_BIM_DA_AMBULANCIA_811_01</t>
  </si>
  <si>
    <t>REL_066</t>
  </si>
  <si>
    <t>2023_BIM_DA_AMBULANCIA_819_01</t>
  </si>
  <si>
    <t>REL_067</t>
  </si>
  <si>
    <t>REL_068</t>
  </si>
  <si>
    <t>2023_WALTER_TOSTA_305_01</t>
  </si>
  <si>
    <t>REL_069</t>
  </si>
  <si>
    <t>2023_RUBAO_1080_01</t>
  </si>
  <si>
    <t>REL_070</t>
  </si>
  <si>
    <t>2023_RUBAO_997_01</t>
  </si>
  <si>
    <t>REL_071</t>
  </si>
  <si>
    <t>2023_WILSINHO_DA_TABU_734_01</t>
  </si>
  <si>
    <t>REL_072</t>
  </si>
  <si>
    <t>2023_HELINHO_DA_FARMACIA_131_01</t>
  </si>
  <si>
    <t>REL_073</t>
  </si>
  <si>
    <t>2023_IRLAN_MELO_763_01</t>
  </si>
  <si>
    <t>REL_074</t>
  </si>
  <si>
    <t>2023_PEDRO_PATRUS_775_01</t>
  </si>
  <si>
    <t>REL_075</t>
  </si>
  <si>
    <t>2023_JOSE_FERREIRA_1084_01</t>
  </si>
  <si>
    <t>REL_076</t>
  </si>
  <si>
    <t>2023_JUNINHO_LOS_HERMANOS_413_01</t>
  </si>
  <si>
    <t>REL_077</t>
  </si>
  <si>
    <t>2023_WESLEY_482_01</t>
  </si>
  <si>
    <t>REL_078</t>
  </si>
  <si>
    <t>2023_LEO_1017_01</t>
  </si>
  <si>
    <t>REL_079</t>
  </si>
  <si>
    <t>2023_BIM_DA_AMBULANCIA_820_01</t>
  </si>
  <si>
    <t>REL_080</t>
  </si>
  <si>
    <t>2023_BIM_DA_AMBULANCIA_822_01</t>
  </si>
  <si>
    <t>REL_081</t>
  </si>
  <si>
    <t>2023_CLAUDIO_DO_MUNDO_NOVO_460_01</t>
  </si>
  <si>
    <t>REL_082</t>
  </si>
  <si>
    <t>2023_RAMON_BIBIANO_DA_CASA_DE_APOIO_226_01</t>
  </si>
  <si>
    <t>REL_083</t>
  </si>
  <si>
    <t>2023_BRUNO_MIRANDA_657_01</t>
  </si>
  <si>
    <t>REL_084</t>
  </si>
  <si>
    <t>2023_BRUNO_MIRANDA_761_01</t>
  </si>
  <si>
    <t>REL_085</t>
  </si>
  <si>
    <t>2023_CIRO_PEREIRA_1025_01</t>
  </si>
  <si>
    <t>REL_086</t>
  </si>
  <si>
    <t>2023_JUNINHO_LOS_HERMANOS_422_01</t>
  </si>
  <si>
    <t>REL_087</t>
  </si>
  <si>
    <t>2023_WALTER_TOSTA_304_01</t>
  </si>
  <si>
    <t>REL_088</t>
  </si>
  <si>
    <t>2023_WILSINHO_DA_TABU_729_01</t>
  </si>
  <si>
    <t>REL_089</t>
  </si>
  <si>
    <t>2023_RAMON_BIBIANO_DA_CASA_DE_APOIO_227_01</t>
  </si>
  <si>
    <t>REL_090</t>
  </si>
  <si>
    <t>2023_RAMON_BIBIANO_DA_CASA_DE_APOIO_240_01</t>
  </si>
  <si>
    <t>REL_091</t>
  </si>
  <si>
    <t>2023_JUNINHO_LOS_HERMANOS_419_01</t>
  </si>
  <si>
    <t>REL_092</t>
  </si>
  <si>
    <t>2023_PROFESSOR_JULIANO_LOPES_989_01</t>
  </si>
  <si>
    <t>REL_093</t>
  </si>
  <si>
    <t>2023_JOSE_FERREIRA_1085_01</t>
  </si>
  <si>
    <t>REL_094</t>
  </si>
  <si>
    <t>2023_JUNINHO_LOS_HERMANOS_412_01</t>
  </si>
  <si>
    <t>REL_095</t>
  </si>
  <si>
    <t>2023_BRUNO_MIRANDA_652_01</t>
  </si>
  <si>
    <t>REL_096</t>
  </si>
  <si>
    <t>2023_BRUNO_MIRANDA_659_01</t>
  </si>
  <si>
    <t>REL_097</t>
  </si>
  <si>
    <t>2023_CIRO_PEREIRA_1026_01</t>
  </si>
  <si>
    <t>REL_098</t>
  </si>
  <si>
    <t>2023_NIKOLAS_FERREIRA_917_01</t>
  </si>
  <si>
    <t>REL_099</t>
  </si>
  <si>
    <t>2023_NIKOLAS_FERREIRA_918_01</t>
  </si>
  <si>
    <t>REL_100</t>
  </si>
  <si>
    <t>2023_JUNINHO_LOS_HERMANOS_418_01</t>
  </si>
  <si>
    <t>REL_101</t>
  </si>
  <si>
    <t>2023_MILTINHO_CGE_689_01</t>
  </si>
  <si>
    <t>REL_102</t>
  </si>
  <si>
    <t>2023_CLEITON_XAVIER_1090_01</t>
  </si>
  <si>
    <t>REL_103</t>
  </si>
  <si>
    <t>2023_HELINHO_DA_FARMACIA_130_01</t>
  </si>
  <si>
    <t>REL_104</t>
  </si>
  <si>
    <t>2023_RAMON_BIBIANO_DA_CASA_DE_APOIO_225_01</t>
  </si>
  <si>
    <t>REL_105</t>
  </si>
  <si>
    <t>2023_RUBAO_1079_01</t>
  </si>
  <si>
    <t>REL_106</t>
  </si>
  <si>
    <t>2023_RUBAO_994_01</t>
  </si>
  <si>
    <t>REL_107</t>
  </si>
  <si>
    <t>2023_DUDA_SALABERT_567_01</t>
  </si>
  <si>
    <t>REL_108</t>
  </si>
  <si>
    <t>2023_WILSINHO_DA_TABU_733_01</t>
  </si>
  <si>
    <t>REL_109</t>
  </si>
  <si>
    <t>2023_RAMON_BIBIANO_DA_CASA_DE_APOIO_238_01</t>
  </si>
  <si>
    <t>REL_110</t>
  </si>
  <si>
    <t>2023_WILSINHO_DA_TABU_732_01</t>
  </si>
  <si>
    <t>REL_111</t>
  </si>
  <si>
    <t>2023_GABRIEL_297_01</t>
  </si>
  <si>
    <t>REL_112</t>
  </si>
  <si>
    <t>2023_MILTINHO_CGE_687_01</t>
  </si>
  <si>
    <t>REL_113</t>
  </si>
  <si>
    <t>2023_WESLEY_478_01</t>
  </si>
  <si>
    <t>REL_114</t>
  </si>
  <si>
    <t>2023_REINALDO_GOMES_PRETO_SACOLAO_972_01</t>
  </si>
  <si>
    <t>REL_115</t>
  </si>
  <si>
    <t>2023_JUNINHO_LOS_HERMANOS_421_01</t>
  </si>
  <si>
    <t>REL_116</t>
  </si>
  <si>
    <t>2023_RAMON_BIBIANO_DA_CASA_DE_APOIO_229_01</t>
  </si>
  <si>
    <t>REL_117</t>
  </si>
  <si>
    <t>2023_BIM_DA_AMBULANCIA_815_01</t>
  </si>
  <si>
    <t>REL_118</t>
  </si>
  <si>
    <t>2023_BIM_DA_AMBULANCIA_816_01</t>
  </si>
  <si>
    <t>REL_119</t>
  </si>
  <si>
    <t>2023_LEO_1047_01</t>
  </si>
  <si>
    <t>REL_120</t>
  </si>
  <si>
    <t>2023_PEDRO_PATRUS_773_01</t>
  </si>
  <si>
    <t>REL_121</t>
  </si>
  <si>
    <t>2023_JUNINHO_LOS_HERMANOS_414_01</t>
  </si>
  <si>
    <t>REL_122</t>
  </si>
  <si>
    <t>2023_NIKOLAS_FERREIRA_919_01</t>
  </si>
  <si>
    <t>REL_123</t>
  </si>
  <si>
    <t>2023_NIKOLAS_FERREIRA_920_01</t>
  </si>
  <si>
    <t>REL_124</t>
  </si>
  <si>
    <t>2023_GABRIEL_293_01</t>
  </si>
  <si>
    <t>REL_125</t>
  </si>
  <si>
    <t>2023_PROFESSORA_MARLI_843_01</t>
  </si>
  <si>
    <t>REL_126</t>
  </si>
  <si>
    <t>2023_RAMON_BIBIANO_DA_CASA_DE_APOIO_224_01</t>
  </si>
  <si>
    <t>REL_127</t>
  </si>
  <si>
    <t>2023_PEDRO_PATRUS_777_01</t>
  </si>
  <si>
    <t>REL_128</t>
  </si>
  <si>
    <t>2023_MILTINHO_CGE_683_01</t>
  </si>
  <si>
    <t>REL_129</t>
  </si>
  <si>
    <t>2023_BIM_DA_AMBULANCIA_812_01</t>
  </si>
  <si>
    <t>REL_130</t>
  </si>
  <si>
    <t>2023_FLAVIA_BORJA_210_01</t>
  </si>
  <si>
    <t>REL_131</t>
  </si>
  <si>
    <t>2023_BRUNO_MIRANDA_651_01</t>
  </si>
  <si>
    <t>REL_132</t>
  </si>
  <si>
    <t>2023_CLEITON_XAVIER_1088_01</t>
  </si>
  <si>
    <t>REL_133</t>
  </si>
  <si>
    <t>2023_MARCOS_CRISPIM_801_01</t>
  </si>
  <si>
    <t>REL_134</t>
  </si>
  <si>
    <t>2023_WESLEY_484_01</t>
  </si>
  <si>
    <t>REL_135</t>
  </si>
  <si>
    <t>2023_LEO_1059_01</t>
  </si>
  <si>
    <t>REL_136</t>
  </si>
  <si>
    <t>2023_MACAE_EVARISTO_546_01</t>
  </si>
  <si>
    <t>REL_137</t>
  </si>
  <si>
    <t>2023_MILTINHO_CGE_688_01</t>
  </si>
  <si>
    <t>REL_138</t>
  </si>
  <si>
    <t>2023_WILSINHO_DA_TABU_726_01</t>
  </si>
  <si>
    <t>REL_139</t>
  </si>
  <si>
    <t>2023_GABRIEL_300_01</t>
  </si>
  <si>
    <t>REL_140</t>
  </si>
  <si>
    <t>2023_RUBAO_998_01</t>
  </si>
  <si>
    <t>REL_141</t>
  </si>
  <si>
    <t>2023_BIM_DA_AMBULANCIA_810_01</t>
  </si>
  <si>
    <t>REL_142</t>
  </si>
  <si>
    <t>2023_BIM_DA_AMBULANCIA_817_01</t>
  </si>
  <si>
    <t>REL_143</t>
  </si>
  <si>
    <t>2023_CLAUDIO_DO_MUNDO_NOVO_459_01</t>
  </si>
  <si>
    <t>REL_144</t>
  </si>
  <si>
    <t>2023_GABRIEL_298_01</t>
  </si>
  <si>
    <t>REL_145</t>
  </si>
  <si>
    <t>2023_REINALDO_GOMES_PRETO_SACOLAO_973_01</t>
  </si>
  <si>
    <t>REL_146</t>
  </si>
  <si>
    <t>2023_HELINHO_DA_FARMACIA_129_01</t>
  </si>
  <si>
    <t>REL_147</t>
  </si>
  <si>
    <t>2023_GABRIEL_296_01</t>
  </si>
  <si>
    <t>REL_148</t>
  </si>
  <si>
    <t>REL_149</t>
  </si>
  <si>
    <t>2023_WALTER_TOSTA_306_01</t>
  </si>
  <si>
    <t>REL_150</t>
  </si>
  <si>
    <t>2023_LEO_1044_01</t>
  </si>
  <si>
    <t>REL_151</t>
  </si>
  <si>
    <t>2023_PROFESSORA_MARLI_889_01</t>
  </si>
  <si>
    <t>REL_152</t>
  </si>
  <si>
    <t>2023_DUDA_SALABERT_564_01</t>
  </si>
  <si>
    <t>REL_153</t>
  </si>
  <si>
    <t>2023_MARCOS_CRISPIM_743_01</t>
  </si>
  <si>
    <t>REL_154</t>
  </si>
  <si>
    <t>2023_NIKOLAS_FERREIRA_912_01</t>
  </si>
  <si>
    <t>REL_155</t>
  </si>
  <si>
    <t>2023_NIKOLAS_FERREIRA_913_01</t>
  </si>
  <si>
    <t>REL_156</t>
  </si>
  <si>
    <t>2023_REINALDO_GOMES_PRETO_SACOLAO_974_01</t>
  </si>
  <si>
    <t>REL_157</t>
  </si>
  <si>
    <t>2023_BRAULIO_LARA_372_01</t>
  </si>
  <si>
    <t>REL_158</t>
  </si>
  <si>
    <t>2023_NIKOLAS_FERREIRA_914_01</t>
  </si>
  <si>
    <t>REL_159</t>
  </si>
  <si>
    <t>2023_NIKOLAS_FERREIRA_915_01</t>
  </si>
  <si>
    <t>REL_160</t>
  </si>
  <si>
    <t>2023_RAMON_BIBIANO_DA_CASA_DE_APOIO_239_01</t>
  </si>
  <si>
    <t>REL_161</t>
  </si>
  <si>
    <t>2023_SERGIO_FERNANDO_PINHO_TAVARES_1100_01</t>
  </si>
  <si>
    <t>REL_162</t>
  </si>
  <si>
    <t>2023_MILTINHO_CGE_690_01</t>
  </si>
  <si>
    <t>REL_163</t>
  </si>
  <si>
    <t>2023_RAMON_BIBIANO_DA_CASA_DE_APOIO_222_01</t>
  </si>
  <si>
    <t>REL_164</t>
  </si>
  <si>
    <t>2023_CIRO_PEREIRA_1027_01</t>
  </si>
  <si>
    <t>REL_165</t>
  </si>
  <si>
    <t>2023_LEO_1016_01</t>
  </si>
  <si>
    <t>REL_166</t>
  </si>
  <si>
    <t>2023_NIKOLAS_FERREIRA_908_01</t>
  </si>
  <si>
    <t>REL_167</t>
  </si>
  <si>
    <t>2023_NIKOLAS_FERREIRA_909_01</t>
  </si>
  <si>
    <t>REL_168</t>
  </si>
  <si>
    <t>2023_CLAUDIO_DO_MUNDO_NOVO_457_01</t>
  </si>
  <si>
    <t>REL_169</t>
  </si>
  <si>
    <t>2023_JUNINHO_LOS_HERMANOS_416_01</t>
  </si>
  <si>
    <t>REL_170</t>
  </si>
  <si>
    <t>REL_171</t>
  </si>
  <si>
    <t>2023_GILSON_GUIMARAES_640_01</t>
  </si>
  <si>
    <t>REL_172</t>
  </si>
  <si>
    <t>2023_MILTINHO_CGE_684_01</t>
  </si>
  <si>
    <t>REL_173</t>
  </si>
  <si>
    <t>2023_BIM_DA_AMBULANCIA_1063_01</t>
  </si>
  <si>
    <t>REL_174</t>
  </si>
  <si>
    <t>2023_BIM_DA_AMBULANCIA_839_01</t>
  </si>
  <si>
    <t>REL_175</t>
  </si>
  <si>
    <t>2023_CLEITON_XAVIER_1089_01</t>
  </si>
  <si>
    <t>REL_176</t>
  </si>
  <si>
    <t>REL_177</t>
  </si>
  <si>
    <t>2023_HELINHO_DA_FARMACIA_128_01</t>
  </si>
  <si>
    <t>REL_178</t>
  </si>
  <si>
    <t>2023_WANDERLEY_PORTO_172_01</t>
  </si>
  <si>
    <t>REL_179</t>
  </si>
  <si>
    <t>2023_JOSE_FERREIRA_1086_01</t>
  </si>
  <si>
    <t>REL_180</t>
  </si>
  <si>
    <t>2023_JUNINHO_LOS_HERMANOS_417_01</t>
  </si>
  <si>
    <t>REL_181</t>
  </si>
  <si>
    <t>2023_MACAE_EVARISTO_545_01</t>
  </si>
  <si>
    <t>REL_182</t>
  </si>
  <si>
    <t>2023_MILTINHO_CGE_685_01</t>
  </si>
  <si>
    <t>REL_183</t>
  </si>
  <si>
    <t>2023_RUBAO_1083_01</t>
  </si>
  <si>
    <t>REL_184</t>
  </si>
  <si>
    <t>2023_WILSINHO_DA_TABU_727_01</t>
  </si>
  <si>
    <t>REL_185</t>
  </si>
  <si>
    <t>2023_LEO_1045_01</t>
  </si>
  <si>
    <t>REL_186</t>
  </si>
  <si>
    <t>2023_PEDRO_PATRUS_776_01</t>
  </si>
  <si>
    <t>REL_187</t>
  </si>
  <si>
    <t>2023_BIM_DA_AMBULANCIA_831_01</t>
  </si>
  <si>
    <t>REL_188</t>
  </si>
  <si>
    <t>2023_WESLEY_483_01</t>
  </si>
  <si>
    <t>REL_189</t>
  </si>
  <si>
    <t>REL_190</t>
  </si>
  <si>
    <t>2023_IRLAN_MELO_762_01</t>
  </si>
  <si>
    <t>REL_191</t>
  </si>
  <si>
    <t>2023_PROFESSORA_MARLI_842_01</t>
  </si>
  <si>
    <t>REL_192</t>
  </si>
  <si>
    <t>2023_WALTER_TOSTA_315_01</t>
  </si>
  <si>
    <t>REL_193</t>
  </si>
  <si>
    <t>2023_GABRIEL_294_01</t>
  </si>
  <si>
    <t>REL_194</t>
  </si>
  <si>
    <t>2023_WILSINHO_DA_TABU_725_01</t>
  </si>
  <si>
    <t>REL_195</t>
  </si>
  <si>
    <t>2023_WALTER_TOSTA_316_01</t>
  </si>
  <si>
    <t>REL_196</t>
  </si>
  <si>
    <t>REL_197</t>
  </si>
  <si>
    <t>2023_JUNINHO_LOS_HERMANOS_423_01</t>
  </si>
  <si>
    <t>REL_198</t>
  </si>
  <si>
    <t>2023_RAMON_BIBIANO_DA_CASA_DE_APOIO_228_01</t>
  </si>
  <si>
    <t>REL_199</t>
  </si>
  <si>
    <t>2023_BIM_DA_AMBULANCIA_803_01</t>
  </si>
  <si>
    <t>REL_200</t>
  </si>
  <si>
    <t>2023_BIM_DA_AMBULANCIA_814_01</t>
  </si>
  <si>
    <t>REL_201</t>
  </si>
  <si>
    <t>2023_RAMON_BIBIANO_DA_CASA_DE_APOIO_242_01</t>
  </si>
  <si>
    <t>REL_202</t>
  </si>
  <si>
    <t>2023_RAMON_BIBIANO_DA_CASA_DE_APOIO_241_01</t>
  </si>
  <si>
    <t>REL_203</t>
  </si>
  <si>
    <t>2023_RUBAO_1081_01</t>
  </si>
  <si>
    <t>REL_204</t>
  </si>
  <si>
    <t>2023_RUBAO_996_01</t>
  </si>
  <si>
    <t>REL_205</t>
  </si>
  <si>
    <t>2023_WALTER_TOSTA_303_01</t>
  </si>
  <si>
    <t>REL_206</t>
  </si>
  <si>
    <t>2023_JUNINHO_LOS_HERMANOS_415_01</t>
  </si>
  <si>
    <t>REL_207</t>
  </si>
  <si>
    <t>2023_RAMON_BIBIANO_DA_CASA_DE_APOIO_223_01</t>
  </si>
  <si>
    <t>REL_208</t>
  </si>
  <si>
    <t>2023_RUBAO_1082_01</t>
  </si>
  <si>
    <t>REL_209</t>
  </si>
  <si>
    <t>2023_RUBAO_995_01</t>
  </si>
  <si>
    <t>REL_210</t>
  </si>
  <si>
    <t>2023_PEDRO_PATRUS_774_01</t>
  </si>
  <si>
    <t>REL_211</t>
  </si>
  <si>
    <t>2023_GILSON_GUIMARAES_641_01</t>
  </si>
  <si>
    <t>REL_212</t>
  </si>
  <si>
    <t>2023_CIRO_PEREIRA_1028_01</t>
  </si>
  <si>
    <t>REL_213</t>
  </si>
  <si>
    <t>2023_CLAUDIO_DO_MUNDO_NOVO_454_01</t>
  </si>
  <si>
    <t>REL_214</t>
  </si>
  <si>
    <t>2023_JUNINHO_LOS_HERMANOS_420_01</t>
  </si>
  <si>
    <t>REL_215</t>
  </si>
  <si>
    <t>2023_DUDA_SALABERT_565_01</t>
  </si>
  <si>
    <t>REL_216</t>
  </si>
  <si>
    <t>2023_WESLEY_485_01</t>
  </si>
  <si>
    <t>REL_217</t>
  </si>
  <si>
    <t>2023_WESLEY_486_01</t>
  </si>
  <si>
    <t>REL_218</t>
  </si>
  <si>
    <t>2023_NIKOLAS_FERREIRA_910_01</t>
  </si>
  <si>
    <t>REL_219</t>
  </si>
  <si>
    <t>2023_NIKOLAS_FERREIRA_911_01</t>
  </si>
  <si>
    <t>REL_220</t>
  </si>
  <si>
    <t>2023_WANDERLEY_PORTO_177_01</t>
  </si>
  <si>
    <t>REL_221</t>
  </si>
  <si>
    <t>2023_WESLEY_479_01</t>
  </si>
  <si>
    <t>REL_222</t>
  </si>
  <si>
    <t>2023_PEDRO_PATRUS_772_01</t>
  </si>
  <si>
    <t>REL_223</t>
  </si>
  <si>
    <t>2023_WALTER_TOSTA_291_01</t>
  </si>
  <si>
    <t>REL_224</t>
  </si>
  <si>
    <t>2023_IZA_LOURENCA_650_01</t>
  </si>
  <si>
    <t>REL_225</t>
  </si>
  <si>
    <t>2023_LEO_1043_01</t>
  </si>
  <si>
    <t>REL_226</t>
  </si>
  <si>
    <t>2023_PROFESSOR_JULIANO_LOPES_993_01</t>
  </si>
  <si>
    <t>REL_227</t>
  </si>
  <si>
    <t>REL_228</t>
  </si>
  <si>
    <t>REL_229</t>
  </si>
  <si>
    <t>2023_PEDRO_PATRUS_786_01</t>
  </si>
  <si>
    <t>REL_230</t>
  </si>
  <si>
    <t>2023_PEDRO_PATRUS_788_01</t>
  </si>
  <si>
    <t>REL_231</t>
  </si>
  <si>
    <t>2023_WALTER_TOSTA_472_01</t>
  </si>
  <si>
    <t>REL_232</t>
  </si>
  <si>
    <t>2023_MARCOS_CRISPIM_821_01</t>
  </si>
  <si>
    <t>REL_233</t>
  </si>
  <si>
    <t>2023_WESLEY_480_01</t>
  </si>
  <si>
    <t>REL_234</t>
  </si>
  <si>
    <t>2023_GABRIEL_299_01</t>
  </si>
  <si>
    <t>REL_235</t>
  </si>
  <si>
    <t>REL_236</t>
  </si>
  <si>
    <t>2023_NIKOLAS_FERREIRA_906_01</t>
  </si>
  <si>
    <t>REL_237</t>
  </si>
  <si>
    <t>2023_NIKOLAS_FERREIRA_907_01</t>
  </si>
  <si>
    <t>REL_238</t>
  </si>
  <si>
    <t>2023_DUDA_SALABERT_576_01</t>
  </si>
  <si>
    <t>REL_239</t>
  </si>
  <si>
    <t>2023_BIM_DA_AMBULANCIA_823_01</t>
  </si>
  <si>
    <t>REL_240</t>
  </si>
  <si>
    <t>2023_BIM_DA_AMBULANCIA_824_01</t>
  </si>
  <si>
    <t>REL_241</t>
  </si>
  <si>
    <t>2023_WESLEY_521_01</t>
  </si>
  <si>
    <t>REL_242</t>
  </si>
  <si>
    <t>2023_PROFESSOR_JULIANO_LOPES_981_01</t>
  </si>
  <si>
    <t>REL_243</t>
  </si>
  <si>
    <t>2023_NELY_AQUINO_284_01</t>
  </si>
  <si>
    <t>REL_244</t>
  </si>
  <si>
    <t>2023_GILSON_GUIMARAES_643_01</t>
  </si>
  <si>
    <t>REL_245</t>
  </si>
  <si>
    <t>2023_GILSON_GUIMARAES_648_01</t>
  </si>
  <si>
    <t>REL_246</t>
  </si>
  <si>
    <t>2023_IRLAN_MELO_809_01</t>
  </si>
  <si>
    <t>REL_247</t>
  </si>
  <si>
    <t>2023_PROFESSORA_MARLI_886_01</t>
  </si>
  <si>
    <t>REL_248</t>
  </si>
  <si>
    <t>2023_RUBAO_1005_01</t>
  </si>
  <si>
    <t>REL_249</t>
  </si>
  <si>
    <t>2023_BRAULIO_LARA_383_01</t>
  </si>
  <si>
    <t>REL_250</t>
  </si>
  <si>
    <t>2023_HENRIQUE_BRAGA_942_01</t>
  </si>
  <si>
    <t>REL_251</t>
  </si>
  <si>
    <t>2023_JOSE_FERREIRA_876_01</t>
  </si>
  <si>
    <t>REL_252</t>
  </si>
  <si>
    <t>2023_WESLEY_523_01</t>
  </si>
  <si>
    <t>REL_253</t>
  </si>
  <si>
    <t>2023_WILSINHO_DA_TABU_708_01</t>
  </si>
  <si>
    <t>REL_254</t>
  </si>
  <si>
    <t>2023_HELINHO_DA_FARMACIA_595_01</t>
  </si>
  <si>
    <t>REL_255</t>
  </si>
  <si>
    <t>2023_NELY_AQUINO_271_01</t>
  </si>
  <si>
    <t>REL_256</t>
  </si>
  <si>
    <t>2023_DR_CELIO_FROIS_258_01</t>
  </si>
  <si>
    <t>REL_257</t>
  </si>
  <si>
    <t>2023_DUDA_SALABERT_581_01</t>
  </si>
  <si>
    <t>REL_258</t>
  </si>
  <si>
    <t>2023_NELY_AQUINO_267_01</t>
  </si>
  <si>
    <t>REL_259</t>
  </si>
  <si>
    <t>2023_REINALDO_GOMES_PRETO_SACOLAO_936_01</t>
  </si>
  <si>
    <t>REL_260</t>
  </si>
  <si>
    <t>2023_REINALDO_GOMES_PRETO_SACOLAO_957_01</t>
  </si>
  <si>
    <t>REL_261</t>
  </si>
  <si>
    <t>2023_DUDA_SALABERT_618_01</t>
  </si>
  <si>
    <t>REL_262</t>
  </si>
  <si>
    <t>2023_RAMON_BIBIANO_DA_CASA_DE_APOIO_1103_01</t>
  </si>
  <si>
    <t>REL_263</t>
  </si>
  <si>
    <t>2023_RAMON_BIBIANO_DA_CASA_DE_APOIO_1102_01</t>
  </si>
  <si>
    <t>REL_264</t>
  </si>
  <si>
    <t>2023_CIRO_PEREIRA_1033_01</t>
  </si>
  <si>
    <t>REL_265</t>
  </si>
  <si>
    <t>2023_RAMON_BIBIANO_DA_CASA_DE_APOIO_230_01</t>
  </si>
  <si>
    <t>REL_266</t>
  </si>
  <si>
    <t>2023_RAMON_BIBIANO_DA_CASA_DE_APOIO_231_01</t>
  </si>
  <si>
    <t>REL_267</t>
  </si>
  <si>
    <t>2023_DR_CELIO_FROIS_253_01</t>
  </si>
  <si>
    <t>REL_268</t>
  </si>
  <si>
    <t>2023_WALTER_TOSTA_331_01</t>
  </si>
  <si>
    <t>REL_269</t>
  </si>
  <si>
    <t>2023_IRLAN_MELO_800_01</t>
  </si>
  <si>
    <t>REL_270</t>
  </si>
  <si>
    <t>2023_DUDA_SALABERT_582_01</t>
  </si>
  <si>
    <t>REL_271</t>
  </si>
  <si>
    <t>2023_CLAUDIO_DO_MUNDO_NOVO_463_01</t>
  </si>
  <si>
    <t>REL_272</t>
  </si>
  <si>
    <t>2023_WALTER_TOSTA_333_01</t>
  </si>
  <si>
    <t>REL_273</t>
  </si>
  <si>
    <t>2023_CLAUDIO_DO_MUNDO_NOVO_462_01</t>
  </si>
  <si>
    <t>REL_274</t>
  </si>
  <si>
    <t>2023_WALTER_TOSTA_329_01</t>
  </si>
  <si>
    <t>REL_275</t>
  </si>
  <si>
    <t>2023_IRLAN_MELO_798_01</t>
  </si>
  <si>
    <t>REL_276</t>
  </si>
  <si>
    <t>2023_PROFESSORA_MARLI_882_01</t>
  </si>
  <si>
    <t>REL_277</t>
  </si>
  <si>
    <t>2023_WALTER_TOSTA_325_01</t>
  </si>
  <si>
    <t>REL_278</t>
  </si>
  <si>
    <t>2023_WALTER_TOSTA_328_01</t>
  </si>
  <si>
    <t>REL_279</t>
  </si>
  <si>
    <t>2023_WESLEY_502_01</t>
  </si>
  <si>
    <t>REL_280</t>
  </si>
  <si>
    <t>2023_RAMON_BIBIANO_DA_CASA_DE_APOIO_233_01</t>
  </si>
  <si>
    <t>REL_281</t>
  </si>
  <si>
    <t>2023_CIRO_PEREIRA_1034_01</t>
  </si>
  <si>
    <t>REL_282</t>
  </si>
  <si>
    <t>2023_WALTER_TOSTA_501_01</t>
  </si>
  <si>
    <t>REL_283</t>
  </si>
  <si>
    <t>2023_WESLEY_500_01</t>
  </si>
  <si>
    <t>REL_284</t>
  </si>
  <si>
    <t>2023_DR_CELIO_FROIS_255_01</t>
  </si>
  <si>
    <t>REL_285</t>
  </si>
  <si>
    <t>2023_WALTER_TOSTA_327_01</t>
  </si>
  <si>
    <t>REL_286</t>
  </si>
  <si>
    <t>2023_PROFESSORA_MARLI_856_01</t>
  </si>
  <si>
    <t>REL_287</t>
  </si>
  <si>
    <t>2023_DR_CELIO_FROIS_254_01</t>
  </si>
  <si>
    <t>REL_288</t>
  </si>
  <si>
    <t>2023_WILSINHO_DA_TABU_716_01</t>
  </si>
  <si>
    <t>REL_289</t>
  </si>
  <si>
    <t>2023_WILSINHO_DA_TABU_717_01</t>
  </si>
  <si>
    <t>REL_290</t>
  </si>
  <si>
    <t>2023_WILSINHO_DA_TABU_718_01</t>
  </si>
  <si>
    <t>REL_291</t>
  </si>
  <si>
    <t>2023_WILSINHO_DA_TABU_719_01</t>
  </si>
  <si>
    <t>REL_292</t>
  </si>
  <si>
    <t>2023_RAMON_BIBIANO_DA_CASA_DE_APOIO_232_01</t>
  </si>
  <si>
    <t>REL_293</t>
  </si>
  <si>
    <t>2023_CIRO_PEREIRA_1035_01</t>
  </si>
  <si>
    <t>REL_294</t>
  </si>
  <si>
    <t>2023_WILSINHO_DA_TABU_720_01</t>
  </si>
  <si>
    <t>REL_295</t>
  </si>
  <si>
    <t>2023_WILSINHO_DA_TABU_721_01</t>
  </si>
  <si>
    <t>REL_296</t>
  </si>
  <si>
    <t>2023_RAMON_BIBIANO_DA_CASA_DE_APOIO_1104_01</t>
  </si>
  <si>
    <t>REL_297</t>
  </si>
  <si>
    <t>2023_MILTINHO_CGE_692_01</t>
  </si>
  <si>
    <t>REL_298</t>
  </si>
  <si>
    <t>2023_WESLEY_499_01</t>
  </si>
  <si>
    <t>REL_299</t>
  </si>
  <si>
    <t>2023_MACAE_EVARISTO_558_01</t>
  </si>
  <si>
    <t>REL_300</t>
  </si>
  <si>
    <t>2023_PEDRO_PATRUS_783_01</t>
  </si>
  <si>
    <t>REL_301</t>
  </si>
  <si>
    <t>2023_IZA_LOURENCA_625_01</t>
  </si>
  <si>
    <t>REL_302</t>
  </si>
  <si>
    <t>2023_PROFESSOR_JULIANO_LOPES_982_01</t>
  </si>
  <si>
    <t>REL_303</t>
  </si>
  <si>
    <t>2023_REINALDO_GOMES_PRETO_SACOLAO_937_01</t>
  </si>
  <si>
    <t>REL_304</t>
  </si>
  <si>
    <t>2023_MARCELA_TROPIA_749_01</t>
  </si>
  <si>
    <t>REL_305</t>
  </si>
  <si>
    <t>2023_JUNINHO_LOS_HERMANOS_424_01</t>
  </si>
  <si>
    <t>REL_306</t>
  </si>
  <si>
    <t>2023_WILSINHO_DA_TABU_730_01</t>
  </si>
  <si>
    <t>REL_307</t>
  </si>
  <si>
    <t>2023_BRAULIO_LARA_376_01</t>
  </si>
  <si>
    <t>REL_308</t>
  </si>
  <si>
    <t>2023_CLAUDIO_DO_MUNDO_NOVO_350_01</t>
  </si>
  <si>
    <t>REL_309</t>
  </si>
  <si>
    <t>2023_FERNANDA_PEREIRA_ALTOE_338_01</t>
  </si>
  <si>
    <t>REL_310</t>
  </si>
  <si>
    <t>2023_HELINHO_DA_FARMACIA_592_01</t>
  </si>
  <si>
    <t>REL_311</t>
  </si>
  <si>
    <t>2023_HENRIQUE_BRAGA_943_01</t>
  </si>
  <si>
    <t>REL_312</t>
  </si>
  <si>
    <t>2023_JORGE_SANTOS_441_01</t>
  </si>
  <si>
    <t>REL_313</t>
  </si>
  <si>
    <t>2023_JOSE_FERREIRA_873_01</t>
  </si>
  <si>
    <t>REL_314</t>
  </si>
  <si>
    <t>2023_LEO_1013_01</t>
  </si>
  <si>
    <t>REL_315</t>
  </si>
  <si>
    <t>2023_MACAE_EVARISTO_536_01</t>
  </si>
  <si>
    <t>REL_316</t>
  </si>
  <si>
    <t>2023_MARCELA_TROPIA_747_01</t>
  </si>
  <si>
    <t>REL_317</t>
  </si>
  <si>
    <t>2023_MARCOS_CRISPIM_492_01</t>
  </si>
  <si>
    <t>REL_318</t>
  </si>
  <si>
    <t>2023_MILTINHO_CGE_672_01</t>
  </si>
  <si>
    <t>REL_319</t>
  </si>
  <si>
    <t>2023_NELY_AQUINO_281_01</t>
  </si>
  <si>
    <t>REL_320</t>
  </si>
  <si>
    <t>2023_PROFESSORA_MARLI_885_01</t>
  </si>
  <si>
    <t>REL_321</t>
  </si>
  <si>
    <t>2023_REINALDO_GOMES_PRETO_SACOLAO_969_01</t>
  </si>
  <si>
    <t>REL_322</t>
  </si>
  <si>
    <t>2023_RUBAO_1001_01</t>
  </si>
  <si>
    <t>REL_323</t>
  </si>
  <si>
    <t>2023_WESLEY_473_01</t>
  </si>
  <si>
    <t>REL_324</t>
  </si>
  <si>
    <t>2023_WILSINHO_DA_TABU_702_01</t>
  </si>
  <si>
    <t>REL_325</t>
  </si>
  <si>
    <t>2023_BELLA_GONCALVES_580_01</t>
  </si>
  <si>
    <t>REL_326</t>
  </si>
  <si>
    <t>2023_DUDA_SALABERT_563_01</t>
  </si>
  <si>
    <t>REL_327</t>
  </si>
  <si>
    <t>2023_NELY_AQUINO_351_01</t>
  </si>
  <si>
    <t>REL_328</t>
  </si>
  <si>
    <t>2023_PROFESSOR_JULIANO_LOPES_992_01</t>
  </si>
  <si>
    <t>REL_329</t>
  </si>
  <si>
    <t>2023_BRAULIO_LARA_382_01</t>
  </si>
  <si>
    <t>REL_330</t>
  </si>
  <si>
    <t>2023_CIRO_PEREIRA_1023_01</t>
  </si>
  <si>
    <t>REL_331</t>
  </si>
  <si>
    <t>2023_CLAUDIO_DO_MUNDO_NOVO_348_01</t>
  </si>
  <si>
    <t>REL_332</t>
  </si>
  <si>
    <t>2023_FERNANDA_PEREIRA_ALTOE_404_01</t>
  </si>
  <si>
    <t>REL_333</t>
  </si>
  <si>
    <t>2023_FLAVIA_BORJA_201_01</t>
  </si>
  <si>
    <t>REL_334</t>
  </si>
  <si>
    <t>2023_HELINHO_DA_FARMACIA_590_01</t>
  </si>
  <si>
    <t>REL_335</t>
  </si>
  <si>
    <t>2023_HENRIQUE_BRAGA_944_01</t>
  </si>
  <si>
    <t>REL_336</t>
  </si>
  <si>
    <t>2023_IRLAN_MELO_805_01</t>
  </si>
  <si>
    <t>REL_337</t>
  </si>
  <si>
    <t>2023_JORGE_SANTOS_438_01</t>
  </si>
  <si>
    <t>REL_338</t>
  </si>
  <si>
    <t>2023_MACAE_EVARISTO_539_01</t>
  </si>
  <si>
    <t>REL_339</t>
  </si>
  <si>
    <t>2023_MARCOS_CRISPIM_490_01</t>
  </si>
  <si>
    <t>REL_340</t>
  </si>
  <si>
    <t>2023_MARILDA_PORTELA_512_01</t>
  </si>
  <si>
    <t>REL_341</t>
  </si>
  <si>
    <t>2023_MILTINHO_CGE_670_01</t>
  </si>
  <si>
    <t>REL_342</t>
  </si>
  <si>
    <t>2023_PROFESSOR_JULIANO_LOPES_986_01</t>
  </si>
  <si>
    <t>REL_343</t>
  </si>
  <si>
    <t>2023_PROFESSORA_MARLI_1087_01</t>
  </si>
  <si>
    <t>REL_344</t>
  </si>
  <si>
    <t>2023_RUBAO_1003_01</t>
  </si>
  <si>
    <t>REL_345</t>
  </si>
  <si>
    <t>2023_WILSINHO_DA_TABU_703_01</t>
  </si>
  <si>
    <t>REL_346</t>
  </si>
  <si>
    <t>2023_FERNANDO_LUIZ_197_01</t>
  </si>
  <si>
    <t>REL_347</t>
  </si>
  <si>
    <t>2023_GILSON_GUIMARAES_646_01</t>
  </si>
  <si>
    <t>REL_348</t>
  </si>
  <si>
    <t>2023_MILTINHO_CGE_674_01</t>
  </si>
  <si>
    <t>REL_349</t>
  </si>
  <si>
    <t>2023_NELY_AQUINO_278_01</t>
  </si>
  <si>
    <t>REL_350</t>
  </si>
  <si>
    <t>2023_PROFESSORA_MARLI_848_01</t>
  </si>
  <si>
    <t>REL_351</t>
  </si>
  <si>
    <t>2023_CLEITON_XAVIER_1068_01</t>
  </si>
  <si>
    <t>REL_352</t>
  </si>
  <si>
    <t>2023_CLAUDIO_DO_MUNDO_NOVO_456_01</t>
  </si>
  <si>
    <t>REL_353</t>
  </si>
  <si>
    <t>2023_FERNANDO_LUIZ_199_01</t>
  </si>
  <si>
    <t>REL_354</t>
  </si>
  <si>
    <t>2023_GILSON_GUIMARAES_639_01</t>
  </si>
  <si>
    <t>REL_355</t>
  </si>
  <si>
    <t>2023_JORGE_SANTOS_447_01</t>
  </si>
  <si>
    <t>REL_356</t>
  </si>
  <si>
    <t>2023_NELY_AQUINO_282_01</t>
  </si>
  <si>
    <t>REL_357</t>
  </si>
  <si>
    <t>2023_CLAUDIO_DO_MUNDO_NOVO_451_01</t>
  </si>
  <si>
    <t>REL_358</t>
  </si>
  <si>
    <t>2023_FERNANDA_PEREIRA_ALTOE_341_01</t>
  </si>
  <si>
    <t>REL_359</t>
  </si>
  <si>
    <t>2023_JORGE_SANTOS_448_01</t>
  </si>
  <si>
    <t>REL_360</t>
  </si>
  <si>
    <t>2023_PROFESSOR_JULIANO_LOPES_991_01</t>
  </si>
  <si>
    <t>REL_361</t>
  </si>
  <si>
    <t>2023_BRAULIO_LARA_379_01</t>
  </si>
  <si>
    <t>REL_362</t>
  </si>
  <si>
    <t>2023_CIRO_PEREIRA_1041_01</t>
  </si>
  <si>
    <t>REL_363</t>
  </si>
  <si>
    <t>2023_CLAUDIO_DO_MUNDO_NOVO_344_01</t>
  </si>
  <si>
    <t>REL_364</t>
  </si>
  <si>
    <t>2023_FERNANDA_PEREIRA_ALTOE_337_01</t>
  </si>
  <si>
    <t>REL_365</t>
  </si>
  <si>
    <t>2023_JORGE_SANTOS_439_01</t>
  </si>
  <si>
    <t>REL_366</t>
  </si>
  <si>
    <t>2023_MARCELA_TROPIA_751_01</t>
  </si>
  <si>
    <t>REL_367</t>
  </si>
  <si>
    <t>2023_NIKOLAS_FERREIRA_898_01</t>
  </si>
  <si>
    <t>REL_368</t>
  </si>
  <si>
    <t>2023_REINALDO_GOMES_PRETO_SACOLAO_971_01</t>
  </si>
  <si>
    <t>REL_369</t>
  </si>
  <si>
    <t>2023_RUBAO_1002_01</t>
  </si>
  <si>
    <t>REL_370</t>
  </si>
  <si>
    <t>2023_WESLEY_476_01</t>
  </si>
  <si>
    <t>REL_371</t>
  </si>
  <si>
    <t>2023_WILSINHO_DA_TABU_704_01</t>
  </si>
  <si>
    <t>REL_372</t>
  </si>
  <si>
    <t>2023_BRAULIO_LARA_371_01</t>
  </si>
  <si>
    <t>REL_373</t>
  </si>
  <si>
    <t>2023_BRUNO_MIRANDA_623_01</t>
  </si>
  <si>
    <t>REL_374</t>
  </si>
  <si>
    <t>2023_CIRO_PEREIRA_1022_01</t>
  </si>
  <si>
    <t>REL_375</t>
  </si>
  <si>
    <t>2023_CLAUDIO_DO_MUNDO_NOVO_401_01</t>
  </si>
  <si>
    <t>REL_376</t>
  </si>
  <si>
    <t>2023_FERNANDA_PEREIRA_ALTOE_336_01</t>
  </si>
  <si>
    <t>REL_377</t>
  </si>
  <si>
    <t>2023_JORGE_SANTOS_437_01</t>
  </si>
  <si>
    <t>REL_378</t>
  </si>
  <si>
    <t>2023_MACAE_EVARISTO_534_01</t>
  </si>
  <si>
    <t>REL_379</t>
  </si>
  <si>
    <t>2023_MARILDA_PORTELA_513_01</t>
  </si>
  <si>
    <t>REL_380</t>
  </si>
  <si>
    <t>2023_MILTINHO_CGE_671_01</t>
  </si>
  <si>
    <t>REL_381</t>
  </si>
  <si>
    <t>2023_NELY_AQUINO_280_01</t>
  </si>
  <si>
    <t>REL_382</t>
  </si>
  <si>
    <t>2023_PROFESSORA_MARLI_845_01</t>
  </si>
  <si>
    <t>REL_383</t>
  </si>
  <si>
    <t>2023_RUBAO_1000_01</t>
  </si>
  <si>
    <t>REL_384</t>
  </si>
  <si>
    <t>2023_WILSINHO_DA_TABU_705_01</t>
  </si>
  <si>
    <t>REL_385</t>
  </si>
  <si>
    <t>2023_BRAULIO_LARA_377_01</t>
  </si>
  <si>
    <t>REL_386</t>
  </si>
  <si>
    <t>2023_HENRIQUE_BRAGA_939_01</t>
  </si>
  <si>
    <t>REL_387</t>
  </si>
  <si>
    <t>2023_IRLAN_MELO_808_01</t>
  </si>
  <si>
    <t>REL_388</t>
  </si>
  <si>
    <t>2023_MACAE_EVARISTO_537_01</t>
  </si>
  <si>
    <t>REL_389</t>
  </si>
  <si>
    <t>2023_WANDERLEY_PORTO_173_01</t>
  </si>
  <si>
    <t>REL_390</t>
  </si>
  <si>
    <t>2023_BIM_DA_AMBULANCIA_825_01</t>
  </si>
  <si>
    <t>REL_391</t>
  </si>
  <si>
    <t>2023_CLEITON_XAVIER_1067_01</t>
  </si>
  <si>
    <t>REL_392</t>
  </si>
  <si>
    <t>2023_CLAUDIO_DO_MUNDO_NOVO_452_01</t>
  </si>
  <si>
    <t>REL_393</t>
  </si>
  <si>
    <t>2023_DUDA_SALABERT_568_01</t>
  </si>
  <si>
    <t>REL_394</t>
  </si>
  <si>
    <t>2023_DUDA_SALABERT_570_01</t>
  </si>
  <si>
    <t>REL_395</t>
  </si>
  <si>
    <t>2023_DUDA_SALABERT_572_01</t>
  </si>
  <si>
    <t>REL_396</t>
  </si>
  <si>
    <t>2023_FERNANDA_PEREIRA_ALTOE_339_01</t>
  </si>
  <si>
    <t>REL_397</t>
  </si>
  <si>
    <t>2023_FERNANDO_LUIZ_198_01</t>
  </si>
  <si>
    <t>REL_398</t>
  </si>
  <si>
    <t>2023_FLAVIA_BORJA_211_01</t>
  </si>
  <si>
    <t>REL_399</t>
  </si>
  <si>
    <t>2023_HENRIQUE_BRAGA_938_01</t>
  </si>
  <si>
    <t>REL_400</t>
  </si>
  <si>
    <t>2023_JORGE_SANTOS_449_01</t>
  </si>
  <si>
    <t>REL_401</t>
  </si>
  <si>
    <t>2023_JOSE_FERREIRA_878_01</t>
  </si>
  <si>
    <t>REL_402</t>
  </si>
  <si>
    <t>2023_JUNINHO_LOS_HERMANOS_426_01</t>
  </si>
  <si>
    <t>REL_403</t>
  </si>
  <si>
    <t>2023_MACAE_EVARISTO_577_01</t>
  </si>
  <si>
    <t>REL_404</t>
  </si>
  <si>
    <t>2023_NELY_AQUINO_276_01</t>
  </si>
  <si>
    <t>REL_405</t>
  </si>
  <si>
    <t>2023_NIKOLAS_FERREIRA_924_01</t>
  </si>
  <si>
    <t>REL_406</t>
  </si>
  <si>
    <t>2023_PEDRO_PATRUS_779_01</t>
  </si>
  <si>
    <t>REL_407</t>
  </si>
  <si>
    <t>2023_PROFESSOR_CLAUDINEY_DULIM_895_01</t>
  </si>
  <si>
    <t>REL_408</t>
  </si>
  <si>
    <t>2023_ALVARO_DAMIAO_1060_01</t>
  </si>
  <si>
    <t>REL_409</t>
  </si>
  <si>
    <t>2023_IRLAN_MELO_806_01</t>
  </si>
  <si>
    <t>REL_410</t>
  </si>
  <si>
    <t>2023_JORGE_SANTOS_442_01</t>
  </si>
  <si>
    <t>REL_411</t>
  </si>
  <si>
    <t>2023_MARCELA_TROPIA_746_01</t>
  </si>
  <si>
    <t>REL_412</t>
  </si>
  <si>
    <t>2023_MARILDA_PORTELA_514_01</t>
  </si>
  <si>
    <t>REL_413</t>
  </si>
  <si>
    <t>2023_WESLEY_475_01</t>
  </si>
  <si>
    <t>REL_414</t>
  </si>
  <si>
    <t>2023_WILSINHO_DA_TABU_706_01</t>
  </si>
  <si>
    <t>REL_415</t>
  </si>
  <si>
    <t>2023_CLAUDIO_DO_MUNDO_NOVO_349_01</t>
  </si>
  <si>
    <t>REL_416</t>
  </si>
  <si>
    <t>2023_IZA_LOURENCA_634_01</t>
  </si>
  <si>
    <t>REL_417</t>
  </si>
  <si>
    <t>2023_MACAE_EVARISTO_538_01</t>
  </si>
  <si>
    <t>REL_418</t>
  </si>
  <si>
    <t>2023_WESLEY_474_01</t>
  </si>
  <si>
    <t>REL_419</t>
  </si>
  <si>
    <t>2023_BRAULIO_LARA_380_01</t>
  </si>
  <si>
    <t>REL_420</t>
  </si>
  <si>
    <t>2023_CLAUDIO_DO_MUNDO_NOVO_343_01</t>
  </si>
  <si>
    <t>REL_421</t>
  </si>
  <si>
    <t>2023_FERNANDA_PEREIRA_ALTOE_334_01</t>
  </si>
  <si>
    <t>REL_422</t>
  </si>
  <si>
    <t>2023_GABRIEL_332_01</t>
  </si>
  <si>
    <t>REL_423</t>
  </si>
  <si>
    <t>2023_HELINHO_DA_FARMACIA_591_01</t>
  </si>
  <si>
    <t>REL_424</t>
  </si>
  <si>
    <t>2023_HENRIQUE_BRAGA_940_01</t>
  </si>
  <si>
    <t>REL_425</t>
  </si>
  <si>
    <t>2023_IRLAN_MELO_804_01</t>
  </si>
  <si>
    <t>REL_426</t>
  </si>
  <si>
    <t>2023_JORGE_SANTOS_436_01</t>
  </si>
  <si>
    <t>REL_427</t>
  </si>
  <si>
    <t>2023_LEO_1015_01</t>
  </si>
  <si>
    <t>REL_428</t>
  </si>
  <si>
    <t>2023_MACAE_EVARISTO_540_01</t>
  </si>
  <si>
    <t>REL_429</t>
  </si>
  <si>
    <t>2023_MILTINHO_CGE_673_01</t>
  </si>
  <si>
    <t>REL_430</t>
  </si>
  <si>
    <t>2023_NELY_AQUINO_279_01</t>
  </si>
  <si>
    <t>REL_431</t>
  </si>
  <si>
    <t>2023_NIKOLAS_FERREIRA_897_01</t>
  </si>
  <si>
    <t>REL_432</t>
  </si>
  <si>
    <t>2023_PROFESSORA_MARLI_884_01</t>
  </si>
  <si>
    <t>REL_433</t>
  </si>
  <si>
    <t>2023_REINALDO_GOMES_PRETO_SACOLAO_970_01</t>
  </si>
  <si>
    <t>REL_434</t>
  </si>
  <si>
    <t>2023_RUBAO_1004_01</t>
  </si>
  <si>
    <t>REL_435</t>
  </si>
  <si>
    <t>2023_WESLEY_477_01</t>
  </si>
  <si>
    <t>REL_436</t>
  </si>
  <si>
    <t>2023_WILSINHO_DA_TABU_735_01</t>
  </si>
  <si>
    <t>REL_437</t>
  </si>
  <si>
    <t>2023_BRAULIO_LARA_378_01</t>
  </si>
  <si>
    <t>REL_438</t>
  </si>
  <si>
    <t>2023_BRUNO_MIRANDA_633_01</t>
  </si>
  <si>
    <t>REL_439</t>
  </si>
  <si>
    <t>2023_DUDA_SALABERT_561_01</t>
  </si>
  <si>
    <t>REL_440</t>
  </si>
  <si>
    <t>2023_HENRIQUE_BRAGA_941_01</t>
  </si>
  <si>
    <t>REL_441</t>
  </si>
  <si>
    <t>2023_IRLAN_MELO_807_01</t>
  </si>
  <si>
    <t>REL_442</t>
  </si>
  <si>
    <t>2023_IZA_LOURENCA_637_01</t>
  </si>
  <si>
    <t>REL_443</t>
  </si>
  <si>
    <t>2023_JORGE_SANTOS_440_01</t>
  </si>
  <si>
    <t>REL_444</t>
  </si>
  <si>
    <t>2023_MACAE_EVARISTO_535_01</t>
  </si>
  <si>
    <t>REL_445</t>
  </si>
  <si>
    <t>2023_MARCELA_TROPIA_748_01</t>
  </si>
  <si>
    <t>REL_446</t>
  </si>
  <si>
    <t>2023_PEDRO_PATRUS_778_01</t>
  </si>
  <si>
    <t>REL_447</t>
  </si>
  <si>
    <t>2023_PROFESSORA_MARLI_846_01</t>
  </si>
  <si>
    <t>REL_448</t>
  </si>
  <si>
    <t>2023_WILSINHO_DA_TABU_709_01</t>
  </si>
  <si>
    <t>REL_449</t>
  </si>
  <si>
    <t>2023_DR_CELIO_FROIS_247_01</t>
  </si>
  <si>
    <t>REL_450</t>
  </si>
  <si>
    <t>2023_RUBAO_1078_01</t>
  </si>
  <si>
    <t>REL_451</t>
  </si>
  <si>
    <t>2023_PROFESSOR_JULIANO_LOPES_983_01</t>
  </si>
  <si>
    <t>REL_452</t>
  </si>
  <si>
    <t>2023_NELY_AQUINO_352_01</t>
  </si>
  <si>
    <t>REL_453</t>
  </si>
  <si>
    <t>2023_GILSON_GUIMARAES_644_01</t>
  </si>
  <si>
    <t>REL_454</t>
  </si>
  <si>
    <t>2023_SERGIO_FERNANDO_PINHO_TAVARES_1096_01</t>
  </si>
  <si>
    <t>REL_455</t>
  </si>
  <si>
    <t>2023_CLAUDIO_DO_MUNDO_NOVO_453_01</t>
  </si>
  <si>
    <t>REL_456</t>
  </si>
  <si>
    <t>2023_FERNANDA_PEREIRA_ALTOE_340_01</t>
  </si>
  <si>
    <t>REL_457</t>
  </si>
  <si>
    <t>2023_GILSON_GUIMARAES_647_01</t>
  </si>
  <si>
    <t>REL_458</t>
  </si>
  <si>
    <t>2023_JORGE_SANTOS_450_01</t>
  </si>
  <si>
    <t>REL_459</t>
  </si>
  <si>
    <t>2023_MARCELA_TROPIA_750_01</t>
  </si>
  <si>
    <t>REL_460</t>
  </si>
  <si>
    <t>2023_NELY_AQUINO_283_01</t>
  </si>
  <si>
    <t>REL_461</t>
  </si>
  <si>
    <t>2023_GILSON_GUIMARAES_630_01</t>
  </si>
  <si>
    <t>REL_462</t>
  </si>
  <si>
    <t>2023_GILSON_GUIMARAES_631_01</t>
  </si>
  <si>
    <t>REL_463</t>
  </si>
  <si>
    <t>2023_FERNANDO_LUIZ_196_01</t>
  </si>
  <si>
    <t>REL_464</t>
  </si>
  <si>
    <t>2023_RUBAO_1077_01</t>
  </si>
  <si>
    <t>REL_465</t>
  </si>
  <si>
    <t>2023_MACAE_EVARISTO_541_01</t>
  </si>
  <si>
    <t>REL_466</t>
  </si>
  <si>
    <t>2023_BRAULIO_LARA_353_01</t>
  </si>
  <si>
    <t>REL_467</t>
  </si>
  <si>
    <t>REL_468</t>
  </si>
  <si>
    <t>REL_469</t>
  </si>
  <si>
    <t>2023_HENRIQUE_BRAGA_949_01</t>
  </si>
  <si>
    <t>REL_470</t>
  </si>
  <si>
    <t>2023_GABRIEL_307_01</t>
  </si>
  <si>
    <t>REL_471</t>
  </si>
  <si>
    <t>2023_SERGIO_FERNANDO_PINHO_TAVARES_1098_01</t>
  </si>
  <si>
    <t>REL_472</t>
  </si>
  <si>
    <t>2023_FERNANDA_PEREIRA_ALTOE_409_01</t>
  </si>
  <si>
    <t>REL_473</t>
  </si>
  <si>
    <t>2023_MARCELA_TROPIA_658_01</t>
  </si>
  <si>
    <t>REL_474</t>
  </si>
  <si>
    <t>2023_SERGIO_FERNANDO_PINHO_TAVARES_1099_01</t>
  </si>
  <si>
    <t>REL_475</t>
  </si>
  <si>
    <t>2023_CIRO_PEREIRA_1030_01</t>
  </si>
  <si>
    <t>REL_476</t>
  </si>
  <si>
    <t>2023_CIRO_PEREIRA_1029_01</t>
  </si>
  <si>
    <t>REL_477</t>
  </si>
  <si>
    <t>2023_FERNANDA_PEREIRA_ALTOE_410_01</t>
  </si>
  <si>
    <t>REL_478</t>
  </si>
  <si>
    <t>2023_WILSINHO_DA_TABU_740_01</t>
  </si>
  <si>
    <t>REL_479</t>
  </si>
  <si>
    <t>2023_MILTINHO_CGE_675_01</t>
  </si>
  <si>
    <t>REL_480</t>
  </si>
  <si>
    <t>2023_MILTINHO_CGE_677_01</t>
  </si>
  <si>
    <t>REL_481</t>
  </si>
  <si>
    <t>2023_FERNANDA_PEREIRA_ALTOE_408_01</t>
  </si>
  <si>
    <t>REL_482</t>
  </si>
  <si>
    <t>2023_WANDERLEY_PORTO_166_01</t>
  </si>
  <si>
    <t>REL_483</t>
  </si>
  <si>
    <t>2023_BRAULIO_LARA_388_01</t>
  </si>
  <si>
    <t>REL_484</t>
  </si>
  <si>
    <t>2023_CIRO_PEREIRA_1031_01</t>
  </si>
  <si>
    <t>REL_485</t>
  </si>
  <si>
    <t>2023_WANDERLEY_PORTO_164_01</t>
  </si>
  <si>
    <t>REL_486</t>
  </si>
  <si>
    <t>2023_GABRIEL_309_01</t>
  </si>
  <si>
    <t>REL_487</t>
  </si>
  <si>
    <t>2023_DUDA_SALABERT_614_01</t>
  </si>
  <si>
    <t>REL_488</t>
  </si>
  <si>
    <t>2023_FERNANDA_PEREIRA_ALTOE_405_01</t>
  </si>
  <si>
    <t>REL_489</t>
  </si>
  <si>
    <t>2023_WANDERLEY_PORTO_170_01</t>
  </si>
  <si>
    <t>REL_490</t>
  </si>
  <si>
    <t>2023_FERNANDA_PEREIRA_ALTOE_406_01</t>
  </si>
  <si>
    <t>REL_491</t>
  </si>
  <si>
    <t>2023_MARCOS_CRISPIM_560_01</t>
  </si>
  <si>
    <t>REL_492</t>
  </si>
  <si>
    <t>REL_493</t>
  </si>
  <si>
    <t>REL_494</t>
  </si>
  <si>
    <t>2023_WANDERLEY_PORTO_165_01</t>
  </si>
  <si>
    <t>REL_495</t>
  </si>
  <si>
    <t>2023_CIRO_PEREIRA_1038_01</t>
  </si>
  <si>
    <t>REL_496</t>
  </si>
  <si>
    <t>2023_WILSINHO_DA_TABU_739_01</t>
  </si>
  <si>
    <t>REL_497</t>
  </si>
  <si>
    <t>2023_DR_CELIO_FROIS_259_01</t>
  </si>
  <si>
    <t>REL_498</t>
  </si>
  <si>
    <t>2023_DUDA_SALABERT_615_01</t>
  </si>
  <si>
    <t>REL_499</t>
  </si>
  <si>
    <t>2023_WANDERLEY_PORTO_167_01</t>
  </si>
  <si>
    <t>REL_500</t>
  </si>
  <si>
    <t>2023_WESLEY_495_01</t>
  </si>
  <si>
    <t>REL_501</t>
  </si>
  <si>
    <t>2023_MARILDA_PORTELA_511_01</t>
  </si>
  <si>
    <t>REL_502</t>
  </si>
  <si>
    <t>2023_PROFESSOR_JULIANO_LOPES_985_01</t>
  </si>
  <si>
    <t>REL_503</t>
  </si>
  <si>
    <t>2023_JORGE_SANTOS_931_01</t>
  </si>
  <si>
    <t>REL_504</t>
  </si>
  <si>
    <t>2023_WANDERLEY_PORTO_169_01</t>
  </si>
  <si>
    <t>REL_505</t>
  </si>
  <si>
    <t>2023_WANDERLEY_PORTO_171_01</t>
  </si>
  <si>
    <t>REL_506</t>
  </si>
  <si>
    <t>2023_PROFESSORA_MARLI_887_01</t>
  </si>
  <si>
    <t>REL_507</t>
  </si>
  <si>
    <t>2023_MARCOS_CRISPIM_858_01</t>
  </si>
  <si>
    <t>REL_508</t>
  </si>
  <si>
    <t>2023_WILSINHO_DA_TABU_738_01</t>
  </si>
  <si>
    <t>REL_509</t>
  </si>
  <si>
    <t>REL_510</t>
  </si>
  <si>
    <t>2023_MILTINHO_CGE_676_01</t>
  </si>
  <si>
    <t>REL_511</t>
  </si>
  <si>
    <t>2023_MILTINHO_CGE_678_01</t>
  </si>
  <si>
    <t>REL_512</t>
  </si>
  <si>
    <t>2023_MARCELA_TROPIA_695_01</t>
  </si>
  <si>
    <t>REL_513</t>
  </si>
  <si>
    <t>2023_MARCELA_TROPIA_697_01</t>
  </si>
  <si>
    <t>REL_514</t>
  </si>
  <si>
    <t>2023_FLAVIA_BORJA_209_01</t>
  </si>
  <si>
    <t>REL_515</t>
  </si>
  <si>
    <t>2023_BIM_DA_AMBULANCIA_759_01</t>
  </si>
  <si>
    <t>REL_516</t>
  </si>
  <si>
    <t>2023_PROFESSORA_MARLI_860_01</t>
  </si>
  <si>
    <t>REL_517</t>
  </si>
  <si>
    <t>2023_FLAVIA_BORJA_208_01</t>
  </si>
  <si>
    <t>REL_518</t>
  </si>
  <si>
    <t>2023_WESLEY_494_01</t>
  </si>
  <si>
    <t>REL_519</t>
  </si>
  <si>
    <t>2023_FLAVIA_BORJA_203_01</t>
  </si>
  <si>
    <t>REL_520</t>
  </si>
  <si>
    <t>2023_RUBAO_1009_01</t>
  </si>
  <si>
    <t>REL_521</t>
  </si>
  <si>
    <t>2023_LEO_1021_01</t>
  </si>
  <si>
    <t>REL_522</t>
  </si>
  <si>
    <t>2023_PROFESSORA_MARLI_862_01</t>
  </si>
  <si>
    <t>REL_523</t>
  </si>
  <si>
    <t>2023_PROFESSORA_MARLI_852_01</t>
  </si>
  <si>
    <t>REL_524</t>
  </si>
  <si>
    <t>2023_WESLEY_498_01</t>
  </si>
  <si>
    <t>REL_525</t>
  </si>
  <si>
    <t>2023_PROFESSORA_MARLI_890_01</t>
  </si>
  <si>
    <t>REL_526</t>
  </si>
  <si>
    <t>2023_BRAULIO_LARA_385_01</t>
  </si>
  <si>
    <t>REL_527</t>
  </si>
  <si>
    <t>REL_528</t>
  </si>
  <si>
    <t>REL_529</t>
  </si>
  <si>
    <t>2023_CIRO_PEREIRA_1039_01</t>
  </si>
  <si>
    <t>REL_530</t>
  </si>
  <si>
    <t>2023_WANDERLEY_PORTO_163_01</t>
  </si>
  <si>
    <t>REL_531</t>
  </si>
  <si>
    <t>2023_WANDERLEY_PORTO_168_01</t>
  </si>
  <si>
    <t>REL_532</t>
  </si>
  <si>
    <t>2023_ALVARO_DAMIAO_1056_01</t>
  </si>
  <si>
    <t>REL_533</t>
  </si>
  <si>
    <t>2023_FERNANDO_LUIZ_192_01</t>
  </si>
  <si>
    <t>REL_534</t>
  </si>
  <si>
    <t>2023_RAMON_BIBIANO_DA_CASA_DE_APOIO_234_01</t>
  </si>
  <si>
    <t>REL_535</t>
  </si>
  <si>
    <t>2023_FERNANDO_LUIZ_194_01</t>
  </si>
  <si>
    <t>REL_536</t>
  </si>
  <si>
    <t>2023_FERNANDO_LUIZ_195_01</t>
  </si>
  <si>
    <t>REL_537</t>
  </si>
  <si>
    <t>2023_WANDERLEY_PORTO_158_01</t>
  </si>
  <si>
    <t>REL_538</t>
  </si>
  <si>
    <t>2023_FLAVIA_BORJA_660_01</t>
  </si>
  <si>
    <t>REL_539</t>
  </si>
  <si>
    <t>2023_BIM_DA_AMBULANCIA_758_01</t>
  </si>
  <si>
    <t>REL_540</t>
  </si>
  <si>
    <t>2023_JUNINHO_LOS_HERMANOS_430_01</t>
  </si>
  <si>
    <t>REL_541</t>
  </si>
  <si>
    <t>2023_WANDERLEY_PORTO_154_01</t>
  </si>
  <si>
    <t>REL_542</t>
  </si>
  <si>
    <t>2023_BRAULIO_LARA_358_01</t>
  </si>
  <si>
    <t>REL_543</t>
  </si>
  <si>
    <t>2023_BRAULIO_LARA_357_01</t>
  </si>
  <si>
    <t>REL_544</t>
  </si>
  <si>
    <t>2023_BRAULIO_LARA_360_01</t>
  </si>
  <si>
    <t>REL_545</t>
  </si>
  <si>
    <t>2023_WANDERLEY_PORTO_155_01</t>
  </si>
  <si>
    <t>REL_546</t>
  </si>
  <si>
    <t>REL_547</t>
  </si>
  <si>
    <t>2023_RUBAO_1072_01</t>
  </si>
  <si>
    <t>REL_548</t>
  </si>
  <si>
    <t>2023_ALVARO_DAMIAO_1049_01</t>
  </si>
  <si>
    <t>REL_549</t>
  </si>
  <si>
    <t>2023_JORGE_SANTOS_1069_01</t>
  </si>
  <si>
    <t>REL_550</t>
  </si>
  <si>
    <t>2023_FLAVIA_BORJA_205_01</t>
  </si>
  <si>
    <t>REL_551</t>
  </si>
  <si>
    <t>2023_ALVARO_DAMIAO_1050_01</t>
  </si>
  <si>
    <t>REL_552</t>
  </si>
  <si>
    <t>2023_RUBAO_1011_01</t>
  </si>
  <si>
    <t>REL_553</t>
  </si>
  <si>
    <t>2023_WANDERLEY_PORTO_157_01</t>
  </si>
  <si>
    <t>REL_554</t>
  </si>
  <si>
    <t>2023_BRAULIO_LARA_362_01</t>
  </si>
  <si>
    <t>REL_555</t>
  </si>
  <si>
    <t>2023_BRAULIO_LARA_361_01</t>
  </si>
  <si>
    <t>REL_556</t>
  </si>
  <si>
    <t>2023_BRAULIO_LARA_374_01</t>
  </si>
  <si>
    <t>REL_557</t>
  </si>
  <si>
    <t>2023_WANDERLEY_PORTO_159_01</t>
  </si>
  <si>
    <t>REL_558</t>
  </si>
  <si>
    <t>2023_BRAULIO_LARA_359_01</t>
  </si>
  <si>
    <t>REL_559</t>
  </si>
  <si>
    <t>2023_SERGIO_FERNANDO_PINHO_TAVARES_1097_01</t>
  </si>
  <si>
    <t>REL_560</t>
  </si>
  <si>
    <t>2023_BRAULIO_LARA_356_01</t>
  </si>
  <si>
    <t>REL_561</t>
  </si>
  <si>
    <t>2023_BRAULIO_LARA_389_01</t>
  </si>
  <si>
    <t>REL_562</t>
  </si>
  <si>
    <t>2023_BRAULIO_LARA_363_01</t>
  </si>
  <si>
    <t>REL_563</t>
  </si>
  <si>
    <t>2023_RUBAO_1007_01</t>
  </si>
  <si>
    <t>REL_564</t>
  </si>
  <si>
    <t>2023_BRAULIO_LARA_390_01</t>
  </si>
  <si>
    <t>REL_565</t>
  </si>
  <si>
    <t>2023_WANDERLEY_PORTO_162_01</t>
  </si>
  <si>
    <t>REL_566</t>
  </si>
  <si>
    <t>2023_MARCELA_TROPIA_661_01</t>
  </si>
  <si>
    <t>REL_567</t>
  </si>
  <si>
    <t>2023_FLAVIA_BORJA_204_01</t>
  </si>
  <si>
    <t>REL_568</t>
  </si>
  <si>
    <t>2023_WANDERLEY_PORTO_156_01</t>
  </si>
  <si>
    <t>REL_569</t>
  </si>
  <si>
    <t>2023_BRAULIO_LARA_369_01</t>
  </si>
  <si>
    <t>REL_570</t>
  </si>
  <si>
    <t>2023_WANDERLEY_PORTO_160_01</t>
  </si>
  <si>
    <t>REL_571</t>
  </si>
  <si>
    <t>2023_WANDERLEY_PORTO_161_01</t>
  </si>
  <si>
    <t>REL_572</t>
  </si>
  <si>
    <t>2023_WESLEY_497_01</t>
  </si>
  <si>
    <t>REL_573</t>
  </si>
  <si>
    <t>2023_BRAULIO_LARA_366_01</t>
  </si>
  <si>
    <t>REL_574</t>
  </si>
  <si>
    <t>2023_ALVARO_DAMIAO_1053_01</t>
  </si>
  <si>
    <t>REL_575</t>
  </si>
  <si>
    <t>2023_ALVARO_DAMIAO_1051_01</t>
  </si>
  <si>
    <t>REL_576</t>
  </si>
  <si>
    <t>2023_REINALDO_GOMES_PRETO_SACOLAO_955_01</t>
  </si>
  <si>
    <t>REL_577</t>
  </si>
  <si>
    <t>2023_RAMON_BIBIANO_DA_CASA_DE_APOIO_235_01</t>
  </si>
  <si>
    <t>REL_578</t>
  </si>
  <si>
    <t>2023_FLAVIA_BORJA_206_01</t>
  </si>
  <si>
    <t>REL_579</t>
  </si>
  <si>
    <t>2023_FERNANDO_LUIZ_193_01</t>
  </si>
  <si>
    <t>REL_580</t>
  </si>
  <si>
    <t>2023_DR_CELIO_FROIS_257_01</t>
  </si>
  <si>
    <t>REL_581</t>
  </si>
  <si>
    <t>2023_IRLAN_MELO_797_01</t>
  </si>
  <si>
    <t>REL_582</t>
  </si>
  <si>
    <t>2023_BIM_DA_AMBULANCIA_753_01</t>
  </si>
  <si>
    <t>REL_583</t>
  </si>
  <si>
    <t>2023_PROFESSOR_JULIANO_LOPES_984_01</t>
  </si>
  <si>
    <t>REL_584</t>
  </si>
  <si>
    <t>2023_BIM_DA_AMBULANCIA_841_01</t>
  </si>
  <si>
    <t>REL_585</t>
  </si>
  <si>
    <t>2023_GABRIEL_946_01</t>
  </si>
  <si>
    <t>REL_586</t>
  </si>
  <si>
    <t>2023_HELINHO_DA_FARMACIA_132_01</t>
  </si>
  <si>
    <t>REL_587</t>
  </si>
  <si>
    <t>2023_HENRIQUE_BRAGA_945_01</t>
  </si>
  <si>
    <t>REL_588</t>
  </si>
  <si>
    <t>2023_IZA_LOURENCA_638_01</t>
  </si>
  <si>
    <t>REL_589</t>
  </si>
  <si>
    <t>2023_NIKOLAS_FERREIRA_904_01</t>
  </si>
  <si>
    <t>REL_590</t>
  </si>
  <si>
    <t>2023_NIKOLAS_FERREIRA_905_01</t>
  </si>
  <si>
    <t>REL_591</t>
  </si>
  <si>
    <t>2023_PROFESSOR_JULIANO_LOPES_990_01</t>
  </si>
  <si>
    <t>REL_592</t>
  </si>
  <si>
    <t>2023_WESLEY_481_01</t>
  </si>
  <si>
    <t>REL_593</t>
  </si>
  <si>
    <t>2023_GILSON_GUIMARAES_642_01</t>
  </si>
  <si>
    <t>REL_594</t>
  </si>
  <si>
    <t>2023_JORGE_SANTOS_443_01</t>
  </si>
  <si>
    <t>REL_595</t>
  </si>
  <si>
    <t>2023_MACAE_EVARISTO_549_01</t>
  </si>
  <si>
    <t>REL_596</t>
  </si>
  <si>
    <t>2023_MARCOS_CRISPIM_1019_01</t>
  </si>
  <si>
    <t>REL_597</t>
  </si>
  <si>
    <t>2023_RUBAO_999_01</t>
  </si>
  <si>
    <t>REL_598</t>
  </si>
  <si>
    <t>2023_WILSINHO_DA_TABU_728_01</t>
  </si>
  <si>
    <t>REL_599</t>
  </si>
  <si>
    <t>2023_CIRO_PEREIRA_1024_01</t>
  </si>
  <si>
    <t>REL_600</t>
  </si>
  <si>
    <t>2023_MACAE_EVARISTO_550_01</t>
  </si>
  <si>
    <t>REL_601</t>
  </si>
  <si>
    <t>2023_MILTINHO_CGE_691_01</t>
  </si>
  <si>
    <t>REL_602</t>
  </si>
  <si>
    <t>2023_HENRIQUE_BRAGA_947_01</t>
  </si>
  <si>
    <t>REL_603</t>
  </si>
  <si>
    <t>2023_JUNINHO_LOS_HERMANOS_425_01</t>
  </si>
  <si>
    <t>REL_604</t>
  </si>
  <si>
    <t>2023_BIM_DA_AMBULANCIA_847_01</t>
  </si>
  <si>
    <t>REL_605</t>
  </si>
  <si>
    <t>2023_BRAULIO_LARA_373_01</t>
  </si>
  <si>
    <t>REL_606</t>
  </si>
  <si>
    <t>2023_HENRIQUE_BRAGA_946_01</t>
  </si>
  <si>
    <t>REL_607</t>
  </si>
  <si>
    <t>2023_MACAE_EVARISTO_548_01</t>
  </si>
  <si>
    <t>REL_608</t>
  </si>
  <si>
    <t>2023_NIKOLAS_FERREIRA_900_01</t>
  </si>
  <si>
    <t>REL_609</t>
  </si>
  <si>
    <t>2023_NIKOLAS_FERREIRA_901_01</t>
  </si>
  <si>
    <t>REL_610</t>
  </si>
  <si>
    <t>2023_BIM_DA_AMBULANCIA_844_01</t>
  </si>
  <si>
    <t>REL_611</t>
  </si>
  <si>
    <t>2023_JOSE_FERREIRA_871_01</t>
  </si>
  <si>
    <t>REL_612</t>
  </si>
  <si>
    <t>2023_BIM_DA_AMBULANCIA_849_01</t>
  </si>
  <si>
    <t>REL_613</t>
  </si>
  <si>
    <t>2023_NIKOLAS_FERREIRA_902_01</t>
  </si>
  <si>
    <t>REL_614</t>
  </si>
  <si>
    <t>2023_NIKOLAS_FERREIRA_903_01</t>
  </si>
  <si>
    <t xml:space="preserve">Centro de Controle de Zoonoses Rua Edna Quintel</t>
  </si>
  <si>
    <t xml:space="preserve">Centro de Controle de Zoonoses (CCZ), localizado na Rua Edna Quintel, nº 173, no bairro São Bernardo</t>
  </si>
  <si>
    <t xml:space="preserve">Praça Salgado Filho</t>
  </si>
  <si>
    <t xml:space="preserve">Praça Salgado Filho - Região Oeste</t>
  </si>
  <si>
    <t xml:space="preserve">Anel Rodoviário nas imediações da Rua Moisés Kalil</t>
  </si>
  <si>
    <t xml:space="preserve">Via Anel Rodoviário, nas imediações da Rua Moisés Kalil - Buritis</t>
  </si>
  <si>
    <t xml:space="preserve">Complexo/Hospital Público Veterinário de Belo Horizonte - sede Madre Gertrudes</t>
  </si>
  <si>
    <t xml:space="preserve">Rua Albert Scharlé, 79, esquina com Rua Pedro Bizoto, 230 - Madre Gertrudes</t>
  </si>
  <si>
    <t xml:space="preserve">2023_WANDERLEY_PORTO_152_01</t>
  </si>
  <si>
    <t xml:space="preserve">Sao Bernardo</t>
  </si>
  <si>
    <t xml:space="preserve">NORTE</t>
  </si>
  <si>
    <t xml:space="preserve">N3</t>
  </si>
  <si>
    <t xml:space="preserve">Rua Edna Quintel</t>
  </si>
  <si>
    <t xml:space="preserve">173</t>
  </si>
  <si>
    <t xml:space="preserve">2023_MILTINHO_CGE_680_01</t>
  </si>
  <si>
    <t xml:space="preserve">2023_MARCOS_CRISPIM_693_01</t>
  </si>
  <si>
    <t xml:space="preserve">2023_WILSINHO_DA_TABU_714_01</t>
  </si>
  <si>
    <t xml:space="preserve">2023_MILTINHO_CGE_682_01</t>
  </si>
  <si>
    <t xml:space="preserve">2023_PROFESSORA_MARLI_857_01</t>
  </si>
  <si>
    <t xml:space="preserve">Salgado Filho</t>
  </si>
  <si>
    <t xml:space="preserve">OESTE</t>
  </si>
  <si>
    <t xml:space="preserve">O1</t>
  </si>
  <si>
    <t xml:space="preserve"/>
  </si>
  <si>
    <t xml:space="preserve">2023_BRAULIO_LARA_367_01</t>
  </si>
  <si>
    <t xml:space="preserve">Buritis</t>
  </si>
  <si>
    <t xml:space="preserve">O5</t>
  </si>
  <si>
    <t xml:space="preserve">Via Anel Rodoviário</t>
  </si>
  <si>
    <t xml:space="preserve">2023_MILTINHO_CGE_667_01</t>
  </si>
  <si>
    <t xml:space="preserve">Madre Gertrudes</t>
  </si>
  <si>
    <t xml:space="preserve">O2</t>
  </si>
  <si>
    <t xml:space="preserve">Rua Albert Scharlé</t>
  </si>
  <si>
    <t xml:space="preserve">79</t>
  </si>
  <si>
    <t xml:space="preserve">2023_WANDERLEY_PORTO_176_01</t>
  </si>
  <si>
    <t xml:space="preserve">REL_615</t>
  </si>
  <si>
    <t xml:space="preserve">LOC_34</t>
  </si>
  <si>
    <t xml:space="preserve">REL_616</t>
  </si>
  <si>
    <t xml:space="preserve">REL_617</t>
  </si>
  <si>
    <t xml:space="preserve">REL_618</t>
  </si>
  <si>
    <t xml:space="preserve">REL_619</t>
  </si>
  <si>
    <t xml:space="preserve">REL_620</t>
  </si>
  <si>
    <t xml:space="preserve">LOC_986</t>
  </si>
  <si>
    <t xml:space="preserve">REL_621</t>
  </si>
  <si>
    <t xml:space="preserve">LOC_989</t>
  </si>
  <si>
    <t xml:space="preserve">REL_622</t>
  </si>
  <si>
    <t xml:space="preserve">LOC_996</t>
  </si>
  <si>
    <t xml:space="preserve">REL_623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</si>
</sst>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ont>
    <font>
      <sz val="11"/>
      <color theme="0"/>
      <name val="Calibri"/>
      <b/>
    </font>
    <font>
      <sz val="11"/>
      <color theme="1"/>
      <name val="Calibri"/>
    </font>
    <font>
      <sz val="11"/>
      <color rgb="FFFFFFFF"/>
      <name val="Carlito"/>
    </font>
  </fonts>
  <fills count="22">
    <fill>
      <patternFill patternType="none"/>
    </fill>
    <fill>
      <patternFill patternType="gray125"/>
    </fill>
    <fill>
      <patternFill patternType="solid">
        <fgColor theme="5" tint="0.59990234076967686"/>
        <bgColor indexed="65"/>
      </patternFill>
    </fill>
    <fill>
      <patternFill patternType="solid">
        <fgColor rgb="FFFFF2CC"/>
      </patternFill>
    </fill>
    <fill>
      <patternFill patternType="solid">
        <fgColor rgb="FFFF0000"/>
      </patternFill>
    </fill>
    <fill>
      <patternFill patternType="solid">
        <fgColor rgb="FFFFFFB9"/>
      </patternFill>
    </fill>
    <fill>
      <patternFill patternType="solid">
        <fgColor theme="2" tint="-9.9978637043366805E-2"/>
        <bgColor indexed="65"/>
      </patternFill>
    </fill>
    <fill>
      <patternFill patternType="solid">
        <fgColor theme="3" tint="0.79995117038483843"/>
        <bgColor indexed="65"/>
      </patternFill>
    </fill>
    <fill>
      <patternFill patternType="solid">
        <fgColor theme="6" tint="0.39997558519241921"/>
        <bgColor indexed="65"/>
      </patternFill>
    </fill>
    <fill>
      <patternFill patternType="solid">
        <fgColor rgb="FFFFCDDE"/>
      </patternFill>
    </fill>
    <fill>
      <patternFill patternType="solid">
        <fgColor rgb="FF1F4E78"/>
      </patternFill>
    </fill>
    <fill>
      <patternFill patternType="solid">
        <fgColor theme="7"/>
      </patternFill>
    </fill>
    <fill>
      <patternFill patternType="solid">
        <fgColor rgb="FFC38649"/>
      </patternFill>
    </fill>
    <fill>
      <patternFill patternType="solid">
        <fgColor rgb="FFFF85FF"/>
      </patternFill>
    </fill>
    <fill>
      <patternFill patternType="solid">
        <fgColor theme="3" tint="0.79992065187536243"/>
        <bgColor indexed="65"/>
      </patternFill>
    </fill>
    <fill>
      <patternFill patternType="solid">
        <fgColor theme="5" tint="0.79992065187536243"/>
        <bgColor indexed="65"/>
      </patternFill>
    </fill>
    <fill>
      <patternFill patternType="solid">
        <fgColor theme="1" tint="0.34998626667073579"/>
        <bgColor indexed="65"/>
      </patternFill>
    </fill>
    <fill>
      <patternFill patternType="solid">
        <fgColor theme="5"/>
      </patternFill>
    </fill>
    <fill>
      <patternFill patternType="solid">
        <fgColor rgb="FF92D050"/>
      </patternFill>
    </fill>
    <fill>
      <patternFill patternType="solid">
        <fgColor rgb="FF00B050"/>
      </patternFill>
    </fill>
    <fill>
      <patternFill patternType="solid">
        <fgColor rgb="FFFFFF00"/>
      </patternFill>
    </fill>
    <fill>
      <patternFill patternType="solid">
        <fgColor rgb="FFC8A3FF"/>
      </patternFill>
    </fill>
  </fills>
  <borders count="12">
    <border>
      <left/>
      <right/>
      <top/>
      <bottom/>
      <diagonal/>
    </border>
    <border>
      <left style="thin">
        <color indexed="64"/>
      </left>
      <right style="thin">
        <color indexed="64"/>
      </right>
      <top style="thin">
        <color indexed="64"/>
      </top>
      <bottom style="thin">
        <color indexed="64"/>
      </bottom>
    </border>
    <border>
      <left style="thin">
        <color indexed="64"/>
      </left>
      <right style="thin">
        <color indexed="64"/>
      </right>
    </border>
    <border>
      <left style="thin">
        <color indexed="64"/>
      </left>
      <right style="thin">
        <color indexed="64"/>
      </right>
      <top style="thin">
        <color indexed="64"/>
      </top>
    </border>
    <border>
      <left style="thin">
        <color indexed="64"/>
      </left>
      <top style="thin">
        <color indexed="64"/>
      </top>
    </border>
    <border>
      <left style="thin">
        <color indexed="64"/>
      </left>
      <right style="thin">
        <color indexed="64"/>
      </right>
      <bottom style="thin">
        <color indexed="64"/>
      </bottom>
    </border>
    <border>
      <right style="thin">
        <color indexed="64"/>
      </right>
      <bottom style="thin">
        <color indexed="64"/>
      </bottom>
    </border>
    <border>
      <left style="thin">
        <color indexed="64"/>
      </left>
      <bottom style="thin">
        <color indexed="64"/>
      </bottom>
    </border>
    <border>
      <right style="thin">
        <color indexed="64"/>
      </right>
      <top style="thin">
        <color indexed="64"/>
      </top>
      <bottom style="thin">
        <color indexed="64"/>
      </bottom>
    </border>
    <border>
      <left style="thin">
        <color indexed="64"/>
      </left>
      <top style="thin">
        <color indexed="64"/>
      </top>
      <bottom style="thin">
        <color indexed="64"/>
      </bottom>
    </border>
    <border>
      <right style="thin">
        <color indexed="64"/>
      </right>
      <top style="thin">
        <color indexed="64"/>
      </top>
    </border>
    <border>
      <top style="thin">
        <color theme="4" tint="0.39997558519241921"/>
      </top>
      <bottom style="thin">
        <color theme="4" tint="0.39997558519241921"/>
      </bottom>
    </border>
  </borders>
  <cellStyleXfs count="1">
    <xf numFmtId="0" fontId="0" fillId="0" borderId="0"/>
  </cellStyleXfs>
  <cellXfs count="125">
    <xf numFmtId="0" fontId="0" fillId="0" borderId="0" xfId="0"/>
    <xf numFmtId="0" fontId="0" fillId="0" borderId="1" xfId="0" applyFont="1" applyBorder="1"/>
    <xf numFmtId="0" fontId="0" fillId="2" borderId="1" xfId="0" applyFont="1" applyFill="1" applyBorder="1" applyAlignment="1">
      <alignment horizontal="center" vertical="center" wrapText="1"/>
    </xf>
    <xf numFmtId="14" fontId="0" fillId="3" borderId="1" xfId="0" applyFont="1" applyNumberFormat="1" applyFill="1" applyBorder="1" applyAlignment="1">
      <alignment horizontal="center" vertical="center" wrapText="1"/>
    </xf>
    <xf numFmtId="0" fontId="0" fillId="3" borderId="1" xfId="0" applyFont="1" applyFill="1" applyBorder="1" applyAlignment="1">
      <alignment vertical="top" wrapText="1"/>
    </xf>
    <xf numFmtId="0" fontId="1" fillId="0" borderId="1" xfId="0" applyFont="1" applyBorder="1" applyAlignment="1">
      <alignment horizontal="center" vertical="center"/>
    </xf>
    <xf numFmtId="0" fontId="0" fillId="3" borderId="1" xfId="0" applyFont="1" applyFill="1" applyBorder="1" applyAlignment="1">
      <alignment horizontal="center" vertical="center"/>
    </xf>
    <xf numFmtId="49" fontId="0" fillId="0" borderId="2" xfId="0" applyFont="1" applyNumberFormat="1" applyBorder="1" applyAlignment="1">
      <alignment horizontal="center" vertical="center"/>
    </xf>
    <xf numFmtId="0" fontId="0" fillId="0" borderId="1" xfId="0" applyFont="1" applyBorder="1" applyAlignment="1">
      <alignment vertical="center"/>
    </xf>
    <xf numFmtId="0" fontId="0" fillId="0" borderId="1" xfId="0" applyFont="1" applyBorder="1" applyAlignment="1">
      <alignment horizontal="center" vertical="center" wrapText="1"/>
    </xf>
    <xf numFmtId="0" fontId="0" fillId="3" borderId="1" xfId="0" applyFont="1" applyFill="1" applyBorder="1" applyAlignment="1">
      <alignment vertical="center" wrapText="1"/>
    </xf>
    <xf numFmtId="49" fontId="0" fillId="0" borderId="1" xfId="0" applyFont="1" applyNumberFormat="1" applyBorder="1" applyAlignment="1">
      <alignment horizontal="center" vertical="center" wrapText="1"/>
    </xf>
    <xf numFmtId="0" fontId="0" fillId="3" borderId="1" xfId="0" applyFont="1" applyFill="1" applyBorder="1" applyAlignment="1">
      <alignment horizontal="center" vertical="center" wrapText="1"/>
    </xf>
    <xf numFmtId="0" fontId="0" fillId="3" borderId="0" xfId="0" applyFont="1" applyFill="1" applyAlignment="1">
      <alignment vertical="center"/>
    </xf>
    <xf numFmtId="0" fontId="0" fillId="4" borderId="1" xfId="0" applyFont="1" applyFill="1" applyBorder="1" applyAlignment="1">
      <alignment vertical="top" wrapText="1"/>
    </xf>
    <xf numFmtId="0" fontId="0" fillId="4" borderId="1" xfId="0" applyFont="1" applyFill="1" applyBorder="1" applyAlignment="1">
      <alignment horizontal="center" vertical="center" wrapText="1"/>
    </xf>
    <xf numFmtId="49" fontId="0" fillId="4" borderId="1" xfId="0" applyFont="1" applyNumberFormat="1" applyFill="1" applyBorder="1" applyAlignment="1">
      <alignment horizontal="center" vertical="center" wrapText="1"/>
    </xf>
    <xf numFmtId="49" fontId="0" fillId="4" borderId="1" xfId="0" applyFont="1" applyNumberFormat="1" applyFill="1" applyBorder="1" applyAlignment="1">
      <alignment vertical="center" wrapText="1"/>
    </xf>
    <xf numFmtId="0" fontId="0" fillId="4" borderId="1" xfId="0" applyFont="1" applyFill="1" applyBorder="1" applyAlignment="1">
      <alignment vertical="center" wrapText="1"/>
    </xf>
    <xf numFmtId="0" fontId="0" fillId="3" borderId="0" xfId="0" applyFont="1" applyFill="1" applyAlignment="1">
      <alignment horizontal="center" vertical="center" wrapText="1"/>
    </xf>
    <xf numFmtId="0" fontId="0" fillId="0" borderId="1" xfId="0" applyFont="1" applyBorder="1" applyAlignment="1">
      <alignment vertical="top" wrapText="1"/>
    </xf>
    <xf numFmtId="0" fontId="0" fillId="3" borderId="1" xfId="0" applyFont="1" applyFill="1" applyBorder="1"/>
    <xf numFmtId="49" fontId="0" fillId="3" borderId="1" xfId="0" applyFont="1" applyNumberFormat="1" applyFill="1" applyBorder="1" applyAlignment="1">
      <alignment horizontal="center" vertical="center" wrapText="1"/>
    </xf>
    <xf numFmtId="0" fontId="0" fillId="0" borderId="1" xfId="0" applyFont="1" applyBorder="1" applyAlignment="1">
      <alignment horizontal="center" vertical="center"/>
    </xf>
    <xf numFmtId="49" fontId="0" fillId="0" borderId="1" xfId="0" applyFont="1" applyNumberFormat="1" applyBorder="1" applyAlignment="1">
      <alignment horizontal="center" vertical="center"/>
    </xf>
    <xf numFmtId="49" fontId="0" fillId="0" borderId="1" xfId="0" applyFont="1" applyNumberFormat="1" applyBorder="1" applyAlignment="1">
      <alignment vertical="center"/>
    </xf>
    <xf numFmtId="49" fontId="0" fillId="3" borderId="1" xfId="0" applyFont="1" applyNumberFormat="1" applyFill="1" applyBorder="1" applyAlignment="1">
      <alignment vertical="center" wrapText="1"/>
    </xf>
    <xf numFmtId="0" fontId="0" fillId="0" borderId="3" xfId="0" applyFont="1" applyBorder="1"/>
    <xf numFmtId="0" fontId="0" fillId="0" borderId="4" xfId="0" applyFont="1" applyBorder="1"/>
    <xf numFmtId="0" fontId="0" fillId="0" borderId="5" xfId="0" applyFont="1" applyBorder="1" applyAlignment="1">
      <alignment wrapText="1"/>
    </xf>
    <xf numFmtId="0" fontId="0" fillId="0" borderId="1" xfId="0" applyFont="1" applyBorder="1" applyAlignment="1">
      <alignment wrapText="1"/>
    </xf>
    <xf numFmtId="0" fontId="0" fillId="0" borderId="3" xfId="0" applyFont="1" applyBorder="1" applyAlignment="1">
      <alignment wrapText="1"/>
    </xf>
    <xf numFmtId="0" fontId="0" fillId="0" borderId="6" xfId="0" applyFont="1" applyBorder="1"/>
    <xf numFmtId="0" fontId="0" fillId="0" borderId="5" xfId="0" applyFont="1" applyBorder="1"/>
    <xf numFmtId="0" fontId="0" fillId="0" borderId="7" xfId="0" applyFont="1" applyBorder="1"/>
    <xf numFmtId="0" fontId="0" fillId="0" borderId="8" xfId="0" applyFont="1" applyBorder="1"/>
    <xf numFmtId="0" fontId="0" fillId="0" borderId="9" xfId="0" applyFont="1" applyBorder="1"/>
    <xf numFmtId="0" fontId="0" fillId="0" borderId="10" xfId="0" applyFont="1" applyBorder="1"/>
    <xf numFmtId="0" fontId="0" fillId="5" borderId="1" xfId="0" applyFont="1" applyFill="1" applyBorder="1" applyAlignment="1">
      <alignment wrapText="1"/>
    </xf>
    <xf numFmtId="0" fontId="0" fillId="5" borderId="1" xfId="0" applyFont="1" applyFill="1" applyBorder="1"/>
    <xf numFmtId="0" fontId="0" fillId="5" borderId="1" xfId="0" applyFont="1" applyFill="1" applyBorder="1" applyAlignment="1">
      <alignment horizontal="center" vertical="center"/>
    </xf>
    <xf numFmtId="0" fontId="0" fillId="5" borderId="0" xfId="0" applyFont="1" applyFill="1"/>
    <xf numFmtId="0" fontId="2" fillId="6" borderId="1" xfId="0" applyFont="1" applyFill="1" applyBorder="1"/>
    <xf numFmtId="2" fontId="2" fillId="6" borderId="1" xfId="0" applyFont="1" applyNumberFormat="1" applyFill="1" applyBorder="1" applyAlignment="1">
      <alignment horizontal="center" vertical="center"/>
    </xf>
    <xf numFmtId="0" fontId="2" fillId="7" borderId="1" xfId="0" applyFont="1" applyFill="1" applyBorder="1"/>
    <xf numFmtId="2" fontId="2" fillId="7" borderId="1" xfId="0" applyFont="1" applyNumberFormat="1" applyFill="1" applyBorder="1" applyAlignment="1">
      <alignment horizontal="center" vertical="center"/>
    </xf>
    <xf numFmtId="0" fontId="2" fillId="8" borderId="1" xfId="0" applyFont="1" applyFill="1" applyBorder="1" applyAlignment="1">
      <alignment horizontal="left" vertical="center"/>
    </xf>
    <xf numFmtId="0" fontId="2" fillId="8" borderId="1" xfId="0" applyFont="1" applyFill="1" applyBorder="1"/>
    <xf numFmtId="2" fontId="2" fillId="8" borderId="1" xfId="0" applyFont="1" applyNumberFormat="1" applyFill="1" applyBorder="1" applyAlignment="1">
      <alignment horizontal="center" vertical="center"/>
    </xf>
    <xf numFmtId="0" fontId="2" fillId="8" borderId="1" xfId="0" applyFont="1" applyFill="1" applyBorder="1" applyAlignment="1">
      <alignment horizontal="center" vertical="center"/>
    </xf>
    <xf numFmtId="0" fontId="0" fillId="9" borderId="1" xfId="0" applyFont="1" applyFill="1" applyBorder="1" applyAlignment="1">
      <alignment horizontal="left" vertical="center" wrapText="1"/>
    </xf>
    <xf numFmtId="0" fontId="0" fillId="9" borderId="1" xfId="0" applyFont="1" applyFill="1" applyBorder="1" applyAlignment="1">
      <alignment wrapText="1"/>
    </xf>
    <xf numFmtId="0" fontId="0" fillId="9" borderId="1" xfId="0" applyFont="1" applyFill="1" applyBorder="1"/>
    <xf numFmtId="0" fontId="0" fillId="9" borderId="1" xfId="0" applyFont="1" applyFill="1" applyBorder="1" applyAlignment="1">
      <alignment horizontal="center" vertical="center"/>
    </xf>
    <xf numFmtId="0" fontId="0" fillId="5" borderId="8" xfId="0" applyFont="1" applyFill="1" applyBorder="1" applyAlignment="1">
      <alignment horizontal="left" vertical="center" wrapText="1"/>
    </xf>
    <xf numFmtId="0" fontId="2" fillId="6" borderId="8" xfId="0" applyFont="1" applyFill="1" applyBorder="1" applyAlignment="1">
      <alignment horizontal="left" vertical="center"/>
    </xf>
    <xf numFmtId="0" fontId="2" fillId="7" borderId="8" xfId="0" applyFont="1" applyFill="1" applyBorder="1" applyAlignment="1">
      <alignment horizontal="left" vertical="center"/>
    </xf>
    <xf numFmtId="0" fontId="0" fillId="5" borderId="9" xfId="0" applyFont="1" applyFill="1" applyBorder="1" applyAlignment="1">
      <alignment horizontal="center" vertical="center"/>
    </xf>
    <xf numFmtId="0" fontId="2" fillId="6" borderId="9" xfId="0" applyFont="1" applyFill="1" applyBorder="1" applyAlignment="1">
      <alignment horizontal="center" vertical="center"/>
    </xf>
    <xf numFmtId="0" fontId="2" fillId="7" borderId="9" xfId="0" applyFont="1" applyFill="1" applyBorder="1" applyAlignment="1">
      <alignment horizontal="center" vertical="center"/>
    </xf>
    <xf numFmtId="0" fontId="3" fillId="10" borderId="6" xfId="0" applyFont="1" applyFill="1" applyBorder="1" applyAlignment="1">
      <alignment horizontal="left" vertical="center" wrapText="1"/>
    </xf>
    <xf numFmtId="0" fontId="3" fillId="10" borderId="5" xfId="0" applyFont="1" applyFill="1" applyBorder="1" applyAlignment="1">
      <alignment horizontal="center" vertical="center" wrapText="1"/>
    </xf>
    <xf numFmtId="0" fontId="3" fillId="10" borderId="7" xfId="0" applyFont="1" applyFill="1" applyBorder="1" applyAlignment="1">
      <alignment horizontal="center" vertical="center" wrapText="1"/>
    </xf>
    <xf numFmtId="0" fontId="2" fillId="8" borderId="10" xfId="0" applyFont="1" applyFill="1" applyBorder="1" applyAlignment="1">
      <alignment horizontal="left" vertical="center"/>
    </xf>
    <xf numFmtId="0" fontId="2" fillId="8" borderId="3" xfId="0" applyFont="1" applyFill="1" applyBorder="1"/>
    <xf numFmtId="2" fontId="2" fillId="8" borderId="3" xfId="0" applyFont="1" applyNumberFormat="1" applyFill="1" applyBorder="1" applyAlignment="1">
      <alignment horizontal="center" vertical="center"/>
    </xf>
    <xf numFmtId="0" fontId="2" fillId="8" borderId="4" xfId="0" applyFont="1" applyFill="1" applyBorder="1" applyAlignment="1">
      <alignment horizontal="center" vertical="center"/>
    </xf>
    <xf numFmtId="49" fontId="1" fillId="11" borderId="1" xfId="0" applyFont="1" applyNumberFormat="1" applyFill="1" applyBorder="1" applyAlignment="1">
      <alignment horizontal="left"/>
    </xf>
    <xf numFmtId="0" fontId="1" fillId="11" borderId="1" xfId="0" applyFont="1" applyFill="1" applyBorder="1" applyAlignment="1">
      <alignment wrapText="1"/>
    </xf>
    <xf numFmtId="49" fontId="2" fillId="12" borderId="1" xfId="0" applyFont="1" applyNumberFormat="1" applyFill="1" applyBorder="1" applyAlignment="1">
      <alignment vertical="center" wrapText="1"/>
    </xf>
    <xf numFmtId="49" fontId="2" fillId="13" borderId="1" xfId="0" applyFont="1" applyNumberFormat="1" applyFill="1" applyBorder="1" applyAlignment="1">
      <alignment vertical="center" wrapText="1"/>
    </xf>
    <xf numFmtId="0" fontId="0" fillId="3" borderId="3" xfId="0" applyFont="1" applyFill="1" applyBorder="1"/>
    <xf numFmtId="49" fontId="0" fillId="3" borderId="3" xfId="0" applyFont="1" applyNumberFormat="1" applyFill="1" applyBorder="1" applyAlignment="1">
      <alignment horizontal="left"/>
    </xf>
    <xf numFmtId="49" fontId="0" fillId="3" borderId="5" xfId="0" applyFont="1" applyNumberFormat="1" applyFill="1" applyBorder="1" applyAlignment="1">
      <alignment horizontal="left"/>
    </xf>
    <xf numFmtId="49" fontId="2" fillId="3" borderId="1" xfId="0" applyFont="1" applyNumberFormat="1" applyFill="1" applyBorder="1" applyAlignment="1">
      <alignment vertical="center" wrapText="1"/>
    </xf>
    <xf numFmtId="0" fontId="0" fillId="14" borderId="1" xfId="0" applyFont="1" applyFill="1" applyBorder="1" applyAlignment="1">
      <alignment wrapText="1"/>
    </xf>
    <xf numFmtId="0" fontId="0" fillId="15" borderId="1" xfId="0" applyFont="1" applyFill="1" applyBorder="1" applyAlignment="1">
      <alignment wrapText="1"/>
    </xf>
    <xf numFmtId="0" fontId="0" fillId="6" borderId="1" xfId="0" applyFont="1" applyFill="1" applyBorder="1" applyAlignment="1">
      <alignment wrapText="1"/>
    </xf>
    <xf numFmtId="0" fontId="0" fillId="12" borderId="1" xfId="0" applyFont="1" applyFill="1" applyBorder="1" applyAlignment="1">
      <alignment wrapText="1"/>
    </xf>
    <xf numFmtId="0" fontId="0" fillId="16" borderId="1" xfId="0" applyFont="1" applyFill="1" applyBorder="1" applyAlignment="1">
      <alignment wrapText="1"/>
    </xf>
    <xf numFmtId="0" fontId="0" fillId="17" borderId="1" xfId="0" applyFont="1" applyFill="1" applyBorder="1" applyAlignment="1">
      <alignment wrapText="1"/>
    </xf>
    <xf numFmtId="0" fontId="0" fillId="18" borderId="1" xfId="0" applyFont="1" applyFill="1" applyBorder="1" applyAlignment="1">
      <alignment wrapText="1"/>
    </xf>
    <xf numFmtId="0" fontId="0" fillId="19" borderId="1" xfId="0" applyFont="1" applyFill="1" applyBorder="1" applyAlignment="1">
      <alignment wrapText="1"/>
    </xf>
    <xf numFmtId="0" fontId="0" fillId="20" borderId="1" xfId="0" applyFont="1" applyFill="1" applyBorder="1" applyAlignment="1">
      <alignment wrapText="1"/>
    </xf>
    <xf numFmtId="0" fontId="0" fillId="20" borderId="5" xfId="0" applyFont="1" applyFill="1" applyBorder="1" applyAlignment="1">
      <alignment wrapText="1"/>
    </xf>
    <xf numFmtId="0" fontId="0" fillId="21" borderId="1" xfId="0" applyFont="1" applyFill="1" applyBorder="1" applyAlignment="1">
      <alignment wrapText="1"/>
    </xf>
    <xf numFmtId="0" fontId="0" fillId="21" borderId="5" xfId="0" applyFont="1" applyFill="1" applyBorder="1" applyAlignment="1">
      <alignment wrapText="1"/>
    </xf>
    <xf numFmtId="0" fontId="0" fillId="18" borderId="5" xfId="0" applyFont="1" applyFill="1" applyBorder="1" applyAlignment="1">
      <alignment wrapText="1"/>
    </xf>
    <xf numFmtId="49" fontId="2" fillId="13" borderId="5" xfId="0" applyFont="1" applyNumberFormat="1" applyFill="1" applyBorder="1" applyAlignment="1">
      <alignment vertical="center" wrapText="1"/>
    </xf>
    <xf numFmtId="0" fontId="0" fillId="16" borderId="5" xfId="0" applyFont="1" applyFill="1" applyBorder="1" applyAlignment="1">
      <alignment wrapText="1"/>
    </xf>
    <xf numFmtId="0" fontId="0" fillId="12" borderId="5" xfId="0" applyFont="1" applyFill="1" applyBorder="1" applyAlignment="1">
      <alignment wrapText="1"/>
    </xf>
    <xf numFmtId="0" fontId="0" fillId="19" borderId="5" xfId="0" applyFont="1" applyFill="1" applyBorder="1" applyAlignment="1">
      <alignment wrapText="1"/>
    </xf>
    <xf numFmtId="0" fontId="0" fillId="15" borderId="5" xfId="0" applyFont="1" applyFill="1" applyBorder="1" applyAlignment="1">
      <alignment wrapText="1"/>
    </xf>
    <xf numFmtId="0" fontId="0" fillId="14" borderId="5" xfId="0" applyFont="1" applyFill="1" applyBorder="1" applyAlignment="1">
      <alignment wrapText="1"/>
    </xf>
    <xf numFmtId="0" fontId="0" fillId="15" borderId="0" xfId="0" applyFont="1" applyFill="1" applyAlignment="1">
      <alignment wrapText="1"/>
    </xf>
    <xf numFmtId="0" fontId="2" fillId="3" borderId="1" xfId="0" applyFont="1" applyFill="1" applyBorder="1" applyAlignment="1">
      <alignment vertical="top" wrapText="1"/>
    </xf>
    <xf numFmtId="0" fontId="0" fillId="3" borderId="11" xfId="0" applyFont="1" applyFill="1" applyBorder="1" applyAlignment="1">
      <alignment wrapText="1"/>
    </xf>
    <xf numFmtId="0" fontId="0" fillId="3" borderId="0" xfId="0" applyFont="1" applyFill="1" applyAlignment="1">
      <alignment wrapText="1"/>
    </xf>
    <xf numFmtId="49" fontId="0" fillId="3" borderId="0" xfId="0" applyFont="1" applyNumberFormat="1" applyFill="1" applyAlignment="1">
      <alignment horizontal="left"/>
    </xf>
    <xf numFmtId="3" fontId="0" fillId="0" borderId="1" xfId="0" applyFont="1" applyNumberFormat="1" applyBorder="1"/>
    <xf numFmtId="0" fontId="0" fillId="3" borderId="0" xfId="0" applyFont="1" applyFill="1"/>
    <xf numFmtId="0" fontId="0" fillId="3" borderId="5" xfId="0" applyFont="1" applyFill="1" applyBorder="1" applyAlignment="1">
      <alignment wrapText="1"/>
    </xf>
    <xf numFmtId="0" fontId="0" fillId="3" borderId="5" xfId="0" applyFont="1" applyFill="1" applyBorder="1"/>
    <xf numFmtId="49" fontId="0" fillId="3" borderId="5" xfId="0" applyFont="1" applyNumberFormat="1" applyFill="1" applyBorder="1"/>
    <xf numFmtId="0" fontId="0" fillId="3" borderId="1" xfId="0" applyFont="1" applyFill="1" applyBorder="1" applyAlignment="1">
      <alignment wrapText="1"/>
    </xf>
    <xf numFmtId="0" fontId="0" fillId="0" borderId="0" xfId="0" applyFont="1" applyAlignment="1">
      <alignment wrapText="1"/>
    </xf>
    <xf numFmtId="0" fontId="0" fillId="3" borderId="3" xfId="0" applyFont="1" applyFill="1" applyBorder="1" applyAlignment="1">
      <alignment wrapText="1"/>
    </xf>
    <xf numFmtId="49" fontId="0" fillId="3" borderId="3" xfId="0" applyFont="1" applyNumberFormat="1" applyFill="1" applyBorder="1"/>
    <xf numFmtId="49" fontId="0" fillId="3" borderId="1" xfId="0" applyFont="1" applyNumberFormat="1" applyFill="1" applyBorder="1"/>
    <xf numFmtId="49" fontId="0" fillId="3" borderId="1" xfId="0" applyFont="1" applyNumberFormat="1" applyFill="1" applyBorder="1" applyAlignment="1">
      <alignment horizontal="left"/>
    </xf>
    <xf numFmtId="0" fontId="2" fillId="0" borderId="1" xfId="0" applyFont="1" applyBorder="1" applyAlignment="1">
      <alignment vertical="top" wrapText="1"/>
    </xf>
    <xf numFmtId="0" fontId="1" fillId="11" borderId="1" xfId="0" applyFont="1" applyFill="1" applyBorder="1"/>
    <xf numFmtId="49" fontId="1" fillId="11" borderId="1" xfId="0" applyFont="1" applyNumberFormat="1" applyFill="1" applyBorder="1"/>
    <xf numFmtId="0" fontId="1" fillId="11" borderId="8" xfId="0" applyFont="1" applyFill="1" applyBorder="1" applyAlignment="1">
      <alignment wrapText="1"/>
    </xf>
    <xf numFmtId="49" fontId="1" fillId="11" borderId="1" xfId="0" applyFont="1" applyNumberFormat="1" applyFill="1" applyBorder="1" applyAlignment="1">
      <alignment wrapText="1"/>
    </xf>
    <xf numFmtId="49" fontId="1" fillId="11" borderId="1" xfId="0" applyFont="1" applyNumberFormat="1" applyFill="1" applyBorder="1" applyAlignment="1">
      <alignment horizontal="left" wrapText="1"/>
    </xf>
    <xf numFmtId="49" fontId="0" fillId="3" borderId="1" xfId="0" applyFont="1" applyNumberFormat="1" applyFill="1" applyBorder="1" applyAlignment="1">
      <alignment wrapText="1"/>
    </xf>
    <xf numFmtId="49" fontId="0" fillId="3" borderId="1" xfId="0" applyFont="1" applyNumberFormat="1" applyFill="1" applyBorder="1" applyAlignment="1">
      <alignment horizontal="left" wrapText="1"/>
    </xf>
    <xf numFmtId="49" fontId="0" fillId="3" borderId="3" xfId="0" applyFont="1" applyNumberFormat="1" applyFill="1" applyBorder="1" applyAlignment="1">
      <alignment wrapText="1"/>
    </xf>
    <xf numFmtId="49" fontId="0" fillId="3" borderId="3" xfId="0" applyFont="1" applyNumberFormat="1" applyFill="1" applyBorder="1" applyAlignment="1">
      <alignment horizontal="left" wrapText="1"/>
    </xf>
    <xf numFmtId="49" fontId="0" fillId="3" borderId="5" xfId="0" applyFont="1" applyNumberFormat="1" applyFill="1" applyBorder="1" applyAlignment="1">
      <alignment wrapText="1"/>
    </xf>
    <xf numFmtId="49" fontId="0" fillId="3" borderId="5" xfId="0" applyFont="1" applyNumberFormat="1" applyFill="1" applyBorder="1" applyAlignment="1">
      <alignment horizontal="left" wrapText="1"/>
    </xf>
    <xf numFmtId="3" fontId="0" fillId="0" borderId="1" xfId="0" applyFont="1" applyNumberFormat="1" applyBorder="1" applyAlignment="1">
      <alignment wrapText="1"/>
    </xf>
    <xf numFmtId="14" fontId="0" fillId="0" borderId="1" xfId="0" applyFont="1" applyNumberFormat="1" applyBorder="1"/>
    <xf numFmtId="0" fontId="0" fillId="0" borderId="9" xfId="0" applyFont="1" applyBorder="1" applyAlignment="1">
      <alignment wrapText="1"/>
    </xf>
  </cellXfs>
  <cellStyles count="1">
    <cellStyle name="Normal" xfId="0" builtinId="0"/>
  </cellStyles>
  <dxfs count="22">
    <dxf>
      <fill>
        <patternFill>
          <bgColor rgb="FFFFC000"/>
        </patternFill>
      </fill>
    </dxf>
    <dxf>
      <fill>
        <patternFill>
          <bgColor rgb="FF92D050"/>
        </patternFill>
      </fill>
    </dxf>
    <dxf>
      <fill>
        <patternFill>
          <bgColor theme="5" tint="0.59987182226020086"/>
        </patternFill>
      </fill>
    </dxf>
    <dxf>
      <fill>
        <patternFill>
          <bgColor rgb="FFFBF6AF"/>
        </patternFill>
      </fill>
    </dxf>
    <dxf>
      <fill>
        <patternFill>
          <bgColor rgb="FFA4D76B"/>
        </patternFill>
      </fill>
    </dxf>
    <dxf>
      <fill>
        <patternFill>
          <bgColor rgb="FFFABF8F"/>
        </patternFill>
      </fill>
    </dxf>
    <dxf>
      <fill>
        <patternFill>
          <bgColor theme="4" tint="0.59987182226020086"/>
        </patternFill>
      </fill>
    </dxf>
    <dxf>
      <fill>
        <patternFill>
          <bgColor theme="0" tint="-0.14996795556505021"/>
        </patternFill>
      </fill>
    </dxf>
    <dxf>
      <font>
        <color theme="1"/>
        <family val="2"/>
      </font>
      <fill>
        <patternFill>
          <bgColor indexed="64"/>
        </patternFill>
      </fill>
      <border>
        <left style="thin">
          <color indexed="64"/>
        </left>
        <right/>
        <top style="thin">
          <color indexed="64"/>
        </top>
        <bottom style="thin">
          <color indexed="64"/>
        </bottom>
      </border>
    </dxf>
    <dxf>
      <font>
        <u val="none"/>
        <sz val="11"/>
        <color theme="1"/>
        <name val="Calibri"/>
        <family val="2"/>
        <scheme val="none"/>
      </font>
      <numFmt numFmtId="2" formatCode="0.00"/>
      <fill>
        <patternFill>
          <bgColor indexed="64"/>
        </patternFill>
      </fill>
      <border>
        <left style="thin">
          <color indexed="64"/>
        </left>
        <right style="thin">
          <color indexed="64"/>
        </right>
        <top style="thin">
          <color indexed="64"/>
        </top>
        <bottom style="thin">
          <color indexed="64"/>
        </bottom>
      </border>
    </dxf>
    <dxf>
      <font>
        <u val="none"/>
        <sz val="11"/>
        <color theme="1"/>
        <name val="Calibri"/>
        <family val="2"/>
        <scheme val="none"/>
      </font>
      <numFmt numFmtId="2" formatCode="0.00"/>
      <fill>
        <patternFill>
          <bgColor indexed="64"/>
        </patternFill>
      </fill>
      <border>
        <left style="thin">
          <color indexed="64"/>
        </left>
        <right style="thin">
          <color indexed="64"/>
        </right>
        <top style="thin">
          <color indexed="64"/>
        </top>
        <bottom style="thin">
          <color indexed="64"/>
        </bottom>
      </border>
    </dxf>
    <dxf>
      <font>
        <color theme="1"/>
        <family val="2"/>
      </font>
      <fill>
        <patternFill>
          <bgColor indexed="64"/>
        </patternFill>
      </fill>
      <border>
        <left style="thin">
          <color indexed="64"/>
        </left>
        <right style="thin">
          <color indexed="64"/>
        </right>
        <top style="thin">
          <color indexed="64"/>
        </top>
        <bottom style="thin">
          <color indexed="64"/>
        </bottom>
      </border>
    </dxf>
    <dxf>
      <font>
        <color theme="1"/>
        <family val="2"/>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style="thin">
          <color indexed="64"/>
        </left>
        <right style="thin">
          <color indexed="64"/>
        </right>
        <top style="thin">
          <color indexed="64"/>
        </top>
        <bottom style="thin">
          <color indexed="64"/>
        </bottom>
      </border>
    </dxf>
    <dxf>
      <font>
        <u val="none"/>
        <sz val="11"/>
        <color theme="1"/>
        <name val="Calibri"/>
        <scheme val="none"/>
      </font>
      <fill>
        <patternFill>
          <bgColor indexed="64"/>
        </patternFill>
      </fill>
      <border>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style="thin">
          <color indexed="64"/>
        </top>
        <bottom style="thin">
          <color indexed="64"/>
        </bottom>
        <vertical/>
        <horizontal/>
      </border>
    </dxf>
    <dxf>
      <border>
        <left style="thin">
          <color indexed="64"/>
        </left>
      </border>
    </dxf>
    <dxf>
      <border>
        <right style="thin">
          <color indexed="64"/>
        </right>
      </border>
    </dxf>
    <dxf>
      <border>
        <left style="thin">
          <color indexed="64"/>
        </left>
      </border>
    </dxf>
    <dxf>
      <border>
        <right style="thin">
          <color indexed="64"/>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theme" Target="theme/theme1.xml"/><Relationship Id="rId9" Type="http://schemas.openxmlformats.org/officeDocument/2006/relationships/styles" Target="styles.xml"/><Relationship Id="rId10" Type="http://schemas.openxmlformats.org/officeDocument/2006/relationships/sharedStrings" Target="sharedStrings.xml"/></Relationships>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A1:AX884">
  <autoFilter ref="A1:AX884" xr:uid="{00000000-0009-0000-0100-000003000000}"/>
  <tableColumns count="50">
    <tableColumn id="1" xr3:uid="{00000000-0010-0000-0000-000001000000}" name="id_emenda"/>
    <tableColumn id="2" xr3:uid="{00000000-0010-0000-0000-000002000000}" name="ano"/>
    <tableColumn id="3" xr3:uid="{00000000-0010-0000-0000-000003000000}" name="linha_origem"/>
    <tableColumn id="4" xr3:uid="{00000000-0010-0000-0000-000004000000}" name="arquivo_origem"/>
    <tableColumn id="5" xr3:uid="{00000000-0010-0000-0000-000005000000}" name="id_vereador_ano"/>
    <tableColumn id="6" xr3:uid="{00000000-0010-0000-0000-000006000000}" name="numero_emenda"/>
    <tableColumn id="7" xr3:uid="{00000000-0010-0000-0000-000007000000}" name="status_original"/>
    <tableColumn id="8" xr3:uid="{00000000-0010-0000-0000-000008000000}" name="parlamentar_original"/>
    <tableColumn id="9" xr3:uid="{00000000-0010-0000-0000-000009000000}" name="partido_base"/>
    <tableColumn id="10" xr3:uid="{00000000-0010-0000-0000-00000A000000}" name="objeto_emenda"/>
    <tableColumn id="11" xr3:uid="{00000000-0010-0000-0000-00000B000000}" name="dotacao_original"/>
    <tableColumn id="12" xr3:uid="{00000000-0010-0000-0000-00000C000000}" name="uo_dec"/>
    <tableColumn id="13" xr3:uid="{00000000-0010-0000-0000-00000D000000}" name="nome_uo"/>
    <tableColumn id="14" xr3:uid="{00000000-0010-0000-0000-00000E000000}" name="func_dec"/>
    <tableColumn id="15" xr3:uid="{00000000-0010-0000-0000-00000F000000}" name="nome_funcao"/>
    <tableColumn id="16" xr3:uid="{00000000-0010-0000-0000-000010000000}" name="sub_dec"/>
    <tableColumn id="17" xr3:uid="{00000000-0010-0000-0000-000011000000}" name="nome_subfuncao"/>
    <tableColumn id="18" xr3:uid="{00000000-0010-0000-0000-000012000000}" name="prog_dec"/>
    <tableColumn id="19" xr3:uid="{00000000-0010-0000-0000-000013000000}" name="nome_programa"/>
    <tableColumn id="20" xr3:uid="{00000000-0010-0000-0000-000014000000}" name="acao_dec"/>
    <tableColumn id="21" xr3:uid="{00000000-0010-0000-0000-000015000000}" name="nome_acao"/>
    <tableColumn id="22" xr3:uid="{00000000-0010-0000-0000-000016000000}" name="nat_dec"/>
    <tableColumn id="23" xr3:uid="{00000000-0010-0000-0000-000017000000}" name="categoria_economica"/>
    <tableColumn id="24" xr3:uid="{00000000-0010-0000-0000-000018000000}" name="grupo_despesa"/>
    <tableColumn id="25" xr3:uid="{00000000-0010-0000-0000-000019000000}" name="fonte_dec"/>
    <tableColumn id="26" xr3:uid="{00000000-0010-0000-0000-00001A000000}" name="orgao_executor"/>
    <tableColumn id="27" xr3:uid="{00000000-0010-0000-0000-00001B000000}" name="valor_emenda"/>
    <tableColumn id="28" xr3:uid="{00000000-0010-0000-0000-00001C000000}" name="valor_empenhado"/>
    <tableColumn id="29" xr3:uid="{00000000-0010-0000-0000-00001D000000}" name="valor_liquidado"/>
    <tableColumn id="30" xr3:uid="{00000000-0010-0000-0000-00001E000000}" name="valor_pago"/>
    <tableColumn id="31" xr3:uid="{00000000-0010-0000-0000-00001F000000}" name="credor_original"/>
    <tableColumn id="33" xr3:uid="{00000000-0010-0000-0000-000021000000}" name="saude_orcamentaria"/>
    <tableColumn id="32" xr3:uid="{00000000-0010-0000-0000-000020000000}" name="saude_tematica"/>
    <tableColumn id="39" xr3:uid="{00000000-0010-0000-0000-000027000000}" name="subcodigo_cap_final"/>
    <tableColumn id="34" xr3:uid="{00000000-0010-0000-0000-000022000000}" name="subcodigo_cap" dataDxfId="21"/>
    <tableColumn id="35" xr3:uid="{00000000-0010-0000-0000-000023000000}" name="subcodigo_cap_descricao"/>
    <tableColumn id="40" xr3:uid="{00000000-0010-0000-0000-000028000000}" name="localidade_final" dataDxfId="20"/>
    <tableColumn id="41" xr3:uid="{00000000-0010-0000-0000-000029000000}" name="localidade_resumo"/>
    <tableColumn id="66" xr3:uid="{00000000-0010-0000-0000-000042000000}" name="N_localidades" dataDxfId="19"/>
    <tableColumn id="58" xr3:uid="{00000000-0010-0000-0000-00003A000000}" name="georreferenciavel"/>
    <tableColumn id="50" xr3:uid="{00000000-0010-0000-0000-000032000000}" name="georreferenciacao" dataDxfId="18"/>
    <tableColumn id="43" xr3:uid="{00000000-0010-0000-0000-00002B000000}" name="publico_alvo_final"/>
    <tableColumn id="44" xr3:uid="{00000000-0010-0000-0000-00002C000000}" name="publico_alvo_resumo"/>
    <tableColumn id="45" xr3:uid="{00000000-0010-0000-0000-00002D000000}" name="credor_disponivel_final"/>
    <tableColumn id="46" xr3:uid="{00000000-0010-0000-0000-00002E000000}" name="credor_padronizado"/>
    <tableColumn id="47" xr3:uid="{00000000-0010-0000-0000-00002F000000}" name="status_codificacao"/>
    <tableColumn id="48" xr3:uid="{00000000-0010-0000-0000-000030000000}" name="confianca"/>
    <tableColumn id="53" xr3:uid="{00000000-0010-0000-0000-000035000000}" name="data_codificacao"/>
    <tableColumn id="63" xr3:uid="{00000000-0010-0000-0000-00003F000000}" name="regra_decisao_id"/>
    <tableColumn id="36" xr3:uid="{C8F5BDFF-5C70-4E83-A3CC-A0ABA2337DA2}" name="cultura_ou_esporte" dataDxfId="17"/>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J212">
  <autoFilter ref="A1:J212" xr:uid="{00000000-0009-0000-0100-000004000000}"/>
  <tableColumns count="10">
    <tableColumn id="1" xr3:uid="{00000000-0010-0000-0100-000001000000}" name="macro_codigo"/>
    <tableColumn id="2" xr3:uid="{00000000-0010-0000-0100-000002000000}" name="macro_tema"/>
    <tableColumn id="3" xr3:uid="{00000000-0010-0000-0100-000003000000}" name="subcodigo"/>
    <tableColumn id="4" xr3:uid="{00000000-0010-0000-0100-000004000000}" name="subtema"/>
    <tableColumn id="5" xr3:uid="{00000000-0010-0000-0100-000005000000}" name="definicao"/>
    <tableColumn id="6" xr3:uid="{00000000-0010-0000-0100-000006000000}" name="inclui"/>
    <tableColumn id="7" xr3:uid="{00000000-0010-0000-0100-000007000000}" name="nao_inclui"/>
    <tableColumn id="8" xr3:uid="{00000000-0010-0000-0100-000008000000}" name="exemplos"/>
    <tableColumn id="9" xr3:uid="{00000000-0010-0000-0100-000009000000}" name="observacao_local"/>
    <tableColumn id="10" xr3:uid="{00000000-0010-0000-0100-00000A000000}" name="ativo"/>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2000000}" name="Table52" displayName="Table52" ref="A1:H208" headerRowBorderDxfId="16">
  <autoFilter ref="A1:H208" xr:uid="{00000000-0009-0000-0100-000001000000}"/>
  <tableColumns count="8">
    <tableColumn id="1" xr3:uid="{00000000-0010-0000-0200-000001000000}" name="ano" dataDxfId="15"/>
    <tableColumn id="2" xr3:uid="{00000000-0010-0000-0200-000002000000}" name="id_vereador_ano" dataDxfId="14"/>
    <tableColumn id="3" xr3:uid="{00000000-0010-0000-0200-000003000000}" name="parlamentar_original" dataDxfId="13"/>
    <tableColumn id="11" xr3:uid="{00000000-0010-0000-0200-00000B000000}" name="Sigla" dataDxfId="12"/>
    <tableColumn id="4" xr3:uid="{00000000-0010-0000-0200-000004000000}" name="partido_base" dataDxfId="11"/>
    <tableColumn id="5" xr3:uid="{00000000-0010-0000-0200-000005000000}" name="Estimativa ZUCCO POWER 2021" dataDxfId="10"/>
    <tableColumn id="7" xr3:uid="{00000000-0010-0000-0200-000007000000}" name="Estimativa ZUCCO POWER 2017" dataDxfId="9"/>
    <tableColumn id="6" xr3:uid="{00000000-0010-0000-0200-000006000000}" name="ideologia" dataDxfId="8"/>
  </tableColumns>
  <tableStyleInfo name="TableStyleMedium2"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topLeftCell="AM503" workbookViewId="0">
      <selection activeCell="AR504" sqref="AR504"/>
    </sheetView>
  </sheetViews>
  <sheetFormatPr defaultRowHeight="15.0" baseColWidth="10"/>
  <cols>
    <col min="1" max="1" width="44.7109375" hidden="0" customWidth="1"/>
    <col min="2" max="2" width="11.140625" hidden="0" customWidth="1"/>
    <col min="3" max="3" width="16.140625" hidden="0" customWidth="1"/>
    <col min="4" max="4" width="28.7109375" hidden="0" customWidth="1"/>
    <col min="5" max="5" width="35.7109375" hidden="0" customWidth="1"/>
    <col min="6" max="6" width="13.7109375" hidden="0" customWidth="1"/>
    <col min="7" max="7" width="20.7109375" hidden="0" customWidth="1"/>
    <col min="8" max="8" width="30.7109375" hidden="0" customWidth="1"/>
    <col min="9" max="9" width="40.7109375" hidden="0" customWidth="1"/>
    <col min="10" max="10" width="45.7109375" hidden="0" customWidth="1"/>
    <col min="11" max="11" width="45.7109375" hidden="0" customWidth="1"/>
    <col min="12" max="12" width="6.7109375" hidden="0" customWidth="1"/>
    <col min="13" max="13" width="77.7109375" hidden="0" customWidth="1"/>
    <col min="14" max="14" width="8.7109375" hidden="0" customWidth="1"/>
    <col min="15" max="15" width="21.7109375" hidden="0" customWidth="1"/>
    <col min="16" max="16" width="7.7109375" hidden="0" customWidth="1"/>
    <col min="17" max="17" width="50.7109375" hidden="0" customWidth="1"/>
    <col min="18" max="18" width="8.7109375" hidden="0" customWidth="1"/>
    <col min="19" max="19" width="95.7109375" hidden="0" customWidth="1"/>
    <col min="20" max="20" width="8.7109375" hidden="0" customWidth="1"/>
    <col min="21" max="21" width="88.7109375" hidden="0" customWidth="1"/>
    <col min="22" max="22" width="7.7109375" hidden="0" customWidth="1"/>
    <col min="23" max="23" width="19.7109375" hidden="0" customWidth="1"/>
    <col min="24" max="24" width="26.7109375" hidden="0" customWidth="1"/>
    <col min="25" max="25" width="9.7109375" hidden="0" customWidth="1"/>
    <col min="26" max="26" width="14.7109375" hidden="0" customWidth="1"/>
    <col min="27" max="27" width="12.7109375" hidden="0" customWidth="1"/>
    <col min="28" max="28" width="18.7109375" hidden="0" customWidth="1"/>
    <col min="29" max="29" width="18.7109375" hidden="0" customWidth="1"/>
    <col min="30" max="30" width="18.7109375" hidden="0" customWidth="1"/>
    <col min="31" max="31" width="92.28515625" hidden="0" customWidth="1"/>
    <col min="32" max="32" width="18.7109375" hidden="0" customWidth="1"/>
    <col min="33" max="33" width="18.7109375" hidden="0" customWidth="1"/>
    <col min="34" max="34" width="23.28515625" hidden="0" customWidth="1"/>
    <col min="35" max="35" width="34.7109375" hidden="0" customWidth="1"/>
    <col min="36" max="36" width="53.5703125" hidden="0" customWidth="1"/>
    <col min="37" max="37" width="22.140625" hidden="0" customWidth="1"/>
    <col min="38" max="38" width="36" hidden="0" customWidth="1"/>
    <col min="39" max="39" width="20.85546875" hidden="0" customWidth="1"/>
    <col min="40" max="40" width="22.5703125" hidden="0" customWidth="1"/>
    <col min="41" max="41" width="101.28515625" hidden="0" customWidth="1"/>
    <col min="42" max="42" width="23.85546875" hidden="0" customWidth="1"/>
    <col min="43" max="43" width="56.140625" hidden="0" customWidth="1"/>
    <col min="44" max="44" width="23.28515625" hidden="0" customWidth="1"/>
    <col min="45" max="45" width="42.5703125" hidden="0" customWidth="1"/>
    <col min="46" max="46" width="18.7109375" hidden="0" customWidth="1"/>
    <col min="47" max="47" width="19.7109375" hidden="0" customWidth="1"/>
    <col min="48" max="48" width="16.5703125" hidden="0" customWidth="1"/>
    <col min="49" max="49" width="23.42578125" hidden="0" customWidth="1"/>
    <col min="50" max="50" width="20.85546875" hidden="0" customWidth="1"/>
    <col min="51" max="51" width="19.85546875" hidden="0" customWidth="1"/>
    <col min="52" max="52" width="17.42578125" hidden="0" customWidth="1"/>
    <col min="54" max="54" width="17.5703125" hidden="0"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23" t="s">
        <v>31</v>
      </c>
      <c r="AG1" s="23" t="s">
        <v>32</v>
      </c>
      <c r="AH1" s="24" t="s">
        <v>33</v>
      </c>
      <c r="AI1" s="24" t="s">
        <v>34</v>
      </c>
      <c r="AJ1" s="11" t="s">
        <v>35</v>
      </c>
      <c r="AK1" s="24" t="s">
        <v>36</v>
      </c>
      <c r="AL1" s="25" t="s">
        <v>37</v>
      </c>
      <c r="AM1" s="7" t="s">
        <v>38</v>
      </c>
      <c r="AN1" s="7" t="s">
        <v>39</v>
      </c>
      <c r="AO1" s="20" t="s">
        <v>40</v>
      </c>
      <c r="AP1" s="24" t="s">
        <v>41</v>
      </c>
      <c r="AQ1" s="24" t="s">
        <v>42</v>
      </c>
      <c r="AR1" s="24" t="s">
        <v>43</v>
      </c>
      <c r="AS1" s="8" t="s">
        <v>44</v>
      </c>
      <c r="AT1" s="1" t="s">
        <v>45</v>
      </c>
      <c r="AU1" s="23" t="s">
        <v>46</v>
      </c>
      <c r="AV1" s="23" t="s">
        <v>47</v>
      </c>
      <c r="AW1" s="23" t="s">
        <v>48</v>
      </c>
      <c r="AX1" s="1" t="s">
        <v>6954</v>
      </c>
      <c r="AY1" s="5"/>
      <c r="BA1" s="1"/>
      <c r="BB1" s="1"/>
    </row>
    <row r="2" ht="101.25" customHeight="1">
      <c r="A2" s="20" t="s">
        <v>49</v>
      </c>
      <c r="B2" s="20" t="n">
        <v>2023</v>
      </c>
      <c r="C2" s="20" t="n">
        <v>358</v>
      </c>
      <c r="D2" s="20" t="s">
        <v>50</v>
      </c>
      <c r="E2" s="20" t="s">
        <v>51</v>
      </c>
      <c r="F2" s="20" t="s">
        <v>52</v>
      </c>
      <c r="G2" s="20" t="s">
        <v>53</v>
      </c>
      <c r="H2" s="20" t="s">
        <v>54</v>
      </c>
      <c r="I2" s="20"/>
      <c r="J2" s="20" t="s">
        <v>55</v>
      </c>
      <c r="K2" s="20" t="s">
        <v>56</v>
      </c>
      <c r="L2" s="20" t="s">
        <v>57</v>
      </c>
      <c r="M2" s="20" t="s">
        <v>58</v>
      </c>
      <c r="N2" s="20" t="s">
        <v>59</v>
      </c>
      <c r="O2" s="20" t="s">
        <v>60</v>
      </c>
      <c r="P2" s="20" t="s">
        <v>61</v>
      </c>
      <c r="Q2" s="20" t="s">
        <v>62</v>
      </c>
      <c r="R2" s="20" t="s">
        <v>63</v>
      </c>
      <c r="S2" s="20" t="s">
        <v>64</v>
      </c>
      <c r="T2" s="20" t="s">
        <v>65</v>
      </c>
      <c r="U2" s="20" t="s">
        <v>66</v>
      </c>
      <c r="V2" s="20" t="s">
        <v>67</v>
      </c>
      <c r="W2" s="20" t="s">
        <v>68</v>
      </c>
      <c r="X2" s="20" t="s">
        <v>69</v>
      </c>
      <c r="Y2" s="20" t="s">
        <v>70</v>
      </c>
      <c r="Z2" s="20" t="s">
        <v>71</v>
      </c>
      <c r="AA2" s="20" t="s">
        <v>72</v>
      </c>
      <c r="AB2" s="20" t="s">
        <v>73</v>
      </c>
      <c r="AC2" s="20" t="s">
        <v>74</v>
      </c>
      <c r="AD2" s="20" t="s">
        <v>74</v>
      </c>
      <c r="AE2" s="20" t="s">
        <v>75</v>
      </c>
      <c r="AF2" s="9" t="n">
        <v>1</v>
      </c>
      <c r="AG2" s="12" t="n">
        <v>1</v>
      </c>
      <c r="AH2" s="22" t="s">
        <v>76</v>
      </c>
      <c r="AI2" s="6" t="str">
        <f>IF(AH2="","",IFERROR(RIGHT("0000"&amp;AH2,4)&amp;" - "&amp;UPPER(_xlfn.XLOOKUP(RIGHT("0000"&amp;AH2,4),CODEBOOK_CAP!$C$2:$C$212,CODEBOOK_CAP!$D$2:$D$212)),"Código CAP não encontrado"))</f>
        <v>0333 - SAÚDE MENTAL</v>
      </c>
      <c r="AJ2" s="12" t="str">
        <f>IF(AH2="","",IFERROR(_xlfn.XLOOKUP(RIGHT("0000"&amp;AH2,4),CODEBOOK_CAP!$C$2:$C$212,CODEBOOK_CAP!$E$2:$E$212),"Código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2" s="22" t="s">
        <v>77</v>
      </c>
      <c r="AL2" s="26"/>
      <c r="AM2" s="22" t="s">
        <v>78</v>
      </c>
      <c r="AN2" s="22" t="s">
        <v>79</v>
      </c>
      <c r="AO2" s="19" t="s">
        <v>80</v>
      </c>
      <c r="AP2" s="22" t="s">
        <v>79</v>
      </c>
      <c r="AQ2" s="12" t="s">
        <v>81</v>
      </c>
      <c r="AR2" s="22" t="s">
        <v>79</v>
      </c>
      <c r="AS2" s="10" t="s">
        <v>75</v>
      </c>
      <c r="AT2" s="2" t="s">
        <v>82</v>
      </c>
      <c r="AU2" s="12" t="s">
        <v>83</v>
      </c>
      <c r="AV2" s="3" t="n">
        <v>46214</v>
      </c>
      <c r="AY2" s="1"/>
      <c r="BA2" s="1"/>
      <c r="BB2" s="1"/>
    </row>
    <row r="3" ht="105" customHeight="1">
      <c r="A3" s="20" t="s">
        <v>84</v>
      </c>
      <c r="B3" s="20" t="n">
        <v>2023</v>
      </c>
      <c r="C3" s="20" t="n">
        <v>361</v>
      </c>
      <c r="D3" s="20" t="s">
        <v>50</v>
      </c>
      <c r="E3" s="20" t="s">
        <v>51</v>
      </c>
      <c r="F3" s="20" t="s">
        <v>85</v>
      </c>
      <c r="G3" s="20" t="s">
        <v>86</v>
      </c>
      <c r="H3" s="20" t="s">
        <v>54</v>
      </c>
      <c r="I3" s="20"/>
      <c r="J3" s="20" t="s">
        <v>87</v>
      </c>
      <c r="K3" s="20" t="s">
        <v>88</v>
      </c>
      <c r="L3" s="20" t="s">
        <v>57</v>
      </c>
      <c r="M3" s="20" t="s">
        <v>58</v>
      </c>
      <c r="N3" s="20" t="s">
        <v>59</v>
      </c>
      <c r="O3" s="20" t="s">
        <v>60</v>
      </c>
      <c r="P3" s="20" t="s">
        <v>89</v>
      </c>
      <c r="Q3" s="20" t="s">
        <v>90</v>
      </c>
      <c r="R3" s="20" t="s">
        <v>91</v>
      </c>
      <c r="S3" s="20" t="s">
        <v>92</v>
      </c>
      <c r="T3" s="20" t="s">
        <v>93</v>
      </c>
      <c r="U3" s="20" t="s">
        <v>94</v>
      </c>
      <c r="V3" s="20" t="s">
        <v>95</v>
      </c>
      <c r="W3" s="20" t="s">
        <v>96</v>
      </c>
      <c r="X3" s="20" t="s">
        <v>97</v>
      </c>
      <c r="Y3" s="20" t="s">
        <v>70</v>
      </c>
      <c r="Z3" s="20" t="s">
        <v>98</v>
      </c>
      <c r="AA3" s="20" t="s">
        <v>99</v>
      </c>
      <c r="AB3" s="20" t="s">
        <v>99</v>
      </c>
      <c r="AC3" s="20" t="s">
        <v>99</v>
      </c>
      <c r="AD3" s="20" t="s">
        <v>99</v>
      </c>
      <c r="AE3" s="20"/>
      <c r="AF3" s="9" t="n">
        <v>1</v>
      </c>
      <c r="AG3" s="12" t="n">
        <v>1</v>
      </c>
      <c r="AH3" s="22" t="s">
        <v>76</v>
      </c>
      <c r="AI3" s="12" t="str">
        <f>IF(AH3="","",IFERROR(RIGHT("0000"&amp;AH3,4)&amp;" - "&amp;UPPER(_xlfn.XLOOKUP(RIGHT("0000"&amp;AH3,4),CODEBOOK_CAP!$C$2:$C$212,CODEBOOK_CAP!$D$2:$D$212)),"Código CAP não encontrado"))</f>
        <v>0333 - SAÚDE MENTAL</v>
      </c>
      <c r="AJ3" s="12" t="str">
        <f>IF(AH3="","",IFERROR(_xlfn.XLOOKUP(RIGHT("0000"&amp;AH3,4),CODEBOOK_CAP!$C$2:$C$212,CODEBOOK_CAP!$E$2:$E$212),"Código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3" s="22" t="s">
        <v>77</v>
      </c>
      <c r="AL3" s="26"/>
      <c r="AM3" s="22" t="s">
        <v>77</v>
      </c>
      <c r="AN3" s="22" t="s">
        <v>77</v>
      </c>
      <c r="AO3" s="12"/>
      <c r="AP3" s="22" t="s">
        <v>77</v>
      </c>
      <c r="AQ3" s="12"/>
      <c r="AR3" s="22" t="s">
        <v>77</v>
      </c>
      <c r="AS3" s="10"/>
      <c r="AT3" s="2" t="s">
        <v>82</v>
      </c>
      <c r="AU3" s="12" t="s">
        <v>83</v>
      </c>
      <c r="AV3" s="3" t="n">
        <v>46214</v>
      </c>
      <c r="AW3" s="21"/>
      <c r="AY3" s="1"/>
      <c r="BA3" s="1"/>
      <c r="BB3" s="1"/>
    </row>
    <row r="4" ht="225" customHeight="1">
      <c r="A4" s="20" t="s">
        <v>100</v>
      </c>
      <c r="B4" s="20" t="n">
        <v>2023</v>
      </c>
      <c r="C4" s="20" t="n">
        <v>363</v>
      </c>
      <c r="D4" s="20" t="s">
        <v>50</v>
      </c>
      <c r="E4" s="20" t="s">
        <v>51</v>
      </c>
      <c r="F4" s="20" t="s">
        <v>101</v>
      </c>
      <c r="G4" s="20" t="s">
        <v>86</v>
      </c>
      <c r="H4" s="20" t="s">
        <v>54</v>
      </c>
      <c r="I4" s="20"/>
      <c r="J4" s="20" t="s">
        <v>102</v>
      </c>
      <c r="K4" s="20" t="s">
        <v>103</v>
      </c>
      <c r="L4" s="20" t="s">
        <v>57</v>
      </c>
      <c r="M4" s="20" t="s">
        <v>58</v>
      </c>
      <c r="N4" s="20" t="s">
        <v>59</v>
      </c>
      <c r="O4" s="20" t="s">
        <v>60</v>
      </c>
      <c r="P4" s="20" t="s">
        <v>89</v>
      </c>
      <c r="Q4" s="20" t="s">
        <v>90</v>
      </c>
      <c r="R4" s="20" t="s">
        <v>91</v>
      </c>
      <c r="S4" s="20" t="s">
        <v>92</v>
      </c>
      <c r="T4" s="20" t="s">
        <v>93</v>
      </c>
      <c r="U4" s="20" t="s">
        <v>94</v>
      </c>
      <c r="V4" s="20" t="s">
        <v>104</v>
      </c>
      <c r="W4" s="20" t="s">
        <v>96</v>
      </c>
      <c r="X4" s="20" t="s">
        <v>97</v>
      </c>
      <c r="Y4" s="20" t="s">
        <v>70</v>
      </c>
      <c r="Z4" s="20" t="s">
        <v>98</v>
      </c>
      <c r="AA4" s="20" t="s">
        <v>105</v>
      </c>
      <c r="AB4" s="20" t="s">
        <v>105</v>
      </c>
      <c r="AC4" s="20" t="s">
        <v>105</v>
      </c>
      <c r="AD4" s="20" t="s">
        <v>105</v>
      </c>
      <c r="AE4" s="20"/>
      <c r="AF4" s="9" t="n">
        <v>1</v>
      </c>
      <c r="AG4" s="12" t="n">
        <v>1</v>
      </c>
      <c r="AH4" s="22" t="s">
        <v>106</v>
      </c>
      <c r="AI4" s="12" t="str">
        <f>IF(AH4="","",IFERROR(RIGHT("0000"&amp;AH4,4)&amp;" - "&amp;UPPER(_xlfn.XLOOKUP(RIGHT("0000"&amp;AH4,4),CODEBOOK_CAP!$C$2:$C$212,CODEBOOK_CAP!$D$2:$D$212)),"Código CAP não encontrado"))</f>
        <v>0304 - CUIDADOS PRIMARIOS E ATENÇÃO BÁSICA</v>
      </c>
      <c r="AJ4" s="12" t="str">
        <f>IF(AH4="","",IFERROR(_xlfn.XLOOKUP(RIGHT("0000"&amp;AH4,4),CODEBOOK_CAP!$C$2:$C$212,CODEBOOK_CAP!$E$2:$E$212),"Código CAP não encontrado"))</f>
        <v>Medicina da familia, cuidados básicos e informativos de saude, higiene pessoal e higiene alimentar. Normalmente vinculada a comunidades carentes e de exercício de práticas gerenciais e sanitárias democráticas, atuacao de trabalho em equipe, dirigidas a populações de territórios bem delimitados, pelas quais assume a responsabilidade sanitária, considerando a dinamicidade existente no território em que vivem essas populações. Programa saúde da família, Política Nacional de atenção básica, Equipes de Saúde da Família, Agentes comunitários de saúde. Mias médicos quando se tratar de inclusão regional, interiorização do atendimento. Quando tratar apenas de prevenção e promoção a saude, como campanhas específicas contra dengue, DSTs, codificar em (331)</v>
      </c>
      <c r="AK4" s="22" t="s">
        <v>77</v>
      </c>
      <c r="AL4" s="26"/>
      <c r="AM4" s="22" t="s">
        <v>77</v>
      </c>
      <c r="AN4" s="22" t="s">
        <v>77</v>
      </c>
      <c r="AO4" s="12"/>
      <c r="AP4" s="22" t="s">
        <v>77</v>
      </c>
      <c r="AQ4" s="12"/>
      <c r="AR4" s="22" t="s">
        <v>77</v>
      </c>
      <c r="AS4" s="10"/>
      <c r="AT4" s="2" t="s">
        <v>82</v>
      </c>
      <c r="AU4" s="12" t="s">
        <v>83</v>
      </c>
      <c r="AV4" s="3" t="n">
        <v>46214</v>
      </c>
      <c r="AW4" s="21"/>
      <c r="AY4" s="1"/>
      <c r="BA4" s="1"/>
      <c r="BB4" s="1"/>
    </row>
    <row r="5" ht="225" customHeight="1">
      <c r="A5" s="20" t="s">
        <v>107</v>
      </c>
      <c r="B5" s="20" t="n">
        <v>2023</v>
      </c>
      <c r="C5" s="20" t="n">
        <v>366</v>
      </c>
      <c r="D5" s="20" t="s">
        <v>50</v>
      </c>
      <c r="E5" s="20" t="s">
        <v>51</v>
      </c>
      <c r="F5" s="20" t="s">
        <v>108</v>
      </c>
      <c r="G5" s="20" t="s">
        <v>86</v>
      </c>
      <c r="H5" s="20" t="s">
        <v>54</v>
      </c>
      <c r="I5" s="20"/>
      <c r="J5" s="20" t="s">
        <v>109</v>
      </c>
      <c r="K5" s="20" t="s">
        <v>110</v>
      </c>
      <c r="L5" s="20" t="s">
        <v>57</v>
      </c>
      <c r="M5" s="20" t="s">
        <v>58</v>
      </c>
      <c r="N5" s="20" t="s">
        <v>59</v>
      </c>
      <c r="O5" s="20" t="s">
        <v>60</v>
      </c>
      <c r="P5" s="20" t="s">
        <v>111</v>
      </c>
      <c r="Q5" s="20" t="s">
        <v>112</v>
      </c>
      <c r="R5" s="20" t="s">
        <v>113</v>
      </c>
      <c r="S5" s="20" t="s">
        <v>114</v>
      </c>
      <c r="T5" s="20" t="s">
        <v>115</v>
      </c>
      <c r="U5" s="20" t="s">
        <v>114</v>
      </c>
      <c r="V5" s="20" t="s">
        <v>104</v>
      </c>
      <c r="W5" s="20" t="s">
        <v>96</v>
      </c>
      <c r="X5" s="20" t="s">
        <v>97</v>
      </c>
      <c r="Y5" s="20" t="s">
        <v>70</v>
      </c>
      <c r="Z5" s="20" t="s">
        <v>98</v>
      </c>
      <c r="AA5" s="20" t="s">
        <v>116</v>
      </c>
      <c r="AB5" s="20" t="s">
        <v>116</v>
      </c>
      <c r="AC5" s="20" t="s">
        <v>116</v>
      </c>
      <c r="AD5" s="20" t="s">
        <v>116</v>
      </c>
      <c r="AE5" s="20"/>
      <c r="AF5" s="9" t="n">
        <v>1</v>
      </c>
      <c r="AG5" s="12" t="n">
        <v>1</v>
      </c>
      <c r="AH5" s="22" t="s">
        <v>117</v>
      </c>
      <c r="AI5" s="12" t="str">
        <f>IF(AH5="","",IFERROR(RIGHT("0000"&amp;AH5,4)&amp;" - "&amp;UPPER(_xlfn.XLOOKUP(RIGHT("0000"&amp;AH5,4),CODEBOOK_CAP!$C$2:$C$212,CODEBOOK_CAP!$D$2:$D$212)),"Código CAP não encontrado"))</f>
        <v>0331 - PREVENÇÃO, CAMPANHAS E PROMOÇÃO</v>
      </c>
      <c r="AJ5" s="12" t="str">
        <f>IF(AH5="","",IFERROR(_xlfn.XLOOKUP(RIGHT("0000"&amp;AH5,4),CODEBOOK_CAP!$C$2:$C$212,CODEBOOK_CAP!$E$2:$E$212),"Código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5" s="22" t="s">
        <v>77</v>
      </c>
      <c r="AL5" s="26"/>
      <c r="AM5" s="22" t="s">
        <v>77</v>
      </c>
      <c r="AN5" s="22" t="s">
        <v>77</v>
      </c>
      <c r="AO5" s="12"/>
      <c r="AP5" s="22" t="s">
        <v>79</v>
      </c>
      <c r="AQ5" s="12" t="s">
        <v>118</v>
      </c>
      <c r="AR5" s="22" t="s">
        <v>77</v>
      </c>
      <c r="AS5" s="10"/>
      <c r="AT5" s="2" t="s">
        <v>82</v>
      </c>
      <c r="AU5" s="12" t="s">
        <v>83</v>
      </c>
      <c r="AV5" s="3" t="n">
        <v>46214</v>
      </c>
      <c r="AW5" s="21"/>
      <c r="AY5" s="1"/>
      <c r="BA5" s="1"/>
      <c r="BB5" s="1"/>
    </row>
    <row r="6" ht="165" customHeight="1">
      <c r="A6" s="20" t="s">
        <v>119</v>
      </c>
      <c r="B6" s="20" t="n">
        <v>2023</v>
      </c>
      <c r="C6" s="20" t="n">
        <v>372</v>
      </c>
      <c r="D6" s="20" t="s">
        <v>50</v>
      </c>
      <c r="E6" s="20" t="s">
        <v>51</v>
      </c>
      <c r="F6" s="20" t="s">
        <v>120</v>
      </c>
      <c r="G6" s="20" t="s">
        <v>86</v>
      </c>
      <c r="H6" s="20" t="s">
        <v>54</v>
      </c>
      <c r="I6" s="20"/>
      <c r="J6" s="20" t="s">
        <v>121</v>
      </c>
      <c r="K6" s="20" t="s">
        <v>122</v>
      </c>
      <c r="L6" s="20" t="s">
        <v>57</v>
      </c>
      <c r="M6" s="20" t="s">
        <v>58</v>
      </c>
      <c r="N6" s="20" t="s">
        <v>59</v>
      </c>
      <c r="O6" s="20" t="s">
        <v>60</v>
      </c>
      <c r="P6" s="20" t="s">
        <v>89</v>
      </c>
      <c r="Q6" s="20" t="s">
        <v>90</v>
      </c>
      <c r="R6" s="20" t="s">
        <v>91</v>
      </c>
      <c r="S6" s="20" t="s">
        <v>92</v>
      </c>
      <c r="T6" s="20" t="s">
        <v>123</v>
      </c>
      <c r="U6" s="20" t="s">
        <v>124</v>
      </c>
      <c r="V6" s="20" t="s">
        <v>95</v>
      </c>
      <c r="W6" s="20" t="s">
        <v>96</v>
      </c>
      <c r="X6" s="20" t="s">
        <v>97</v>
      </c>
      <c r="Y6" s="20" t="s">
        <v>70</v>
      </c>
      <c r="Z6" s="20" t="s">
        <v>98</v>
      </c>
      <c r="AA6" s="20" t="s">
        <v>125</v>
      </c>
      <c r="AB6" s="20" t="s">
        <v>125</v>
      </c>
      <c r="AC6" s="20" t="s">
        <v>125</v>
      </c>
      <c r="AD6" s="20" t="s">
        <v>125</v>
      </c>
      <c r="AE6" s="20"/>
      <c r="AF6" s="9" t="n">
        <v>1</v>
      </c>
      <c r="AG6" s="12" t="n">
        <v>1</v>
      </c>
      <c r="AH6" s="22" t="s">
        <v>126</v>
      </c>
      <c r="AI6" s="12" t="str">
        <f>IF(AH6="","",IFERROR(RIGHT("0000"&amp;AH6,4)&amp;" - "&amp;UPPER(_xlfn.XLOOKUP(RIGHT("0000"&amp;AH6,4),CODEBOOK_CAP!$C$2:$C$212,CODEBOOK_CAP!$D$2:$D$212)),"Código CAP não encontrado"))</f>
        <v>0335 - REGULAMENTAÇÃO DE FARMÁCIAS , COMPRA E CONSUMO DE MEDICAMENTOS</v>
      </c>
      <c r="AJ6" s="12" t="str">
        <f>IF(AH6="","",IFERROR(_xlfn.XLOOKUP(RIGHT("0000"&amp;AH6,4),CODEBOOK_CAP!$C$2:$C$212,CODEBOOK_CAP!$E$2:$E$212),"Código CAP não encontrado"))</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K6" s="22" t="s">
        <v>77</v>
      </c>
      <c r="AL6" s="26"/>
      <c r="AM6" s="22" t="s">
        <v>79</v>
      </c>
      <c r="AN6" s="22" t="s">
        <v>79</v>
      </c>
      <c r="AO6" s="19" t="s">
        <v>127</v>
      </c>
      <c r="AP6" s="22" t="s">
        <v>79</v>
      </c>
      <c r="AQ6" s="19" t="s">
        <v>128</v>
      </c>
      <c r="AR6" s="22" t="s">
        <v>77</v>
      </c>
      <c r="AS6" s="10"/>
      <c r="AT6" s="2" t="s">
        <v>82</v>
      </c>
      <c r="AU6" s="12" t="s">
        <v>83</v>
      </c>
      <c r="AV6" s="3" t="n">
        <v>46214</v>
      </c>
      <c r="AW6" s="21"/>
      <c r="AY6" s="1"/>
      <c r="BA6" s="1"/>
      <c r="BB6" s="1"/>
    </row>
    <row r="7" ht="105" customHeight="1">
      <c r="A7" s="20" t="s">
        <v>129</v>
      </c>
      <c r="B7" s="20" t="n">
        <v>2023</v>
      </c>
      <c r="C7" s="20" t="n">
        <v>377</v>
      </c>
      <c r="D7" s="20" t="s">
        <v>50</v>
      </c>
      <c r="E7" s="20" t="s">
        <v>51</v>
      </c>
      <c r="F7" s="20" t="s">
        <v>130</v>
      </c>
      <c r="G7" s="20" t="s">
        <v>86</v>
      </c>
      <c r="H7" s="20" t="s">
        <v>54</v>
      </c>
      <c r="I7" s="20"/>
      <c r="J7" s="20" t="s">
        <v>131</v>
      </c>
      <c r="K7" s="20" t="s">
        <v>132</v>
      </c>
      <c r="L7" s="20" t="s">
        <v>133</v>
      </c>
      <c r="M7" s="20" t="s">
        <v>134</v>
      </c>
      <c r="N7" s="20" t="s">
        <v>135</v>
      </c>
      <c r="O7" s="20" t="s">
        <v>136</v>
      </c>
      <c r="P7" s="20" t="s">
        <v>61</v>
      </c>
      <c r="Q7" s="20" t="s">
        <v>62</v>
      </c>
      <c r="R7" s="20" t="s">
        <v>137</v>
      </c>
      <c r="S7" s="20" t="s">
        <v>138</v>
      </c>
      <c r="T7" s="20" t="s">
        <v>139</v>
      </c>
      <c r="U7" s="20" t="s">
        <v>140</v>
      </c>
      <c r="V7" s="20" t="s">
        <v>95</v>
      </c>
      <c r="W7" s="20" t="s">
        <v>96</v>
      </c>
      <c r="X7" s="20" t="s">
        <v>97</v>
      </c>
      <c r="Y7" s="20" t="s">
        <v>70</v>
      </c>
      <c r="Z7" s="20" t="s">
        <v>141</v>
      </c>
      <c r="AA7" s="20" t="s">
        <v>142</v>
      </c>
      <c r="AB7" s="20" t="s">
        <v>142</v>
      </c>
      <c r="AC7" s="20" t="s">
        <v>142</v>
      </c>
      <c r="AD7" s="20" t="s">
        <v>142</v>
      </c>
      <c r="AE7" s="20"/>
      <c r="AF7" s="9" t="n">
        <v>0</v>
      </c>
      <c r="AG7" s="12" t="n">
        <v>0</v>
      </c>
      <c r="AH7" s="22" t="s">
        <v>143</v>
      </c>
      <c r="AI7" s="12" t="str">
        <f>IF(AH7="","",IFERROR(RIGHT("0000"&amp;AH7,4)&amp;" - "&amp;UPPER(_xlfn.XLOOKUP(RIGHT("0000"&amp;AH7,4),CODEBOOK_CAP!$C$2:$C$212,CODEBOOK_CAP!$D$2:$D$212)),"Código CAP não encontrado"))</f>
        <v>0502 - FORMAÇÃO E DESENVOLVIMENTO PROFISSIONAL</v>
      </c>
      <c r="AJ7" s="12" t="str">
        <f>IF(AH7="","",IFERROR(_xlfn.XLOOKUP(RIGHT("0000"&amp;AH7,4),CODEBOOK_CAP!$C$2:$C$212,CODEBOOK_CAP!$E$2:$E$212),"Código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7" s="22" t="s">
        <v>77</v>
      </c>
      <c r="AL7" s="26"/>
      <c r="AM7" s="22" t="s">
        <v>77</v>
      </c>
      <c r="AN7" s="22" t="s">
        <v>77</v>
      </c>
      <c r="AO7" s="12"/>
      <c r="AP7" s="22" t="s">
        <v>77</v>
      </c>
      <c r="AQ7" s="12"/>
      <c r="AR7" s="22" t="s">
        <v>77</v>
      </c>
      <c r="AS7" s="10"/>
      <c r="AT7" s="2" t="s">
        <v>82</v>
      </c>
      <c r="AU7" s="12" t="s">
        <v>83</v>
      </c>
      <c r="AV7" s="3" t="n">
        <v>46214</v>
      </c>
      <c r="AW7" s="21"/>
      <c r="AY7" s="1"/>
      <c r="BA7" s="1"/>
      <c r="BB7" s="1"/>
    </row>
    <row r="8" ht="105" customHeight="1">
      <c r="A8" s="20" t="s">
        <v>144</v>
      </c>
      <c r="B8" s="20" t="n">
        <v>2023</v>
      </c>
      <c r="C8" s="20" t="n">
        <v>393</v>
      </c>
      <c r="D8" s="20" t="s">
        <v>50</v>
      </c>
      <c r="E8" s="20" t="s">
        <v>51</v>
      </c>
      <c r="F8" s="20" t="s">
        <v>145</v>
      </c>
      <c r="G8" s="20" t="s">
        <v>86</v>
      </c>
      <c r="H8" s="20" t="s">
        <v>54</v>
      </c>
      <c r="I8" s="20"/>
      <c r="J8" s="20" t="s">
        <v>146</v>
      </c>
      <c r="K8" s="20" t="s">
        <v>147</v>
      </c>
      <c r="L8" s="20" t="s">
        <v>148</v>
      </c>
      <c r="M8" s="20" t="s">
        <v>149</v>
      </c>
      <c r="N8" s="20" t="s">
        <v>150</v>
      </c>
      <c r="O8" s="20" t="s">
        <v>151</v>
      </c>
      <c r="P8" s="20" t="s">
        <v>152</v>
      </c>
      <c r="Q8" s="20" t="s">
        <v>153</v>
      </c>
      <c r="R8" s="20" t="s">
        <v>154</v>
      </c>
      <c r="S8" s="20" t="s">
        <v>155</v>
      </c>
      <c r="T8" s="20" t="s">
        <v>156</v>
      </c>
      <c r="U8" s="20" t="s">
        <v>157</v>
      </c>
      <c r="V8" s="20" t="s">
        <v>158</v>
      </c>
      <c r="W8" s="20" t="s">
        <v>96</v>
      </c>
      <c r="X8" s="20" t="s">
        <v>97</v>
      </c>
      <c r="Y8" s="20" t="s">
        <v>70</v>
      </c>
      <c r="Z8" s="20" t="s">
        <v>159</v>
      </c>
      <c r="AA8" s="20" t="s">
        <v>160</v>
      </c>
      <c r="AB8" s="20" t="s">
        <v>160</v>
      </c>
      <c r="AC8" s="20" t="s">
        <v>160</v>
      </c>
      <c r="AD8" s="20" t="s">
        <v>160</v>
      </c>
      <c r="AE8" s="20"/>
      <c r="AF8" s="9" t="n">
        <v>0</v>
      </c>
      <c r="AG8" s="12" t="n">
        <v>0</v>
      </c>
      <c r="AH8" s="22" t="s">
        <v>161</v>
      </c>
      <c r="AI8" s="12" t="str">
        <f>IF(AH8="","",IFERROR(RIGHT("0000"&amp;AH8,4)&amp;" - "&amp;UPPER(_xlfn.XLOOKUP(RIGHT("0000"&amp;AH8,4),CODEBOOK_CAP!$C$2:$C$212,CODEBOOK_CAP!$D$2:$D$212)),"Código CAP não encontrado"))</f>
        <v>2300 - GERAL</v>
      </c>
      <c r="AJ8" s="12" t="str">
        <f>IF(AH8="","",IFERROR(_xlfn.XLOOKUP(RIGHT("0000"&amp;AH8,4),CODEBOOK_CAP!$C$2:$C$212,CODEBOOK_CAP!$E$2:$E$212),"Código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 s="22" t="s">
        <v>77</v>
      </c>
      <c r="AL8" s="26"/>
      <c r="AM8" s="22" t="s">
        <v>77</v>
      </c>
      <c r="AN8" s="22" t="s">
        <v>77</v>
      </c>
      <c r="AO8" s="12"/>
      <c r="AP8" s="22" t="s">
        <v>77</v>
      </c>
      <c r="AQ8" s="12"/>
      <c r="AR8" s="22" t="s">
        <v>77</v>
      </c>
      <c r="AS8" s="10"/>
      <c r="AT8" s="2" t="s">
        <v>82</v>
      </c>
      <c r="AU8" s="12" t="s">
        <v>83</v>
      </c>
      <c r="AV8" s="3" t="n">
        <v>46214</v>
      </c>
      <c r="AW8" s="21"/>
      <c r="AX8" s="1" t="s">
        <v>6955</v>
      </c>
      <c r="AY8" s="1"/>
      <c r="BA8" s="1"/>
      <c r="BB8" s="1"/>
    </row>
    <row r="9" ht="105" customHeight="1">
      <c r="A9" s="20" t="s">
        <v>162</v>
      </c>
      <c r="B9" s="20" t="n">
        <v>2023</v>
      </c>
      <c r="C9" s="20" t="n">
        <v>399</v>
      </c>
      <c r="D9" s="20" t="s">
        <v>50</v>
      </c>
      <c r="E9" s="20" t="s">
        <v>51</v>
      </c>
      <c r="F9" s="20" t="s">
        <v>163</v>
      </c>
      <c r="G9" s="20" t="s">
        <v>86</v>
      </c>
      <c r="H9" s="20" t="s">
        <v>54</v>
      </c>
      <c r="I9" s="20"/>
      <c r="J9" s="20" t="s">
        <v>164</v>
      </c>
      <c r="K9" s="20" t="s">
        <v>165</v>
      </c>
      <c r="L9" s="20" t="s">
        <v>166</v>
      </c>
      <c r="M9" s="20" t="s">
        <v>167</v>
      </c>
      <c r="N9" s="20" t="s">
        <v>168</v>
      </c>
      <c r="O9" s="20" t="s">
        <v>169</v>
      </c>
      <c r="P9" s="20" t="s">
        <v>170</v>
      </c>
      <c r="Q9" s="20" t="s">
        <v>171</v>
      </c>
      <c r="R9" s="20" t="s">
        <v>172</v>
      </c>
      <c r="S9" s="20" t="s">
        <v>173</v>
      </c>
      <c r="T9" s="20" t="s">
        <v>174</v>
      </c>
      <c r="U9" s="20" t="s">
        <v>175</v>
      </c>
      <c r="V9" s="20" t="s">
        <v>176</v>
      </c>
      <c r="W9" s="20" t="s">
        <v>96</v>
      </c>
      <c r="X9" s="20" t="s">
        <v>97</v>
      </c>
      <c r="Y9" s="20" t="s">
        <v>70</v>
      </c>
      <c r="Z9" s="20" t="s">
        <v>177</v>
      </c>
      <c r="AA9" s="20" t="s">
        <v>160</v>
      </c>
      <c r="AB9" s="20" t="s">
        <v>178</v>
      </c>
      <c r="AC9" s="20" t="s">
        <v>178</v>
      </c>
      <c r="AD9" s="20" t="s">
        <v>178</v>
      </c>
      <c r="AE9" s="20"/>
      <c r="AF9" s="9" t="n">
        <v>0</v>
      </c>
      <c r="AG9" s="12" t="n">
        <v>0</v>
      </c>
      <c r="AH9" s="22" t="s">
        <v>179</v>
      </c>
      <c r="AI9" s="12" t="str">
        <f>IF(AH9="","",IFERROR(RIGHT("0000"&amp;AH9,4)&amp;" - "&amp;UPPER(_xlfn.XLOOKUP(RIGHT("0000"&amp;AH9,4),CODEBOOK_CAP!$C$2:$C$212,CODEBOOK_CAP!$D$2:$D$212)),"Código CAP não encontrado"))</f>
        <v>1406 - POLÍTICAS DE HABITAÇÃO SOCIAL</v>
      </c>
      <c r="AJ9" s="12" t="str">
        <f>IF(AH9="","",IFERROR(_xlfn.XLOOKUP(RIGHT("0000"&amp;AH9,4),CODEBOOK_CAP!$C$2:$C$212,CODEBOOK_CAP!$E$2:$E$212),"Código CAP não encontrado"))</f>
        <v>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v>
      </c>
      <c r="AK9" s="22" t="s">
        <v>77</v>
      </c>
      <c r="AL9" s="26"/>
      <c r="AM9" s="22" t="s">
        <v>77</v>
      </c>
      <c r="AN9" s="22" t="s">
        <v>77</v>
      </c>
      <c r="AO9" s="12"/>
      <c r="AP9" s="22" t="s">
        <v>79</v>
      </c>
      <c r="AQ9" s="19" t="s">
        <v>180</v>
      </c>
      <c r="AR9" s="22" t="s">
        <v>77</v>
      </c>
      <c r="AS9" s="10"/>
      <c r="AT9" s="2" t="s">
        <v>82</v>
      </c>
      <c r="AU9" s="12" t="s">
        <v>83</v>
      </c>
      <c r="AV9" s="3" t="n">
        <v>46214</v>
      </c>
      <c r="AW9" s="21"/>
      <c r="AY9" s="1"/>
      <c r="BA9" s="1"/>
      <c r="BB9" s="1"/>
    </row>
    <row r="10" ht="105" customHeight="1">
      <c r="A10" s="20" t="s">
        <v>181</v>
      </c>
      <c r="B10" s="20" t="n">
        <v>2023</v>
      </c>
      <c r="C10" s="20" t="n">
        <v>411</v>
      </c>
      <c r="D10" s="20" t="s">
        <v>50</v>
      </c>
      <c r="E10" s="20" t="s">
        <v>51</v>
      </c>
      <c r="F10" s="20" t="s">
        <v>182</v>
      </c>
      <c r="G10" s="20" t="s">
        <v>183</v>
      </c>
      <c r="H10" s="20" t="s">
        <v>54</v>
      </c>
      <c r="I10" s="20"/>
      <c r="J10" s="20" t="s">
        <v>184</v>
      </c>
      <c r="K10" s="20" t="s">
        <v>185</v>
      </c>
      <c r="L10" s="20" t="s">
        <v>186</v>
      </c>
      <c r="M10" s="20" t="s">
        <v>187</v>
      </c>
      <c r="N10" s="20" t="s">
        <v>188</v>
      </c>
      <c r="O10" s="20" t="s">
        <v>189</v>
      </c>
      <c r="P10" s="20" t="s">
        <v>190</v>
      </c>
      <c r="Q10" s="20" t="s">
        <v>191</v>
      </c>
      <c r="R10" s="20" t="s">
        <v>192</v>
      </c>
      <c r="S10" s="20" t="s">
        <v>193</v>
      </c>
      <c r="T10" s="20" t="s">
        <v>194</v>
      </c>
      <c r="U10" s="20" t="s">
        <v>195</v>
      </c>
      <c r="V10" s="20" t="s">
        <v>196</v>
      </c>
      <c r="W10" s="20" t="s">
        <v>68</v>
      </c>
      <c r="X10" s="20" t="s">
        <v>69</v>
      </c>
      <c r="Y10" s="20" t="s">
        <v>70</v>
      </c>
      <c r="Z10" s="20" t="s">
        <v>197</v>
      </c>
      <c r="AA10" s="20" t="s">
        <v>198</v>
      </c>
      <c r="AB10" s="20" t="s">
        <v>77</v>
      </c>
      <c r="AC10" s="20" t="s">
        <v>77</v>
      </c>
      <c r="AD10" s="20" t="s">
        <v>77</v>
      </c>
      <c r="AE10" s="20"/>
      <c r="AF10" s="9" t="n">
        <v>0</v>
      </c>
      <c r="AG10" s="12" t="n">
        <v>0</v>
      </c>
      <c r="AH10" s="22" t="s">
        <v>161</v>
      </c>
      <c r="AI10" s="12" t="str">
        <f>IF(AH10="","",IFERROR(RIGHT("0000"&amp;AH10,4)&amp;" - "&amp;UPPER(_xlfn.XLOOKUP(RIGHT("0000"&amp;AH10,4),CODEBOOK_CAP!$C$2:$C$212,CODEBOOK_CAP!$D$2:$D$212)),"Código CAP não encontrado"))</f>
        <v>2300 - GERAL</v>
      </c>
      <c r="AJ10" s="12" t="str">
        <f>IF(AH10="","",IFERROR(_xlfn.XLOOKUP(RIGHT("0000"&amp;AH10,4),CODEBOOK_CAP!$C$2:$C$212,CODEBOOK_CAP!$E$2:$E$212),"Código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0" s="22" t="s">
        <v>77</v>
      </c>
      <c r="AL10" s="26"/>
      <c r="AM10" s="22" t="s">
        <v>77</v>
      </c>
      <c r="AN10" s="22" t="s">
        <v>77</v>
      </c>
      <c r="AO10" s="12"/>
      <c r="AP10" s="22" t="s">
        <v>77</v>
      </c>
      <c r="AQ10" s="12"/>
      <c r="AR10" s="22" t="s">
        <v>77</v>
      </c>
      <c r="AS10" s="10"/>
      <c r="AT10" s="2" t="s">
        <v>82</v>
      </c>
      <c r="AU10" s="12" t="s">
        <v>83</v>
      </c>
      <c r="AV10" s="3" t="n">
        <v>46214</v>
      </c>
      <c r="AW10" s="21"/>
      <c r="AX10" s="1" t="s">
        <v>6956</v>
      </c>
      <c r="AY10" s="1"/>
      <c r="BA10" s="1"/>
      <c r="BB10" s="1"/>
    </row>
    <row r="11" ht="75" customHeight="1">
      <c r="A11" s="20" t="s">
        <v>199</v>
      </c>
      <c r="B11" s="20" t="n">
        <v>2023</v>
      </c>
      <c r="C11" s="20" t="n">
        <v>414</v>
      </c>
      <c r="D11" s="20" t="s">
        <v>50</v>
      </c>
      <c r="E11" s="20" t="s">
        <v>51</v>
      </c>
      <c r="F11" s="20" t="s">
        <v>200</v>
      </c>
      <c r="G11" s="20" t="s">
        <v>86</v>
      </c>
      <c r="H11" s="20" t="s">
        <v>54</v>
      </c>
      <c r="I11" s="20"/>
      <c r="J11" s="20" t="s">
        <v>201</v>
      </c>
      <c r="K11" s="20" t="s">
        <v>132</v>
      </c>
      <c r="L11" s="20" t="s">
        <v>133</v>
      </c>
      <c r="M11" s="20" t="s">
        <v>134</v>
      </c>
      <c r="N11" s="20" t="s">
        <v>135</v>
      </c>
      <c r="O11" s="20" t="s">
        <v>136</v>
      </c>
      <c r="P11" s="20" t="s">
        <v>61</v>
      </c>
      <c r="Q11" s="20" t="s">
        <v>62</v>
      </c>
      <c r="R11" s="20" t="s">
        <v>137</v>
      </c>
      <c r="S11" s="20" t="s">
        <v>138</v>
      </c>
      <c r="T11" s="20" t="s">
        <v>139</v>
      </c>
      <c r="U11" s="20" t="s">
        <v>140</v>
      </c>
      <c r="V11" s="20" t="s">
        <v>95</v>
      </c>
      <c r="W11" s="20" t="s">
        <v>96</v>
      </c>
      <c r="X11" s="20" t="s">
        <v>97</v>
      </c>
      <c r="Y11" s="20" t="s">
        <v>70</v>
      </c>
      <c r="Z11" s="20" t="s">
        <v>141</v>
      </c>
      <c r="AA11" s="20" t="s">
        <v>202</v>
      </c>
      <c r="AB11" s="20" t="s">
        <v>202</v>
      </c>
      <c r="AC11" s="20" t="s">
        <v>202</v>
      </c>
      <c r="AD11" s="20" t="s">
        <v>202</v>
      </c>
      <c r="AE11" s="20"/>
      <c r="AF11" s="9" t="n">
        <v>0</v>
      </c>
      <c r="AG11" s="12" t="n">
        <v>0</v>
      </c>
      <c r="AH11" s="22" t="s">
        <v>143</v>
      </c>
      <c r="AI11" s="12" t="str">
        <f>IF(AH11="","",IFERROR(RIGHT("0000"&amp;AH11,4)&amp;" - "&amp;UPPER(_xlfn.XLOOKUP(RIGHT("0000"&amp;AH11,4),CODEBOOK_CAP!$C$2:$C$212,CODEBOOK_CAP!$D$2:$D$212)),"Código CAP não encontrado"))</f>
        <v>0502 - FORMAÇÃO E DESENVOLVIMENTO PROFISSIONAL</v>
      </c>
      <c r="AJ11" s="12" t="str">
        <f>IF(AH11="","",IFERROR(_xlfn.XLOOKUP(RIGHT("0000"&amp;AH11,4),CODEBOOK_CAP!$C$2:$C$212,CODEBOOK_CAP!$E$2:$E$212),"Código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11" s="22" t="s">
        <v>77</v>
      </c>
      <c r="AL11" s="26"/>
      <c r="AM11" s="22" t="s">
        <v>77</v>
      </c>
      <c r="AN11" s="22" t="s">
        <v>77</v>
      </c>
      <c r="AO11" s="12"/>
      <c r="AP11" s="22" t="s">
        <v>79</v>
      </c>
      <c r="AQ11" s="12" t="s">
        <v>203</v>
      </c>
      <c r="AR11" s="22" t="s">
        <v>77</v>
      </c>
      <c r="AS11" s="10"/>
      <c r="AT11" s="2" t="s">
        <v>82</v>
      </c>
      <c r="AU11" s="12" t="s">
        <v>83</v>
      </c>
      <c r="AV11" s="3" t="n">
        <v>46214</v>
      </c>
      <c r="AW11" s="21"/>
      <c r="AY11" s="1"/>
      <c r="BA11" s="1"/>
      <c r="BB11" s="1"/>
    </row>
    <row r="12" ht="255" customHeight="1">
      <c r="A12" s="20" t="s">
        <v>204</v>
      </c>
      <c r="B12" s="20" t="n">
        <v>2023</v>
      </c>
      <c r="C12" s="20" t="n">
        <v>674</v>
      </c>
      <c r="D12" s="20" t="s">
        <v>50</v>
      </c>
      <c r="E12" s="20" t="s">
        <v>51</v>
      </c>
      <c r="F12" s="20" t="s">
        <v>205</v>
      </c>
      <c r="G12" s="20" t="s">
        <v>183</v>
      </c>
      <c r="H12" s="20" t="s">
        <v>54</v>
      </c>
      <c r="I12" s="20"/>
      <c r="J12" s="20" t="s">
        <v>206</v>
      </c>
      <c r="K12" s="20" t="s">
        <v>207</v>
      </c>
      <c r="L12" s="20" t="s">
        <v>208</v>
      </c>
      <c r="M12" s="20" t="s">
        <v>209</v>
      </c>
      <c r="N12" s="20" t="s">
        <v>210</v>
      </c>
      <c r="O12" s="20" t="s">
        <v>211</v>
      </c>
      <c r="P12" s="20" t="s">
        <v>212</v>
      </c>
      <c r="Q12" s="20" t="s">
        <v>213</v>
      </c>
      <c r="R12" s="20" t="s">
        <v>214</v>
      </c>
      <c r="S12" s="20" t="s">
        <v>215</v>
      </c>
      <c r="T12" s="20" t="s">
        <v>216</v>
      </c>
      <c r="U12" s="20" t="s">
        <v>217</v>
      </c>
      <c r="V12" s="20" t="s">
        <v>67</v>
      </c>
      <c r="W12" s="20" t="s">
        <v>68</v>
      </c>
      <c r="X12" s="20" t="s">
        <v>69</v>
      </c>
      <c r="Y12" s="20" t="s">
        <v>70</v>
      </c>
      <c r="Z12" s="20" t="s">
        <v>177</v>
      </c>
      <c r="AA12" s="20" t="s">
        <v>218</v>
      </c>
      <c r="AB12" s="20" t="s">
        <v>77</v>
      </c>
      <c r="AC12" s="20" t="s">
        <v>77</v>
      </c>
      <c r="AD12" s="20" t="s">
        <v>77</v>
      </c>
      <c r="AE12" s="20"/>
      <c r="AF12" s="9" t="n">
        <v>0</v>
      </c>
      <c r="AG12" s="12" t="n">
        <v>0</v>
      </c>
      <c r="AH12" s="22" t="s">
        <v>219</v>
      </c>
      <c r="AI12" s="12" t="str">
        <f>IF(AH12="","",IFERROR(RIGHT("0000"&amp;AH12,4)&amp;" - "&amp;UPPER(_xlfn.XLOOKUP(RIGHT("0000"&amp;AH12,4),CODEBOOK_CAP!$C$2:$C$212,CODEBOOK_CAP!$D$2:$D$212)),"Código CAP não encontrado"))</f>
        <v>1002 - CARROS, TRÂNSITO, CONSTRUÇÃO E MANUTENÇÃO DE RUAS E ESTRADAS</v>
      </c>
      <c r="AJ12" s="12" t="str">
        <f>IF(AH12="","",IFERROR(_xlfn.XLOOKUP(RIGHT("0000"&amp;AH12,4),CODEBOOK_CAP!$C$2:$C$212,CODEBOOK_CAP!$E$2:$E$212),"Código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2" s="22" t="s">
        <v>79</v>
      </c>
      <c r="AL12" s="26" t="s">
        <v>220</v>
      </c>
      <c r="AM12" s="22" t="s">
        <v>79</v>
      </c>
      <c r="AN12" s="22" t="s">
        <v>77</v>
      </c>
      <c r="AO12" s="22"/>
      <c r="AP12" s="22" t="s">
        <v>77</v>
      </c>
      <c r="AQ12" s="12"/>
      <c r="AR12" s="22" t="s">
        <v>77</v>
      </c>
      <c r="AS12" s="10"/>
      <c r="AT12" s="2" t="s">
        <v>82</v>
      </c>
      <c r="AU12" s="12" t="s">
        <v>83</v>
      </c>
      <c r="AV12" s="3" t="n">
        <v>46214</v>
      </c>
      <c r="AW12" s="21"/>
      <c r="AY12" s="1"/>
      <c r="BA12" s="1"/>
      <c r="BB12" s="1"/>
    </row>
    <row r="13" ht="120" customHeight="1">
      <c r="A13" s="20" t="s">
        <v>221</v>
      </c>
      <c r="B13" s="20" t="n">
        <v>2023</v>
      </c>
      <c r="C13" s="20" t="n">
        <v>841</v>
      </c>
      <c r="D13" s="20" t="s">
        <v>50</v>
      </c>
      <c r="E13" s="20" t="s">
        <v>222</v>
      </c>
      <c r="F13" s="20" t="s">
        <v>223</v>
      </c>
      <c r="G13" s="20" t="s">
        <v>86</v>
      </c>
      <c r="H13" s="20" t="s">
        <v>224</v>
      </c>
      <c r="I13" s="20"/>
      <c r="J13" s="20" t="s">
        <v>225</v>
      </c>
      <c r="K13" s="20" t="s">
        <v>226</v>
      </c>
      <c r="L13" s="20" t="s">
        <v>57</v>
      </c>
      <c r="M13" s="20" t="s">
        <v>58</v>
      </c>
      <c r="N13" s="20" t="s">
        <v>59</v>
      </c>
      <c r="O13" s="20" t="s">
        <v>60</v>
      </c>
      <c r="P13" s="20" t="s">
        <v>227</v>
      </c>
      <c r="Q13" s="20" t="s">
        <v>228</v>
      </c>
      <c r="R13" s="20" t="s">
        <v>229</v>
      </c>
      <c r="S13" s="20" t="s">
        <v>230</v>
      </c>
      <c r="T13" s="20" t="s">
        <v>231</v>
      </c>
      <c r="U13" s="20" t="s">
        <v>230</v>
      </c>
      <c r="V13" s="20" t="s">
        <v>232</v>
      </c>
      <c r="W13" s="20" t="s">
        <v>96</v>
      </c>
      <c r="X13" s="20" t="s">
        <v>97</v>
      </c>
      <c r="Y13" s="20" t="s">
        <v>70</v>
      </c>
      <c r="Z13" s="20" t="s">
        <v>98</v>
      </c>
      <c r="AA13" s="20" t="s">
        <v>233</v>
      </c>
      <c r="AB13" s="20" t="s">
        <v>233</v>
      </c>
      <c r="AC13" s="20" t="s">
        <v>234</v>
      </c>
      <c r="AD13" s="20" t="s">
        <v>233</v>
      </c>
      <c r="AE13" s="20"/>
      <c r="AF13" s="9" t="n">
        <v>1</v>
      </c>
      <c r="AG13" s="12" t="n">
        <v>1</v>
      </c>
      <c r="AH13" s="22" t="s">
        <v>235</v>
      </c>
      <c r="AI13" s="12" t="str">
        <f>IF(AH13="","",IFERROR(RIGHT("0000"&amp;AH13,4)&amp;" - "&amp;UPPER(_xlfn.XLOOKUP(RIGHT("0000"&amp;AH13,4),CODEBOOK_CAP!$C$2:$C$212,CODEBOOK_CAP!$D$2:$D$212)),"Código CAP não encontrado"))</f>
        <v>0322 - ESTRUTURAS, HOSPITAIS, CLÍNICAS</v>
      </c>
      <c r="AJ13" s="12" t="str">
        <f>IF(AH13="","",IFERROR(_xlfn.XLOOKUP(RIGHT("0000"&amp;AH13,4),CODEBOOK_CAP!$C$2:$C$212,CODEBOOK_CAP!$E$2:$E$212),"Código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 s="22" t="s">
        <v>79</v>
      </c>
      <c r="AL13" s="26" t="s">
        <v>236</v>
      </c>
      <c r="AM13" s="22" t="s">
        <v>79</v>
      </c>
      <c r="AN13" s="22" t="s">
        <v>79</v>
      </c>
      <c r="AO13" s="12" t="s">
        <v>237</v>
      </c>
      <c r="AP13" s="22" t="s">
        <v>77</v>
      </c>
      <c r="AQ13" s="12"/>
      <c r="AR13" s="22" t="s">
        <v>77</v>
      </c>
      <c r="AS13" s="10"/>
      <c r="AT13" s="2" t="s">
        <v>82</v>
      </c>
      <c r="AU13" s="12" t="s">
        <v>83</v>
      </c>
      <c r="AV13" s="3" t="n">
        <v>46214</v>
      </c>
      <c r="AW13" s="21"/>
      <c r="AY13" s="1"/>
      <c r="BA13" s="1"/>
      <c r="BB13" s="1"/>
    </row>
    <row r="14" ht="105" customHeight="1">
      <c r="A14" s="20" t="s">
        <v>238</v>
      </c>
      <c r="B14" s="20" t="n">
        <v>2023</v>
      </c>
      <c r="C14" s="20" t="n">
        <v>530</v>
      </c>
      <c r="D14" s="20" t="s">
        <v>50</v>
      </c>
      <c r="E14" s="20" t="s">
        <v>222</v>
      </c>
      <c r="F14" s="20" t="s">
        <v>239</v>
      </c>
      <c r="G14" s="20" t="s">
        <v>183</v>
      </c>
      <c r="H14" s="20" t="s">
        <v>224</v>
      </c>
      <c r="I14" s="20"/>
      <c r="J14" s="20" t="s">
        <v>240</v>
      </c>
      <c r="K14" s="20" t="s">
        <v>241</v>
      </c>
      <c r="L14" s="20" t="s">
        <v>208</v>
      </c>
      <c r="M14" s="20" t="s">
        <v>209</v>
      </c>
      <c r="N14" s="20" t="s">
        <v>188</v>
      </c>
      <c r="O14" s="20" t="s">
        <v>189</v>
      </c>
      <c r="P14" s="20" t="s">
        <v>190</v>
      </c>
      <c r="Q14" s="20" t="s">
        <v>191</v>
      </c>
      <c r="R14" s="20" t="s">
        <v>192</v>
      </c>
      <c r="S14" s="20" t="s">
        <v>193</v>
      </c>
      <c r="T14" s="20" t="s">
        <v>242</v>
      </c>
      <c r="U14" s="20" t="s">
        <v>243</v>
      </c>
      <c r="V14" s="20" t="s">
        <v>67</v>
      </c>
      <c r="W14" s="20" t="s">
        <v>68</v>
      </c>
      <c r="X14" s="20" t="s">
        <v>69</v>
      </c>
      <c r="Y14" s="20" t="s">
        <v>70</v>
      </c>
      <c r="Z14" s="20" t="s">
        <v>177</v>
      </c>
      <c r="AA14" s="20" t="s">
        <v>244</v>
      </c>
      <c r="AB14" s="20" t="s">
        <v>77</v>
      </c>
      <c r="AC14" s="20" t="s">
        <v>77</v>
      </c>
      <c r="AD14" s="20" t="s">
        <v>77</v>
      </c>
      <c r="AE14" s="20"/>
      <c r="AF14" s="9" t="n">
        <v>0</v>
      </c>
      <c r="AG14" s="12" t="n">
        <v>0</v>
      </c>
      <c r="AH14" s="22" t="s">
        <v>161</v>
      </c>
      <c r="AI14" s="12" t="str">
        <f>IF(AH14="","",IFERROR(RIGHT("0000"&amp;AH14,4)&amp;" - "&amp;UPPER(_xlfn.XLOOKUP(RIGHT("0000"&amp;AH14,4),CODEBOOK_CAP!$C$2:$C$212,CODEBOOK_CAP!$D$2:$D$212)),"Código CAP não encontrado"))</f>
        <v>2300 - GERAL</v>
      </c>
      <c r="AJ14" s="12" t="str">
        <f>IF(AH14="","",IFERROR(_xlfn.XLOOKUP(RIGHT("0000"&amp;AH14,4),CODEBOOK_CAP!$C$2:$C$212,CODEBOOK_CAP!$E$2:$E$212),"Código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4" s="22" t="s">
        <v>79</v>
      </c>
      <c r="AL14" s="26" t="s">
        <v>245</v>
      </c>
      <c r="AM14" s="22" t="s">
        <v>79</v>
      </c>
      <c r="AN14" s="22" t="s">
        <v>79</v>
      </c>
      <c r="AO14" s="12" t="s">
        <v>246</v>
      </c>
      <c r="AP14" s="22" t="s">
        <v>77</v>
      </c>
      <c r="AQ14" s="12"/>
      <c r="AR14" s="22" t="s">
        <v>77</v>
      </c>
      <c r="AS14" s="10"/>
      <c r="AT14" s="2" t="s">
        <v>82</v>
      </c>
      <c r="AU14" s="12" t="s">
        <v>83</v>
      </c>
      <c r="AV14" s="3" t="n">
        <v>46214</v>
      </c>
      <c r="AW14" s="21"/>
      <c r="AX14" s="1" t="s">
        <v>6956</v>
      </c>
      <c r="AY14" s="1"/>
      <c r="BA14" s="1"/>
      <c r="BB14" s="1"/>
    </row>
    <row r="15" ht="105" customHeight="1">
      <c r="A15" s="20" t="s">
        <v>247</v>
      </c>
      <c r="B15" s="20" t="n">
        <v>2023</v>
      </c>
      <c r="C15" s="20" t="n">
        <v>538</v>
      </c>
      <c r="D15" s="20" t="s">
        <v>50</v>
      </c>
      <c r="E15" s="20" t="s">
        <v>222</v>
      </c>
      <c r="F15" s="20" t="s">
        <v>248</v>
      </c>
      <c r="G15" s="20" t="s">
        <v>86</v>
      </c>
      <c r="H15" s="20" t="s">
        <v>224</v>
      </c>
      <c r="I15" s="20"/>
      <c r="J15" s="20" t="s">
        <v>249</v>
      </c>
      <c r="K15" s="20" t="s">
        <v>250</v>
      </c>
      <c r="L15" s="20" t="s">
        <v>208</v>
      </c>
      <c r="M15" s="20" t="s">
        <v>209</v>
      </c>
      <c r="N15" s="20" t="s">
        <v>135</v>
      </c>
      <c r="O15" s="20" t="s">
        <v>136</v>
      </c>
      <c r="P15" s="20" t="s">
        <v>61</v>
      </c>
      <c r="Q15" s="20" t="s">
        <v>62</v>
      </c>
      <c r="R15" s="20" t="s">
        <v>251</v>
      </c>
      <c r="S15" s="20" t="s">
        <v>252</v>
      </c>
      <c r="T15" s="20" t="s">
        <v>253</v>
      </c>
      <c r="U15" s="20" t="s">
        <v>254</v>
      </c>
      <c r="V15" s="20" t="s">
        <v>67</v>
      </c>
      <c r="W15" s="20" t="s">
        <v>68</v>
      </c>
      <c r="X15" s="20" t="s">
        <v>69</v>
      </c>
      <c r="Y15" s="20" t="s">
        <v>70</v>
      </c>
      <c r="Z15" s="20" t="s">
        <v>177</v>
      </c>
      <c r="AA15" s="20" t="s">
        <v>255</v>
      </c>
      <c r="AB15" s="20" t="s">
        <v>256</v>
      </c>
      <c r="AC15" s="20" t="s">
        <v>256</v>
      </c>
      <c r="AD15" s="20" t="s">
        <v>256</v>
      </c>
      <c r="AE15" s="20"/>
      <c r="AF15" s="9" t="n">
        <v>0</v>
      </c>
      <c r="AG15" s="12" t="n">
        <v>0</v>
      </c>
      <c r="AH15" s="22" t="s">
        <v>161</v>
      </c>
      <c r="AI15" s="12" t="str">
        <f>IF(AH15="","",IFERROR(RIGHT("0000"&amp;AH15,4)&amp;" - "&amp;UPPER(_xlfn.XLOOKUP(RIGHT("0000"&amp;AH15,4),CODEBOOK_CAP!$C$2:$C$212,CODEBOOK_CAP!$D$2:$D$212)),"Código CAP não encontrado"))</f>
        <v>2300 - GERAL</v>
      </c>
      <c r="AJ15" s="12" t="str">
        <f>IF(AH15="","",IFERROR(_xlfn.XLOOKUP(RIGHT("0000"&amp;AH15,4),CODEBOOK_CAP!$C$2:$C$212,CODEBOOK_CAP!$E$2:$E$212),"Código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5" s="22" t="s">
        <v>79</v>
      </c>
      <c r="AL15" s="26" t="s">
        <v>257</v>
      </c>
      <c r="AM15" s="22" t="s">
        <v>79</v>
      </c>
      <c r="AN15" s="22" t="s">
        <v>79</v>
      </c>
      <c r="AO15" s="12" t="s">
        <v>258</v>
      </c>
      <c r="AP15" s="22" t="s">
        <v>79</v>
      </c>
      <c r="AQ15" s="12" t="s">
        <v>180</v>
      </c>
      <c r="AR15" s="22" t="s">
        <v>77</v>
      </c>
      <c r="AS15" s="10"/>
      <c r="AT15" s="2" t="s">
        <v>82</v>
      </c>
      <c r="AU15" s="12" t="s">
        <v>83</v>
      </c>
      <c r="AV15" s="3" t="n">
        <v>46214</v>
      </c>
      <c r="AW15" s="21"/>
      <c r="AX15" s="1" t="s">
        <v>6956</v>
      </c>
      <c r="AY15" s="1"/>
      <c r="BA15" s="1"/>
      <c r="BB15" s="1"/>
    </row>
    <row r="16" ht="30" customHeight="1">
      <c r="A16" s="20" t="s">
        <v>259</v>
      </c>
      <c r="B16" s="20" t="n">
        <v>2023</v>
      </c>
      <c r="C16" s="20" t="n">
        <v>539</v>
      </c>
      <c r="D16" s="20" t="s">
        <v>50</v>
      </c>
      <c r="E16" s="20" t="s">
        <v>222</v>
      </c>
      <c r="F16" s="20" t="s">
        <v>260</v>
      </c>
      <c r="G16" s="20" t="s">
        <v>86</v>
      </c>
      <c r="H16" s="20" t="s">
        <v>224</v>
      </c>
      <c r="I16" s="20"/>
      <c r="J16" s="20" t="s">
        <v>261</v>
      </c>
      <c r="K16" s="20" t="s">
        <v>250</v>
      </c>
      <c r="L16" s="20" t="s">
        <v>208</v>
      </c>
      <c r="M16" s="20" t="s">
        <v>209</v>
      </c>
      <c r="N16" s="20" t="s">
        <v>135</v>
      </c>
      <c r="O16" s="20" t="s">
        <v>136</v>
      </c>
      <c r="P16" s="20" t="s">
        <v>61</v>
      </c>
      <c r="Q16" s="20" t="s">
        <v>62</v>
      </c>
      <c r="R16" s="20" t="s">
        <v>251</v>
      </c>
      <c r="S16" s="20" t="s">
        <v>252</v>
      </c>
      <c r="T16" s="20" t="s">
        <v>253</v>
      </c>
      <c r="U16" s="20" t="s">
        <v>254</v>
      </c>
      <c r="V16" s="20" t="s">
        <v>67</v>
      </c>
      <c r="W16" s="20" t="s">
        <v>68</v>
      </c>
      <c r="X16" s="20" t="s">
        <v>69</v>
      </c>
      <c r="Y16" s="20" t="s">
        <v>70</v>
      </c>
      <c r="Z16" s="20" t="s">
        <v>177</v>
      </c>
      <c r="AA16" s="20" t="s">
        <v>198</v>
      </c>
      <c r="AB16" s="20" t="s">
        <v>262</v>
      </c>
      <c r="AC16" s="20" t="s">
        <v>262</v>
      </c>
      <c r="AD16" s="20" t="s">
        <v>262</v>
      </c>
      <c r="AE16" s="20"/>
      <c r="AF16" s="9" t="n">
        <v>0</v>
      </c>
      <c r="AG16" s="12" t="n">
        <v>0</v>
      </c>
      <c r="AH16" s="22" t="s">
        <v>263</v>
      </c>
      <c r="AI16" s="12" t="str">
        <f>IF(AH16="","",IFERROR(RIGHT("0000"&amp;AH16,4)&amp;" - "&amp;UPPER(_xlfn.XLOOKUP(RIGHT("0000"&amp;AH16,4),CODEBOOK_CAP!$C$2:$C$212,CODEBOOK_CAP!$D$2:$D$212)),"Código CAP não encontrado"))</f>
        <v>0599 - OUTROS</v>
      </c>
      <c r="AJ16" s="12" t="str">
        <f>IF(AH16="","",IFERROR(_xlfn.XLOOKUP(RIGHT("0000"&amp;AH16,4),CODEBOOK_CAP!$C$2:$C$212,CODEBOOK_CAP!$E$2:$E$212),"Código CAP não encontrado"))</f>
        <v>Observações que versam sobre TRABALHO E EMPREGO, mas que não se enquadram em nenhum dos itens acima.</v>
      </c>
      <c r="AK16" s="22" t="s">
        <v>79</v>
      </c>
      <c r="AL16" s="26" t="s">
        <v>264</v>
      </c>
      <c r="AM16" s="22" t="s">
        <v>79</v>
      </c>
      <c r="AN16" s="22" t="s">
        <v>79</v>
      </c>
      <c r="AO16" s="12" t="s">
        <v>264</v>
      </c>
      <c r="AP16" s="22" t="s">
        <v>77</v>
      </c>
      <c r="AQ16" s="12"/>
      <c r="AR16" s="22" t="s">
        <v>77</v>
      </c>
      <c r="AS16" s="10"/>
      <c r="AT16" s="2" t="s">
        <v>82</v>
      </c>
      <c r="AU16" s="12" t="s">
        <v>83</v>
      </c>
      <c r="AV16" s="3" t="n">
        <v>46214</v>
      </c>
      <c r="AW16" s="21"/>
      <c r="AY16" s="1"/>
      <c r="BA16" s="1"/>
      <c r="BB16" s="1"/>
    </row>
    <row r="17" ht="120" customHeight="1">
      <c r="A17" s="20" t="s">
        <v>265</v>
      </c>
      <c r="B17" s="20" t="n">
        <v>2023</v>
      </c>
      <c r="C17" s="20" t="n">
        <v>540</v>
      </c>
      <c r="D17" s="20" t="s">
        <v>50</v>
      </c>
      <c r="E17" s="20" t="s">
        <v>222</v>
      </c>
      <c r="F17" s="20" t="s">
        <v>266</v>
      </c>
      <c r="G17" s="20" t="s">
        <v>86</v>
      </c>
      <c r="H17" s="20" t="s">
        <v>224</v>
      </c>
      <c r="I17" s="20"/>
      <c r="J17" s="20" t="s">
        <v>267</v>
      </c>
      <c r="K17" s="20" t="s">
        <v>250</v>
      </c>
      <c r="L17" s="20" t="s">
        <v>208</v>
      </c>
      <c r="M17" s="20" t="s">
        <v>209</v>
      </c>
      <c r="N17" s="20" t="s">
        <v>135</v>
      </c>
      <c r="O17" s="20" t="s">
        <v>136</v>
      </c>
      <c r="P17" s="20" t="s">
        <v>61</v>
      </c>
      <c r="Q17" s="20" t="s">
        <v>62</v>
      </c>
      <c r="R17" s="20" t="s">
        <v>251</v>
      </c>
      <c r="S17" s="20" t="s">
        <v>252</v>
      </c>
      <c r="T17" s="20" t="s">
        <v>253</v>
      </c>
      <c r="U17" s="20" t="s">
        <v>254</v>
      </c>
      <c r="V17" s="20" t="s">
        <v>67</v>
      </c>
      <c r="W17" s="20" t="s">
        <v>68</v>
      </c>
      <c r="X17" s="20" t="s">
        <v>69</v>
      </c>
      <c r="Y17" s="20" t="s">
        <v>70</v>
      </c>
      <c r="Z17" s="20" t="s">
        <v>177</v>
      </c>
      <c r="AA17" s="20" t="s">
        <v>198</v>
      </c>
      <c r="AB17" s="20" t="s">
        <v>77</v>
      </c>
      <c r="AC17" s="20" t="s">
        <v>77</v>
      </c>
      <c r="AD17" s="20" t="s">
        <v>77</v>
      </c>
      <c r="AE17" s="20"/>
      <c r="AF17" s="9" t="n">
        <v>0</v>
      </c>
      <c r="AG17" s="12" t="n">
        <v>0</v>
      </c>
      <c r="AH17" s="22" t="s">
        <v>268</v>
      </c>
      <c r="AI17" s="12" t="str">
        <f>IF(AH17="","",IFERROR(RIGHT("0000"&amp;AH17,4)&amp;" - "&amp;UPPER(_xlfn.XLOOKUP(RIGHT("0000"&amp;AH17,4),CODEBOOK_CAP!$C$2:$C$212,CODEBOOK_CAP!$D$2:$D$212)),"Código CAP não encontrado"))</f>
        <v>2002 - BUROCRACIA, EFICIÊNCIA E FUNCIONAMENTO DA ADMINISTRAÇÃO PÚBLICA</v>
      </c>
      <c r="AJ17" s="12" t="str">
        <f>IF(AH17="","",IFERROR(_xlfn.XLOOKUP(RIGHT("0000"&amp;AH17,4),CODEBOOK_CAP!$C$2:$C$212,CODEBOOK_CAP!$E$2:$E$212),"Código CAP não encontrado"))</f>
        <v>Assuntos relacionados aos modelos de administração pública, serviços público, burocracia, e eficiência dos serviços e do aparato público. Funcionamento e organização da administração Pública. Repartições, serviços. Atuação direta para o cidadão, POUPATEMPO, desburocratização da administração pública, informatização do setor público, oferta de serviços públicos online.</v>
      </c>
      <c r="AK17" s="22" t="s">
        <v>79</v>
      </c>
      <c r="AL17" s="26" t="s">
        <v>269</v>
      </c>
      <c r="AM17" s="22" t="s">
        <v>79</v>
      </c>
      <c r="AN17" s="22" t="s">
        <v>79</v>
      </c>
      <c r="AO17" s="12" t="s">
        <v>269</v>
      </c>
      <c r="AP17" s="22" t="s">
        <v>77</v>
      </c>
      <c r="AQ17" s="12"/>
      <c r="AR17" s="22" t="s">
        <v>77</v>
      </c>
      <c r="AS17" s="10"/>
      <c r="AT17" s="2" t="s">
        <v>82</v>
      </c>
      <c r="AU17" s="12" t="s">
        <v>83</v>
      </c>
      <c r="AV17" s="3" t="n">
        <v>46214</v>
      </c>
      <c r="AW17" s="21"/>
      <c r="AY17" s="1"/>
      <c r="BA17" s="1"/>
      <c r="BB17" s="1"/>
    </row>
    <row r="18" ht="75" customHeight="1">
      <c r="A18" s="20" t="s">
        <v>270</v>
      </c>
      <c r="B18" s="20" t="n">
        <v>2023</v>
      </c>
      <c r="C18" s="20" t="n">
        <v>541</v>
      </c>
      <c r="D18" s="20" t="s">
        <v>50</v>
      </c>
      <c r="E18" s="20" t="s">
        <v>222</v>
      </c>
      <c r="F18" s="20" t="s">
        <v>271</v>
      </c>
      <c r="G18" s="20" t="s">
        <v>183</v>
      </c>
      <c r="H18" s="20" t="s">
        <v>224</v>
      </c>
      <c r="I18" s="20"/>
      <c r="J18" s="20" t="s">
        <v>272</v>
      </c>
      <c r="K18" s="20" t="s">
        <v>273</v>
      </c>
      <c r="L18" s="20" t="s">
        <v>274</v>
      </c>
      <c r="M18" s="20" t="s">
        <v>275</v>
      </c>
      <c r="N18" s="20" t="s">
        <v>276</v>
      </c>
      <c r="O18" s="20" t="s">
        <v>277</v>
      </c>
      <c r="P18" s="20" t="s">
        <v>278</v>
      </c>
      <c r="Q18" s="20" t="s">
        <v>279</v>
      </c>
      <c r="R18" s="20" t="s">
        <v>280</v>
      </c>
      <c r="S18" s="20" t="s">
        <v>281</v>
      </c>
      <c r="T18" s="20" t="s">
        <v>282</v>
      </c>
      <c r="U18" s="20" t="s">
        <v>283</v>
      </c>
      <c r="V18" s="20" t="s">
        <v>95</v>
      </c>
      <c r="W18" s="20" t="s">
        <v>96</v>
      </c>
      <c r="X18" s="20" t="s">
        <v>97</v>
      </c>
      <c r="Y18" s="20" t="s">
        <v>70</v>
      </c>
      <c r="Z18" s="20" t="s">
        <v>284</v>
      </c>
      <c r="AA18" s="20" t="s">
        <v>285</v>
      </c>
      <c r="AB18" s="20" t="s">
        <v>77</v>
      </c>
      <c r="AC18" s="20" t="s">
        <v>77</v>
      </c>
      <c r="AD18" s="20" t="s">
        <v>77</v>
      </c>
      <c r="AE18" s="20"/>
      <c r="AF18" s="9" t="n">
        <v>0</v>
      </c>
      <c r="AG18" s="12" t="n">
        <v>0</v>
      </c>
      <c r="AH18" s="22" t="s">
        <v>143</v>
      </c>
      <c r="AI18" s="12" t="str">
        <f>IF(AH18="","",IFERROR(RIGHT("0000"&amp;AH18,4)&amp;" - "&amp;UPPER(_xlfn.XLOOKUP(RIGHT("0000"&amp;AH18,4),CODEBOOK_CAP!$C$2:$C$212,CODEBOOK_CAP!$D$2:$D$212)),"Código CAP não encontrado"))</f>
        <v>0502 - FORMAÇÃO E DESENVOLVIMENTO PROFISSIONAL</v>
      </c>
      <c r="AJ18" s="12" t="str">
        <f>IF(AH18="","",IFERROR(_xlfn.XLOOKUP(RIGHT("0000"&amp;AH18,4),CODEBOOK_CAP!$C$2:$C$212,CODEBOOK_CAP!$E$2:$E$212),"Código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18" s="22" t="s">
        <v>77</v>
      </c>
      <c r="AL18" s="26"/>
      <c r="AM18" s="22" t="s">
        <v>77</v>
      </c>
      <c r="AN18" s="22" t="s">
        <v>77</v>
      </c>
      <c r="AO18" s="12"/>
      <c r="AP18" s="22" t="s">
        <v>77</v>
      </c>
      <c r="AQ18" s="12"/>
      <c r="AR18" s="22" t="s">
        <v>77</v>
      </c>
      <c r="AS18" s="10"/>
      <c r="AT18" s="2" t="s">
        <v>82</v>
      </c>
      <c r="AU18" s="12" t="s">
        <v>83</v>
      </c>
      <c r="AV18" s="3" t="n">
        <v>46214</v>
      </c>
      <c r="AW18" s="21"/>
      <c r="AY18" s="1"/>
      <c r="BA18" s="1"/>
      <c r="BB18" s="1"/>
    </row>
    <row r="19" ht="195" customHeight="1">
      <c r="A19" s="20" t="s">
        <v>286</v>
      </c>
      <c r="B19" s="20" t="n">
        <v>2023</v>
      </c>
      <c r="C19" s="20" t="n">
        <v>542</v>
      </c>
      <c r="D19" s="20" t="s">
        <v>50</v>
      </c>
      <c r="E19" s="20" t="s">
        <v>222</v>
      </c>
      <c r="F19" s="20" t="s">
        <v>287</v>
      </c>
      <c r="G19" s="20" t="s">
        <v>86</v>
      </c>
      <c r="H19" s="20" t="s">
        <v>224</v>
      </c>
      <c r="I19" s="20"/>
      <c r="J19" s="20" t="s">
        <v>288</v>
      </c>
      <c r="K19" s="20" t="s">
        <v>289</v>
      </c>
      <c r="L19" s="20" t="s">
        <v>208</v>
      </c>
      <c r="M19" s="20" t="s">
        <v>209</v>
      </c>
      <c r="N19" s="20" t="s">
        <v>210</v>
      </c>
      <c r="O19" s="20" t="s">
        <v>211</v>
      </c>
      <c r="P19" s="20" t="s">
        <v>212</v>
      </c>
      <c r="Q19" s="20" t="s">
        <v>213</v>
      </c>
      <c r="R19" s="20" t="s">
        <v>251</v>
      </c>
      <c r="S19" s="20" t="s">
        <v>252</v>
      </c>
      <c r="T19" s="20" t="s">
        <v>290</v>
      </c>
      <c r="U19" s="20" t="s">
        <v>291</v>
      </c>
      <c r="V19" s="20" t="s">
        <v>67</v>
      </c>
      <c r="W19" s="20" t="s">
        <v>68</v>
      </c>
      <c r="X19" s="20" t="s">
        <v>69</v>
      </c>
      <c r="Y19" s="20" t="s">
        <v>70</v>
      </c>
      <c r="Z19" s="20" t="s">
        <v>177</v>
      </c>
      <c r="AA19" s="20" t="s">
        <v>292</v>
      </c>
      <c r="AB19" s="20" t="s">
        <v>293</v>
      </c>
      <c r="AC19" s="20" t="s">
        <v>293</v>
      </c>
      <c r="AD19" s="20" t="s">
        <v>293</v>
      </c>
      <c r="AE19" s="20"/>
      <c r="AF19" s="9" t="n">
        <v>0</v>
      </c>
      <c r="AG19" s="12" t="n">
        <v>0</v>
      </c>
      <c r="AH19" s="22" t="s">
        <v>294</v>
      </c>
      <c r="AI19" s="12" t="str">
        <f>IF(AH19="","",IFERROR(RIGHT("0000"&amp;AH19,4)&amp;" - "&amp;UPPER(_xlfn.XLOOKUP(RIGHT("0000"&amp;AH19,4),CODEBOOK_CAP!$C$2:$C$212,CODEBOOK_CAP!$D$2:$D$212)),"Código CAP não encontrado"))</f>
        <v>0711 - CONSERVAÇÃO DO SOLO, MAR, RIOS, PRAIAS E COSTAS</v>
      </c>
      <c r="AJ19" s="12" t="str">
        <f>IF(AH19="","",IFERROR(_xlfn.XLOOKUP(RIGHT("0000"&amp;AH19,4),CODEBOOK_CAP!$C$2:$C$212,CODEBOOK_CAP!$E$2:$E$212),"Código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19" s="22" t="s">
        <v>79</v>
      </c>
      <c r="AL19" s="26" t="s">
        <v>295</v>
      </c>
      <c r="AM19" s="22" t="s">
        <v>79</v>
      </c>
      <c r="AN19" s="22" t="s">
        <v>79</v>
      </c>
      <c r="AO19" s="12" t="s">
        <v>295</v>
      </c>
      <c r="AP19" s="22" t="s">
        <v>77</v>
      </c>
      <c r="AQ19" s="12"/>
      <c r="AR19" s="22" t="s">
        <v>77</v>
      </c>
      <c r="AS19" s="10"/>
      <c r="AT19" s="2" t="s">
        <v>82</v>
      </c>
      <c r="AU19" s="12" t="s">
        <v>83</v>
      </c>
      <c r="AV19" s="3" t="n">
        <v>46214</v>
      </c>
      <c r="AW19" s="21"/>
      <c r="AY19" s="1"/>
      <c r="BA19" s="1"/>
      <c r="BB19" s="1"/>
    </row>
    <row r="20" ht="75" customHeight="1">
      <c r="A20" s="20" t="s">
        <v>296</v>
      </c>
      <c r="B20" s="20" t="n">
        <v>2023</v>
      </c>
      <c r="C20" s="20" t="n">
        <v>543</v>
      </c>
      <c r="D20" s="20" t="s">
        <v>50</v>
      </c>
      <c r="E20" s="20" t="s">
        <v>222</v>
      </c>
      <c r="F20" s="20" t="s">
        <v>297</v>
      </c>
      <c r="G20" s="20" t="s">
        <v>86</v>
      </c>
      <c r="H20" s="20" t="s">
        <v>224</v>
      </c>
      <c r="I20" s="20"/>
      <c r="J20" s="20" t="s">
        <v>298</v>
      </c>
      <c r="K20" s="20" t="s">
        <v>299</v>
      </c>
      <c r="L20" s="20" t="s">
        <v>208</v>
      </c>
      <c r="M20" s="20" t="s">
        <v>209</v>
      </c>
      <c r="N20" s="20" t="s">
        <v>210</v>
      </c>
      <c r="O20" s="20" t="s">
        <v>211</v>
      </c>
      <c r="P20" s="20" t="s">
        <v>212</v>
      </c>
      <c r="Q20" s="20" t="s">
        <v>213</v>
      </c>
      <c r="R20" s="20" t="s">
        <v>251</v>
      </c>
      <c r="S20" s="20" t="s">
        <v>252</v>
      </c>
      <c r="T20" s="20" t="s">
        <v>300</v>
      </c>
      <c r="U20" s="20" t="s">
        <v>301</v>
      </c>
      <c r="V20" s="20" t="s">
        <v>67</v>
      </c>
      <c r="W20" s="20" t="s">
        <v>68</v>
      </c>
      <c r="X20" s="20" t="s">
        <v>69</v>
      </c>
      <c r="Y20" s="20" t="s">
        <v>70</v>
      </c>
      <c r="Z20" s="20" t="s">
        <v>177</v>
      </c>
      <c r="AA20" s="20" t="s">
        <v>302</v>
      </c>
      <c r="AB20" s="20" t="s">
        <v>303</v>
      </c>
      <c r="AC20" s="20" t="s">
        <v>303</v>
      </c>
      <c r="AD20" s="20" t="s">
        <v>303</v>
      </c>
      <c r="AE20" s="20"/>
      <c r="AF20" s="9" t="n">
        <v>0</v>
      </c>
      <c r="AG20" s="12" t="n">
        <v>0</v>
      </c>
      <c r="AH20" s="22" t="s">
        <v>304</v>
      </c>
      <c r="AI20" s="12" t="str">
        <f>IF(AH20="","",IFERROR(RIGHT("0000"&amp;AH20,4)&amp;" - "&amp;UPPER(_xlfn.XLOOKUP(RIGHT("0000"&amp;AH20,4),CODEBOOK_CAP!$C$2:$C$212,CODEBOOK_CAP!$D$2:$D$212)),"Código CAP não encontrado"))</f>
        <v>1403 - REABILITAÇÃO URBANA, ECONOMIA URBANA</v>
      </c>
      <c r="AJ20" s="12" t="str">
        <f>IF(AH20="","",IFERROR(_xlfn.XLOOKUP(RIGHT("0000"&amp;AH20,4),CODEBOOK_CAP!$C$2:$C$212,CODEBOOK_CAP!$E$2:$E$212),"Código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0" s="22" t="s">
        <v>79</v>
      </c>
      <c r="AL20" s="26" t="s">
        <v>305</v>
      </c>
      <c r="AM20" s="22" t="s">
        <v>79</v>
      </c>
      <c r="AN20" s="22" t="s">
        <v>79</v>
      </c>
      <c r="AO20" s="12" t="s">
        <v>305</v>
      </c>
      <c r="AP20" s="22" t="s">
        <v>77</v>
      </c>
      <c r="AQ20" s="12"/>
      <c r="AR20" s="22" t="s">
        <v>77</v>
      </c>
      <c r="AS20" s="10"/>
      <c r="AT20" s="2" t="s">
        <v>82</v>
      </c>
      <c r="AU20" s="12" t="s">
        <v>83</v>
      </c>
      <c r="AV20" s="3" t="n">
        <v>46214</v>
      </c>
      <c r="AW20" s="21"/>
      <c r="AY20" s="1"/>
      <c r="BA20" s="1"/>
      <c r="BB20" s="1"/>
    </row>
    <row r="21" ht="120" customHeight="1">
      <c r="A21" s="20" t="s">
        <v>306</v>
      </c>
      <c r="B21" s="20" t="n">
        <v>2023</v>
      </c>
      <c r="C21" s="20" t="n">
        <v>582</v>
      </c>
      <c r="D21" s="20" t="s">
        <v>50</v>
      </c>
      <c r="E21" s="20" t="s">
        <v>222</v>
      </c>
      <c r="F21" s="20" t="s">
        <v>307</v>
      </c>
      <c r="G21" s="20" t="s">
        <v>86</v>
      </c>
      <c r="H21" s="20" t="s">
        <v>224</v>
      </c>
      <c r="I21" s="20"/>
      <c r="J21" s="20" t="s">
        <v>308</v>
      </c>
      <c r="K21" s="20" t="s">
        <v>309</v>
      </c>
      <c r="L21" s="20" t="s">
        <v>57</v>
      </c>
      <c r="M21" s="20" t="s">
        <v>58</v>
      </c>
      <c r="N21" s="20" t="s">
        <v>59</v>
      </c>
      <c r="O21" s="20" t="s">
        <v>60</v>
      </c>
      <c r="P21" s="20" t="s">
        <v>227</v>
      </c>
      <c r="Q21" s="20" t="s">
        <v>228</v>
      </c>
      <c r="R21" s="20" t="s">
        <v>229</v>
      </c>
      <c r="S21" s="20" t="s">
        <v>230</v>
      </c>
      <c r="T21" s="20" t="s">
        <v>231</v>
      </c>
      <c r="U21" s="20" t="s">
        <v>230</v>
      </c>
      <c r="V21" s="20" t="s">
        <v>196</v>
      </c>
      <c r="W21" s="20" t="s">
        <v>68</v>
      </c>
      <c r="X21" s="20" t="s">
        <v>69</v>
      </c>
      <c r="Y21" s="20" t="s">
        <v>70</v>
      </c>
      <c r="Z21" s="20" t="s">
        <v>98</v>
      </c>
      <c r="AA21" s="20" t="s">
        <v>310</v>
      </c>
      <c r="AB21" s="20" t="s">
        <v>311</v>
      </c>
      <c r="AC21" s="20" t="s">
        <v>311</v>
      </c>
      <c r="AD21" s="20" t="s">
        <v>311</v>
      </c>
      <c r="AE21" s="20"/>
      <c r="AF21" s="9" t="n">
        <v>1</v>
      </c>
      <c r="AG21" s="12" t="n">
        <v>1</v>
      </c>
      <c r="AH21" s="22" t="s">
        <v>235</v>
      </c>
      <c r="AI21" s="12" t="str">
        <f>IF(AH21="","",IFERROR(RIGHT("0000"&amp;AH21,4)&amp;" - "&amp;UPPER(_xlfn.XLOOKUP(RIGHT("0000"&amp;AH21,4),CODEBOOK_CAP!$C$2:$C$212,CODEBOOK_CAP!$D$2:$D$212)),"Código CAP não encontrado"))</f>
        <v>0322 - ESTRUTURAS, HOSPITAIS, CLÍNICAS</v>
      </c>
      <c r="AJ21" s="12" t="str">
        <f>IF(AH21="","",IFERROR(_xlfn.XLOOKUP(RIGHT("0000"&amp;AH21,4),CODEBOOK_CAP!$C$2:$C$212,CODEBOOK_CAP!$E$2:$E$212),"Código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 s="22" t="s">
        <v>79</v>
      </c>
      <c r="AL21" s="26" t="s">
        <v>312</v>
      </c>
      <c r="AM21" s="22" t="s">
        <v>79</v>
      </c>
      <c r="AN21" s="22" t="s">
        <v>79</v>
      </c>
      <c r="AO21" s="12" t="s">
        <v>312</v>
      </c>
      <c r="AP21" s="22" t="s">
        <v>77</v>
      </c>
      <c r="AQ21" s="12"/>
      <c r="AR21" s="22" t="s">
        <v>77</v>
      </c>
      <c r="AS21" s="10"/>
      <c r="AT21" s="2" t="s">
        <v>82</v>
      </c>
      <c r="AU21" s="12" t="s">
        <v>83</v>
      </c>
      <c r="AV21" s="3" t="n">
        <v>46214</v>
      </c>
      <c r="AW21" s="21"/>
      <c r="AY21" s="1"/>
      <c r="BA21" s="1"/>
      <c r="BB21" s="1"/>
    </row>
    <row r="22" ht="120" customHeight="1">
      <c r="A22" s="20" t="s">
        <v>313</v>
      </c>
      <c r="B22" s="20" t="n">
        <v>2023</v>
      </c>
      <c r="C22" s="20" t="n">
        <v>589</v>
      </c>
      <c r="D22" s="20" t="s">
        <v>50</v>
      </c>
      <c r="E22" s="20" t="s">
        <v>222</v>
      </c>
      <c r="F22" s="20" t="s">
        <v>314</v>
      </c>
      <c r="G22" s="20" t="s">
        <v>315</v>
      </c>
      <c r="H22" s="20" t="s">
        <v>224</v>
      </c>
      <c r="I22" s="20"/>
      <c r="J22" s="20" t="s">
        <v>316</v>
      </c>
      <c r="K22" s="20" t="s">
        <v>309</v>
      </c>
      <c r="L22" s="20" t="s">
        <v>57</v>
      </c>
      <c r="M22" s="20" t="s">
        <v>58</v>
      </c>
      <c r="N22" s="20" t="s">
        <v>59</v>
      </c>
      <c r="O22" s="20" t="s">
        <v>60</v>
      </c>
      <c r="P22" s="20" t="s">
        <v>227</v>
      </c>
      <c r="Q22" s="20" t="s">
        <v>228</v>
      </c>
      <c r="R22" s="20" t="s">
        <v>229</v>
      </c>
      <c r="S22" s="20" t="s">
        <v>230</v>
      </c>
      <c r="T22" s="20" t="s">
        <v>231</v>
      </c>
      <c r="U22" s="20" t="s">
        <v>230</v>
      </c>
      <c r="V22" s="20" t="s">
        <v>196</v>
      </c>
      <c r="W22" s="20" t="s">
        <v>68</v>
      </c>
      <c r="X22" s="20" t="s">
        <v>69</v>
      </c>
      <c r="Y22" s="20" t="s">
        <v>70</v>
      </c>
      <c r="Z22" s="20" t="s">
        <v>98</v>
      </c>
      <c r="AA22" s="20" t="s">
        <v>317</v>
      </c>
      <c r="AB22" s="20" t="s">
        <v>318</v>
      </c>
      <c r="AC22" s="20" t="s">
        <v>319</v>
      </c>
      <c r="AD22" s="20" t="s">
        <v>319</v>
      </c>
      <c r="AE22" s="20" t="s">
        <v>320</v>
      </c>
      <c r="AF22" s="9" t="n">
        <v>1</v>
      </c>
      <c r="AG22" s="12" t="n">
        <v>1</v>
      </c>
      <c r="AH22" s="22" t="s">
        <v>235</v>
      </c>
      <c r="AI22" s="12" t="str">
        <f>IF(AH22="","",IFERROR(RIGHT("0000"&amp;AH22,4)&amp;" - "&amp;UPPER(_xlfn.XLOOKUP(RIGHT("0000"&amp;AH22,4),CODEBOOK_CAP!$C$2:$C$212,CODEBOOK_CAP!$D$2:$D$212)),"Código CAP não encontrado"))</f>
        <v>0322 - ESTRUTURAS, HOSPITAIS, CLÍNICAS</v>
      </c>
      <c r="AJ22" s="12" t="str">
        <f>IF(AH22="","",IFERROR(_xlfn.XLOOKUP(RIGHT("0000"&amp;AH22,4),CODEBOOK_CAP!$C$2:$C$212,CODEBOOK_CAP!$E$2:$E$212),"Código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 s="22" t="s">
        <v>79</v>
      </c>
      <c r="AL22" s="26" t="s">
        <v>321</v>
      </c>
      <c r="AM22" s="22" t="s">
        <v>79</v>
      </c>
      <c r="AN22" s="22" t="s">
        <v>79</v>
      </c>
      <c r="AO22" s="12" t="s">
        <v>321</v>
      </c>
      <c r="AP22" s="22" t="s">
        <v>77</v>
      </c>
      <c r="AQ22" s="12"/>
      <c r="AR22" s="22" t="s">
        <v>79</v>
      </c>
      <c r="AS22" s="13" t="s">
        <v>320</v>
      </c>
      <c r="AT22" s="2" t="s">
        <v>82</v>
      </c>
      <c r="AU22" s="12" t="s">
        <v>83</v>
      </c>
      <c r="AV22" s="3" t="n">
        <v>46214</v>
      </c>
      <c r="AW22" s="21"/>
      <c r="AY22" s="1"/>
      <c r="BA22" s="1"/>
      <c r="BB22" s="1"/>
    </row>
    <row r="23" ht="120" customHeight="1">
      <c r="A23" s="20" t="s">
        <v>322</v>
      </c>
      <c r="B23" s="20" t="n">
        <v>2023</v>
      </c>
      <c r="C23" s="20" t="n">
        <v>590</v>
      </c>
      <c r="D23" s="20" t="s">
        <v>50</v>
      </c>
      <c r="E23" s="20" t="s">
        <v>222</v>
      </c>
      <c r="F23" s="20" t="s">
        <v>323</v>
      </c>
      <c r="G23" s="20" t="s">
        <v>315</v>
      </c>
      <c r="H23" s="20" t="s">
        <v>224</v>
      </c>
      <c r="I23" s="20"/>
      <c r="J23" s="20" t="s">
        <v>324</v>
      </c>
      <c r="K23" s="20" t="s">
        <v>309</v>
      </c>
      <c r="L23" s="20" t="s">
        <v>57</v>
      </c>
      <c r="M23" s="20" t="s">
        <v>58</v>
      </c>
      <c r="N23" s="20" t="s">
        <v>59</v>
      </c>
      <c r="O23" s="20" t="s">
        <v>60</v>
      </c>
      <c r="P23" s="20" t="s">
        <v>227</v>
      </c>
      <c r="Q23" s="20" t="s">
        <v>228</v>
      </c>
      <c r="R23" s="20" t="s">
        <v>229</v>
      </c>
      <c r="S23" s="20" t="s">
        <v>230</v>
      </c>
      <c r="T23" s="20" t="s">
        <v>231</v>
      </c>
      <c r="U23" s="20" t="s">
        <v>230</v>
      </c>
      <c r="V23" s="20" t="s">
        <v>196</v>
      </c>
      <c r="W23" s="20" t="s">
        <v>68</v>
      </c>
      <c r="X23" s="20" t="s">
        <v>69</v>
      </c>
      <c r="Y23" s="20" t="s">
        <v>70</v>
      </c>
      <c r="Z23" s="20" t="s">
        <v>98</v>
      </c>
      <c r="AA23" s="20" t="s">
        <v>325</v>
      </c>
      <c r="AB23" s="20" t="s">
        <v>326</v>
      </c>
      <c r="AC23" s="20" t="s">
        <v>327</v>
      </c>
      <c r="AD23" s="20" t="s">
        <v>327</v>
      </c>
      <c r="AE23" s="20" t="s">
        <v>328</v>
      </c>
      <c r="AF23" s="9" t="n">
        <v>1</v>
      </c>
      <c r="AG23" s="12" t="n">
        <v>1</v>
      </c>
      <c r="AH23" s="22" t="s">
        <v>235</v>
      </c>
      <c r="AI23" s="12" t="str">
        <f>IF(AH23="","",IFERROR(RIGHT("0000"&amp;AH23,4)&amp;" - "&amp;UPPER(_xlfn.XLOOKUP(RIGHT("0000"&amp;AH23,4),CODEBOOK_CAP!$C$2:$C$212,CODEBOOK_CAP!$D$2:$D$212)),"Código CAP não encontrado"))</f>
        <v>0322 - ESTRUTURAS, HOSPITAIS, CLÍNICAS</v>
      </c>
      <c r="AJ23" s="12" t="str">
        <f>IF(AH23="","",IFERROR(_xlfn.XLOOKUP(RIGHT("0000"&amp;AH23,4),CODEBOOK_CAP!$C$2:$C$212,CODEBOOK_CAP!$E$2:$E$212),"Código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3" s="22" t="s">
        <v>79</v>
      </c>
      <c r="AL23" s="26" t="s">
        <v>329</v>
      </c>
      <c r="AM23" s="22" t="s">
        <v>79</v>
      </c>
      <c r="AN23" s="22" t="s">
        <v>79</v>
      </c>
      <c r="AO23" s="12" t="s">
        <v>329</v>
      </c>
      <c r="AP23" s="22" t="s">
        <v>77</v>
      </c>
      <c r="AQ23" s="12"/>
      <c r="AR23" s="22" t="s">
        <v>79</v>
      </c>
      <c r="AS23" s="10" t="s">
        <v>328</v>
      </c>
      <c r="AT23" s="2" t="s">
        <v>82</v>
      </c>
      <c r="AU23" s="12" t="s">
        <v>83</v>
      </c>
      <c r="AV23" s="3" t="n">
        <v>46214</v>
      </c>
      <c r="AW23" s="21"/>
      <c r="AY23" s="1"/>
      <c r="BA23" s="1"/>
      <c r="BB23" s="1"/>
    </row>
    <row r="24" ht="120" customHeight="1">
      <c r="A24" s="20" t="s">
        <v>330</v>
      </c>
      <c r="B24" s="20" t="n">
        <v>2023</v>
      </c>
      <c r="C24" s="20" t="n">
        <v>591</v>
      </c>
      <c r="D24" s="20" t="s">
        <v>50</v>
      </c>
      <c r="E24" s="20" t="s">
        <v>222</v>
      </c>
      <c r="F24" s="20" t="s">
        <v>190</v>
      </c>
      <c r="G24" s="20" t="s">
        <v>315</v>
      </c>
      <c r="H24" s="20" t="s">
        <v>224</v>
      </c>
      <c r="I24" s="20"/>
      <c r="J24" s="20" t="s">
        <v>331</v>
      </c>
      <c r="K24" s="20" t="s">
        <v>309</v>
      </c>
      <c r="L24" s="20" t="s">
        <v>57</v>
      </c>
      <c r="M24" s="20" t="s">
        <v>58</v>
      </c>
      <c r="N24" s="20" t="s">
        <v>59</v>
      </c>
      <c r="O24" s="20" t="s">
        <v>60</v>
      </c>
      <c r="P24" s="20" t="s">
        <v>227</v>
      </c>
      <c r="Q24" s="20" t="s">
        <v>228</v>
      </c>
      <c r="R24" s="20" t="s">
        <v>229</v>
      </c>
      <c r="S24" s="20" t="s">
        <v>230</v>
      </c>
      <c r="T24" s="20" t="s">
        <v>231</v>
      </c>
      <c r="U24" s="20" t="s">
        <v>230</v>
      </c>
      <c r="V24" s="20" t="s">
        <v>196</v>
      </c>
      <c r="W24" s="20" t="s">
        <v>68</v>
      </c>
      <c r="X24" s="20" t="s">
        <v>69</v>
      </c>
      <c r="Y24" s="20" t="s">
        <v>70</v>
      </c>
      <c r="Z24" s="20" t="s">
        <v>98</v>
      </c>
      <c r="AA24" s="20" t="s">
        <v>332</v>
      </c>
      <c r="AB24" s="20" t="s">
        <v>333</v>
      </c>
      <c r="AC24" s="20" t="s">
        <v>334</v>
      </c>
      <c r="AD24" s="20" t="s">
        <v>334</v>
      </c>
      <c r="AE24" s="20" t="s">
        <v>335</v>
      </c>
      <c r="AF24" s="9" t="n">
        <v>1</v>
      </c>
      <c r="AG24" s="12" t="n">
        <v>1</v>
      </c>
      <c r="AH24" s="22" t="s">
        <v>235</v>
      </c>
      <c r="AI24" s="12" t="str">
        <f>IF(AH24="","",IFERROR(RIGHT("0000"&amp;AH24,4)&amp;" - "&amp;UPPER(_xlfn.XLOOKUP(RIGHT("0000"&amp;AH24,4),CODEBOOK_CAP!$C$2:$C$212,CODEBOOK_CAP!$D$2:$D$212)),"Código CAP não encontrado"))</f>
        <v>0322 - ESTRUTURAS, HOSPITAIS, CLÍNICAS</v>
      </c>
      <c r="AJ24" s="12" t="str">
        <f>IF(AH24="","",IFERROR(_xlfn.XLOOKUP(RIGHT("0000"&amp;AH24,4),CODEBOOK_CAP!$C$2:$C$212,CODEBOOK_CAP!$E$2:$E$212),"Código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 s="22" t="s">
        <v>79</v>
      </c>
      <c r="AL24" s="26" t="s">
        <v>336</v>
      </c>
      <c r="AM24" s="22" t="s">
        <v>79</v>
      </c>
      <c r="AN24" s="22" t="s">
        <v>79</v>
      </c>
      <c r="AO24" s="12" t="s">
        <v>336</v>
      </c>
      <c r="AP24" s="22" t="s">
        <v>77</v>
      </c>
      <c r="AQ24" s="12"/>
      <c r="AR24" s="22" t="s">
        <v>79</v>
      </c>
      <c r="AS24" s="10" t="s">
        <v>335</v>
      </c>
      <c r="AT24" s="2" t="s">
        <v>82</v>
      </c>
      <c r="AU24" s="12" t="s">
        <v>83</v>
      </c>
      <c r="AV24" s="3" t="n">
        <v>46214</v>
      </c>
      <c r="AW24" s="21"/>
      <c r="AY24" s="1"/>
      <c r="BA24" s="1"/>
      <c r="BB24" s="1"/>
    </row>
    <row r="25" ht="120" customHeight="1">
      <c r="A25" s="20" t="s">
        <v>337</v>
      </c>
      <c r="B25" s="20" t="n">
        <v>2023</v>
      </c>
      <c r="C25" s="20" t="n">
        <v>592</v>
      </c>
      <c r="D25" s="20" t="s">
        <v>50</v>
      </c>
      <c r="E25" s="20" t="s">
        <v>222</v>
      </c>
      <c r="F25" s="20" t="s">
        <v>338</v>
      </c>
      <c r="G25" s="20" t="s">
        <v>315</v>
      </c>
      <c r="H25" s="20" t="s">
        <v>224</v>
      </c>
      <c r="I25" s="20"/>
      <c r="J25" s="20" t="s">
        <v>339</v>
      </c>
      <c r="K25" s="20" t="s">
        <v>340</v>
      </c>
      <c r="L25" s="20" t="s">
        <v>57</v>
      </c>
      <c r="M25" s="20" t="s">
        <v>58</v>
      </c>
      <c r="N25" s="20" t="s">
        <v>59</v>
      </c>
      <c r="O25" s="20" t="s">
        <v>60</v>
      </c>
      <c r="P25" s="20" t="s">
        <v>89</v>
      </c>
      <c r="Q25" s="20" t="s">
        <v>90</v>
      </c>
      <c r="R25" s="20" t="s">
        <v>91</v>
      </c>
      <c r="S25" s="20" t="s">
        <v>92</v>
      </c>
      <c r="T25" s="20" t="s">
        <v>341</v>
      </c>
      <c r="U25" s="20" t="s">
        <v>342</v>
      </c>
      <c r="V25" s="20" t="s">
        <v>196</v>
      </c>
      <c r="W25" s="20" t="s">
        <v>68</v>
      </c>
      <c r="X25" s="20" t="s">
        <v>69</v>
      </c>
      <c r="Y25" s="20" t="s">
        <v>70</v>
      </c>
      <c r="Z25" s="20" t="s">
        <v>98</v>
      </c>
      <c r="AA25" s="20" t="s">
        <v>343</v>
      </c>
      <c r="AB25" s="20" t="s">
        <v>344</v>
      </c>
      <c r="AC25" s="20" t="s">
        <v>345</v>
      </c>
      <c r="AD25" s="20" t="s">
        <v>345</v>
      </c>
      <c r="AE25" s="20" t="s">
        <v>346</v>
      </c>
      <c r="AF25" s="9" t="n">
        <v>1</v>
      </c>
      <c r="AG25" s="12" t="n">
        <v>1</v>
      </c>
      <c r="AH25" s="22" t="s">
        <v>235</v>
      </c>
      <c r="AI25" s="12" t="str">
        <f>IF(AH25="","",IFERROR(RIGHT("0000"&amp;AH25,4)&amp;" - "&amp;UPPER(_xlfn.XLOOKUP(RIGHT("0000"&amp;AH25,4),CODEBOOK_CAP!$C$2:$C$212,CODEBOOK_CAP!$D$2:$D$212)),"Código CAP não encontrado"))</f>
        <v>0322 - ESTRUTURAS, HOSPITAIS, CLÍNICAS</v>
      </c>
      <c r="AJ25" s="12" t="str">
        <f>IF(AH25="","",IFERROR(_xlfn.XLOOKUP(RIGHT("0000"&amp;AH25,4),CODEBOOK_CAP!$C$2:$C$212,CODEBOOK_CAP!$E$2:$E$212),"Código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 s="22" t="s">
        <v>79</v>
      </c>
      <c r="AL25" s="26" t="s">
        <v>347</v>
      </c>
      <c r="AM25" s="22" t="s">
        <v>79</v>
      </c>
      <c r="AN25" s="22" t="s">
        <v>79</v>
      </c>
      <c r="AO25" s="12" t="s">
        <v>347</v>
      </c>
      <c r="AP25" s="22" t="s">
        <v>79</v>
      </c>
      <c r="AQ25" s="12" t="s">
        <v>180</v>
      </c>
      <c r="AR25" s="22" t="s">
        <v>79</v>
      </c>
      <c r="AS25" s="4" t="s">
        <v>346</v>
      </c>
      <c r="AT25" s="2" t="s">
        <v>82</v>
      </c>
      <c r="AU25" s="12" t="s">
        <v>83</v>
      </c>
      <c r="AV25" s="3" t="n">
        <v>46214</v>
      </c>
      <c r="AW25" s="21"/>
      <c r="AY25" s="1"/>
      <c r="BA25" s="1"/>
      <c r="BB25" s="1"/>
    </row>
    <row r="26" ht="120" customHeight="1">
      <c r="A26" s="20" t="s">
        <v>348</v>
      </c>
      <c r="B26" s="20" t="n">
        <v>2023</v>
      </c>
      <c r="C26" s="20" t="n">
        <v>593</v>
      </c>
      <c r="D26" s="20" t="s">
        <v>50</v>
      </c>
      <c r="E26" s="20" t="s">
        <v>222</v>
      </c>
      <c r="F26" s="20" t="s">
        <v>349</v>
      </c>
      <c r="G26" s="20" t="s">
        <v>86</v>
      </c>
      <c r="H26" s="20" t="s">
        <v>224</v>
      </c>
      <c r="I26" s="20"/>
      <c r="J26" s="20" t="s">
        <v>350</v>
      </c>
      <c r="K26" s="20" t="s">
        <v>56</v>
      </c>
      <c r="L26" s="20" t="s">
        <v>57</v>
      </c>
      <c r="M26" s="20" t="s">
        <v>58</v>
      </c>
      <c r="N26" s="20" t="s">
        <v>59</v>
      </c>
      <c r="O26" s="20" t="s">
        <v>60</v>
      </c>
      <c r="P26" s="20" t="s">
        <v>61</v>
      </c>
      <c r="Q26" s="20" t="s">
        <v>62</v>
      </c>
      <c r="R26" s="20" t="s">
        <v>63</v>
      </c>
      <c r="S26" s="20" t="s">
        <v>64</v>
      </c>
      <c r="T26" s="20" t="s">
        <v>65</v>
      </c>
      <c r="U26" s="20" t="s">
        <v>66</v>
      </c>
      <c r="V26" s="20" t="s">
        <v>67</v>
      </c>
      <c r="W26" s="20" t="s">
        <v>68</v>
      </c>
      <c r="X26" s="20" t="s">
        <v>69</v>
      </c>
      <c r="Y26" s="20" t="s">
        <v>70</v>
      </c>
      <c r="Z26" s="20" t="s">
        <v>71</v>
      </c>
      <c r="AA26" s="20" t="s">
        <v>351</v>
      </c>
      <c r="AB26" s="20" t="s">
        <v>352</v>
      </c>
      <c r="AC26" s="20" t="s">
        <v>352</v>
      </c>
      <c r="AD26" s="20" t="s">
        <v>352</v>
      </c>
      <c r="AE26" s="20"/>
      <c r="AF26" s="9" t="n">
        <v>1</v>
      </c>
      <c r="AG26" s="12" t="n">
        <v>1</v>
      </c>
      <c r="AH26" s="22" t="s">
        <v>235</v>
      </c>
      <c r="AI26" s="12" t="str">
        <f>IF(AH26="","",IFERROR(RIGHT("0000"&amp;AH26,4)&amp;" - "&amp;UPPER(_xlfn.XLOOKUP(RIGHT("0000"&amp;AH26,4),CODEBOOK_CAP!$C$2:$C$212,CODEBOOK_CAP!$D$2:$D$212)),"Código CAP não encontrado"))</f>
        <v>0322 - ESTRUTURAS, HOSPITAIS, CLÍNICAS</v>
      </c>
      <c r="AJ26" s="12" t="str">
        <f>IF(AH26="","",IFERROR(_xlfn.XLOOKUP(RIGHT("0000"&amp;AH26,4),CODEBOOK_CAP!$C$2:$C$212,CODEBOOK_CAP!$E$2:$E$212),"Código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 s="22" t="s">
        <v>79</v>
      </c>
      <c r="AL26" s="26" t="s">
        <v>353</v>
      </c>
      <c r="AM26" s="22" t="s">
        <v>79</v>
      </c>
      <c r="AN26" s="22" t="s">
        <v>79</v>
      </c>
      <c r="AO26" s="12" t="s">
        <v>353</v>
      </c>
      <c r="AP26" s="22" t="s">
        <v>77</v>
      </c>
      <c r="AQ26" s="12"/>
      <c r="AR26" s="22" t="s">
        <v>77</v>
      </c>
      <c r="AS26" s="10"/>
      <c r="AT26" s="2" t="s">
        <v>82</v>
      </c>
      <c r="AU26" s="12" t="s">
        <v>83</v>
      </c>
      <c r="AV26" s="3" t="n">
        <v>46214</v>
      </c>
      <c r="AW26" s="21"/>
      <c r="AY26" s="1"/>
      <c r="BA26" s="1"/>
      <c r="BB26" s="1"/>
    </row>
    <row r="27" ht="120" customHeight="1">
      <c r="A27" s="20" t="s">
        <v>354</v>
      </c>
      <c r="B27" s="20" t="n">
        <v>2023</v>
      </c>
      <c r="C27" s="20" t="n">
        <v>594</v>
      </c>
      <c r="D27" s="20" t="s">
        <v>50</v>
      </c>
      <c r="E27" s="20" t="s">
        <v>222</v>
      </c>
      <c r="F27" s="20" t="s">
        <v>355</v>
      </c>
      <c r="G27" s="20" t="s">
        <v>86</v>
      </c>
      <c r="H27" s="20" t="s">
        <v>224</v>
      </c>
      <c r="I27" s="20"/>
      <c r="J27" s="20" t="s">
        <v>356</v>
      </c>
      <c r="K27" s="20" t="s">
        <v>56</v>
      </c>
      <c r="L27" s="20" t="s">
        <v>57</v>
      </c>
      <c r="M27" s="20" t="s">
        <v>58</v>
      </c>
      <c r="N27" s="20" t="s">
        <v>59</v>
      </c>
      <c r="O27" s="20" t="s">
        <v>60</v>
      </c>
      <c r="P27" s="20" t="s">
        <v>61</v>
      </c>
      <c r="Q27" s="20" t="s">
        <v>62</v>
      </c>
      <c r="R27" s="20" t="s">
        <v>63</v>
      </c>
      <c r="S27" s="20" t="s">
        <v>64</v>
      </c>
      <c r="T27" s="20" t="s">
        <v>65</v>
      </c>
      <c r="U27" s="20" t="s">
        <v>66</v>
      </c>
      <c r="V27" s="20" t="s">
        <v>67</v>
      </c>
      <c r="W27" s="20" t="s">
        <v>68</v>
      </c>
      <c r="X27" s="20" t="s">
        <v>69</v>
      </c>
      <c r="Y27" s="20" t="s">
        <v>70</v>
      </c>
      <c r="Z27" s="20" t="s">
        <v>71</v>
      </c>
      <c r="AA27" s="20" t="s">
        <v>357</v>
      </c>
      <c r="AB27" s="20" t="s">
        <v>77</v>
      </c>
      <c r="AC27" s="20" t="s">
        <v>77</v>
      </c>
      <c r="AD27" s="20" t="s">
        <v>77</v>
      </c>
      <c r="AE27" s="20"/>
      <c r="AF27" s="9" t="n">
        <v>1</v>
      </c>
      <c r="AG27" s="12" t="n">
        <v>1</v>
      </c>
      <c r="AH27" s="22" t="s">
        <v>235</v>
      </c>
      <c r="AI27" s="12" t="str">
        <f>IF(AH27="","",IFERROR(RIGHT("0000"&amp;AH27,4)&amp;" - "&amp;UPPER(_xlfn.XLOOKUP(RIGHT("0000"&amp;AH27,4),CODEBOOK_CAP!$C$2:$C$212,CODEBOOK_CAP!$D$2:$D$212)),"Código CAP não encontrado"))</f>
        <v>0322 - ESTRUTURAS, HOSPITAIS, CLÍNICAS</v>
      </c>
      <c r="AJ27" s="12" t="str">
        <f>IF(AH27="","",IFERROR(_xlfn.XLOOKUP(RIGHT("0000"&amp;AH27,4),CODEBOOK_CAP!$C$2:$C$212,CODEBOOK_CAP!$E$2:$E$212),"Código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 s="22" t="s">
        <v>79</v>
      </c>
      <c r="AL27" s="26" t="s">
        <v>358</v>
      </c>
      <c r="AM27" s="22" t="s">
        <v>79</v>
      </c>
      <c r="AN27" s="22" t="s">
        <v>79</v>
      </c>
      <c r="AO27" s="12" t="s">
        <v>359</v>
      </c>
      <c r="AP27" s="22" t="s">
        <v>77</v>
      </c>
      <c r="AQ27" s="12"/>
      <c r="AR27" s="22" t="s">
        <v>77</v>
      </c>
      <c r="AS27" s="10"/>
      <c r="AT27" s="2" t="s">
        <v>82</v>
      </c>
      <c r="AU27" s="12" t="s">
        <v>83</v>
      </c>
      <c r="AV27" s="3" t="n">
        <v>46214</v>
      </c>
      <c r="AW27" s="21"/>
      <c r="AY27" s="1"/>
      <c r="BA27" s="1"/>
      <c r="BB27" s="1"/>
    </row>
    <row r="28" ht="120" customHeight="1">
      <c r="A28" s="20" t="s">
        <v>360</v>
      </c>
      <c r="B28" s="20" t="n">
        <v>2023</v>
      </c>
      <c r="C28" s="20" t="n">
        <v>595</v>
      </c>
      <c r="D28" s="20" t="s">
        <v>50</v>
      </c>
      <c r="E28" s="20" t="s">
        <v>222</v>
      </c>
      <c r="F28" s="20" t="s">
        <v>361</v>
      </c>
      <c r="G28" s="20" t="s">
        <v>315</v>
      </c>
      <c r="H28" s="20" t="s">
        <v>224</v>
      </c>
      <c r="I28" s="20"/>
      <c r="J28" s="20" t="s">
        <v>362</v>
      </c>
      <c r="K28" s="20" t="s">
        <v>309</v>
      </c>
      <c r="L28" s="20" t="s">
        <v>57</v>
      </c>
      <c r="M28" s="20" t="s">
        <v>58</v>
      </c>
      <c r="N28" s="20" t="s">
        <v>59</v>
      </c>
      <c r="O28" s="20" t="s">
        <v>60</v>
      </c>
      <c r="P28" s="20" t="s">
        <v>227</v>
      </c>
      <c r="Q28" s="20" t="s">
        <v>228</v>
      </c>
      <c r="R28" s="20" t="s">
        <v>229</v>
      </c>
      <c r="S28" s="20" t="s">
        <v>230</v>
      </c>
      <c r="T28" s="20" t="s">
        <v>231</v>
      </c>
      <c r="U28" s="20" t="s">
        <v>230</v>
      </c>
      <c r="V28" s="20" t="s">
        <v>196</v>
      </c>
      <c r="W28" s="20" t="s">
        <v>68</v>
      </c>
      <c r="X28" s="20" t="s">
        <v>69</v>
      </c>
      <c r="Y28" s="20" t="s">
        <v>70</v>
      </c>
      <c r="Z28" s="20" t="s">
        <v>98</v>
      </c>
      <c r="AA28" s="20" t="s">
        <v>363</v>
      </c>
      <c r="AB28" s="20" t="s">
        <v>364</v>
      </c>
      <c r="AC28" s="20" t="s">
        <v>365</v>
      </c>
      <c r="AD28" s="20" t="s">
        <v>365</v>
      </c>
      <c r="AE28" s="20" t="s">
        <v>366</v>
      </c>
      <c r="AF28" s="9" t="n">
        <v>1</v>
      </c>
      <c r="AG28" s="12" t="n">
        <v>1</v>
      </c>
      <c r="AH28" s="22" t="s">
        <v>235</v>
      </c>
      <c r="AI28" s="12" t="str">
        <f>IF(AH28="","",IFERROR(RIGHT("0000"&amp;AH28,4)&amp;" - "&amp;UPPER(_xlfn.XLOOKUP(RIGHT("0000"&amp;AH28,4),CODEBOOK_CAP!$C$2:$C$212,CODEBOOK_CAP!$D$2:$D$212)),"Código CAP não encontrado"))</f>
        <v>0322 - ESTRUTURAS, HOSPITAIS, CLÍNICAS</v>
      </c>
      <c r="AJ28" s="12" t="str">
        <f>IF(AH28="","",IFERROR(_xlfn.XLOOKUP(RIGHT("0000"&amp;AH28,4),CODEBOOK_CAP!$C$2:$C$212,CODEBOOK_CAP!$E$2:$E$212),"Código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 s="22" t="s">
        <v>79</v>
      </c>
      <c r="AL28" s="26" t="s">
        <v>367</v>
      </c>
      <c r="AM28" s="22" t="s">
        <v>79</v>
      </c>
      <c r="AN28" s="22" t="s">
        <v>79</v>
      </c>
      <c r="AO28" s="12" t="s">
        <v>368</v>
      </c>
      <c r="AP28" s="22" t="s">
        <v>77</v>
      </c>
      <c r="AQ28" s="12"/>
      <c r="AR28" s="22" t="s">
        <v>79</v>
      </c>
      <c r="AS28" s="10" t="s">
        <v>366</v>
      </c>
      <c r="AT28" s="2" t="s">
        <v>82</v>
      </c>
      <c r="AU28" s="12" t="s">
        <v>83</v>
      </c>
      <c r="AV28" s="3" t="n">
        <v>46214</v>
      </c>
      <c r="AW28" s="21"/>
      <c r="AY28" s="1"/>
      <c r="BA28" s="1"/>
      <c r="BB28" s="1"/>
    </row>
    <row r="29" ht="120" customHeight="1">
      <c r="A29" s="20" t="s">
        <v>369</v>
      </c>
      <c r="B29" s="20" t="n">
        <v>2023</v>
      </c>
      <c r="C29" s="20" t="n">
        <v>596</v>
      </c>
      <c r="D29" s="20" t="s">
        <v>50</v>
      </c>
      <c r="E29" s="20" t="s">
        <v>222</v>
      </c>
      <c r="F29" s="20" t="s">
        <v>370</v>
      </c>
      <c r="G29" s="20" t="s">
        <v>183</v>
      </c>
      <c r="H29" s="20" t="s">
        <v>224</v>
      </c>
      <c r="I29" s="20"/>
      <c r="J29" s="20" t="s">
        <v>371</v>
      </c>
      <c r="K29" s="20" t="s">
        <v>56</v>
      </c>
      <c r="L29" s="20" t="s">
        <v>57</v>
      </c>
      <c r="M29" s="20" t="s">
        <v>58</v>
      </c>
      <c r="N29" s="20" t="s">
        <v>59</v>
      </c>
      <c r="O29" s="20" t="s">
        <v>60</v>
      </c>
      <c r="P29" s="20" t="s">
        <v>61</v>
      </c>
      <c r="Q29" s="20" t="s">
        <v>62</v>
      </c>
      <c r="R29" s="20" t="s">
        <v>63</v>
      </c>
      <c r="S29" s="20" t="s">
        <v>64</v>
      </c>
      <c r="T29" s="20" t="s">
        <v>65</v>
      </c>
      <c r="U29" s="20" t="s">
        <v>66</v>
      </c>
      <c r="V29" s="20" t="s">
        <v>67</v>
      </c>
      <c r="W29" s="20" t="s">
        <v>68</v>
      </c>
      <c r="X29" s="20" t="s">
        <v>69</v>
      </c>
      <c r="Y29" s="20" t="s">
        <v>70</v>
      </c>
      <c r="Z29" s="20" t="s">
        <v>71</v>
      </c>
      <c r="AA29" s="20" t="s">
        <v>372</v>
      </c>
      <c r="AB29" s="20" t="s">
        <v>77</v>
      </c>
      <c r="AC29" s="20" t="s">
        <v>77</v>
      </c>
      <c r="AD29" s="20" t="s">
        <v>77</v>
      </c>
      <c r="AE29" s="20"/>
      <c r="AF29" s="9" t="n">
        <v>1</v>
      </c>
      <c r="AG29" s="12" t="n">
        <v>1</v>
      </c>
      <c r="AH29" s="22" t="s">
        <v>235</v>
      </c>
      <c r="AI29" s="12" t="str">
        <f>IF(AH29="","",IFERROR(RIGHT("0000"&amp;AH29,4)&amp;" - "&amp;UPPER(_xlfn.XLOOKUP(RIGHT("0000"&amp;AH29,4),CODEBOOK_CAP!$C$2:$C$212,CODEBOOK_CAP!$D$2:$D$212)),"Código CAP não encontrado"))</f>
        <v>0322 - ESTRUTURAS, HOSPITAIS, CLÍNICAS</v>
      </c>
      <c r="AJ29" s="12" t="str">
        <f>IF(AH29="","",IFERROR(_xlfn.XLOOKUP(RIGHT("0000"&amp;AH29,4),CODEBOOK_CAP!$C$2:$C$212,CODEBOOK_CAP!$E$2:$E$212),"Código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 s="22" t="s">
        <v>79</v>
      </c>
      <c r="AL29" s="26" t="s">
        <v>373</v>
      </c>
      <c r="AM29" s="22" t="s">
        <v>79</v>
      </c>
      <c r="AN29" s="22" t="s">
        <v>79</v>
      </c>
      <c r="AO29" s="12" t="s">
        <v>374</v>
      </c>
      <c r="AP29" s="22" t="s">
        <v>77</v>
      </c>
      <c r="AQ29" s="12"/>
      <c r="AR29" s="22" t="s">
        <v>77</v>
      </c>
      <c r="AS29" s="10"/>
      <c r="AT29" s="2" t="s">
        <v>82</v>
      </c>
      <c r="AU29" s="12" t="s">
        <v>83</v>
      </c>
      <c r="AV29" s="3" t="n">
        <v>46214</v>
      </c>
      <c r="AW29" s="21"/>
      <c r="AY29" s="1"/>
      <c r="BA29" s="1"/>
      <c r="BB29" s="1"/>
    </row>
    <row r="30" ht="120" customHeight="1">
      <c r="A30" s="20" t="s">
        <v>375</v>
      </c>
      <c r="B30" s="20" t="n">
        <v>2023</v>
      </c>
      <c r="C30" s="20" t="n">
        <v>597</v>
      </c>
      <c r="D30" s="20" t="s">
        <v>50</v>
      </c>
      <c r="E30" s="20" t="s">
        <v>222</v>
      </c>
      <c r="F30" s="20" t="s">
        <v>376</v>
      </c>
      <c r="G30" s="20" t="s">
        <v>315</v>
      </c>
      <c r="H30" s="20" t="s">
        <v>224</v>
      </c>
      <c r="I30" s="20"/>
      <c r="J30" s="20" t="s">
        <v>377</v>
      </c>
      <c r="K30" s="20" t="s">
        <v>309</v>
      </c>
      <c r="L30" s="20" t="s">
        <v>57</v>
      </c>
      <c r="M30" s="20" t="s">
        <v>58</v>
      </c>
      <c r="N30" s="20" t="s">
        <v>59</v>
      </c>
      <c r="O30" s="20" t="s">
        <v>60</v>
      </c>
      <c r="P30" s="20" t="s">
        <v>227</v>
      </c>
      <c r="Q30" s="20" t="s">
        <v>228</v>
      </c>
      <c r="R30" s="20" t="s">
        <v>229</v>
      </c>
      <c r="S30" s="20" t="s">
        <v>230</v>
      </c>
      <c r="T30" s="20" t="s">
        <v>231</v>
      </c>
      <c r="U30" s="20" t="s">
        <v>230</v>
      </c>
      <c r="V30" s="20" t="s">
        <v>196</v>
      </c>
      <c r="W30" s="20" t="s">
        <v>68</v>
      </c>
      <c r="X30" s="20" t="s">
        <v>69</v>
      </c>
      <c r="Y30" s="20" t="s">
        <v>70</v>
      </c>
      <c r="Z30" s="20" t="s">
        <v>98</v>
      </c>
      <c r="AA30" s="20" t="s">
        <v>233</v>
      </c>
      <c r="AB30" s="20" t="s">
        <v>378</v>
      </c>
      <c r="AC30" s="20" t="s">
        <v>378</v>
      </c>
      <c r="AD30" s="20" t="s">
        <v>378</v>
      </c>
      <c r="AE30" s="20"/>
      <c r="AF30" s="9" t="n">
        <v>1</v>
      </c>
      <c r="AG30" s="12" t="n">
        <v>1</v>
      </c>
      <c r="AH30" s="22" t="s">
        <v>235</v>
      </c>
      <c r="AI30" s="12" t="str">
        <f>IF(AH30="","",IFERROR(RIGHT("0000"&amp;AH30,4)&amp;" - "&amp;UPPER(_xlfn.XLOOKUP(RIGHT("0000"&amp;AH30,4),CODEBOOK_CAP!$C$2:$C$212,CODEBOOK_CAP!$D$2:$D$212)),"Código CAP não encontrado"))</f>
        <v>0322 - ESTRUTURAS, HOSPITAIS, CLÍNICAS</v>
      </c>
      <c r="AJ30" s="12" t="str">
        <f>IF(AH30="","",IFERROR(_xlfn.XLOOKUP(RIGHT("0000"&amp;AH30,4),CODEBOOK_CAP!$C$2:$C$212,CODEBOOK_CAP!$E$2:$E$212),"Código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0" s="22" t="s">
        <v>79</v>
      </c>
      <c r="AL30" s="26" t="s">
        <v>379</v>
      </c>
      <c r="AM30" s="22" t="s">
        <v>79</v>
      </c>
      <c r="AN30" s="22" t="s">
        <v>79</v>
      </c>
      <c r="AO30" s="12" t="s">
        <v>380</v>
      </c>
      <c r="AP30" s="22" t="s">
        <v>77</v>
      </c>
      <c r="AQ30" s="12"/>
      <c r="AR30" s="22" t="s">
        <v>77</v>
      </c>
      <c r="AS30" s="10"/>
      <c r="AT30" s="2" t="s">
        <v>82</v>
      </c>
      <c r="AU30" s="12" t="s">
        <v>83</v>
      </c>
      <c r="AV30" s="3" t="n">
        <v>46214</v>
      </c>
      <c r="AW30" s="21"/>
      <c r="AY30" s="1"/>
      <c r="BA30" s="1"/>
      <c r="BB30" s="1"/>
    </row>
    <row r="31" ht="120" customHeight="1">
      <c r="A31" s="20" t="s">
        <v>381</v>
      </c>
      <c r="B31" s="20" t="n">
        <v>2023</v>
      </c>
      <c r="C31" s="20" t="n">
        <v>598</v>
      </c>
      <c r="D31" s="20" t="s">
        <v>50</v>
      </c>
      <c r="E31" s="20" t="s">
        <v>222</v>
      </c>
      <c r="F31" s="20" t="s">
        <v>382</v>
      </c>
      <c r="G31" s="20" t="s">
        <v>183</v>
      </c>
      <c r="H31" s="20" t="s">
        <v>224</v>
      </c>
      <c r="I31" s="20"/>
      <c r="J31" s="20" t="s">
        <v>383</v>
      </c>
      <c r="K31" s="20" t="s">
        <v>56</v>
      </c>
      <c r="L31" s="20" t="s">
        <v>57</v>
      </c>
      <c r="M31" s="20" t="s">
        <v>58</v>
      </c>
      <c r="N31" s="20" t="s">
        <v>59</v>
      </c>
      <c r="O31" s="20" t="s">
        <v>60</v>
      </c>
      <c r="P31" s="20" t="s">
        <v>61</v>
      </c>
      <c r="Q31" s="20" t="s">
        <v>62</v>
      </c>
      <c r="R31" s="20" t="s">
        <v>63</v>
      </c>
      <c r="S31" s="20" t="s">
        <v>64</v>
      </c>
      <c r="T31" s="20" t="s">
        <v>65</v>
      </c>
      <c r="U31" s="20" t="s">
        <v>66</v>
      </c>
      <c r="V31" s="20" t="s">
        <v>67</v>
      </c>
      <c r="W31" s="20" t="s">
        <v>68</v>
      </c>
      <c r="X31" s="20" t="s">
        <v>69</v>
      </c>
      <c r="Y31" s="20" t="s">
        <v>70</v>
      </c>
      <c r="Z31" s="20" t="s">
        <v>71</v>
      </c>
      <c r="AA31" s="20" t="s">
        <v>125</v>
      </c>
      <c r="AB31" s="20" t="s">
        <v>77</v>
      </c>
      <c r="AC31" s="20" t="s">
        <v>77</v>
      </c>
      <c r="AD31" s="20" t="s">
        <v>77</v>
      </c>
      <c r="AE31" s="20"/>
      <c r="AF31" s="9" t="n">
        <v>1</v>
      </c>
      <c r="AG31" s="12" t="n">
        <v>1</v>
      </c>
      <c r="AH31" s="22" t="s">
        <v>235</v>
      </c>
      <c r="AI31" s="12" t="str">
        <f>IF(AH31="","",IFERROR(RIGHT("0000"&amp;AH31,4)&amp;" - "&amp;UPPER(_xlfn.XLOOKUP(RIGHT("0000"&amp;AH31,4),CODEBOOK_CAP!$C$2:$C$212,CODEBOOK_CAP!$D$2:$D$212)),"Código CAP não encontrado"))</f>
        <v>0322 - ESTRUTURAS, HOSPITAIS, CLÍNICAS</v>
      </c>
      <c r="AJ31" s="12" t="str">
        <f>IF(AH31="","",IFERROR(_xlfn.XLOOKUP(RIGHT("0000"&amp;AH31,4),CODEBOOK_CAP!$C$2:$C$212,CODEBOOK_CAP!$E$2:$E$212),"Código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1" s="22" t="s">
        <v>79</v>
      </c>
      <c r="AL31" s="26" t="s">
        <v>384</v>
      </c>
      <c r="AM31" s="22" t="s">
        <v>79</v>
      </c>
      <c r="AN31" s="22" t="s">
        <v>79</v>
      </c>
      <c r="AO31" s="12" t="s">
        <v>385</v>
      </c>
      <c r="AP31" s="22" t="s">
        <v>77</v>
      </c>
      <c r="AQ31" s="12"/>
      <c r="AR31" s="22" t="s">
        <v>77</v>
      </c>
      <c r="AS31" s="10"/>
      <c r="AT31" s="2" t="s">
        <v>82</v>
      </c>
      <c r="AU31" s="12" t="s">
        <v>83</v>
      </c>
      <c r="AV31" s="3" t="n">
        <v>46214</v>
      </c>
      <c r="AW31" s="21"/>
      <c r="AY31" s="1"/>
      <c r="BA31" s="1"/>
      <c r="BB31" s="1"/>
    </row>
    <row r="32" ht="120" customHeight="1">
      <c r="A32" s="20" t="s">
        <v>386</v>
      </c>
      <c r="B32" s="20" t="n">
        <v>2023</v>
      </c>
      <c r="C32" s="20" t="n">
        <v>599</v>
      </c>
      <c r="D32" s="20" t="s">
        <v>50</v>
      </c>
      <c r="E32" s="20" t="s">
        <v>222</v>
      </c>
      <c r="F32" s="20" t="s">
        <v>345</v>
      </c>
      <c r="G32" s="20" t="s">
        <v>86</v>
      </c>
      <c r="H32" s="20" t="s">
        <v>224</v>
      </c>
      <c r="I32" s="20"/>
      <c r="J32" s="20" t="s">
        <v>387</v>
      </c>
      <c r="K32" s="20" t="s">
        <v>56</v>
      </c>
      <c r="L32" s="20" t="s">
        <v>57</v>
      </c>
      <c r="M32" s="20" t="s">
        <v>58</v>
      </c>
      <c r="N32" s="20" t="s">
        <v>59</v>
      </c>
      <c r="O32" s="20" t="s">
        <v>60</v>
      </c>
      <c r="P32" s="20" t="s">
        <v>61</v>
      </c>
      <c r="Q32" s="20" t="s">
        <v>62</v>
      </c>
      <c r="R32" s="20" t="s">
        <v>63</v>
      </c>
      <c r="S32" s="20" t="s">
        <v>64</v>
      </c>
      <c r="T32" s="20" t="s">
        <v>65</v>
      </c>
      <c r="U32" s="20" t="s">
        <v>66</v>
      </c>
      <c r="V32" s="20" t="s">
        <v>67</v>
      </c>
      <c r="W32" s="20" t="s">
        <v>68</v>
      </c>
      <c r="X32" s="20" t="s">
        <v>69</v>
      </c>
      <c r="Y32" s="20" t="s">
        <v>70</v>
      </c>
      <c r="Z32" s="20" t="s">
        <v>71</v>
      </c>
      <c r="AA32" s="20" t="s">
        <v>388</v>
      </c>
      <c r="AB32" s="20" t="s">
        <v>389</v>
      </c>
      <c r="AC32" s="20" t="s">
        <v>389</v>
      </c>
      <c r="AD32" s="20" t="s">
        <v>389</v>
      </c>
      <c r="AE32" s="20"/>
      <c r="AF32" s="9" t="n">
        <v>1</v>
      </c>
      <c r="AG32" s="12" t="n">
        <v>1</v>
      </c>
      <c r="AH32" s="22" t="s">
        <v>235</v>
      </c>
      <c r="AI32" s="12" t="str">
        <f>IF(AH32="","",IFERROR(RIGHT("0000"&amp;AH32,4)&amp;" - "&amp;UPPER(_xlfn.XLOOKUP(RIGHT("0000"&amp;AH32,4),CODEBOOK_CAP!$C$2:$C$212,CODEBOOK_CAP!$D$2:$D$212)),"Código CAP não encontrado"))</f>
        <v>0322 - ESTRUTURAS, HOSPITAIS, CLÍNICAS</v>
      </c>
      <c r="AJ32" s="12" t="str">
        <f>IF(AH32="","",IFERROR(_xlfn.XLOOKUP(RIGHT("0000"&amp;AH32,4),CODEBOOK_CAP!$C$2:$C$212,CODEBOOK_CAP!$E$2:$E$212),"Código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2" s="22" t="s">
        <v>79</v>
      </c>
      <c r="AL32" s="26" t="s">
        <v>390</v>
      </c>
      <c r="AM32" s="22" t="s">
        <v>79</v>
      </c>
      <c r="AN32" s="22" t="s">
        <v>79</v>
      </c>
      <c r="AO32" s="12" t="s">
        <v>391</v>
      </c>
      <c r="AP32" s="22" t="s">
        <v>77</v>
      </c>
      <c r="AQ32" s="12"/>
      <c r="AR32" s="22" t="s">
        <v>77</v>
      </c>
      <c r="AS32" s="10"/>
      <c r="AT32" s="2" t="s">
        <v>82</v>
      </c>
      <c r="AU32" s="12" t="s">
        <v>83</v>
      </c>
      <c r="AV32" s="3" t="n">
        <v>46214</v>
      </c>
      <c r="AW32" s="21"/>
      <c r="AY32" s="1"/>
      <c r="BA32" s="1"/>
      <c r="BB32" s="1"/>
    </row>
    <row r="33" ht="120" customHeight="1">
      <c r="A33" s="20" t="s">
        <v>392</v>
      </c>
      <c r="B33" s="20" t="n">
        <v>2023</v>
      </c>
      <c r="C33" s="20" t="n">
        <v>601</v>
      </c>
      <c r="D33" s="20" t="s">
        <v>50</v>
      </c>
      <c r="E33" s="20" t="s">
        <v>222</v>
      </c>
      <c r="F33" s="20" t="s">
        <v>393</v>
      </c>
      <c r="G33" s="20" t="s">
        <v>86</v>
      </c>
      <c r="H33" s="20" t="s">
        <v>224</v>
      </c>
      <c r="I33" s="20"/>
      <c r="J33" s="20" t="s">
        <v>394</v>
      </c>
      <c r="K33" s="20" t="s">
        <v>309</v>
      </c>
      <c r="L33" s="20" t="s">
        <v>57</v>
      </c>
      <c r="M33" s="20" t="s">
        <v>58</v>
      </c>
      <c r="N33" s="20" t="s">
        <v>59</v>
      </c>
      <c r="O33" s="20" t="s">
        <v>60</v>
      </c>
      <c r="P33" s="20" t="s">
        <v>227</v>
      </c>
      <c r="Q33" s="20" t="s">
        <v>228</v>
      </c>
      <c r="R33" s="20" t="s">
        <v>229</v>
      </c>
      <c r="S33" s="20" t="s">
        <v>230</v>
      </c>
      <c r="T33" s="20" t="s">
        <v>231</v>
      </c>
      <c r="U33" s="20" t="s">
        <v>230</v>
      </c>
      <c r="V33" s="20" t="s">
        <v>196</v>
      </c>
      <c r="W33" s="20" t="s">
        <v>68</v>
      </c>
      <c r="X33" s="20" t="s">
        <v>69</v>
      </c>
      <c r="Y33" s="20" t="s">
        <v>70</v>
      </c>
      <c r="Z33" s="20" t="s">
        <v>98</v>
      </c>
      <c r="AA33" s="20" t="s">
        <v>395</v>
      </c>
      <c r="AB33" s="20" t="s">
        <v>396</v>
      </c>
      <c r="AC33" s="20" t="s">
        <v>396</v>
      </c>
      <c r="AD33" s="20" t="s">
        <v>396</v>
      </c>
      <c r="AE33" s="20"/>
      <c r="AF33" s="9" t="n">
        <v>1</v>
      </c>
      <c r="AG33" s="12" t="n">
        <v>1</v>
      </c>
      <c r="AH33" s="22" t="s">
        <v>235</v>
      </c>
      <c r="AI33" s="12" t="str">
        <f>IF(AH33="","",IFERROR(RIGHT("0000"&amp;AH33,4)&amp;" - "&amp;UPPER(_xlfn.XLOOKUP(RIGHT("0000"&amp;AH33,4),CODEBOOK_CAP!$C$2:$C$212,CODEBOOK_CAP!$D$2:$D$212)),"Código CAP não encontrado"))</f>
        <v>0322 - ESTRUTURAS, HOSPITAIS, CLÍNICAS</v>
      </c>
      <c r="AJ33" s="12" t="str">
        <f>IF(AH33="","",IFERROR(_xlfn.XLOOKUP(RIGHT("0000"&amp;AH33,4),CODEBOOK_CAP!$C$2:$C$212,CODEBOOK_CAP!$E$2:$E$212),"Código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 s="22" t="s">
        <v>79</v>
      </c>
      <c r="AL33" s="26" t="s">
        <v>397</v>
      </c>
      <c r="AM33" s="22" t="s">
        <v>79</v>
      </c>
      <c r="AN33" s="22" t="s">
        <v>79</v>
      </c>
      <c r="AO33" s="12" t="s">
        <v>398</v>
      </c>
      <c r="AP33" s="22" t="s">
        <v>77</v>
      </c>
      <c r="AQ33" s="12"/>
      <c r="AR33" s="22" t="s">
        <v>77</v>
      </c>
      <c r="AS33" s="10"/>
      <c r="AT33" s="2" t="s">
        <v>82</v>
      </c>
      <c r="AU33" s="12" t="s">
        <v>83</v>
      </c>
      <c r="AV33" s="3" t="n">
        <v>46214</v>
      </c>
      <c r="AW33" s="21"/>
      <c r="AY33" s="1"/>
      <c r="BA33" s="1"/>
      <c r="BB33" s="1"/>
    </row>
    <row r="34" ht="120" customHeight="1">
      <c r="A34" s="20" t="s">
        <v>399</v>
      </c>
      <c r="B34" s="20" t="n">
        <v>2023</v>
      </c>
      <c r="C34" s="20" t="n">
        <v>602</v>
      </c>
      <c r="D34" s="20" t="s">
        <v>50</v>
      </c>
      <c r="E34" s="20" t="s">
        <v>222</v>
      </c>
      <c r="F34" s="20" t="s">
        <v>400</v>
      </c>
      <c r="G34" s="20" t="s">
        <v>86</v>
      </c>
      <c r="H34" s="20" t="s">
        <v>224</v>
      </c>
      <c r="I34" s="20"/>
      <c r="J34" s="20" t="s">
        <v>401</v>
      </c>
      <c r="K34" s="20" t="s">
        <v>402</v>
      </c>
      <c r="L34" s="20" t="s">
        <v>57</v>
      </c>
      <c r="M34" s="20" t="s">
        <v>58</v>
      </c>
      <c r="N34" s="20" t="s">
        <v>59</v>
      </c>
      <c r="O34" s="20" t="s">
        <v>60</v>
      </c>
      <c r="P34" s="20" t="s">
        <v>89</v>
      </c>
      <c r="Q34" s="20" t="s">
        <v>90</v>
      </c>
      <c r="R34" s="20" t="s">
        <v>91</v>
      </c>
      <c r="S34" s="20" t="s">
        <v>92</v>
      </c>
      <c r="T34" s="20" t="s">
        <v>93</v>
      </c>
      <c r="U34" s="20" t="s">
        <v>94</v>
      </c>
      <c r="V34" s="20" t="s">
        <v>196</v>
      </c>
      <c r="W34" s="20" t="s">
        <v>68</v>
      </c>
      <c r="X34" s="20" t="s">
        <v>69</v>
      </c>
      <c r="Y34" s="20" t="s">
        <v>70</v>
      </c>
      <c r="Z34" s="20" t="s">
        <v>98</v>
      </c>
      <c r="AA34" s="20" t="s">
        <v>388</v>
      </c>
      <c r="AB34" s="20" t="s">
        <v>403</v>
      </c>
      <c r="AC34" s="20" t="s">
        <v>403</v>
      </c>
      <c r="AD34" s="20" t="s">
        <v>403</v>
      </c>
      <c r="AE34" s="20"/>
      <c r="AF34" s="9" t="n">
        <v>1</v>
      </c>
      <c r="AG34" s="12" t="n">
        <v>1</v>
      </c>
      <c r="AH34" s="22" t="s">
        <v>235</v>
      </c>
      <c r="AI34" s="12" t="str">
        <f>IF(AH34="","",IFERROR(RIGHT("0000"&amp;AH34,4)&amp;" - "&amp;UPPER(_xlfn.XLOOKUP(RIGHT("0000"&amp;AH34,4),CODEBOOK_CAP!$C$2:$C$212,CODEBOOK_CAP!$D$2:$D$212)),"Código CAP não encontrado"))</f>
        <v>0322 - ESTRUTURAS, HOSPITAIS, CLÍNICAS</v>
      </c>
      <c r="AJ34" s="12" t="str">
        <f>IF(AH34="","",IFERROR(_xlfn.XLOOKUP(RIGHT("0000"&amp;AH34,4),CODEBOOK_CAP!$C$2:$C$212,CODEBOOK_CAP!$E$2:$E$212),"Código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 s="22" t="s">
        <v>79</v>
      </c>
      <c r="AL34" s="26" t="s">
        <v>404</v>
      </c>
      <c r="AM34" s="22" t="s">
        <v>79</v>
      </c>
      <c r="AN34" s="22" t="s">
        <v>79</v>
      </c>
      <c r="AO34" s="12" t="s">
        <v>405</v>
      </c>
      <c r="AP34" s="22" t="s">
        <v>77</v>
      </c>
      <c r="AQ34" s="12"/>
      <c r="AR34" s="22" t="s">
        <v>77</v>
      </c>
      <c r="AS34" s="10"/>
      <c r="AT34" s="2" t="s">
        <v>82</v>
      </c>
      <c r="AU34" s="12" t="s">
        <v>83</v>
      </c>
      <c r="AV34" s="3" t="n">
        <v>46214</v>
      </c>
      <c r="AW34" s="21"/>
      <c r="AY34" s="1"/>
      <c r="BA34" s="1"/>
      <c r="BB34" s="1"/>
    </row>
    <row r="35" ht="120" customHeight="1">
      <c r="A35" s="20" t="s">
        <v>406</v>
      </c>
      <c r="B35" s="20" t="n">
        <v>2023</v>
      </c>
      <c r="C35" s="20" t="n">
        <v>603</v>
      </c>
      <c r="D35" s="20" t="s">
        <v>50</v>
      </c>
      <c r="E35" s="20" t="s">
        <v>222</v>
      </c>
      <c r="F35" s="20" t="s">
        <v>407</v>
      </c>
      <c r="G35" s="20" t="s">
        <v>315</v>
      </c>
      <c r="H35" s="20" t="s">
        <v>224</v>
      </c>
      <c r="I35" s="20"/>
      <c r="J35" s="20" t="s">
        <v>408</v>
      </c>
      <c r="K35" s="20" t="s">
        <v>56</v>
      </c>
      <c r="L35" s="20" t="s">
        <v>57</v>
      </c>
      <c r="M35" s="20" t="s">
        <v>58</v>
      </c>
      <c r="N35" s="20" t="s">
        <v>59</v>
      </c>
      <c r="O35" s="20" t="s">
        <v>60</v>
      </c>
      <c r="P35" s="20" t="s">
        <v>61</v>
      </c>
      <c r="Q35" s="20" t="s">
        <v>62</v>
      </c>
      <c r="R35" s="20" t="s">
        <v>63</v>
      </c>
      <c r="S35" s="20" t="s">
        <v>64</v>
      </c>
      <c r="T35" s="20" t="s">
        <v>65</v>
      </c>
      <c r="U35" s="20" t="s">
        <v>66</v>
      </c>
      <c r="V35" s="20" t="s">
        <v>67</v>
      </c>
      <c r="W35" s="20" t="s">
        <v>68</v>
      </c>
      <c r="X35" s="20" t="s">
        <v>69</v>
      </c>
      <c r="Y35" s="20" t="s">
        <v>70</v>
      </c>
      <c r="Z35" s="20" t="s">
        <v>71</v>
      </c>
      <c r="AA35" s="20" t="s">
        <v>409</v>
      </c>
      <c r="AB35" s="20" t="s">
        <v>409</v>
      </c>
      <c r="AC35" s="20" t="s">
        <v>410</v>
      </c>
      <c r="AD35" s="20" t="s">
        <v>410</v>
      </c>
      <c r="AE35" s="20"/>
      <c r="AF35" s="9" t="n">
        <v>1</v>
      </c>
      <c r="AG35" s="12" t="n">
        <v>1</v>
      </c>
      <c r="AH35" s="22" t="s">
        <v>235</v>
      </c>
      <c r="AI35" s="12" t="str">
        <f>IF(AH35="","",IFERROR(RIGHT("0000"&amp;AH35,4)&amp;" - "&amp;UPPER(_xlfn.XLOOKUP(RIGHT("0000"&amp;AH35,4),CODEBOOK_CAP!$C$2:$C$212,CODEBOOK_CAP!$D$2:$D$212)),"Código CAP não encontrado"))</f>
        <v>0322 - ESTRUTURAS, HOSPITAIS, CLÍNICAS</v>
      </c>
      <c r="AJ35" s="12" t="str">
        <f>IF(AH35="","",IFERROR(_xlfn.XLOOKUP(RIGHT("0000"&amp;AH35,4),CODEBOOK_CAP!$C$2:$C$212,CODEBOOK_CAP!$E$2:$E$212),"Código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 s="22" t="s">
        <v>79</v>
      </c>
      <c r="AL35" s="26" t="s">
        <v>411</v>
      </c>
      <c r="AM35" s="22" t="s">
        <v>79</v>
      </c>
      <c r="AN35" s="22" t="s">
        <v>79</v>
      </c>
      <c r="AO35" s="12" t="s">
        <v>412</v>
      </c>
      <c r="AP35" s="22" t="s">
        <v>77</v>
      </c>
      <c r="AQ35" s="12"/>
      <c r="AR35" s="22" t="s">
        <v>77</v>
      </c>
      <c r="AS35" s="10"/>
      <c r="AT35" s="2" t="s">
        <v>82</v>
      </c>
      <c r="AU35" s="12" t="s">
        <v>83</v>
      </c>
      <c r="AV35" s="3" t="n">
        <v>46214</v>
      </c>
      <c r="AW35" s="21"/>
      <c r="AY35" s="1"/>
      <c r="BA35" s="1"/>
      <c r="BB35" s="1"/>
    </row>
    <row r="36" ht="120" customHeight="1">
      <c r="A36" s="20" t="s">
        <v>413</v>
      </c>
      <c r="B36" s="20" t="n">
        <v>2023</v>
      </c>
      <c r="C36" s="20" t="n">
        <v>604</v>
      </c>
      <c r="D36" s="20" t="s">
        <v>50</v>
      </c>
      <c r="E36" s="20" t="s">
        <v>222</v>
      </c>
      <c r="F36" s="20" t="s">
        <v>414</v>
      </c>
      <c r="G36" s="20" t="s">
        <v>86</v>
      </c>
      <c r="H36" s="20" t="s">
        <v>224</v>
      </c>
      <c r="I36" s="20"/>
      <c r="J36" s="20" t="s">
        <v>415</v>
      </c>
      <c r="K36" s="20" t="s">
        <v>416</v>
      </c>
      <c r="L36" s="20" t="s">
        <v>57</v>
      </c>
      <c r="M36" s="20" t="s">
        <v>58</v>
      </c>
      <c r="N36" s="20" t="s">
        <v>59</v>
      </c>
      <c r="O36" s="20" t="s">
        <v>60</v>
      </c>
      <c r="P36" s="20" t="s">
        <v>89</v>
      </c>
      <c r="Q36" s="20" t="s">
        <v>90</v>
      </c>
      <c r="R36" s="20" t="s">
        <v>91</v>
      </c>
      <c r="S36" s="20" t="s">
        <v>92</v>
      </c>
      <c r="T36" s="20" t="s">
        <v>123</v>
      </c>
      <c r="U36" s="20" t="s">
        <v>124</v>
      </c>
      <c r="V36" s="20" t="s">
        <v>417</v>
      </c>
      <c r="W36" s="20" t="s">
        <v>96</v>
      </c>
      <c r="X36" s="20" t="s">
        <v>97</v>
      </c>
      <c r="Y36" s="20" t="s">
        <v>70</v>
      </c>
      <c r="Z36" s="20" t="s">
        <v>98</v>
      </c>
      <c r="AA36" s="20" t="s">
        <v>125</v>
      </c>
      <c r="AB36" s="20" t="s">
        <v>125</v>
      </c>
      <c r="AC36" s="20" t="s">
        <v>125</v>
      </c>
      <c r="AD36" s="20" t="s">
        <v>125</v>
      </c>
      <c r="AE36" s="20"/>
      <c r="AF36" s="9" t="n">
        <v>1</v>
      </c>
      <c r="AG36" s="12" t="n">
        <v>1</v>
      </c>
      <c r="AH36" s="22" t="s">
        <v>235</v>
      </c>
      <c r="AI36" s="12" t="str">
        <f>IF(AH36="","",IFERROR(RIGHT("0000"&amp;AH36,4)&amp;" - "&amp;UPPER(_xlfn.XLOOKUP(RIGHT("0000"&amp;AH36,4),CODEBOOK_CAP!$C$2:$C$212,CODEBOOK_CAP!$D$2:$D$212)),"Código CAP não encontrado"))</f>
        <v>0322 - ESTRUTURAS, HOSPITAIS, CLÍNICAS</v>
      </c>
      <c r="AJ36" s="12" t="str">
        <f>IF(AH36="","",IFERROR(_xlfn.XLOOKUP(RIGHT("0000"&amp;AH36,4),CODEBOOK_CAP!$C$2:$C$212,CODEBOOK_CAP!$E$2:$E$212),"Código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 s="22" t="s">
        <v>77</v>
      </c>
      <c r="AL36" s="26"/>
      <c r="AM36" s="22" t="s">
        <v>79</v>
      </c>
      <c r="AN36" s="22" t="s">
        <v>79</v>
      </c>
      <c r="AO36" s="12" t="s">
        <v>418</v>
      </c>
      <c r="AP36" s="22" t="s">
        <v>77</v>
      </c>
      <c r="AQ36" s="12"/>
      <c r="AR36" s="22" t="s">
        <v>77</v>
      </c>
      <c r="AS36" s="10"/>
      <c r="AT36" s="2" t="s">
        <v>82</v>
      </c>
      <c r="AU36" s="12" t="s">
        <v>83</v>
      </c>
      <c r="AV36" s="3" t="n">
        <v>46214</v>
      </c>
      <c r="AW36" s="21"/>
      <c r="AY36" s="1"/>
      <c r="BA36" s="1"/>
      <c r="BB36" s="1"/>
    </row>
    <row r="37" ht="120" customHeight="1">
      <c r="A37" s="20" t="s">
        <v>419</v>
      </c>
      <c r="B37" s="20" t="n">
        <v>2023</v>
      </c>
      <c r="C37" s="20" t="n">
        <v>610</v>
      </c>
      <c r="D37" s="20" t="s">
        <v>50</v>
      </c>
      <c r="E37" s="20" t="s">
        <v>222</v>
      </c>
      <c r="F37" s="20" t="s">
        <v>420</v>
      </c>
      <c r="G37" s="20" t="s">
        <v>315</v>
      </c>
      <c r="H37" s="20" t="s">
        <v>224</v>
      </c>
      <c r="I37" s="20"/>
      <c r="J37" s="20" t="s">
        <v>421</v>
      </c>
      <c r="K37" s="20" t="s">
        <v>309</v>
      </c>
      <c r="L37" s="20" t="s">
        <v>57</v>
      </c>
      <c r="M37" s="20" t="s">
        <v>58</v>
      </c>
      <c r="N37" s="20" t="s">
        <v>59</v>
      </c>
      <c r="O37" s="20" t="s">
        <v>60</v>
      </c>
      <c r="P37" s="20" t="s">
        <v>227</v>
      </c>
      <c r="Q37" s="20" t="s">
        <v>228</v>
      </c>
      <c r="R37" s="20" t="s">
        <v>229</v>
      </c>
      <c r="S37" s="20" t="s">
        <v>230</v>
      </c>
      <c r="T37" s="20" t="s">
        <v>231</v>
      </c>
      <c r="U37" s="20" t="s">
        <v>230</v>
      </c>
      <c r="V37" s="20" t="s">
        <v>196</v>
      </c>
      <c r="W37" s="20" t="s">
        <v>68</v>
      </c>
      <c r="X37" s="20" t="s">
        <v>69</v>
      </c>
      <c r="Y37" s="20" t="s">
        <v>70</v>
      </c>
      <c r="Z37" s="20" t="s">
        <v>98</v>
      </c>
      <c r="AA37" s="20" t="s">
        <v>363</v>
      </c>
      <c r="AB37" s="20" t="s">
        <v>422</v>
      </c>
      <c r="AC37" s="20" t="s">
        <v>423</v>
      </c>
      <c r="AD37" s="20" t="s">
        <v>423</v>
      </c>
      <c r="AE37" s="20" t="s">
        <v>424</v>
      </c>
      <c r="AF37" s="9" t="n">
        <v>1</v>
      </c>
      <c r="AG37" s="12" t="n">
        <v>1</v>
      </c>
      <c r="AH37" s="22" t="s">
        <v>235</v>
      </c>
      <c r="AI37" s="12" t="str">
        <f>IF(AH37="","",IFERROR(RIGHT("0000"&amp;AH37,4)&amp;" - "&amp;UPPER(_xlfn.XLOOKUP(RIGHT("0000"&amp;AH37,4),CODEBOOK_CAP!$C$2:$C$212,CODEBOOK_CAP!$D$2:$D$212)),"Código CAP não encontrado"))</f>
        <v>0322 - ESTRUTURAS, HOSPITAIS, CLÍNICAS</v>
      </c>
      <c r="AJ37" s="12" t="str">
        <f>IF(AH37="","",IFERROR(_xlfn.XLOOKUP(RIGHT("0000"&amp;AH37,4),CODEBOOK_CAP!$C$2:$C$212,CODEBOOK_CAP!$E$2:$E$212),"Código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 s="22" t="s">
        <v>79</v>
      </c>
      <c r="AL37" s="26" t="s">
        <v>425</v>
      </c>
      <c r="AM37" s="22" t="s">
        <v>79</v>
      </c>
      <c r="AN37" s="22" t="s">
        <v>79</v>
      </c>
      <c r="AO37" s="12" t="s">
        <v>426</v>
      </c>
      <c r="AP37" s="22" t="s">
        <v>77</v>
      </c>
      <c r="AQ37" s="12"/>
      <c r="AR37" s="22" t="s">
        <v>79</v>
      </c>
      <c r="AS37" s="4" t="s">
        <v>424</v>
      </c>
      <c r="AT37" s="2" t="s">
        <v>82</v>
      </c>
      <c r="AU37" s="12" t="s">
        <v>83</v>
      </c>
      <c r="AV37" s="3" t="n">
        <v>46214</v>
      </c>
      <c r="AW37" s="21"/>
      <c r="AY37" s="1"/>
      <c r="BA37" s="1"/>
      <c r="BB37" s="1"/>
    </row>
    <row r="38" ht="120" customHeight="1">
      <c r="A38" s="20" t="s">
        <v>427</v>
      </c>
      <c r="B38" s="20" t="n">
        <v>2023</v>
      </c>
      <c r="C38" s="20" t="n">
        <v>618</v>
      </c>
      <c r="D38" s="20" t="s">
        <v>50</v>
      </c>
      <c r="E38" s="20" t="s">
        <v>222</v>
      </c>
      <c r="F38" s="20" t="s">
        <v>428</v>
      </c>
      <c r="G38" s="20" t="s">
        <v>315</v>
      </c>
      <c r="H38" s="20" t="s">
        <v>224</v>
      </c>
      <c r="I38" s="20"/>
      <c r="J38" s="20" t="s">
        <v>429</v>
      </c>
      <c r="K38" s="20" t="s">
        <v>309</v>
      </c>
      <c r="L38" s="20" t="s">
        <v>57</v>
      </c>
      <c r="M38" s="20" t="s">
        <v>58</v>
      </c>
      <c r="N38" s="20" t="s">
        <v>59</v>
      </c>
      <c r="O38" s="20" t="s">
        <v>60</v>
      </c>
      <c r="P38" s="20" t="s">
        <v>227</v>
      </c>
      <c r="Q38" s="20" t="s">
        <v>228</v>
      </c>
      <c r="R38" s="20" t="s">
        <v>229</v>
      </c>
      <c r="S38" s="20" t="s">
        <v>230</v>
      </c>
      <c r="T38" s="20" t="s">
        <v>231</v>
      </c>
      <c r="U38" s="20" t="s">
        <v>230</v>
      </c>
      <c r="V38" s="20" t="s">
        <v>196</v>
      </c>
      <c r="W38" s="20" t="s">
        <v>68</v>
      </c>
      <c r="X38" s="20" t="s">
        <v>69</v>
      </c>
      <c r="Y38" s="20" t="s">
        <v>70</v>
      </c>
      <c r="Z38" s="20" t="s">
        <v>98</v>
      </c>
      <c r="AA38" s="20" t="s">
        <v>430</v>
      </c>
      <c r="AB38" s="20" t="s">
        <v>431</v>
      </c>
      <c r="AC38" s="20" t="s">
        <v>431</v>
      </c>
      <c r="AD38" s="20" t="s">
        <v>431</v>
      </c>
      <c r="AE38" s="20"/>
      <c r="AF38" s="9" t="n">
        <v>1</v>
      </c>
      <c r="AG38" s="12" t="n">
        <v>1</v>
      </c>
      <c r="AH38" s="22" t="s">
        <v>235</v>
      </c>
      <c r="AI38" s="12" t="str">
        <f>IF(AH38="","",IFERROR(RIGHT("0000"&amp;AH38,4)&amp;" - "&amp;UPPER(_xlfn.XLOOKUP(RIGHT("0000"&amp;AH38,4),CODEBOOK_CAP!$C$2:$C$212,CODEBOOK_CAP!$D$2:$D$212)),"Código CAP não encontrado"))</f>
        <v>0322 - ESTRUTURAS, HOSPITAIS, CLÍNICAS</v>
      </c>
      <c r="AJ38" s="12" t="str">
        <f>IF(AH38="","",IFERROR(_xlfn.XLOOKUP(RIGHT("0000"&amp;AH38,4),CODEBOOK_CAP!$C$2:$C$212,CODEBOOK_CAP!$E$2:$E$212),"Código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 s="22" t="s">
        <v>79</v>
      </c>
      <c r="AL38" s="26" t="s">
        <v>432</v>
      </c>
      <c r="AM38" s="22" t="s">
        <v>79</v>
      </c>
      <c r="AN38" s="22" t="s">
        <v>79</v>
      </c>
      <c r="AO38" s="12" t="s">
        <v>432</v>
      </c>
      <c r="AP38" s="22" t="s">
        <v>77</v>
      </c>
      <c r="AQ38" s="12"/>
      <c r="AR38" s="22" t="s">
        <v>77</v>
      </c>
      <c r="AS38" s="10"/>
      <c r="AT38" s="2" t="s">
        <v>82</v>
      </c>
      <c r="AU38" s="12" t="s">
        <v>83</v>
      </c>
      <c r="AV38" s="3" t="n">
        <v>46214</v>
      </c>
      <c r="AW38" s="21"/>
      <c r="AY38" s="1"/>
      <c r="BA38" s="1"/>
      <c r="BB38" s="1"/>
    </row>
    <row r="39" ht="120" customHeight="1">
      <c r="A39" s="20" t="s">
        <v>433</v>
      </c>
      <c r="B39" s="20" t="n">
        <v>2023</v>
      </c>
      <c r="C39" s="20" t="n">
        <v>619</v>
      </c>
      <c r="D39" s="20" t="s">
        <v>50</v>
      </c>
      <c r="E39" s="20" t="s">
        <v>222</v>
      </c>
      <c r="F39" s="20" t="s">
        <v>434</v>
      </c>
      <c r="G39" s="20" t="s">
        <v>315</v>
      </c>
      <c r="H39" s="20" t="s">
        <v>224</v>
      </c>
      <c r="I39" s="20"/>
      <c r="J39" s="20" t="s">
        <v>435</v>
      </c>
      <c r="K39" s="20" t="s">
        <v>340</v>
      </c>
      <c r="L39" s="20" t="s">
        <v>57</v>
      </c>
      <c r="M39" s="20" t="s">
        <v>58</v>
      </c>
      <c r="N39" s="20" t="s">
        <v>59</v>
      </c>
      <c r="O39" s="20" t="s">
        <v>60</v>
      </c>
      <c r="P39" s="20" t="s">
        <v>89</v>
      </c>
      <c r="Q39" s="20" t="s">
        <v>90</v>
      </c>
      <c r="R39" s="20" t="s">
        <v>91</v>
      </c>
      <c r="S39" s="20" t="s">
        <v>92</v>
      </c>
      <c r="T39" s="20" t="s">
        <v>341</v>
      </c>
      <c r="U39" s="20" t="s">
        <v>342</v>
      </c>
      <c r="V39" s="20" t="s">
        <v>196</v>
      </c>
      <c r="W39" s="20" t="s">
        <v>68</v>
      </c>
      <c r="X39" s="20" t="s">
        <v>69</v>
      </c>
      <c r="Y39" s="20" t="s">
        <v>70</v>
      </c>
      <c r="Z39" s="20" t="s">
        <v>98</v>
      </c>
      <c r="AA39" s="20" t="s">
        <v>430</v>
      </c>
      <c r="AB39" s="20" t="s">
        <v>436</v>
      </c>
      <c r="AC39" s="20" t="s">
        <v>436</v>
      </c>
      <c r="AD39" s="20" t="s">
        <v>436</v>
      </c>
      <c r="AE39" s="20"/>
      <c r="AF39" s="9" t="n">
        <v>1</v>
      </c>
      <c r="AG39" s="12" t="n">
        <v>1</v>
      </c>
      <c r="AH39" s="22" t="s">
        <v>235</v>
      </c>
      <c r="AI39" s="12" t="str">
        <f>IF(AH39="","",IFERROR(RIGHT("0000"&amp;AH39,4)&amp;" - "&amp;UPPER(_xlfn.XLOOKUP(RIGHT("0000"&amp;AH39,4),CODEBOOK_CAP!$C$2:$C$212,CODEBOOK_CAP!$D$2:$D$212)),"Código CAP não encontrado"))</f>
        <v>0322 - ESTRUTURAS, HOSPITAIS, CLÍNICAS</v>
      </c>
      <c r="AJ39" s="12" t="str">
        <f>IF(AH39="","",IFERROR(_xlfn.XLOOKUP(RIGHT("0000"&amp;AH39,4),CODEBOOK_CAP!$C$2:$C$212,CODEBOOK_CAP!$E$2:$E$212),"Código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9" s="22" t="s">
        <v>79</v>
      </c>
      <c r="AL39" s="26" t="s">
        <v>437</v>
      </c>
      <c r="AM39" s="22" t="s">
        <v>79</v>
      </c>
      <c r="AN39" s="22" t="s">
        <v>79</v>
      </c>
      <c r="AO39" s="12" t="s">
        <v>437</v>
      </c>
      <c r="AP39" s="22" t="s">
        <v>77</v>
      </c>
      <c r="AQ39" s="12"/>
      <c r="AR39" s="22" t="s">
        <v>77</v>
      </c>
      <c r="AS39" s="10"/>
      <c r="AT39" s="2" t="s">
        <v>82</v>
      </c>
      <c r="AU39" s="12" t="s">
        <v>83</v>
      </c>
      <c r="AV39" s="3" t="n">
        <v>46214</v>
      </c>
      <c r="AW39" s="21"/>
      <c r="AY39" s="1"/>
      <c r="BA39" s="1"/>
      <c r="BB39" s="1"/>
    </row>
    <row r="40" ht="120" customHeight="1">
      <c r="A40" s="20" t="s">
        <v>438</v>
      </c>
      <c r="B40" s="20" t="n">
        <v>2023</v>
      </c>
      <c r="C40" s="20" t="n">
        <v>622</v>
      </c>
      <c r="D40" s="20" t="s">
        <v>50</v>
      </c>
      <c r="E40" s="20" t="s">
        <v>222</v>
      </c>
      <c r="F40" s="20" t="s">
        <v>439</v>
      </c>
      <c r="G40" s="20" t="s">
        <v>86</v>
      </c>
      <c r="H40" s="20" t="s">
        <v>224</v>
      </c>
      <c r="I40" s="20"/>
      <c r="J40" s="20" t="s">
        <v>440</v>
      </c>
      <c r="K40" s="20" t="s">
        <v>441</v>
      </c>
      <c r="L40" s="20" t="s">
        <v>57</v>
      </c>
      <c r="M40" s="20" t="s">
        <v>58</v>
      </c>
      <c r="N40" s="20" t="s">
        <v>59</v>
      </c>
      <c r="O40" s="20" t="s">
        <v>60</v>
      </c>
      <c r="P40" s="20" t="s">
        <v>89</v>
      </c>
      <c r="Q40" s="20" t="s">
        <v>90</v>
      </c>
      <c r="R40" s="20" t="s">
        <v>91</v>
      </c>
      <c r="S40" s="20" t="s">
        <v>92</v>
      </c>
      <c r="T40" s="20" t="s">
        <v>341</v>
      </c>
      <c r="U40" s="20" t="s">
        <v>342</v>
      </c>
      <c r="V40" s="20" t="s">
        <v>95</v>
      </c>
      <c r="W40" s="20" t="s">
        <v>96</v>
      </c>
      <c r="X40" s="20" t="s">
        <v>97</v>
      </c>
      <c r="Y40" s="20" t="s">
        <v>70</v>
      </c>
      <c r="Z40" s="20" t="s">
        <v>98</v>
      </c>
      <c r="AA40" s="20" t="s">
        <v>125</v>
      </c>
      <c r="AB40" s="20" t="s">
        <v>125</v>
      </c>
      <c r="AC40" s="20" t="s">
        <v>442</v>
      </c>
      <c r="AD40" s="20" t="s">
        <v>125</v>
      </c>
      <c r="AE40" s="20"/>
      <c r="AF40" s="9" t="n">
        <v>1</v>
      </c>
      <c r="AG40" s="12" t="n">
        <v>1</v>
      </c>
      <c r="AH40" s="22" t="s">
        <v>235</v>
      </c>
      <c r="AI40" s="12" t="str">
        <f>IF(AH40="","",IFERROR(RIGHT("0000"&amp;AH40,4)&amp;" - "&amp;UPPER(_xlfn.XLOOKUP(RIGHT("0000"&amp;AH40,4),CODEBOOK_CAP!$C$2:$C$212,CODEBOOK_CAP!$D$2:$D$212)),"Código CAP não encontrado"))</f>
        <v>0322 - ESTRUTURAS, HOSPITAIS, CLÍNICAS</v>
      </c>
      <c r="AJ40" s="12" t="str">
        <f>IF(AH40="","",IFERROR(_xlfn.XLOOKUP(RIGHT("0000"&amp;AH40,4),CODEBOOK_CAP!$C$2:$C$212,CODEBOOK_CAP!$E$2:$E$212),"Código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0" s="22" t="s">
        <v>77</v>
      </c>
      <c r="AL40" s="26"/>
      <c r="AM40" s="22" t="s">
        <v>79</v>
      </c>
      <c r="AN40" s="22" t="s">
        <v>79</v>
      </c>
      <c r="AO40" s="12" t="s">
        <v>443</v>
      </c>
      <c r="AP40" s="22" t="s">
        <v>77</v>
      </c>
      <c r="AQ40" s="12"/>
      <c r="AR40" s="22" t="s">
        <v>77</v>
      </c>
      <c r="AS40" s="10"/>
      <c r="AT40" s="2" t="s">
        <v>82</v>
      </c>
      <c r="AU40" s="12" t="s">
        <v>83</v>
      </c>
      <c r="AV40" s="3" t="n">
        <v>46214</v>
      </c>
      <c r="AW40" s="21"/>
      <c r="AY40" s="1"/>
      <c r="BA40" s="1"/>
      <c r="BB40" s="1"/>
    </row>
    <row r="41" ht="120" customHeight="1">
      <c r="A41" s="20" t="s">
        <v>444</v>
      </c>
      <c r="B41" s="20" t="n">
        <v>2023</v>
      </c>
      <c r="C41" s="20" t="n">
        <v>625</v>
      </c>
      <c r="D41" s="20" t="s">
        <v>50</v>
      </c>
      <c r="E41" s="20" t="s">
        <v>222</v>
      </c>
      <c r="F41" s="20" t="s">
        <v>445</v>
      </c>
      <c r="G41" s="20" t="s">
        <v>86</v>
      </c>
      <c r="H41" s="20" t="s">
        <v>224</v>
      </c>
      <c r="I41" s="20"/>
      <c r="J41" s="20" t="s">
        <v>446</v>
      </c>
      <c r="K41" s="20" t="s">
        <v>441</v>
      </c>
      <c r="L41" s="20" t="s">
        <v>57</v>
      </c>
      <c r="M41" s="20" t="s">
        <v>58</v>
      </c>
      <c r="N41" s="20" t="s">
        <v>59</v>
      </c>
      <c r="O41" s="20" t="s">
        <v>60</v>
      </c>
      <c r="P41" s="20" t="s">
        <v>89</v>
      </c>
      <c r="Q41" s="20" t="s">
        <v>90</v>
      </c>
      <c r="R41" s="20" t="s">
        <v>91</v>
      </c>
      <c r="S41" s="20" t="s">
        <v>92</v>
      </c>
      <c r="T41" s="20" t="s">
        <v>341</v>
      </c>
      <c r="U41" s="20" t="s">
        <v>342</v>
      </c>
      <c r="V41" s="20" t="s">
        <v>95</v>
      </c>
      <c r="W41" s="20" t="s">
        <v>96</v>
      </c>
      <c r="X41" s="20" t="s">
        <v>97</v>
      </c>
      <c r="Y41" s="20" t="s">
        <v>70</v>
      </c>
      <c r="Z41" s="20" t="s">
        <v>98</v>
      </c>
      <c r="AA41" s="20" t="s">
        <v>447</v>
      </c>
      <c r="AB41" s="20" t="s">
        <v>447</v>
      </c>
      <c r="AC41" s="20" t="s">
        <v>448</v>
      </c>
      <c r="AD41" s="20" t="s">
        <v>447</v>
      </c>
      <c r="AE41" s="20"/>
      <c r="AF41" s="9" t="n">
        <v>1</v>
      </c>
      <c r="AG41" s="12" t="n">
        <v>1</v>
      </c>
      <c r="AH41" s="22" t="s">
        <v>235</v>
      </c>
      <c r="AI41" s="12" t="str">
        <f>IF(AH41="","",IFERROR(RIGHT("0000"&amp;AH41,4)&amp;" - "&amp;UPPER(_xlfn.XLOOKUP(RIGHT("0000"&amp;AH41,4),CODEBOOK_CAP!$C$2:$C$212,CODEBOOK_CAP!$D$2:$D$212)),"Código CAP não encontrado"))</f>
        <v>0322 - ESTRUTURAS, HOSPITAIS, CLÍNICAS</v>
      </c>
      <c r="AJ41" s="12" t="str">
        <f>IF(AH41="","",IFERROR(_xlfn.XLOOKUP(RIGHT("0000"&amp;AH41,4),CODEBOOK_CAP!$C$2:$C$212,CODEBOOK_CAP!$E$2:$E$212),"Código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1" s="22" t="s">
        <v>79</v>
      </c>
      <c r="AL41" s="26" t="s">
        <v>449</v>
      </c>
      <c r="AM41" s="22" t="s">
        <v>79</v>
      </c>
      <c r="AN41" s="22" t="s">
        <v>79</v>
      </c>
      <c r="AO41" s="12" t="s">
        <v>449</v>
      </c>
      <c r="AP41" s="22" t="s">
        <v>77</v>
      </c>
      <c r="AQ41" s="12"/>
      <c r="AR41" s="22" t="s">
        <v>77</v>
      </c>
      <c r="AS41" s="10"/>
      <c r="AT41" s="2" t="s">
        <v>82</v>
      </c>
      <c r="AU41" s="12" t="s">
        <v>83</v>
      </c>
      <c r="AV41" s="3" t="n">
        <v>46214</v>
      </c>
      <c r="AW41" s="21"/>
      <c r="AY41" s="1"/>
      <c r="BA41" s="1"/>
      <c r="BB41" s="1"/>
    </row>
    <row r="42" ht="120" customHeight="1">
      <c r="A42" s="20" t="s">
        <v>450</v>
      </c>
      <c r="B42" s="20" t="n">
        <v>2023</v>
      </c>
      <c r="C42" s="20" t="n">
        <v>627</v>
      </c>
      <c r="D42" s="20" t="s">
        <v>50</v>
      </c>
      <c r="E42" s="20" t="s">
        <v>222</v>
      </c>
      <c r="F42" s="20" t="s">
        <v>451</v>
      </c>
      <c r="G42" s="20" t="s">
        <v>315</v>
      </c>
      <c r="H42" s="20" t="s">
        <v>224</v>
      </c>
      <c r="I42" s="20"/>
      <c r="J42" s="20" t="s">
        <v>452</v>
      </c>
      <c r="K42" s="20" t="s">
        <v>340</v>
      </c>
      <c r="L42" s="20" t="s">
        <v>57</v>
      </c>
      <c r="M42" s="20" t="s">
        <v>58</v>
      </c>
      <c r="N42" s="20" t="s">
        <v>59</v>
      </c>
      <c r="O42" s="20" t="s">
        <v>60</v>
      </c>
      <c r="P42" s="20" t="s">
        <v>89</v>
      </c>
      <c r="Q42" s="20" t="s">
        <v>90</v>
      </c>
      <c r="R42" s="20" t="s">
        <v>91</v>
      </c>
      <c r="S42" s="20" t="s">
        <v>92</v>
      </c>
      <c r="T42" s="20" t="s">
        <v>341</v>
      </c>
      <c r="U42" s="20" t="s">
        <v>342</v>
      </c>
      <c r="V42" s="20" t="s">
        <v>196</v>
      </c>
      <c r="W42" s="20" t="s">
        <v>68</v>
      </c>
      <c r="X42" s="20" t="s">
        <v>69</v>
      </c>
      <c r="Y42" s="20" t="s">
        <v>70</v>
      </c>
      <c r="Z42" s="20" t="s">
        <v>98</v>
      </c>
      <c r="AA42" s="20" t="s">
        <v>453</v>
      </c>
      <c r="AB42" s="20" t="s">
        <v>454</v>
      </c>
      <c r="AC42" s="20" t="s">
        <v>454</v>
      </c>
      <c r="AD42" s="20" t="s">
        <v>454</v>
      </c>
      <c r="AE42" s="20" t="s">
        <v>455</v>
      </c>
      <c r="AF42" s="9" t="n">
        <v>1</v>
      </c>
      <c r="AG42" s="12" t="n">
        <v>1</v>
      </c>
      <c r="AH42" s="22" t="s">
        <v>235</v>
      </c>
      <c r="AI42" s="12" t="str">
        <f>IF(AH42="","",IFERROR(RIGHT("0000"&amp;AH42,4)&amp;" - "&amp;UPPER(_xlfn.XLOOKUP(RIGHT("0000"&amp;AH42,4),CODEBOOK_CAP!$C$2:$C$212,CODEBOOK_CAP!$D$2:$D$212)),"Código CAP não encontrado"))</f>
        <v>0322 - ESTRUTURAS, HOSPITAIS, CLÍNICAS</v>
      </c>
      <c r="AJ42" s="12" t="str">
        <f>IF(AH42="","",IFERROR(_xlfn.XLOOKUP(RIGHT("0000"&amp;AH42,4),CODEBOOK_CAP!$C$2:$C$212,CODEBOOK_CAP!$E$2:$E$212),"Código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 s="22" t="s">
        <v>79</v>
      </c>
      <c r="AL42" s="26" t="s">
        <v>456</v>
      </c>
      <c r="AM42" s="22" t="s">
        <v>79</v>
      </c>
      <c r="AN42" s="22" t="s">
        <v>79</v>
      </c>
      <c r="AO42" s="12" t="s">
        <v>456</v>
      </c>
      <c r="AP42" s="22" t="s">
        <v>77</v>
      </c>
      <c r="AQ42" s="12"/>
      <c r="AR42" s="22" t="s">
        <v>79</v>
      </c>
      <c r="AS42" s="4" t="s">
        <v>455</v>
      </c>
      <c r="AT42" s="2" t="s">
        <v>82</v>
      </c>
      <c r="AU42" s="12" t="s">
        <v>83</v>
      </c>
      <c r="AV42" s="3" t="n">
        <v>46214</v>
      </c>
      <c r="AW42" s="21"/>
      <c r="AY42" s="1"/>
      <c r="BA42" s="1"/>
      <c r="BB42" s="1"/>
    </row>
    <row r="43" ht="75" customHeight="1">
      <c r="A43" s="20" t="s">
        <v>457</v>
      </c>
      <c r="B43" s="20" t="n">
        <v>2023</v>
      </c>
      <c r="C43" s="20" t="n">
        <v>166</v>
      </c>
      <c r="D43" s="20" t="s">
        <v>50</v>
      </c>
      <c r="E43" s="20" t="s">
        <v>458</v>
      </c>
      <c r="F43" s="20" t="s">
        <v>459</v>
      </c>
      <c r="G43" s="20" t="s">
        <v>86</v>
      </c>
      <c r="H43" s="20" t="s">
        <v>460</v>
      </c>
      <c r="I43" s="20"/>
      <c r="J43" s="20" t="s">
        <v>461</v>
      </c>
      <c r="K43" s="20" t="s">
        <v>299</v>
      </c>
      <c r="L43" s="20" t="s">
        <v>208</v>
      </c>
      <c r="M43" s="20" t="s">
        <v>209</v>
      </c>
      <c r="N43" s="20" t="s">
        <v>210</v>
      </c>
      <c r="O43" s="20" t="s">
        <v>211</v>
      </c>
      <c r="P43" s="20" t="s">
        <v>212</v>
      </c>
      <c r="Q43" s="20" t="s">
        <v>213</v>
      </c>
      <c r="R43" s="20" t="s">
        <v>251</v>
      </c>
      <c r="S43" s="20" t="s">
        <v>252</v>
      </c>
      <c r="T43" s="20" t="s">
        <v>300</v>
      </c>
      <c r="U43" s="20" t="s">
        <v>301</v>
      </c>
      <c r="V43" s="20" t="s">
        <v>67</v>
      </c>
      <c r="W43" s="20" t="s">
        <v>68</v>
      </c>
      <c r="X43" s="20" t="s">
        <v>69</v>
      </c>
      <c r="Y43" s="20" t="s">
        <v>70</v>
      </c>
      <c r="Z43" s="20" t="s">
        <v>177</v>
      </c>
      <c r="AA43" s="20" t="s">
        <v>462</v>
      </c>
      <c r="AB43" s="20" t="s">
        <v>463</v>
      </c>
      <c r="AC43" s="20" t="s">
        <v>463</v>
      </c>
      <c r="AD43" s="20" t="s">
        <v>463</v>
      </c>
      <c r="AE43" s="20"/>
      <c r="AF43" s="9" t="n">
        <v>0</v>
      </c>
      <c r="AG43" s="12" t="n">
        <v>0</v>
      </c>
      <c r="AH43" s="22" t="s">
        <v>464</v>
      </c>
      <c r="AI43" s="12" t="str">
        <f>IF(AH43="","",IFERROR(RIGHT("0000"&amp;AH43,4)&amp;" - "&amp;UPPER(_xlfn.XLOOKUP(RIGHT("0000"&amp;AH43,4),CODEBOOK_CAP!$C$2:$C$212,CODEBOOK_CAP!$D$2:$D$212)),"Código CAP não encontrado"))</f>
        <v>2101 - PARQUES PÚBLICOS E RESERVAS DE PRESERVAÇÃO</v>
      </c>
      <c r="AJ43" s="12" t="str">
        <f>IF(AH43="","",IFERROR(_xlfn.XLOOKUP(RIGHT("0000"&amp;AH43,4),CODEBOOK_CAP!$C$2:$C$212,CODEBOOK_CAP!$E$2:$E$212),"Código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43" s="22" t="s">
        <v>77</v>
      </c>
      <c r="AL43" s="4"/>
      <c r="AM43" s="22" t="s">
        <v>78</v>
      </c>
      <c r="AN43" s="22" t="s">
        <v>79</v>
      </c>
      <c r="AO43" s="12" t="s">
        <v>465</v>
      </c>
      <c r="AP43" s="22" t="s">
        <v>77</v>
      </c>
      <c r="AQ43" s="12"/>
      <c r="AR43" s="22" t="s">
        <v>77</v>
      </c>
      <c r="AS43" s="10"/>
      <c r="AT43" s="2" t="s">
        <v>82</v>
      </c>
      <c r="AU43" s="12" t="s">
        <v>83</v>
      </c>
      <c r="AV43" s="3" t="n">
        <v>46214</v>
      </c>
      <c r="AW43" s="21"/>
      <c r="AY43" s="1"/>
      <c r="BA43" s="1"/>
      <c r="BB43" s="1"/>
    </row>
    <row r="44" ht="105" customHeight="1">
      <c r="A44" s="20" t="s">
        <v>466</v>
      </c>
      <c r="B44" s="20" t="n">
        <v>2023</v>
      </c>
      <c r="C44" s="20" t="n">
        <v>167</v>
      </c>
      <c r="D44" s="20" t="s">
        <v>50</v>
      </c>
      <c r="E44" s="20" t="s">
        <v>458</v>
      </c>
      <c r="F44" s="20" t="s">
        <v>467</v>
      </c>
      <c r="G44" s="20" t="s">
        <v>183</v>
      </c>
      <c r="H44" s="20" t="s">
        <v>460</v>
      </c>
      <c r="I44" s="20"/>
      <c r="J44" s="20" t="s">
        <v>468</v>
      </c>
      <c r="K44" s="20" t="s">
        <v>241</v>
      </c>
      <c r="L44" s="20" t="s">
        <v>208</v>
      </c>
      <c r="M44" s="20" t="s">
        <v>209</v>
      </c>
      <c r="N44" s="20" t="s">
        <v>188</v>
      </c>
      <c r="O44" s="20" t="s">
        <v>189</v>
      </c>
      <c r="P44" s="20" t="s">
        <v>190</v>
      </c>
      <c r="Q44" s="20" t="s">
        <v>191</v>
      </c>
      <c r="R44" s="20" t="s">
        <v>192</v>
      </c>
      <c r="S44" s="20" t="s">
        <v>193</v>
      </c>
      <c r="T44" s="20" t="s">
        <v>242</v>
      </c>
      <c r="U44" s="20" t="s">
        <v>243</v>
      </c>
      <c r="V44" s="20" t="s">
        <v>67</v>
      </c>
      <c r="W44" s="20" t="s">
        <v>68</v>
      </c>
      <c r="X44" s="20" t="s">
        <v>69</v>
      </c>
      <c r="Y44" s="20" t="s">
        <v>70</v>
      </c>
      <c r="Z44" s="20" t="s">
        <v>177</v>
      </c>
      <c r="AA44" s="20" t="s">
        <v>343</v>
      </c>
      <c r="AB44" s="20" t="s">
        <v>77</v>
      </c>
      <c r="AC44" s="20" t="s">
        <v>77</v>
      </c>
      <c r="AD44" s="20" t="s">
        <v>77</v>
      </c>
      <c r="AE44" s="20"/>
      <c r="AF44" s="9" t="n">
        <v>0</v>
      </c>
      <c r="AG44" s="12" t="n">
        <v>0</v>
      </c>
      <c r="AH44" s="22" t="s">
        <v>161</v>
      </c>
      <c r="AI44" s="12" t="str">
        <f>IF(AH44="","",IFERROR(RIGHT("0000"&amp;AH44,4)&amp;" - "&amp;UPPER(_xlfn.XLOOKUP(RIGHT("0000"&amp;AH44,4),CODEBOOK_CAP!$C$2:$C$212,CODEBOOK_CAP!$D$2:$D$212)),"Código CAP não encontrado"))</f>
        <v>2300 - GERAL</v>
      </c>
      <c r="AJ44" s="12" t="str">
        <f>IF(AH44="","",IFERROR(_xlfn.XLOOKUP(RIGHT("0000"&amp;AH44,4),CODEBOOK_CAP!$C$2:$C$212,CODEBOOK_CAP!$E$2:$E$212),"Código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4" s="22" t="s">
        <v>79</v>
      </c>
      <c r="AL44" s="26" t="s">
        <v>469</v>
      </c>
      <c r="AM44" s="22" t="s">
        <v>79</v>
      </c>
      <c r="AN44" s="22" t="s">
        <v>79</v>
      </c>
      <c r="AO44" s="12" t="s">
        <v>470</v>
      </c>
      <c r="AP44" s="22" t="s">
        <v>77</v>
      </c>
      <c r="AQ44" s="12"/>
      <c r="AR44" s="22" t="s">
        <v>77</v>
      </c>
      <c r="AS44" s="10"/>
      <c r="AT44" s="2" t="s">
        <v>82</v>
      </c>
      <c r="AU44" s="12" t="s">
        <v>83</v>
      </c>
      <c r="AV44" s="3" t="n">
        <v>46214</v>
      </c>
      <c r="AW44" s="21"/>
      <c r="AX44" s="1" t="s">
        <v>6956</v>
      </c>
      <c r="AY44" s="1"/>
      <c r="BA44" s="1"/>
      <c r="BB44" s="1"/>
    </row>
    <row r="45" ht="75" customHeight="1">
      <c r="A45" s="20" t="s">
        <v>471</v>
      </c>
      <c r="B45" s="20" t="n">
        <v>2023</v>
      </c>
      <c r="C45" s="20" t="n">
        <v>168</v>
      </c>
      <c r="D45" s="20" t="s">
        <v>50</v>
      </c>
      <c r="E45" s="20" t="s">
        <v>458</v>
      </c>
      <c r="F45" s="20" t="s">
        <v>472</v>
      </c>
      <c r="G45" s="20" t="s">
        <v>315</v>
      </c>
      <c r="H45" s="20" t="s">
        <v>460</v>
      </c>
      <c r="I45" s="20"/>
      <c r="J45" s="20" t="s">
        <v>473</v>
      </c>
      <c r="K45" s="20" t="s">
        <v>289</v>
      </c>
      <c r="L45" s="20" t="s">
        <v>208</v>
      </c>
      <c r="M45" s="20" t="s">
        <v>209</v>
      </c>
      <c r="N45" s="20" t="s">
        <v>210</v>
      </c>
      <c r="O45" s="20" t="s">
        <v>211</v>
      </c>
      <c r="P45" s="20" t="s">
        <v>212</v>
      </c>
      <c r="Q45" s="20" t="s">
        <v>213</v>
      </c>
      <c r="R45" s="20" t="s">
        <v>251</v>
      </c>
      <c r="S45" s="20" t="s">
        <v>252</v>
      </c>
      <c r="T45" s="20" t="s">
        <v>290</v>
      </c>
      <c r="U45" s="20" t="s">
        <v>291</v>
      </c>
      <c r="V45" s="20" t="s">
        <v>67</v>
      </c>
      <c r="W45" s="20" t="s">
        <v>68</v>
      </c>
      <c r="X45" s="20" t="s">
        <v>69</v>
      </c>
      <c r="Y45" s="20" t="s">
        <v>70</v>
      </c>
      <c r="Z45" s="20" t="s">
        <v>177</v>
      </c>
      <c r="AA45" s="20" t="s">
        <v>409</v>
      </c>
      <c r="AB45" s="20" t="s">
        <v>77</v>
      </c>
      <c r="AC45" s="20" t="s">
        <v>77</v>
      </c>
      <c r="AD45" s="20" t="s">
        <v>77</v>
      </c>
      <c r="AE45" s="20"/>
      <c r="AF45" s="9" t="n">
        <v>0</v>
      </c>
      <c r="AG45" s="12" t="n">
        <v>0</v>
      </c>
      <c r="AH45" s="22" t="s">
        <v>304</v>
      </c>
      <c r="AI45" s="12" t="str">
        <f>IF(AH45="","",IFERROR(RIGHT("0000"&amp;AH45,4)&amp;" - "&amp;UPPER(_xlfn.XLOOKUP(RIGHT("0000"&amp;AH45,4),CODEBOOK_CAP!$C$2:$C$212,CODEBOOK_CAP!$D$2:$D$212)),"Código CAP não encontrado"))</f>
        <v>1403 - REABILITAÇÃO URBANA, ECONOMIA URBANA</v>
      </c>
      <c r="AJ45" s="12" t="str">
        <f>IF(AH45="","",IFERROR(_xlfn.XLOOKUP(RIGHT("0000"&amp;AH45,4),CODEBOOK_CAP!$C$2:$C$212,CODEBOOK_CAP!$E$2:$E$212),"Código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5" s="22" t="s">
        <v>79</v>
      </c>
      <c r="AL45" s="26" t="s">
        <v>474</v>
      </c>
      <c r="AM45" s="22" t="s">
        <v>79</v>
      </c>
      <c r="AN45" s="22" t="s">
        <v>77</v>
      </c>
      <c r="AO45" s="12"/>
      <c r="AP45" s="22" t="s">
        <v>77</v>
      </c>
      <c r="AQ45" s="12"/>
      <c r="AR45" s="22" t="s">
        <v>77</v>
      </c>
      <c r="AS45" s="10"/>
      <c r="AT45" s="2" t="s">
        <v>82</v>
      </c>
      <c r="AU45" s="12" t="s">
        <v>83</v>
      </c>
      <c r="AV45" s="3" t="n">
        <v>46214</v>
      </c>
      <c r="AW45" s="21"/>
      <c r="AY45" s="1"/>
      <c r="BA45" s="1"/>
      <c r="BB45" s="1"/>
    </row>
    <row r="46" ht="105" customHeight="1">
      <c r="A46" s="20" t="s">
        <v>475</v>
      </c>
      <c r="B46" s="20" t="n">
        <v>2023</v>
      </c>
      <c r="C46" s="20" t="n">
        <v>169</v>
      </c>
      <c r="D46" s="20" t="s">
        <v>50</v>
      </c>
      <c r="E46" s="20" t="s">
        <v>458</v>
      </c>
      <c r="F46" s="20" t="s">
        <v>476</v>
      </c>
      <c r="G46" s="20" t="s">
        <v>183</v>
      </c>
      <c r="H46" s="20" t="s">
        <v>460</v>
      </c>
      <c r="I46" s="20"/>
      <c r="J46" s="20" t="s">
        <v>477</v>
      </c>
      <c r="K46" s="20" t="s">
        <v>478</v>
      </c>
      <c r="L46" s="20" t="s">
        <v>479</v>
      </c>
      <c r="M46" s="20" t="s">
        <v>480</v>
      </c>
      <c r="N46" s="20" t="s">
        <v>481</v>
      </c>
      <c r="O46" s="20" t="s">
        <v>482</v>
      </c>
      <c r="P46" s="20" t="s">
        <v>483</v>
      </c>
      <c r="Q46" s="20" t="s">
        <v>484</v>
      </c>
      <c r="R46" s="20" t="s">
        <v>485</v>
      </c>
      <c r="S46" s="20" t="s">
        <v>486</v>
      </c>
      <c r="T46" s="20" t="s">
        <v>487</v>
      </c>
      <c r="U46" s="20" t="s">
        <v>488</v>
      </c>
      <c r="V46" s="20" t="s">
        <v>95</v>
      </c>
      <c r="W46" s="20" t="s">
        <v>96</v>
      </c>
      <c r="X46" s="20" t="s">
        <v>97</v>
      </c>
      <c r="Y46" s="20" t="s">
        <v>70</v>
      </c>
      <c r="Z46" s="20" t="s">
        <v>489</v>
      </c>
      <c r="AA46" s="20" t="s">
        <v>292</v>
      </c>
      <c r="AB46" s="20" t="s">
        <v>77</v>
      </c>
      <c r="AC46" s="20" t="s">
        <v>77</v>
      </c>
      <c r="AD46" s="20" t="s">
        <v>77</v>
      </c>
      <c r="AE46" s="20"/>
      <c r="AF46" s="9" t="n">
        <v>0</v>
      </c>
      <c r="AG46" s="12" t="n">
        <v>0</v>
      </c>
      <c r="AH46" s="22" t="s">
        <v>161</v>
      </c>
      <c r="AI46" s="12" t="str">
        <f>IF(AH46="","",IFERROR(RIGHT("0000"&amp;AH46,4)&amp;" - "&amp;UPPER(_xlfn.XLOOKUP(RIGHT("0000"&amp;AH46,4),CODEBOOK_CAP!$C$2:$C$212,CODEBOOK_CAP!$D$2:$D$212)),"Código CAP não encontrado"))</f>
        <v>2300 - GERAL</v>
      </c>
      <c r="AJ46" s="12" t="str">
        <f>IF(AH46="","",IFERROR(_xlfn.XLOOKUP(RIGHT("0000"&amp;AH46,4),CODEBOOK_CAP!$C$2:$C$212,CODEBOOK_CAP!$E$2:$E$212),"Código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6" s="22" t="s">
        <v>79</v>
      </c>
      <c r="AL46" s="26" t="s">
        <v>490</v>
      </c>
      <c r="AM46" s="22" t="s">
        <v>79</v>
      </c>
      <c r="AN46" s="22" t="s">
        <v>79</v>
      </c>
      <c r="AO46" s="12" t="s">
        <v>490</v>
      </c>
      <c r="AP46" s="22" t="s">
        <v>77</v>
      </c>
      <c r="AQ46" s="12"/>
      <c r="AR46" s="22" t="s">
        <v>77</v>
      </c>
      <c r="AS46" s="10"/>
      <c r="AT46" s="2" t="s">
        <v>82</v>
      </c>
      <c r="AU46" s="12" t="s">
        <v>83</v>
      </c>
      <c r="AV46" s="3" t="n">
        <v>46214</v>
      </c>
      <c r="AW46" s="21"/>
      <c r="AX46" s="1" t="s">
        <v>6956</v>
      </c>
      <c r="AY46" s="1"/>
      <c r="BA46" s="1"/>
      <c r="BB46" s="1"/>
    </row>
    <row r="47" ht="255" customHeight="1">
      <c r="A47" s="20" t="s">
        <v>491</v>
      </c>
      <c r="B47" s="20" t="n">
        <v>2023</v>
      </c>
      <c r="C47" s="20" t="n">
        <v>170</v>
      </c>
      <c r="D47" s="20" t="s">
        <v>50</v>
      </c>
      <c r="E47" s="20" t="s">
        <v>458</v>
      </c>
      <c r="F47" s="20" t="s">
        <v>492</v>
      </c>
      <c r="G47" s="20" t="s">
        <v>86</v>
      </c>
      <c r="H47" s="20" t="s">
        <v>460</v>
      </c>
      <c r="I47" s="20"/>
      <c r="J47" s="20" t="s">
        <v>493</v>
      </c>
      <c r="K47" s="20" t="s">
        <v>494</v>
      </c>
      <c r="L47" s="20" t="s">
        <v>479</v>
      </c>
      <c r="M47" s="20" t="s">
        <v>480</v>
      </c>
      <c r="N47" s="20" t="s">
        <v>481</v>
      </c>
      <c r="O47" s="20" t="s">
        <v>482</v>
      </c>
      <c r="P47" s="20" t="s">
        <v>483</v>
      </c>
      <c r="Q47" s="20" t="s">
        <v>484</v>
      </c>
      <c r="R47" s="20" t="s">
        <v>485</v>
      </c>
      <c r="S47" s="20" t="s">
        <v>486</v>
      </c>
      <c r="T47" s="20" t="s">
        <v>487</v>
      </c>
      <c r="U47" s="20" t="s">
        <v>488</v>
      </c>
      <c r="V47" s="20" t="s">
        <v>95</v>
      </c>
      <c r="W47" s="20" t="s">
        <v>96</v>
      </c>
      <c r="X47" s="20" t="s">
        <v>97</v>
      </c>
      <c r="Y47" s="20" t="s">
        <v>70</v>
      </c>
      <c r="Z47" s="20" t="s">
        <v>489</v>
      </c>
      <c r="AA47" s="20" t="s">
        <v>186</v>
      </c>
      <c r="AB47" s="20" t="s">
        <v>495</v>
      </c>
      <c r="AC47" s="20" t="s">
        <v>495</v>
      </c>
      <c r="AD47" s="20" t="s">
        <v>495</v>
      </c>
      <c r="AE47" s="20"/>
      <c r="AF47" s="9" t="n">
        <v>0</v>
      </c>
      <c r="AG47" s="12" t="n">
        <v>0</v>
      </c>
      <c r="AH47" s="22" t="s">
        <v>219</v>
      </c>
      <c r="AI47" s="12" t="str">
        <f>IF(AH47="","",IFERROR(RIGHT("0000"&amp;AH47,4)&amp;" - "&amp;UPPER(_xlfn.XLOOKUP(RIGHT("0000"&amp;AH47,4),CODEBOOK_CAP!$C$2:$C$212,CODEBOOK_CAP!$D$2:$D$212)),"Código CAP não encontrado"))</f>
        <v>1002 - CARROS, TRÂNSITO, CONSTRUÇÃO E MANUTENÇÃO DE RUAS E ESTRADAS</v>
      </c>
      <c r="AJ47" s="12" t="str">
        <f>IF(AH47="","",IFERROR(_xlfn.XLOOKUP(RIGHT("0000"&amp;AH47,4),CODEBOOK_CAP!$C$2:$C$212,CODEBOOK_CAP!$E$2:$E$212),"Código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7" s="22" t="s">
        <v>79</v>
      </c>
      <c r="AL47" s="26" t="s">
        <v>496</v>
      </c>
      <c r="AM47" s="22" t="s">
        <v>79</v>
      </c>
      <c r="AN47" s="22" t="s">
        <v>79</v>
      </c>
      <c r="AO47" s="12" t="s">
        <v>496</v>
      </c>
      <c r="AP47" s="22" t="s">
        <v>77</v>
      </c>
      <c r="AQ47" s="12"/>
      <c r="AR47" s="22" t="s">
        <v>77</v>
      </c>
      <c r="AS47" s="10"/>
      <c r="AT47" s="2" t="s">
        <v>82</v>
      </c>
      <c r="AU47" s="12" t="s">
        <v>83</v>
      </c>
      <c r="AV47" s="3" t="n">
        <v>46214</v>
      </c>
      <c r="AW47" s="21"/>
      <c r="AY47" s="1"/>
      <c r="BA47" s="1"/>
      <c r="BB47" s="1"/>
    </row>
    <row r="48" ht="255" customHeight="1">
      <c r="A48" s="20" t="s">
        <v>497</v>
      </c>
      <c r="B48" s="20" t="n">
        <v>2023</v>
      </c>
      <c r="C48" s="20" t="n">
        <v>171</v>
      </c>
      <c r="D48" s="20" t="s">
        <v>50</v>
      </c>
      <c r="E48" s="20" t="s">
        <v>458</v>
      </c>
      <c r="F48" s="20" t="s">
        <v>498</v>
      </c>
      <c r="G48" s="20" t="s">
        <v>86</v>
      </c>
      <c r="H48" s="20" t="s">
        <v>460</v>
      </c>
      <c r="I48" s="20"/>
      <c r="J48" s="20" t="s">
        <v>499</v>
      </c>
      <c r="K48" s="20" t="s">
        <v>500</v>
      </c>
      <c r="L48" s="20" t="s">
        <v>479</v>
      </c>
      <c r="M48" s="20" t="s">
        <v>480</v>
      </c>
      <c r="N48" s="20" t="s">
        <v>481</v>
      </c>
      <c r="O48" s="20" t="s">
        <v>482</v>
      </c>
      <c r="P48" s="20" t="s">
        <v>483</v>
      </c>
      <c r="Q48" s="20" t="s">
        <v>484</v>
      </c>
      <c r="R48" s="20" t="s">
        <v>485</v>
      </c>
      <c r="S48" s="20" t="s">
        <v>486</v>
      </c>
      <c r="T48" s="20" t="s">
        <v>487</v>
      </c>
      <c r="U48" s="20" t="s">
        <v>488</v>
      </c>
      <c r="V48" s="20" t="s">
        <v>95</v>
      </c>
      <c r="W48" s="20" t="s">
        <v>96</v>
      </c>
      <c r="X48" s="20" t="s">
        <v>97</v>
      </c>
      <c r="Y48" s="20" t="s">
        <v>70</v>
      </c>
      <c r="Z48" s="20" t="s">
        <v>489</v>
      </c>
      <c r="AA48" s="20" t="s">
        <v>501</v>
      </c>
      <c r="AB48" s="20" t="s">
        <v>502</v>
      </c>
      <c r="AC48" s="20" t="s">
        <v>502</v>
      </c>
      <c r="AD48" s="20" t="s">
        <v>502</v>
      </c>
      <c r="AE48" s="20"/>
      <c r="AF48" s="9" t="n">
        <v>0</v>
      </c>
      <c r="AG48" s="12" t="n">
        <v>0</v>
      </c>
      <c r="AH48" s="22" t="s">
        <v>219</v>
      </c>
      <c r="AI48" s="12" t="str">
        <f>IF(AH48="","",IFERROR(RIGHT("0000"&amp;AH48,4)&amp;" - "&amp;UPPER(_xlfn.XLOOKUP(RIGHT("0000"&amp;AH48,4),CODEBOOK_CAP!$C$2:$C$212,CODEBOOK_CAP!$D$2:$D$212)),"Código CAP não encontrado"))</f>
        <v>1002 - CARROS, TRÂNSITO, CONSTRUÇÃO E MANUTENÇÃO DE RUAS E ESTRADAS</v>
      </c>
      <c r="AJ48" s="12" t="str">
        <f>IF(AH48="","",IFERROR(_xlfn.XLOOKUP(RIGHT("0000"&amp;AH48,4),CODEBOOK_CAP!$C$2:$C$212,CODEBOOK_CAP!$E$2:$E$212),"Código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8" s="22" t="s">
        <v>79</v>
      </c>
      <c r="AL48" s="26" t="s">
        <v>503</v>
      </c>
      <c r="AM48" s="22" t="s">
        <v>79</v>
      </c>
      <c r="AN48" s="22" t="s">
        <v>79</v>
      </c>
      <c r="AO48" s="12" t="s">
        <v>503</v>
      </c>
      <c r="AP48" s="22" t="s">
        <v>77</v>
      </c>
      <c r="AQ48" s="12"/>
      <c r="AR48" s="22" t="s">
        <v>77</v>
      </c>
      <c r="AS48" s="10"/>
      <c r="AT48" s="2" t="s">
        <v>82</v>
      </c>
      <c r="AU48" s="12" t="s">
        <v>83</v>
      </c>
      <c r="AV48" s="3" t="n">
        <v>46214</v>
      </c>
      <c r="AW48" s="21"/>
      <c r="AY48" s="1"/>
      <c r="BA48" s="1"/>
      <c r="BB48" s="1"/>
    </row>
    <row r="49" ht="255" customHeight="1">
      <c r="A49" s="20" t="s">
        <v>504</v>
      </c>
      <c r="B49" s="20" t="n">
        <v>2023</v>
      </c>
      <c r="C49" s="20" t="n">
        <v>172</v>
      </c>
      <c r="D49" s="20" t="s">
        <v>50</v>
      </c>
      <c r="E49" s="20" t="s">
        <v>458</v>
      </c>
      <c r="F49" s="20" t="s">
        <v>505</v>
      </c>
      <c r="G49" s="20" t="s">
        <v>86</v>
      </c>
      <c r="H49" s="20" t="s">
        <v>460</v>
      </c>
      <c r="I49" s="20"/>
      <c r="J49" s="20" t="s">
        <v>506</v>
      </c>
      <c r="K49" s="20" t="s">
        <v>494</v>
      </c>
      <c r="L49" s="20" t="s">
        <v>479</v>
      </c>
      <c r="M49" s="20" t="s">
        <v>480</v>
      </c>
      <c r="N49" s="20" t="s">
        <v>481</v>
      </c>
      <c r="O49" s="20" t="s">
        <v>482</v>
      </c>
      <c r="P49" s="20" t="s">
        <v>483</v>
      </c>
      <c r="Q49" s="20" t="s">
        <v>484</v>
      </c>
      <c r="R49" s="20" t="s">
        <v>485</v>
      </c>
      <c r="S49" s="20" t="s">
        <v>486</v>
      </c>
      <c r="T49" s="20" t="s">
        <v>487</v>
      </c>
      <c r="U49" s="20" t="s">
        <v>488</v>
      </c>
      <c r="V49" s="20" t="s">
        <v>95</v>
      </c>
      <c r="W49" s="20" t="s">
        <v>96</v>
      </c>
      <c r="X49" s="20" t="s">
        <v>97</v>
      </c>
      <c r="Y49" s="20" t="s">
        <v>70</v>
      </c>
      <c r="Z49" s="20" t="s">
        <v>489</v>
      </c>
      <c r="AA49" s="20" t="s">
        <v>507</v>
      </c>
      <c r="AB49" s="20" t="s">
        <v>508</v>
      </c>
      <c r="AC49" s="20" t="s">
        <v>508</v>
      </c>
      <c r="AD49" s="20" t="s">
        <v>508</v>
      </c>
      <c r="AE49" s="20"/>
      <c r="AF49" s="9" t="n">
        <v>0</v>
      </c>
      <c r="AG49" s="12" t="n">
        <v>0</v>
      </c>
      <c r="AH49" s="22" t="s">
        <v>219</v>
      </c>
      <c r="AI49" s="12" t="str">
        <f>IF(AH49="","",IFERROR(RIGHT("0000"&amp;AH49,4)&amp;" - "&amp;UPPER(_xlfn.XLOOKUP(RIGHT("0000"&amp;AH49,4),CODEBOOK_CAP!$C$2:$C$212,CODEBOOK_CAP!$D$2:$D$212)),"Código CAP não encontrado"))</f>
        <v>1002 - CARROS, TRÂNSITO, CONSTRUÇÃO E MANUTENÇÃO DE RUAS E ESTRADAS</v>
      </c>
      <c r="AJ49" s="12" t="str">
        <f>IF(AH49="","",IFERROR(_xlfn.XLOOKUP(RIGHT("0000"&amp;AH49,4),CODEBOOK_CAP!$C$2:$C$212,CODEBOOK_CAP!$E$2:$E$212),"Código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9" s="22" t="s">
        <v>79</v>
      </c>
      <c r="AL49" s="26" t="s">
        <v>509</v>
      </c>
      <c r="AM49" s="22" t="s">
        <v>79</v>
      </c>
      <c r="AN49" s="22" t="s">
        <v>79</v>
      </c>
      <c r="AO49" s="12" t="s">
        <v>509</v>
      </c>
      <c r="AP49" s="22" t="s">
        <v>77</v>
      </c>
      <c r="AQ49" s="12"/>
      <c r="AR49" s="22" t="s">
        <v>77</v>
      </c>
      <c r="AS49" s="10"/>
      <c r="AT49" s="2" t="s">
        <v>82</v>
      </c>
      <c r="AU49" s="12" t="s">
        <v>83</v>
      </c>
      <c r="AV49" s="3" t="n">
        <v>46214</v>
      </c>
      <c r="AW49" s="21"/>
      <c r="AY49" s="1"/>
      <c r="BA49" s="1"/>
      <c r="BB49" s="1"/>
    </row>
    <row r="50" ht="255" customHeight="1">
      <c r="A50" s="20" t="s">
        <v>510</v>
      </c>
      <c r="B50" s="20" t="n">
        <v>2023</v>
      </c>
      <c r="C50" s="20" t="n">
        <v>173</v>
      </c>
      <c r="D50" s="20" t="s">
        <v>50</v>
      </c>
      <c r="E50" s="20" t="s">
        <v>458</v>
      </c>
      <c r="F50" s="20" t="s">
        <v>511</v>
      </c>
      <c r="G50" s="20" t="s">
        <v>86</v>
      </c>
      <c r="H50" s="20" t="s">
        <v>460</v>
      </c>
      <c r="I50" s="20"/>
      <c r="J50" s="20" t="s">
        <v>512</v>
      </c>
      <c r="K50" s="20" t="s">
        <v>494</v>
      </c>
      <c r="L50" s="20" t="s">
        <v>479</v>
      </c>
      <c r="M50" s="20" t="s">
        <v>480</v>
      </c>
      <c r="N50" s="20" t="s">
        <v>481</v>
      </c>
      <c r="O50" s="20" t="s">
        <v>482</v>
      </c>
      <c r="P50" s="20" t="s">
        <v>483</v>
      </c>
      <c r="Q50" s="20" t="s">
        <v>484</v>
      </c>
      <c r="R50" s="20" t="s">
        <v>485</v>
      </c>
      <c r="S50" s="20" t="s">
        <v>486</v>
      </c>
      <c r="T50" s="20" t="s">
        <v>487</v>
      </c>
      <c r="U50" s="20" t="s">
        <v>488</v>
      </c>
      <c r="V50" s="20" t="s">
        <v>95</v>
      </c>
      <c r="W50" s="20" t="s">
        <v>96</v>
      </c>
      <c r="X50" s="20" t="s">
        <v>97</v>
      </c>
      <c r="Y50" s="20" t="s">
        <v>70</v>
      </c>
      <c r="Z50" s="20" t="s">
        <v>489</v>
      </c>
      <c r="AA50" s="20" t="s">
        <v>513</v>
      </c>
      <c r="AB50" s="20" t="s">
        <v>514</v>
      </c>
      <c r="AC50" s="20" t="s">
        <v>514</v>
      </c>
      <c r="AD50" s="20" t="s">
        <v>514</v>
      </c>
      <c r="AE50" s="20"/>
      <c r="AF50" s="9" t="n">
        <v>0</v>
      </c>
      <c r="AG50" s="12" t="n">
        <v>0</v>
      </c>
      <c r="AH50" s="22" t="s">
        <v>219</v>
      </c>
      <c r="AI50" s="12" t="str">
        <f>IF(AH50="","",IFERROR(RIGHT("0000"&amp;AH50,4)&amp;" - "&amp;UPPER(_xlfn.XLOOKUP(RIGHT("0000"&amp;AH50,4),CODEBOOK_CAP!$C$2:$C$212,CODEBOOK_CAP!$D$2:$D$212)),"Código CAP não encontrado"))</f>
        <v>1002 - CARROS, TRÂNSITO, CONSTRUÇÃO E MANUTENÇÃO DE RUAS E ESTRADAS</v>
      </c>
      <c r="AJ50" s="12" t="str">
        <f>IF(AH50="","",IFERROR(_xlfn.XLOOKUP(RIGHT("0000"&amp;AH50,4),CODEBOOK_CAP!$C$2:$C$212,CODEBOOK_CAP!$E$2:$E$212),"Código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0" s="22" t="s">
        <v>79</v>
      </c>
      <c r="AL50" s="26" t="s">
        <v>515</v>
      </c>
      <c r="AM50" s="22" t="s">
        <v>79</v>
      </c>
      <c r="AN50" s="22" t="s">
        <v>79</v>
      </c>
      <c r="AO50" s="12" t="s">
        <v>515</v>
      </c>
      <c r="AP50" s="22" t="s">
        <v>77</v>
      </c>
      <c r="AQ50" s="12"/>
      <c r="AR50" s="22" t="s">
        <v>77</v>
      </c>
      <c r="AS50" s="10"/>
      <c r="AT50" s="2" t="s">
        <v>82</v>
      </c>
      <c r="AU50" s="12" t="s">
        <v>83</v>
      </c>
      <c r="AV50" s="3" t="n">
        <v>46214</v>
      </c>
      <c r="AW50" s="21"/>
      <c r="AY50" s="1"/>
      <c r="BA50" s="1"/>
      <c r="BB50" s="1"/>
    </row>
    <row r="51" ht="255" customHeight="1">
      <c r="A51" s="20" t="s">
        <v>516</v>
      </c>
      <c r="B51" s="20" t="n">
        <v>2023</v>
      </c>
      <c r="C51" s="20" t="n">
        <v>174</v>
      </c>
      <c r="D51" s="20" t="s">
        <v>50</v>
      </c>
      <c r="E51" s="20" t="s">
        <v>458</v>
      </c>
      <c r="F51" s="20" t="s">
        <v>517</v>
      </c>
      <c r="G51" s="20" t="s">
        <v>86</v>
      </c>
      <c r="H51" s="20" t="s">
        <v>460</v>
      </c>
      <c r="I51" s="20"/>
      <c r="J51" s="20" t="s">
        <v>518</v>
      </c>
      <c r="K51" s="20" t="s">
        <v>500</v>
      </c>
      <c r="L51" s="20" t="s">
        <v>479</v>
      </c>
      <c r="M51" s="20" t="s">
        <v>480</v>
      </c>
      <c r="N51" s="20" t="s">
        <v>481</v>
      </c>
      <c r="O51" s="20" t="s">
        <v>482</v>
      </c>
      <c r="P51" s="20" t="s">
        <v>483</v>
      </c>
      <c r="Q51" s="20" t="s">
        <v>484</v>
      </c>
      <c r="R51" s="20" t="s">
        <v>485</v>
      </c>
      <c r="S51" s="20" t="s">
        <v>486</v>
      </c>
      <c r="T51" s="20" t="s">
        <v>487</v>
      </c>
      <c r="U51" s="20" t="s">
        <v>488</v>
      </c>
      <c r="V51" s="20" t="s">
        <v>95</v>
      </c>
      <c r="W51" s="20" t="s">
        <v>96</v>
      </c>
      <c r="X51" s="20" t="s">
        <v>97</v>
      </c>
      <c r="Y51" s="20" t="s">
        <v>70</v>
      </c>
      <c r="Z51" s="20" t="s">
        <v>489</v>
      </c>
      <c r="AA51" s="20" t="s">
        <v>501</v>
      </c>
      <c r="AB51" s="20" t="s">
        <v>519</v>
      </c>
      <c r="AC51" s="20" t="s">
        <v>519</v>
      </c>
      <c r="AD51" s="20" t="s">
        <v>519</v>
      </c>
      <c r="AE51" s="20"/>
      <c r="AF51" s="9" t="n">
        <v>0</v>
      </c>
      <c r="AG51" s="12" t="n">
        <v>0</v>
      </c>
      <c r="AH51" s="22" t="s">
        <v>219</v>
      </c>
      <c r="AI51" s="12" t="str">
        <f>IF(AH51="","",IFERROR(RIGHT("0000"&amp;AH51,4)&amp;" - "&amp;UPPER(_xlfn.XLOOKUP(RIGHT("0000"&amp;AH51,4),CODEBOOK_CAP!$C$2:$C$212,CODEBOOK_CAP!$D$2:$D$212)),"Código CAP não encontrado"))</f>
        <v>1002 - CARROS, TRÂNSITO, CONSTRUÇÃO E MANUTENÇÃO DE RUAS E ESTRADAS</v>
      </c>
      <c r="AJ51" s="12" t="str">
        <f>IF(AH51="","",IFERROR(_xlfn.XLOOKUP(RIGHT("0000"&amp;AH51,4),CODEBOOK_CAP!$C$2:$C$212,CODEBOOK_CAP!$E$2:$E$212),"Código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1" s="22" t="s">
        <v>79</v>
      </c>
      <c r="AL51" s="26" t="s">
        <v>520</v>
      </c>
      <c r="AM51" s="22" t="s">
        <v>79</v>
      </c>
      <c r="AN51" s="22" t="s">
        <v>79</v>
      </c>
      <c r="AO51" s="12" t="s">
        <v>521</v>
      </c>
      <c r="AP51" s="22" t="s">
        <v>77</v>
      </c>
      <c r="AQ51" s="12"/>
      <c r="AR51" s="22" t="s">
        <v>77</v>
      </c>
      <c r="AS51" s="10"/>
      <c r="AT51" s="2" t="s">
        <v>82</v>
      </c>
      <c r="AU51" s="12" t="s">
        <v>83</v>
      </c>
      <c r="AV51" s="3" t="n">
        <v>46214</v>
      </c>
      <c r="AW51" s="21"/>
      <c r="AY51" s="1"/>
      <c r="BA51" s="1"/>
      <c r="BB51" s="1"/>
    </row>
    <row r="52" ht="255" customHeight="1">
      <c r="A52" s="20" t="s">
        <v>522</v>
      </c>
      <c r="B52" s="20" t="n">
        <v>2023</v>
      </c>
      <c r="C52" s="20" t="n">
        <v>175</v>
      </c>
      <c r="D52" s="20" t="s">
        <v>50</v>
      </c>
      <c r="E52" s="20" t="s">
        <v>458</v>
      </c>
      <c r="F52" s="20" t="s">
        <v>523</v>
      </c>
      <c r="G52" s="20" t="s">
        <v>86</v>
      </c>
      <c r="H52" s="20" t="s">
        <v>460</v>
      </c>
      <c r="I52" s="20"/>
      <c r="J52" s="20" t="s">
        <v>524</v>
      </c>
      <c r="K52" s="20" t="s">
        <v>500</v>
      </c>
      <c r="L52" s="20" t="s">
        <v>479</v>
      </c>
      <c r="M52" s="20" t="s">
        <v>480</v>
      </c>
      <c r="N52" s="20" t="s">
        <v>481</v>
      </c>
      <c r="O52" s="20" t="s">
        <v>482</v>
      </c>
      <c r="P52" s="20" t="s">
        <v>483</v>
      </c>
      <c r="Q52" s="20" t="s">
        <v>484</v>
      </c>
      <c r="R52" s="20" t="s">
        <v>485</v>
      </c>
      <c r="S52" s="20" t="s">
        <v>486</v>
      </c>
      <c r="T52" s="20" t="s">
        <v>487</v>
      </c>
      <c r="U52" s="20" t="s">
        <v>488</v>
      </c>
      <c r="V52" s="20" t="s">
        <v>95</v>
      </c>
      <c r="W52" s="20" t="s">
        <v>96</v>
      </c>
      <c r="X52" s="20" t="s">
        <v>97</v>
      </c>
      <c r="Y52" s="20" t="s">
        <v>70</v>
      </c>
      <c r="Z52" s="20" t="s">
        <v>489</v>
      </c>
      <c r="AA52" s="20" t="s">
        <v>525</v>
      </c>
      <c r="AB52" s="20" t="s">
        <v>526</v>
      </c>
      <c r="AC52" s="20" t="s">
        <v>526</v>
      </c>
      <c r="AD52" s="20" t="s">
        <v>526</v>
      </c>
      <c r="AE52" s="20"/>
      <c r="AF52" s="9" t="n">
        <v>0</v>
      </c>
      <c r="AG52" s="12" t="n">
        <v>0</v>
      </c>
      <c r="AH52" s="22" t="s">
        <v>219</v>
      </c>
      <c r="AI52" s="12" t="str">
        <f>IF(AH52="","",IFERROR(RIGHT("0000"&amp;AH52,4)&amp;" - "&amp;UPPER(_xlfn.XLOOKUP(RIGHT("0000"&amp;AH52,4),CODEBOOK_CAP!$C$2:$C$212,CODEBOOK_CAP!$D$2:$D$212)),"Código CAP não encontrado"))</f>
        <v>1002 - CARROS, TRÂNSITO, CONSTRUÇÃO E MANUTENÇÃO DE RUAS E ESTRADAS</v>
      </c>
      <c r="AJ52" s="12" t="str">
        <f>IF(AH52="","",IFERROR(_xlfn.XLOOKUP(RIGHT("0000"&amp;AH52,4),CODEBOOK_CAP!$C$2:$C$212,CODEBOOK_CAP!$E$2:$E$212),"Código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2" s="22" t="s">
        <v>79</v>
      </c>
      <c r="AL52" s="26" t="s">
        <v>527</v>
      </c>
      <c r="AM52" s="22" t="s">
        <v>79</v>
      </c>
      <c r="AN52" s="22" t="s">
        <v>79</v>
      </c>
      <c r="AO52" s="12" t="s">
        <v>527</v>
      </c>
      <c r="AP52" s="22" t="s">
        <v>77</v>
      </c>
      <c r="AQ52" s="12"/>
      <c r="AR52" s="22" t="s">
        <v>77</v>
      </c>
      <c r="AS52" s="10"/>
      <c r="AT52" s="2" t="s">
        <v>82</v>
      </c>
      <c r="AU52" s="12" t="s">
        <v>83</v>
      </c>
      <c r="AV52" s="3" t="n">
        <v>46214</v>
      </c>
      <c r="AW52" s="21"/>
      <c r="AY52" s="1"/>
      <c r="BA52" s="1"/>
      <c r="BB52" s="1"/>
    </row>
    <row r="53" ht="255" customHeight="1">
      <c r="A53" s="20" t="s">
        <v>528</v>
      </c>
      <c r="B53" s="20" t="n">
        <v>2023</v>
      </c>
      <c r="C53" s="20" t="n">
        <v>176</v>
      </c>
      <c r="D53" s="20" t="s">
        <v>50</v>
      </c>
      <c r="E53" s="20" t="s">
        <v>458</v>
      </c>
      <c r="F53" s="20" t="s">
        <v>529</v>
      </c>
      <c r="G53" s="20" t="s">
        <v>86</v>
      </c>
      <c r="H53" s="20" t="s">
        <v>460</v>
      </c>
      <c r="I53" s="20"/>
      <c r="J53" s="20" t="s">
        <v>530</v>
      </c>
      <c r="K53" s="20" t="s">
        <v>500</v>
      </c>
      <c r="L53" s="20" t="s">
        <v>479</v>
      </c>
      <c r="M53" s="20" t="s">
        <v>480</v>
      </c>
      <c r="N53" s="20" t="s">
        <v>481</v>
      </c>
      <c r="O53" s="20" t="s">
        <v>482</v>
      </c>
      <c r="P53" s="20" t="s">
        <v>483</v>
      </c>
      <c r="Q53" s="20" t="s">
        <v>484</v>
      </c>
      <c r="R53" s="20" t="s">
        <v>485</v>
      </c>
      <c r="S53" s="20" t="s">
        <v>486</v>
      </c>
      <c r="T53" s="20" t="s">
        <v>487</v>
      </c>
      <c r="U53" s="20" t="s">
        <v>488</v>
      </c>
      <c r="V53" s="20" t="s">
        <v>95</v>
      </c>
      <c r="W53" s="20" t="s">
        <v>96</v>
      </c>
      <c r="X53" s="20" t="s">
        <v>97</v>
      </c>
      <c r="Y53" s="20" t="s">
        <v>70</v>
      </c>
      <c r="Z53" s="20" t="s">
        <v>489</v>
      </c>
      <c r="AA53" s="20" t="s">
        <v>501</v>
      </c>
      <c r="AB53" s="20" t="s">
        <v>531</v>
      </c>
      <c r="AC53" s="20" t="s">
        <v>531</v>
      </c>
      <c r="AD53" s="20" t="s">
        <v>531</v>
      </c>
      <c r="AE53" s="20"/>
      <c r="AF53" s="9" t="n">
        <v>0</v>
      </c>
      <c r="AG53" s="12" t="n">
        <v>0</v>
      </c>
      <c r="AH53" s="22" t="s">
        <v>219</v>
      </c>
      <c r="AI53" s="12" t="str">
        <f>IF(AH53="","",IFERROR(RIGHT("0000"&amp;AH53,4)&amp;" - "&amp;UPPER(_xlfn.XLOOKUP(RIGHT("0000"&amp;AH53,4),CODEBOOK_CAP!$C$2:$C$212,CODEBOOK_CAP!$D$2:$D$212)),"Código CAP não encontrado"))</f>
        <v>1002 - CARROS, TRÂNSITO, CONSTRUÇÃO E MANUTENÇÃO DE RUAS E ESTRADAS</v>
      </c>
      <c r="AJ53" s="12" t="str">
        <f>IF(AH53="","",IFERROR(_xlfn.XLOOKUP(RIGHT("0000"&amp;AH53,4),CODEBOOK_CAP!$C$2:$C$212,CODEBOOK_CAP!$E$2:$E$212),"Código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3" s="22" t="s">
        <v>79</v>
      </c>
      <c r="AL53" s="26" t="s">
        <v>532</v>
      </c>
      <c r="AM53" s="22" t="s">
        <v>79</v>
      </c>
      <c r="AN53" s="22" t="s">
        <v>79</v>
      </c>
      <c r="AO53" s="12" t="s">
        <v>532</v>
      </c>
      <c r="AP53" s="22" t="s">
        <v>77</v>
      </c>
      <c r="AQ53" s="12"/>
      <c r="AR53" s="22" t="s">
        <v>77</v>
      </c>
      <c r="AS53" s="10"/>
      <c r="AT53" s="2" t="s">
        <v>82</v>
      </c>
      <c r="AU53" s="12" t="s">
        <v>83</v>
      </c>
      <c r="AV53" s="3" t="n">
        <v>46214</v>
      </c>
      <c r="AW53" s="21"/>
      <c r="AY53" s="1"/>
      <c r="BA53" s="1"/>
      <c r="BB53" s="1"/>
    </row>
    <row r="54" ht="255" customHeight="1">
      <c r="A54" s="20" t="s">
        <v>533</v>
      </c>
      <c r="B54" s="20" t="n">
        <v>2023</v>
      </c>
      <c r="C54" s="20" t="n">
        <v>177</v>
      </c>
      <c r="D54" s="20" t="s">
        <v>50</v>
      </c>
      <c r="E54" s="20" t="s">
        <v>458</v>
      </c>
      <c r="F54" s="20" t="s">
        <v>534</v>
      </c>
      <c r="G54" s="20" t="s">
        <v>86</v>
      </c>
      <c r="H54" s="20" t="s">
        <v>460</v>
      </c>
      <c r="I54" s="20"/>
      <c r="J54" s="20" t="s">
        <v>535</v>
      </c>
      <c r="K54" s="20" t="s">
        <v>494</v>
      </c>
      <c r="L54" s="20" t="s">
        <v>479</v>
      </c>
      <c r="M54" s="20" t="s">
        <v>480</v>
      </c>
      <c r="N54" s="20" t="s">
        <v>481</v>
      </c>
      <c r="O54" s="20" t="s">
        <v>482</v>
      </c>
      <c r="P54" s="20" t="s">
        <v>483</v>
      </c>
      <c r="Q54" s="20" t="s">
        <v>484</v>
      </c>
      <c r="R54" s="20" t="s">
        <v>485</v>
      </c>
      <c r="S54" s="20" t="s">
        <v>486</v>
      </c>
      <c r="T54" s="20" t="s">
        <v>487</v>
      </c>
      <c r="U54" s="20" t="s">
        <v>488</v>
      </c>
      <c r="V54" s="20" t="s">
        <v>95</v>
      </c>
      <c r="W54" s="20" t="s">
        <v>96</v>
      </c>
      <c r="X54" s="20" t="s">
        <v>97</v>
      </c>
      <c r="Y54" s="20" t="s">
        <v>70</v>
      </c>
      <c r="Z54" s="20" t="s">
        <v>489</v>
      </c>
      <c r="AA54" s="20" t="s">
        <v>536</v>
      </c>
      <c r="AB54" s="20" t="s">
        <v>537</v>
      </c>
      <c r="AC54" s="20" t="s">
        <v>538</v>
      </c>
      <c r="AD54" s="20" t="s">
        <v>537</v>
      </c>
      <c r="AE54" s="20"/>
      <c r="AF54" s="9" t="n">
        <v>0</v>
      </c>
      <c r="AG54" s="12" t="n">
        <v>0</v>
      </c>
      <c r="AH54" s="22" t="s">
        <v>219</v>
      </c>
      <c r="AI54" s="12" t="str">
        <f>IF(AH54="","",IFERROR(RIGHT("0000"&amp;AH54,4)&amp;" - "&amp;UPPER(_xlfn.XLOOKUP(RIGHT("0000"&amp;AH54,4),CODEBOOK_CAP!$C$2:$C$212,CODEBOOK_CAP!$D$2:$D$212)),"Código CAP não encontrado"))</f>
        <v>1002 - CARROS, TRÂNSITO, CONSTRUÇÃO E MANUTENÇÃO DE RUAS E ESTRADAS</v>
      </c>
      <c r="AJ54" s="12" t="str">
        <f>IF(AH54="","",IFERROR(_xlfn.XLOOKUP(RIGHT("0000"&amp;AH54,4),CODEBOOK_CAP!$C$2:$C$212,CODEBOOK_CAP!$E$2:$E$212),"Código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4" s="22" t="s">
        <v>79</v>
      </c>
      <c r="AL54" s="26" t="s">
        <v>539</v>
      </c>
      <c r="AM54" s="22" t="s">
        <v>79</v>
      </c>
      <c r="AN54" s="22" t="s">
        <v>79</v>
      </c>
      <c r="AO54" s="12" t="s">
        <v>539</v>
      </c>
      <c r="AP54" s="22" t="s">
        <v>77</v>
      </c>
      <c r="AQ54" s="12"/>
      <c r="AR54" s="22" t="s">
        <v>77</v>
      </c>
      <c r="AS54" s="10"/>
      <c r="AT54" s="2" t="s">
        <v>82</v>
      </c>
      <c r="AU54" s="12" t="s">
        <v>83</v>
      </c>
      <c r="AV54" s="3" t="n">
        <v>46214</v>
      </c>
      <c r="AW54" s="21"/>
      <c r="AY54" s="1"/>
      <c r="BA54" s="1"/>
      <c r="BB54" s="1"/>
    </row>
    <row r="55" ht="255" customHeight="1">
      <c r="A55" s="20" t="s">
        <v>540</v>
      </c>
      <c r="B55" s="20" t="n">
        <v>2023</v>
      </c>
      <c r="C55" s="20" t="n">
        <v>178</v>
      </c>
      <c r="D55" s="20" t="s">
        <v>50</v>
      </c>
      <c r="E55" s="20" t="s">
        <v>458</v>
      </c>
      <c r="F55" s="20" t="s">
        <v>541</v>
      </c>
      <c r="G55" s="20" t="s">
        <v>86</v>
      </c>
      <c r="H55" s="20" t="s">
        <v>460</v>
      </c>
      <c r="I55" s="20"/>
      <c r="J55" s="20" t="s">
        <v>542</v>
      </c>
      <c r="K55" s="20" t="s">
        <v>494</v>
      </c>
      <c r="L55" s="20" t="s">
        <v>479</v>
      </c>
      <c r="M55" s="20" t="s">
        <v>480</v>
      </c>
      <c r="N55" s="20" t="s">
        <v>481</v>
      </c>
      <c r="O55" s="20" t="s">
        <v>482</v>
      </c>
      <c r="P55" s="20" t="s">
        <v>483</v>
      </c>
      <c r="Q55" s="20" t="s">
        <v>484</v>
      </c>
      <c r="R55" s="20" t="s">
        <v>485</v>
      </c>
      <c r="S55" s="20" t="s">
        <v>486</v>
      </c>
      <c r="T55" s="20" t="s">
        <v>487</v>
      </c>
      <c r="U55" s="20" t="s">
        <v>488</v>
      </c>
      <c r="V55" s="20" t="s">
        <v>95</v>
      </c>
      <c r="W55" s="20" t="s">
        <v>96</v>
      </c>
      <c r="X55" s="20" t="s">
        <v>97</v>
      </c>
      <c r="Y55" s="20" t="s">
        <v>70</v>
      </c>
      <c r="Z55" s="20" t="s">
        <v>489</v>
      </c>
      <c r="AA55" s="20" t="s">
        <v>395</v>
      </c>
      <c r="AB55" s="20" t="s">
        <v>543</v>
      </c>
      <c r="AC55" s="20" t="s">
        <v>543</v>
      </c>
      <c r="AD55" s="20" t="s">
        <v>543</v>
      </c>
      <c r="AE55" s="20"/>
      <c r="AF55" s="9" t="n">
        <v>0</v>
      </c>
      <c r="AG55" s="12" t="n">
        <v>0</v>
      </c>
      <c r="AH55" s="22" t="s">
        <v>219</v>
      </c>
      <c r="AI55" s="12" t="str">
        <f>IF(AH55="","",IFERROR(RIGHT("0000"&amp;AH55,4)&amp;" - "&amp;UPPER(_xlfn.XLOOKUP(RIGHT("0000"&amp;AH55,4),CODEBOOK_CAP!$C$2:$C$212,CODEBOOK_CAP!$D$2:$D$212)),"Código CAP não encontrado"))</f>
        <v>1002 - CARROS, TRÂNSITO, CONSTRUÇÃO E MANUTENÇÃO DE RUAS E ESTRADAS</v>
      </c>
      <c r="AJ55" s="12" t="str">
        <f>IF(AH55="","",IFERROR(_xlfn.XLOOKUP(RIGHT("0000"&amp;AH55,4),CODEBOOK_CAP!$C$2:$C$212,CODEBOOK_CAP!$E$2:$E$212),"Código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5" s="22" t="s">
        <v>79</v>
      </c>
      <c r="AL55" s="26" t="s">
        <v>544</v>
      </c>
      <c r="AM55" s="22" t="s">
        <v>79</v>
      </c>
      <c r="AN55" s="22" t="s">
        <v>79</v>
      </c>
      <c r="AO55" s="12" t="s">
        <v>544</v>
      </c>
      <c r="AP55" s="22" t="s">
        <v>77</v>
      </c>
      <c r="AQ55" s="12"/>
      <c r="AR55" s="22" t="s">
        <v>77</v>
      </c>
      <c r="AS55" s="10"/>
      <c r="AT55" s="2" t="s">
        <v>82</v>
      </c>
      <c r="AU55" s="12" t="s">
        <v>83</v>
      </c>
      <c r="AV55" s="3" t="n">
        <v>46214</v>
      </c>
      <c r="AW55" s="21"/>
      <c r="AY55" s="1"/>
      <c r="BA55" s="1"/>
      <c r="BB55" s="1"/>
    </row>
    <row r="56" ht="255" customHeight="1">
      <c r="A56" s="20" t="s">
        <v>545</v>
      </c>
      <c r="B56" s="20" t="n">
        <v>2023</v>
      </c>
      <c r="C56" s="20" t="n">
        <v>179</v>
      </c>
      <c r="D56" s="20" t="s">
        <v>50</v>
      </c>
      <c r="E56" s="20" t="s">
        <v>458</v>
      </c>
      <c r="F56" s="20" t="s">
        <v>546</v>
      </c>
      <c r="G56" s="20" t="s">
        <v>86</v>
      </c>
      <c r="H56" s="20" t="s">
        <v>460</v>
      </c>
      <c r="I56" s="20"/>
      <c r="J56" s="20" t="s">
        <v>547</v>
      </c>
      <c r="K56" s="20" t="s">
        <v>494</v>
      </c>
      <c r="L56" s="20" t="s">
        <v>479</v>
      </c>
      <c r="M56" s="20" t="s">
        <v>480</v>
      </c>
      <c r="N56" s="20" t="s">
        <v>481</v>
      </c>
      <c r="O56" s="20" t="s">
        <v>482</v>
      </c>
      <c r="P56" s="20" t="s">
        <v>483</v>
      </c>
      <c r="Q56" s="20" t="s">
        <v>484</v>
      </c>
      <c r="R56" s="20" t="s">
        <v>485</v>
      </c>
      <c r="S56" s="20" t="s">
        <v>486</v>
      </c>
      <c r="T56" s="20" t="s">
        <v>487</v>
      </c>
      <c r="U56" s="20" t="s">
        <v>488</v>
      </c>
      <c r="V56" s="20" t="s">
        <v>95</v>
      </c>
      <c r="W56" s="20" t="s">
        <v>96</v>
      </c>
      <c r="X56" s="20" t="s">
        <v>97</v>
      </c>
      <c r="Y56" s="20" t="s">
        <v>70</v>
      </c>
      <c r="Z56" s="20" t="s">
        <v>489</v>
      </c>
      <c r="AA56" s="20" t="s">
        <v>548</v>
      </c>
      <c r="AB56" s="20" t="s">
        <v>549</v>
      </c>
      <c r="AC56" s="20" t="s">
        <v>549</v>
      </c>
      <c r="AD56" s="20" t="s">
        <v>549</v>
      </c>
      <c r="AE56" s="20"/>
      <c r="AF56" s="9" t="n">
        <v>0</v>
      </c>
      <c r="AG56" s="12" t="n">
        <v>0</v>
      </c>
      <c r="AH56" s="22" t="s">
        <v>219</v>
      </c>
      <c r="AI56" s="12" t="str">
        <f>IF(AH56="","",IFERROR(RIGHT("0000"&amp;AH56,4)&amp;" - "&amp;UPPER(_xlfn.XLOOKUP(RIGHT("0000"&amp;AH56,4),CODEBOOK_CAP!$C$2:$C$212,CODEBOOK_CAP!$D$2:$D$212)),"Código CAP não encontrado"))</f>
        <v>1002 - CARROS, TRÂNSITO, CONSTRUÇÃO E MANUTENÇÃO DE RUAS E ESTRADAS</v>
      </c>
      <c r="AJ56" s="12" t="str">
        <f>IF(AH56="","",IFERROR(_xlfn.XLOOKUP(RIGHT("0000"&amp;AH56,4),CODEBOOK_CAP!$C$2:$C$212,CODEBOOK_CAP!$E$2:$E$212),"Código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6" s="22" t="s">
        <v>79</v>
      </c>
      <c r="AL56" s="26" t="s">
        <v>550</v>
      </c>
      <c r="AM56" s="22" t="s">
        <v>79</v>
      </c>
      <c r="AN56" s="22" t="s">
        <v>79</v>
      </c>
      <c r="AO56" s="12" t="s">
        <v>550</v>
      </c>
      <c r="AP56" s="22" t="s">
        <v>77</v>
      </c>
      <c r="AQ56" s="12"/>
      <c r="AR56" s="22" t="s">
        <v>77</v>
      </c>
      <c r="AS56" s="10"/>
      <c r="AT56" s="2" t="s">
        <v>82</v>
      </c>
      <c r="AU56" s="12" t="s">
        <v>83</v>
      </c>
      <c r="AV56" s="3" t="n">
        <v>46214</v>
      </c>
      <c r="AW56" s="21"/>
      <c r="AY56" s="1"/>
      <c r="BA56" s="1"/>
      <c r="BB56" s="1"/>
    </row>
    <row r="57" ht="255" customHeight="1">
      <c r="A57" s="20" t="s">
        <v>551</v>
      </c>
      <c r="B57" s="20" t="n">
        <v>2023</v>
      </c>
      <c r="C57" s="20" t="n">
        <v>180</v>
      </c>
      <c r="D57" s="20" t="s">
        <v>50</v>
      </c>
      <c r="E57" s="20" t="s">
        <v>458</v>
      </c>
      <c r="F57" s="20" t="s">
        <v>552</v>
      </c>
      <c r="G57" s="20" t="s">
        <v>86</v>
      </c>
      <c r="H57" s="20" t="s">
        <v>460</v>
      </c>
      <c r="I57" s="20"/>
      <c r="J57" s="20" t="s">
        <v>553</v>
      </c>
      <c r="K57" s="20" t="s">
        <v>494</v>
      </c>
      <c r="L57" s="20" t="s">
        <v>479</v>
      </c>
      <c r="M57" s="20" t="s">
        <v>480</v>
      </c>
      <c r="N57" s="20" t="s">
        <v>481</v>
      </c>
      <c r="O57" s="20" t="s">
        <v>482</v>
      </c>
      <c r="P57" s="20" t="s">
        <v>483</v>
      </c>
      <c r="Q57" s="20" t="s">
        <v>484</v>
      </c>
      <c r="R57" s="20" t="s">
        <v>485</v>
      </c>
      <c r="S57" s="20" t="s">
        <v>486</v>
      </c>
      <c r="T57" s="20" t="s">
        <v>487</v>
      </c>
      <c r="U57" s="20" t="s">
        <v>488</v>
      </c>
      <c r="V57" s="20" t="s">
        <v>95</v>
      </c>
      <c r="W57" s="20" t="s">
        <v>96</v>
      </c>
      <c r="X57" s="20" t="s">
        <v>97</v>
      </c>
      <c r="Y57" s="20" t="s">
        <v>70</v>
      </c>
      <c r="Z57" s="20" t="s">
        <v>489</v>
      </c>
      <c r="AA57" s="20" t="s">
        <v>363</v>
      </c>
      <c r="AB57" s="20" t="s">
        <v>554</v>
      </c>
      <c r="AC57" s="20" t="s">
        <v>555</v>
      </c>
      <c r="AD57" s="20" t="s">
        <v>554</v>
      </c>
      <c r="AE57" s="20"/>
      <c r="AF57" s="9" t="n">
        <v>0</v>
      </c>
      <c r="AG57" s="12" t="n">
        <v>0</v>
      </c>
      <c r="AH57" s="22" t="s">
        <v>219</v>
      </c>
      <c r="AI57" s="12" t="str">
        <f>IF(AH57="","",IFERROR(RIGHT("0000"&amp;AH57,4)&amp;" - "&amp;UPPER(_xlfn.XLOOKUP(RIGHT("0000"&amp;AH57,4),CODEBOOK_CAP!$C$2:$C$212,CODEBOOK_CAP!$D$2:$D$212)),"Código CAP não encontrado"))</f>
        <v>1002 - CARROS, TRÂNSITO, CONSTRUÇÃO E MANUTENÇÃO DE RUAS E ESTRADAS</v>
      </c>
      <c r="AJ57" s="12" t="str">
        <f>IF(AH57="","",IFERROR(_xlfn.XLOOKUP(RIGHT("0000"&amp;AH57,4),CODEBOOK_CAP!$C$2:$C$212,CODEBOOK_CAP!$E$2:$E$212),"Código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57" s="22" t="n">
        <v>1</v>
      </c>
      <c r="AL57" s="26" t="s">
        <v>10098</v>
      </c>
      <c r="AM57" s="22" t="n">
        <v>1</v>
      </c>
      <c r="AN57" s="22" t="n">
        <v>1</v>
      </c>
      <c r="AO57" s="26" t="s">
        <v>10099</v>
      </c>
      <c r="AP57" s="22" t="s">
        <v>77</v>
      </c>
      <c r="AQ57" s="12"/>
      <c r="AR57" s="22" t="s">
        <v>77</v>
      </c>
      <c r="AS57" s="10"/>
      <c r="AT57" s="2" t="s">
        <v>82</v>
      </c>
      <c r="AU57" s="12" t="s">
        <v>83</v>
      </c>
      <c r="AV57" s="3" t="n">
        <v>46214</v>
      </c>
      <c r="AW57" s="21"/>
      <c r="AY57" s="1"/>
      <c r="BA57" s="1"/>
      <c r="BB57" s="1"/>
    </row>
    <row r="58" ht="75" customHeight="1">
      <c r="A58" s="20" t="s">
        <v>557</v>
      </c>
      <c r="B58" s="20" t="n">
        <v>2023</v>
      </c>
      <c r="C58" s="20" t="n">
        <v>181</v>
      </c>
      <c r="D58" s="20" t="s">
        <v>50</v>
      </c>
      <c r="E58" s="20" t="s">
        <v>458</v>
      </c>
      <c r="F58" s="20" t="s">
        <v>558</v>
      </c>
      <c r="G58" s="20" t="s">
        <v>86</v>
      </c>
      <c r="H58" s="20" t="s">
        <v>460</v>
      </c>
      <c r="I58" s="20"/>
      <c r="J58" s="20" t="s">
        <v>559</v>
      </c>
      <c r="K58" s="20" t="s">
        <v>289</v>
      </c>
      <c r="L58" s="20" t="s">
        <v>208</v>
      </c>
      <c r="M58" s="20" t="s">
        <v>209</v>
      </c>
      <c r="N58" s="20" t="s">
        <v>210</v>
      </c>
      <c r="O58" s="20" t="s">
        <v>211</v>
      </c>
      <c r="P58" s="20" t="s">
        <v>212</v>
      </c>
      <c r="Q58" s="20" t="s">
        <v>213</v>
      </c>
      <c r="R58" s="20" t="s">
        <v>251</v>
      </c>
      <c r="S58" s="20" t="s">
        <v>252</v>
      </c>
      <c r="T58" s="20" t="s">
        <v>290</v>
      </c>
      <c r="U58" s="20" t="s">
        <v>291</v>
      </c>
      <c r="V58" s="20" t="s">
        <v>67</v>
      </c>
      <c r="W58" s="20" t="s">
        <v>68</v>
      </c>
      <c r="X58" s="20" t="s">
        <v>69</v>
      </c>
      <c r="Y58" s="20" t="s">
        <v>70</v>
      </c>
      <c r="Z58" s="20" t="s">
        <v>177</v>
      </c>
      <c r="AA58" s="20" t="s">
        <v>560</v>
      </c>
      <c r="AB58" s="20" t="s">
        <v>77</v>
      </c>
      <c r="AC58" s="20" t="s">
        <v>77</v>
      </c>
      <c r="AD58" s="20" t="s">
        <v>77</v>
      </c>
      <c r="AE58" s="20"/>
      <c r="AF58" s="9" t="n">
        <v>0</v>
      </c>
      <c r="AG58" s="12" t="n">
        <v>0</v>
      </c>
      <c r="AH58" s="22" t="s">
        <v>304</v>
      </c>
      <c r="AI58" s="12" t="str">
        <f>IF(AH58="","",IFERROR(RIGHT("0000"&amp;AH58,4)&amp;" - "&amp;UPPER(_xlfn.XLOOKUP(RIGHT("0000"&amp;AH58,4),CODEBOOK_CAP!$C$2:$C$212,CODEBOOK_CAP!$D$2:$D$212)),"Código CAP não encontrado"))</f>
        <v>1403 - REABILITAÇÃO URBANA, ECONOMIA URBANA</v>
      </c>
      <c r="AJ58" s="12" t="str">
        <f>IF(AH58="","",IFERROR(_xlfn.XLOOKUP(RIGHT("0000"&amp;AH58,4),CODEBOOK_CAP!$C$2:$C$212,CODEBOOK_CAP!$E$2:$E$212),"Código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58" s="22" t="s">
        <v>79</v>
      </c>
      <c r="AL58" s="26" t="s">
        <v>474</v>
      </c>
      <c r="AM58" s="22" t="s">
        <v>79</v>
      </c>
      <c r="AN58" s="22" t="s">
        <v>77</v>
      </c>
      <c r="AO58" s="12"/>
      <c r="AP58" s="22" t="s">
        <v>77</v>
      </c>
      <c r="AQ58" s="12"/>
      <c r="AR58" s="22" t="s">
        <v>77</v>
      </c>
      <c r="AS58" s="10"/>
      <c r="AT58" s="2" t="s">
        <v>82</v>
      </c>
      <c r="AU58" s="12" t="s">
        <v>83</v>
      </c>
      <c r="AV58" s="3" t="n">
        <v>46214</v>
      </c>
      <c r="AW58" s="21"/>
      <c r="AY58" s="1"/>
      <c r="BA58" s="1"/>
      <c r="BB58" s="1"/>
    </row>
    <row r="59" ht="75" customHeight="1">
      <c r="A59" s="20" t="s">
        <v>561</v>
      </c>
      <c r="B59" s="20" t="n">
        <v>2023</v>
      </c>
      <c r="C59" s="20" t="n">
        <v>182</v>
      </c>
      <c r="D59" s="20" t="s">
        <v>50</v>
      </c>
      <c r="E59" s="20" t="s">
        <v>458</v>
      </c>
      <c r="F59" s="20" t="s">
        <v>562</v>
      </c>
      <c r="G59" s="20" t="s">
        <v>86</v>
      </c>
      <c r="H59" s="20" t="s">
        <v>460</v>
      </c>
      <c r="I59" s="20"/>
      <c r="J59" s="20" t="s">
        <v>563</v>
      </c>
      <c r="K59" s="20" t="s">
        <v>289</v>
      </c>
      <c r="L59" s="20" t="s">
        <v>208</v>
      </c>
      <c r="M59" s="20" t="s">
        <v>209</v>
      </c>
      <c r="N59" s="20" t="s">
        <v>210</v>
      </c>
      <c r="O59" s="20" t="s">
        <v>211</v>
      </c>
      <c r="P59" s="20" t="s">
        <v>212</v>
      </c>
      <c r="Q59" s="20" t="s">
        <v>213</v>
      </c>
      <c r="R59" s="20" t="s">
        <v>251</v>
      </c>
      <c r="S59" s="20" t="s">
        <v>252</v>
      </c>
      <c r="T59" s="20" t="s">
        <v>290</v>
      </c>
      <c r="U59" s="20" t="s">
        <v>291</v>
      </c>
      <c r="V59" s="20" t="s">
        <v>67</v>
      </c>
      <c r="W59" s="20" t="s">
        <v>68</v>
      </c>
      <c r="X59" s="20" t="s">
        <v>69</v>
      </c>
      <c r="Y59" s="20" t="s">
        <v>70</v>
      </c>
      <c r="Z59" s="20" t="s">
        <v>177</v>
      </c>
      <c r="AA59" s="20" t="s">
        <v>564</v>
      </c>
      <c r="AB59" s="20" t="s">
        <v>565</v>
      </c>
      <c r="AC59" s="20" t="s">
        <v>565</v>
      </c>
      <c r="AD59" s="20" t="s">
        <v>565</v>
      </c>
      <c r="AE59" s="20"/>
      <c r="AF59" s="9" t="n">
        <v>0</v>
      </c>
      <c r="AG59" s="12" t="n">
        <v>0</v>
      </c>
      <c r="AH59" s="22" t="s">
        <v>304</v>
      </c>
      <c r="AI59" s="12" t="str">
        <f>IF(AH59="","",IFERROR(RIGHT("0000"&amp;AH59,4)&amp;" - "&amp;UPPER(_xlfn.XLOOKUP(RIGHT("0000"&amp;AH59,4),CODEBOOK_CAP!$C$2:$C$212,CODEBOOK_CAP!$D$2:$D$212)),"Código CAP não encontrado"))</f>
        <v>1403 - REABILITAÇÃO URBANA, ECONOMIA URBANA</v>
      </c>
      <c r="AJ59" s="12" t="str">
        <f>IF(AH59="","",IFERROR(_xlfn.XLOOKUP(RIGHT("0000"&amp;AH59,4),CODEBOOK_CAP!$C$2:$C$212,CODEBOOK_CAP!$E$2:$E$212),"Código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59" s="22" t="s">
        <v>79</v>
      </c>
      <c r="AL59" s="26" t="s">
        <v>566</v>
      </c>
      <c r="AM59" s="22" t="s">
        <v>79</v>
      </c>
      <c r="AN59" s="22" t="s">
        <v>79</v>
      </c>
      <c r="AO59" s="12" t="s">
        <v>566</v>
      </c>
      <c r="AP59" s="22" t="s">
        <v>77</v>
      </c>
      <c r="AQ59" s="12"/>
      <c r="AR59" s="22" t="s">
        <v>77</v>
      </c>
      <c r="AS59" s="10"/>
      <c r="AT59" s="2" t="s">
        <v>82</v>
      </c>
      <c r="AU59" s="12" t="s">
        <v>83</v>
      </c>
      <c r="AV59" s="3" t="n">
        <v>46214</v>
      </c>
      <c r="AW59" s="21"/>
      <c r="AY59" s="1"/>
      <c r="BA59" s="1"/>
      <c r="BB59" s="1"/>
    </row>
    <row r="60" ht="120" customHeight="1">
      <c r="A60" s="20" t="s">
        <v>567</v>
      </c>
      <c r="B60" s="20" t="n">
        <v>2023</v>
      </c>
      <c r="C60" s="20" t="n">
        <v>183</v>
      </c>
      <c r="D60" s="20" t="s">
        <v>50</v>
      </c>
      <c r="E60" s="20" t="s">
        <v>458</v>
      </c>
      <c r="F60" s="20" t="s">
        <v>568</v>
      </c>
      <c r="G60" s="20" t="s">
        <v>53</v>
      </c>
      <c r="H60" s="20" t="s">
        <v>460</v>
      </c>
      <c r="I60" s="20"/>
      <c r="J60" s="20" t="s">
        <v>569</v>
      </c>
      <c r="K60" s="20" t="s">
        <v>570</v>
      </c>
      <c r="L60" s="20" t="s">
        <v>57</v>
      </c>
      <c r="M60" s="20" t="s">
        <v>58</v>
      </c>
      <c r="N60" s="20" t="s">
        <v>59</v>
      </c>
      <c r="O60" s="20" t="s">
        <v>60</v>
      </c>
      <c r="P60" s="20" t="s">
        <v>227</v>
      </c>
      <c r="Q60" s="20" t="s">
        <v>228</v>
      </c>
      <c r="R60" s="20" t="s">
        <v>229</v>
      </c>
      <c r="S60" s="20" t="s">
        <v>230</v>
      </c>
      <c r="T60" s="20" t="s">
        <v>65</v>
      </c>
      <c r="U60" s="20" t="s">
        <v>66</v>
      </c>
      <c r="V60" s="20" t="s">
        <v>67</v>
      </c>
      <c r="W60" s="20" t="s">
        <v>68</v>
      </c>
      <c r="X60" s="20" t="s">
        <v>69</v>
      </c>
      <c r="Y60" s="20" t="s">
        <v>70</v>
      </c>
      <c r="Z60" s="20" t="s">
        <v>98</v>
      </c>
      <c r="AA60" s="20" t="s">
        <v>571</v>
      </c>
      <c r="AB60" s="20" t="s">
        <v>572</v>
      </c>
      <c r="AC60" s="20" t="s">
        <v>573</v>
      </c>
      <c r="AD60" s="20" t="s">
        <v>573</v>
      </c>
      <c r="AE60" s="20" t="s">
        <v>574</v>
      </c>
      <c r="AF60" s="9" t="n">
        <v>1</v>
      </c>
      <c r="AG60" s="12" t="n">
        <v>1</v>
      </c>
      <c r="AH60" s="22" t="s">
        <v>235</v>
      </c>
      <c r="AI60" s="12" t="str">
        <f>IF(AH60="","",IFERROR(RIGHT("0000"&amp;AH60,4)&amp;" - "&amp;UPPER(_xlfn.XLOOKUP(RIGHT("0000"&amp;AH60,4),CODEBOOK_CAP!$C$2:$C$212,CODEBOOK_CAP!$D$2:$D$212)),"Código CAP não encontrado"))</f>
        <v>0322 - ESTRUTURAS, HOSPITAIS, CLÍNICAS</v>
      </c>
      <c r="AJ60" s="12" t="str">
        <f>IF(AH60="","",IFERROR(_xlfn.XLOOKUP(RIGHT("0000"&amp;AH60,4),CODEBOOK_CAP!$C$2:$C$212,CODEBOOK_CAP!$E$2:$E$212),"Código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0" s="22" t="s">
        <v>77</v>
      </c>
      <c r="AL60" s="26"/>
      <c r="AM60" s="22" t="s">
        <v>575</v>
      </c>
      <c r="AN60" s="22" t="s">
        <v>79</v>
      </c>
      <c r="AO60" s="12" t="s">
        <v>576</v>
      </c>
      <c r="AP60" s="22" t="s">
        <v>77</v>
      </c>
      <c r="AQ60" s="12"/>
      <c r="AR60" s="22" t="s">
        <v>79</v>
      </c>
      <c r="AS60" s="4" t="s">
        <v>574</v>
      </c>
      <c r="AT60" s="2" t="s">
        <v>82</v>
      </c>
      <c r="AU60" s="12" t="s">
        <v>83</v>
      </c>
      <c r="AV60" s="3" t="n">
        <v>46214</v>
      </c>
      <c r="AW60" s="21"/>
      <c r="AY60" s="1"/>
      <c r="BA60" s="1"/>
      <c r="BB60" s="1"/>
    </row>
    <row r="61" ht="105" customHeight="1">
      <c r="A61" s="20" t="s">
        <v>577</v>
      </c>
      <c r="B61" s="20" t="n">
        <v>2023</v>
      </c>
      <c r="C61" s="20" t="n">
        <v>184</v>
      </c>
      <c r="D61" s="20" t="s">
        <v>50</v>
      </c>
      <c r="E61" s="20" t="s">
        <v>458</v>
      </c>
      <c r="F61" s="20" t="s">
        <v>578</v>
      </c>
      <c r="G61" s="20" t="s">
        <v>86</v>
      </c>
      <c r="H61" s="20" t="s">
        <v>460</v>
      </c>
      <c r="I61" s="20"/>
      <c r="J61" s="20" t="s">
        <v>579</v>
      </c>
      <c r="K61" s="20" t="s">
        <v>122</v>
      </c>
      <c r="L61" s="20" t="s">
        <v>57</v>
      </c>
      <c r="M61" s="20" t="s">
        <v>58</v>
      </c>
      <c r="N61" s="20" t="s">
        <v>59</v>
      </c>
      <c r="O61" s="20" t="s">
        <v>60</v>
      </c>
      <c r="P61" s="20" t="s">
        <v>89</v>
      </c>
      <c r="Q61" s="20" t="s">
        <v>90</v>
      </c>
      <c r="R61" s="20" t="s">
        <v>91</v>
      </c>
      <c r="S61" s="20" t="s">
        <v>92</v>
      </c>
      <c r="T61" s="20" t="s">
        <v>123</v>
      </c>
      <c r="U61" s="20" t="s">
        <v>124</v>
      </c>
      <c r="V61" s="20" t="s">
        <v>95</v>
      </c>
      <c r="W61" s="20" t="s">
        <v>96</v>
      </c>
      <c r="X61" s="20" t="s">
        <v>97</v>
      </c>
      <c r="Y61" s="20" t="s">
        <v>70</v>
      </c>
      <c r="Z61" s="20" t="s">
        <v>98</v>
      </c>
      <c r="AA61" s="20" t="s">
        <v>580</v>
      </c>
      <c r="AB61" s="20" t="s">
        <v>580</v>
      </c>
      <c r="AC61" s="20" t="s">
        <v>580</v>
      </c>
      <c r="AD61" s="20" t="s">
        <v>580</v>
      </c>
      <c r="AE61" s="20"/>
      <c r="AF61" s="9" t="n">
        <v>1</v>
      </c>
      <c r="AG61" s="12" t="n">
        <v>1</v>
      </c>
      <c r="AH61" s="22" t="s">
        <v>581</v>
      </c>
      <c r="AI61" s="12" t="str">
        <f>IF(AH61="","",IFERROR(RIGHT("0000"&amp;AH61,4)&amp;" - "&amp;UPPER(_xlfn.XLOOKUP(RIGHT("0000"&amp;AH61,4),CODEBOOK_CAP!$C$2:$C$212,CODEBOOK_CAP!$D$2:$D$212)),"Código CAP não encontrado"))</f>
        <v>0323 - ACORDOS</v>
      </c>
      <c r="AJ61" s="12" t="str">
        <f>IF(AH61="","",IFERROR(_xlfn.XLOOKUP(RIGHT("0000"&amp;AH61,4),CODEBOOK_CAP!$C$2:$C$212,CODEBOOK_CAP!$E$2:$E$212),"Código CAP não encontrado"))</f>
        <v>Questões relacionadas a Acordos nacionais e internacionais na saúde. Parcerias público privadas em saúde. Vagas do SUS em hospitais privados, acordos e parcerias. Somente utilizar esse código quando há acordos e parcerias entre instituições com o SUS. Não confundir com regulação e alternativas de saúde particular (302).</v>
      </c>
      <c r="AK61" s="22" t="s">
        <v>77</v>
      </c>
      <c r="AL61" s="26"/>
      <c r="AM61" s="22" t="s">
        <v>79</v>
      </c>
      <c r="AN61" s="22" t="s">
        <v>79</v>
      </c>
      <c r="AO61" s="12" t="s">
        <v>582</v>
      </c>
      <c r="AP61" s="22" t="s">
        <v>77</v>
      </c>
      <c r="AQ61" s="12"/>
      <c r="AR61" s="22" t="s">
        <v>77</v>
      </c>
      <c r="AS61" s="10"/>
      <c r="AT61" s="2" t="s">
        <v>82</v>
      </c>
      <c r="AU61" s="12" t="s">
        <v>583</v>
      </c>
      <c r="AV61" s="3" t="n">
        <v>46214</v>
      </c>
      <c r="AW61" s="21"/>
      <c r="AY61" s="1"/>
      <c r="BA61" s="1"/>
      <c r="BB61" s="1"/>
    </row>
    <row r="62" ht="120" customHeight="1">
      <c r="A62" s="20" t="s">
        <v>584</v>
      </c>
      <c r="B62" s="20" t="n">
        <v>2023</v>
      </c>
      <c r="C62" s="20" t="n">
        <v>185</v>
      </c>
      <c r="D62" s="20" t="s">
        <v>50</v>
      </c>
      <c r="E62" s="20" t="s">
        <v>458</v>
      </c>
      <c r="F62" s="20" t="s">
        <v>585</v>
      </c>
      <c r="G62" s="20" t="s">
        <v>86</v>
      </c>
      <c r="H62" s="20" t="s">
        <v>460</v>
      </c>
      <c r="I62" s="20"/>
      <c r="J62" s="20" t="s">
        <v>586</v>
      </c>
      <c r="K62" s="20" t="s">
        <v>587</v>
      </c>
      <c r="L62" s="20" t="s">
        <v>57</v>
      </c>
      <c r="M62" s="20" t="s">
        <v>58</v>
      </c>
      <c r="N62" s="20" t="s">
        <v>59</v>
      </c>
      <c r="O62" s="20" t="s">
        <v>60</v>
      </c>
      <c r="P62" s="20" t="s">
        <v>227</v>
      </c>
      <c r="Q62" s="20" t="s">
        <v>228</v>
      </c>
      <c r="R62" s="20" t="s">
        <v>229</v>
      </c>
      <c r="S62" s="20" t="s">
        <v>230</v>
      </c>
      <c r="T62" s="20" t="s">
        <v>65</v>
      </c>
      <c r="U62" s="20" t="s">
        <v>66</v>
      </c>
      <c r="V62" s="20" t="s">
        <v>67</v>
      </c>
      <c r="W62" s="20" t="s">
        <v>68</v>
      </c>
      <c r="X62" s="20" t="s">
        <v>69</v>
      </c>
      <c r="Y62" s="20" t="s">
        <v>588</v>
      </c>
      <c r="Z62" s="20" t="s">
        <v>98</v>
      </c>
      <c r="AA62" s="20" t="s">
        <v>351</v>
      </c>
      <c r="AB62" s="20" t="s">
        <v>77</v>
      </c>
      <c r="AC62" s="20" t="s">
        <v>77</v>
      </c>
      <c r="AD62" s="20" t="s">
        <v>77</v>
      </c>
      <c r="AE62" s="20"/>
      <c r="AF62" s="9" t="n">
        <v>1</v>
      </c>
      <c r="AG62" s="12" t="n">
        <v>1</v>
      </c>
      <c r="AH62" s="22" t="s">
        <v>235</v>
      </c>
      <c r="AI62" s="12" t="str">
        <f>IF(AH62="","",IFERROR(RIGHT("0000"&amp;AH62,4)&amp;" - "&amp;UPPER(_xlfn.XLOOKUP(RIGHT("0000"&amp;AH62,4),CODEBOOK_CAP!$C$2:$C$212,CODEBOOK_CAP!$D$2:$D$212)),"Código CAP não encontrado"))</f>
        <v>0322 - ESTRUTURAS, HOSPITAIS, CLÍNICAS</v>
      </c>
      <c r="AJ62" s="12" t="str">
        <f>IF(AH62="","",IFERROR(_xlfn.XLOOKUP(RIGHT("0000"&amp;AH62,4),CODEBOOK_CAP!$C$2:$C$212,CODEBOOK_CAP!$E$2:$E$212),"Código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2" s="22" t="s">
        <v>79</v>
      </c>
      <c r="AL62" s="26" t="s">
        <v>589</v>
      </c>
      <c r="AM62" s="22" t="s">
        <v>590</v>
      </c>
      <c r="AN62" s="22" t="s">
        <v>79</v>
      </c>
      <c r="AO62" s="12" t="s">
        <v>591</v>
      </c>
      <c r="AP62" s="22" t="s">
        <v>77</v>
      </c>
      <c r="AQ62" s="12"/>
      <c r="AR62" s="22" t="s">
        <v>77</v>
      </c>
      <c r="AS62" s="10"/>
      <c r="AT62" s="2" t="s">
        <v>82</v>
      </c>
      <c r="AU62" s="12" t="s">
        <v>83</v>
      </c>
      <c r="AV62" s="3" t="n">
        <v>46214</v>
      </c>
      <c r="AW62" s="21"/>
      <c r="AY62" s="1"/>
      <c r="BA62" s="1"/>
      <c r="BB62" s="1"/>
    </row>
    <row r="63" ht="120" customHeight="1">
      <c r="A63" s="20" t="s">
        <v>592</v>
      </c>
      <c r="B63" s="20" t="n">
        <v>2023</v>
      </c>
      <c r="C63" s="20" t="n">
        <v>186</v>
      </c>
      <c r="D63" s="20" t="s">
        <v>50</v>
      </c>
      <c r="E63" s="20" t="s">
        <v>458</v>
      </c>
      <c r="F63" s="20" t="s">
        <v>593</v>
      </c>
      <c r="G63" s="20" t="s">
        <v>86</v>
      </c>
      <c r="H63" s="20" t="s">
        <v>460</v>
      </c>
      <c r="I63" s="20"/>
      <c r="J63" s="20" t="s">
        <v>594</v>
      </c>
      <c r="K63" s="20" t="s">
        <v>441</v>
      </c>
      <c r="L63" s="20" t="s">
        <v>57</v>
      </c>
      <c r="M63" s="20" t="s">
        <v>58</v>
      </c>
      <c r="N63" s="20" t="s">
        <v>59</v>
      </c>
      <c r="O63" s="20" t="s">
        <v>60</v>
      </c>
      <c r="P63" s="20" t="s">
        <v>89</v>
      </c>
      <c r="Q63" s="20" t="s">
        <v>90</v>
      </c>
      <c r="R63" s="20" t="s">
        <v>91</v>
      </c>
      <c r="S63" s="20" t="s">
        <v>92</v>
      </c>
      <c r="T63" s="20" t="s">
        <v>341</v>
      </c>
      <c r="U63" s="20" t="s">
        <v>342</v>
      </c>
      <c r="V63" s="20" t="s">
        <v>95</v>
      </c>
      <c r="W63" s="20" t="s">
        <v>96</v>
      </c>
      <c r="X63" s="20" t="s">
        <v>97</v>
      </c>
      <c r="Y63" s="20" t="s">
        <v>70</v>
      </c>
      <c r="Z63" s="20" t="s">
        <v>98</v>
      </c>
      <c r="AA63" s="20" t="s">
        <v>595</v>
      </c>
      <c r="AB63" s="20" t="s">
        <v>595</v>
      </c>
      <c r="AC63" s="20" t="s">
        <v>596</v>
      </c>
      <c r="AD63" s="20" t="s">
        <v>595</v>
      </c>
      <c r="AE63" s="20"/>
      <c r="AF63" s="9" t="n">
        <v>1</v>
      </c>
      <c r="AG63" s="12" t="n">
        <v>1</v>
      </c>
      <c r="AH63" s="22" t="s">
        <v>235</v>
      </c>
      <c r="AI63" s="12" t="str">
        <f>IF(AH63="","",IFERROR(RIGHT("0000"&amp;AH63,4)&amp;" - "&amp;UPPER(_xlfn.XLOOKUP(RIGHT("0000"&amp;AH63,4),CODEBOOK_CAP!$C$2:$C$212,CODEBOOK_CAP!$D$2:$D$212)),"Código CAP não encontrado"))</f>
        <v>0322 - ESTRUTURAS, HOSPITAIS, CLÍNICAS</v>
      </c>
      <c r="AJ63" s="12" t="str">
        <f>IF(AH63="","",IFERROR(_xlfn.XLOOKUP(RIGHT("0000"&amp;AH63,4),CODEBOOK_CAP!$C$2:$C$212,CODEBOOK_CAP!$E$2:$E$212),"Código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3" s="22" t="s">
        <v>77</v>
      </c>
      <c r="AL63" s="12"/>
      <c r="AM63" s="22" t="s">
        <v>79</v>
      </c>
      <c r="AN63" s="22" t="s">
        <v>79</v>
      </c>
      <c r="AO63" s="12" t="s">
        <v>597</v>
      </c>
      <c r="AP63" s="22" t="s">
        <v>77</v>
      </c>
      <c r="AQ63" s="12"/>
      <c r="AR63" s="22" t="s">
        <v>77</v>
      </c>
      <c r="AS63" s="10"/>
      <c r="AT63" s="2" t="s">
        <v>82</v>
      </c>
      <c r="AU63" s="12" t="s">
        <v>83</v>
      </c>
      <c r="AV63" s="3" t="n">
        <v>46214</v>
      </c>
      <c r="AW63" s="21"/>
      <c r="AY63" s="1"/>
      <c r="BA63" s="1"/>
      <c r="BB63" s="1"/>
    </row>
    <row r="64" ht="75" customHeight="1">
      <c r="A64" s="20" t="s">
        <v>598</v>
      </c>
      <c r="B64" s="20" t="n">
        <v>2023</v>
      </c>
      <c r="C64" s="20" t="n">
        <v>187</v>
      </c>
      <c r="D64" s="20" t="s">
        <v>50</v>
      </c>
      <c r="E64" s="20" t="s">
        <v>458</v>
      </c>
      <c r="F64" s="20" t="s">
        <v>599</v>
      </c>
      <c r="G64" s="20" t="s">
        <v>53</v>
      </c>
      <c r="H64" s="20" t="s">
        <v>460</v>
      </c>
      <c r="I64" s="20"/>
      <c r="J64" s="20" t="s">
        <v>600</v>
      </c>
      <c r="K64" s="20" t="s">
        <v>289</v>
      </c>
      <c r="L64" s="20" t="s">
        <v>208</v>
      </c>
      <c r="M64" s="20" t="s">
        <v>209</v>
      </c>
      <c r="N64" s="20" t="s">
        <v>210</v>
      </c>
      <c r="O64" s="20" t="s">
        <v>211</v>
      </c>
      <c r="P64" s="20" t="s">
        <v>212</v>
      </c>
      <c r="Q64" s="20" t="s">
        <v>213</v>
      </c>
      <c r="R64" s="20" t="s">
        <v>251</v>
      </c>
      <c r="S64" s="20" t="s">
        <v>252</v>
      </c>
      <c r="T64" s="20" t="s">
        <v>290</v>
      </c>
      <c r="U64" s="20" t="s">
        <v>291</v>
      </c>
      <c r="V64" s="20" t="s">
        <v>67</v>
      </c>
      <c r="W64" s="20" t="s">
        <v>68</v>
      </c>
      <c r="X64" s="20" t="s">
        <v>69</v>
      </c>
      <c r="Y64" s="20" t="s">
        <v>70</v>
      </c>
      <c r="Z64" s="20" t="s">
        <v>177</v>
      </c>
      <c r="AA64" s="20" t="s">
        <v>601</v>
      </c>
      <c r="AB64" s="20" t="s">
        <v>77</v>
      </c>
      <c r="AC64" s="20" t="s">
        <v>77</v>
      </c>
      <c r="AD64" s="20" t="s">
        <v>77</v>
      </c>
      <c r="AE64" s="20"/>
      <c r="AF64" s="9" t="n">
        <v>0</v>
      </c>
      <c r="AG64" s="12" t="n">
        <v>0</v>
      </c>
      <c r="AH64" s="22" t="s">
        <v>304</v>
      </c>
      <c r="AI64" s="12" t="str">
        <f>IF(AH64="","",IFERROR(RIGHT("0000"&amp;AH64,4)&amp;" - "&amp;UPPER(_xlfn.XLOOKUP(RIGHT("0000"&amp;AH64,4),CODEBOOK_CAP!$C$2:$C$212,CODEBOOK_CAP!$D$2:$D$212)),"Código CAP não encontrado"))</f>
        <v>1403 - REABILITAÇÃO URBANA, ECONOMIA URBANA</v>
      </c>
      <c r="AJ64" s="12" t="str">
        <f>IF(AH64="","",IFERROR(_xlfn.XLOOKUP(RIGHT("0000"&amp;AH64,4),CODEBOOK_CAP!$C$2:$C$212,CODEBOOK_CAP!$E$2:$E$212),"Código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4" s="22" t="s">
        <v>79</v>
      </c>
      <c r="AL64" s="26" t="s">
        <v>602</v>
      </c>
      <c r="AM64" s="22" t="s">
        <v>79</v>
      </c>
      <c r="AN64" s="22" t="s">
        <v>79</v>
      </c>
      <c r="AO64" s="12" t="s">
        <v>602</v>
      </c>
      <c r="AP64" s="22" t="s">
        <v>77</v>
      </c>
      <c r="AQ64" s="12"/>
      <c r="AR64" s="22" t="s">
        <v>77</v>
      </c>
      <c r="AS64" s="10"/>
      <c r="AT64" s="2" t="s">
        <v>82</v>
      </c>
      <c r="AU64" s="12" t="s">
        <v>83</v>
      </c>
      <c r="AV64" s="3" t="n">
        <v>46214</v>
      </c>
      <c r="AW64" s="21"/>
      <c r="AY64" s="1"/>
      <c r="BA64" s="1"/>
      <c r="BB64" s="1"/>
    </row>
    <row r="65" ht="210" customHeight="1">
      <c r="A65" s="20" t="s">
        <v>603</v>
      </c>
      <c r="B65" s="20" t="n">
        <v>2023</v>
      </c>
      <c r="C65" s="20" t="n">
        <v>188</v>
      </c>
      <c r="D65" s="20" t="s">
        <v>50</v>
      </c>
      <c r="E65" s="20" t="s">
        <v>458</v>
      </c>
      <c r="F65" s="20" t="s">
        <v>604</v>
      </c>
      <c r="G65" s="20" t="s">
        <v>315</v>
      </c>
      <c r="H65" s="20" t="s">
        <v>460</v>
      </c>
      <c r="I65" s="20"/>
      <c r="J65" s="20" t="s">
        <v>605</v>
      </c>
      <c r="K65" s="20" t="s">
        <v>273</v>
      </c>
      <c r="L65" s="20" t="s">
        <v>274</v>
      </c>
      <c r="M65" s="20" t="s">
        <v>275</v>
      </c>
      <c r="N65" s="20" t="s">
        <v>276</v>
      </c>
      <c r="O65" s="20" t="s">
        <v>277</v>
      </c>
      <c r="P65" s="20" t="s">
        <v>278</v>
      </c>
      <c r="Q65" s="20" t="s">
        <v>279</v>
      </c>
      <c r="R65" s="20" t="s">
        <v>280</v>
      </c>
      <c r="S65" s="20" t="s">
        <v>281</v>
      </c>
      <c r="T65" s="20" t="s">
        <v>282</v>
      </c>
      <c r="U65" s="20" t="s">
        <v>283</v>
      </c>
      <c r="V65" s="20" t="s">
        <v>95</v>
      </c>
      <c r="W65" s="20" t="s">
        <v>96</v>
      </c>
      <c r="X65" s="20" t="s">
        <v>97</v>
      </c>
      <c r="Y65" s="20" t="s">
        <v>70</v>
      </c>
      <c r="Z65" s="20" t="s">
        <v>284</v>
      </c>
      <c r="AA65" s="20" t="s">
        <v>606</v>
      </c>
      <c r="AB65" s="20" t="s">
        <v>606</v>
      </c>
      <c r="AC65" s="20" t="s">
        <v>606</v>
      </c>
      <c r="AD65" s="20" t="s">
        <v>606</v>
      </c>
      <c r="AE65" s="20"/>
      <c r="AF65" s="9" t="n">
        <v>0</v>
      </c>
      <c r="AG65" s="12" t="n">
        <v>0</v>
      </c>
      <c r="AH65" s="22" t="s">
        <v>607</v>
      </c>
      <c r="AI65" s="12" t="str">
        <f>IF(AH65="","",IFERROR(RIGHT("0000"&amp;AH65,4)&amp;" - "&amp;UPPER(_xlfn.XLOOKUP(RIGHT("0000"&amp;AH65,4),CODEBOOK_CAP!$C$2:$C$212,CODEBOOK_CAP!$D$2:$D$212)),"Código CAP não encontrado"))</f>
        <v>1300 - GERAL</v>
      </c>
      <c r="AJ65" s="12" t="str">
        <f>IF(AH65="","",IFERROR(_xlfn.XLOOKUP(RIGHT("0000"&amp;AH65,4),CODEBOOK_CAP!$C$2:$C$212,CODEBOOK_CAP!$E$2:$E$212),"Código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5" s="22" t="s">
        <v>77</v>
      </c>
      <c r="AL65" s="26"/>
      <c r="AM65" s="22" t="s">
        <v>77</v>
      </c>
      <c r="AN65" s="22" t="s">
        <v>77</v>
      </c>
      <c r="AO65" s="12"/>
      <c r="AP65" s="22" t="s">
        <v>77</v>
      </c>
      <c r="AQ65" s="12"/>
      <c r="AR65" s="22" t="s">
        <v>77</v>
      </c>
      <c r="AS65" s="10"/>
      <c r="AT65" s="2" t="s">
        <v>82</v>
      </c>
      <c r="AU65" s="12" t="s">
        <v>83</v>
      </c>
      <c r="AV65" s="3" t="n">
        <v>46214</v>
      </c>
      <c r="AW65" s="21"/>
      <c r="AY65" s="1"/>
      <c r="BA65" s="1"/>
      <c r="BB65" s="1"/>
    </row>
    <row r="66" ht="120" customHeight="1">
      <c r="A66" s="20" t="s">
        <v>608</v>
      </c>
      <c r="B66" s="20" t="n">
        <v>2023</v>
      </c>
      <c r="C66" s="20" t="n">
        <v>189</v>
      </c>
      <c r="D66" s="20" t="s">
        <v>50</v>
      </c>
      <c r="E66" s="20" t="s">
        <v>458</v>
      </c>
      <c r="F66" s="20" t="s">
        <v>609</v>
      </c>
      <c r="G66" s="20" t="s">
        <v>86</v>
      </c>
      <c r="H66" s="20" t="s">
        <v>460</v>
      </c>
      <c r="I66" s="20"/>
      <c r="J66" s="20" t="s">
        <v>610</v>
      </c>
      <c r="K66" s="20" t="s">
        <v>122</v>
      </c>
      <c r="L66" s="20" t="s">
        <v>57</v>
      </c>
      <c r="M66" s="20" t="s">
        <v>58</v>
      </c>
      <c r="N66" s="20" t="s">
        <v>59</v>
      </c>
      <c r="O66" s="20" t="s">
        <v>60</v>
      </c>
      <c r="P66" s="20" t="s">
        <v>89</v>
      </c>
      <c r="Q66" s="20" t="s">
        <v>90</v>
      </c>
      <c r="R66" s="20" t="s">
        <v>91</v>
      </c>
      <c r="S66" s="20" t="s">
        <v>92</v>
      </c>
      <c r="T66" s="20" t="s">
        <v>123</v>
      </c>
      <c r="U66" s="20" t="s">
        <v>124</v>
      </c>
      <c r="V66" s="20" t="s">
        <v>95</v>
      </c>
      <c r="W66" s="20" t="s">
        <v>96</v>
      </c>
      <c r="X66" s="20" t="s">
        <v>97</v>
      </c>
      <c r="Y66" s="20" t="s">
        <v>70</v>
      </c>
      <c r="Z66" s="20" t="s">
        <v>98</v>
      </c>
      <c r="AA66" s="20" t="s">
        <v>611</v>
      </c>
      <c r="AB66" s="20" t="s">
        <v>611</v>
      </c>
      <c r="AC66" s="20" t="s">
        <v>611</v>
      </c>
      <c r="AD66" s="20" t="s">
        <v>611</v>
      </c>
      <c r="AE66" s="20"/>
      <c r="AF66" s="9" t="n">
        <v>1</v>
      </c>
      <c r="AG66" s="12" t="n">
        <v>1</v>
      </c>
      <c r="AH66" s="22" t="s">
        <v>235</v>
      </c>
      <c r="AI66" s="12" t="str">
        <f>IF(AH66="","",IFERROR(RIGHT("0000"&amp;AH66,4)&amp;" - "&amp;UPPER(_xlfn.XLOOKUP(RIGHT("0000"&amp;AH66,4),CODEBOOK_CAP!$C$2:$C$212,CODEBOOK_CAP!$D$2:$D$212)),"Código CAP não encontrado"))</f>
        <v>0322 - ESTRUTURAS, HOSPITAIS, CLÍNICAS</v>
      </c>
      <c r="AJ66" s="12" t="str">
        <f>IF(AH66="","",IFERROR(_xlfn.XLOOKUP(RIGHT("0000"&amp;AH66,4),CODEBOOK_CAP!$C$2:$C$212,CODEBOOK_CAP!$E$2:$E$212),"Código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 s="22" t="s">
        <v>77</v>
      </c>
      <c r="AL66" s="12"/>
      <c r="AM66" s="22" t="s">
        <v>79</v>
      </c>
      <c r="AN66" s="22" t="s">
        <v>79</v>
      </c>
      <c r="AO66" s="12" t="s">
        <v>612</v>
      </c>
      <c r="AP66" s="22" t="s">
        <v>77</v>
      </c>
      <c r="AQ66" s="12"/>
      <c r="AR66" s="22" t="s">
        <v>77</v>
      </c>
      <c r="AS66" s="10"/>
      <c r="AT66" s="2" t="s">
        <v>82</v>
      </c>
      <c r="AU66" s="12" t="s">
        <v>83</v>
      </c>
      <c r="AV66" s="3" t="n">
        <v>46214</v>
      </c>
      <c r="AW66" s="21"/>
      <c r="AY66" s="1"/>
      <c r="BA66" s="1"/>
      <c r="BB66" s="1"/>
    </row>
    <row r="67" ht="120" customHeight="1">
      <c r="A67" s="20" t="s">
        <v>613</v>
      </c>
      <c r="B67" s="20" t="n">
        <v>2023</v>
      </c>
      <c r="C67" s="20" t="n">
        <v>190</v>
      </c>
      <c r="D67" s="20" t="s">
        <v>50</v>
      </c>
      <c r="E67" s="20" t="s">
        <v>458</v>
      </c>
      <c r="F67" s="20" t="s">
        <v>614</v>
      </c>
      <c r="G67" s="20" t="s">
        <v>86</v>
      </c>
      <c r="H67" s="20" t="s">
        <v>460</v>
      </c>
      <c r="I67" s="20"/>
      <c r="J67" s="20" t="s">
        <v>615</v>
      </c>
      <c r="K67" s="20" t="s">
        <v>122</v>
      </c>
      <c r="L67" s="20" t="s">
        <v>57</v>
      </c>
      <c r="M67" s="20" t="s">
        <v>58</v>
      </c>
      <c r="N67" s="20" t="s">
        <v>59</v>
      </c>
      <c r="O67" s="20" t="s">
        <v>60</v>
      </c>
      <c r="P67" s="20" t="s">
        <v>89</v>
      </c>
      <c r="Q67" s="20" t="s">
        <v>90</v>
      </c>
      <c r="R67" s="20" t="s">
        <v>91</v>
      </c>
      <c r="S67" s="20" t="s">
        <v>92</v>
      </c>
      <c r="T67" s="20" t="s">
        <v>123</v>
      </c>
      <c r="U67" s="20" t="s">
        <v>124</v>
      </c>
      <c r="V67" s="20" t="s">
        <v>95</v>
      </c>
      <c r="W67" s="20" t="s">
        <v>96</v>
      </c>
      <c r="X67" s="20" t="s">
        <v>97</v>
      </c>
      <c r="Y67" s="20" t="s">
        <v>70</v>
      </c>
      <c r="Z67" s="20" t="s">
        <v>98</v>
      </c>
      <c r="AA67" s="20" t="s">
        <v>580</v>
      </c>
      <c r="AB67" s="20" t="s">
        <v>580</v>
      </c>
      <c r="AC67" s="20" t="s">
        <v>580</v>
      </c>
      <c r="AD67" s="20" t="s">
        <v>580</v>
      </c>
      <c r="AE67" s="20"/>
      <c r="AF67" s="9" t="n">
        <v>1</v>
      </c>
      <c r="AG67" s="12" t="n">
        <v>1</v>
      </c>
      <c r="AH67" s="22" t="s">
        <v>235</v>
      </c>
      <c r="AI67" s="12" t="str">
        <f>IF(AH67="","",IFERROR(RIGHT("0000"&amp;AH67,4)&amp;" - "&amp;UPPER(_xlfn.XLOOKUP(RIGHT("0000"&amp;AH67,4),CODEBOOK_CAP!$C$2:$C$212,CODEBOOK_CAP!$D$2:$D$212)),"Código CAP não encontrado"))</f>
        <v>0322 - ESTRUTURAS, HOSPITAIS, CLÍNICAS</v>
      </c>
      <c r="AJ67" s="12" t="str">
        <f>IF(AH67="","",IFERROR(_xlfn.XLOOKUP(RIGHT("0000"&amp;AH67,4),CODEBOOK_CAP!$C$2:$C$212,CODEBOOK_CAP!$E$2:$E$212),"Código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7" s="22" t="s">
        <v>77</v>
      </c>
      <c r="AL67" s="26"/>
      <c r="AM67" s="22" t="s">
        <v>79</v>
      </c>
      <c r="AN67" s="22" t="s">
        <v>79</v>
      </c>
      <c r="AO67" s="12" t="s">
        <v>616</v>
      </c>
      <c r="AP67" s="22" t="s">
        <v>77</v>
      </c>
      <c r="AQ67" s="12"/>
      <c r="AR67" s="22" t="s">
        <v>77</v>
      </c>
      <c r="AS67" s="10"/>
      <c r="AT67" s="2" t="s">
        <v>82</v>
      </c>
      <c r="AU67" s="12" t="s">
        <v>83</v>
      </c>
      <c r="AV67" s="3" t="n">
        <v>46214</v>
      </c>
      <c r="AW67" s="21"/>
      <c r="AY67" s="1"/>
      <c r="BA67" s="1"/>
      <c r="BB67" s="1"/>
    </row>
    <row r="68" ht="150" customHeight="1">
      <c r="A68" s="20" t="s">
        <v>617</v>
      </c>
      <c r="B68" s="20" t="n">
        <v>2023</v>
      </c>
      <c r="C68" s="20" t="n">
        <v>191</v>
      </c>
      <c r="D68" s="20" t="s">
        <v>50</v>
      </c>
      <c r="E68" s="20" t="s">
        <v>458</v>
      </c>
      <c r="F68" s="20" t="s">
        <v>618</v>
      </c>
      <c r="G68" s="20" t="s">
        <v>86</v>
      </c>
      <c r="H68" s="20" t="s">
        <v>460</v>
      </c>
      <c r="I68" s="20"/>
      <c r="J68" s="20" t="s">
        <v>619</v>
      </c>
      <c r="K68" s="20" t="s">
        <v>122</v>
      </c>
      <c r="L68" s="20" t="s">
        <v>57</v>
      </c>
      <c r="M68" s="20" t="s">
        <v>58</v>
      </c>
      <c r="N68" s="20" t="s">
        <v>59</v>
      </c>
      <c r="O68" s="20" t="s">
        <v>60</v>
      </c>
      <c r="P68" s="20" t="s">
        <v>89</v>
      </c>
      <c r="Q68" s="20" t="s">
        <v>90</v>
      </c>
      <c r="R68" s="20" t="s">
        <v>91</v>
      </c>
      <c r="S68" s="20" t="s">
        <v>92</v>
      </c>
      <c r="T68" s="20" t="s">
        <v>123</v>
      </c>
      <c r="U68" s="20" t="s">
        <v>124</v>
      </c>
      <c r="V68" s="20" t="s">
        <v>95</v>
      </c>
      <c r="W68" s="20" t="s">
        <v>96</v>
      </c>
      <c r="X68" s="20" t="s">
        <v>97</v>
      </c>
      <c r="Y68" s="20" t="s">
        <v>70</v>
      </c>
      <c r="Z68" s="20" t="s">
        <v>98</v>
      </c>
      <c r="AA68" s="20" t="s">
        <v>580</v>
      </c>
      <c r="AB68" s="20" t="s">
        <v>580</v>
      </c>
      <c r="AC68" s="20" t="s">
        <v>580</v>
      </c>
      <c r="AD68" s="20" t="s">
        <v>580</v>
      </c>
      <c r="AE68" s="20"/>
      <c r="AF68" s="9" t="n">
        <v>1</v>
      </c>
      <c r="AG68" s="12" t="n">
        <v>1</v>
      </c>
      <c r="AH68" s="22" t="s">
        <v>620</v>
      </c>
      <c r="AI68" s="12" t="str">
        <f>IF(AH68="","",IFERROR(RIGHT("0000"&amp;AH68,4)&amp;" - "&amp;UPPER(_xlfn.XLOOKUP(RIGHT("0000"&amp;AH68,4),CODEBOOK_CAP!$C$2:$C$212,CODEBOOK_CAP!$D$2:$D$212)),"Código CAP não encontrado"))</f>
        <v>0332 - SAÚDE INFANTIL, GRAVIDEZ E PRÉ-NATAL</v>
      </c>
      <c r="AJ68" s="12" t="str">
        <f>IF(AH68="","",IFERROR(_xlfn.XLOOKUP(RIGHT("0000"&amp;AH68,4),CODEBOOK_CAP!$C$2:$C$212,CODEBOOK_CAP!$E$2:$E$212),"Código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68" s="22" t="s">
        <v>77</v>
      </c>
      <c r="AL68" s="12"/>
      <c r="AM68" s="22" t="s">
        <v>79</v>
      </c>
      <c r="AN68" s="22" t="s">
        <v>79</v>
      </c>
      <c r="AO68" s="12" t="s">
        <v>621</v>
      </c>
      <c r="AP68" s="22" t="s">
        <v>79</v>
      </c>
      <c r="AQ68" s="12" t="s">
        <v>622</v>
      </c>
      <c r="AR68" s="22" t="s">
        <v>77</v>
      </c>
      <c r="AS68" s="10"/>
      <c r="AT68" s="2" t="s">
        <v>82</v>
      </c>
      <c r="AU68" s="12" t="s">
        <v>83</v>
      </c>
      <c r="AV68" s="3" t="n">
        <v>46214</v>
      </c>
      <c r="AW68" s="21"/>
      <c r="AY68" s="1"/>
      <c r="BA68" s="1"/>
      <c r="BB68" s="1"/>
    </row>
    <row r="69" ht="120" customHeight="1">
      <c r="A69" s="20" t="s">
        <v>623</v>
      </c>
      <c r="B69" s="20" t="n">
        <v>2023</v>
      </c>
      <c r="C69" s="20" t="n">
        <v>192</v>
      </c>
      <c r="D69" s="20" t="s">
        <v>50</v>
      </c>
      <c r="E69" s="20" t="s">
        <v>458</v>
      </c>
      <c r="F69" s="20" t="s">
        <v>624</v>
      </c>
      <c r="G69" s="20" t="s">
        <v>86</v>
      </c>
      <c r="H69" s="20" t="s">
        <v>460</v>
      </c>
      <c r="I69" s="20"/>
      <c r="J69" s="20" t="s">
        <v>625</v>
      </c>
      <c r="K69" s="20" t="s">
        <v>122</v>
      </c>
      <c r="L69" s="20" t="s">
        <v>57</v>
      </c>
      <c r="M69" s="20" t="s">
        <v>58</v>
      </c>
      <c r="N69" s="20" t="s">
        <v>59</v>
      </c>
      <c r="O69" s="20" t="s">
        <v>60</v>
      </c>
      <c r="P69" s="20" t="s">
        <v>89</v>
      </c>
      <c r="Q69" s="20" t="s">
        <v>90</v>
      </c>
      <c r="R69" s="20" t="s">
        <v>91</v>
      </c>
      <c r="S69" s="20" t="s">
        <v>92</v>
      </c>
      <c r="T69" s="20" t="s">
        <v>123</v>
      </c>
      <c r="U69" s="20" t="s">
        <v>124</v>
      </c>
      <c r="V69" s="20" t="s">
        <v>95</v>
      </c>
      <c r="W69" s="20" t="s">
        <v>96</v>
      </c>
      <c r="X69" s="20" t="s">
        <v>97</v>
      </c>
      <c r="Y69" s="20" t="s">
        <v>70</v>
      </c>
      <c r="Z69" s="20" t="s">
        <v>98</v>
      </c>
      <c r="AA69" s="20" t="s">
        <v>580</v>
      </c>
      <c r="AB69" s="20" t="s">
        <v>580</v>
      </c>
      <c r="AC69" s="20" t="s">
        <v>580</v>
      </c>
      <c r="AD69" s="20" t="s">
        <v>580</v>
      </c>
      <c r="AE69" s="20"/>
      <c r="AF69" s="9" t="n">
        <v>1</v>
      </c>
      <c r="AG69" s="12" t="n">
        <v>1</v>
      </c>
      <c r="AH69" s="22" t="s">
        <v>235</v>
      </c>
      <c r="AI69" s="12" t="str">
        <f>IF(AH69="","",IFERROR(RIGHT("0000"&amp;AH69,4)&amp;" - "&amp;UPPER(_xlfn.XLOOKUP(RIGHT("0000"&amp;AH69,4),CODEBOOK_CAP!$C$2:$C$212,CODEBOOK_CAP!$D$2:$D$212)),"Código CAP não encontrado"))</f>
        <v>0322 - ESTRUTURAS, HOSPITAIS, CLÍNICAS</v>
      </c>
      <c r="AJ69" s="12" t="str">
        <f>IF(AH69="","",IFERROR(_xlfn.XLOOKUP(RIGHT("0000"&amp;AH69,4),CODEBOOK_CAP!$C$2:$C$212,CODEBOOK_CAP!$E$2:$E$212),"Código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9" s="22" t="s">
        <v>77</v>
      </c>
      <c r="AL69" s="12"/>
      <c r="AM69" s="22" t="s">
        <v>79</v>
      </c>
      <c r="AN69" s="22" t="s">
        <v>79</v>
      </c>
      <c r="AO69" s="12" t="s">
        <v>626</v>
      </c>
      <c r="AP69" s="22" t="s">
        <v>77</v>
      </c>
      <c r="AQ69" s="12"/>
      <c r="AR69" s="22" t="s">
        <v>77</v>
      </c>
      <c r="AS69" s="10"/>
      <c r="AT69" s="2" t="s">
        <v>82</v>
      </c>
      <c r="AU69" s="12" t="s">
        <v>83</v>
      </c>
      <c r="AV69" s="3" t="n">
        <v>46214</v>
      </c>
      <c r="AW69" s="21"/>
      <c r="AY69" s="1"/>
      <c r="BA69" s="1"/>
      <c r="BB69" s="1"/>
    </row>
    <row r="70" ht="120" customHeight="1">
      <c r="A70" s="20" t="s">
        <v>627</v>
      </c>
      <c r="B70" s="20" t="n">
        <v>2023</v>
      </c>
      <c r="C70" s="20" t="n">
        <v>193</v>
      </c>
      <c r="D70" s="20" t="s">
        <v>50</v>
      </c>
      <c r="E70" s="20" t="s">
        <v>458</v>
      </c>
      <c r="F70" s="20" t="s">
        <v>628</v>
      </c>
      <c r="G70" s="20" t="s">
        <v>86</v>
      </c>
      <c r="H70" s="20" t="s">
        <v>460</v>
      </c>
      <c r="I70" s="20"/>
      <c r="J70" s="20" t="s">
        <v>629</v>
      </c>
      <c r="K70" s="20" t="s">
        <v>122</v>
      </c>
      <c r="L70" s="20" t="s">
        <v>57</v>
      </c>
      <c r="M70" s="20" t="s">
        <v>58</v>
      </c>
      <c r="N70" s="20" t="s">
        <v>59</v>
      </c>
      <c r="O70" s="20" t="s">
        <v>60</v>
      </c>
      <c r="P70" s="20" t="s">
        <v>89</v>
      </c>
      <c r="Q70" s="20" t="s">
        <v>90</v>
      </c>
      <c r="R70" s="20" t="s">
        <v>91</v>
      </c>
      <c r="S70" s="20" t="s">
        <v>92</v>
      </c>
      <c r="T70" s="20" t="s">
        <v>123</v>
      </c>
      <c r="U70" s="20" t="s">
        <v>124</v>
      </c>
      <c r="V70" s="20" t="s">
        <v>95</v>
      </c>
      <c r="W70" s="20" t="s">
        <v>96</v>
      </c>
      <c r="X70" s="20" t="s">
        <v>97</v>
      </c>
      <c r="Y70" s="20" t="s">
        <v>70</v>
      </c>
      <c r="Z70" s="20" t="s">
        <v>98</v>
      </c>
      <c r="AA70" s="20" t="s">
        <v>611</v>
      </c>
      <c r="AB70" s="20" t="s">
        <v>611</v>
      </c>
      <c r="AC70" s="20" t="s">
        <v>611</v>
      </c>
      <c r="AD70" s="20" t="s">
        <v>611</v>
      </c>
      <c r="AE70" s="20"/>
      <c r="AF70" s="9" t="n">
        <v>1</v>
      </c>
      <c r="AG70" s="12" t="n">
        <v>1</v>
      </c>
      <c r="AH70" s="22" t="s">
        <v>235</v>
      </c>
      <c r="AI70" s="12" t="str">
        <f>IF(AH70="","",IFERROR(RIGHT("0000"&amp;AH70,4)&amp;" - "&amp;UPPER(_xlfn.XLOOKUP(RIGHT("0000"&amp;AH70,4),CODEBOOK_CAP!$C$2:$C$212,CODEBOOK_CAP!$D$2:$D$212)),"Código CAP não encontrado"))</f>
        <v>0322 - ESTRUTURAS, HOSPITAIS, CLÍNICAS</v>
      </c>
      <c r="AJ70" s="12" t="str">
        <f>IF(AH70="","",IFERROR(_xlfn.XLOOKUP(RIGHT("0000"&amp;AH70,4),CODEBOOK_CAP!$C$2:$C$212,CODEBOOK_CAP!$E$2:$E$212),"Código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0" s="22" t="s">
        <v>77</v>
      </c>
      <c r="AL70" s="12"/>
      <c r="AM70" s="22" t="s">
        <v>79</v>
      </c>
      <c r="AN70" s="22" t="s">
        <v>79</v>
      </c>
      <c r="AO70" s="12" t="s">
        <v>630</v>
      </c>
      <c r="AP70" s="22" t="s">
        <v>77</v>
      </c>
      <c r="AQ70" s="12"/>
      <c r="AR70" s="22" t="s">
        <v>77</v>
      </c>
      <c r="AS70" s="10"/>
      <c r="AT70" s="2" t="s">
        <v>82</v>
      </c>
      <c r="AU70" s="12" t="s">
        <v>83</v>
      </c>
      <c r="AV70" s="3" t="n">
        <v>46214</v>
      </c>
      <c r="AW70" s="21"/>
      <c r="AY70" s="1"/>
      <c r="BA70" s="1"/>
      <c r="BB70" s="1"/>
    </row>
    <row r="71">
      <c r="A71" s="14" t="s">
        <v>631</v>
      </c>
      <c r="B71" s="14" t="n">
        <v>2023</v>
      </c>
      <c r="C71" s="14" t="n">
        <v>194</v>
      </c>
      <c r="D71" s="14" t="s">
        <v>50</v>
      </c>
      <c r="E71" s="14" t="s">
        <v>458</v>
      </c>
      <c r="F71" s="14" t="s">
        <v>632</v>
      </c>
      <c r="G71" s="14" t="s">
        <v>633</v>
      </c>
      <c r="H71" s="14" t="s">
        <v>460</v>
      </c>
      <c r="I71" s="14"/>
      <c r="J71" s="14"/>
      <c r="K71" s="14"/>
      <c r="L71" s="14"/>
      <c r="M71" s="14"/>
      <c r="N71" s="14"/>
      <c r="O71" s="14"/>
      <c r="P71" s="14"/>
      <c r="Q71" s="14"/>
      <c r="R71" s="14"/>
      <c r="S71" s="14"/>
      <c r="T71" s="14"/>
      <c r="U71" s="14"/>
      <c r="V71" s="14"/>
      <c r="W71" s="14"/>
      <c r="X71" s="14"/>
      <c r="Y71" s="14"/>
      <c r="Z71" s="14"/>
      <c r="AA71" s="14"/>
      <c r="AB71" s="14"/>
      <c r="AC71" s="14"/>
      <c r="AD71" s="14"/>
      <c r="AE71" s="14"/>
      <c r="AF71" s="15"/>
      <c r="AG71" s="15"/>
      <c r="AH71" s="16"/>
      <c r="AI71" s="15" t="str">
        <f>IF(AH71="","",IFERROR(RIGHT("0000"&amp;AH71,4)&amp;" - "&amp;UPPER(_xlfn.XLOOKUP(RIGHT("0000"&amp;AH71,4),CODEBOOK_CAP!$C$2:$C$212,CODEBOOK_CAP!$D$2:$D$212)),"Código CAP não encontrado"))</f>
      </c>
      <c r="AJ71" s="15" t="str">
        <f>IF(AH71="","",IFERROR(_xlfn.XLOOKUP(RIGHT("0000"&amp;AH71,4),CODEBOOK_CAP!$C$2:$C$212,CODEBOOK_CAP!$E$2:$E$212),"Código CAP não encontrado"))</f>
      </c>
      <c r="AK71" s="16"/>
      <c r="AL71" s="17"/>
      <c r="AM71" s="16"/>
      <c r="AN71" s="16"/>
      <c r="AO71" s="15"/>
      <c r="AP71" s="16"/>
      <c r="AQ71" s="15"/>
      <c r="AR71" s="16"/>
      <c r="AS71" s="18"/>
      <c r="AT71" s="15" t="s">
        <v>634</v>
      </c>
      <c r="AU71" s="15"/>
      <c r="AV71" s="3" t="n">
        <v>46214</v>
      </c>
    </row>
    <row r="72" ht="120" customHeight="1">
      <c r="A72" s="20" t="s">
        <v>635</v>
      </c>
      <c r="B72" s="20" t="n">
        <v>2023</v>
      </c>
      <c r="C72" s="20" t="n">
        <v>195</v>
      </c>
      <c r="D72" s="20" t="s">
        <v>50</v>
      </c>
      <c r="E72" s="20" t="s">
        <v>458</v>
      </c>
      <c r="F72" s="20" t="s">
        <v>636</v>
      </c>
      <c r="G72" s="20" t="s">
        <v>86</v>
      </c>
      <c r="H72" s="20" t="s">
        <v>460</v>
      </c>
      <c r="I72" s="20"/>
      <c r="J72" s="20" t="s">
        <v>637</v>
      </c>
      <c r="K72" s="20" t="s">
        <v>122</v>
      </c>
      <c r="L72" s="20" t="s">
        <v>57</v>
      </c>
      <c r="M72" s="20" t="s">
        <v>58</v>
      </c>
      <c r="N72" s="20" t="s">
        <v>59</v>
      </c>
      <c r="O72" s="20" t="s">
        <v>60</v>
      </c>
      <c r="P72" s="20" t="s">
        <v>89</v>
      </c>
      <c r="Q72" s="20" t="s">
        <v>90</v>
      </c>
      <c r="R72" s="20" t="s">
        <v>91</v>
      </c>
      <c r="S72" s="20" t="s">
        <v>92</v>
      </c>
      <c r="T72" s="20" t="s">
        <v>123</v>
      </c>
      <c r="U72" s="20" t="s">
        <v>124</v>
      </c>
      <c r="V72" s="20" t="s">
        <v>95</v>
      </c>
      <c r="W72" s="20" t="s">
        <v>96</v>
      </c>
      <c r="X72" s="20" t="s">
        <v>97</v>
      </c>
      <c r="Y72" s="20" t="s">
        <v>70</v>
      </c>
      <c r="Z72" s="20" t="s">
        <v>98</v>
      </c>
      <c r="AA72" s="20" t="s">
        <v>580</v>
      </c>
      <c r="AB72" s="20" t="s">
        <v>580</v>
      </c>
      <c r="AC72" s="20" t="s">
        <v>580</v>
      </c>
      <c r="AD72" s="20" t="s">
        <v>580</v>
      </c>
      <c r="AE72" s="20"/>
      <c r="AF72" s="9" t="n">
        <v>1</v>
      </c>
      <c r="AG72" s="12" t="n">
        <v>1</v>
      </c>
      <c r="AH72" s="22" t="s">
        <v>235</v>
      </c>
      <c r="AI72" s="12" t="str">
        <f>IF(AH72="","",IFERROR(RIGHT("0000"&amp;AH72,4)&amp;" - "&amp;UPPER(_xlfn.XLOOKUP(RIGHT("0000"&amp;AH72,4),CODEBOOK_CAP!$C$2:$C$212,CODEBOOK_CAP!$D$2:$D$212)),"Código CAP não encontrado"))</f>
        <v>0322 - ESTRUTURAS, HOSPITAIS, CLÍNICAS</v>
      </c>
      <c r="AJ72" s="12" t="str">
        <f>IF(AH72="","",IFERROR(_xlfn.XLOOKUP(RIGHT("0000"&amp;AH72,4),CODEBOOK_CAP!$C$2:$C$212,CODEBOOK_CAP!$E$2:$E$212),"Código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2" s="22" t="s">
        <v>77</v>
      </c>
      <c r="AL72" s="12"/>
      <c r="AM72" s="22" t="s">
        <v>79</v>
      </c>
      <c r="AN72" s="22" t="s">
        <v>79</v>
      </c>
      <c r="AO72" s="12" t="s">
        <v>638</v>
      </c>
      <c r="AP72" s="22" t="s">
        <v>77</v>
      </c>
      <c r="AQ72" s="12"/>
      <c r="AR72" s="22" t="s">
        <v>77</v>
      </c>
      <c r="AS72" s="10"/>
      <c r="AT72" s="2" t="s">
        <v>82</v>
      </c>
      <c r="AU72" s="12" t="s">
        <v>83</v>
      </c>
      <c r="AV72" s="3" t="n">
        <v>46214</v>
      </c>
      <c r="AW72" s="21"/>
      <c r="AY72" s="1"/>
      <c r="BA72" s="1"/>
      <c r="BB72" s="1"/>
    </row>
    <row r="73" ht="120" customHeight="1">
      <c r="A73" s="20" t="s">
        <v>639</v>
      </c>
      <c r="B73" s="20" t="n">
        <v>2023</v>
      </c>
      <c r="C73" s="20" t="n">
        <v>196</v>
      </c>
      <c r="D73" s="20" t="s">
        <v>50</v>
      </c>
      <c r="E73" s="20" t="s">
        <v>458</v>
      </c>
      <c r="F73" s="20" t="s">
        <v>640</v>
      </c>
      <c r="G73" s="20" t="s">
        <v>86</v>
      </c>
      <c r="H73" s="20" t="s">
        <v>460</v>
      </c>
      <c r="I73" s="20"/>
      <c r="J73" s="20" t="s">
        <v>641</v>
      </c>
      <c r="K73" s="20" t="s">
        <v>122</v>
      </c>
      <c r="L73" s="20" t="s">
        <v>57</v>
      </c>
      <c r="M73" s="20" t="s">
        <v>58</v>
      </c>
      <c r="N73" s="20" t="s">
        <v>59</v>
      </c>
      <c r="O73" s="20" t="s">
        <v>60</v>
      </c>
      <c r="P73" s="20" t="s">
        <v>89</v>
      </c>
      <c r="Q73" s="20" t="s">
        <v>90</v>
      </c>
      <c r="R73" s="20" t="s">
        <v>91</v>
      </c>
      <c r="S73" s="20" t="s">
        <v>92</v>
      </c>
      <c r="T73" s="20" t="s">
        <v>123</v>
      </c>
      <c r="U73" s="20" t="s">
        <v>124</v>
      </c>
      <c r="V73" s="20" t="s">
        <v>95</v>
      </c>
      <c r="W73" s="20" t="s">
        <v>96</v>
      </c>
      <c r="X73" s="20" t="s">
        <v>97</v>
      </c>
      <c r="Y73" s="20" t="s">
        <v>70</v>
      </c>
      <c r="Z73" s="20" t="s">
        <v>98</v>
      </c>
      <c r="AA73" s="20" t="s">
        <v>580</v>
      </c>
      <c r="AB73" s="20" t="s">
        <v>580</v>
      </c>
      <c r="AC73" s="20" t="s">
        <v>580</v>
      </c>
      <c r="AD73" s="20" t="s">
        <v>580</v>
      </c>
      <c r="AE73" s="20"/>
      <c r="AF73" s="9" t="n">
        <v>1</v>
      </c>
      <c r="AG73" s="12" t="n">
        <v>1</v>
      </c>
      <c r="AH73" s="22" t="s">
        <v>235</v>
      </c>
      <c r="AI73" s="12" t="str">
        <f>IF(AH73="","",IFERROR(RIGHT("0000"&amp;AH73,4)&amp;" - "&amp;UPPER(_xlfn.XLOOKUP(RIGHT("0000"&amp;AH73,4),CODEBOOK_CAP!$C$2:$C$212,CODEBOOK_CAP!$D$2:$D$212)),"Código CAP não encontrado"))</f>
        <v>0322 - ESTRUTURAS, HOSPITAIS, CLÍNICAS</v>
      </c>
      <c r="AJ73" s="12" t="str">
        <f>IF(AH73="","",IFERROR(_xlfn.XLOOKUP(RIGHT("0000"&amp;AH73,4),CODEBOOK_CAP!$C$2:$C$212,CODEBOOK_CAP!$E$2:$E$212),"Código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 s="22" t="s">
        <v>77</v>
      </c>
      <c r="AL73" s="12"/>
      <c r="AM73" s="22" t="s">
        <v>79</v>
      </c>
      <c r="AN73" s="22" t="s">
        <v>79</v>
      </c>
      <c r="AO73" s="12" t="s">
        <v>642</v>
      </c>
      <c r="AP73" s="22" t="s">
        <v>77</v>
      </c>
      <c r="AQ73" s="12"/>
      <c r="AR73" s="22" t="s">
        <v>77</v>
      </c>
      <c r="AS73" s="10"/>
      <c r="AT73" s="2" t="s">
        <v>82</v>
      </c>
      <c r="AU73" s="12" t="s">
        <v>83</v>
      </c>
      <c r="AV73" s="3" t="n">
        <v>46214</v>
      </c>
      <c r="AW73" s="21"/>
      <c r="AY73" s="1"/>
      <c r="BA73" s="1"/>
      <c r="BB73" s="1"/>
    </row>
    <row r="74" ht="105" customHeight="1">
      <c r="A74" s="20" t="s">
        <v>643</v>
      </c>
      <c r="B74" s="20" t="n">
        <v>2023</v>
      </c>
      <c r="C74" s="20" t="n">
        <v>197</v>
      </c>
      <c r="D74" s="20" t="s">
        <v>50</v>
      </c>
      <c r="E74" s="20" t="s">
        <v>458</v>
      </c>
      <c r="F74" s="20" t="s">
        <v>644</v>
      </c>
      <c r="G74" s="20" t="s">
        <v>86</v>
      </c>
      <c r="H74" s="20" t="s">
        <v>460</v>
      </c>
      <c r="I74" s="20"/>
      <c r="J74" s="20" t="s">
        <v>645</v>
      </c>
      <c r="K74" s="20" t="s">
        <v>289</v>
      </c>
      <c r="L74" s="20" t="s">
        <v>208</v>
      </c>
      <c r="M74" s="20" t="s">
        <v>209</v>
      </c>
      <c r="N74" s="20" t="s">
        <v>210</v>
      </c>
      <c r="O74" s="20" t="s">
        <v>211</v>
      </c>
      <c r="P74" s="20" t="s">
        <v>212</v>
      </c>
      <c r="Q74" s="20" t="s">
        <v>213</v>
      </c>
      <c r="R74" s="20" t="s">
        <v>251</v>
      </c>
      <c r="S74" s="20" t="s">
        <v>252</v>
      </c>
      <c r="T74" s="20" t="s">
        <v>290</v>
      </c>
      <c r="U74" s="20" t="s">
        <v>291</v>
      </c>
      <c r="V74" s="20" t="s">
        <v>67</v>
      </c>
      <c r="W74" s="20" t="s">
        <v>68</v>
      </c>
      <c r="X74" s="20" t="s">
        <v>69</v>
      </c>
      <c r="Y74" s="20" t="s">
        <v>70</v>
      </c>
      <c r="Z74" s="20" t="s">
        <v>177</v>
      </c>
      <c r="AA74" s="20" t="s">
        <v>363</v>
      </c>
      <c r="AB74" s="20" t="s">
        <v>646</v>
      </c>
      <c r="AC74" s="20" t="s">
        <v>646</v>
      </c>
      <c r="AD74" s="20" t="s">
        <v>646</v>
      </c>
      <c r="AE74" s="20"/>
      <c r="AF74" s="9" t="n">
        <v>0</v>
      </c>
      <c r="AG74" s="12" t="n">
        <v>0</v>
      </c>
      <c r="AH74" s="22" t="s">
        <v>161</v>
      </c>
      <c r="AI74" s="12" t="str">
        <f>IF(AH74="","",IFERROR(RIGHT("0000"&amp;AH74,4)&amp;" - "&amp;UPPER(_xlfn.XLOOKUP(RIGHT("0000"&amp;AH74,4),CODEBOOK_CAP!$C$2:$C$212,CODEBOOK_CAP!$D$2:$D$212)),"Código CAP não encontrado"))</f>
        <v>2300 - GERAL</v>
      </c>
      <c r="AJ74" s="12" t="str">
        <f>IF(AH74="","",IFERROR(_xlfn.XLOOKUP(RIGHT("0000"&amp;AH74,4),CODEBOOK_CAP!$C$2:$C$212,CODEBOOK_CAP!$E$2:$E$212),"Código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4" s="22" t="s">
        <v>79</v>
      </c>
      <c r="AL74" s="26" t="s">
        <v>647</v>
      </c>
      <c r="AM74" s="22" t="s">
        <v>79</v>
      </c>
      <c r="AN74" s="22" t="s">
        <v>79</v>
      </c>
      <c r="AO74" s="12" t="s">
        <v>647</v>
      </c>
      <c r="AP74" s="22" t="s">
        <v>77</v>
      </c>
      <c r="AQ74" s="12"/>
      <c r="AR74" s="22" t="s">
        <v>77</v>
      </c>
      <c r="AS74" s="10"/>
      <c r="AT74" s="2" t="s">
        <v>82</v>
      </c>
      <c r="AU74" s="12" t="s">
        <v>83</v>
      </c>
      <c r="AV74" s="3" t="n">
        <v>46214</v>
      </c>
      <c r="AW74" s="21"/>
      <c r="AX74" s="1" t="s">
        <v>6956</v>
      </c>
      <c r="AY74" s="1"/>
      <c r="BA74" s="1"/>
      <c r="BB74" s="1"/>
    </row>
    <row r="75">
      <c r="A75" s="14" t="s">
        <v>648</v>
      </c>
      <c r="B75" s="14" t="n">
        <v>2023</v>
      </c>
      <c r="C75" s="14" t="n">
        <v>198</v>
      </c>
      <c r="D75" s="14" t="s">
        <v>50</v>
      </c>
      <c r="E75" s="14" t="s">
        <v>458</v>
      </c>
      <c r="F75" s="14" t="s">
        <v>649</v>
      </c>
      <c r="G75" s="14" t="s">
        <v>633</v>
      </c>
      <c r="H75" s="14" t="s">
        <v>460</v>
      </c>
      <c r="I75" s="14"/>
      <c r="J75" s="14"/>
      <c r="K75" s="14"/>
      <c r="L75" s="14"/>
      <c r="M75" s="14"/>
      <c r="N75" s="14"/>
      <c r="O75" s="14"/>
      <c r="P75" s="14"/>
      <c r="Q75" s="14"/>
      <c r="R75" s="14"/>
      <c r="S75" s="14"/>
      <c r="T75" s="14"/>
      <c r="U75" s="14"/>
      <c r="V75" s="14"/>
      <c r="W75" s="14"/>
      <c r="X75" s="14"/>
      <c r="Y75" s="14"/>
      <c r="Z75" s="14"/>
      <c r="AA75" s="14"/>
      <c r="AB75" s="14" t="s">
        <v>77</v>
      </c>
      <c r="AC75" s="14" t="s">
        <v>77</v>
      </c>
      <c r="AD75" s="14" t="s">
        <v>77</v>
      </c>
      <c r="AE75" s="14"/>
      <c r="AF75" s="15"/>
      <c r="AG75" s="15"/>
      <c r="AH75" s="16"/>
      <c r="AI75" s="15" t="str">
        <f>IF(AH75="","",IFERROR(RIGHT("0000"&amp;AH75,4)&amp;" - "&amp;UPPER(_xlfn.XLOOKUP(RIGHT("0000"&amp;AH75,4),CODEBOOK_CAP!$C$2:$C$212,CODEBOOK_CAP!$D$2:$D$212)),"Código CAP não encontrado"))</f>
      </c>
      <c r="AJ75" s="15" t="str">
        <f>IF(AH75="","",IFERROR(_xlfn.XLOOKUP(RIGHT("0000"&amp;AH75,4),CODEBOOK_CAP!$C$2:$C$212,CODEBOOK_CAP!$E$2:$E$212),"Código CAP não encontrado"))</f>
      </c>
      <c r="AK75" s="16"/>
      <c r="AL75" s="17"/>
      <c r="AM75" s="16"/>
      <c r="AN75" s="16"/>
      <c r="AO75" s="15"/>
      <c r="AP75" s="16"/>
      <c r="AQ75" s="15"/>
      <c r="AR75" s="16"/>
      <c r="AS75" s="18"/>
      <c r="AT75" s="2" t="s">
        <v>82</v>
      </c>
      <c r="AU75" s="15"/>
      <c r="AV75" s="3" t="n">
        <v>46214</v>
      </c>
    </row>
    <row r="76" ht="105" customHeight="1">
      <c r="A76" s="20" t="s">
        <v>650</v>
      </c>
      <c r="B76" s="20" t="n">
        <v>2023</v>
      </c>
      <c r="C76" s="20" t="n">
        <v>199</v>
      </c>
      <c r="D76" s="20" t="s">
        <v>50</v>
      </c>
      <c r="E76" s="20" t="s">
        <v>458</v>
      </c>
      <c r="F76" s="20" t="s">
        <v>651</v>
      </c>
      <c r="G76" s="20" t="s">
        <v>183</v>
      </c>
      <c r="H76" s="20" t="s">
        <v>460</v>
      </c>
      <c r="I76" s="20"/>
      <c r="J76" s="20" t="s">
        <v>652</v>
      </c>
      <c r="K76" s="20" t="s">
        <v>478</v>
      </c>
      <c r="L76" s="20" t="s">
        <v>479</v>
      </c>
      <c r="M76" s="20" t="s">
        <v>480</v>
      </c>
      <c r="N76" s="20" t="s">
        <v>481</v>
      </c>
      <c r="O76" s="20" t="s">
        <v>482</v>
      </c>
      <c r="P76" s="20" t="s">
        <v>483</v>
      </c>
      <c r="Q76" s="20" t="s">
        <v>484</v>
      </c>
      <c r="R76" s="20" t="s">
        <v>485</v>
      </c>
      <c r="S76" s="20" t="s">
        <v>486</v>
      </c>
      <c r="T76" s="20" t="s">
        <v>487</v>
      </c>
      <c r="U76" s="20" t="s">
        <v>488</v>
      </c>
      <c r="V76" s="20" t="s">
        <v>95</v>
      </c>
      <c r="W76" s="20" t="s">
        <v>96</v>
      </c>
      <c r="X76" s="20" t="s">
        <v>97</v>
      </c>
      <c r="Y76" s="20" t="s">
        <v>70</v>
      </c>
      <c r="Z76" s="20" t="s">
        <v>489</v>
      </c>
      <c r="AA76" s="20" t="s">
        <v>292</v>
      </c>
      <c r="AB76" s="20" t="s">
        <v>77</v>
      </c>
      <c r="AC76" s="20" t="s">
        <v>77</v>
      </c>
      <c r="AD76" s="20" t="s">
        <v>77</v>
      </c>
      <c r="AE76" s="20"/>
      <c r="AF76" s="9" t="n">
        <v>0</v>
      </c>
      <c r="AG76" s="12" t="n">
        <v>0</v>
      </c>
      <c r="AH76" s="22" t="s">
        <v>161</v>
      </c>
      <c r="AI76" s="12" t="str">
        <f>IF(AH76="","",IFERROR(RIGHT("0000"&amp;AH76,4)&amp;" - "&amp;UPPER(_xlfn.XLOOKUP(RIGHT("0000"&amp;AH76,4),CODEBOOK_CAP!$C$2:$C$212,CODEBOOK_CAP!$D$2:$D$212)),"Código CAP não encontrado"))</f>
        <v>2300 - GERAL</v>
      </c>
      <c r="AJ76" s="12" t="str">
        <f>IF(AH76="","",IFERROR(_xlfn.XLOOKUP(RIGHT("0000"&amp;AH76,4),CODEBOOK_CAP!$C$2:$C$212,CODEBOOK_CAP!$E$2:$E$212),"Código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6" s="22" t="s">
        <v>79</v>
      </c>
      <c r="AL76" s="26" t="s">
        <v>653</v>
      </c>
      <c r="AM76" s="22" t="s">
        <v>79</v>
      </c>
      <c r="AN76" s="22" t="s">
        <v>79</v>
      </c>
      <c r="AO76" s="12" t="s">
        <v>653</v>
      </c>
      <c r="AP76" s="22" t="s">
        <v>77</v>
      </c>
      <c r="AQ76" s="12"/>
      <c r="AR76" s="22" t="s">
        <v>77</v>
      </c>
      <c r="AS76" s="10"/>
      <c r="AT76" s="2" t="s">
        <v>82</v>
      </c>
      <c r="AU76" s="12" t="s">
        <v>83</v>
      </c>
      <c r="AV76" s="3" t="n">
        <v>46214</v>
      </c>
      <c r="AW76" s="21"/>
      <c r="AX76" s="1" t="s">
        <v>6956</v>
      </c>
      <c r="AY76" s="1"/>
      <c r="BA76" s="1"/>
      <c r="BB76" s="1"/>
    </row>
    <row r="77" ht="75" customHeight="1">
      <c r="A77" s="20" t="s">
        <v>654</v>
      </c>
      <c r="B77" s="20" t="n">
        <v>2023</v>
      </c>
      <c r="C77" s="20" t="n">
        <v>200</v>
      </c>
      <c r="D77" s="20" t="s">
        <v>50</v>
      </c>
      <c r="E77" s="20" t="s">
        <v>458</v>
      </c>
      <c r="F77" s="20" t="s">
        <v>655</v>
      </c>
      <c r="G77" s="20" t="s">
        <v>86</v>
      </c>
      <c r="H77" s="20" t="s">
        <v>460</v>
      </c>
      <c r="I77" s="20"/>
      <c r="J77" s="20" t="s">
        <v>656</v>
      </c>
      <c r="K77" s="20" t="s">
        <v>657</v>
      </c>
      <c r="L77" s="20" t="s">
        <v>658</v>
      </c>
      <c r="M77" s="20" t="s">
        <v>659</v>
      </c>
      <c r="N77" s="20" t="s">
        <v>660</v>
      </c>
      <c r="O77" s="20" t="s">
        <v>661</v>
      </c>
      <c r="P77" s="20" t="s">
        <v>662</v>
      </c>
      <c r="Q77" s="20" t="s">
        <v>663</v>
      </c>
      <c r="R77" s="20" t="s">
        <v>251</v>
      </c>
      <c r="S77" s="20" t="s">
        <v>252</v>
      </c>
      <c r="T77" s="20" t="s">
        <v>664</v>
      </c>
      <c r="U77" s="20" t="s">
        <v>665</v>
      </c>
      <c r="V77" s="20" t="s">
        <v>95</v>
      </c>
      <c r="W77" s="20" t="s">
        <v>96</v>
      </c>
      <c r="X77" s="20" t="s">
        <v>97</v>
      </c>
      <c r="Y77" s="20" t="s">
        <v>70</v>
      </c>
      <c r="Z77" s="20" t="s">
        <v>177</v>
      </c>
      <c r="AA77" s="20" t="s">
        <v>395</v>
      </c>
      <c r="AB77" s="20" t="s">
        <v>666</v>
      </c>
      <c r="AC77" s="20" t="s">
        <v>666</v>
      </c>
      <c r="AD77" s="20" t="s">
        <v>666</v>
      </c>
      <c r="AE77" s="20"/>
      <c r="AF77" s="9" t="n">
        <v>0</v>
      </c>
      <c r="AG77" s="12" t="n">
        <v>0</v>
      </c>
      <c r="AH77" s="22" t="s">
        <v>304</v>
      </c>
      <c r="AI77" s="12" t="str">
        <f>IF(AH77="","",IFERROR(RIGHT("0000"&amp;AH77,4)&amp;" - "&amp;UPPER(_xlfn.XLOOKUP(RIGHT("0000"&amp;AH77,4),CODEBOOK_CAP!$C$2:$C$212,CODEBOOK_CAP!$D$2:$D$212)),"Código CAP não encontrado"))</f>
        <v>1403 - REABILITAÇÃO URBANA, ECONOMIA URBANA</v>
      </c>
      <c r="AJ77" s="12" t="str">
        <f>IF(AH77="","",IFERROR(_xlfn.XLOOKUP(RIGHT("0000"&amp;AH77,4),CODEBOOK_CAP!$C$2:$C$212,CODEBOOK_CAP!$E$2:$E$212),"Código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77" s="22" t="s">
        <v>79</v>
      </c>
      <c r="AL77" s="26" t="s">
        <v>667</v>
      </c>
      <c r="AM77" s="22" t="s">
        <v>79</v>
      </c>
      <c r="AN77" s="22" t="s">
        <v>79</v>
      </c>
      <c r="AO77" s="12" t="s">
        <v>667</v>
      </c>
      <c r="AP77" s="22" t="s">
        <v>77</v>
      </c>
      <c r="AQ77" s="12"/>
      <c r="AR77" s="22" t="s">
        <v>77</v>
      </c>
      <c r="AS77" s="10"/>
      <c r="AT77" s="2" t="s">
        <v>82</v>
      </c>
      <c r="AU77" s="12" t="s">
        <v>83</v>
      </c>
      <c r="AV77" s="3" t="n">
        <v>46214</v>
      </c>
      <c r="AW77" s="21"/>
      <c r="AY77" s="1"/>
      <c r="BA77" s="1"/>
      <c r="BB77" s="1"/>
    </row>
    <row r="78" ht="255" customHeight="1">
      <c r="A78" s="20" t="s">
        <v>668</v>
      </c>
      <c r="B78" s="20" t="n">
        <v>2023</v>
      </c>
      <c r="C78" s="20" t="n">
        <v>201</v>
      </c>
      <c r="D78" s="20" t="s">
        <v>50</v>
      </c>
      <c r="E78" s="20" t="s">
        <v>458</v>
      </c>
      <c r="F78" s="20" t="s">
        <v>669</v>
      </c>
      <c r="G78" s="20" t="s">
        <v>86</v>
      </c>
      <c r="H78" s="20" t="s">
        <v>460</v>
      </c>
      <c r="I78" s="20"/>
      <c r="J78" s="20" t="s">
        <v>670</v>
      </c>
      <c r="K78" s="20" t="s">
        <v>500</v>
      </c>
      <c r="L78" s="20" t="s">
        <v>479</v>
      </c>
      <c r="M78" s="20" t="s">
        <v>480</v>
      </c>
      <c r="N78" s="20" t="s">
        <v>481</v>
      </c>
      <c r="O78" s="20" t="s">
        <v>482</v>
      </c>
      <c r="P78" s="20" t="s">
        <v>483</v>
      </c>
      <c r="Q78" s="20" t="s">
        <v>484</v>
      </c>
      <c r="R78" s="20" t="s">
        <v>485</v>
      </c>
      <c r="S78" s="20" t="s">
        <v>486</v>
      </c>
      <c r="T78" s="20" t="s">
        <v>487</v>
      </c>
      <c r="U78" s="20" t="s">
        <v>488</v>
      </c>
      <c r="V78" s="20" t="s">
        <v>95</v>
      </c>
      <c r="W78" s="20" t="s">
        <v>96</v>
      </c>
      <c r="X78" s="20" t="s">
        <v>97</v>
      </c>
      <c r="Y78" s="20" t="s">
        <v>70</v>
      </c>
      <c r="Z78" s="20" t="s">
        <v>489</v>
      </c>
      <c r="AA78" s="20" t="s">
        <v>501</v>
      </c>
      <c r="AB78" s="20" t="s">
        <v>671</v>
      </c>
      <c r="AC78" s="20" t="s">
        <v>671</v>
      </c>
      <c r="AD78" s="20" t="s">
        <v>671</v>
      </c>
      <c r="AE78" s="20"/>
      <c r="AF78" s="9" t="n">
        <v>0</v>
      </c>
      <c r="AG78" s="12" t="n">
        <v>0</v>
      </c>
      <c r="AH78" s="22" t="s">
        <v>219</v>
      </c>
      <c r="AI78" s="12" t="str">
        <f>IF(AH78="","",IFERROR(RIGHT("0000"&amp;AH78,4)&amp;" - "&amp;UPPER(_xlfn.XLOOKUP(RIGHT("0000"&amp;AH78,4),CODEBOOK_CAP!$C$2:$C$212,CODEBOOK_CAP!$D$2:$D$212)),"Código CAP não encontrado"))</f>
        <v>1002 - CARROS, TRÂNSITO, CONSTRUÇÃO E MANUTENÇÃO DE RUAS E ESTRADAS</v>
      </c>
      <c r="AJ78" s="12" t="str">
        <f>IF(AH78="","",IFERROR(_xlfn.XLOOKUP(RIGHT("0000"&amp;AH78,4),CODEBOOK_CAP!$C$2:$C$212,CODEBOOK_CAP!$E$2:$E$212),"Código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 s="22" t="s">
        <v>79</v>
      </c>
      <c r="AL78" s="26" t="s">
        <v>672</v>
      </c>
      <c r="AM78" s="22" t="s">
        <v>79</v>
      </c>
      <c r="AN78" s="22" t="s">
        <v>79</v>
      </c>
      <c r="AO78" s="12" t="s">
        <v>672</v>
      </c>
      <c r="AP78" s="22" t="s">
        <v>77</v>
      </c>
      <c r="AQ78" s="12"/>
      <c r="AR78" s="22" t="s">
        <v>77</v>
      </c>
      <c r="AS78" s="10"/>
      <c r="AT78" s="2" t="s">
        <v>82</v>
      </c>
      <c r="AU78" s="12" t="s">
        <v>83</v>
      </c>
      <c r="AV78" s="3" t="n">
        <v>46214</v>
      </c>
      <c r="AW78" s="21"/>
      <c r="AY78" s="1"/>
      <c r="BA78" s="1"/>
      <c r="BB78" s="1"/>
    </row>
    <row r="79" ht="255" customHeight="1">
      <c r="A79" s="20" t="s">
        <v>673</v>
      </c>
      <c r="B79" s="20" t="n">
        <v>2023</v>
      </c>
      <c r="C79" s="20" t="n">
        <v>202</v>
      </c>
      <c r="D79" s="20" t="s">
        <v>50</v>
      </c>
      <c r="E79" s="20" t="s">
        <v>458</v>
      </c>
      <c r="F79" s="20" t="s">
        <v>674</v>
      </c>
      <c r="G79" s="20" t="s">
        <v>183</v>
      </c>
      <c r="H79" s="20" t="s">
        <v>460</v>
      </c>
      <c r="I79" s="20"/>
      <c r="J79" s="20" t="s">
        <v>675</v>
      </c>
      <c r="K79" s="20" t="s">
        <v>500</v>
      </c>
      <c r="L79" s="20" t="s">
        <v>479</v>
      </c>
      <c r="M79" s="20" t="s">
        <v>480</v>
      </c>
      <c r="N79" s="20" t="s">
        <v>481</v>
      </c>
      <c r="O79" s="20" t="s">
        <v>482</v>
      </c>
      <c r="P79" s="20" t="s">
        <v>483</v>
      </c>
      <c r="Q79" s="20" t="s">
        <v>484</v>
      </c>
      <c r="R79" s="20" t="s">
        <v>485</v>
      </c>
      <c r="S79" s="20" t="s">
        <v>486</v>
      </c>
      <c r="T79" s="20" t="s">
        <v>487</v>
      </c>
      <c r="U79" s="20" t="s">
        <v>488</v>
      </c>
      <c r="V79" s="20" t="s">
        <v>95</v>
      </c>
      <c r="W79" s="20" t="s">
        <v>96</v>
      </c>
      <c r="X79" s="20" t="s">
        <v>97</v>
      </c>
      <c r="Y79" s="20" t="s">
        <v>70</v>
      </c>
      <c r="Z79" s="20" t="s">
        <v>489</v>
      </c>
      <c r="AA79" s="20" t="s">
        <v>501</v>
      </c>
      <c r="AB79" s="20" t="s">
        <v>77</v>
      </c>
      <c r="AC79" s="20" t="s">
        <v>77</v>
      </c>
      <c r="AD79" s="20" t="s">
        <v>77</v>
      </c>
      <c r="AE79" s="20"/>
      <c r="AF79" s="9" t="n">
        <v>0</v>
      </c>
      <c r="AG79" s="12" t="n">
        <v>0</v>
      </c>
      <c r="AH79" s="22" t="s">
        <v>219</v>
      </c>
      <c r="AI79" s="12" t="str">
        <f>IF(AH79="","",IFERROR(RIGHT("0000"&amp;AH79,4)&amp;" - "&amp;UPPER(_xlfn.XLOOKUP(RIGHT("0000"&amp;AH79,4),CODEBOOK_CAP!$C$2:$C$212,CODEBOOK_CAP!$D$2:$D$212)),"Código CAP não encontrado"))</f>
        <v>1002 - CARROS, TRÂNSITO, CONSTRUÇÃO E MANUTENÇÃO DE RUAS E ESTRADAS</v>
      </c>
      <c r="AJ79" s="12" t="str">
        <f>IF(AH79="","",IFERROR(_xlfn.XLOOKUP(RIGHT("0000"&amp;AH79,4),CODEBOOK_CAP!$C$2:$C$212,CODEBOOK_CAP!$E$2:$E$212),"Código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9" s="22" t="s">
        <v>79</v>
      </c>
      <c r="AL79" s="26" t="s">
        <v>676</v>
      </c>
      <c r="AM79" s="22" t="s">
        <v>79</v>
      </c>
      <c r="AN79" s="22" t="s">
        <v>79</v>
      </c>
      <c r="AO79" s="12" t="s">
        <v>676</v>
      </c>
      <c r="AP79" s="22" t="s">
        <v>77</v>
      </c>
      <c r="AQ79" s="12"/>
      <c r="AR79" s="22" t="s">
        <v>77</v>
      </c>
      <c r="AS79" s="10"/>
      <c r="AT79" s="2" t="s">
        <v>82</v>
      </c>
      <c r="AU79" s="12" t="s">
        <v>83</v>
      </c>
      <c r="AV79" s="3" t="n">
        <v>46214</v>
      </c>
      <c r="AW79" s="21"/>
      <c r="AY79" s="1"/>
      <c r="BA79" s="1"/>
      <c r="BB79" s="1"/>
    </row>
    <row r="80" ht="105" customHeight="1">
      <c r="A80" s="20" t="s">
        <v>677</v>
      </c>
      <c r="B80" s="20" t="n">
        <v>2023</v>
      </c>
      <c r="C80" s="20" t="n">
        <v>870</v>
      </c>
      <c r="D80" s="20" t="s">
        <v>50</v>
      </c>
      <c r="E80" s="20" t="s">
        <v>678</v>
      </c>
      <c r="F80" s="20" t="s">
        <v>679</v>
      </c>
      <c r="G80" s="20" t="s">
        <v>86</v>
      </c>
      <c r="H80" s="20" t="s">
        <v>680</v>
      </c>
      <c r="I80" s="20"/>
      <c r="J80" s="20" t="s">
        <v>681</v>
      </c>
      <c r="K80" s="20" t="s">
        <v>682</v>
      </c>
      <c r="L80" s="20" t="s">
        <v>186</v>
      </c>
      <c r="M80" s="20" t="s">
        <v>187</v>
      </c>
      <c r="N80" s="20" t="s">
        <v>188</v>
      </c>
      <c r="O80" s="20" t="s">
        <v>189</v>
      </c>
      <c r="P80" s="20" t="s">
        <v>338</v>
      </c>
      <c r="Q80" s="20" t="s">
        <v>683</v>
      </c>
      <c r="R80" s="20" t="s">
        <v>192</v>
      </c>
      <c r="S80" s="20" t="s">
        <v>193</v>
      </c>
      <c r="T80" s="20" t="s">
        <v>684</v>
      </c>
      <c r="U80" s="20" t="s">
        <v>685</v>
      </c>
      <c r="V80" s="20" t="s">
        <v>95</v>
      </c>
      <c r="W80" s="20" t="s">
        <v>96</v>
      </c>
      <c r="X80" s="20" t="s">
        <v>97</v>
      </c>
      <c r="Y80" s="20" t="s">
        <v>70</v>
      </c>
      <c r="Z80" s="20" t="s">
        <v>197</v>
      </c>
      <c r="AA80" s="20" t="s">
        <v>686</v>
      </c>
      <c r="AB80" s="20" t="s">
        <v>687</v>
      </c>
      <c r="AC80" s="20" t="s">
        <v>687</v>
      </c>
      <c r="AD80" s="20" t="s">
        <v>687</v>
      </c>
      <c r="AE80" s="20"/>
      <c r="AF80" s="9" t="n">
        <v>0</v>
      </c>
      <c r="AG80" s="12" t="n">
        <v>0</v>
      </c>
      <c r="AH80" s="22" t="s">
        <v>161</v>
      </c>
      <c r="AI80" s="12" t="str">
        <f>IF(AH80="","",IFERROR(RIGHT("0000"&amp;AH80,4)&amp;" - "&amp;UPPER(_xlfn.XLOOKUP(RIGHT("0000"&amp;AH80,4),CODEBOOK_CAP!$C$2:$C$212,CODEBOOK_CAP!$D$2:$D$212)),"Código CAP não encontrado"))</f>
        <v>2300 - GERAL</v>
      </c>
      <c r="AJ80" s="12" t="str">
        <f>IF(AH80="","",IFERROR(_xlfn.XLOOKUP(RIGHT("0000"&amp;AH80,4),CODEBOOK_CAP!$C$2:$C$212,CODEBOOK_CAP!$E$2:$E$212),"Código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0" s="22" t="s">
        <v>77</v>
      </c>
      <c r="AL80" s="26"/>
      <c r="AM80" s="22" t="s">
        <v>77</v>
      </c>
      <c r="AN80" s="22" t="s">
        <v>77</v>
      </c>
      <c r="AO80" s="12"/>
      <c r="AP80" s="22" t="s">
        <v>77</v>
      </c>
      <c r="AQ80" s="12"/>
      <c r="AR80" s="22" t="s">
        <v>77</v>
      </c>
      <c r="AS80" s="10"/>
      <c r="AT80" s="2" t="s">
        <v>82</v>
      </c>
      <c r="AU80" s="12" t="s">
        <v>83</v>
      </c>
      <c r="AV80" s="3" t="n">
        <v>46214</v>
      </c>
      <c r="AW80" s="21"/>
      <c r="AX80" s="1" t="s">
        <v>6956</v>
      </c>
      <c r="AY80" s="1"/>
      <c r="BA80" s="1"/>
      <c r="BB80" s="1"/>
    </row>
    <row r="81" ht="105" customHeight="1">
      <c r="A81" s="20" t="s">
        <v>688</v>
      </c>
      <c r="B81" s="20" t="n">
        <v>2023</v>
      </c>
      <c r="C81" s="20" t="n">
        <v>871</v>
      </c>
      <c r="D81" s="20" t="s">
        <v>50</v>
      </c>
      <c r="E81" s="20" t="s">
        <v>678</v>
      </c>
      <c r="F81" s="20" t="s">
        <v>689</v>
      </c>
      <c r="G81" s="20" t="s">
        <v>86</v>
      </c>
      <c r="H81" s="20" t="s">
        <v>680</v>
      </c>
      <c r="I81" s="20"/>
      <c r="J81" s="20" t="s">
        <v>690</v>
      </c>
      <c r="K81" s="20" t="s">
        <v>691</v>
      </c>
      <c r="L81" s="20" t="s">
        <v>186</v>
      </c>
      <c r="M81" s="20" t="s">
        <v>187</v>
      </c>
      <c r="N81" s="20" t="s">
        <v>188</v>
      </c>
      <c r="O81" s="20" t="s">
        <v>189</v>
      </c>
      <c r="P81" s="20" t="s">
        <v>190</v>
      </c>
      <c r="Q81" s="20" t="s">
        <v>191</v>
      </c>
      <c r="R81" s="20" t="s">
        <v>192</v>
      </c>
      <c r="S81" s="20" t="s">
        <v>193</v>
      </c>
      <c r="T81" s="20" t="s">
        <v>194</v>
      </c>
      <c r="U81" s="20" t="s">
        <v>195</v>
      </c>
      <c r="V81" s="20" t="s">
        <v>196</v>
      </c>
      <c r="W81" s="20" t="s">
        <v>68</v>
      </c>
      <c r="X81" s="20" t="s">
        <v>69</v>
      </c>
      <c r="Y81" s="20" t="s">
        <v>70</v>
      </c>
      <c r="Z81" s="20" t="s">
        <v>197</v>
      </c>
      <c r="AA81" s="20" t="s">
        <v>686</v>
      </c>
      <c r="AB81" s="20" t="s">
        <v>692</v>
      </c>
      <c r="AC81" s="20" t="s">
        <v>692</v>
      </c>
      <c r="AD81" s="20" t="s">
        <v>692</v>
      </c>
      <c r="AE81" s="20"/>
      <c r="AF81" s="9" t="n">
        <v>0</v>
      </c>
      <c r="AG81" s="12" t="n">
        <v>0</v>
      </c>
      <c r="AH81" s="22" t="s">
        <v>161</v>
      </c>
      <c r="AI81" s="12" t="str">
        <f>IF(AH81="","",IFERROR(RIGHT("0000"&amp;AH81,4)&amp;" - "&amp;UPPER(_xlfn.XLOOKUP(RIGHT("0000"&amp;AH81,4),CODEBOOK_CAP!$C$2:$C$212,CODEBOOK_CAP!$D$2:$D$212)),"Código CAP não encontrado"))</f>
        <v>2300 - GERAL</v>
      </c>
      <c r="AJ81" s="12" t="str">
        <f>IF(AH81="","",IFERROR(_xlfn.XLOOKUP(RIGHT("0000"&amp;AH81,4),CODEBOOK_CAP!$C$2:$C$212,CODEBOOK_CAP!$E$2:$E$212),"Código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1" s="22" t="s">
        <v>77</v>
      </c>
      <c r="AL81" s="26"/>
      <c r="AM81" s="22" t="s">
        <v>77</v>
      </c>
      <c r="AN81" s="22" t="s">
        <v>77</v>
      </c>
      <c r="AO81" s="12"/>
      <c r="AP81" s="22" t="s">
        <v>77</v>
      </c>
      <c r="AQ81" s="12"/>
      <c r="AR81" s="22" t="s">
        <v>77</v>
      </c>
      <c r="AS81" s="10"/>
      <c r="AT81" s="2" t="s">
        <v>82</v>
      </c>
      <c r="AU81" s="12" t="s">
        <v>83</v>
      </c>
      <c r="AV81" s="3" t="n">
        <v>46214</v>
      </c>
      <c r="AW81" s="21"/>
      <c r="AX81" s="1" t="s">
        <v>6956</v>
      </c>
      <c r="AY81" s="1"/>
      <c r="BA81" s="1"/>
      <c r="BB81" s="1"/>
    </row>
    <row r="82" ht="105" customHeight="1">
      <c r="A82" s="20" t="s">
        <v>693</v>
      </c>
      <c r="B82" s="20" t="n">
        <v>2023</v>
      </c>
      <c r="C82" s="20" t="n">
        <v>872</v>
      </c>
      <c r="D82" s="20" t="s">
        <v>50</v>
      </c>
      <c r="E82" s="20" t="s">
        <v>678</v>
      </c>
      <c r="F82" s="20" t="s">
        <v>694</v>
      </c>
      <c r="G82" s="20" t="s">
        <v>86</v>
      </c>
      <c r="H82" s="20" t="s">
        <v>680</v>
      </c>
      <c r="I82" s="20"/>
      <c r="J82" s="20" t="s">
        <v>695</v>
      </c>
      <c r="K82" s="20" t="s">
        <v>241</v>
      </c>
      <c r="L82" s="20" t="s">
        <v>208</v>
      </c>
      <c r="M82" s="20" t="s">
        <v>209</v>
      </c>
      <c r="N82" s="20" t="s">
        <v>188</v>
      </c>
      <c r="O82" s="20" t="s">
        <v>189</v>
      </c>
      <c r="P82" s="20" t="s">
        <v>190</v>
      </c>
      <c r="Q82" s="20" t="s">
        <v>191</v>
      </c>
      <c r="R82" s="20" t="s">
        <v>192</v>
      </c>
      <c r="S82" s="20" t="s">
        <v>193</v>
      </c>
      <c r="T82" s="20" t="s">
        <v>242</v>
      </c>
      <c r="U82" s="20" t="s">
        <v>243</v>
      </c>
      <c r="V82" s="20" t="s">
        <v>67</v>
      </c>
      <c r="W82" s="20" t="s">
        <v>68</v>
      </c>
      <c r="X82" s="20" t="s">
        <v>69</v>
      </c>
      <c r="Y82" s="20" t="s">
        <v>70</v>
      </c>
      <c r="Z82" s="20" t="s">
        <v>177</v>
      </c>
      <c r="AA82" s="20" t="s">
        <v>395</v>
      </c>
      <c r="AB82" s="20" t="s">
        <v>696</v>
      </c>
      <c r="AC82" s="20" t="s">
        <v>696</v>
      </c>
      <c r="AD82" s="20" t="s">
        <v>696</v>
      </c>
      <c r="AE82" s="20"/>
      <c r="AF82" s="9" t="n">
        <v>0</v>
      </c>
      <c r="AG82" s="12" t="n">
        <v>0</v>
      </c>
      <c r="AH82" s="22" t="s">
        <v>161</v>
      </c>
      <c r="AI82" s="12" t="str">
        <f>IF(AH82="","",IFERROR(RIGHT("0000"&amp;AH82,4)&amp;" - "&amp;UPPER(_xlfn.XLOOKUP(RIGHT("0000"&amp;AH82,4),CODEBOOK_CAP!$C$2:$C$212,CODEBOOK_CAP!$D$2:$D$212)),"Código CAP não encontrado"))</f>
        <v>2300 - GERAL</v>
      </c>
      <c r="AJ82" s="12" t="str">
        <f>IF(AH82="","",IFERROR(_xlfn.XLOOKUP(RIGHT("0000"&amp;AH82,4),CODEBOOK_CAP!$C$2:$C$212,CODEBOOK_CAP!$E$2:$E$212),"Código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2" s="22" t="s">
        <v>77</v>
      </c>
      <c r="AL82" s="26"/>
      <c r="AM82" s="22" t="s">
        <v>79</v>
      </c>
      <c r="AN82" s="22" t="s">
        <v>79</v>
      </c>
      <c r="AO82" s="12" t="s">
        <v>697</v>
      </c>
      <c r="AP82" s="22" t="s">
        <v>77</v>
      </c>
      <c r="AQ82" s="12"/>
      <c r="AR82" s="22" t="s">
        <v>77</v>
      </c>
      <c r="AS82" s="10"/>
      <c r="AT82" s="2" t="s">
        <v>82</v>
      </c>
      <c r="AU82" s="12" t="s">
        <v>83</v>
      </c>
      <c r="AV82" s="3" t="n">
        <v>46214</v>
      </c>
      <c r="AW82" s="21"/>
      <c r="AX82" s="1" t="s">
        <v>6956</v>
      </c>
      <c r="AY82" s="1"/>
      <c r="BA82" s="1"/>
      <c r="BB82" s="1"/>
    </row>
    <row r="83" ht="75" customHeight="1">
      <c r="A83" s="20" t="s">
        <v>698</v>
      </c>
      <c r="B83" s="20" t="n">
        <v>2023</v>
      </c>
      <c r="C83" s="20" t="n">
        <v>395</v>
      </c>
      <c r="D83" s="20" t="s">
        <v>50</v>
      </c>
      <c r="E83" s="20" t="s">
        <v>678</v>
      </c>
      <c r="F83" s="20" t="s">
        <v>699</v>
      </c>
      <c r="G83" s="20" t="s">
        <v>86</v>
      </c>
      <c r="H83" s="20" t="s">
        <v>680</v>
      </c>
      <c r="I83" s="20"/>
      <c r="J83" s="20" t="s">
        <v>700</v>
      </c>
      <c r="K83" s="20" t="s">
        <v>701</v>
      </c>
      <c r="L83" s="20" t="s">
        <v>702</v>
      </c>
      <c r="M83" s="20" t="s">
        <v>703</v>
      </c>
      <c r="N83" s="20" t="s">
        <v>704</v>
      </c>
      <c r="O83" s="20" t="s">
        <v>705</v>
      </c>
      <c r="P83" s="20" t="s">
        <v>706</v>
      </c>
      <c r="Q83" s="20" t="s">
        <v>707</v>
      </c>
      <c r="R83" s="20" t="s">
        <v>708</v>
      </c>
      <c r="S83" s="20" t="s">
        <v>709</v>
      </c>
      <c r="T83" s="20" t="s">
        <v>710</v>
      </c>
      <c r="U83" s="20" t="s">
        <v>711</v>
      </c>
      <c r="V83" s="20" t="s">
        <v>95</v>
      </c>
      <c r="W83" s="20" t="s">
        <v>96</v>
      </c>
      <c r="X83" s="20" t="s">
        <v>97</v>
      </c>
      <c r="Y83" s="20" t="s">
        <v>70</v>
      </c>
      <c r="Z83" s="20" t="s">
        <v>141</v>
      </c>
      <c r="AA83" s="20" t="s">
        <v>198</v>
      </c>
      <c r="AB83" s="20" t="s">
        <v>198</v>
      </c>
      <c r="AC83" s="20" t="s">
        <v>198</v>
      </c>
      <c r="AD83" s="20" t="s">
        <v>198</v>
      </c>
      <c r="AE83" s="20"/>
      <c r="AF83" s="9" t="n">
        <v>0</v>
      </c>
      <c r="AG83" s="12" t="n">
        <v>0</v>
      </c>
      <c r="AH83" s="22" t="s">
        <v>143</v>
      </c>
      <c r="AI83" s="12" t="str">
        <f>IF(AH83="","",IFERROR(RIGHT("0000"&amp;AH83,4)&amp;" - "&amp;UPPER(_xlfn.XLOOKUP(RIGHT("0000"&amp;AH83,4),CODEBOOK_CAP!$C$2:$C$212,CODEBOOK_CAP!$D$2:$D$212)),"Código CAP não encontrado"))</f>
        <v>0502 - FORMAÇÃO E DESENVOLVIMENTO PROFISSIONAL</v>
      </c>
      <c r="AJ83" s="12" t="str">
        <f>IF(AH83="","",IFERROR(_xlfn.XLOOKUP(RIGHT("0000"&amp;AH83,4),CODEBOOK_CAP!$C$2:$C$212,CODEBOOK_CAP!$E$2:$E$212),"Código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83" s="22" t="s">
        <v>77</v>
      </c>
      <c r="AL83" s="26"/>
      <c r="AM83" s="22" t="s">
        <v>77</v>
      </c>
      <c r="AN83" s="22" t="s">
        <v>77</v>
      </c>
      <c r="AO83" s="12"/>
      <c r="AP83" s="22" t="s">
        <v>79</v>
      </c>
      <c r="AQ83" s="12" t="s">
        <v>712</v>
      </c>
      <c r="AR83" s="22" t="s">
        <v>77</v>
      </c>
      <c r="AS83" s="10"/>
      <c r="AT83" s="2" t="s">
        <v>82</v>
      </c>
      <c r="AU83" s="12" t="s">
        <v>83</v>
      </c>
      <c r="AV83" s="3" t="n">
        <v>46214</v>
      </c>
      <c r="AW83" s="21"/>
      <c r="AY83" s="1"/>
      <c r="BA83" s="1"/>
      <c r="BB83" s="1"/>
    </row>
    <row r="84" ht="105" customHeight="1">
      <c r="A84" s="20" t="s">
        <v>713</v>
      </c>
      <c r="B84" s="20" t="n">
        <v>2023</v>
      </c>
      <c r="C84" s="20" t="n">
        <v>402</v>
      </c>
      <c r="D84" s="20" t="s">
        <v>50</v>
      </c>
      <c r="E84" s="20" t="s">
        <v>678</v>
      </c>
      <c r="F84" s="20" t="s">
        <v>714</v>
      </c>
      <c r="G84" s="20" t="s">
        <v>86</v>
      </c>
      <c r="H84" s="20" t="s">
        <v>680</v>
      </c>
      <c r="I84" s="20"/>
      <c r="J84" s="20" t="s">
        <v>715</v>
      </c>
      <c r="K84" s="20" t="s">
        <v>88</v>
      </c>
      <c r="L84" s="20" t="s">
        <v>57</v>
      </c>
      <c r="M84" s="20" t="s">
        <v>58</v>
      </c>
      <c r="N84" s="20" t="s">
        <v>59</v>
      </c>
      <c r="O84" s="20" t="s">
        <v>60</v>
      </c>
      <c r="P84" s="20" t="s">
        <v>89</v>
      </c>
      <c r="Q84" s="20" t="s">
        <v>90</v>
      </c>
      <c r="R84" s="20" t="s">
        <v>91</v>
      </c>
      <c r="S84" s="20" t="s">
        <v>92</v>
      </c>
      <c r="T84" s="20" t="s">
        <v>93</v>
      </c>
      <c r="U84" s="20" t="s">
        <v>94</v>
      </c>
      <c r="V84" s="20" t="s">
        <v>95</v>
      </c>
      <c r="W84" s="20" t="s">
        <v>96</v>
      </c>
      <c r="X84" s="20" t="s">
        <v>97</v>
      </c>
      <c r="Y84" s="20" t="s">
        <v>70</v>
      </c>
      <c r="Z84" s="20" t="s">
        <v>98</v>
      </c>
      <c r="AA84" s="20" t="s">
        <v>409</v>
      </c>
      <c r="AB84" s="20" t="s">
        <v>409</v>
      </c>
      <c r="AC84" s="20" t="s">
        <v>409</v>
      </c>
      <c r="AD84" s="20" t="s">
        <v>409</v>
      </c>
      <c r="AE84" s="20"/>
      <c r="AF84" s="9" t="n">
        <v>1</v>
      </c>
      <c r="AG84" s="12" t="n">
        <v>1</v>
      </c>
      <c r="AH84" s="22" t="s">
        <v>76</v>
      </c>
      <c r="AI84" s="12" t="str">
        <f>IF(AH84="","",IFERROR(RIGHT("0000"&amp;AH84,4)&amp;" - "&amp;UPPER(_xlfn.XLOOKUP(RIGHT("0000"&amp;AH84,4),CODEBOOK_CAP!$C$2:$C$212,CODEBOOK_CAP!$D$2:$D$212)),"Código CAP não encontrado"))</f>
        <v>0333 - SAÚDE MENTAL</v>
      </c>
      <c r="AJ84" s="12" t="str">
        <f>IF(AH84="","",IFERROR(_xlfn.XLOOKUP(RIGHT("0000"&amp;AH84,4),CODEBOOK_CAP!$C$2:$C$212,CODEBOOK_CAP!$E$2:$E$212),"Código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84" s="22" t="s">
        <v>77</v>
      </c>
      <c r="AL84" s="26"/>
      <c r="AM84" s="22" t="s">
        <v>77</v>
      </c>
      <c r="AN84" s="22" t="s">
        <v>77</v>
      </c>
      <c r="AO84" s="12"/>
      <c r="AP84" s="22" t="s">
        <v>77</v>
      </c>
      <c r="AQ84" s="12"/>
      <c r="AR84" s="22" t="s">
        <v>77</v>
      </c>
      <c r="AS84" s="10"/>
      <c r="AT84" s="2" t="s">
        <v>82</v>
      </c>
      <c r="AU84" s="12" t="s">
        <v>83</v>
      </c>
      <c r="AV84" s="3" t="n">
        <v>46214</v>
      </c>
      <c r="AW84" s="21"/>
      <c r="AY84" s="1"/>
      <c r="BA84" s="1"/>
      <c r="BB84" s="1"/>
    </row>
    <row r="85">
      <c r="A85" s="14" t="s">
        <v>716</v>
      </c>
      <c r="B85" s="14" t="n">
        <v>2023</v>
      </c>
      <c r="C85" s="14" t="n">
        <v>404</v>
      </c>
      <c r="D85" s="14" t="s">
        <v>50</v>
      </c>
      <c r="E85" s="14" t="s">
        <v>678</v>
      </c>
      <c r="F85" s="14" t="s">
        <v>717</v>
      </c>
      <c r="G85" s="14" t="s">
        <v>633</v>
      </c>
      <c r="H85" s="14" t="s">
        <v>680</v>
      </c>
      <c r="I85" s="14"/>
      <c r="J85" s="14"/>
      <c r="K85" s="14"/>
      <c r="L85" s="14"/>
      <c r="M85" s="14"/>
      <c r="N85" s="14"/>
      <c r="O85" s="14"/>
      <c r="P85" s="14"/>
      <c r="Q85" s="14"/>
      <c r="R85" s="14"/>
      <c r="S85" s="14"/>
      <c r="T85" s="14"/>
      <c r="U85" s="14"/>
      <c r="V85" s="14"/>
      <c r="W85" s="14"/>
      <c r="X85" s="14"/>
      <c r="Y85" s="14"/>
      <c r="Z85" s="14"/>
      <c r="AA85" s="14"/>
      <c r="AB85" s="14"/>
      <c r="AC85" s="14"/>
      <c r="AD85" s="14"/>
      <c r="AE85" s="14"/>
      <c r="AF85" s="15"/>
      <c r="AG85" s="15"/>
      <c r="AH85" s="16"/>
      <c r="AI85" s="15" t="str">
        <f>IF(AH85="","",IFERROR(RIGHT("0000"&amp;AH85,4)&amp;" - "&amp;UPPER(_xlfn.XLOOKUP(RIGHT("0000"&amp;AH85,4),CODEBOOK_CAP!$C$2:$C$212,CODEBOOK_CAP!$D$2:$D$212)),"Código CAP não encontrado"))</f>
      </c>
      <c r="AJ85" s="15" t="str">
        <f>IF(AH85="","",IFERROR(_xlfn.XLOOKUP(RIGHT("0000"&amp;AH85,4),CODEBOOK_CAP!$C$2:$C$212,CODEBOOK_CAP!$E$2:$E$212),"Código CAP não encontrado"))</f>
      </c>
      <c r="AK85" s="16"/>
      <c r="AL85" s="17"/>
      <c r="AM85" s="16"/>
      <c r="AN85" s="16"/>
      <c r="AO85" s="15"/>
      <c r="AP85" s="16"/>
      <c r="AQ85" s="15"/>
      <c r="AR85" s="16"/>
      <c r="AS85" s="18"/>
      <c r="AT85" s="2" t="s">
        <v>82</v>
      </c>
      <c r="AU85" s="15"/>
      <c r="AV85" s="3" t="n">
        <v>46214</v>
      </c>
    </row>
    <row r="86" ht="75" customHeight="1">
      <c r="A86" s="20" t="s">
        <v>718</v>
      </c>
      <c r="B86" s="20" t="n">
        <v>2023</v>
      </c>
      <c r="C86" s="20" t="n">
        <v>409</v>
      </c>
      <c r="D86" s="20" t="s">
        <v>50</v>
      </c>
      <c r="E86" s="20" t="s">
        <v>678</v>
      </c>
      <c r="F86" s="20" t="s">
        <v>719</v>
      </c>
      <c r="G86" s="20" t="s">
        <v>86</v>
      </c>
      <c r="H86" s="20" t="s">
        <v>680</v>
      </c>
      <c r="I86" s="20"/>
      <c r="J86" s="20" t="s">
        <v>720</v>
      </c>
      <c r="K86" s="20" t="s">
        <v>721</v>
      </c>
      <c r="L86" s="20" t="s">
        <v>722</v>
      </c>
      <c r="M86" s="20" t="s">
        <v>723</v>
      </c>
      <c r="N86" s="20" t="s">
        <v>724</v>
      </c>
      <c r="O86" s="20" t="s">
        <v>725</v>
      </c>
      <c r="P86" s="20" t="s">
        <v>61</v>
      </c>
      <c r="Q86" s="20" t="s">
        <v>62</v>
      </c>
      <c r="R86" s="20" t="s">
        <v>726</v>
      </c>
      <c r="S86" s="20" t="s">
        <v>727</v>
      </c>
      <c r="T86" s="20" t="s">
        <v>728</v>
      </c>
      <c r="U86" s="20" t="s">
        <v>729</v>
      </c>
      <c r="V86" s="20" t="s">
        <v>95</v>
      </c>
      <c r="W86" s="20" t="s">
        <v>96</v>
      </c>
      <c r="X86" s="20" t="s">
        <v>97</v>
      </c>
      <c r="Y86" s="20" t="s">
        <v>70</v>
      </c>
      <c r="Z86" s="20" t="s">
        <v>730</v>
      </c>
      <c r="AA86" s="20" t="s">
        <v>409</v>
      </c>
      <c r="AB86" s="20" t="s">
        <v>731</v>
      </c>
      <c r="AC86" s="20" t="s">
        <v>731</v>
      </c>
      <c r="AD86" s="20" t="s">
        <v>731</v>
      </c>
      <c r="AE86" s="20"/>
      <c r="AF86" s="9" t="n">
        <v>0</v>
      </c>
      <c r="AG86" s="12" t="n">
        <v>0</v>
      </c>
      <c r="AH86" s="22" t="s">
        <v>732</v>
      </c>
      <c r="AI86" s="12" t="str">
        <f>IF(AH86="","",IFERROR(RIGHT("0000"&amp;AH86,4)&amp;" - "&amp;UPPER(_xlfn.XLOOKUP(RIGHT("0000"&amp;AH86,4),CODEBOOK_CAP!$C$2:$C$212,CODEBOOK_CAP!$D$2:$D$212)),"Código CAP não encontrado"))</f>
        <v>1211 - CRIME COMUM , VIOLÊNCIA E PREVENÇÃO</v>
      </c>
      <c r="AJ86" s="12" t="str">
        <f>IF(AH86="","",IFERROR(_xlfn.XLOOKUP(RIGHT("0000"&amp;AH86,4),CODEBOOK_CAP!$C$2:$C$212,CODEBOOK_CAP!$E$2:$E$212),"Código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86" s="22" t="s">
        <v>77</v>
      </c>
      <c r="AL86" s="26"/>
      <c r="AM86" s="22" t="s">
        <v>77</v>
      </c>
      <c r="AN86" s="22" t="s">
        <v>77</v>
      </c>
      <c r="AO86" s="12"/>
      <c r="AP86" s="22" t="s">
        <v>77</v>
      </c>
      <c r="AQ86" s="12"/>
      <c r="AR86" s="22" t="s">
        <v>77</v>
      </c>
      <c r="AS86" s="10"/>
      <c r="AT86" s="2" t="s">
        <v>82</v>
      </c>
      <c r="AU86" s="12" t="s">
        <v>83</v>
      </c>
      <c r="AV86" s="3" t="n">
        <v>46214</v>
      </c>
      <c r="AW86" s="21"/>
      <c r="AY86" s="1"/>
      <c r="BA86" s="1"/>
      <c r="BB86" s="1"/>
    </row>
    <row r="87" ht="105" customHeight="1">
      <c r="A87" s="20" t="s">
        <v>733</v>
      </c>
      <c r="B87" s="20" t="n">
        <v>2023</v>
      </c>
      <c r="C87" s="20" t="n">
        <v>412</v>
      </c>
      <c r="D87" s="20" t="s">
        <v>50</v>
      </c>
      <c r="E87" s="20" t="s">
        <v>678</v>
      </c>
      <c r="F87" s="20" t="s">
        <v>734</v>
      </c>
      <c r="G87" s="20" t="s">
        <v>86</v>
      </c>
      <c r="H87" s="20" t="s">
        <v>680</v>
      </c>
      <c r="I87" s="20"/>
      <c r="J87" s="20" t="s">
        <v>735</v>
      </c>
      <c r="K87" s="20" t="s">
        <v>682</v>
      </c>
      <c r="L87" s="20" t="s">
        <v>186</v>
      </c>
      <c r="M87" s="20" t="s">
        <v>187</v>
      </c>
      <c r="N87" s="20" t="s">
        <v>188</v>
      </c>
      <c r="O87" s="20" t="s">
        <v>189</v>
      </c>
      <c r="P87" s="20" t="s">
        <v>338</v>
      </c>
      <c r="Q87" s="20" t="s">
        <v>683</v>
      </c>
      <c r="R87" s="20" t="s">
        <v>192</v>
      </c>
      <c r="S87" s="20" t="s">
        <v>193</v>
      </c>
      <c r="T87" s="20" t="s">
        <v>684</v>
      </c>
      <c r="U87" s="20" t="s">
        <v>685</v>
      </c>
      <c r="V87" s="20" t="s">
        <v>95</v>
      </c>
      <c r="W87" s="20" t="s">
        <v>96</v>
      </c>
      <c r="X87" s="20" t="s">
        <v>97</v>
      </c>
      <c r="Y87" s="20" t="s">
        <v>70</v>
      </c>
      <c r="Z87" s="20" t="s">
        <v>197</v>
      </c>
      <c r="AA87" s="20" t="s">
        <v>198</v>
      </c>
      <c r="AB87" s="20" t="s">
        <v>736</v>
      </c>
      <c r="AC87" s="20" t="s">
        <v>736</v>
      </c>
      <c r="AD87" s="20" t="s">
        <v>736</v>
      </c>
      <c r="AE87" s="20"/>
      <c r="AF87" s="9" t="n">
        <v>0</v>
      </c>
      <c r="AG87" s="12" t="n">
        <v>0</v>
      </c>
      <c r="AH87" s="22" t="s">
        <v>161</v>
      </c>
      <c r="AI87" s="12" t="str">
        <f>IF(AH87="","",IFERROR(RIGHT("0000"&amp;AH87,4)&amp;" - "&amp;UPPER(_xlfn.XLOOKUP(RIGHT("0000"&amp;AH87,4),CODEBOOK_CAP!$C$2:$C$212,CODEBOOK_CAP!$D$2:$D$212)),"Código CAP não encontrado"))</f>
        <v>2300 - GERAL</v>
      </c>
      <c r="AJ87" s="12" t="str">
        <f>IF(AH87="","",IFERROR(_xlfn.XLOOKUP(RIGHT("0000"&amp;AH87,4),CODEBOOK_CAP!$C$2:$C$212,CODEBOOK_CAP!$E$2:$E$212),"Código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7" s="22" t="s">
        <v>77</v>
      </c>
      <c r="AL87" s="26"/>
      <c r="AM87" s="22" t="s">
        <v>77</v>
      </c>
      <c r="AN87" s="22" t="s">
        <v>77</v>
      </c>
      <c r="AO87" s="12"/>
      <c r="AP87" s="22" t="s">
        <v>77</v>
      </c>
      <c r="AQ87" s="12"/>
      <c r="AR87" s="22" t="s">
        <v>77</v>
      </c>
      <c r="AS87" s="10"/>
      <c r="AT87" s="2" t="s">
        <v>82</v>
      </c>
      <c r="AU87" s="12" t="s">
        <v>83</v>
      </c>
      <c r="AV87" s="3" t="n">
        <v>46214</v>
      </c>
      <c r="AW87" s="21"/>
      <c r="AX87" s="1" t="s">
        <v>6956</v>
      </c>
      <c r="AY87" s="1"/>
      <c r="BA87" s="1"/>
      <c r="BB87" s="1"/>
    </row>
    <row r="88" ht="120" customHeight="1">
      <c r="A88" s="20" t="s">
        <v>737</v>
      </c>
      <c r="B88" s="20" t="n">
        <v>2023</v>
      </c>
      <c r="C88" s="20" t="n">
        <v>415</v>
      </c>
      <c r="D88" s="20" t="s">
        <v>50</v>
      </c>
      <c r="E88" s="20" t="s">
        <v>678</v>
      </c>
      <c r="F88" s="20" t="s">
        <v>738</v>
      </c>
      <c r="G88" s="20" t="s">
        <v>86</v>
      </c>
      <c r="H88" s="20" t="s">
        <v>680</v>
      </c>
      <c r="I88" s="20"/>
      <c r="J88" s="20" t="s">
        <v>739</v>
      </c>
      <c r="K88" s="20" t="s">
        <v>122</v>
      </c>
      <c r="L88" s="20" t="s">
        <v>57</v>
      </c>
      <c r="M88" s="20" t="s">
        <v>58</v>
      </c>
      <c r="N88" s="20" t="s">
        <v>59</v>
      </c>
      <c r="O88" s="20" t="s">
        <v>60</v>
      </c>
      <c r="P88" s="20" t="s">
        <v>89</v>
      </c>
      <c r="Q88" s="20" t="s">
        <v>90</v>
      </c>
      <c r="R88" s="20" t="s">
        <v>91</v>
      </c>
      <c r="S88" s="20" t="s">
        <v>92</v>
      </c>
      <c r="T88" s="20" t="s">
        <v>123</v>
      </c>
      <c r="U88" s="20" t="s">
        <v>124</v>
      </c>
      <c r="V88" s="20" t="s">
        <v>95</v>
      </c>
      <c r="W88" s="20" t="s">
        <v>96</v>
      </c>
      <c r="X88" s="20" t="s">
        <v>97</v>
      </c>
      <c r="Y88" s="20" t="s">
        <v>70</v>
      </c>
      <c r="Z88" s="20" t="s">
        <v>98</v>
      </c>
      <c r="AA88" s="20" t="s">
        <v>740</v>
      </c>
      <c r="AB88" s="20" t="s">
        <v>740</v>
      </c>
      <c r="AC88" s="20" t="s">
        <v>740</v>
      </c>
      <c r="AD88" s="20" t="s">
        <v>740</v>
      </c>
      <c r="AE88" s="20"/>
      <c r="AF88" s="9" t="n">
        <v>1</v>
      </c>
      <c r="AG88" s="12" t="n">
        <v>1</v>
      </c>
      <c r="AH88" s="22" t="s">
        <v>235</v>
      </c>
      <c r="AI88" s="12" t="str">
        <f>IF(AH88="","",IFERROR(RIGHT("0000"&amp;AH88,4)&amp;" - "&amp;UPPER(_xlfn.XLOOKUP(RIGHT("0000"&amp;AH88,4),CODEBOOK_CAP!$C$2:$C$212,CODEBOOK_CAP!$D$2:$D$212)),"Código CAP não encontrado"))</f>
        <v>0322 - ESTRUTURAS, HOSPITAIS, CLÍNICAS</v>
      </c>
      <c r="AJ88" s="12" t="str">
        <f>IF(AH88="","",IFERROR(_xlfn.XLOOKUP(RIGHT("0000"&amp;AH88,4),CODEBOOK_CAP!$C$2:$C$212,CODEBOOK_CAP!$E$2:$E$212),"Código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8" s="22" t="s">
        <v>77</v>
      </c>
      <c r="AL88" s="26"/>
      <c r="AM88" s="22" t="s">
        <v>79</v>
      </c>
      <c r="AN88" s="22" t="s">
        <v>79</v>
      </c>
      <c r="AO88" s="12" t="s">
        <v>741</v>
      </c>
      <c r="AP88" s="22" t="s">
        <v>77</v>
      </c>
      <c r="AQ88" s="12"/>
      <c r="AR88" s="22" t="s">
        <v>77</v>
      </c>
      <c r="AS88" s="10"/>
      <c r="AT88" s="2" t="s">
        <v>82</v>
      </c>
      <c r="AU88" s="12" t="s">
        <v>83</v>
      </c>
      <c r="AV88" s="3" t="n">
        <v>46214</v>
      </c>
      <c r="AW88" s="21"/>
      <c r="AY88" s="1"/>
      <c r="BA88" s="1"/>
      <c r="BB88" s="1"/>
    </row>
    <row r="89" ht="150" customHeight="1">
      <c r="A89" s="20" t="s">
        <v>742</v>
      </c>
      <c r="B89" s="20" t="n">
        <v>2023</v>
      </c>
      <c r="C89" s="20" t="n">
        <v>423</v>
      </c>
      <c r="D89" s="20" t="s">
        <v>50</v>
      </c>
      <c r="E89" s="20" t="s">
        <v>678</v>
      </c>
      <c r="F89" s="20" t="s">
        <v>743</v>
      </c>
      <c r="G89" s="20" t="s">
        <v>86</v>
      </c>
      <c r="H89" s="20" t="s">
        <v>680</v>
      </c>
      <c r="I89" s="20"/>
      <c r="J89" s="20" t="s">
        <v>744</v>
      </c>
      <c r="K89" s="20" t="s">
        <v>122</v>
      </c>
      <c r="L89" s="20" t="s">
        <v>57</v>
      </c>
      <c r="M89" s="20" t="s">
        <v>58</v>
      </c>
      <c r="N89" s="20" t="s">
        <v>59</v>
      </c>
      <c r="O89" s="20" t="s">
        <v>60</v>
      </c>
      <c r="P89" s="20" t="s">
        <v>89</v>
      </c>
      <c r="Q89" s="20" t="s">
        <v>90</v>
      </c>
      <c r="R89" s="20" t="s">
        <v>91</v>
      </c>
      <c r="S89" s="20" t="s">
        <v>92</v>
      </c>
      <c r="T89" s="20" t="s">
        <v>123</v>
      </c>
      <c r="U89" s="20" t="s">
        <v>124</v>
      </c>
      <c r="V89" s="20" t="s">
        <v>95</v>
      </c>
      <c r="W89" s="20" t="s">
        <v>96</v>
      </c>
      <c r="X89" s="20" t="s">
        <v>97</v>
      </c>
      <c r="Y89" s="20" t="s">
        <v>70</v>
      </c>
      <c r="Z89" s="20" t="s">
        <v>98</v>
      </c>
      <c r="AA89" s="20" t="s">
        <v>409</v>
      </c>
      <c r="AB89" s="20" t="s">
        <v>409</v>
      </c>
      <c r="AC89" s="20" t="s">
        <v>409</v>
      </c>
      <c r="AD89" s="20" t="s">
        <v>409</v>
      </c>
      <c r="AE89" s="20"/>
      <c r="AF89" s="9" t="n">
        <v>1</v>
      </c>
      <c r="AG89" s="12" t="n">
        <v>1</v>
      </c>
      <c r="AH89" s="22" t="s">
        <v>620</v>
      </c>
      <c r="AI89" s="12" t="str">
        <f>IF(AH89="","",IFERROR(RIGHT("0000"&amp;AH89,4)&amp;" - "&amp;UPPER(_xlfn.XLOOKUP(RIGHT("0000"&amp;AH89,4),CODEBOOK_CAP!$C$2:$C$212,CODEBOOK_CAP!$D$2:$D$212)),"Código CAP não encontrado"))</f>
        <v>0332 - SAÚDE INFANTIL, GRAVIDEZ E PRÉ-NATAL</v>
      </c>
      <c r="AJ89" s="12" t="str">
        <f>IF(AH89="","",IFERROR(_xlfn.XLOOKUP(RIGHT("0000"&amp;AH89,4),CODEBOOK_CAP!$C$2:$C$212,CODEBOOK_CAP!$E$2:$E$212),"Código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89" s="22" t="s">
        <v>77</v>
      </c>
      <c r="AL89" s="26"/>
      <c r="AM89" s="22" t="s">
        <v>79</v>
      </c>
      <c r="AN89" s="22" t="s">
        <v>79</v>
      </c>
      <c r="AO89" s="12" t="s">
        <v>745</v>
      </c>
      <c r="AP89" s="22" t="s">
        <v>79</v>
      </c>
      <c r="AQ89" s="12" t="s">
        <v>622</v>
      </c>
      <c r="AR89" s="22" t="s">
        <v>77</v>
      </c>
      <c r="AS89" s="10"/>
      <c r="AT89" s="2" t="s">
        <v>82</v>
      </c>
      <c r="AU89" s="12" t="s">
        <v>83</v>
      </c>
      <c r="AV89" s="3" t="n">
        <v>46214</v>
      </c>
      <c r="AW89" s="21"/>
      <c r="AY89" s="1"/>
      <c r="BA89" s="1"/>
      <c r="BB89" s="1"/>
    </row>
    <row r="90" ht="105" customHeight="1">
      <c r="A90" s="20" t="s">
        <v>746</v>
      </c>
      <c r="B90" s="20" t="n">
        <v>2023</v>
      </c>
      <c r="C90" s="20" t="n">
        <v>425</v>
      </c>
      <c r="D90" s="20" t="s">
        <v>50</v>
      </c>
      <c r="E90" s="20" t="s">
        <v>678</v>
      </c>
      <c r="F90" s="20" t="s">
        <v>747</v>
      </c>
      <c r="G90" s="20" t="s">
        <v>183</v>
      </c>
      <c r="H90" s="20" t="s">
        <v>680</v>
      </c>
      <c r="I90" s="20"/>
      <c r="J90" s="20" t="s">
        <v>748</v>
      </c>
      <c r="K90" s="20" t="s">
        <v>749</v>
      </c>
      <c r="L90" s="20" t="s">
        <v>274</v>
      </c>
      <c r="M90" s="20" t="s">
        <v>275</v>
      </c>
      <c r="N90" s="20" t="s">
        <v>276</v>
      </c>
      <c r="O90" s="20" t="s">
        <v>277</v>
      </c>
      <c r="P90" s="20" t="s">
        <v>750</v>
      </c>
      <c r="Q90" s="20" t="s">
        <v>751</v>
      </c>
      <c r="R90" s="20" t="s">
        <v>280</v>
      </c>
      <c r="S90" s="20" t="s">
        <v>281</v>
      </c>
      <c r="T90" s="20" t="s">
        <v>752</v>
      </c>
      <c r="U90" s="20" t="s">
        <v>753</v>
      </c>
      <c r="V90" s="20" t="s">
        <v>95</v>
      </c>
      <c r="W90" s="20" t="s">
        <v>96</v>
      </c>
      <c r="X90" s="20" t="s">
        <v>97</v>
      </c>
      <c r="Y90" s="20" t="s">
        <v>70</v>
      </c>
      <c r="Z90" s="20" t="s">
        <v>284</v>
      </c>
      <c r="AA90" s="20" t="s">
        <v>754</v>
      </c>
      <c r="AB90" s="20" t="s">
        <v>77</v>
      </c>
      <c r="AC90" s="20" t="s">
        <v>77</v>
      </c>
      <c r="AD90" s="20" t="s">
        <v>77</v>
      </c>
      <c r="AE90" s="20"/>
      <c r="AF90" s="9" t="n">
        <v>0</v>
      </c>
      <c r="AG90" s="12" t="n">
        <v>0</v>
      </c>
      <c r="AH90" s="22" t="s">
        <v>143</v>
      </c>
      <c r="AI90" s="12" t="str">
        <f>IF(AH90="","",IFERROR(RIGHT("0000"&amp;AH90,4)&amp;" - "&amp;UPPER(_xlfn.XLOOKUP(RIGHT("0000"&amp;AH90,4),CODEBOOK_CAP!$C$2:$C$212,CODEBOOK_CAP!$D$2:$D$212)),"Código CAP não encontrado"))</f>
        <v>0502 - FORMAÇÃO E DESENVOLVIMENTO PROFISSIONAL</v>
      </c>
      <c r="AJ90" s="12" t="str">
        <f>IF(AH90="","",IFERROR(_xlfn.XLOOKUP(RIGHT("0000"&amp;AH90,4),CODEBOOK_CAP!$C$2:$C$212,CODEBOOK_CAP!$E$2:$E$212),"Código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90" s="22" t="s">
        <v>77</v>
      </c>
      <c r="AL90" s="26"/>
      <c r="AM90" s="22" t="s">
        <v>77</v>
      </c>
      <c r="AN90" s="22" t="s">
        <v>77</v>
      </c>
      <c r="AO90" s="12"/>
      <c r="AP90" s="22" t="s">
        <v>79</v>
      </c>
      <c r="AQ90" s="12" t="s">
        <v>755</v>
      </c>
      <c r="AR90" s="22" t="s">
        <v>77</v>
      </c>
      <c r="AS90" s="10"/>
      <c r="AT90" s="2" t="s">
        <v>82</v>
      </c>
      <c r="AU90" s="12" t="s">
        <v>83</v>
      </c>
      <c r="AV90" s="3" t="n">
        <v>46214</v>
      </c>
      <c r="AW90" s="21"/>
      <c r="AY90" s="1"/>
      <c r="BA90" s="1"/>
      <c r="BB90" s="1"/>
    </row>
    <row r="91" ht="105" customHeight="1">
      <c r="A91" s="20" t="s">
        <v>756</v>
      </c>
      <c r="B91" s="20" t="n">
        <v>2023</v>
      </c>
      <c r="C91" s="20" t="n">
        <v>426</v>
      </c>
      <c r="D91" s="20" t="s">
        <v>50</v>
      </c>
      <c r="E91" s="20" t="s">
        <v>678</v>
      </c>
      <c r="F91" s="20" t="s">
        <v>757</v>
      </c>
      <c r="G91" s="20" t="s">
        <v>86</v>
      </c>
      <c r="H91" s="20" t="s">
        <v>680</v>
      </c>
      <c r="I91" s="20"/>
      <c r="J91" s="20" t="s">
        <v>758</v>
      </c>
      <c r="K91" s="20" t="s">
        <v>759</v>
      </c>
      <c r="L91" s="20" t="s">
        <v>760</v>
      </c>
      <c r="M91" s="20" t="s">
        <v>761</v>
      </c>
      <c r="N91" s="20" t="s">
        <v>150</v>
      </c>
      <c r="O91" s="20" t="s">
        <v>151</v>
      </c>
      <c r="P91" s="20" t="s">
        <v>152</v>
      </c>
      <c r="Q91" s="20" t="s">
        <v>153</v>
      </c>
      <c r="R91" s="20" t="s">
        <v>154</v>
      </c>
      <c r="S91" s="20" t="s">
        <v>155</v>
      </c>
      <c r="T91" s="20" t="s">
        <v>762</v>
      </c>
      <c r="U91" s="20" t="s">
        <v>763</v>
      </c>
      <c r="V91" s="20" t="s">
        <v>95</v>
      </c>
      <c r="W91" s="20" t="s">
        <v>96</v>
      </c>
      <c r="X91" s="20" t="s">
        <v>97</v>
      </c>
      <c r="Y91" s="20" t="s">
        <v>70</v>
      </c>
      <c r="Z91" s="20" t="s">
        <v>764</v>
      </c>
      <c r="AA91" s="20" t="s">
        <v>765</v>
      </c>
      <c r="AB91" s="20" t="s">
        <v>765</v>
      </c>
      <c r="AC91" s="20" t="s">
        <v>765</v>
      </c>
      <c r="AD91" s="20" t="s">
        <v>765</v>
      </c>
      <c r="AE91" s="20"/>
      <c r="AF91" s="9" t="n">
        <v>0</v>
      </c>
      <c r="AG91" s="12" t="n">
        <v>0</v>
      </c>
      <c r="AH91" s="22" t="s">
        <v>161</v>
      </c>
      <c r="AI91" s="12" t="str">
        <f>IF(AH91="","",IFERROR(RIGHT("0000"&amp;AH91,4)&amp;" - "&amp;UPPER(_xlfn.XLOOKUP(RIGHT("0000"&amp;AH91,4),CODEBOOK_CAP!$C$2:$C$212,CODEBOOK_CAP!$D$2:$D$212)),"Código CAP não encontrado"))</f>
        <v>2300 - GERAL</v>
      </c>
      <c r="AJ91" s="12" t="str">
        <f>IF(AH91="","",IFERROR(_xlfn.XLOOKUP(RIGHT("0000"&amp;AH91,4),CODEBOOK_CAP!$C$2:$C$212,CODEBOOK_CAP!$E$2:$E$212),"Código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1" s="22" t="s">
        <v>79</v>
      </c>
      <c r="AL91" s="26" t="s">
        <v>766</v>
      </c>
      <c r="AM91" s="22" t="s">
        <v>590</v>
      </c>
      <c r="AN91" s="22" t="s">
        <v>77</v>
      </c>
      <c r="AO91" s="12"/>
      <c r="AP91" s="22" t="s">
        <v>77</v>
      </c>
      <c r="AQ91" s="12"/>
      <c r="AR91" s="22" t="s">
        <v>77</v>
      </c>
      <c r="AS91" s="10"/>
      <c r="AT91" s="2" t="s">
        <v>82</v>
      </c>
      <c r="AU91" s="12" t="s">
        <v>83</v>
      </c>
      <c r="AV91" s="3" t="n">
        <v>46214</v>
      </c>
      <c r="AW91" s="21"/>
      <c r="AX91" s="1" t="s">
        <v>6955</v>
      </c>
      <c r="AY91" s="1"/>
      <c r="BA91" s="1"/>
      <c r="BB91" s="1"/>
    </row>
    <row r="92" ht="120" customHeight="1">
      <c r="A92" s="20" t="s">
        <v>767</v>
      </c>
      <c r="B92" s="20" t="n">
        <v>2023</v>
      </c>
      <c r="C92" s="20" t="n">
        <v>441</v>
      </c>
      <c r="D92" s="20" t="s">
        <v>50</v>
      </c>
      <c r="E92" s="20" t="s">
        <v>678</v>
      </c>
      <c r="F92" s="20" t="s">
        <v>768</v>
      </c>
      <c r="G92" s="20" t="s">
        <v>315</v>
      </c>
      <c r="H92" s="20" t="s">
        <v>680</v>
      </c>
      <c r="I92" s="20"/>
      <c r="J92" s="20" t="s">
        <v>769</v>
      </c>
      <c r="K92" s="20" t="s">
        <v>309</v>
      </c>
      <c r="L92" s="20" t="s">
        <v>57</v>
      </c>
      <c r="M92" s="20" t="s">
        <v>58</v>
      </c>
      <c r="N92" s="20" t="s">
        <v>59</v>
      </c>
      <c r="O92" s="20" t="s">
        <v>60</v>
      </c>
      <c r="P92" s="20" t="s">
        <v>227</v>
      </c>
      <c r="Q92" s="20" t="s">
        <v>228</v>
      </c>
      <c r="R92" s="20" t="s">
        <v>229</v>
      </c>
      <c r="S92" s="20" t="s">
        <v>230</v>
      </c>
      <c r="T92" s="20" t="s">
        <v>231</v>
      </c>
      <c r="U92" s="20" t="s">
        <v>230</v>
      </c>
      <c r="V92" s="20" t="s">
        <v>196</v>
      </c>
      <c r="W92" s="20" t="s">
        <v>68</v>
      </c>
      <c r="X92" s="20" t="s">
        <v>69</v>
      </c>
      <c r="Y92" s="20" t="s">
        <v>70</v>
      </c>
      <c r="Z92" s="20" t="s">
        <v>98</v>
      </c>
      <c r="AA92" s="20" t="s">
        <v>395</v>
      </c>
      <c r="AB92" s="20" t="s">
        <v>770</v>
      </c>
      <c r="AC92" s="20" t="s">
        <v>771</v>
      </c>
      <c r="AD92" s="20" t="s">
        <v>771</v>
      </c>
      <c r="AE92" s="20" t="s">
        <v>772</v>
      </c>
      <c r="AF92" s="9" t="n">
        <v>1</v>
      </c>
      <c r="AG92" s="12" t="n">
        <v>1</v>
      </c>
      <c r="AH92" s="22" t="s">
        <v>235</v>
      </c>
      <c r="AI92" s="12" t="str">
        <f>IF(AH92="","",IFERROR(RIGHT("0000"&amp;AH92,4)&amp;" - "&amp;UPPER(_xlfn.XLOOKUP(RIGHT("0000"&amp;AH92,4),CODEBOOK_CAP!$C$2:$C$212,CODEBOOK_CAP!$D$2:$D$212)),"Código CAP não encontrado"))</f>
        <v>0322 - ESTRUTURAS, HOSPITAIS, CLÍNICAS</v>
      </c>
      <c r="AJ92" s="12" t="str">
        <f>IF(AH92="","",IFERROR(_xlfn.XLOOKUP(RIGHT("0000"&amp;AH92,4),CODEBOOK_CAP!$C$2:$C$212,CODEBOOK_CAP!$E$2:$E$212),"Código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2" s="22" t="s">
        <v>77</v>
      </c>
      <c r="AL92" s="26"/>
      <c r="AM92" s="22" t="s">
        <v>79</v>
      </c>
      <c r="AN92" s="22" t="s">
        <v>79</v>
      </c>
      <c r="AO92" s="12" t="s">
        <v>773</v>
      </c>
      <c r="AP92" s="22" t="s">
        <v>77</v>
      </c>
      <c r="AQ92" s="12"/>
      <c r="AR92" s="22" t="s">
        <v>79</v>
      </c>
      <c r="AS92" s="22" t="s">
        <v>772</v>
      </c>
      <c r="AT92" s="2" t="s">
        <v>82</v>
      </c>
      <c r="AU92" s="12" t="s">
        <v>83</v>
      </c>
      <c r="AV92" s="3" t="n">
        <v>46214</v>
      </c>
      <c r="AW92" s="21"/>
      <c r="AY92" s="1"/>
      <c r="BA92" s="1"/>
      <c r="BB92" s="1"/>
    </row>
    <row r="93" ht="120" customHeight="1">
      <c r="A93" s="20" t="s">
        <v>774</v>
      </c>
      <c r="B93" s="20" t="n">
        <v>2023</v>
      </c>
      <c r="C93" s="20" t="n">
        <v>442</v>
      </c>
      <c r="D93" s="20" t="s">
        <v>50</v>
      </c>
      <c r="E93" s="20" t="s">
        <v>678</v>
      </c>
      <c r="F93" s="20" t="s">
        <v>775</v>
      </c>
      <c r="G93" s="20" t="s">
        <v>315</v>
      </c>
      <c r="H93" s="20" t="s">
        <v>680</v>
      </c>
      <c r="I93" s="20"/>
      <c r="J93" s="20" t="s">
        <v>776</v>
      </c>
      <c r="K93" s="20" t="s">
        <v>309</v>
      </c>
      <c r="L93" s="20" t="s">
        <v>57</v>
      </c>
      <c r="M93" s="20" t="s">
        <v>58</v>
      </c>
      <c r="N93" s="20" t="s">
        <v>59</v>
      </c>
      <c r="O93" s="20" t="s">
        <v>60</v>
      </c>
      <c r="P93" s="20" t="s">
        <v>227</v>
      </c>
      <c r="Q93" s="20" t="s">
        <v>228</v>
      </c>
      <c r="R93" s="20" t="s">
        <v>229</v>
      </c>
      <c r="S93" s="20" t="s">
        <v>230</v>
      </c>
      <c r="T93" s="20" t="s">
        <v>231</v>
      </c>
      <c r="U93" s="20" t="s">
        <v>230</v>
      </c>
      <c r="V93" s="20" t="s">
        <v>196</v>
      </c>
      <c r="W93" s="20" t="s">
        <v>68</v>
      </c>
      <c r="X93" s="20" t="s">
        <v>69</v>
      </c>
      <c r="Y93" s="20" t="s">
        <v>70</v>
      </c>
      <c r="Z93" s="20" t="s">
        <v>98</v>
      </c>
      <c r="AA93" s="20" t="s">
        <v>777</v>
      </c>
      <c r="AB93" s="20" t="s">
        <v>778</v>
      </c>
      <c r="AC93" s="20" t="s">
        <v>778</v>
      </c>
      <c r="AD93" s="20" t="s">
        <v>778</v>
      </c>
      <c r="AE93" s="20" t="s">
        <v>779</v>
      </c>
      <c r="AF93" s="9" t="n">
        <v>1</v>
      </c>
      <c r="AG93" s="12" t="n">
        <v>1</v>
      </c>
      <c r="AH93" s="22" t="s">
        <v>235</v>
      </c>
      <c r="AI93" s="12" t="str">
        <f>IF(AH93="","",IFERROR(RIGHT("0000"&amp;AH93,4)&amp;" - "&amp;UPPER(_xlfn.XLOOKUP(RIGHT("0000"&amp;AH93,4),CODEBOOK_CAP!$C$2:$C$212,CODEBOOK_CAP!$D$2:$D$212)),"Código CAP não encontrado"))</f>
        <v>0322 - ESTRUTURAS, HOSPITAIS, CLÍNICAS</v>
      </c>
      <c r="AJ93" s="12" t="str">
        <f>IF(AH93="","",IFERROR(_xlfn.XLOOKUP(RIGHT("0000"&amp;AH93,4),CODEBOOK_CAP!$C$2:$C$212,CODEBOOK_CAP!$E$2:$E$212),"Código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3" s="22" t="s">
        <v>77</v>
      </c>
      <c r="AL93" s="26"/>
      <c r="AM93" s="22" t="s">
        <v>79</v>
      </c>
      <c r="AN93" s="22" t="s">
        <v>79</v>
      </c>
      <c r="AO93" s="12" t="s">
        <v>780</v>
      </c>
      <c r="AP93" s="22" t="s">
        <v>77</v>
      </c>
      <c r="AQ93" s="12"/>
      <c r="AR93" s="22" t="s">
        <v>79</v>
      </c>
      <c r="AS93" s="12" t="s">
        <v>779</v>
      </c>
      <c r="AT93" s="2" t="s">
        <v>82</v>
      </c>
      <c r="AU93" s="12" t="s">
        <v>83</v>
      </c>
      <c r="AV93" s="3" t="n">
        <v>46214</v>
      </c>
      <c r="AW93" s="21"/>
      <c r="AY93" s="1"/>
      <c r="BA93" s="1"/>
      <c r="BB93" s="1"/>
    </row>
    <row r="94" ht="105" customHeight="1">
      <c r="A94" s="20" t="s">
        <v>781</v>
      </c>
      <c r="B94" s="20" t="n">
        <v>2023</v>
      </c>
      <c r="C94" s="20" t="n">
        <v>443</v>
      </c>
      <c r="D94" s="20" t="s">
        <v>50</v>
      </c>
      <c r="E94" s="20" t="s">
        <v>678</v>
      </c>
      <c r="F94" s="20" t="s">
        <v>782</v>
      </c>
      <c r="G94" s="20" t="s">
        <v>86</v>
      </c>
      <c r="H94" s="20" t="s">
        <v>680</v>
      </c>
      <c r="I94" s="20"/>
      <c r="J94" s="20" t="s">
        <v>783</v>
      </c>
      <c r="K94" s="20" t="s">
        <v>784</v>
      </c>
      <c r="L94" s="20" t="s">
        <v>785</v>
      </c>
      <c r="M94" s="20" t="s">
        <v>786</v>
      </c>
      <c r="N94" s="20" t="s">
        <v>787</v>
      </c>
      <c r="O94" s="20" t="s">
        <v>788</v>
      </c>
      <c r="P94" s="20" t="s">
        <v>541</v>
      </c>
      <c r="Q94" s="20" t="s">
        <v>789</v>
      </c>
      <c r="R94" s="20" t="s">
        <v>790</v>
      </c>
      <c r="S94" s="20" t="s">
        <v>791</v>
      </c>
      <c r="T94" s="20" t="s">
        <v>792</v>
      </c>
      <c r="U94" s="20" t="s">
        <v>793</v>
      </c>
      <c r="V94" s="20"/>
      <c r="W94" s="20"/>
      <c r="X94" s="20"/>
      <c r="Y94" s="20"/>
      <c r="Z94" s="20" t="s">
        <v>794</v>
      </c>
      <c r="AA94" s="20" t="s">
        <v>462</v>
      </c>
      <c r="AB94" s="20" t="s">
        <v>462</v>
      </c>
      <c r="AC94" s="20" t="s">
        <v>795</v>
      </c>
      <c r="AD94" s="20" t="s">
        <v>462</v>
      </c>
      <c r="AE94" s="20"/>
      <c r="AF94" s="9" t="n">
        <v>0</v>
      </c>
      <c r="AG94" s="12" t="n">
        <v>0</v>
      </c>
      <c r="AH94" s="22" t="s">
        <v>161</v>
      </c>
      <c r="AI94" s="12" t="str">
        <f>IF(AH94="","",IFERROR(RIGHT("0000"&amp;AH94,4)&amp;" - "&amp;UPPER(_xlfn.XLOOKUP(RIGHT("0000"&amp;AH94,4),CODEBOOK_CAP!$C$2:$C$212,CODEBOOK_CAP!$D$2:$D$212)),"Código CAP não encontrado"))</f>
        <v>2300 - GERAL</v>
      </c>
      <c r="AJ94" s="12" t="str">
        <f>IF(AH94="","",IFERROR(_xlfn.XLOOKUP(RIGHT("0000"&amp;AH94,4),CODEBOOK_CAP!$C$2:$C$212,CODEBOOK_CAP!$E$2:$E$212),"Código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94" s="22" t="s">
        <v>79</v>
      </c>
      <c r="AL94" s="26" t="s">
        <v>796</v>
      </c>
      <c r="AM94" s="22" t="s">
        <v>79</v>
      </c>
      <c r="AN94" s="22" t="s">
        <v>79</v>
      </c>
      <c r="AO94" s="12" t="s">
        <v>796</v>
      </c>
      <c r="AP94" s="22" t="s">
        <v>77</v>
      </c>
      <c r="AQ94" s="12"/>
      <c r="AR94" s="22" t="s">
        <v>77</v>
      </c>
      <c r="AS94" s="10"/>
      <c r="AT94" s="2" t="s">
        <v>82</v>
      </c>
      <c r="AU94" s="12" t="s">
        <v>83</v>
      </c>
      <c r="AV94" s="3" t="n">
        <v>46214</v>
      </c>
      <c r="AW94" s="21"/>
      <c r="AX94" s="1" t="s">
        <v>6956</v>
      </c>
      <c r="AY94" s="1"/>
      <c r="BA94" s="1"/>
      <c r="BB94" s="1"/>
    </row>
    <row r="95" ht="120" customHeight="1">
      <c r="A95" s="20" t="s">
        <v>797</v>
      </c>
      <c r="B95" s="20" t="n">
        <v>2023</v>
      </c>
      <c r="C95" s="20" t="n">
        <v>444</v>
      </c>
      <c r="D95" s="20" t="s">
        <v>50</v>
      </c>
      <c r="E95" s="20" t="s">
        <v>678</v>
      </c>
      <c r="F95" s="20" t="s">
        <v>798</v>
      </c>
      <c r="G95" s="20" t="s">
        <v>86</v>
      </c>
      <c r="H95" s="20" t="s">
        <v>680</v>
      </c>
      <c r="I95" s="20"/>
      <c r="J95" s="20" t="s">
        <v>799</v>
      </c>
      <c r="K95" s="20" t="s">
        <v>441</v>
      </c>
      <c r="L95" s="20" t="s">
        <v>57</v>
      </c>
      <c r="M95" s="20" t="s">
        <v>58</v>
      </c>
      <c r="N95" s="20" t="s">
        <v>59</v>
      </c>
      <c r="O95" s="20" t="s">
        <v>60</v>
      </c>
      <c r="P95" s="20" t="s">
        <v>89</v>
      </c>
      <c r="Q95" s="20" t="s">
        <v>90</v>
      </c>
      <c r="R95" s="20" t="s">
        <v>91</v>
      </c>
      <c r="S95" s="20" t="s">
        <v>92</v>
      </c>
      <c r="T95" s="20" t="s">
        <v>341</v>
      </c>
      <c r="U95" s="20" t="s">
        <v>342</v>
      </c>
      <c r="V95" s="20" t="s">
        <v>95</v>
      </c>
      <c r="W95" s="20" t="s">
        <v>96</v>
      </c>
      <c r="X95" s="20" t="s">
        <v>97</v>
      </c>
      <c r="Y95" s="20" t="s">
        <v>70</v>
      </c>
      <c r="Z95" s="20" t="s">
        <v>98</v>
      </c>
      <c r="AA95" s="20" t="s">
        <v>160</v>
      </c>
      <c r="AB95" s="20" t="s">
        <v>160</v>
      </c>
      <c r="AC95" s="20" t="s">
        <v>160</v>
      </c>
      <c r="AD95" s="20" t="s">
        <v>160</v>
      </c>
      <c r="AE95" s="20"/>
      <c r="AF95" s="9" t="n">
        <v>1</v>
      </c>
      <c r="AG95" s="12" t="n">
        <v>1</v>
      </c>
      <c r="AH95" s="22" t="s">
        <v>800</v>
      </c>
      <c r="AI95" s="12" t="str">
        <f>IF(AH95="","",IFERROR(RIGHT("0000"&amp;AH95,4)&amp;" - "&amp;UPPER(_xlfn.XLOOKUP(RIGHT("0000"&amp;AH95,4),CODEBOOK_CAP!$C$2:$C$212,CODEBOOK_CAP!$D$2:$D$212)),"Código CAP não encontrado"))</f>
        <v>0334 - TRATAMENTOS, CIRUGIAS, ATENDIMENTOS, DOENÇAS E REABILITAÇÃO</v>
      </c>
      <c r="AJ95" s="12" t="str">
        <f>IF(AH95="","",IFERROR(_xlfn.XLOOKUP(RIGHT("0000"&amp;AH95,4),CODEBOOK_CAP!$C$2:$C$212,CODEBOOK_CAP!$E$2:$E$212),"Código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95" s="22" t="s">
        <v>77</v>
      </c>
      <c r="AL95" s="26"/>
      <c r="AM95" s="22" t="s">
        <v>77</v>
      </c>
      <c r="AN95" s="22" t="s">
        <v>77</v>
      </c>
      <c r="AO95" s="12"/>
      <c r="AP95" s="22" t="s">
        <v>77</v>
      </c>
      <c r="AQ95" s="12"/>
      <c r="AR95" s="22" t="s">
        <v>77</v>
      </c>
      <c r="AS95" s="10"/>
      <c r="AT95" s="2" t="s">
        <v>82</v>
      </c>
      <c r="AU95" s="12" t="s">
        <v>83</v>
      </c>
      <c r="AV95" s="3" t="n">
        <v>46214</v>
      </c>
      <c r="AW95" s="21"/>
      <c r="AY95" s="1"/>
      <c r="BA95" s="1"/>
      <c r="BB95" s="1"/>
    </row>
    <row r="96" ht="120" customHeight="1">
      <c r="A96" s="20" t="s">
        <v>801</v>
      </c>
      <c r="B96" s="20" t="n">
        <v>2023</v>
      </c>
      <c r="C96" s="20" t="n">
        <v>445</v>
      </c>
      <c r="D96" s="20" t="s">
        <v>50</v>
      </c>
      <c r="E96" s="20" t="s">
        <v>678</v>
      </c>
      <c r="F96" s="20" t="s">
        <v>802</v>
      </c>
      <c r="G96" s="20" t="s">
        <v>315</v>
      </c>
      <c r="H96" s="20" t="s">
        <v>680</v>
      </c>
      <c r="I96" s="20"/>
      <c r="J96" s="20" t="s">
        <v>803</v>
      </c>
      <c r="K96" s="20" t="s">
        <v>309</v>
      </c>
      <c r="L96" s="20" t="s">
        <v>57</v>
      </c>
      <c r="M96" s="20" t="s">
        <v>58</v>
      </c>
      <c r="N96" s="20" t="s">
        <v>59</v>
      </c>
      <c r="O96" s="20" t="s">
        <v>60</v>
      </c>
      <c r="P96" s="20" t="s">
        <v>227</v>
      </c>
      <c r="Q96" s="20" t="s">
        <v>228</v>
      </c>
      <c r="R96" s="20" t="s">
        <v>229</v>
      </c>
      <c r="S96" s="20" t="s">
        <v>230</v>
      </c>
      <c r="T96" s="20" t="s">
        <v>231</v>
      </c>
      <c r="U96" s="20" t="s">
        <v>230</v>
      </c>
      <c r="V96" s="20" t="s">
        <v>196</v>
      </c>
      <c r="W96" s="20" t="s">
        <v>68</v>
      </c>
      <c r="X96" s="20" t="s">
        <v>69</v>
      </c>
      <c r="Y96" s="20" t="s">
        <v>70</v>
      </c>
      <c r="Z96" s="20" t="s">
        <v>98</v>
      </c>
      <c r="AA96" s="20" t="s">
        <v>388</v>
      </c>
      <c r="AB96" s="20" t="s">
        <v>804</v>
      </c>
      <c r="AC96" s="20" t="s">
        <v>805</v>
      </c>
      <c r="AD96" s="20" t="s">
        <v>805</v>
      </c>
      <c r="AE96" s="20" t="s">
        <v>328</v>
      </c>
      <c r="AF96" s="9" t="n">
        <v>1</v>
      </c>
      <c r="AG96" s="12" t="n">
        <v>1</v>
      </c>
      <c r="AH96" s="22" t="s">
        <v>235</v>
      </c>
      <c r="AI96" s="12" t="str">
        <f>IF(AH96="","",IFERROR(RIGHT("0000"&amp;AH96,4)&amp;" - "&amp;UPPER(_xlfn.XLOOKUP(RIGHT("0000"&amp;AH96,4),CODEBOOK_CAP!$C$2:$C$212,CODEBOOK_CAP!$D$2:$D$212)),"Código CAP não encontrado"))</f>
        <v>0322 - ESTRUTURAS, HOSPITAIS, CLÍNICAS</v>
      </c>
      <c r="AJ96" s="12" t="str">
        <f>IF(AH96="","",IFERROR(_xlfn.XLOOKUP(RIGHT("0000"&amp;AH96,4),CODEBOOK_CAP!$C$2:$C$212,CODEBOOK_CAP!$E$2:$E$212),"Código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6" s="22" t="s">
        <v>77</v>
      </c>
      <c r="AL96" s="26"/>
      <c r="AM96" s="22" t="s">
        <v>79</v>
      </c>
      <c r="AN96" s="22" t="s">
        <v>79</v>
      </c>
      <c r="AO96" s="12" t="s">
        <v>806</v>
      </c>
      <c r="AP96" s="22" t="s">
        <v>77</v>
      </c>
      <c r="AQ96" s="12"/>
      <c r="AR96" s="22" t="s">
        <v>79</v>
      </c>
      <c r="AS96" s="22" t="s">
        <v>328</v>
      </c>
      <c r="AT96" s="2" t="s">
        <v>82</v>
      </c>
      <c r="AU96" s="12" t="s">
        <v>83</v>
      </c>
      <c r="AV96" s="3" t="n">
        <v>46214</v>
      </c>
      <c r="AW96" s="21"/>
      <c r="AY96" s="1"/>
      <c r="BA96" s="1"/>
      <c r="BB96" s="1"/>
    </row>
    <row r="97" ht="120" customHeight="1">
      <c r="A97" s="20" t="s">
        <v>807</v>
      </c>
      <c r="B97" s="20" t="n">
        <v>2023</v>
      </c>
      <c r="C97" s="20" t="n">
        <v>447</v>
      </c>
      <c r="D97" s="20" t="s">
        <v>50</v>
      </c>
      <c r="E97" s="20" t="s">
        <v>678</v>
      </c>
      <c r="F97" s="20" t="s">
        <v>808</v>
      </c>
      <c r="G97" s="20" t="s">
        <v>86</v>
      </c>
      <c r="H97" s="20" t="s">
        <v>680</v>
      </c>
      <c r="I97" s="20"/>
      <c r="J97" s="20" t="s">
        <v>809</v>
      </c>
      <c r="K97" s="20" t="s">
        <v>56</v>
      </c>
      <c r="L97" s="20" t="s">
        <v>57</v>
      </c>
      <c r="M97" s="20" t="s">
        <v>58</v>
      </c>
      <c r="N97" s="20" t="s">
        <v>59</v>
      </c>
      <c r="O97" s="20" t="s">
        <v>60</v>
      </c>
      <c r="P97" s="20" t="s">
        <v>61</v>
      </c>
      <c r="Q97" s="20" t="s">
        <v>62</v>
      </c>
      <c r="R97" s="20" t="s">
        <v>63</v>
      </c>
      <c r="S97" s="20" t="s">
        <v>64</v>
      </c>
      <c r="T97" s="20" t="s">
        <v>65</v>
      </c>
      <c r="U97" s="20" t="s">
        <v>66</v>
      </c>
      <c r="V97" s="20" t="s">
        <v>67</v>
      </c>
      <c r="W97" s="20" t="s">
        <v>68</v>
      </c>
      <c r="X97" s="20" t="s">
        <v>69</v>
      </c>
      <c r="Y97" s="20" t="s">
        <v>70</v>
      </c>
      <c r="Z97" s="20" t="s">
        <v>71</v>
      </c>
      <c r="AA97" s="20" t="s">
        <v>462</v>
      </c>
      <c r="AB97" s="20" t="s">
        <v>810</v>
      </c>
      <c r="AC97" s="20" t="s">
        <v>810</v>
      </c>
      <c r="AD97" s="20" t="s">
        <v>810</v>
      </c>
      <c r="AE97" s="20" t="s">
        <v>811</v>
      </c>
      <c r="AF97" s="9" t="n">
        <v>1</v>
      </c>
      <c r="AG97" s="12" t="n">
        <v>1</v>
      </c>
      <c r="AH97" s="22" t="s">
        <v>235</v>
      </c>
      <c r="AI97" s="12" t="str">
        <f>IF(AH97="","",IFERROR(RIGHT("0000"&amp;AH97,4)&amp;" - "&amp;UPPER(_xlfn.XLOOKUP(RIGHT("0000"&amp;AH97,4),CODEBOOK_CAP!$C$2:$C$212,CODEBOOK_CAP!$D$2:$D$212)),"Código CAP não encontrado"))</f>
        <v>0322 - ESTRUTURAS, HOSPITAIS, CLÍNICAS</v>
      </c>
      <c r="AJ97" s="12" t="str">
        <f>IF(AH97="","",IFERROR(_xlfn.XLOOKUP(RIGHT("0000"&amp;AH97,4),CODEBOOK_CAP!$C$2:$C$212,CODEBOOK_CAP!$E$2:$E$212),"Código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7" s="22" t="s">
        <v>77</v>
      </c>
      <c r="AL97" s="26"/>
      <c r="AM97" s="22" t="s">
        <v>79</v>
      </c>
      <c r="AN97" s="22" t="s">
        <v>79</v>
      </c>
      <c r="AO97" s="12" t="s">
        <v>812</v>
      </c>
      <c r="AP97" s="22" t="s">
        <v>77</v>
      </c>
      <c r="AQ97" s="12"/>
      <c r="AR97" s="22" t="s">
        <v>79</v>
      </c>
      <c r="AS97" s="12" t="s">
        <v>811</v>
      </c>
      <c r="AT97" s="2" t="s">
        <v>82</v>
      </c>
      <c r="AU97" s="12" t="s">
        <v>83</v>
      </c>
      <c r="AV97" s="3" t="n">
        <v>46214</v>
      </c>
      <c r="AW97" s="21"/>
      <c r="AY97" s="1"/>
      <c r="BA97" s="1"/>
      <c r="BB97" s="1"/>
    </row>
    <row r="98" ht="120" customHeight="1">
      <c r="A98" s="20" t="s">
        <v>813</v>
      </c>
      <c r="B98" s="20" t="n">
        <v>2023</v>
      </c>
      <c r="C98" s="20" t="n">
        <v>499</v>
      </c>
      <c r="D98" s="20" t="s">
        <v>50</v>
      </c>
      <c r="E98" s="20" t="s">
        <v>678</v>
      </c>
      <c r="F98" s="20" t="s">
        <v>814</v>
      </c>
      <c r="G98" s="20" t="s">
        <v>315</v>
      </c>
      <c r="H98" s="20" t="s">
        <v>680</v>
      </c>
      <c r="I98" s="20"/>
      <c r="J98" s="20" t="s">
        <v>815</v>
      </c>
      <c r="K98" s="20" t="s">
        <v>816</v>
      </c>
      <c r="L98" s="20" t="s">
        <v>274</v>
      </c>
      <c r="M98" s="20" t="s">
        <v>275</v>
      </c>
      <c r="N98" s="20" t="s">
        <v>276</v>
      </c>
      <c r="O98" s="20" t="s">
        <v>277</v>
      </c>
      <c r="P98" s="20" t="s">
        <v>278</v>
      </c>
      <c r="Q98" s="20" t="s">
        <v>279</v>
      </c>
      <c r="R98" s="20" t="s">
        <v>817</v>
      </c>
      <c r="S98" s="20" t="s">
        <v>818</v>
      </c>
      <c r="T98" s="20" t="s">
        <v>819</v>
      </c>
      <c r="U98" s="20" t="s">
        <v>820</v>
      </c>
      <c r="V98" s="20" t="s">
        <v>95</v>
      </c>
      <c r="W98" s="20" t="s">
        <v>96</v>
      </c>
      <c r="X98" s="20" t="s">
        <v>97</v>
      </c>
      <c r="Y98" s="20" t="s">
        <v>70</v>
      </c>
      <c r="Z98" s="20" t="s">
        <v>284</v>
      </c>
      <c r="AA98" s="20" t="s">
        <v>233</v>
      </c>
      <c r="AB98" s="20" t="s">
        <v>233</v>
      </c>
      <c r="AC98" s="20" t="s">
        <v>233</v>
      </c>
      <c r="AD98" s="20" t="s">
        <v>233</v>
      </c>
      <c r="AE98" s="20"/>
      <c r="AF98" s="9" t="n">
        <v>0</v>
      </c>
      <c r="AG98" s="12" t="n">
        <v>0</v>
      </c>
      <c r="AH98" s="22" t="s">
        <v>821</v>
      </c>
      <c r="AI98" s="12" t="str">
        <f>IF(AH98="","",IFERROR(RIGHT("0000"&amp;AH98,4)&amp;" - "&amp;UPPER(_xlfn.XLOOKUP(RIGHT("0000"&amp;AH98,4),CODEBOOK_CAP!$C$2:$C$212,CODEBOOK_CAP!$D$2:$D$212)),"Código CAP não encontrado"))</f>
        <v>1304 - POLÍTICAS SOCIAIS DE ASSISTÊNCIA PARA PESSOAS COM DEFICIÊNCIAS</v>
      </c>
      <c r="AJ98" s="12" t="str">
        <f>IF(AH98="","",IFERROR(_xlfn.XLOOKUP(RIGHT("0000"&amp;AH98,4),CODEBOOK_CAP!$C$2:$C$212,CODEBOOK_CAP!$E$2:$E$212),"Código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98" s="22" t="s">
        <v>79</v>
      </c>
      <c r="AL98" s="26" t="s">
        <v>822</v>
      </c>
      <c r="AM98" s="22" t="s">
        <v>79</v>
      </c>
      <c r="AN98" s="22" t="s">
        <v>79</v>
      </c>
      <c r="AO98" s="12" t="s">
        <v>823</v>
      </c>
      <c r="AP98" s="22" t="s">
        <v>79</v>
      </c>
      <c r="AQ98" s="12" t="s">
        <v>824</v>
      </c>
      <c r="AR98" s="22" t="s">
        <v>77</v>
      </c>
      <c r="AS98" s="10"/>
      <c r="AT98" s="2" t="s">
        <v>82</v>
      </c>
      <c r="AU98" s="12" t="s">
        <v>83</v>
      </c>
      <c r="AV98" s="3" t="n">
        <v>46214</v>
      </c>
      <c r="AW98" s="21"/>
      <c r="AY98" s="1"/>
      <c r="BA98" s="1"/>
      <c r="BB98" s="1"/>
    </row>
    <row r="99" ht="120" customHeight="1">
      <c r="A99" s="20" t="s">
        <v>825</v>
      </c>
      <c r="B99" s="20" t="n">
        <v>2023</v>
      </c>
      <c r="C99" s="20" t="n">
        <v>545</v>
      </c>
      <c r="D99" s="20" t="s">
        <v>50</v>
      </c>
      <c r="E99" s="20" t="s">
        <v>678</v>
      </c>
      <c r="F99" s="20" t="s">
        <v>826</v>
      </c>
      <c r="G99" s="20" t="s">
        <v>86</v>
      </c>
      <c r="H99" s="20" t="s">
        <v>680</v>
      </c>
      <c r="I99" s="20"/>
      <c r="J99" s="20" t="s">
        <v>827</v>
      </c>
      <c r="K99" s="20" t="s">
        <v>56</v>
      </c>
      <c r="L99" s="20" t="s">
        <v>57</v>
      </c>
      <c r="M99" s="20" t="s">
        <v>58</v>
      </c>
      <c r="N99" s="20" t="s">
        <v>59</v>
      </c>
      <c r="O99" s="20" t="s">
        <v>60</v>
      </c>
      <c r="P99" s="20" t="s">
        <v>61</v>
      </c>
      <c r="Q99" s="20" t="s">
        <v>62</v>
      </c>
      <c r="R99" s="20" t="s">
        <v>63</v>
      </c>
      <c r="S99" s="20" t="s">
        <v>64</v>
      </c>
      <c r="T99" s="20" t="s">
        <v>65</v>
      </c>
      <c r="U99" s="20" t="s">
        <v>66</v>
      </c>
      <c r="V99" s="20" t="s">
        <v>67</v>
      </c>
      <c r="W99" s="20" t="s">
        <v>68</v>
      </c>
      <c r="X99" s="20" t="s">
        <v>69</v>
      </c>
      <c r="Y99" s="20" t="s">
        <v>70</v>
      </c>
      <c r="Z99" s="20" t="s">
        <v>71</v>
      </c>
      <c r="AA99" s="20" t="s">
        <v>343</v>
      </c>
      <c r="AB99" s="20" t="s">
        <v>828</v>
      </c>
      <c r="AC99" s="20" t="s">
        <v>828</v>
      </c>
      <c r="AD99" s="20" t="s">
        <v>828</v>
      </c>
      <c r="AE99" s="20"/>
      <c r="AF99" s="9" t="n">
        <v>1</v>
      </c>
      <c r="AG99" s="12" t="n">
        <v>1</v>
      </c>
      <c r="AH99" s="22" t="s">
        <v>235</v>
      </c>
      <c r="AI99" s="12" t="str">
        <f>IF(AH99="","",IFERROR(RIGHT("0000"&amp;AH99,4)&amp;" - "&amp;UPPER(_xlfn.XLOOKUP(RIGHT("0000"&amp;AH99,4),CODEBOOK_CAP!$C$2:$C$212,CODEBOOK_CAP!$D$2:$D$212)),"Código CAP não encontrado"))</f>
        <v>0322 - ESTRUTURAS, HOSPITAIS, CLÍNICAS</v>
      </c>
      <c r="AJ99" s="12" t="str">
        <f>IF(AH99="","",IFERROR(_xlfn.XLOOKUP(RIGHT("0000"&amp;AH99,4),CODEBOOK_CAP!$C$2:$C$212,CODEBOOK_CAP!$E$2:$E$212),"Código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99" s="22" t="s">
        <v>77</v>
      </c>
      <c r="AL99" s="26"/>
      <c r="AM99" s="22" t="s">
        <v>79</v>
      </c>
      <c r="AN99" s="22" t="s">
        <v>79</v>
      </c>
      <c r="AO99" s="12" t="s">
        <v>829</v>
      </c>
      <c r="AP99" s="22" t="s">
        <v>77</v>
      </c>
      <c r="AQ99" s="12"/>
      <c r="AR99" s="22" t="s">
        <v>77</v>
      </c>
      <c r="AS99" s="10"/>
      <c r="AT99" s="2" t="s">
        <v>82</v>
      </c>
      <c r="AU99" s="12" t="s">
        <v>83</v>
      </c>
      <c r="AV99" s="3" t="n">
        <v>46214</v>
      </c>
      <c r="AW99" s="21"/>
      <c r="AY99" s="1"/>
      <c r="BA99" s="1"/>
      <c r="BB99" s="1"/>
    </row>
    <row r="100" ht="120" customHeight="1">
      <c r="A100" s="20" t="s">
        <v>830</v>
      </c>
      <c r="B100" s="20" t="n">
        <v>2023</v>
      </c>
      <c r="C100" s="20" t="n">
        <v>800</v>
      </c>
      <c r="D100" s="20" t="s">
        <v>50</v>
      </c>
      <c r="E100" s="20" t="s">
        <v>831</v>
      </c>
      <c r="F100" s="20" t="s">
        <v>832</v>
      </c>
      <c r="G100" s="20" t="s">
        <v>86</v>
      </c>
      <c r="H100" s="20" t="s">
        <v>833</v>
      </c>
      <c r="I100" s="20"/>
      <c r="J100" s="20" t="s">
        <v>834</v>
      </c>
      <c r="K100" s="20" t="s">
        <v>122</v>
      </c>
      <c r="L100" s="20" t="s">
        <v>57</v>
      </c>
      <c r="M100" s="20" t="s">
        <v>58</v>
      </c>
      <c r="N100" s="20" t="s">
        <v>59</v>
      </c>
      <c r="O100" s="20" t="s">
        <v>60</v>
      </c>
      <c r="P100" s="20" t="s">
        <v>89</v>
      </c>
      <c r="Q100" s="20" t="s">
        <v>90</v>
      </c>
      <c r="R100" s="20" t="s">
        <v>91</v>
      </c>
      <c r="S100" s="20" t="s">
        <v>92</v>
      </c>
      <c r="T100" s="20" t="s">
        <v>123</v>
      </c>
      <c r="U100" s="20" t="s">
        <v>124</v>
      </c>
      <c r="V100" s="20" t="s">
        <v>95</v>
      </c>
      <c r="W100" s="20" t="s">
        <v>96</v>
      </c>
      <c r="X100" s="20" t="s">
        <v>97</v>
      </c>
      <c r="Y100" s="20" t="s">
        <v>70</v>
      </c>
      <c r="Z100" s="20" t="s">
        <v>98</v>
      </c>
      <c r="AA100" s="20" t="s">
        <v>142</v>
      </c>
      <c r="AB100" s="20" t="s">
        <v>142</v>
      </c>
      <c r="AC100" s="20" t="s">
        <v>142</v>
      </c>
      <c r="AD100" s="20" t="s">
        <v>142</v>
      </c>
      <c r="AE100" s="20"/>
      <c r="AF100" s="9" t="n">
        <v>1</v>
      </c>
      <c r="AG100" s="12" t="n">
        <v>1</v>
      </c>
      <c r="AH100" s="22" t="s">
        <v>235</v>
      </c>
      <c r="AI100" s="12" t="str">
        <f>IF(AH100="","",IFERROR(RIGHT("0000"&amp;AH100,4)&amp;" - "&amp;UPPER(_xlfn.XLOOKUP(RIGHT("0000"&amp;AH100,4),CODEBOOK_CAP!$C$2:$C$212,CODEBOOK_CAP!$D$2:$D$212)),"Código CAP não encontrado"))</f>
        <v>0322 - ESTRUTURAS, HOSPITAIS, CLÍNICAS</v>
      </c>
      <c r="AJ100" s="12" t="str">
        <f>IF(AH100="","",IFERROR(_xlfn.XLOOKUP(RIGHT("0000"&amp;AH100,4),CODEBOOK_CAP!$C$2:$C$212,CODEBOOK_CAP!$E$2:$E$212),"Código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0" s="22" t="s">
        <v>77</v>
      </c>
      <c r="AL100" s="26"/>
      <c r="AM100" s="22" t="s">
        <v>79</v>
      </c>
      <c r="AN100" s="22" t="s">
        <v>79</v>
      </c>
      <c r="AO100" s="12" t="s">
        <v>835</v>
      </c>
      <c r="AP100" s="22" t="s">
        <v>77</v>
      </c>
      <c r="AQ100" s="12"/>
      <c r="AR100" s="22" t="s">
        <v>77</v>
      </c>
      <c r="AS100" s="10"/>
      <c r="AT100" s="2" t="s">
        <v>82</v>
      </c>
      <c r="AU100" s="12" t="s">
        <v>83</v>
      </c>
      <c r="AV100" s="3" t="n">
        <v>46214</v>
      </c>
      <c r="AW100" s="21"/>
      <c r="AY100" s="1"/>
      <c r="BA100" s="1"/>
      <c r="BB100" s="1"/>
    </row>
    <row r="101" ht="120" customHeight="1">
      <c r="A101" s="20" t="s">
        <v>836</v>
      </c>
      <c r="B101" s="20" t="n">
        <v>2023</v>
      </c>
      <c r="C101" s="20" t="n">
        <v>801</v>
      </c>
      <c r="D101" s="20" t="s">
        <v>50</v>
      </c>
      <c r="E101" s="20" t="s">
        <v>831</v>
      </c>
      <c r="F101" s="20" t="s">
        <v>837</v>
      </c>
      <c r="G101" s="20" t="s">
        <v>86</v>
      </c>
      <c r="H101" s="20" t="s">
        <v>833</v>
      </c>
      <c r="I101" s="20"/>
      <c r="J101" s="20" t="s">
        <v>838</v>
      </c>
      <c r="K101" s="20" t="s">
        <v>122</v>
      </c>
      <c r="L101" s="20" t="s">
        <v>57</v>
      </c>
      <c r="M101" s="20" t="s">
        <v>58</v>
      </c>
      <c r="N101" s="20" t="s">
        <v>59</v>
      </c>
      <c r="O101" s="20" t="s">
        <v>60</v>
      </c>
      <c r="P101" s="20" t="s">
        <v>89</v>
      </c>
      <c r="Q101" s="20" t="s">
        <v>90</v>
      </c>
      <c r="R101" s="20" t="s">
        <v>91</v>
      </c>
      <c r="S101" s="20" t="s">
        <v>92</v>
      </c>
      <c r="T101" s="20" t="s">
        <v>123</v>
      </c>
      <c r="U101" s="20" t="s">
        <v>124</v>
      </c>
      <c r="V101" s="20" t="s">
        <v>95</v>
      </c>
      <c r="W101" s="20" t="s">
        <v>96</v>
      </c>
      <c r="X101" s="20" t="s">
        <v>97</v>
      </c>
      <c r="Y101" s="20" t="s">
        <v>70</v>
      </c>
      <c r="Z101" s="20" t="s">
        <v>98</v>
      </c>
      <c r="AA101" s="20" t="s">
        <v>839</v>
      </c>
      <c r="AB101" s="20" t="s">
        <v>839</v>
      </c>
      <c r="AC101" s="20" t="s">
        <v>839</v>
      </c>
      <c r="AD101" s="20" t="s">
        <v>839</v>
      </c>
      <c r="AE101" s="20"/>
      <c r="AF101" s="9" t="n">
        <v>1</v>
      </c>
      <c r="AG101" s="12" t="n">
        <v>1</v>
      </c>
      <c r="AH101" s="22" t="s">
        <v>235</v>
      </c>
      <c r="AI101" s="12" t="str">
        <f>IF(AH101="","",IFERROR(RIGHT("0000"&amp;AH101,4)&amp;" - "&amp;UPPER(_xlfn.XLOOKUP(RIGHT("0000"&amp;AH101,4),CODEBOOK_CAP!$C$2:$C$212,CODEBOOK_CAP!$D$2:$D$212)),"Código CAP não encontrado"))</f>
        <v>0322 - ESTRUTURAS, HOSPITAIS, CLÍNICAS</v>
      </c>
      <c r="AJ101" s="12" t="str">
        <f>IF(AH101="","",IFERROR(_xlfn.XLOOKUP(RIGHT("0000"&amp;AH101,4),CODEBOOK_CAP!$C$2:$C$212,CODEBOOK_CAP!$E$2:$E$212),"Código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1" s="22" t="s">
        <v>77</v>
      </c>
      <c r="AL101" s="26"/>
      <c r="AM101" s="22" t="s">
        <v>79</v>
      </c>
      <c r="AN101" s="22" t="s">
        <v>79</v>
      </c>
      <c r="AO101" s="12" t="s">
        <v>840</v>
      </c>
      <c r="AP101" s="22" t="s">
        <v>77</v>
      </c>
      <c r="AQ101" s="12"/>
      <c r="AR101" s="22" t="s">
        <v>77</v>
      </c>
      <c r="AS101" s="10"/>
      <c r="AT101" s="2" t="s">
        <v>82</v>
      </c>
      <c r="AU101" s="12" t="s">
        <v>83</v>
      </c>
      <c r="AV101" s="3" t="n">
        <v>46214</v>
      </c>
      <c r="AW101" s="21"/>
      <c r="AY101" s="1"/>
      <c r="BA101" s="1"/>
      <c r="BB101" s="1"/>
    </row>
    <row r="102" ht="120" customHeight="1">
      <c r="A102" s="20" t="s">
        <v>841</v>
      </c>
      <c r="B102" s="20" t="n">
        <v>2023</v>
      </c>
      <c r="C102" s="20" t="n">
        <v>802</v>
      </c>
      <c r="D102" s="20" t="s">
        <v>50</v>
      </c>
      <c r="E102" s="20" t="s">
        <v>831</v>
      </c>
      <c r="F102" s="20" t="s">
        <v>842</v>
      </c>
      <c r="G102" s="20" t="s">
        <v>86</v>
      </c>
      <c r="H102" s="20" t="s">
        <v>833</v>
      </c>
      <c r="I102" s="20"/>
      <c r="J102" s="20" t="s">
        <v>843</v>
      </c>
      <c r="K102" s="20" t="s">
        <v>441</v>
      </c>
      <c r="L102" s="20" t="s">
        <v>57</v>
      </c>
      <c r="M102" s="20" t="s">
        <v>58</v>
      </c>
      <c r="N102" s="20" t="s">
        <v>59</v>
      </c>
      <c r="O102" s="20" t="s">
        <v>60</v>
      </c>
      <c r="P102" s="20" t="s">
        <v>89</v>
      </c>
      <c r="Q102" s="20" t="s">
        <v>90</v>
      </c>
      <c r="R102" s="20" t="s">
        <v>91</v>
      </c>
      <c r="S102" s="20" t="s">
        <v>92</v>
      </c>
      <c r="T102" s="20" t="s">
        <v>341</v>
      </c>
      <c r="U102" s="20" t="s">
        <v>342</v>
      </c>
      <c r="V102" s="20" t="s">
        <v>95</v>
      </c>
      <c r="W102" s="20" t="s">
        <v>96</v>
      </c>
      <c r="X102" s="20" t="s">
        <v>97</v>
      </c>
      <c r="Y102" s="20" t="s">
        <v>70</v>
      </c>
      <c r="Z102" s="20" t="s">
        <v>98</v>
      </c>
      <c r="AA102" s="20" t="s">
        <v>844</v>
      </c>
      <c r="AB102" s="20" t="s">
        <v>844</v>
      </c>
      <c r="AC102" s="20" t="s">
        <v>844</v>
      </c>
      <c r="AD102" s="20" t="s">
        <v>844</v>
      </c>
      <c r="AE102" s="20"/>
      <c r="AF102" s="9" t="n">
        <v>1</v>
      </c>
      <c r="AG102" s="12" t="n">
        <v>1</v>
      </c>
      <c r="AH102" s="22" t="s">
        <v>235</v>
      </c>
      <c r="AI102" s="12" t="str">
        <f>IF(AH102="","",IFERROR(RIGHT("0000"&amp;AH102,4)&amp;" - "&amp;UPPER(_xlfn.XLOOKUP(RIGHT("0000"&amp;AH102,4),CODEBOOK_CAP!$C$2:$C$212,CODEBOOK_CAP!$D$2:$D$212)),"Código CAP não encontrado"))</f>
        <v>0322 - ESTRUTURAS, HOSPITAIS, CLÍNICAS</v>
      </c>
      <c r="AJ102" s="12" t="str">
        <f>IF(AH102="","",IFERROR(_xlfn.XLOOKUP(RIGHT("0000"&amp;AH102,4),CODEBOOK_CAP!$C$2:$C$212,CODEBOOK_CAP!$E$2:$E$212),"Código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2" s="22" t="s">
        <v>77</v>
      </c>
      <c r="AL102" s="26"/>
      <c r="AM102" s="22" t="s">
        <v>79</v>
      </c>
      <c r="AN102" s="22" t="s">
        <v>79</v>
      </c>
      <c r="AO102" s="12" t="s">
        <v>845</v>
      </c>
      <c r="AP102" s="22" t="s">
        <v>77</v>
      </c>
      <c r="AQ102" s="12"/>
      <c r="AR102" s="22" t="s">
        <v>77</v>
      </c>
      <c r="AS102" s="10"/>
      <c r="AT102" s="2" t="s">
        <v>82</v>
      </c>
      <c r="AU102" s="12" t="s">
        <v>83</v>
      </c>
      <c r="AV102" s="3" t="n">
        <v>46214</v>
      </c>
      <c r="AW102" s="21"/>
      <c r="AY102" s="1"/>
      <c r="BA102" s="1"/>
      <c r="BB102" s="1"/>
    </row>
    <row r="103" ht="120" customHeight="1">
      <c r="A103" s="20" t="s">
        <v>846</v>
      </c>
      <c r="B103" s="20" t="n">
        <v>2023</v>
      </c>
      <c r="C103" s="20" t="n">
        <v>803</v>
      </c>
      <c r="D103" s="20" t="s">
        <v>50</v>
      </c>
      <c r="E103" s="20" t="s">
        <v>831</v>
      </c>
      <c r="F103" s="20" t="s">
        <v>847</v>
      </c>
      <c r="G103" s="20" t="s">
        <v>86</v>
      </c>
      <c r="H103" s="20" t="s">
        <v>833</v>
      </c>
      <c r="I103" s="20"/>
      <c r="J103" s="20" t="s">
        <v>848</v>
      </c>
      <c r="K103" s="20" t="s">
        <v>226</v>
      </c>
      <c r="L103" s="20" t="s">
        <v>57</v>
      </c>
      <c r="M103" s="20" t="s">
        <v>58</v>
      </c>
      <c r="N103" s="20" t="s">
        <v>59</v>
      </c>
      <c r="O103" s="20" t="s">
        <v>60</v>
      </c>
      <c r="P103" s="20" t="s">
        <v>227</v>
      </c>
      <c r="Q103" s="20" t="s">
        <v>228</v>
      </c>
      <c r="R103" s="20" t="s">
        <v>229</v>
      </c>
      <c r="S103" s="20" t="s">
        <v>230</v>
      </c>
      <c r="T103" s="20" t="s">
        <v>231</v>
      </c>
      <c r="U103" s="20" t="s">
        <v>230</v>
      </c>
      <c r="V103" s="20" t="s">
        <v>232</v>
      </c>
      <c r="W103" s="20" t="s">
        <v>96</v>
      </c>
      <c r="X103" s="20" t="s">
        <v>97</v>
      </c>
      <c r="Y103" s="20" t="s">
        <v>70</v>
      </c>
      <c r="Z103" s="20" t="s">
        <v>98</v>
      </c>
      <c r="AA103" s="20" t="s">
        <v>351</v>
      </c>
      <c r="AB103" s="20" t="s">
        <v>351</v>
      </c>
      <c r="AC103" s="20" t="s">
        <v>351</v>
      </c>
      <c r="AD103" s="20" t="s">
        <v>351</v>
      </c>
      <c r="AE103" s="20"/>
      <c r="AF103" s="9" t="n">
        <v>1</v>
      </c>
      <c r="AG103" s="12" t="n">
        <v>1</v>
      </c>
      <c r="AH103" s="22" t="s">
        <v>235</v>
      </c>
      <c r="AI103" s="12" t="str">
        <f>IF(AH103="","",IFERROR(RIGHT("0000"&amp;AH103,4)&amp;" - "&amp;UPPER(_xlfn.XLOOKUP(RIGHT("0000"&amp;AH103,4),CODEBOOK_CAP!$C$2:$C$212,CODEBOOK_CAP!$D$2:$D$212)),"Código CAP não encontrado"))</f>
        <v>0322 - ESTRUTURAS, HOSPITAIS, CLÍNICAS</v>
      </c>
      <c r="AJ103" s="12" t="str">
        <f>IF(AH103="","",IFERROR(_xlfn.XLOOKUP(RIGHT("0000"&amp;AH103,4),CODEBOOK_CAP!$C$2:$C$212,CODEBOOK_CAP!$E$2:$E$212),"Código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3" s="22" t="s">
        <v>77</v>
      </c>
      <c r="AL103" s="26"/>
      <c r="AM103" s="22" t="s">
        <v>79</v>
      </c>
      <c r="AN103" s="22" t="s">
        <v>79</v>
      </c>
      <c r="AO103" s="26" t="s">
        <v>849</v>
      </c>
      <c r="AP103" s="22" t="s">
        <v>77</v>
      </c>
      <c r="AQ103" s="12"/>
      <c r="AR103" s="22" t="s">
        <v>77</v>
      </c>
      <c r="AS103" s="10"/>
      <c r="AT103" s="2" t="s">
        <v>82</v>
      </c>
      <c r="AU103" s="12" t="s">
        <v>83</v>
      </c>
      <c r="AV103" s="3" t="n">
        <v>46214</v>
      </c>
      <c r="AW103" s="21"/>
      <c r="AY103" s="1"/>
      <c r="BA103" s="1"/>
      <c r="BB103" s="1"/>
    </row>
    <row r="104" ht="120" customHeight="1">
      <c r="A104" s="20" t="s">
        <v>850</v>
      </c>
      <c r="B104" s="20" t="n">
        <v>2023</v>
      </c>
      <c r="C104" s="20" t="n">
        <v>804</v>
      </c>
      <c r="D104" s="20" t="s">
        <v>50</v>
      </c>
      <c r="E104" s="20" t="s">
        <v>831</v>
      </c>
      <c r="F104" s="20" t="s">
        <v>851</v>
      </c>
      <c r="G104" s="20" t="s">
        <v>86</v>
      </c>
      <c r="H104" s="20" t="s">
        <v>833</v>
      </c>
      <c r="I104" s="20"/>
      <c r="J104" s="20" t="s">
        <v>852</v>
      </c>
      <c r="K104" s="20" t="s">
        <v>853</v>
      </c>
      <c r="L104" s="20" t="s">
        <v>57</v>
      </c>
      <c r="M104" s="20" t="s">
        <v>58</v>
      </c>
      <c r="N104" s="20" t="s">
        <v>59</v>
      </c>
      <c r="O104" s="20" t="s">
        <v>60</v>
      </c>
      <c r="P104" s="20" t="s">
        <v>227</v>
      </c>
      <c r="Q104" s="20" t="s">
        <v>228</v>
      </c>
      <c r="R104" s="20" t="s">
        <v>229</v>
      </c>
      <c r="S104" s="20" t="s">
        <v>230</v>
      </c>
      <c r="T104" s="20" t="s">
        <v>231</v>
      </c>
      <c r="U104" s="20" t="s">
        <v>230</v>
      </c>
      <c r="V104" s="20" t="s">
        <v>854</v>
      </c>
      <c r="W104" s="20" t="s">
        <v>96</v>
      </c>
      <c r="X104" s="20" t="s">
        <v>97</v>
      </c>
      <c r="Y104" s="20" t="s">
        <v>70</v>
      </c>
      <c r="Z104" s="20" t="s">
        <v>98</v>
      </c>
      <c r="AA104" s="20" t="s">
        <v>351</v>
      </c>
      <c r="AB104" s="20" t="s">
        <v>855</v>
      </c>
      <c r="AC104" s="20" t="s">
        <v>855</v>
      </c>
      <c r="AD104" s="20" t="s">
        <v>855</v>
      </c>
      <c r="AE104" s="20"/>
      <c r="AF104" s="9" t="n">
        <v>1</v>
      </c>
      <c r="AG104" s="12" t="n">
        <v>1</v>
      </c>
      <c r="AH104" s="22" t="s">
        <v>235</v>
      </c>
      <c r="AI104" s="12" t="str">
        <f>IF(AH104="","",IFERROR(RIGHT("0000"&amp;AH104,4)&amp;" - "&amp;UPPER(_xlfn.XLOOKUP(RIGHT("0000"&amp;AH104,4),CODEBOOK_CAP!$C$2:$C$212,CODEBOOK_CAP!$D$2:$D$212)),"Código CAP não encontrado"))</f>
        <v>0322 - ESTRUTURAS, HOSPITAIS, CLÍNICAS</v>
      </c>
      <c r="AJ104" s="12" t="str">
        <f>IF(AH104="","",IFERROR(_xlfn.XLOOKUP(RIGHT("0000"&amp;AH104,4),CODEBOOK_CAP!$C$2:$C$212,CODEBOOK_CAP!$E$2:$E$212),"Código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4" s="22" t="s">
        <v>77</v>
      </c>
      <c r="AL104" s="26"/>
      <c r="AM104" s="22" t="s">
        <v>79</v>
      </c>
      <c r="AN104" s="22" t="s">
        <v>79</v>
      </c>
      <c r="AO104" s="12" t="s">
        <v>856</v>
      </c>
      <c r="AP104" s="22" t="s">
        <v>77</v>
      </c>
      <c r="AQ104" s="12"/>
      <c r="AR104" s="22" t="s">
        <v>77</v>
      </c>
      <c r="AS104" s="10"/>
      <c r="AT104" s="2" t="s">
        <v>82</v>
      </c>
      <c r="AU104" s="12" t="s">
        <v>83</v>
      </c>
      <c r="AV104" s="3" t="n">
        <v>46214</v>
      </c>
      <c r="AW104" s="21"/>
      <c r="AY104" s="1"/>
      <c r="BA104" s="1"/>
      <c r="BB104" s="1"/>
    </row>
    <row r="105" ht="120" customHeight="1">
      <c r="A105" s="20" t="s">
        <v>857</v>
      </c>
      <c r="B105" s="20" t="n">
        <v>2023</v>
      </c>
      <c r="C105" s="20" t="n">
        <v>805</v>
      </c>
      <c r="D105" s="20" t="s">
        <v>50</v>
      </c>
      <c r="E105" s="20" t="s">
        <v>831</v>
      </c>
      <c r="F105" s="20" t="s">
        <v>858</v>
      </c>
      <c r="G105" s="20" t="s">
        <v>86</v>
      </c>
      <c r="H105" s="20" t="s">
        <v>833</v>
      </c>
      <c r="I105" s="20"/>
      <c r="J105" s="20" t="s">
        <v>859</v>
      </c>
      <c r="K105" s="20" t="s">
        <v>853</v>
      </c>
      <c r="L105" s="20" t="s">
        <v>57</v>
      </c>
      <c r="M105" s="20" t="s">
        <v>58</v>
      </c>
      <c r="N105" s="20" t="s">
        <v>59</v>
      </c>
      <c r="O105" s="20" t="s">
        <v>60</v>
      </c>
      <c r="P105" s="20" t="s">
        <v>227</v>
      </c>
      <c r="Q105" s="20" t="s">
        <v>228</v>
      </c>
      <c r="R105" s="20" t="s">
        <v>229</v>
      </c>
      <c r="S105" s="20" t="s">
        <v>230</v>
      </c>
      <c r="T105" s="20" t="s">
        <v>231</v>
      </c>
      <c r="U105" s="20" t="s">
        <v>230</v>
      </c>
      <c r="V105" s="20" t="s">
        <v>854</v>
      </c>
      <c r="W105" s="20" t="s">
        <v>96</v>
      </c>
      <c r="X105" s="20" t="s">
        <v>97</v>
      </c>
      <c r="Y105" s="20" t="s">
        <v>70</v>
      </c>
      <c r="Z105" s="20" t="s">
        <v>98</v>
      </c>
      <c r="AA105" s="20" t="s">
        <v>860</v>
      </c>
      <c r="AB105" s="20" t="s">
        <v>860</v>
      </c>
      <c r="AC105" s="20" t="s">
        <v>860</v>
      </c>
      <c r="AD105" s="20" t="s">
        <v>860</v>
      </c>
      <c r="AE105" s="20"/>
      <c r="AF105" s="9" t="n">
        <v>1</v>
      </c>
      <c r="AG105" s="12" t="n">
        <v>1</v>
      </c>
      <c r="AH105" s="22" t="s">
        <v>235</v>
      </c>
      <c r="AI105" s="12" t="str">
        <f>IF(AH105="","",IFERROR(RIGHT("0000"&amp;AH105,4)&amp;" - "&amp;UPPER(_xlfn.XLOOKUP(RIGHT("0000"&amp;AH105,4),CODEBOOK_CAP!$C$2:$C$212,CODEBOOK_CAP!$D$2:$D$212)),"Código CAP não encontrado"))</f>
        <v>0322 - ESTRUTURAS, HOSPITAIS, CLÍNICAS</v>
      </c>
      <c r="AJ105" s="12" t="str">
        <f>IF(AH105="","",IFERROR(_xlfn.XLOOKUP(RIGHT("0000"&amp;AH105,4),CODEBOOK_CAP!$C$2:$C$212,CODEBOOK_CAP!$E$2:$E$212),"Código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5" s="22" t="s">
        <v>77</v>
      </c>
      <c r="AL105" s="26"/>
      <c r="AM105" s="22" t="s">
        <v>79</v>
      </c>
      <c r="AN105" s="22" t="s">
        <v>79</v>
      </c>
      <c r="AO105" s="12" t="s">
        <v>861</v>
      </c>
      <c r="AP105" s="22" t="s">
        <v>77</v>
      </c>
      <c r="AQ105" s="12"/>
      <c r="AR105" s="22" t="s">
        <v>77</v>
      </c>
      <c r="AS105" s="10"/>
      <c r="AT105" s="2" t="s">
        <v>82</v>
      </c>
      <c r="AU105" s="12" t="s">
        <v>83</v>
      </c>
      <c r="AV105" s="3" t="n">
        <v>46214</v>
      </c>
      <c r="AW105" s="21"/>
      <c r="AY105" s="1"/>
      <c r="BA105" s="1"/>
      <c r="BB105" s="1"/>
    </row>
    <row r="106" ht="120" customHeight="1">
      <c r="A106" s="20" t="s">
        <v>862</v>
      </c>
      <c r="B106" s="20" t="n">
        <v>2023</v>
      </c>
      <c r="C106" s="20" t="n">
        <v>806</v>
      </c>
      <c r="D106" s="20" t="s">
        <v>50</v>
      </c>
      <c r="E106" s="20" t="s">
        <v>831</v>
      </c>
      <c r="F106" s="20" t="s">
        <v>863</v>
      </c>
      <c r="G106" s="20" t="s">
        <v>86</v>
      </c>
      <c r="H106" s="20" t="s">
        <v>833</v>
      </c>
      <c r="I106" s="20"/>
      <c r="J106" s="20" t="s">
        <v>864</v>
      </c>
      <c r="K106" s="20" t="s">
        <v>865</v>
      </c>
      <c r="L106" s="20" t="s">
        <v>57</v>
      </c>
      <c r="M106" s="20" t="s">
        <v>58</v>
      </c>
      <c r="N106" s="20" t="s">
        <v>59</v>
      </c>
      <c r="O106" s="20" t="s">
        <v>60</v>
      </c>
      <c r="P106" s="20" t="s">
        <v>227</v>
      </c>
      <c r="Q106" s="20" t="s">
        <v>228</v>
      </c>
      <c r="R106" s="20" t="s">
        <v>229</v>
      </c>
      <c r="S106" s="20" t="s">
        <v>230</v>
      </c>
      <c r="T106" s="20" t="s">
        <v>866</v>
      </c>
      <c r="U106" s="20" t="s">
        <v>867</v>
      </c>
      <c r="V106" s="20" t="s">
        <v>868</v>
      </c>
      <c r="W106" s="20" t="s">
        <v>96</v>
      </c>
      <c r="X106" s="20" t="s">
        <v>97</v>
      </c>
      <c r="Y106" s="20" t="s">
        <v>70</v>
      </c>
      <c r="Z106" s="20" t="s">
        <v>98</v>
      </c>
      <c r="AA106" s="20" t="s">
        <v>351</v>
      </c>
      <c r="AB106" s="20" t="s">
        <v>351</v>
      </c>
      <c r="AC106" s="20" t="s">
        <v>351</v>
      </c>
      <c r="AD106" s="20" t="s">
        <v>351</v>
      </c>
      <c r="AE106" s="20"/>
      <c r="AF106" s="9" t="n">
        <v>1</v>
      </c>
      <c r="AG106" s="12" t="n">
        <v>1</v>
      </c>
      <c r="AH106" s="22" t="s">
        <v>235</v>
      </c>
      <c r="AI106" s="12" t="str">
        <f>IF(AH106="","",IFERROR(RIGHT("0000"&amp;AH106,4)&amp;" - "&amp;UPPER(_xlfn.XLOOKUP(RIGHT("0000"&amp;AH106,4),CODEBOOK_CAP!$C$2:$C$212,CODEBOOK_CAP!$D$2:$D$212)),"Código CAP não encontrado"))</f>
        <v>0322 - ESTRUTURAS, HOSPITAIS, CLÍNICAS</v>
      </c>
      <c r="AJ106" s="12" t="str">
        <f>IF(AH106="","",IFERROR(_xlfn.XLOOKUP(RIGHT("0000"&amp;AH106,4),CODEBOOK_CAP!$C$2:$C$212,CODEBOOK_CAP!$E$2:$E$212),"Código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06" s="22" t="s">
        <v>77</v>
      </c>
      <c r="AL106" s="26"/>
      <c r="AM106" s="22" t="s">
        <v>79</v>
      </c>
      <c r="AN106" s="22" t="s">
        <v>79</v>
      </c>
      <c r="AO106" s="12" t="s">
        <v>869</v>
      </c>
      <c r="AP106" s="22" t="s">
        <v>77</v>
      </c>
      <c r="AQ106" s="12"/>
      <c r="AR106" s="22" t="s">
        <v>77</v>
      </c>
      <c r="AS106" s="10"/>
      <c r="AT106" s="2" t="s">
        <v>82</v>
      </c>
      <c r="AU106" s="12" t="s">
        <v>83</v>
      </c>
      <c r="AV106" s="3" t="n">
        <v>46214</v>
      </c>
      <c r="AW106" s="21"/>
      <c r="AY106" s="1"/>
      <c r="BA106" s="1"/>
      <c r="BB106" s="1"/>
    </row>
    <row r="107" ht="75" customHeight="1">
      <c r="A107" s="20" t="s">
        <v>870</v>
      </c>
      <c r="B107" s="20" t="n">
        <v>2023</v>
      </c>
      <c r="C107" s="20" t="n">
        <v>807</v>
      </c>
      <c r="D107" s="20" t="s">
        <v>50</v>
      </c>
      <c r="E107" s="20" t="s">
        <v>831</v>
      </c>
      <c r="F107" s="20" t="s">
        <v>871</v>
      </c>
      <c r="G107" s="20" t="s">
        <v>53</v>
      </c>
      <c r="H107" s="20" t="s">
        <v>833</v>
      </c>
      <c r="I107" s="20"/>
      <c r="J107" s="20" t="s">
        <v>872</v>
      </c>
      <c r="K107" s="20" t="s">
        <v>299</v>
      </c>
      <c r="L107" s="20" t="s">
        <v>208</v>
      </c>
      <c r="M107" s="20" t="s">
        <v>209</v>
      </c>
      <c r="N107" s="20" t="s">
        <v>210</v>
      </c>
      <c r="O107" s="20" t="s">
        <v>211</v>
      </c>
      <c r="P107" s="20" t="s">
        <v>212</v>
      </c>
      <c r="Q107" s="20" t="s">
        <v>213</v>
      </c>
      <c r="R107" s="20" t="s">
        <v>251</v>
      </c>
      <c r="S107" s="20" t="s">
        <v>252</v>
      </c>
      <c r="T107" s="20" t="s">
        <v>300</v>
      </c>
      <c r="U107" s="20" t="s">
        <v>301</v>
      </c>
      <c r="V107" s="20" t="s">
        <v>67</v>
      </c>
      <c r="W107" s="20" t="s">
        <v>68</v>
      </c>
      <c r="X107" s="20" t="s">
        <v>69</v>
      </c>
      <c r="Y107" s="20" t="s">
        <v>70</v>
      </c>
      <c r="Z107" s="20" t="s">
        <v>177</v>
      </c>
      <c r="AA107" s="20" t="s">
        <v>343</v>
      </c>
      <c r="AB107" s="20" t="s">
        <v>77</v>
      </c>
      <c r="AC107" s="20" t="s">
        <v>77</v>
      </c>
      <c r="AD107" s="20" t="s">
        <v>77</v>
      </c>
      <c r="AE107" s="20"/>
      <c r="AF107" s="9" t="n">
        <v>0</v>
      </c>
      <c r="AG107" s="12" t="n">
        <v>0</v>
      </c>
      <c r="AH107" s="22" t="s">
        <v>464</v>
      </c>
      <c r="AI107" s="12" t="str">
        <f>IF(AH107="","",IFERROR(RIGHT("0000"&amp;AH107,4)&amp;" - "&amp;UPPER(_xlfn.XLOOKUP(RIGHT("0000"&amp;AH107,4),CODEBOOK_CAP!$C$2:$C$212,CODEBOOK_CAP!$D$2:$D$212)),"Código CAP não encontrado"))</f>
        <v>2101 - PARQUES PÚBLICOS E RESERVAS DE PRESERVAÇÃO</v>
      </c>
      <c r="AJ107" s="12" t="str">
        <f>IF(AH107="","",IFERROR(_xlfn.XLOOKUP(RIGHT("0000"&amp;AH107,4),CODEBOOK_CAP!$C$2:$C$212,CODEBOOK_CAP!$E$2:$E$212),"Código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107" s="22" t="s">
        <v>79</v>
      </c>
      <c r="AL107" s="26" t="s">
        <v>873</v>
      </c>
      <c r="AM107" s="22" t="s">
        <v>79</v>
      </c>
      <c r="AN107" s="22" t="s">
        <v>79</v>
      </c>
      <c r="AO107" s="12" t="s">
        <v>873</v>
      </c>
      <c r="AP107" s="22" t="s">
        <v>77</v>
      </c>
      <c r="AQ107" s="12"/>
      <c r="AR107" s="22" t="s">
        <v>77</v>
      </c>
      <c r="AS107" s="10"/>
      <c r="AT107" s="2" t="s">
        <v>82</v>
      </c>
      <c r="AU107" s="12" t="s">
        <v>83</v>
      </c>
      <c r="AV107" s="3" t="n">
        <v>46214</v>
      </c>
      <c r="AW107" s="21"/>
      <c r="AY107" s="1"/>
      <c r="BA107" s="1"/>
      <c r="BB107" s="1"/>
    </row>
    <row r="108" ht="75" customHeight="1">
      <c r="A108" s="20" t="s">
        <v>874</v>
      </c>
      <c r="B108" s="20" t="n">
        <v>2023</v>
      </c>
      <c r="C108" s="20" t="n">
        <v>808</v>
      </c>
      <c r="D108" s="20" t="s">
        <v>50</v>
      </c>
      <c r="E108" s="20" t="s">
        <v>831</v>
      </c>
      <c r="F108" s="20" t="s">
        <v>875</v>
      </c>
      <c r="G108" s="20" t="s">
        <v>86</v>
      </c>
      <c r="H108" s="20" t="s">
        <v>833</v>
      </c>
      <c r="I108" s="20"/>
      <c r="J108" s="20" t="s">
        <v>876</v>
      </c>
      <c r="K108" s="20" t="s">
        <v>299</v>
      </c>
      <c r="L108" s="20" t="s">
        <v>208</v>
      </c>
      <c r="M108" s="20" t="s">
        <v>209</v>
      </c>
      <c r="N108" s="20" t="s">
        <v>210</v>
      </c>
      <c r="O108" s="20" t="s">
        <v>211</v>
      </c>
      <c r="P108" s="20" t="s">
        <v>212</v>
      </c>
      <c r="Q108" s="20" t="s">
        <v>213</v>
      </c>
      <c r="R108" s="20" t="s">
        <v>251</v>
      </c>
      <c r="S108" s="20" t="s">
        <v>252</v>
      </c>
      <c r="T108" s="20" t="s">
        <v>300</v>
      </c>
      <c r="U108" s="20" t="s">
        <v>301</v>
      </c>
      <c r="V108" s="20" t="s">
        <v>67</v>
      </c>
      <c r="W108" s="20" t="s">
        <v>68</v>
      </c>
      <c r="X108" s="20" t="s">
        <v>69</v>
      </c>
      <c r="Y108" s="20" t="s">
        <v>70</v>
      </c>
      <c r="Z108" s="20" t="s">
        <v>177</v>
      </c>
      <c r="AA108" s="20" t="s">
        <v>877</v>
      </c>
      <c r="AB108" s="20" t="s">
        <v>878</v>
      </c>
      <c r="AC108" s="20" t="s">
        <v>878</v>
      </c>
      <c r="AD108" s="20" t="s">
        <v>878</v>
      </c>
      <c r="AE108" s="20"/>
      <c r="AF108" s="9" t="n">
        <v>0</v>
      </c>
      <c r="AG108" s="12" t="n">
        <v>0</v>
      </c>
      <c r="AH108" s="22" t="s">
        <v>464</v>
      </c>
      <c r="AI108" s="12" t="str">
        <f>IF(AH108="","",IFERROR(RIGHT("0000"&amp;AH108,4)&amp;" - "&amp;UPPER(_xlfn.XLOOKUP(RIGHT("0000"&amp;AH108,4),CODEBOOK_CAP!$C$2:$C$212,CODEBOOK_CAP!$D$2:$D$212)),"Código CAP não encontrado"))</f>
        <v>2101 - PARQUES PÚBLICOS E RESERVAS DE PRESERVAÇÃO</v>
      </c>
      <c r="AJ108" s="12" t="str">
        <f>IF(AH108="","",IFERROR(_xlfn.XLOOKUP(RIGHT("0000"&amp;AH108,4),CODEBOOK_CAP!$C$2:$C$212,CODEBOOK_CAP!$E$2:$E$212),"Código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108" s="22" t="s">
        <v>79</v>
      </c>
      <c r="AL108" s="26" t="s">
        <v>879</v>
      </c>
      <c r="AM108" s="22" t="s">
        <v>79</v>
      </c>
      <c r="AN108" s="22" t="s">
        <v>79</v>
      </c>
      <c r="AO108" s="12" t="s">
        <v>879</v>
      </c>
      <c r="AP108" s="22" t="s">
        <v>77</v>
      </c>
      <c r="AQ108" s="12"/>
      <c r="AR108" s="22" t="s">
        <v>77</v>
      </c>
      <c r="AS108" s="10"/>
      <c r="AT108" s="2" t="s">
        <v>82</v>
      </c>
      <c r="AU108" s="12" t="s">
        <v>83</v>
      </c>
      <c r="AV108" s="3" t="n">
        <v>46214</v>
      </c>
      <c r="AW108" s="21"/>
      <c r="AY108" s="1"/>
      <c r="BA108" s="1"/>
      <c r="BB108" s="1"/>
    </row>
    <row r="109" ht="75" customHeight="1">
      <c r="A109" s="20" t="s">
        <v>880</v>
      </c>
      <c r="B109" s="20" t="n">
        <v>2023</v>
      </c>
      <c r="C109" s="20" t="n">
        <v>809</v>
      </c>
      <c r="D109" s="20" t="s">
        <v>50</v>
      </c>
      <c r="E109" s="20" t="s">
        <v>831</v>
      </c>
      <c r="F109" s="20" t="s">
        <v>881</v>
      </c>
      <c r="G109" s="20" t="s">
        <v>86</v>
      </c>
      <c r="H109" s="20" t="s">
        <v>833</v>
      </c>
      <c r="I109" s="20"/>
      <c r="J109" s="20" t="s">
        <v>882</v>
      </c>
      <c r="K109" s="20" t="s">
        <v>299</v>
      </c>
      <c r="L109" s="20" t="s">
        <v>208</v>
      </c>
      <c r="M109" s="20" t="s">
        <v>209</v>
      </c>
      <c r="N109" s="20" t="s">
        <v>210</v>
      </c>
      <c r="O109" s="20" t="s">
        <v>211</v>
      </c>
      <c r="P109" s="20" t="s">
        <v>212</v>
      </c>
      <c r="Q109" s="20" t="s">
        <v>213</v>
      </c>
      <c r="R109" s="20" t="s">
        <v>251</v>
      </c>
      <c r="S109" s="20" t="s">
        <v>252</v>
      </c>
      <c r="T109" s="20" t="s">
        <v>300</v>
      </c>
      <c r="U109" s="20" t="s">
        <v>301</v>
      </c>
      <c r="V109" s="20" t="s">
        <v>67</v>
      </c>
      <c r="W109" s="20" t="s">
        <v>68</v>
      </c>
      <c r="X109" s="20" t="s">
        <v>69</v>
      </c>
      <c r="Y109" s="20" t="s">
        <v>70</v>
      </c>
      <c r="Z109" s="20" t="s">
        <v>177</v>
      </c>
      <c r="AA109" s="20" t="s">
        <v>125</v>
      </c>
      <c r="AB109" s="20" t="s">
        <v>883</v>
      </c>
      <c r="AC109" s="20" t="s">
        <v>883</v>
      </c>
      <c r="AD109" s="20" t="s">
        <v>883</v>
      </c>
      <c r="AE109" s="20"/>
      <c r="AF109" s="9" t="n">
        <v>0</v>
      </c>
      <c r="AG109" s="12" t="n">
        <v>0</v>
      </c>
      <c r="AH109" s="22" t="s">
        <v>304</v>
      </c>
      <c r="AI109" s="12" t="str">
        <f>IF(AH109="","",IFERROR(RIGHT("0000"&amp;AH109,4)&amp;" - "&amp;UPPER(_xlfn.XLOOKUP(RIGHT("0000"&amp;AH109,4),CODEBOOK_CAP!$C$2:$C$212,CODEBOOK_CAP!$D$2:$D$212)),"Código CAP não encontrado"))</f>
        <v>1403 - REABILITAÇÃO URBANA, ECONOMIA URBANA</v>
      </c>
      <c r="AJ109" s="12" t="str">
        <f>IF(AH109="","",IFERROR(_xlfn.XLOOKUP(RIGHT("0000"&amp;AH109,4),CODEBOOK_CAP!$C$2:$C$212,CODEBOOK_CAP!$E$2:$E$212),"Código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09" s="22" t="s">
        <v>79</v>
      </c>
      <c r="AL109" s="26" t="s">
        <v>884</v>
      </c>
      <c r="AM109" s="22" t="s">
        <v>79</v>
      </c>
      <c r="AN109" s="22" t="s">
        <v>79</v>
      </c>
      <c r="AO109" s="12" t="s">
        <v>884</v>
      </c>
      <c r="AP109" s="22" t="s">
        <v>77</v>
      </c>
      <c r="AQ109" s="12"/>
      <c r="AR109" s="22" t="s">
        <v>77</v>
      </c>
      <c r="AS109" s="10"/>
      <c r="AT109" s="2" t="s">
        <v>82</v>
      </c>
      <c r="AU109" s="12" t="s">
        <v>83</v>
      </c>
      <c r="AV109" s="3" t="n">
        <v>46214</v>
      </c>
      <c r="AW109" s="21"/>
      <c r="AY109" s="1"/>
      <c r="BA109" s="1"/>
      <c r="BB109" s="1"/>
    </row>
    <row r="110" ht="75" customHeight="1">
      <c r="A110" s="20" t="s">
        <v>885</v>
      </c>
      <c r="B110" s="20" t="n">
        <v>2023</v>
      </c>
      <c r="C110" s="20" t="n">
        <v>810</v>
      </c>
      <c r="D110" s="20" t="s">
        <v>50</v>
      </c>
      <c r="E110" s="20" t="s">
        <v>831</v>
      </c>
      <c r="F110" s="20" t="s">
        <v>886</v>
      </c>
      <c r="G110" s="20" t="s">
        <v>86</v>
      </c>
      <c r="H110" s="20" t="s">
        <v>833</v>
      </c>
      <c r="I110" s="20"/>
      <c r="J110" s="20" t="s">
        <v>887</v>
      </c>
      <c r="K110" s="20" t="s">
        <v>299</v>
      </c>
      <c r="L110" s="20" t="s">
        <v>208</v>
      </c>
      <c r="M110" s="20" t="s">
        <v>209</v>
      </c>
      <c r="N110" s="20" t="s">
        <v>210</v>
      </c>
      <c r="O110" s="20" t="s">
        <v>211</v>
      </c>
      <c r="P110" s="20" t="s">
        <v>212</v>
      </c>
      <c r="Q110" s="20" t="s">
        <v>213</v>
      </c>
      <c r="R110" s="20" t="s">
        <v>251</v>
      </c>
      <c r="S110" s="20" t="s">
        <v>252</v>
      </c>
      <c r="T110" s="20" t="s">
        <v>300</v>
      </c>
      <c r="U110" s="20" t="s">
        <v>301</v>
      </c>
      <c r="V110" s="20" t="s">
        <v>67</v>
      </c>
      <c r="W110" s="20" t="s">
        <v>68</v>
      </c>
      <c r="X110" s="20" t="s">
        <v>69</v>
      </c>
      <c r="Y110" s="20" t="s">
        <v>70</v>
      </c>
      <c r="Z110" s="20" t="s">
        <v>177</v>
      </c>
      <c r="AA110" s="20" t="s">
        <v>888</v>
      </c>
      <c r="AB110" s="20" t="s">
        <v>686</v>
      </c>
      <c r="AC110" s="20" t="s">
        <v>686</v>
      </c>
      <c r="AD110" s="20" t="s">
        <v>686</v>
      </c>
      <c r="AE110" s="20"/>
      <c r="AF110" s="9" t="n">
        <v>0</v>
      </c>
      <c r="AG110" s="12" t="n">
        <v>0</v>
      </c>
      <c r="AH110" s="22" t="s">
        <v>304</v>
      </c>
      <c r="AI110" s="12" t="str">
        <f>IF(AH110="","",IFERROR(RIGHT("0000"&amp;AH110,4)&amp;" - "&amp;UPPER(_xlfn.XLOOKUP(RIGHT("0000"&amp;AH110,4),CODEBOOK_CAP!$C$2:$C$212,CODEBOOK_CAP!$D$2:$D$212)),"Código CAP não encontrado"))</f>
        <v>1403 - REABILITAÇÃO URBANA, ECONOMIA URBANA</v>
      </c>
      <c r="AJ110" s="12" t="str">
        <f>IF(AH110="","",IFERROR(_xlfn.XLOOKUP(RIGHT("0000"&amp;AH110,4),CODEBOOK_CAP!$C$2:$C$212,CODEBOOK_CAP!$E$2:$E$212),"Código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10" s="22" t="s">
        <v>77</v>
      </c>
      <c r="AL110" s="26"/>
      <c r="AM110" s="22" t="s">
        <v>77</v>
      </c>
      <c r="AN110" s="22" t="s">
        <v>77</v>
      </c>
      <c r="AO110" s="12"/>
      <c r="AP110" s="22" t="s">
        <v>77</v>
      </c>
      <c r="AQ110" s="12"/>
      <c r="AR110" s="22" t="s">
        <v>77</v>
      </c>
      <c r="AS110" s="10"/>
      <c r="AT110" s="2" t="s">
        <v>82</v>
      </c>
      <c r="AU110" s="12" t="s">
        <v>83</v>
      </c>
      <c r="AV110" s="3" t="n">
        <v>46214</v>
      </c>
      <c r="AW110" s="21"/>
      <c r="AY110" s="1"/>
      <c r="BA110" s="1"/>
      <c r="BB110" s="1"/>
    </row>
    <row r="111" ht="210" customHeight="1">
      <c r="A111" s="20" t="s">
        <v>889</v>
      </c>
      <c r="B111" s="20" t="n">
        <v>2023</v>
      </c>
      <c r="C111" s="20" t="n">
        <v>811</v>
      </c>
      <c r="D111" s="20" t="s">
        <v>50</v>
      </c>
      <c r="E111" s="20" t="s">
        <v>831</v>
      </c>
      <c r="F111" s="20" t="s">
        <v>890</v>
      </c>
      <c r="G111" s="20" t="s">
        <v>86</v>
      </c>
      <c r="H111" s="20" t="s">
        <v>833</v>
      </c>
      <c r="I111" s="20"/>
      <c r="J111" s="20" t="s">
        <v>891</v>
      </c>
      <c r="K111" s="20" t="s">
        <v>892</v>
      </c>
      <c r="L111" s="20" t="s">
        <v>785</v>
      </c>
      <c r="M111" s="20" t="s">
        <v>786</v>
      </c>
      <c r="N111" s="20" t="s">
        <v>787</v>
      </c>
      <c r="O111" s="20" t="s">
        <v>788</v>
      </c>
      <c r="P111" s="20" t="s">
        <v>517</v>
      </c>
      <c r="Q111" s="20" t="s">
        <v>893</v>
      </c>
      <c r="R111" s="20" t="s">
        <v>894</v>
      </c>
      <c r="S111" s="20" t="s">
        <v>895</v>
      </c>
      <c r="T111" s="20" t="s">
        <v>896</v>
      </c>
      <c r="U111" s="20" t="s">
        <v>897</v>
      </c>
      <c r="V111" s="20" t="s">
        <v>196</v>
      </c>
      <c r="W111" s="20" t="s">
        <v>68</v>
      </c>
      <c r="X111" s="20" t="s">
        <v>69</v>
      </c>
      <c r="Y111" s="20" t="s">
        <v>70</v>
      </c>
      <c r="Z111" s="20" t="s">
        <v>794</v>
      </c>
      <c r="AA111" s="20" t="s">
        <v>343</v>
      </c>
      <c r="AB111" s="20" t="s">
        <v>898</v>
      </c>
      <c r="AC111" s="20" t="s">
        <v>898</v>
      </c>
      <c r="AD111" s="20" t="s">
        <v>898</v>
      </c>
      <c r="AE111" s="20"/>
      <c r="AF111" s="9" t="n">
        <v>0</v>
      </c>
      <c r="AG111" s="12" t="n">
        <v>0</v>
      </c>
      <c r="AH111" s="22" t="s">
        <v>899</v>
      </c>
      <c r="AI111" s="12" t="str">
        <f>IF(AH111="","",IFERROR(RIGHT("0000"&amp;AH111,4)&amp;" - "&amp;UPPER(_xlfn.XLOOKUP(RIGHT("0000"&amp;AH111,4),CODEBOOK_CAP!$C$2:$C$212,CODEBOOK_CAP!$D$2:$D$212)),"Código CAP não encontrado"))</f>
        <v>0602 - ENSINO BÁSICO, FUNDAMENTAL E MÉDIO</v>
      </c>
      <c r="AJ111" s="12" t="str">
        <f>IF(AH111="","",IFERROR(_xlfn.XLOOKUP(RIGHT("0000"&amp;AH111,4),CODEBOOK_CAP!$C$2:$C$212,CODEBOOK_CAP!$E$2:$E$212),"Código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11" s="22" t="s">
        <v>77</v>
      </c>
      <c r="AL111" s="26"/>
      <c r="AM111" s="22" t="s">
        <v>79</v>
      </c>
      <c r="AN111" s="22" t="s">
        <v>79</v>
      </c>
      <c r="AO111" s="12" t="s">
        <v>900</v>
      </c>
      <c r="AP111" s="22" t="s">
        <v>79</v>
      </c>
      <c r="AQ111" s="12" t="s">
        <v>901</v>
      </c>
      <c r="AR111" s="22" t="s">
        <v>77</v>
      </c>
      <c r="AS111" s="10"/>
      <c r="AT111" s="2" t="s">
        <v>82</v>
      </c>
      <c r="AU111" s="12" t="s">
        <v>83</v>
      </c>
      <c r="AV111" s="3" t="n">
        <v>46214</v>
      </c>
      <c r="AW111" s="21"/>
      <c r="AY111" s="1"/>
      <c r="BA111" s="1"/>
      <c r="BB111" s="1"/>
    </row>
    <row r="112" ht="210" customHeight="1">
      <c r="A112" s="20" t="s">
        <v>902</v>
      </c>
      <c r="B112" s="20" t="n">
        <v>2023</v>
      </c>
      <c r="C112" s="20" t="n">
        <v>812</v>
      </c>
      <c r="D112" s="20" t="s">
        <v>50</v>
      </c>
      <c r="E112" s="20" t="s">
        <v>831</v>
      </c>
      <c r="F112" s="20" t="s">
        <v>903</v>
      </c>
      <c r="G112" s="20" t="s">
        <v>86</v>
      </c>
      <c r="H112" s="20" t="s">
        <v>833</v>
      </c>
      <c r="I112" s="20"/>
      <c r="J112" s="20" t="s">
        <v>904</v>
      </c>
      <c r="K112" s="20" t="s">
        <v>892</v>
      </c>
      <c r="L112" s="20" t="s">
        <v>785</v>
      </c>
      <c r="M112" s="20" t="s">
        <v>786</v>
      </c>
      <c r="N112" s="20" t="s">
        <v>787</v>
      </c>
      <c r="O112" s="20" t="s">
        <v>788</v>
      </c>
      <c r="P112" s="20" t="s">
        <v>517</v>
      </c>
      <c r="Q112" s="20" t="s">
        <v>893</v>
      </c>
      <c r="R112" s="20" t="s">
        <v>894</v>
      </c>
      <c r="S112" s="20" t="s">
        <v>895</v>
      </c>
      <c r="T112" s="20" t="s">
        <v>896</v>
      </c>
      <c r="U112" s="20" t="s">
        <v>897</v>
      </c>
      <c r="V112" s="20" t="s">
        <v>196</v>
      </c>
      <c r="W112" s="20" t="s">
        <v>68</v>
      </c>
      <c r="X112" s="20" t="s">
        <v>69</v>
      </c>
      <c r="Y112" s="20" t="s">
        <v>70</v>
      </c>
      <c r="Z112" s="20" t="s">
        <v>794</v>
      </c>
      <c r="AA112" s="20" t="s">
        <v>125</v>
      </c>
      <c r="AB112" s="20" t="s">
        <v>905</v>
      </c>
      <c r="AC112" s="20" t="s">
        <v>905</v>
      </c>
      <c r="AD112" s="20" t="s">
        <v>905</v>
      </c>
      <c r="AE112" s="20"/>
      <c r="AF112" s="9" t="n">
        <v>0</v>
      </c>
      <c r="AG112" s="12" t="n">
        <v>0</v>
      </c>
      <c r="AH112" s="22" t="s">
        <v>899</v>
      </c>
      <c r="AI112" s="12" t="str">
        <f>IF(AH112="","",IFERROR(RIGHT("0000"&amp;AH112,4)&amp;" - "&amp;UPPER(_xlfn.XLOOKUP(RIGHT("0000"&amp;AH112,4),CODEBOOK_CAP!$C$2:$C$212,CODEBOOK_CAP!$D$2:$D$212)),"Código CAP não encontrado"))</f>
        <v>0602 - ENSINO BÁSICO, FUNDAMENTAL E MÉDIO</v>
      </c>
      <c r="AJ112" s="12" t="str">
        <f>IF(AH112="","",IFERROR(_xlfn.XLOOKUP(RIGHT("0000"&amp;AH112,4),CODEBOOK_CAP!$C$2:$C$212,CODEBOOK_CAP!$E$2:$E$212),"Código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12" s="22" t="s">
        <v>77</v>
      </c>
      <c r="AL112" s="26"/>
      <c r="AM112" s="22" t="s">
        <v>79</v>
      </c>
      <c r="AN112" s="22" t="s">
        <v>79</v>
      </c>
      <c r="AO112" s="12" t="s">
        <v>906</v>
      </c>
      <c r="AP112" s="22" t="s">
        <v>79</v>
      </c>
      <c r="AQ112" s="12" t="s">
        <v>901</v>
      </c>
      <c r="AR112" s="22" t="s">
        <v>77</v>
      </c>
      <c r="AS112" s="10"/>
      <c r="AT112" s="2" t="s">
        <v>82</v>
      </c>
      <c r="AU112" s="12" t="s">
        <v>83</v>
      </c>
      <c r="AV112" s="3" t="n">
        <v>46214</v>
      </c>
      <c r="AW112" s="21"/>
      <c r="AY112" s="1"/>
      <c r="BA112" s="1"/>
      <c r="BB112" s="1"/>
    </row>
    <row r="113" ht="210" customHeight="1">
      <c r="A113" s="20" t="s">
        <v>907</v>
      </c>
      <c r="B113" s="20" t="n">
        <v>2023</v>
      </c>
      <c r="C113" s="20" t="n">
        <v>813</v>
      </c>
      <c r="D113" s="20" t="s">
        <v>50</v>
      </c>
      <c r="E113" s="20" t="s">
        <v>831</v>
      </c>
      <c r="F113" s="20" t="s">
        <v>908</v>
      </c>
      <c r="G113" s="20" t="s">
        <v>86</v>
      </c>
      <c r="H113" s="20" t="s">
        <v>833</v>
      </c>
      <c r="I113" s="20"/>
      <c r="J113" s="20" t="s">
        <v>909</v>
      </c>
      <c r="K113" s="20" t="s">
        <v>892</v>
      </c>
      <c r="L113" s="20" t="s">
        <v>785</v>
      </c>
      <c r="M113" s="20" t="s">
        <v>786</v>
      </c>
      <c r="N113" s="20" t="s">
        <v>787</v>
      </c>
      <c r="O113" s="20" t="s">
        <v>788</v>
      </c>
      <c r="P113" s="20" t="s">
        <v>517</v>
      </c>
      <c r="Q113" s="20" t="s">
        <v>893</v>
      </c>
      <c r="R113" s="20" t="s">
        <v>894</v>
      </c>
      <c r="S113" s="20" t="s">
        <v>895</v>
      </c>
      <c r="T113" s="20" t="s">
        <v>896</v>
      </c>
      <c r="U113" s="20" t="s">
        <v>897</v>
      </c>
      <c r="V113" s="20" t="s">
        <v>196</v>
      </c>
      <c r="W113" s="20" t="s">
        <v>68</v>
      </c>
      <c r="X113" s="20" t="s">
        <v>69</v>
      </c>
      <c r="Y113" s="20" t="s">
        <v>70</v>
      </c>
      <c r="Z113" s="20" t="s">
        <v>794</v>
      </c>
      <c r="AA113" s="20" t="s">
        <v>125</v>
      </c>
      <c r="AB113" s="20" t="s">
        <v>910</v>
      </c>
      <c r="AC113" s="20" t="s">
        <v>910</v>
      </c>
      <c r="AD113" s="20" t="s">
        <v>910</v>
      </c>
      <c r="AE113" s="20"/>
      <c r="AF113" s="9" t="n">
        <v>0</v>
      </c>
      <c r="AG113" s="12" t="n">
        <v>0</v>
      </c>
      <c r="AH113" s="22" t="s">
        <v>899</v>
      </c>
      <c r="AI113" s="12" t="str">
        <f>IF(AH113="","",IFERROR(RIGHT("0000"&amp;AH113,4)&amp;" - "&amp;UPPER(_xlfn.XLOOKUP(RIGHT("0000"&amp;AH113,4),CODEBOOK_CAP!$C$2:$C$212,CODEBOOK_CAP!$D$2:$D$212)),"Código CAP não encontrado"))</f>
        <v>0602 - ENSINO BÁSICO, FUNDAMENTAL E MÉDIO</v>
      </c>
      <c r="AJ113" s="12" t="str">
        <f>IF(AH113="","",IFERROR(_xlfn.XLOOKUP(RIGHT("0000"&amp;AH113,4),CODEBOOK_CAP!$C$2:$C$212,CODEBOOK_CAP!$E$2:$E$212),"Código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13" s="22" t="s">
        <v>77</v>
      </c>
      <c r="AL113" s="26"/>
      <c r="AM113" s="22" t="s">
        <v>79</v>
      </c>
      <c r="AN113" s="22" t="s">
        <v>79</v>
      </c>
      <c r="AO113" s="12" t="s">
        <v>911</v>
      </c>
      <c r="AP113" s="22" t="s">
        <v>79</v>
      </c>
      <c r="AQ113" s="12" t="s">
        <v>901</v>
      </c>
      <c r="AR113" s="22" t="s">
        <v>77</v>
      </c>
      <c r="AS113" s="10"/>
      <c r="AT113" s="2" t="s">
        <v>82</v>
      </c>
      <c r="AU113" s="12" t="s">
        <v>83</v>
      </c>
      <c r="AV113" s="3" t="n">
        <v>46214</v>
      </c>
      <c r="AW113" s="21"/>
      <c r="AY113" s="1"/>
      <c r="BA113" s="1"/>
      <c r="BB113" s="1"/>
    </row>
    <row r="114">
      <c r="A114" s="14" t="s">
        <v>912</v>
      </c>
      <c r="B114" s="14" t="n">
        <v>2023</v>
      </c>
      <c r="C114" s="14" t="n">
        <v>814</v>
      </c>
      <c r="D114" s="14" t="s">
        <v>50</v>
      </c>
      <c r="E114" s="14" t="s">
        <v>831</v>
      </c>
      <c r="F114" s="14" t="s">
        <v>913</v>
      </c>
      <c r="G114" s="14" t="s">
        <v>633</v>
      </c>
      <c r="H114" s="14" t="s">
        <v>833</v>
      </c>
      <c r="I114" s="14"/>
      <c r="J114" s="14"/>
      <c r="K114" s="14"/>
      <c r="L114" s="14"/>
      <c r="M114" s="14"/>
      <c r="N114" s="14"/>
      <c r="O114" s="14"/>
      <c r="P114" s="14"/>
      <c r="Q114" s="14"/>
      <c r="R114" s="14"/>
      <c r="S114" s="14"/>
      <c r="T114" s="14"/>
      <c r="U114" s="14"/>
      <c r="V114" s="14"/>
      <c r="W114" s="14"/>
      <c r="X114" s="14"/>
      <c r="Y114" s="14"/>
      <c r="Z114" s="14"/>
      <c r="AA114" s="14"/>
      <c r="AB114" s="14"/>
      <c r="AC114" s="14"/>
      <c r="AD114" s="14"/>
      <c r="AE114" s="14"/>
      <c r="AF114" s="15"/>
      <c r="AG114" s="15"/>
      <c r="AH114" s="16"/>
      <c r="AI114" s="15" t="str">
        <f>IF(AH114="","",IFERROR(RIGHT("0000"&amp;AH114,4)&amp;" - "&amp;UPPER(_xlfn.XLOOKUP(RIGHT("0000"&amp;AH114,4),CODEBOOK_CAP!$C$2:$C$212,CODEBOOK_CAP!$D$2:$D$212)),"Código CAP não encontrado"))</f>
      </c>
      <c r="AJ114" s="15" t="str">
        <f>IF(AH114="","",IFERROR(_xlfn.XLOOKUP(RIGHT("0000"&amp;AH114,4),CODEBOOK_CAP!$C$2:$C$212,CODEBOOK_CAP!$E$2:$E$212),"Código CAP não encontrado"))</f>
      </c>
      <c r="AK114" s="16"/>
      <c r="AL114" s="17"/>
      <c r="AM114" s="16"/>
      <c r="AN114" s="16"/>
      <c r="AO114" s="15"/>
      <c r="AP114" s="16"/>
      <c r="AQ114" s="15"/>
      <c r="AR114" s="16"/>
      <c r="AS114" s="18"/>
      <c r="AT114" s="2" t="s">
        <v>82</v>
      </c>
      <c r="AU114" s="15"/>
      <c r="AV114" s="3" t="n">
        <v>46214</v>
      </c>
    </row>
    <row r="115" ht="75" customHeight="1">
      <c r="A115" s="20" t="s">
        <v>914</v>
      </c>
      <c r="B115" s="20" t="n">
        <v>2023</v>
      </c>
      <c r="C115" s="20" t="n">
        <v>815</v>
      </c>
      <c r="D115" s="20" t="s">
        <v>50</v>
      </c>
      <c r="E115" s="20" t="s">
        <v>831</v>
      </c>
      <c r="F115" s="20" t="s">
        <v>915</v>
      </c>
      <c r="G115" s="20" t="s">
        <v>86</v>
      </c>
      <c r="H115" s="20" t="s">
        <v>833</v>
      </c>
      <c r="I115" s="20"/>
      <c r="J115" s="20" t="s">
        <v>916</v>
      </c>
      <c r="K115" s="20" t="s">
        <v>299</v>
      </c>
      <c r="L115" s="20" t="s">
        <v>208</v>
      </c>
      <c r="M115" s="20" t="s">
        <v>209</v>
      </c>
      <c r="N115" s="20" t="s">
        <v>210</v>
      </c>
      <c r="O115" s="20" t="s">
        <v>211</v>
      </c>
      <c r="P115" s="20" t="s">
        <v>212</v>
      </c>
      <c r="Q115" s="20" t="s">
        <v>213</v>
      </c>
      <c r="R115" s="20" t="s">
        <v>251</v>
      </c>
      <c r="S115" s="20" t="s">
        <v>252</v>
      </c>
      <c r="T115" s="20" t="s">
        <v>300</v>
      </c>
      <c r="U115" s="20" t="s">
        <v>301</v>
      </c>
      <c r="V115" s="20" t="s">
        <v>67</v>
      </c>
      <c r="W115" s="20" t="s">
        <v>68</v>
      </c>
      <c r="X115" s="20" t="s">
        <v>69</v>
      </c>
      <c r="Y115" s="20" t="s">
        <v>70</v>
      </c>
      <c r="Z115" s="20" t="s">
        <v>177</v>
      </c>
      <c r="AA115" s="20" t="s">
        <v>125</v>
      </c>
      <c r="AB115" s="20" t="s">
        <v>917</v>
      </c>
      <c r="AC115" s="20" t="s">
        <v>917</v>
      </c>
      <c r="AD115" s="20" t="s">
        <v>917</v>
      </c>
      <c r="AE115" s="20"/>
      <c r="AF115" s="9" t="n">
        <v>0</v>
      </c>
      <c r="AG115" s="12" t="n">
        <v>0</v>
      </c>
      <c r="AH115" s="22" t="s">
        <v>304</v>
      </c>
      <c r="AI115" s="12" t="str">
        <f>IF(AH115="","",IFERROR(RIGHT("0000"&amp;AH115,4)&amp;" - "&amp;UPPER(_xlfn.XLOOKUP(RIGHT("0000"&amp;AH115,4),CODEBOOK_CAP!$C$2:$C$212,CODEBOOK_CAP!$D$2:$D$212)),"Código CAP não encontrado"))</f>
        <v>1403 - REABILITAÇÃO URBANA, ECONOMIA URBANA</v>
      </c>
      <c r="AJ115" s="12" t="str">
        <f>IF(AH115="","",IFERROR(_xlfn.XLOOKUP(RIGHT("0000"&amp;AH115,4),CODEBOOK_CAP!$C$2:$C$212,CODEBOOK_CAP!$E$2:$E$212),"Código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15" s="22" t="s">
        <v>79</v>
      </c>
      <c r="AL115" s="26" t="s">
        <v>918</v>
      </c>
      <c r="AM115" s="22" t="s">
        <v>79</v>
      </c>
      <c r="AN115" s="22" t="s">
        <v>79</v>
      </c>
      <c r="AO115" s="12" t="s">
        <v>918</v>
      </c>
      <c r="AP115" s="22" t="s">
        <v>77</v>
      </c>
      <c r="AQ115" s="12"/>
      <c r="AR115" s="22" t="s">
        <v>77</v>
      </c>
      <c r="AS115" s="10"/>
      <c r="AT115" s="2" t="s">
        <v>82</v>
      </c>
      <c r="AU115" s="12" t="s">
        <v>83</v>
      </c>
      <c r="AV115" s="3" t="n">
        <v>46214</v>
      </c>
      <c r="AW115" s="21"/>
      <c r="AY115" s="1"/>
      <c r="BA115" s="1"/>
      <c r="BB115" s="1"/>
    </row>
    <row r="116" ht="75" customHeight="1">
      <c r="A116" s="20" t="s">
        <v>919</v>
      </c>
      <c r="B116" s="20" t="n">
        <v>2023</v>
      </c>
      <c r="C116" s="20" t="n">
        <v>816</v>
      </c>
      <c r="D116" s="20" t="s">
        <v>50</v>
      </c>
      <c r="E116" s="20" t="s">
        <v>831</v>
      </c>
      <c r="F116" s="20" t="s">
        <v>920</v>
      </c>
      <c r="G116" s="20" t="s">
        <v>53</v>
      </c>
      <c r="H116" s="20" t="s">
        <v>833</v>
      </c>
      <c r="I116" s="20"/>
      <c r="J116" s="20" t="s">
        <v>921</v>
      </c>
      <c r="K116" s="20" t="s">
        <v>299</v>
      </c>
      <c r="L116" s="20" t="s">
        <v>208</v>
      </c>
      <c r="M116" s="20" t="s">
        <v>209</v>
      </c>
      <c r="N116" s="20" t="s">
        <v>210</v>
      </c>
      <c r="O116" s="20" t="s">
        <v>211</v>
      </c>
      <c r="P116" s="20" t="s">
        <v>212</v>
      </c>
      <c r="Q116" s="20" t="s">
        <v>213</v>
      </c>
      <c r="R116" s="20" t="s">
        <v>251</v>
      </c>
      <c r="S116" s="20" t="s">
        <v>252</v>
      </c>
      <c r="T116" s="20" t="s">
        <v>300</v>
      </c>
      <c r="U116" s="20" t="s">
        <v>301</v>
      </c>
      <c r="V116" s="20" t="s">
        <v>67</v>
      </c>
      <c r="W116" s="20" t="s">
        <v>68</v>
      </c>
      <c r="X116" s="20" t="s">
        <v>69</v>
      </c>
      <c r="Y116" s="20" t="s">
        <v>70</v>
      </c>
      <c r="Z116" s="20" t="s">
        <v>177</v>
      </c>
      <c r="AA116" s="20" t="s">
        <v>125</v>
      </c>
      <c r="AB116" s="20" t="s">
        <v>77</v>
      </c>
      <c r="AC116" s="20" t="s">
        <v>77</v>
      </c>
      <c r="AD116" s="20" t="s">
        <v>77</v>
      </c>
      <c r="AE116" s="20"/>
      <c r="AF116" s="9" t="n">
        <v>0</v>
      </c>
      <c r="AG116" s="12" t="n">
        <v>0</v>
      </c>
      <c r="AH116" s="22" t="s">
        <v>304</v>
      </c>
      <c r="AI116" s="12" t="str">
        <f>IF(AH116="","",IFERROR(RIGHT("0000"&amp;AH116,4)&amp;" - "&amp;UPPER(_xlfn.XLOOKUP(RIGHT("0000"&amp;AH116,4),CODEBOOK_CAP!$C$2:$C$212,CODEBOOK_CAP!$D$2:$D$212)),"Código CAP não encontrado"))</f>
        <v>1403 - REABILITAÇÃO URBANA, ECONOMIA URBANA</v>
      </c>
      <c r="AJ116" s="12" t="str">
        <f>IF(AH116="","",IFERROR(_xlfn.XLOOKUP(RIGHT("0000"&amp;AH116,4),CODEBOOK_CAP!$C$2:$C$212,CODEBOOK_CAP!$E$2:$E$212),"Código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16" s="22" t="s">
        <v>79</v>
      </c>
      <c r="AL116" s="26" t="s">
        <v>922</v>
      </c>
      <c r="AM116" s="22" t="s">
        <v>79</v>
      </c>
      <c r="AN116" s="22" t="s">
        <v>79</v>
      </c>
      <c r="AO116" s="12" t="s">
        <v>922</v>
      </c>
      <c r="AP116" s="22" t="s">
        <v>77</v>
      </c>
      <c r="AQ116" s="12"/>
      <c r="AR116" s="22" t="s">
        <v>77</v>
      </c>
      <c r="AS116" s="10"/>
      <c r="AT116" s="2" t="s">
        <v>82</v>
      </c>
      <c r="AU116" s="12" t="s">
        <v>83</v>
      </c>
      <c r="AV116" s="3" t="n">
        <v>46214</v>
      </c>
      <c r="AW116" s="21"/>
      <c r="AY116" s="1"/>
      <c r="BA116" s="1"/>
      <c r="BB116" s="1"/>
    </row>
    <row r="117" ht="255" customHeight="1">
      <c r="A117" s="20" t="s">
        <v>923</v>
      </c>
      <c r="B117" s="20" t="n">
        <v>2023</v>
      </c>
      <c r="C117" s="20" t="n">
        <v>817</v>
      </c>
      <c r="D117" s="20" t="s">
        <v>50</v>
      </c>
      <c r="E117" s="20" t="s">
        <v>831</v>
      </c>
      <c r="F117" s="20" t="s">
        <v>924</v>
      </c>
      <c r="G117" s="20" t="s">
        <v>86</v>
      </c>
      <c r="H117" s="20" t="s">
        <v>833</v>
      </c>
      <c r="I117" s="20"/>
      <c r="J117" s="20" t="s">
        <v>925</v>
      </c>
      <c r="K117" s="20" t="s">
        <v>207</v>
      </c>
      <c r="L117" s="20" t="s">
        <v>208</v>
      </c>
      <c r="M117" s="20" t="s">
        <v>209</v>
      </c>
      <c r="N117" s="20" t="s">
        <v>210</v>
      </c>
      <c r="O117" s="20" t="s">
        <v>211</v>
      </c>
      <c r="P117" s="20" t="s">
        <v>212</v>
      </c>
      <c r="Q117" s="20" t="s">
        <v>213</v>
      </c>
      <c r="R117" s="20" t="s">
        <v>214</v>
      </c>
      <c r="S117" s="20" t="s">
        <v>215</v>
      </c>
      <c r="T117" s="20" t="s">
        <v>216</v>
      </c>
      <c r="U117" s="20" t="s">
        <v>217</v>
      </c>
      <c r="V117" s="20" t="s">
        <v>67</v>
      </c>
      <c r="W117" s="20" t="s">
        <v>68</v>
      </c>
      <c r="X117" s="20" t="s">
        <v>69</v>
      </c>
      <c r="Y117" s="20" t="s">
        <v>70</v>
      </c>
      <c r="Z117" s="20" t="s">
        <v>177</v>
      </c>
      <c r="AA117" s="20" t="s">
        <v>160</v>
      </c>
      <c r="AB117" s="20" t="s">
        <v>926</v>
      </c>
      <c r="AC117" s="20" t="s">
        <v>926</v>
      </c>
      <c r="AD117" s="20" t="s">
        <v>926</v>
      </c>
      <c r="AE117" s="20" t="s">
        <v>927</v>
      </c>
      <c r="AF117" s="9" t="n">
        <v>0</v>
      </c>
      <c r="AG117" s="12" t="n">
        <v>0</v>
      </c>
      <c r="AH117" s="22" t="s">
        <v>219</v>
      </c>
      <c r="AI117" s="12" t="str">
        <f>IF(AH117="","",IFERROR(RIGHT("0000"&amp;AH117,4)&amp;" - "&amp;UPPER(_xlfn.XLOOKUP(RIGHT("0000"&amp;AH117,4),CODEBOOK_CAP!$C$2:$C$212,CODEBOOK_CAP!$D$2:$D$212)),"Código CAP não encontrado"))</f>
        <v>1002 - CARROS, TRÂNSITO, CONSTRUÇÃO E MANUTENÇÃO DE RUAS E ESTRADAS</v>
      </c>
      <c r="AJ117" s="12" t="str">
        <f>IF(AH117="","",IFERROR(_xlfn.XLOOKUP(RIGHT("0000"&amp;AH117,4),CODEBOOK_CAP!$C$2:$C$212,CODEBOOK_CAP!$E$2:$E$212),"Código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17" s="22" t="s">
        <v>79</v>
      </c>
      <c r="AL117" s="26" t="s">
        <v>928</v>
      </c>
      <c r="AM117" s="22" t="s">
        <v>79</v>
      </c>
      <c r="AN117" s="22" t="s">
        <v>79</v>
      </c>
      <c r="AO117" s="12" t="s">
        <v>928</v>
      </c>
      <c r="AP117" s="22" t="s">
        <v>77</v>
      </c>
      <c r="AQ117" s="12"/>
      <c r="AR117" s="22" t="s">
        <v>79</v>
      </c>
      <c r="AS117" s="22" t="s">
        <v>927</v>
      </c>
      <c r="AT117" s="2" t="s">
        <v>82</v>
      </c>
      <c r="AU117" s="12" t="s">
        <v>83</v>
      </c>
      <c r="AV117" s="3" t="n">
        <v>46214</v>
      </c>
      <c r="AW117" s="21"/>
      <c r="AY117" s="1"/>
      <c r="BA117" s="1"/>
      <c r="BB117" s="1"/>
    </row>
    <row r="118" ht="210" customHeight="1">
      <c r="A118" s="20" t="s">
        <v>929</v>
      </c>
      <c r="B118" s="20" t="n">
        <v>2023</v>
      </c>
      <c r="C118" s="20" t="n">
        <v>818</v>
      </c>
      <c r="D118" s="20" t="s">
        <v>50</v>
      </c>
      <c r="E118" s="20" t="s">
        <v>831</v>
      </c>
      <c r="F118" s="20" t="s">
        <v>930</v>
      </c>
      <c r="G118" s="20" t="s">
        <v>315</v>
      </c>
      <c r="H118" s="20" t="s">
        <v>833</v>
      </c>
      <c r="I118" s="20"/>
      <c r="J118" s="20" t="s">
        <v>931</v>
      </c>
      <c r="K118" s="20" t="s">
        <v>273</v>
      </c>
      <c r="L118" s="20" t="s">
        <v>274</v>
      </c>
      <c r="M118" s="20" t="s">
        <v>275</v>
      </c>
      <c r="N118" s="20" t="s">
        <v>276</v>
      </c>
      <c r="O118" s="20" t="s">
        <v>277</v>
      </c>
      <c r="P118" s="20" t="s">
        <v>278</v>
      </c>
      <c r="Q118" s="20" t="s">
        <v>279</v>
      </c>
      <c r="R118" s="20" t="s">
        <v>280</v>
      </c>
      <c r="S118" s="20" t="s">
        <v>281</v>
      </c>
      <c r="T118" s="20" t="s">
        <v>282</v>
      </c>
      <c r="U118" s="20" t="s">
        <v>283</v>
      </c>
      <c r="V118" s="20" t="s">
        <v>95</v>
      </c>
      <c r="W118" s="20" t="s">
        <v>96</v>
      </c>
      <c r="X118" s="20" t="s">
        <v>97</v>
      </c>
      <c r="Y118" s="20" t="s">
        <v>70</v>
      </c>
      <c r="Z118" s="20" t="s">
        <v>284</v>
      </c>
      <c r="AA118" s="20" t="s">
        <v>388</v>
      </c>
      <c r="AB118" s="20" t="s">
        <v>388</v>
      </c>
      <c r="AC118" s="20" t="s">
        <v>388</v>
      </c>
      <c r="AD118" s="20" t="s">
        <v>388</v>
      </c>
      <c r="AE118" s="20"/>
      <c r="AF118" s="9" t="n">
        <v>0</v>
      </c>
      <c r="AG118" s="12" t="n">
        <v>0</v>
      </c>
      <c r="AH118" s="22" t="s">
        <v>607</v>
      </c>
      <c r="AI118" s="12" t="str">
        <f>IF(AH118="","",IFERROR(RIGHT("0000"&amp;AH118,4)&amp;" - "&amp;UPPER(_xlfn.XLOOKUP(RIGHT("0000"&amp;AH118,4),CODEBOOK_CAP!$C$2:$C$212,CODEBOOK_CAP!$D$2:$D$212)),"Código CAP não encontrado"))</f>
        <v>1300 - GERAL</v>
      </c>
      <c r="AJ118" s="12" t="str">
        <f>IF(AH118="","",IFERROR(_xlfn.XLOOKUP(RIGHT("0000"&amp;AH118,4),CODEBOOK_CAP!$C$2:$C$212,CODEBOOK_CAP!$E$2:$E$212),"Código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18" s="22" t="s">
        <v>77</v>
      </c>
      <c r="AL118" s="26"/>
      <c r="AM118" s="22" t="s">
        <v>77</v>
      </c>
      <c r="AN118" s="22" t="s">
        <v>77</v>
      </c>
      <c r="AO118" s="12"/>
      <c r="AP118" s="22" t="s">
        <v>77</v>
      </c>
      <c r="AQ118" s="12"/>
      <c r="AR118" s="22" t="s">
        <v>77</v>
      </c>
      <c r="AS118" s="10"/>
      <c r="AT118" s="2" t="s">
        <v>82</v>
      </c>
      <c r="AU118" s="12" t="s">
        <v>83</v>
      </c>
      <c r="AV118" s="3" t="n">
        <v>46214</v>
      </c>
      <c r="AW118" s="21"/>
      <c r="AY118" s="1"/>
      <c r="BA118" s="1"/>
      <c r="BB118" s="1"/>
    </row>
    <row r="119" ht="120" customHeight="1">
      <c r="A119" s="20" t="s">
        <v>932</v>
      </c>
      <c r="B119" s="20" t="n">
        <v>2023</v>
      </c>
      <c r="C119" s="20" t="n">
        <v>819</v>
      </c>
      <c r="D119" s="20" t="s">
        <v>50</v>
      </c>
      <c r="E119" s="20" t="s">
        <v>831</v>
      </c>
      <c r="F119" s="20" t="s">
        <v>933</v>
      </c>
      <c r="G119" s="20" t="s">
        <v>86</v>
      </c>
      <c r="H119" s="20" t="s">
        <v>833</v>
      </c>
      <c r="I119" s="20"/>
      <c r="J119" s="20" t="s">
        <v>934</v>
      </c>
      <c r="K119" s="20" t="s">
        <v>122</v>
      </c>
      <c r="L119" s="20" t="s">
        <v>57</v>
      </c>
      <c r="M119" s="20" t="s">
        <v>58</v>
      </c>
      <c r="N119" s="20" t="s">
        <v>59</v>
      </c>
      <c r="O119" s="20" t="s">
        <v>60</v>
      </c>
      <c r="P119" s="20" t="s">
        <v>89</v>
      </c>
      <c r="Q119" s="20" t="s">
        <v>90</v>
      </c>
      <c r="R119" s="20" t="s">
        <v>91</v>
      </c>
      <c r="S119" s="20" t="s">
        <v>92</v>
      </c>
      <c r="T119" s="20" t="s">
        <v>123</v>
      </c>
      <c r="U119" s="20" t="s">
        <v>124</v>
      </c>
      <c r="V119" s="20" t="s">
        <v>95</v>
      </c>
      <c r="W119" s="20" t="s">
        <v>96</v>
      </c>
      <c r="X119" s="20" t="s">
        <v>97</v>
      </c>
      <c r="Y119" s="20" t="s">
        <v>70</v>
      </c>
      <c r="Z119" s="20" t="s">
        <v>98</v>
      </c>
      <c r="AA119" s="20" t="s">
        <v>388</v>
      </c>
      <c r="AB119" s="20" t="s">
        <v>388</v>
      </c>
      <c r="AC119" s="20" t="s">
        <v>388</v>
      </c>
      <c r="AD119" s="20" t="s">
        <v>388</v>
      </c>
      <c r="AE119" s="20"/>
      <c r="AF119" s="9" t="n">
        <v>1</v>
      </c>
      <c r="AG119" s="12" t="n">
        <v>1</v>
      </c>
      <c r="AH119" s="22" t="s">
        <v>235</v>
      </c>
      <c r="AI119" s="12" t="str">
        <f>IF(AH119="","",IFERROR(RIGHT("0000"&amp;AH119,4)&amp;" - "&amp;UPPER(_xlfn.XLOOKUP(RIGHT("0000"&amp;AH119,4),CODEBOOK_CAP!$C$2:$C$212,CODEBOOK_CAP!$D$2:$D$212)),"Código CAP não encontrado"))</f>
        <v>0322 - ESTRUTURAS, HOSPITAIS, CLÍNICAS</v>
      </c>
      <c r="AJ119" s="12" t="str">
        <f>IF(AH119="","",IFERROR(_xlfn.XLOOKUP(RIGHT("0000"&amp;AH119,4),CODEBOOK_CAP!$C$2:$C$212,CODEBOOK_CAP!$E$2:$E$212),"Código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19" s="22" t="s">
        <v>77</v>
      </c>
      <c r="AL119" s="26"/>
      <c r="AM119" s="22" t="s">
        <v>79</v>
      </c>
      <c r="AN119" s="22" t="s">
        <v>79</v>
      </c>
      <c r="AO119" s="12" t="s">
        <v>935</v>
      </c>
      <c r="AP119" s="22" t="s">
        <v>77</v>
      </c>
      <c r="AQ119" s="12"/>
      <c r="AR119" s="22" t="s">
        <v>77</v>
      </c>
      <c r="AS119" s="10"/>
      <c r="AT119" s="2" t="s">
        <v>82</v>
      </c>
      <c r="AU119" s="12" t="s">
        <v>83</v>
      </c>
      <c r="AV119" s="3" t="n">
        <v>46214</v>
      </c>
      <c r="AW119" s="21"/>
      <c r="AY119" s="1"/>
      <c r="BA119" s="1"/>
      <c r="BB119" s="1"/>
    </row>
    <row r="120" ht="90" customHeight="1">
      <c r="A120" s="20" t="s">
        <v>936</v>
      </c>
      <c r="B120" s="20" t="n">
        <v>2023</v>
      </c>
      <c r="C120" s="20" t="n">
        <v>840</v>
      </c>
      <c r="D120" s="20" t="s">
        <v>50</v>
      </c>
      <c r="E120" s="20" t="s">
        <v>937</v>
      </c>
      <c r="F120" s="20" t="s">
        <v>938</v>
      </c>
      <c r="G120" s="20" t="s">
        <v>315</v>
      </c>
      <c r="H120" s="20" t="s">
        <v>939</v>
      </c>
      <c r="I120" s="20"/>
      <c r="J120" s="20" t="s">
        <v>940</v>
      </c>
      <c r="K120" s="20" t="s">
        <v>273</v>
      </c>
      <c r="L120" s="20" t="s">
        <v>274</v>
      </c>
      <c r="M120" s="20" t="s">
        <v>275</v>
      </c>
      <c r="N120" s="20" t="s">
        <v>276</v>
      </c>
      <c r="O120" s="20" t="s">
        <v>277</v>
      </c>
      <c r="P120" s="20" t="s">
        <v>278</v>
      </c>
      <c r="Q120" s="20" t="s">
        <v>279</v>
      </c>
      <c r="R120" s="20" t="s">
        <v>280</v>
      </c>
      <c r="S120" s="20" t="s">
        <v>281</v>
      </c>
      <c r="T120" s="20" t="s">
        <v>282</v>
      </c>
      <c r="U120" s="20" t="s">
        <v>283</v>
      </c>
      <c r="V120" s="20" t="s">
        <v>95</v>
      </c>
      <c r="W120" s="20" t="s">
        <v>96</v>
      </c>
      <c r="X120" s="20" t="s">
        <v>97</v>
      </c>
      <c r="Y120" s="20" t="s">
        <v>70</v>
      </c>
      <c r="Z120" s="20" t="s">
        <v>284</v>
      </c>
      <c r="AA120" s="20" t="s">
        <v>125</v>
      </c>
      <c r="AB120" s="20" t="s">
        <v>125</v>
      </c>
      <c r="AC120" s="20" t="s">
        <v>125</v>
      </c>
      <c r="AD120" s="20" t="s">
        <v>125</v>
      </c>
      <c r="AE120" s="20"/>
      <c r="AF120" s="9" t="n">
        <v>0</v>
      </c>
      <c r="AG120" s="12" t="n">
        <v>0</v>
      </c>
      <c r="AH120" s="22" t="s">
        <v>941</v>
      </c>
      <c r="AI120" s="12" t="str">
        <f>IF(AH120="","",IFERROR(RIGHT("0000"&amp;AH120,4)&amp;" - "&amp;UPPER(_xlfn.XLOOKUP(RIGHT("0000"&amp;AH120,4),CODEBOOK_CAP!$C$2:$C$212,CODEBOOK_CAP!$D$2:$D$212)),"Código CAP não encontrado"))</f>
        <v>1308 - POLÍTICAS SOCIAIS PARA FAMÍLIAS E INFÂNCIA</v>
      </c>
      <c r="AJ120" s="12" t="str">
        <f>IF(AH120="","",IFERROR(_xlfn.XLOOKUP(RIGHT("0000"&amp;AH120,4),CODEBOOK_CAP!$C$2:$C$212,CODEBOOK_CAP!$E$2:$E$212),"Código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20" s="22" t="s">
        <v>77</v>
      </c>
      <c r="AL120" s="26"/>
      <c r="AM120" s="22" t="s">
        <v>77</v>
      </c>
      <c r="AN120" s="22" t="s">
        <v>77</v>
      </c>
      <c r="AO120" s="12"/>
      <c r="AP120" s="22" t="s">
        <v>79</v>
      </c>
      <c r="AQ120" s="12" t="s">
        <v>901</v>
      </c>
      <c r="AR120" s="22" t="s">
        <v>77</v>
      </c>
      <c r="AS120" s="10"/>
      <c r="AT120" s="2" t="s">
        <v>82</v>
      </c>
      <c r="AU120" s="12" t="s">
        <v>83</v>
      </c>
      <c r="AV120" s="3" t="n">
        <v>46214</v>
      </c>
      <c r="AW120" s="21"/>
      <c r="AY120" s="1"/>
      <c r="BA120" s="1"/>
      <c r="BB120" s="1"/>
    </row>
    <row r="121" ht="210" customHeight="1">
      <c r="A121" s="20" t="s">
        <v>942</v>
      </c>
      <c r="B121" s="20" t="n">
        <v>2023</v>
      </c>
      <c r="C121" s="20" t="n">
        <v>842</v>
      </c>
      <c r="D121" s="20" t="s">
        <v>50</v>
      </c>
      <c r="E121" s="20" t="s">
        <v>937</v>
      </c>
      <c r="F121" s="20" t="s">
        <v>943</v>
      </c>
      <c r="G121" s="20" t="s">
        <v>315</v>
      </c>
      <c r="H121" s="20" t="s">
        <v>939</v>
      </c>
      <c r="I121" s="20"/>
      <c r="J121" s="20" t="s">
        <v>944</v>
      </c>
      <c r="K121" s="20" t="s">
        <v>945</v>
      </c>
      <c r="L121" s="20" t="s">
        <v>274</v>
      </c>
      <c r="M121" s="20" t="s">
        <v>275</v>
      </c>
      <c r="N121" s="20" t="s">
        <v>276</v>
      </c>
      <c r="O121" s="20" t="s">
        <v>277</v>
      </c>
      <c r="P121" s="20" t="s">
        <v>278</v>
      </c>
      <c r="Q121" s="20" t="s">
        <v>279</v>
      </c>
      <c r="R121" s="20" t="s">
        <v>280</v>
      </c>
      <c r="S121" s="20" t="s">
        <v>281</v>
      </c>
      <c r="T121" s="20" t="s">
        <v>282</v>
      </c>
      <c r="U121" s="20" t="s">
        <v>283</v>
      </c>
      <c r="V121" s="20" t="s">
        <v>854</v>
      </c>
      <c r="W121" s="20" t="s">
        <v>96</v>
      </c>
      <c r="X121" s="20" t="s">
        <v>97</v>
      </c>
      <c r="Y121" s="20" t="s">
        <v>70</v>
      </c>
      <c r="Z121" s="20" t="s">
        <v>284</v>
      </c>
      <c r="AA121" s="20" t="s">
        <v>198</v>
      </c>
      <c r="AB121" s="20" t="s">
        <v>198</v>
      </c>
      <c r="AC121" s="20" t="s">
        <v>198</v>
      </c>
      <c r="AD121" s="20" t="s">
        <v>198</v>
      </c>
      <c r="AE121" s="20"/>
      <c r="AF121" s="9" t="n">
        <v>0</v>
      </c>
      <c r="AG121" s="12" t="n">
        <v>0</v>
      </c>
      <c r="AH121" s="22" t="s">
        <v>607</v>
      </c>
      <c r="AI121" s="12" t="str">
        <f>IF(AH121="","",IFERROR(RIGHT("0000"&amp;AH121,4)&amp;" - "&amp;UPPER(_xlfn.XLOOKUP(RIGHT("0000"&amp;AH121,4),CODEBOOK_CAP!$C$2:$C$212,CODEBOOK_CAP!$D$2:$D$212)),"Código CAP não encontrado"))</f>
        <v>1300 - GERAL</v>
      </c>
      <c r="AJ121" s="12" t="str">
        <f>IF(AH121="","",IFERROR(_xlfn.XLOOKUP(RIGHT("0000"&amp;AH121,4),CODEBOOK_CAP!$C$2:$C$212,CODEBOOK_CAP!$E$2:$E$212),"Código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21" s="22" t="s">
        <v>77</v>
      </c>
      <c r="AL121" s="26"/>
      <c r="AM121" s="22" t="s">
        <v>77</v>
      </c>
      <c r="AN121" s="22" t="s">
        <v>77</v>
      </c>
      <c r="AO121" s="12"/>
      <c r="AP121" s="22" t="s">
        <v>77</v>
      </c>
      <c r="AQ121" s="12"/>
      <c r="AR121" s="22" t="s">
        <v>77</v>
      </c>
      <c r="AS121" s="10"/>
      <c r="AT121" s="2" t="s">
        <v>82</v>
      </c>
      <c r="AU121" s="12" t="s">
        <v>83</v>
      </c>
      <c r="AV121" s="3" t="n">
        <v>46214</v>
      </c>
      <c r="AW121" s="21"/>
      <c r="AY121" s="1"/>
      <c r="BA121" s="1"/>
      <c r="BB121" s="1"/>
    </row>
    <row r="122" ht="90" customHeight="1">
      <c r="A122" s="20" t="s">
        <v>946</v>
      </c>
      <c r="B122" s="20" t="n">
        <v>2023</v>
      </c>
      <c r="C122" s="20" t="n">
        <v>843</v>
      </c>
      <c r="D122" s="20" t="s">
        <v>50</v>
      </c>
      <c r="E122" s="20" t="s">
        <v>937</v>
      </c>
      <c r="F122" s="20" t="s">
        <v>947</v>
      </c>
      <c r="G122" s="20" t="s">
        <v>315</v>
      </c>
      <c r="H122" s="20" t="s">
        <v>939</v>
      </c>
      <c r="I122" s="20"/>
      <c r="J122" s="20" t="s">
        <v>948</v>
      </c>
      <c r="K122" s="20" t="s">
        <v>945</v>
      </c>
      <c r="L122" s="20" t="s">
        <v>274</v>
      </c>
      <c r="M122" s="20" t="s">
        <v>275</v>
      </c>
      <c r="N122" s="20" t="s">
        <v>276</v>
      </c>
      <c r="O122" s="20" t="s">
        <v>277</v>
      </c>
      <c r="P122" s="20" t="s">
        <v>278</v>
      </c>
      <c r="Q122" s="20" t="s">
        <v>279</v>
      </c>
      <c r="R122" s="20" t="s">
        <v>280</v>
      </c>
      <c r="S122" s="20" t="s">
        <v>281</v>
      </c>
      <c r="T122" s="20" t="s">
        <v>282</v>
      </c>
      <c r="U122" s="20" t="s">
        <v>283</v>
      </c>
      <c r="V122" s="20" t="s">
        <v>854</v>
      </c>
      <c r="W122" s="20" t="s">
        <v>96</v>
      </c>
      <c r="X122" s="20" t="s">
        <v>97</v>
      </c>
      <c r="Y122" s="20" t="s">
        <v>70</v>
      </c>
      <c r="Z122" s="20" t="s">
        <v>284</v>
      </c>
      <c r="AA122" s="20" t="s">
        <v>949</v>
      </c>
      <c r="AB122" s="20" t="s">
        <v>949</v>
      </c>
      <c r="AC122" s="20" t="s">
        <v>949</v>
      </c>
      <c r="AD122" s="20" t="s">
        <v>949</v>
      </c>
      <c r="AE122" s="20"/>
      <c r="AF122" s="9" t="n">
        <v>0</v>
      </c>
      <c r="AG122" s="12" t="n">
        <v>0</v>
      </c>
      <c r="AH122" s="22" t="s">
        <v>941</v>
      </c>
      <c r="AI122" s="12" t="str">
        <f>IF(AH122="","",IFERROR(RIGHT("0000"&amp;AH122,4)&amp;" - "&amp;UPPER(_xlfn.XLOOKUP(RIGHT("0000"&amp;AH122,4),CODEBOOK_CAP!$C$2:$C$212,CODEBOOK_CAP!$D$2:$D$212)),"Código CAP não encontrado"))</f>
        <v>1308 - POLÍTICAS SOCIAIS PARA FAMÍLIAS E INFÂNCIA</v>
      </c>
      <c r="AJ122" s="12" t="str">
        <f>IF(AH122="","",IFERROR(_xlfn.XLOOKUP(RIGHT("0000"&amp;AH122,4),CODEBOOK_CAP!$C$2:$C$212,CODEBOOK_CAP!$E$2:$E$212),"Código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122" s="22" t="s">
        <v>77</v>
      </c>
      <c r="AL122" s="26"/>
      <c r="AM122" s="22" t="s">
        <v>77</v>
      </c>
      <c r="AN122" s="22" t="s">
        <v>77</v>
      </c>
      <c r="AO122" s="12"/>
      <c r="AP122" s="22" t="s">
        <v>79</v>
      </c>
      <c r="AQ122" s="12" t="s">
        <v>901</v>
      </c>
      <c r="AR122" s="22" t="s">
        <v>77</v>
      </c>
      <c r="AS122" s="10"/>
      <c r="AT122" s="2" t="s">
        <v>82</v>
      </c>
      <c r="AU122" s="12" t="s">
        <v>83</v>
      </c>
      <c r="AV122" s="3" t="n">
        <v>46214</v>
      </c>
      <c r="AW122" s="21"/>
      <c r="AY122" s="1"/>
      <c r="BA122" s="1"/>
      <c r="BB122" s="1"/>
    </row>
    <row r="123" ht="120" customHeight="1">
      <c r="A123" s="20" t="s">
        <v>950</v>
      </c>
      <c r="B123" s="20" t="n">
        <v>2023</v>
      </c>
      <c r="C123" s="20" t="n">
        <v>845</v>
      </c>
      <c r="D123" s="20" t="s">
        <v>50</v>
      </c>
      <c r="E123" s="20" t="s">
        <v>937</v>
      </c>
      <c r="F123" s="20" t="s">
        <v>951</v>
      </c>
      <c r="G123" s="20" t="s">
        <v>86</v>
      </c>
      <c r="H123" s="20" t="s">
        <v>939</v>
      </c>
      <c r="I123" s="20"/>
      <c r="J123" s="20" t="s">
        <v>952</v>
      </c>
      <c r="K123" s="20" t="s">
        <v>416</v>
      </c>
      <c r="L123" s="20" t="s">
        <v>57</v>
      </c>
      <c r="M123" s="20" t="s">
        <v>58</v>
      </c>
      <c r="N123" s="20" t="s">
        <v>59</v>
      </c>
      <c r="O123" s="20" t="s">
        <v>60</v>
      </c>
      <c r="P123" s="20" t="s">
        <v>89</v>
      </c>
      <c r="Q123" s="20" t="s">
        <v>90</v>
      </c>
      <c r="R123" s="20" t="s">
        <v>91</v>
      </c>
      <c r="S123" s="20" t="s">
        <v>92</v>
      </c>
      <c r="T123" s="20" t="s">
        <v>123</v>
      </c>
      <c r="U123" s="20" t="s">
        <v>124</v>
      </c>
      <c r="V123" s="20" t="s">
        <v>417</v>
      </c>
      <c r="W123" s="20" t="s">
        <v>96</v>
      </c>
      <c r="X123" s="20" t="s">
        <v>97</v>
      </c>
      <c r="Y123" s="20" t="s">
        <v>70</v>
      </c>
      <c r="Z123" s="20" t="s">
        <v>98</v>
      </c>
      <c r="AA123" s="20" t="s">
        <v>462</v>
      </c>
      <c r="AB123" s="20" t="s">
        <v>462</v>
      </c>
      <c r="AC123" s="20" t="s">
        <v>462</v>
      </c>
      <c r="AD123" s="20" t="s">
        <v>462</v>
      </c>
      <c r="AE123" s="20"/>
      <c r="AF123" s="9" t="n">
        <v>1</v>
      </c>
      <c r="AG123" s="12" t="n">
        <v>1</v>
      </c>
      <c r="AH123" s="22" t="s">
        <v>235</v>
      </c>
      <c r="AI123" s="12" t="str">
        <f>IF(AH123="","",IFERROR(RIGHT("0000"&amp;AH123,4)&amp;" - "&amp;UPPER(_xlfn.XLOOKUP(RIGHT("0000"&amp;AH123,4),CODEBOOK_CAP!$C$2:$C$212,CODEBOOK_CAP!$D$2:$D$212)),"Código CAP não encontrado"))</f>
        <v>0322 - ESTRUTURAS, HOSPITAIS, CLÍNICAS</v>
      </c>
      <c r="AJ123" s="12" t="str">
        <f>IF(AH123="","",IFERROR(_xlfn.XLOOKUP(RIGHT("0000"&amp;AH123,4),CODEBOOK_CAP!$C$2:$C$212,CODEBOOK_CAP!$E$2:$E$212),"Código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3" s="22" t="s">
        <v>77</v>
      </c>
      <c r="AL123" s="26"/>
      <c r="AM123" s="22" t="s">
        <v>79</v>
      </c>
      <c r="AN123" s="22" t="s">
        <v>79</v>
      </c>
      <c r="AO123" s="12" t="s">
        <v>953</v>
      </c>
      <c r="AP123" s="22" t="s">
        <v>77</v>
      </c>
      <c r="AQ123" s="12"/>
      <c r="AR123" s="22" t="s">
        <v>77</v>
      </c>
      <c r="AS123" s="10"/>
      <c r="AT123" s="2" t="s">
        <v>82</v>
      </c>
      <c r="AU123" s="12" t="s">
        <v>83</v>
      </c>
      <c r="AV123" s="3" t="n">
        <v>46214</v>
      </c>
      <c r="AW123" s="21"/>
      <c r="AY123" s="1"/>
      <c r="BA123" s="1"/>
      <c r="BB123" s="1"/>
    </row>
    <row r="124" ht="120" customHeight="1">
      <c r="A124" s="20" t="s">
        <v>954</v>
      </c>
      <c r="B124" s="20" t="n">
        <v>2023</v>
      </c>
      <c r="C124" s="20" t="n">
        <v>846</v>
      </c>
      <c r="D124" s="20" t="s">
        <v>50</v>
      </c>
      <c r="E124" s="20" t="s">
        <v>937</v>
      </c>
      <c r="F124" s="20" t="s">
        <v>955</v>
      </c>
      <c r="G124" s="20" t="s">
        <v>86</v>
      </c>
      <c r="H124" s="20" t="s">
        <v>939</v>
      </c>
      <c r="I124" s="20"/>
      <c r="J124" s="20" t="s">
        <v>956</v>
      </c>
      <c r="K124" s="20" t="s">
        <v>122</v>
      </c>
      <c r="L124" s="20" t="s">
        <v>57</v>
      </c>
      <c r="M124" s="20" t="s">
        <v>58</v>
      </c>
      <c r="N124" s="20" t="s">
        <v>59</v>
      </c>
      <c r="O124" s="20" t="s">
        <v>60</v>
      </c>
      <c r="P124" s="20" t="s">
        <v>89</v>
      </c>
      <c r="Q124" s="20" t="s">
        <v>90</v>
      </c>
      <c r="R124" s="20" t="s">
        <v>91</v>
      </c>
      <c r="S124" s="20" t="s">
        <v>92</v>
      </c>
      <c r="T124" s="20" t="s">
        <v>123</v>
      </c>
      <c r="U124" s="20" t="s">
        <v>124</v>
      </c>
      <c r="V124" s="20" t="s">
        <v>95</v>
      </c>
      <c r="W124" s="20" t="s">
        <v>96</v>
      </c>
      <c r="X124" s="20" t="s">
        <v>97</v>
      </c>
      <c r="Y124" s="20" t="s">
        <v>70</v>
      </c>
      <c r="Z124" s="20" t="s">
        <v>98</v>
      </c>
      <c r="AA124" s="20" t="s">
        <v>160</v>
      </c>
      <c r="AB124" s="20" t="s">
        <v>160</v>
      </c>
      <c r="AC124" s="20" t="s">
        <v>160</v>
      </c>
      <c r="AD124" s="20" t="s">
        <v>160</v>
      </c>
      <c r="AE124" s="20"/>
      <c r="AF124" s="9" t="n">
        <v>1</v>
      </c>
      <c r="AG124" s="12" t="n">
        <v>1</v>
      </c>
      <c r="AH124" s="22" t="s">
        <v>235</v>
      </c>
      <c r="AI124" s="12" t="str">
        <f>IF(AH124="","",IFERROR(RIGHT("0000"&amp;AH124,4)&amp;" - "&amp;UPPER(_xlfn.XLOOKUP(RIGHT("0000"&amp;AH124,4),CODEBOOK_CAP!$C$2:$C$212,CODEBOOK_CAP!$D$2:$D$212)),"Código CAP não encontrado"))</f>
        <v>0322 - ESTRUTURAS, HOSPITAIS, CLÍNICAS</v>
      </c>
      <c r="AJ124" s="12" t="str">
        <f>IF(AH124="","",IFERROR(_xlfn.XLOOKUP(RIGHT("0000"&amp;AH124,4),CODEBOOK_CAP!$C$2:$C$212,CODEBOOK_CAP!$E$2:$E$212),"Código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4" s="22" t="s">
        <v>77</v>
      </c>
      <c r="AL124" s="26"/>
      <c r="AM124" s="22" t="s">
        <v>79</v>
      </c>
      <c r="AN124" s="22" t="s">
        <v>79</v>
      </c>
      <c r="AO124" s="12" t="s">
        <v>957</v>
      </c>
      <c r="AP124" s="22" t="s">
        <v>77</v>
      </c>
      <c r="AQ124" s="12"/>
      <c r="AR124" s="22" t="s">
        <v>77</v>
      </c>
      <c r="AS124" s="10"/>
      <c r="AT124" s="2" t="s">
        <v>82</v>
      </c>
      <c r="AU124" s="12" t="s">
        <v>83</v>
      </c>
      <c r="AV124" s="3" t="n">
        <v>46214</v>
      </c>
      <c r="AW124" s="21"/>
      <c r="AY124" s="1"/>
      <c r="BA124" s="1"/>
      <c r="BB124" s="1"/>
    </row>
    <row r="125" ht="120" customHeight="1">
      <c r="A125" s="20" t="s">
        <v>958</v>
      </c>
      <c r="B125" s="20" t="n">
        <v>2023</v>
      </c>
      <c r="C125" s="20" t="n">
        <v>867</v>
      </c>
      <c r="D125" s="20" t="s">
        <v>50</v>
      </c>
      <c r="E125" s="20" t="s">
        <v>937</v>
      </c>
      <c r="F125" s="20" t="s">
        <v>959</v>
      </c>
      <c r="G125" s="20" t="s">
        <v>86</v>
      </c>
      <c r="H125" s="20" t="s">
        <v>939</v>
      </c>
      <c r="I125" s="20"/>
      <c r="J125" s="20" t="s">
        <v>960</v>
      </c>
      <c r="K125" s="20" t="s">
        <v>56</v>
      </c>
      <c r="L125" s="20" t="s">
        <v>57</v>
      </c>
      <c r="M125" s="20" t="s">
        <v>58</v>
      </c>
      <c r="N125" s="20" t="s">
        <v>59</v>
      </c>
      <c r="O125" s="20" t="s">
        <v>60</v>
      </c>
      <c r="P125" s="20" t="s">
        <v>61</v>
      </c>
      <c r="Q125" s="20" t="s">
        <v>62</v>
      </c>
      <c r="R125" s="20" t="s">
        <v>63</v>
      </c>
      <c r="S125" s="20" t="s">
        <v>64</v>
      </c>
      <c r="T125" s="20" t="s">
        <v>65</v>
      </c>
      <c r="U125" s="20" t="s">
        <v>66</v>
      </c>
      <c r="V125" s="20" t="s">
        <v>67</v>
      </c>
      <c r="W125" s="20" t="s">
        <v>68</v>
      </c>
      <c r="X125" s="20" t="s">
        <v>69</v>
      </c>
      <c r="Y125" s="20" t="s">
        <v>70</v>
      </c>
      <c r="Z125" s="20" t="s">
        <v>71</v>
      </c>
      <c r="AA125" s="20" t="s">
        <v>961</v>
      </c>
      <c r="AB125" s="20" t="s">
        <v>962</v>
      </c>
      <c r="AC125" s="20" t="s">
        <v>963</v>
      </c>
      <c r="AD125" s="20" t="s">
        <v>963</v>
      </c>
      <c r="AE125" s="20"/>
      <c r="AF125" s="9" t="n">
        <v>1</v>
      </c>
      <c r="AG125" s="12" t="n">
        <v>1</v>
      </c>
      <c r="AH125" s="22" t="s">
        <v>235</v>
      </c>
      <c r="AI125" s="12" t="str">
        <f>IF(AH125="","",IFERROR(RIGHT("0000"&amp;AH125,4)&amp;" - "&amp;UPPER(_xlfn.XLOOKUP(RIGHT("0000"&amp;AH125,4),CODEBOOK_CAP!$C$2:$C$212,CODEBOOK_CAP!$D$2:$D$212)),"Código CAP não encontrado"))</f>
        <v>0322 - ESTRUTURAS, HOSPITAIS, CLÍNICAS</v>
      </c>
      <c r="AJ125" s="12" t="str">
        <f>IF(AH125="","",IFERROR(_xlfn.XLOOKUP(RIGHT("0000"&amp;AH125,4),CODEBOOK_CAP!$C$2:$C$212,CODEBOOK_CAP!$E$2:$E$212),"Código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5" s="22" t="s">
        <v>77</v>
      </c>
      <c r="AL125" s="26"/>
      <c r="AM125" s="22" t="s">
        <v>79</v>
      </c>
      <c r="AN125" s="22" t="s">
        <v>79</v>
      </c>
      <c r="AO125" s="12" t="s">
        <v>773</v>
      </c>
      <c r="AP125" s="22" t="s">
        <v>77</v>
      </c>
      <c r="AQ125" s="12"/>
      <c r="AR125" s="22" t="s">
        <v>77</v>
      </c>
      <c r="AS125" s="10"/>
      <c r="AT125" s="2" t="s">
        <v>82</v>
      </c>
      <c r="AU125" s="12" t="s">
        <v>83</v>
      </c>
      <c r="AV125" s="3" t="n">
        <v>46214</v>
      </c>
      <c r="AW125" s="21"/>
      <c r="AY125" s="1"/>
      <c r="BA125" s="1"/>
      <c r="BB125" s="1"/>
    </row>
    <row r="126" ht="120" customHeight="1">
      <c r="A126" s="20" t="s">
        <v>964</v>
      </c>
      <c r="B126" s="20" t="n">
        <v>2023</v>
      </c>
      <c r="C126" s="20" t="n">
        <v>868</v>
      </c>
      <c r="D126" s="20" t="s">
        <v>50</v>
      </c>
      <c r="E126" s="20" t="s">
        <v>937</v>
      </c>
      <c r="F126" s="20" t="s">
        <v>965</v>
      </c>
      <c r="G126" s="20" t="s">
        <v>86</v>
      </c>
      <c r="H126" s="20" t="s">
        <v>939</v>
      </c>
      <c r="I126" s="20"/>
      <c r="J126" s="20" t="s">
        <v>966</v>
      </c>
      <c r="K126" s="20" t="s">
        <v>967</v>
      </c>
      <c r="L126" s="20" t="s">
        <v>57</v>
      </c>
      <c r="M126" s="20" t="s">
        <v>58</v>
      </c>
      <c r="N126" s="20" t="s">
        <v>59</v>
      </c>
      <c r="O126" s="20" t="s">
        <v>60</v>
      </c>
      <c r="P126" s="20" t="s">
        <v>227</v>
      </c>
      <c r="Q126" s="20" t="s">
        <v>228</v>
      </c>
      <c r="R126" s="20" t="s">
        <v>229</v>
      </c>
      <c r="S126" s="20" t="s">
        <v>230</v>
      </c>
      <c r="T126" s="20" t="s">
        <v>231</v>
      </c>
      <c r="U126" s="20" t="s">
        <v>230</v>
      </c>
      <c r="V126" s="20" t="s">
        <v>854</v>
      </c>
      <c r="W126" s="20" t="s">
        <v>96</v>
      </c>
      <c r="X126" s="20" t="s">
        <v>97</v>
      </c>
      <c r="Y126" s="20" t="s">
        <v>70</v>
      </c>
      <c r="Z126" s="20" t="s">
        <v>98</v>
      </c>
      <c r="AA126" s="20" t="s">
        <v>968</v>
      </c>
      <c r="AB126" s="20" t="s">
        <v>969</v>
      </c>
      <c r="AC126" s="20" t="s">
        <v>969</v>
      </c>
      <c r="AD126" s="20" t="s">
        <v>969</v>
      </c>
      <c r="AE126" s="20"/>
      <c r="AF126" s="9" t="n">
        <v>1</v>
      </c>
      <c r="AG126" s="12" t="n">
        <v>1</v>
      </c>
      <c r="AH126" s="22" t="s">
        <v>235</v>
      </c>
      <c r="AI126" s="12" t="str">
        <f>IF(AH126="","",IFERROR(RIGHT("0000"&amp;AH126,4)&amp;" - "&amp;UPPER(_xlfn.XLOOKUP(RIGHT("0000"&amp;AH126,4),CODEBOOK_CAP!$C$2:$C$212,CODEBOOK_CAP!$D$2:$D$212)),"Código CAP não encontrado"))</f>
        <v>0322 - ESTRUTURAS, HOSPITAIS, CLÍNICAS</v>
      </c>
      <c r="AJ126" s="12" t="str">
        <f>IF(AH126="","",IFERROR(_xlfn.XLOOKUP(RIGHT("0000"&amp;AH126,4),CODEBOOK_CAP!$C$2:$C$212,CODEBOOK_CAP!$E$2:$E$212),"Código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6" s="22" t="s">
        <v>77</v>
      </c>
      <c r="AL126" s="26"/>
      <c r="AM126" s="22" t="s">
        <v>79</v>
      </c>
      <c r="AN126" s="22" t="s">
        <v>79</v>
      </c>
      <c r="AO126" s="12" t="s">
        <v>970</v>
      </c>
      <c r="AP126" s="22" t="s">
        <v>77</v>
      </c>
      <c r="AQ126" s="12"/>
      <c r="AR126" s="22" t="s">
        <v>77</v>
      </c>
      <c r="AS126" s="10"/>
      <c r="AT126" s="2" t="s">
        <v>82</v>
      </c>
      <c r="AU126" s="12" t="s">
        <v>83</v>
      </c>
      <c r="AV126" s="3" t="n">
        <v>46214</v>
      </c>
      <c r="AW126" s="21"/>
      <c r="AY126" s="1"/>
      <c r="BA126" s="1"/>
      <c r="BB126" s="1"/>
    </row>
    <row r="127" ht="120" customHeight="1">
      <c r="A127" s="20" t="s">
        <v>971</v>
      </c>
      <c r="B127" s="20" t="n">
        <v>2023</v>
      </c>
      <c r="C127" s="20" t="n">
        <v>869</v>
      </c>
      <c r="D127" s="20" t="s">
        <v>50</v>
      </c>
      <c r="E127" s="20" t="s">
        <v>937</v>
      </c>
      <c r="F127" s="20" t="s">
        <v>972</v>
      </c>
      <c r="G127" s="20" t="s">
        <v>183</v>
      </c>
      <c r="H127" s="20" t="s">
        <v>939</v>
      </c>
      <c r="I127" s="20"/>
      <c r="J127" s="20" t="s">
        <v>973</v>
      </c>
      <c r="K127" s="20" t="s">
        <v>56</v>
      </c>
      <c r="L127" s="20" t="s">
        <v>57</v>
      </c>
      <c r="M127" s="20" t="s">
        <v>58</v>
      </c>
      <c r="N127" s="20" t="s">
        <v>59</v>
      </c>
      <c r="O127" s="20" t="s">
        <v>60</v>
      </c>
      <c r="P127" s="20" t="s">
        <v>61</v>
      </c>
      <c r="Q127" s="20" t="s">
        <v>62</v>
      </c>
      <c r="R127" s="20" t="s">
        <v>63</v>
      </c>
      <c r="S127" s="20" t="s">
        <v>64</v>
      </c>
      <c r="T127" s="20" t="s">
        <v>65</v>
      </c>
      <c r="U127" s="20" t="s">
        <v>66</v>
      </c>
      <c r="V127" s="20" t="s">
        <v>67</v>
      </c>
      <c r="W127" s="20" t="s">
        <v>68</v>
      </c>
      <c r="X127" s="20" t="s">
        <v>69</v>
      </c>
      <c r="Y127" s="20" t="s">
        <v>70</v>
      </c>
      <c r="Z127" s="20" t="s">
        <v>71</v>
      </c>
      <c r="AA127" s="20" t="s">
        <v>968</v>
      </c>
      <c r="AB127" s="20" t="s">
        <v>77</v>
      </c>
      <c r="AC127" s="20" t="s">
        <v>77</v>
      </c>
      <c r="AD127" s="20" t="s">
        <v>77</v>
      </c>
      <c r="AE127" s="20"/>
      <c r="AF127" s="9" t="n">
        <v>1</v>
      </c>
      <c r="AG127" s="12" t="n">
        <v>1</v>
      </c>
      <c r="AH127" s="22" t="s">
        <v>235</v>
      </c>
      <c r="AI127" s="12" t="str">
        <f>IF(AH127="","",IFERROR(RIGHT("0000"&amp;AH127,4)&amp;" - "&amp;UPPER(_xlfn.XLOOKUP(RIGHT("0000"&amp;AH127,4),CODEBOOK_CAP!$C$2:$C$212,CODEBOOK_CAP!$D$2:$D$212)),"Código CAP não encontrado"))</f>
        <v>0322 - ESTRUTURAS, HOSPITAIS, CLÍNICAS</v>
      </c>
      <c r="AJ127" s="12" t="str">
        <f>IF(AH127="","",IFERROR(_xlfn.XLOOKUP(RIGHT("0000"&amp;AH127,4),CODEBOOK_CAP!$C$2:$C$212,CODEBOOK_CAP!$E$2:$E$212),"Código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7" s="22" t="s">
        <v>77</v>
      </c>
      <c r="AL127" s="26"/>
      <c r="AM127" s="22" t="s">
        <v>79</v>
      </c>
      <c r="AN127" s="22" t="s">
        <v>79</v>
      </c>
      <c r="AO127" s="12" t="s">
        <v>974</v>
      </c>
      <c r="AP127" s="22" t="s">
        <v>77</v>
      </c>
      <c r="AQ127" s="12"/>
      <c r="AR127" s="22" t="s">
        <v>77</v>
      </c>
      <c r="AS127" s="10"/>
      <c r="AT127" s="2" t="s">
        <v>82</v>
      </c>
      <c r="AU127" s="12" t="s">
        <v>83</v>
      </c>
      <c r="AV127" s="3" t="n">
        <v>46214</v>
      </c>
      <c r="AW127" s="21"/>
      <c r="AY127" s="1"/>
      <c r="BA127" s="1"/>
      <c r="BB127" s="1"/>
    </row>
    <row r="128" ht="120" customHeight="1">
      <c r="A128" s="20" t="s">
        <v>975</v>
      </c>
      <c r="B128" s="20" t="n">
        <v>2023</v>
      </c>
      <c r="C128" s="20" t="n">
        <v>204</v>
      </c>
      <c r="D128" s="20" t="s">
        <v>50</v>
      </c>
      <c r="E128" s="20" t="s">
        <v>976</v>
      </c>
      <c r="F128" s="20" t="s">
        <v>977</v>
      </c>
      <c r="G128" s="20" t="s">
        <v>86</v>
      </c>
      <c r="H128" s="20" t="s">
        <v>978</v>
      </c>
      <c r="I128" s="20"/>
      <c r="J128" s="20" t="s">
        <v>979</v>
      </c>
      <c r="K128" s="20" t="s">
        <v>122</v>
      </c>
      <c r="L128" s="20" t="s">
        <v>57</v>
      </c>
      <c r="M128" s="20" t="s">
        <v>58</v>
      </c>
      <c r="N128" s="20" t="s">
        <v>59</v>
      </c>
      <c r="O128" s="20" t="s">
        <v>60</v>
      </c>
      <c r="P128" s="20" t="s">
        <v>89</v>
      </c>
      <c r="Q128" s="20" t="s">
        <v>90</v>
      </c>
      <c r="R128" s="20" t="s">
        <v>91</v>
      </c>
      <c r="S128" s="20" t="s">
        <v>92</v>
      </c>
      <c r="T128" s="20" t="s">
        <v>123</v>
      </c>
      <c r="U128" s="20" t="s">
        <v>124</v>
      </c>
      <c r="V128" s="20" t="s">
        <v>95</v>
      </c>
      <c r="W128" s="20" t="s">
        <v>96</v>
      </c>
      <c r="X128" s="20" t="s">
        <v>97</v>
      </c>
      <c r="Y128" s="20" t="s">
        <v>70</v>
      </c>
      <c r="Z128" s="20" t="s">
        <v>98</v>
      </c>
      <c r="AA128" s="20" t="s">
        <v>980</v>
      </c>
      <c r="AB128" s="20" t="s">
        <v>980</v>
      </c>
      <c r="AC128" s="20" t="s">
        <v>980</v>
      </c>
      <c r="AD128" s="20" t="s">
        <v>980</v>
      </c>
      <c r="AE128" s="20"/>
      <c r="AF128" s="9" t="n">
        <v>1</v>
      </c>
      <c r="AG128" s="12" t="n">
        <v>1</v>
      </c>
      <c r="AH128" s="22" t="s">
        <v>235</v>
      </c>
      <c r="AI128" s="12" t="str">
        <f>IF(AH128="","",IFERROR(RIGHT("0000"&amp;AH128,4)&amp;" - "&amp;UPPER(_xlfn.XLOOKUP(RIGHT("0000"&amp;AH128,4),CODEBOOK_CAP!$C$2:$C$212,CODEBOOK_CAP!$D$2:$D$212)),"Código CAP não encontrado"))</f>
        <v>0322 - ESTRUTURAS, HOSPITAIS, CLÍNICAS</v>
      </c>
      <c r="AJ128" s="12" t="str">
        <f>IF(AH128="","",IFERROR(_xlfn.XLOOKUP(RIGHT("0000"&amp;AH128,4),CODEBOOK_CAP!$C$2:$C$212,CODEBOOK_CAP!$E$2:$E$212),"Código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8" s="22" t="s">
        <v>77</v>
      </c>
      <c r="AL128" s="26"/>
      <c r="AM128" s="22" t="s">
        <v>79</v>
      </c>
      <c r="AN128" s="22" t="s">
        <v>79</v>
      </c>
      <c r="AO128" s="12" t="s">
        <v>981</v>
      </c>
      <c r="AP128" s="22" t="s">
        <v>77</v>
      </c>
      <c r="AQ128" s="12"/>
      <c r="AR128" s="22" t="s">
        <v>77</v>
      </c>
      <c r="AS128" s="10"/>
      <c r="AT128" s="2" t="s">
        <v>82</v>
      </c>
      <c r="AU128" s="12" t="s">
        <v>83</v>
      </c>
      <c r="AV128" s="3" t="n">
        <v>46214</v>
      </c>
      <c r="AW128" s="21"/>
      <c r="AY128" s="1"/>
      <c r="BA128" s="1"/>
      <c r="BB128" s="1"/>
    </row>
    <row r="129" ht="120" customHeight="1">
      <c r="A129" s="20" t="s">
        <v>982</v>
      </c>
      <c r="B129" s="20" t="n">
        <v>2023</v>
      </c>
      <c r="C129" s="20" t="n">
        <v>205</v>
      </c>
      <c r="D129" s="20" t="s">
        <v>50</v>
      </c>
      <c r="E129" s="20" t="s">
        <v>976</v>
      </c>
      <c r="F129" s="20" t="s">
        <v>983</v>
      </c>
      <c r="G129" s="20" t="s">
        <v>86</v>
      </c>
      <c r="H129" s="20" t="s">
        <v>978</v>
      </c>
      <c r="I129" s="20"/>
      <c r="J129" s="20" t="s">
        <v>984</v>
      </c>
      <c r="K129" s="20" t="s">
        <v>122</v>
      </c>
      <c r="L129" s="20" t="s">
        <v>57</v>
      </c>
      <c r="M129" s="20" t="s">
        <v>58</v>
      </c>
      <c r="N129" s="20" t="s">
        <v>59</v>
      </c>
      <c r="O129" s="20" t="s">
        <v>60</v>
      </c>
      <c r="P129" s="20" t="s">
        <v>89</v>
      </c>
      <c r="Q129" s="20" t="s">
        <v>90</v>
      </c>
      <c r="R129" s="20" t="s">
        <v>91</v>
      </c>
      <c r="S129" s="20" t="s">
        <v>92</v>
      </c>
      <c r="T129" s="20" t="s">
        <v>123</v>
      </c>
      <c r="U129" s="20" t="s">
        <v>124</v>
      </c>
      <c r="V129" s="20" t="s">
        <v>95</v>
      </c>
      <c r="W129" s="20" t="s">
        <v>96</v>
      </c>
      <c r="X129" s="20" t="s">
        <v>97</v>
      </c>
      <c r="Y129" s="20" t="s">
        <v>70</v>
      </c>
      <c r="Z129" s="20" t="s">
        <v>98</v>
      </c>
      <c r="AA129" s="20" t="s">
        <v>980</v>
      </c>
      <c r="AB129" s="20" t="s">
        <v>980</v>
      </c>
      <c r="AC129" s="20" t="s">
        <v>980</v>
      </c>
      <c r="AD129" s="20" t="s">
        <v>980</v>
      </c>
      <c r="AE129" s="20"/>
      <c r="AF129" s="9" t="n">
        <v>1</v>
      </c>
      <c r="AG129" s="12" t="n">
        <v>1</v>
      </c>
      <c r="AH129" s="22" t="s">
        <v>235</v>
      </c>
      <c r="AI129" s="12" t="str">
        <f>IF(AH129="","",IFERROR(RIGHT("0000"&amp;AH129,4)&amp;" - "&amp;UPPER(_xlfn.XLOOKUP(RIGHT("0000"&amp;AH129,4),CODEBOOK_CAP!$C$2:$C$212,CODEBOOK_CAP!$D$2:$D$212)),"Código CAP não encontrado"))</f>
        <v>0322 - ESTRUTURAS, HOSPITAIS, CLÍNICAS</v>
      </c>
      <c r="AJ129" s="12" t="str">
        <f>IF(AH129="","",IFERROR(_xlfn.XLOOKUP(RIGHT("0000"&amp;AH129,4),CODEBOOK_CAP!$C$2:$C$212,CODEBOOK_CAP!$E$2:$E$212),"Código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29" s="22" t="s">
        <v>77</v>
      </c>
      <c r="AL129" s="26"/>
      <c r="AM129" s="22" t="s">
        <v>79</v>
      </c>
      <c r="AN129" s="22" t="s">
        <v>79</v>
      </c>
      <c r="AO129" s="26" t="s">
        <v>985</v>
      </c>
      <c r="AP129" s="22" t="s">
        <v>77</v>
      </c>
      <c r="AQ129" s="12"/>
      <c r="AR129" s="22" t="s">
        <v>77</v>
      </c>
      <c r="AS129" s="10"/>
      <c r="AT129" s="2" t="s">
        <v>82</v>
      </c>
      <c r="AU129" s="12" t="s">
        <v>83</v>
      </c>
      <c r="AV129" s="3" t="n">
        <v>46214</v>
      </c>
      <c r="AW129" s="21"/>
      <c r="AY129" s="1"/>
      <c r="BA129" s="1"/>
      <c r="BB129" s="1"/>
    </row>
    <row r="130" ht="210" customHeight="1">
      <c r="A130" s="20" t="s">
        <v>986</v>
      </c>
      <c r="B130" s="20" t="n">
        <v>2023</v>
      </c>
      <c r="C130" s="20" t="n">
        <v>206</v>
      </c>
      <c r="D130" s="20" t="s">
        <v>50</v>
      </c>
      <c r="E130" s="20" t="s">
        <v>976</v>
      </c>
      <c r="F130" s="20" t="s">
        <v>987</v>
      </c>
      <c r="G130" s="20" t="s">
        <v>315</v>
      </c>
      <c r="H130" s="20" t="s">
        <v>978</v>
      </c>
      <c r="I130" s="20"/>
      <c r="J130" s="20" t="s">
        <v>988</v>
      </c>
      <c r="K130" s="20" t="s">
        <v>273</v>
      </c>
      <c r="L130" s="20" t="s">
        <v>274</v>
      </c>
      <c r="M130" s="20" t="s">
        <v>275</v>
      </c>
      <c r="N130" s="20" t="s">
        <v>276</v>
      </c>
      <c r="O130" s="20" t="s">
        <v>277</v>
      </c>
      <c r="P130" s="20" t="s">
        <v>278</v>
      </c>
      <c r="Q130" s="20" t="s">
        <v>279</v>
      </c>
      <c r="R130" s="20" t="s">
        <v>280</v>
      </c>
      <c r="S130" s="20" t="s">
        <v>281</v>
      </c>
      <c r="T130" s="20" t="s">
        <v>282</v>
      </c>
      <c r="U130" s="20" t="s">
        <v>283</v>
      </c>
      <c r="V130" s="20" t="s">
        <v>95</v>
      </c>
      <c r="W130" s="20" t="s">
        <v>96</v>
      </c>
      <c r="X130" s="20" t="s">
        <v>97</v>
      </c>
      <c r="Y130" s="20" t="s">
        <v>70</v>
      </c>
      <c r="Z130" s="20" t="s">
        <v>284</v>
      </c>
      <c r="AA130" s="20" t="s">
        <v>388</v>
      </c>
      <c r="AB130" s="20" t="s">
        <v>388</v>
      </c>
      <c r="AC130" s="20" t="s">
        <v>388</v>
      </c>
      <c r="AD130" s="20" t="s">
        <v>388</v>
      </c>
      <c r="AE130" s="20"/>
      <c r="AF130" s="9" t="n">
        <v>0</v>
      </c>
      <c r="AG130" s="12" t="n">
        <v>0</v>
      </c>
      <c r="AH130" s="22" t="s">
        <v>607</v>
      </c>
      <c r="AI130" s="12" t="str">
        <f>IF(AH130="","",IFERROR(RIGHT("0000"&amp;AH130,4)&amp;" - "&amp;UPPER(_xlfn.XLOOKUP(RIGHT("0000"&amp;AH130,4),CODEBOOK_CAP!$C$2:$C$212,CODEBOOK_CAP!$D$2:$D$212)),"Código CAP não encontrado"))</f>
        <v>1300 - GERAL</v>
      </c>
      <c r="AJ130" s="12" t="str">
        <f>IF(AH130="","",IFERROR(_xlfn.XLOOKUP(RIGHT("0000"&amp;AH130,4),CODEBOOK_CAP!$C$2:$C$212,CODEBOOK_CAP!$E$2:$E$212),"Código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30" s="22" t="s">
        <v>77</v>
      </c>
      <c r="AL130" s="26"/>
      <c r="AM130" s="22" t="s">
        <v>77</v>
      </c>
      <c r="AN130" s="22" t="s">
        <v>77</v>
      </c>
      <c r="AO130" s="12"/>
      <c r="AP130" s="22" t="s">
        <v>77</v>
      </c>
      <c r="AQ130" s="12"/>
      <c r="AR130" s="22" t="s">
        <v>77</v>
      </c>
      <c r="AS130" s="10"/>
      <c r="AT130" s="2" t="s">
        <v>82</v>
      </c>
      <c r="AU130" s="12" t="s">
        <v>83</v>
      </c>
      <c r="AV130" s="3" t="n">
        <v>46214</v>
      </c>
      <c r="AW130" s="21"/>
      <c r="AY130" s="1"/>
      <c r="BA130" s="1"/>
      <c r="BB130" s="1"/>
    </row>
    <row r="131" ht="210" customHeight="1">
      <c r="A131" s="20" t="s">
        <v>989</v>
      </c>
      <c r="B131" s="20" t="n">
        <v>2023</v>
      </c>
      <c r="C131" s="20" t="n">
        <v>207</v>
      </c>
      <c r="D131" s="20" t="s">
        <v>50</v>
      </c>
      <c r="E131" s="20" t="s">
        <v>976</v>
      </c>
      <c r="F131" s="20" t="s">
        <v>990</v>
      </c>
      <c r="G131" s="20" t="s">
        <v>315</v>
      </c>
      <c r="H131" s="20" t="s">
        <v>978</v>
      </c>
      <c r="I131" s="20"/>
      <c r="J131" s="20" t="s">
        <v>991</v>
      </c>
      <c r="K131" s="20" t="s">
        <v>273</v>
      </c>
      <c r="L131" s="20" t="s">
        <v>274</v>
      </c>
      <c r="M131" s="20" t="s">
        <v>275</v>
      </c>
      <c r="N131" s="20" t="s">
        <v>276</v>
      </c>
      <c r="O131" s="20" t="s">
        <v>277</v>
      </c>
      <c r="P131" s="20" t="s">
        <v>278</v>
      </c>
      <c r="Q131" s="20" t="s">
        <v>279</v>
      </c>
      <c r="R131" s="20" t="s">
        <v>280</v>
      </c>
      <c r="S131" s="20" t="s">
        <v>281</v>
      </c>
      <c r="T131" s="20" t="s">
        <v>282</v>
      </c>
      <c r="U131" s="20" t="s">
        <v>283</v>
      </c>
      <c r="V131" s="20" t="s">
        <v>95</v>
      </c>
      <c r="W131" s="20" t="s">
        <v>96</v>
      </c>
      <c r="X131" s="20" t="s">
        <v>97</v>
      </c>
      <c r="Y131" s="20" t="s">
        <v>70</v>
      </c>
      <c r="Z131" s="20" t="s">
        <v>284</v>
      </c>
      <c r="AA131" s="20" t="s">
        <v>388</v>
      </c>
      <c r="AB131" s="20" t="s">
        <v>388</v>
      </c>
      <c r="AC131" s="20" t="s">
        <v>388</v>
      </c>
      <c r="AD131" s="20" t="s">
        <v>388</v>
      </c>
      <c r="AE131" s="20"/>
      <c r="AF131" s="9" t="n">
        <v>0</v>
      </c>
      <c r="AG131" s="12" t="n">
        <v>0</v>
      </c>
      <c r="AH131" s="22" t="s">
        <v>607</v>
      </c>
      <c r="AI131" s="12" t="str">
        <f>IF(AH131="","",IFERROR(RIGHT("0000"&amp;AH131,4)&amp;" - "&amp;UPPER(_xlfn.XLOOKUP(RIGHT("0000"&amp;AH131,4),CODEBOOK_CAP!$C$2:$C$212,CODEBOOK_CAP!$D$2:$D$212)),"Código CAP não encontrado"))</f>
        <v>1300 - GERAL</v>
      </c>
      <c r="AJ131" s="12" t="str">
        <f>IF(AH131="","",IFERROR(_xlfn.XLOOKUP(RIGHT("0000"&amp;AH131,4),CODEBOOK_CAP!$C$2:$C$212,CODEBOOK_CAP!$E$2:$E$212),"Código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31" s="22" t="s">
        <v>77</v>
      </c>
      <c r="AL131" s="26"/>
      <c r="AM131" s="22" t="s">
        <v>77</v>
      </c>
      <c r="AN131" s="22" t="s">
        <v>77</v>
      </c>
      <c r="AO131" s="12"/>
      <c r="AP131" s="22" t="s">
        <v>77</v>
      </c>
      <c r="AQ131" s="12"/>
      <c r="AR131" s="22" t="s">
        <v>77</v>
      </c>
      <c r="AS131" s="10"/>
      <c r="AT131" s="2" t="s">
        <v>82</v>
      </c>
      <c r="AU131" s="12" t="s">
        <v>83</v>
      </c>
      <c r="AV131" s="3" t="n">
        <v>46214</v>
      </c>
      <c r="AW131" s="21"/>
      <c r="AY131" s="1"/>
      <c r="BA131" s="1"/>
      <c r="BB131" s="1"/>
    </row>
    <row r="132" ht="120" customHeight="1">
      <c r="A132" s="20" t="s">
        <v>992</v>
      </c>
      <c r="B132" s="20" t="n">
        <v>2023</v>
      </c>
      <c r="C132" s="20" t="n">
        <v>255</v>
      </c>
      <c r="D132" s="20" t="s">
        <v>50</v>
      </c>
      <c r="E132" s="20" t="s">
        <v>976</v>
      </c>
      <c r="F132" s="20" t="s">
        <v>993</v>
      </c>
      <c r="G132" s="20" t="s">
        <v>86</v>
      </c>
      <c r="H132" s="20" t="s">
        <v>978</v>
      </c>
      <c r="I132" s="20"/>
      <c r="J132" s="20" t="s">
        <v>994</v>
      </c>
      <c r="K132" s="20" t="s">
        <v>122</v>
      </c>
      <c r="L132" s="20" t="s">
        <v>57</v>
      </c>
      <c r="M132" s="20" t="s">
        <v>58</v>
      </c>
      <c r="N132" s="20" t="s">
        <v>59</v>
      </c>
      <c r="O132" s="20" t="s">
        <v>60</v>
      </c>
      <c r="P132" s="20" t="s">
        <v>89</v>
      </c>
      <c r="Q132" s="20" t="s">
        <v>90</v>
      </c>
      <c r="R132" s="20" t="s">
        <v>91</v>
      </c>
      <c r="S132" s="20" t="s">
        <v>92</v>
      </c>
      <c r="T132" s="20" t="s">
        <v>123</v>
      </c>
      <c r="U132" s="20" t="s">
        <v>124</v>
      </c>
      <c r="V132" s="20" t="s">
        <v>95</v>
      </c>
      <c r="W132" s="20" t="s">
        <v>96</v>
      </c>
      <c r="X132" s="20" t="s">
        <v>97</v>
      </c>
      <c r="Y132" s="20" t="s">
        <v>70</v>
      </c>
      <c r="Z132" s="20" t="s">
        <v>98</v>
      </c>
      <c r="AA132" s="20" t="s">
        <v>980</v>
      </c>
      <c r="AB132" s="20" t="s">
        <v>980</v>
      </c>
      <c r="AC132" s="20" t="s">
        <v>980</v>
      </c>
      <c r="AD132" s="20" t="s">
        <v>980</v>
      </c>
      <c r="AE132" s="20"/>
      <c r="AF132" s="9" t="n">
        <v>1</v>
      </c>
      <c r="AG132" s="12" t="n">
        <v>1</v>
      </c>
      <c r="AH132" s="22" t="s">
        <v>235</v>
      </c>
      <c r="AI132" s="12" t="str">
        <f>IF(AH132="","",IFERROR(RIGHT("0000"&amp;AH132,4)&amp;" - "&amp;UPPER(_xlfn.XLOOKUP(RIGHT("0000"&amp;AH132,4),CODEBOOK_CAP!$C$2:$C$212,CODEBOOK_CAP!$D$2:$D$212)),"Código CAP não encontrado"))</f>
        <v>0322 - ESTRUTURAS, HOSPITAIS, CLÍNICAS</v>
      </c>
      <c r="AJ132" s="12" t="str">
        <f>IF(AH132="","",IFERROR(_xlfn.XLOOKUP(RIGHT("0000"&amp;AH132,4),CODEBOOK_CAP!$C$2:$C$212,CODEBOOK_CAP!$E$2:$E$212),"Código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2" s="22" t="s">
        <v>77</v>
      </c>
      <c r="AL132" s="26"/>
      <c r="AM132" s="22" t="s">
        <v>79</v>
      </c>
      <c r="AN132" s="22" t="s">
        <v>79</v>
      </c>
      <c r="AO132" s="12" t="s">
        <v>840</v>
      </c>
      <c r="AP132" s="22" t="s">
        <v>77</v>
      </c>
      <c r="AQ132" s="12"/>
      <c r="AR132" s="22" t="s">
        <v>77</v>
      </c>
      <c r="AS132" s="10"/>
      <c r="AT132" s="2" t="s">
        <v>82</v>
      </c>
      <c r="AU132" s="12" t="s">
        <v>83</v>
      </c>
      <c r="AV132" s="3" t="n">
        <v>46214</v>
      </c>
      <c r="AW132" s="21"/>
      <c r="AY132" s="1"/>
      <c r="BA132" s="1"/>
      <c r="BB132" s="1"/>
    </row>
    <row r="133" ht="120" customHeight="1">
      <c r="A133" s="20" t="s">
        <v>995</v>
      </c>
      <c r="B133" s="20" t="n">
        <v>2023</v>
      </c>
      <c r="C133" s="20" t="n">
        <v>256</v>
      </c>
      <c r="D133" s="20" t="s">
        <v>50</v>
      </c>
      <c r="E133" s="20" t="s">
        <v>976</v>
      </c>
      <c r="F133" s="20" t="s">
        <v>996</v>
      </c>
      <c r="G133" s="20" t="s">
        <v>86</v>
      </c>
      <c r="H133" s="20" t="s">
        <v>978</v>
      </c>
      <c r="I133" s="20"/>
      <c r="J133" s="20" t="s">
        <v>997</v>
      </c>
      <c r="K133" s="20" t="s">
        <v>122</v>
      </c>
      <c r="L133" s="20" t="s">
        <v>57</v>
      </c>
      <c r="M133" s="20" t="s">
        <v>58</v>
      </c>
      <c r="N133" s="20" t="s">
        <v>59</v>
      </c>
      <c r="O133" s="20" t="s">
        <v>60</v>
      </c>
      <c r="P133" s="20" t="s">
        <v>89</v>
      </c>
      <c r="Q133" s="20" t="s">
        <v>90</v>
      </c>
      <c r="R133" s="20" t="s">
        <v>91</v>
      </c>
      <c r="S133" s="20" t="s">
        <v>92</v>
      </c>
      <c r="T133" s="20" t="s">
        <v>123</v>
      </c>
      <c r="U133" s="20" t="s">
        <v>124</v>
      </c>
      <c r="V133" s="20" t="s">
        <v>95</v>
      </c>
      <c r="W133" s="20" t="s">
        <v>96</v>
      </c>
      <c r="X133" s="20" t="s">
        <v>97</v>
      </c>
      <c r="Y133" s="20" t="s">
        <v>70</v>
      </c>
      <c r="Z133" s="20" t="s">
        <v>98</v>
      </c>
      <c r="AA133" s="20" t="s">
        <v>980</v>
      </c>
      <c r="AB133" s="20" t="s">
        <v>980</v>
      </c>
      <c r="AC133" s="20" t="s">
        <v>980</v>
      </c>
      <c r="AD133" s="20" t="s">
        <v>980</v>
      </c>
      <c r="AE133" s="20"/>
      <c r="AF133" s="9" t="n">
        <v>1</v>
      </c>
      <c r="AG133" s="12" t="n">
        <v>1</v>
      </c>
      <c r="AH133" s="22" t="s">
        <v>235</v>
      </c>
      <c r="AI133" s="12" t="str">
        <f>IF(AH133="","",IFERROR(RIGHT("0000"&amp;AH133,4)&amp;" - "&amp;UPPER(_xlfn.XLOOKUP(RIGHT("0000"&amp;AH133,4),CODEBOOK_CAP!$C$2:$C$212,CODEBOOK_CAP!$D$2:$D$212)),"Código CAP não encontrado"))</f>
        <v>0322 - ESTRUTURAS, HOSPITAIS, CLÍNICAS</v>
      </c>
      <c r="AJ133" s="12" t="str">
        <f>IF(AH133="","",IFERROR(_xlfn.XLOOKUP(RIGHT("0000"&amp;AH133,4),CODEBOOK_CAP!$C$2:$C$212,CODEBOOK_CAP!$E$2:$E$212),"Código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3" s="22" t="s">
        <v>77</v>
      </c>
      <c r="AL133" s="26"/>
      <c r="AM133" s="22" t="s">
        <v>79</v>
      </c>
      <c r="AN133" s="22" t="s">
        <v>79</v>
      </c>
      <c r="AO133" s="12" t="s">
        <v>998</v>
      </c>
      <c r="AP133" s="22" t="s">
        <v>77</v>
      </c>
      <c r="AQ133" s="12"/>
      <c r="AR133" s="22" t="s">
        <v>77</v>
      </c>
      <c r="AS133" s="10"/>
      <c r="AT133" s="2" t="s">
        <v>82</v>
      </c>
      <c r="AU133" s="12" t="s">
        <v>83</v>
      </c>
      <c r="AV133" s="3" t="n">
        <v>46214</v>
      </c>
      <c r="AW133" s="21"/>
      <c r="AY133" s="1"/>
      <c r="BA133" s="1"/>
      <c r="BB133" s="1"/>
    </row>
    <row r="134" ht="120" customHeight="1">
      <c r="A134" s="20" t="s">
        <v>999</v>
      </c>
      <c r="B134" s="20" t="n">
        <v>2023</v>
      </c>
      <c r="C134" s="20" t="n">
        <v>257</v>
      </c>
      <c r="D134" s="20" t="s">
        <v>50</v>
      </c>
      <c r="E134" s="20" t="s">
        <v>976</v>
      </c>
      <c r="F134" s="20" t="s">
        <v>1000</v>
      </c>
      <c r="G134" s="20" t="s">
        <v>86</v>
      </c>
      <c r="H134" s="20" t="s">
        <v>978</v>
      </c>
      <c r="I134" s="20"/>
      <c r="J134" s="20" t="s">
        <v>1001</v>
      </c>
      <c r="K134" s="20" t="s">
        <v>122</v>
      </c>
      <c r="L134" s="20" t="s">
        <v>57</v>
      </c>
      <c r="M134" s="20" t="s">
        <v>58</v>
      </c>
      <c r="N134" s="20" t="s">
        <v>59</v>
      </c>
      <c r="O134" s="20" t="s">
        <v>60</v>
      </c>
      <c r="P134" s="20" t="s">
        <v>89</v>
      </c>
      <c r="Q134" s="20" t="s">
        <v>90</v>
      </c>
      <c r="R134" s="20" t="s">
        <v>91</v>
      </c>
      <c r="S134" s="20" t="s">
        <v>92</v>
      </c>
      <c r="T134" s="20" t="s">
        <v>123</v>
      </c>
      <c r="U134" s="20" t="s">
        <v>124</v>
      </c>
      <c r="V134" s="20" t="s">
        <v>95</v>
      </c>
      <c r="W134" s="20" t="s">
        <v>96</v>
      </c>
      <c r="X134" s="20" t="s">
        <v>97</v>
      </c>
      <c r="Y134" s="20" t="s">
        <v>70</v>
      </c>
      <c r="Z134" s="20" t="s">
        <v>98</v>
      </c>
      <c r="AA134" s="20" t="s">
        <v>980</v>
      </c>
      <c r="AB134" s="20" t="s">
        <v>980</v>
      </c>
      <c r="AC134" s="20" t="s">
        <v>980</v>
      </c>
      <c r="AD134" s="20" t="s">
        <v>980</v>
      </c>
      <c r="AE134" s="20"/>
      <c r="AF134" s="9" t="n">
        <v>1</v>
      </c>
      <c r="AG134" s="12" t="n">
        <v>1</v>
      </c>
      <c r="AH134" s="22" t="s">
        <v>235</v>
      </c>
      <c r="AI134" s="12" t="str">
        <f>IF(AH134="","",IFERROR(RIGHT("0000"&amp;AH134,4)&amp;" - "&amp;UPPER(_xlfn.XLOOKUP(RIGHT("0000"&amp;AH134,4),CODEBOOK_CAP!$C$2:$C$212,CODEBOOK_CAP!$D$2:$D$212)),"Código CAP não encontrado"))</f>
        <v>0322 - ESTRUTURAS, HOSPITAIS, CLÍNICAS</v>
      </c>
      <c r="AJ134" s="12" t="str">
        <f>IF(AH134="","",IFERROR(_xlfn.XLOOKUP(RIGHT("0000"&amp;AH134,4),CODEBOOK_CAP!$C$2:$C$212,CODEBOOK_CAP!$E$2:$E$212),"Código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4" s="22" t="s">
        <v>77</v>
      </c>
      <c r="AL134" s="26"/>
      <c r="AM134" s="22" t="s">
        <v>79</v>
      </c>
      <c r="AN134" s="22" t="s">
        <v>79</v>
      </c>
      <c r="AO134" s="12" t="s">
        <v>1002</v>
      </c>
      <c r="AP134" s="22" t="s">
        <v>77</v>
      </c>
      <c r="AQ134" s="12"/>
      <c r="AR134" s="22" t="s">
        <v>77</v>
      </c>
      <c r="AS134" s="10"/>
      <c r="AT134" s="2" t="s">
        <v>82</v>
      </c>
      <c r="AU134" s="12" t="s">
        <v>83</v>
      </c>
      <c r="AV134" s="3" t="n">
        <v>46214</v>
      </c>
      <c r="AW134" s="21"/>
      <c r="AY134" s="1"/>
      <c r="BA134" s="1"/>
      <c r="BB134" s="1"/>
    </row>
    <row r="135" ht="210" customHeight="1">
      <c r="A135" s="20" t="s">
        <v>1003</v>
      </c>
      <c r="B135" s="20" t="n">
        <v>2023</v>
      </c>
      <c r="C135" s="20" t="n">
        <v>258</v>
      </c>
      <c r="D135" s="20" t="s">
        <v>50</v>
      </c>
      <c r="E135" s="20" t="s">
        <v>976</v>
      </c>
      <c r="F135" s="20" t="s">
        <v>1004</v>
      </c>
      <c r="G135" s="20" t="s">
        <v>315</v>
      </c>
      <c r="H135" s="20" t="s">
        <v>978</v>
      </c>
      <c r="I135" s="20"/>
      <c r="J135" s="20" t="s">
        <v>1005</v>
      </c>
      <c r="K135" s="20" t="s">
        <v>273</v>
      </c>
      <c r="L135" s="20" t="s">
        <v>274</v>
      </c>
      <c r="M135" s="20" t="s">
        <v>275</v>
      </c>
      <c r="N135" s="20" t="s">
        <v>276</v>
      </c>
      <c r="O135" s="20" t="s">
        <v>277</v>
      </c>
      <c r="P135" s="20" t="s">
        <v>278</v>
      </c>
      <c r="Q135" s="20" t="s">
        <v>279</v>
      </c>
      <c r="R135" s="20" t="s">
        <v>280</v>
      </c>
      <c r="S135" s="20" t="s">
        <v>281</v>
      </c>
      <c r="T135" s="20" t="s">
        <v>282</v>
      </c>
      <c r="U135" s="20" t="s">
        <v>283</v>
      </c>
      <c r="V135" s="20" t="s">
        <v>95</v>
      </c>
      <c r="W135" s="20" t="s">
        <v>96</v>
      </c>
      <c r="X135" s="20" t="s">
        <v>97</v>
      </c>
      <c r="Y135" s="20" t="s">
        <v>70</v>
      </c>
      <c r="Z135" s="20" t="s">
        <v>284</v>
      </c>
      <c r="AA135" s="20" t="s">
        <v>388</v>
      </c>
      <c r="AB135" s="20" t="s">
        <v>388</v>
      </c>
      <c r="AC135" s="20" t="s">
        <v>388</v>
      </c>
      <c r="AD135" s="20" t="s">
        <v>388</v>
      </c>
      <c r="AE135" s="20"/>
      <c r="AF135" s="9" t="n">
        <v>0</v>
      </c>
      <c r="AG135" s="12" t="n">
        <v>0</v>
      </c>
      <c r="AH135" s="22" t="s">
        <v>607</v>
      </c>
      <c r="AI135" s="12" t="str">
        <f>IF(AH135="","",IFERROR(RIGHT("0000"&amp;AH135,4)&amp;" - "&amp;UPPER(_xlfn.XLOOKUP(RIGHT("0000"&amp;AH135,4),CODEBOOK_CAP!$C$2:$C$212,CODEBOOK_CAP!$D$2:$D$212)),"Código CAP não encontrado"))</f>
        <v>1300 - GERAL</v>
      </c>
      <c r="AJ135" s="12" t="str">
        <f>IF(AH135="","",IFERROR(_xlfn.XLOOKUP(RIGHT("0000"&amp;AH135,4),CODEBOOK_CAP!$C$2:$C$212,CODEBOOK_CAP!$E$2:$E$212),"Código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35" s="22" t="s">
        <v>77</v>
      </c>
      <c r="AL135" s="26"/>
      <c r="AM135" s="22" t="s">
        <v>77</v>
      </c>
      <c r="AN135" s="22" t="s">
        <v>77</v>
      </c>
      <c r="AO135" s="12"/>
      <c r="AP135" s="22" t="s">
        <v>77</v>
      </c>
      <c r="AQ135" s="12"/>
      <c r="AR135" s="22" t="s">
        <v>77</v>
      </c>
      <c r="AS135" s="10"/>
      <c r="AT135" s="2" t="s">
        <v>82</v>
      </c>
      <c r="AU135" s="12" t="s">
        <v>83</v>
      </c>
      <c r="AV135" s="3" t="n">
        <v>46214</v>
      </c>
      <c r="AW135" s="21"/>
      <c r="AY135" s="1"/>
      <c r="BA135" s="1"/>
      <c r="BB135" s="1"/>
    </row>
    <row r="136" ht="210" customHeight="1">
      <c r="A136" s="20" t="s">
        <v>1006</v>
      </c>
      <c r="B136" s="20" t="n">
        <v>2023</v>
      </c>
      <c r="C136" s="20" t="n">
        <v>259</v>
      </c>
      <c r="D136" s="20" t="s">
        <v>50</v>
      </c>
      <c r="E136" s="20" t="s">
        <v>976</v>
      </c>
      <c r="F136" s="20" t="s">
        <v>1007</v>
      </c>
      <c r="G136" s="20" t="s">
        <v>86</v>
      </c>
      <c r="H136" s="20" t="s">
        <v>978</v>
      </c>
      <c r="I136" s="20"/>
      <c r="J136" s="20" t="s">
        <v>1008</v>
      </c>
      <c r="K136" s="20" t="s">
        <v>273</v>
      </c>
      <c r="L136" s="20" t="s">
        <v>274</v>
      </c>
      <c r="M136" s="20" t="s">
        <v>275</v>
      </c>
      <c r="N136" s="20" t="s">
        <v>276</v>
      </c>
      <c r="O136" s="20" t="s">
        <v>277</v>
      </c>
      <c r="P136" s="20" t="s">
        <v>278</v>
      </c>
      <c r="Q136" s="20" t="s">
        <v>279</v>
      </c>
      <c r="R136" s="20" t="s">
        <v>280</v>
      </c>
      <c r="S136" s="20" t="s">
        <v>281</v>
      </c>
      <c r="T136" s="20" t="s">
        <v>282</v>
      </c>
      <c r="U136" s="20" t="s">
        <v>283</v>
      </c>
      <c r="V136" s="20" t="s">
        <v>95</v>
      </c>
      <c r="W136" s="20" t="s">
        <v>96</v>
      </c>
      <c r="X136" s="20" t="s">
        <v>97</v>
      </c>
      <c r="Y136" s="20" t="s">
        <v>70</v>
      </c>
      <c r="Z136" s="20" t="s">
        <v>284</v>
      </c>
      <c r="AA136" s="20" t="s">
        <v>292</v>
      </c>
      <c r="AB136" s="20" t="s">
        <v>292</v>
      </c>
      <c r="AC136" s="20" t="s">
        <v>233</v>
      </c>
      <c r="AD136" s="20" t="s">
        <v>292</v>
      </c>
      <c r="AE136" s="20"/>
      <c r="AF136" s="9" t="n">
        <v>0</v>
      </c>
      <c r="AG136" s="12" t="n">
        <v>0</v>
      </c>
      <c r="AH136" s="22" t="s">
        <v>607</v>
      </c>
      <c r="AI136" s="12" t="str">
        <f>IF(AH136="","",IFERROR(RIGHT("0000"&amp;AH136,4)&amp;" - "&amp;UPPER(_xlfn.XLOOKUP(RIGHT("0000"&amp;AH136,4),CODEBOOK_CAP!$C$2:$C$212,CODEBOOK_CAP!$D$2:$D$212)),"Código CAP não encontrado"))</f>
        <v>1300 - GERAL</v>
      </c>
      <c r="AJ136" s="12" t="str">
        <f>IF(AH136="","",IFERROR(_xlfn.XLOOKUP(RIGHT("0000"&amp;AH136,4),CODEBOOK_CAP!$C$2:$C$212,CODEBOOK_CAP!$E$2:$E$212),"Código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36" s="22" t="s">
        <v>77</v>
      </c>
      <c r="AL136" s="26"/>
      <c r="AM136" s="22" t="s">
        <v>77</v>
      </c>
      <c r="AN136" s="22" t="s">
        <v>77</v>
      </c>
      <c r="AO136" s="12"/>
      <c r="AP136" s="22" t="s">
        <v>77</v>
      </c>
      <c r="AQ136" s="12"/>
      <c r="AR136" s="22" t="s">
        <v>77</v>
      </c>
      <c r="AS136" s="10"/>
      <c r="AT136" s="2" t="s">
        <v>82</v>
      </c>
      <c r="AU136" s="12" t="s">
        <v>83</v>
      </c>
      <c r="AV136" s="3" t="n">
        <v>46214</v>
      </c>
      <c r="AW136" s="21"/>
      <c r="AY136" s="1"/>
      <c r="BA136" s="1"/>
      <c r="BB136" s="1"/>
    </row>
    <row r="137" ht="120" customHeight="1">
      <c r="A137" s="20" t="s">
        <v>1009</v>
      </c>
      <c r="B137" s="20" t="n">
        <v>2023</v>
      </c>
      <c r="C137" s="20" t="n">
        <v>260</v>
      </c>
      <c r="D137" s="20" t="s">
        <v>50</v>
      </c>
      <c r="E137" s="20" t="s">
        <v>976</v>
      </c>
      <c r="F137" s="20" t="s">
        <v>1010</v>
      </c>
      <c r="G137" s="20" t="s">
        <v>86</v>
      </c>
      <c r="H137" s="20" t="s">
        <v>978</v>
      </c>
      <c r="I137" s="20"/>
      <c r="J137" s="20" t="s">
        <v>1011</v>
      </c>
      <c r="K137" s="20" t="s">
        <v>122</v>
      </c>
      <c r="L137" s="20" t="s">
        <v>57</v>
      </c>
      <c r="M137" s="20" t="s">
        <v>58</v>
      </c>
      <c r="N137" s="20" t="s">
        <v>59</v>
      </c>
      <c r="O137" s="20" t="s">
        <v>60</v>
      </c>
      <c r="P137" s="20" t="s">
        <v>89</v>
      </c>
      <c r="Q137" s="20" t="s">
        <v>90</v>
      </c>
      <c r="R137" s="20" t="s">
        <v>91</v>
      </c>
      <c r="S137" s="20" t="s">
        <v>92</v>
      </c>
      <c r="T137" s="20" t="s">
        <v>123</v>
      </c>
      <c r="U137" s="20" t="s">
        <v>124</v>
      </c>
      <c r="V137" s="20" t="s">
        <v>95</v>
      </c>
      <c r="W137" s="20" t="s">
        <v>96</v>
      </c>
      <c r="X137" s="20" t="s">
        <v>97</v>
      </c>
      <c r="Y137" s="20" t="s">
        <v>70</v>
      </c>
      <c r="Z137" s="20" t="s">
        <v>98</v>
      </c>
      <c r="AA137" s="20" t="s">
        <v>980</v>
      </c>
      <c r="AB137" s="20" t="s">
        <v>980</v>
      </c>
      <c r="AC137" s="20" t="s">
        <v>980</v>
      </c>
      <c r="AD137" s="20" t="s">
        <v>980</v>
      </c>
      <c r="AE137" s="20"/>
      <c r="AF137" s="9" t="n">
        <v>1</v>
      </c>
      <c r="AG137" s="12" t="n">
        <v>1</v>
      </c>
      <c r="AH137" s="22" t="s">
        <v>235</v>
      </c>
      <c r="AI137" s="12" t="str">
        <f>IF(AH137="","",IFERROR(RIGHT("0000"&amp;AH137,4)&amp;" - "&amp;UPPER(_xlfn.XLOOKUP(RIGHT("0000"&amp;AH137,4),CODEBOOK_CAP!$C$2:$C$212,CODEBOOK_CAP!$D$2:$D$212)),"Código CAP não encontrado"))</f>
        <v>0322 - ESTRUTURAS, HOSPITAIS, CLÍNICAS</v>
      </c>
      <c r="AJ137" s="12" t="str">
        <f>IF(AH137="","",IFERROR(_xlfn.XLOOKUP(RIGHT("0000"&amp;AH137,4),CODEBOOK_CAP!$C$2:$C$212,CODEBOOK_CAP!$E$2:$E$212),"Código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37" s="22" t="s">
        <v>77</v>
      </c>
      <c r="AL137" s="26"/>
      <c r="AM137" s="22" t="s">
        <v>79</v>
      </c>
      <c r="AN137" s="22" t="s">
        <v>79</v>
      </c>
      <c r="AO137" s="12" t="s">
        <v>741</v>
      </c>
      <c r="AP137" s="22" t="s">
        <v>77</v>
      </c>
      <c r="AQ137" s="12"/>
      <c r="AR137" s="22" t="s">
        <v>77</v>
      </c>
      <c r="AS137" s="10"/>
      <c r="AT137" s="2" t="s">
        <v>82</v>
      </c>
      <c r="AU137" s="12" t="s">
        <v>83</v>
      </c>
      <c r="AV137" s="3" t="n">
        <v>46214</v>
      </c>
      <c r="AW137" s="21"/>
      <c r="AY137" s="1"/>
      <c r="BA137" s="1"/>
      <c r="BB137" s="1"/>
    </row>
    <row r="138" ht="210" customHeight="1">
      <c r="A138" s="20" t="s">
        <v>1012</v>
      </c>
      <c r="B138" s="20" t="n">
        <v>2023</v>
      </c>
      <c r="C138" s="20" t="n">
        <v>261</v>
      </c>
      <c r="D138" s="20" t="s">
        <v>50</v>
      </c>
      <c r="E138" s="20" t="s">
        <v>976</v>
      </c>
      <c r="F138" s="20" t="s">
        <v>1013</v>
      </c>
      <c r="G138" s="20" t="s">
        <v>315</v>
      </c>
      <c r="H138" s="20" t="s">
        <v>978</v>
      </c>
      <c r="I138" s="20"/>
      <c r="J138" s="20" t="s">
        <v>1014</v>
      </c>
      <c r="K138" s="20" t="s">
        <v>273</v>
      </c>
      <c r="L138" s="20" t="s">
        <v>274</v>
      </c>
      <c r="M138" s="20" t="s">
        <v>275</v>
      </c>
      <c r="N138" s="20" t="s">
        <v>276</v>
      </c>
      <c r="O138" s="20" t="s">
        <v>277</v>
      </c>
      <c r="P138" s="20" t="s">
        <v>278</v>
      </c>
      <c r="Q138" s="20" t="s">
        <v>279</v>
      </c>
      <c r="R138" s="20" t="s">
        <v>280</v>
      </c>
      <c r="S138" s="20" t="s">
        <v>281</v>
      </c>
      <c r="T138" s="20" t="s">
        <v>282</v>
      </c>
      <c r="U138" s="20" t="s">
        <v>283</v>
      </c>
      <c r="V138" s="20" t="s">
        <v>95</v>
      </c>
      <c r="W138" s="20" t="s">
        <v>96</v>
      </c>
      <c r="X138" s="20" t="s">
        <v>97</v>
      </c>
      <c r="Y138" s="20" t="s">
        <v>70</v>
      </c>
      <c r="Z138" s="20" t="s">
        <v>284</v>
      </c>
      <c r="AA138" s="20" t="s">
        <v>1015</v>
      </c>
      <c r="AB138" s="20" t="s">
        <v>1015</v>
      </c>
      <c r="AC138" s="20" t="s">
        <v>1015</v>
      </c>
      <c r="AD138" s="20" t="s">
        <v>1015</v>
      </c>
      <c r="AE138" s="20"/>
      <c r="AF138" s="9" t="n">
        <v>0</v>
      </c>
      <c r="AG138" s="12" t="n">
        <v>0</v>
      </c>
      <c r="AH138" s="22" t="s">
        <v>607</v>
      </c>
      <c r="AI138" s="12" t="str">
        <f>IF(AH138="","",IFERROR(RIGHT("0000"&amp;AH138,4)&amp;" - "&amp;UPPER(_xlfn.XLOOKUP(RIGHT("0000"&amp;AH138,4),CODEBOOK_CAP!$C$2:$C$212,CODEBOOK_CAP!$D$2:$D$212)),"Código CAP não encontrado"))</f>
        <v>1300 - GERAL</v>
      </c>
      <c r="AJ138" s="12" t="str">
        <f>IF(AH138="","",IFERROR(_xlfn.XLOOKUP(RIGHT("0000"&amp;AH138,4),CODEBOOK_CAP!$C$2:$C$212,CODEBOOK_CAP!$E$2:$E$212),"Código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38" s="22" t="s">
        <v>77</v>
      </c>
      <c r="AL138" s="26"/>
      <c r="AM138" s="22" t="s">
        <v>77</v>
      </c>
      <c r="AN138" s="22" t="s">
        <v>77</v>
      </c>
      <c r="AO138" s="12"/>
      <c r="AP138" s="22" t="s">
        <v>77</v>
      </c>
      <c r="AQ138" s="12"/>
      <c r="AR138" s="22" t="s">
        <v>77</v>
      </c>
      <c r="AS138" s="10"/>
      <c r="AT138" s="2" t="s">
        <v>82</v>
      </c>
      <c r="AU138" s="12" t="s">
        <v>83</v>
      </c>
      <c r="AV138" s="3" t="n">
        <v>46214</v>
      </c>
      <c r="AW138" s="21"/>
      <c r="AY138" s="1"/>
      <c r="BA138" s="1"/>
      <c r="BB138" s="1"/>
    </row>
    <row r="139" ht="180" customHeight="1">
      <c r="A139" s="20" t="s">
        <v>1016</v>
      </c>
      <c r="B139" s="20" t="n">
        <v>2023</v>
      </c>
      <c r="C139" s="20" t="n">
        <v>156</v>
      </c>
      <c r="D139" s="20" t="s">
        <v>50</v>
      </c>
      <c r="E139" s="20" t="s">
        <v>976</v>
      </c>
      <c r="F139" s="20" t="s">
        <v>1017</v>
      </c>
      <c r="G139" s="20" t="s">
        <v>53</v>
      </c>
      <c r="H139" s="20" t="s">
        <v>978</v>
      </c>
      <c r="I139" s="20"/>
      <c r="J139" s="20" t="s">
        <v>1018</v>
      </c>
      <c r="K139" s="20" t="s">
        <v>1019</v>
      </c>
      <c r="L139" s="20" t="s">
        <v>1020</v>
      </c>
      <c r="M139" s="20" t="s">
        <v>1021</v>
      </c>
      <c r="N139" s="20" t="s">
        <v>724</v>
      </c>
      <c r="O139" s="20" t="s">
        <v>725</v>
      </c>
      <c r="P139" s="20" t="s">
        <v>1022</v>
      </c>
      <c r="Q139" s="20" t="s">
        <v>1023</v>
      </c>
      <c r="R139" s="20" t="s">
        <v>1024</v>
      </c>
      <c r="S139" s="20" t="s">
        <v>1025</v>
      </c>
      <c r="T139" s="20" t="s">
        <v>1026</v>
      </c>
      <c r="U139" s="20" t="s">
        <v>1027</v>
      </c>
      <c r="V139" s="20" t="s">
        <v>196</v>
      </c>
      <c r="W139" s="20" t="s">
        <v>68</v>
      </c>
      <c r="X139" s="20" t="s">
        <v>69</v>
      </c>
      <c r="Y139" s="20" t="s">
        <v>70</v>
      </c>
      <c r="Z139" s="20" t="s">
        <v>177</v>
      </c>
      <c r="AA139" s="20" t="s">
        <v>409</v>
      </c>
      <c r="AB139" s="20" t="s">
        <v>1028</v>
      </c>
      <c r="AC139" s="20" t="s">
        <v>1028</v>
      </c>
      <c r="AD139" s="20" t="s">
        <v>1028</v>
      </c>
      <c r="AE139" s="20" t="s">
        <v>1029</v>
      </c>
      <c r="AF139" s="9" t="n">
        <v>0</v>
      </c>
      <c r="AG139" s="12" t="n">
        <v>0</v>
      </c>
      <c r="AH139" s="22" t="s">
        <v>1030</v>
      </c>
      <c r="AI139" s="12" t="str">
        <f>IF(AH139="","",IFERROR(RIGHT("0000"&amp;AH139,4)&amp;" - "&amp;UPPER(_xlfn.XLOOKUP(RIGHT("0000"&amp;AH139,4),CODEBOOK_CAP!$C$2:$C$212,CODEBOOK_CAP!$D$2:$D$212)),"Código CAP não encontrado"))</f>
        <v>1201 - POLÍCIA, AGENCIAS E INSTITUIÇÕES - LEI E CRIMES</v>
      </c>
      <c r="AJ139" s="12" t="str">
        <f>IF(AH139="","",IFERROR(_xlfn.XLOOKUP(RIGHT("0000"&amp;AH139,4),CODEBOOK_CAP!$C$2:$C$212,CODEBOOK_CAP!$E$2:$E$212),"Código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139" s="22" t="s">
        <v>77</v>
      </c>
      <c r="AL139" s="26"/>
      <c r="AM139" s="22" t="s">
        <v>77</v>
      </c>
      <c r="AN139" s="22" t="s">
        <v>77</v>
      </c>
      <c r="AO139" s="12"/>
      <c r="AP139" s="22" t="s">
        <v>77</v>
      </c>
      <c r="AQ139" s="12"/>
      <c r="AR139" s="22" t="s">
        <v>79</v>
      </c>
      <c r="AS139" s="22" t="s">
        <v>1029</v>
      </c>
      <c r="AT139" s="2" t="s">
        <v>82</v>
      </c>
      <c r="AU139" s="12" t="s">
        <v>83</v>
      </c>
      <c r="AV139" s="3" t="n">
        <v>46214</v>
      </c>
      <c r="AW139" s="21"/>
      <c r="AY139" s="1"/>
      <c r="BA139" s="1"/>
      <c r="BB139" s="1"/>
    </row>
    <row r="140" ht="120" customHeight="1">
      <c r="A140" s="20" t="s">
        <v>1031</v>
      </c>
      <c r="B140" s="20" t="n">
        <v>2023</v>
      </c>
      <c r="C140" s="20" t="n">
        <v>262</v>
      </c>
      <c r="D140" s="20" t="s">
        <v>50</v>
      </c>
      <c r="E140" s="20" t="s">
        <v>976</v>
      </c>
      <c r="F140" s="20" t="s">
        <v>212</v>
      </c>
      <c r="G140" s="20" t="s">
        <v>86</v>
      </c>
      <c r="H140" s="20" t="s">
        <v>978</v>
      </c>
      <c r="I140" s="20"/>
      <c r="J140" s="20" t="s">
        <v>1032</v>
      </c>
      <c r="K140" s="20" t="s">
        <v>122</v>
      </c>
      <c r="L140" s="20" t="s">
        <v>57</v>
      </c>
      <c r="M140" s="20" t="s">
        <v>58</v>
      </c>
      <c r="N140" s="20" t="s">
        <v>59</v>
      </c>
      <c r="O140" s="20" t="s">
        <v>60</v>
      </c>
      <c r="P140" s="20" t="s">
        <v>89</v>
      </c>
      <c r="Q140" s="20" t="s">
        <v>90</v>
      </c>
      <c r="R140" s="20" t="s">
        <v>91</v>
      </c>
      <c r="S140" s="20" t="s">
        <v>92</v>
      </c>
      <c r="T140" s="20" t="s">
        <v>123</v>
      </c>
      <c r="U140" s="20" t="s">
        <v>124</v>
      </c>
      <c r="V140" s="20" t="s">
        <v>95</v>
      </c>
      <c r="W140" s="20" t="s">
        <v>96</v>
      </c>
      <c r="X140" s="20" t="s">
        <v>97</v>
      </c>
      <c r="Y140" s="20" t="s">
        <v>70</v>
      </c>
      <c r="Z140" s="20" t="s">
        <v>98</v>
      </c>
      <c r="AA140" s="20" t="s">
        <v>1033</v>
      </c>
      <c r="AB140" s="20" t="s">
        <v>1033</v>
      </c>
      <c r="AC140" s="20" t="s">
        <v>1033</v>
      </c>
      <c r="AD140" s="20" t="s">
        <v>1033</v>
      </c>
      <c r="AE140" s="20"/>
      <c r="AF140" s="9" t="n">
        <v>1</v>
      </c>
      <c r="AG140" s="12" t="n">
        <v>1</v>
      </c>
      <c r="AH140" s="22" t="s">
        <v>235</v>
      </c>
      <c r="AI140" s="12" t="str">
        <f>IF(AH140="","",IFERROR(RIGHT("0000"&amp;AH140,4)&amp;" - "&amp;UPPER(_xlfn.XLOOKUP(RIGHT("0000"&amp;AH140,4),CODEBOOK_CAP!$C$2:$C$212,CODEBOOK_CAP!$D$2:$D$212)),"Código CAP não encontrado"))</f>
        <v>0322 - ESTRUTURAS, HOSPITAIS, CLÍNICAS</v>
      </c>
      <c r="AJ140" s="12" t="str">
        <f>IF(AH140="","",IFERROR(_xlfn.XLOOKUP(RIGHT("0000"&amp;AH140,4),CODEBOOK_CAP!$C$2:$C$212,CODEBOOK_CAP!$E$2:$E$212),"Código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0" s="22" t="s">
        <v>79</v>
      </c>
      <c r="AL140" s="26" t="s">
        <v>1034</v>
      </c>
      <c r="AM140" s="22" t="s">
        <v>79</v>
      </c>
      <c r="AN140" s="22" t="s">
        <v>79</v>
      </c>
      <c r="AO140" s="12" t="s">
        <v>1035</v>
      </c>
      <c r="AP140" s="22" t="s">
        <v>77</v>
      </c>
      <c r="AQ140" s="12"/>
      <c r="AR140" s="22" t="s">
        <v>77</v>
      </c>
      <c r="AS140" s="10"/>
      <c r="AT140" s="2" t="s">
        <v>82</v>
      </c>
      <c r="AU140" s="12" t="s">
        <v>83</v>
      </c>
      <c r="AV140" s="3" t="n">
        <v>46214</v>
      </c>
      <c r="AW140" s="21"/>
      <c r="AY140" s="1"/>
      <c r="BA140" s="1"/>
      <c r="BB140" s="1"/>
    </row>
    <row r="141" ht="120" customHeight="1">
      <c r="A141" s="20" t="s">
        <v>1036</v>
      </c>
      <c r="B141" s="20" t="n">
        <v>2023</v>
      </c>
      <c r="C141" s="20" t="n">
        <v>263</v>
      </c>
      <c r="D141" s="20" t="s">
        <v>50</v>
      </c>
      <c r="E141" s="20" t="s">
        <v>976</v>
      </c>
      <c r="F141" s="20" t="s">
        <v>483</v>
      </c>
      <c r="G141" s="20" t="s">
        <v>86</v>
      </c>
      <c r="H141" s="20" t="s">
        <v>978</v>
      </c>
      <c r="I141" s="20"/>
      <c r="J141" s="20" t="s">
        <v>1037</v>
      </c>
      <c r="K141" s="20" t="s">
        <v>416</v>
      </c>
      <c r="L141" s="20" t="s">
        <v>57</v>
      </c>
      <c r="M141" s="20" t="s">
        <v>58</v>
      </c>
      <c r="N141" s="20" t="s">
        <v>59</v>
      </c>
      <c r="O141" s="20" t="s">
        <v>60</v>
      </c>
      <c r="P141" s="20" t="s">
        <v>89</v>
      </c>
      <c r="Q141" s="20" t="s">
        <v>90</v>
      </c>
      <c r="R141" s="20" t="s">
        <v>91</v>
      </c>
      <c r="S141" s="20" t="s">
        <v>92</v>
      </c>
      <c r="T141" s="20" t="s">
        <v>123</v>
      </c>
      <c r="U141" s="20" t="s">
        <v>124</v>
      </c>
      <c r="V141" s="20" t="s">
        <v>417</v>
      </c>
      <c r="W141" s="20" t="s">
        <v>96</v>
      </c>
      <c r="X141" s="20" t="s">
        <v>97</v>
      </c>
      <c r="Y141" s="20" t="s">
        <v>70</v>
      </c>
      <c r="Z141" s="20" t="s">
        <v>98</v>
      </c>
      <c r="AA141" s="20" t="s">
        <v>125</v>
      </c>
      <c r="AB141" s="20" t="s">
        <v>125</v>
      </c>
      <c r="AC141" s="20" t="s">
        <v>125</v>
      </c>
      <c r="AD141" s="20" t="s">
        <v>125</v>
      </c>
      <c r="AE141" s="20"/>
      <c r="AF141" s="9" t="n">
        <v>1</v>
      </c>
      <c r="AG141" s="12" t="n">
        <v>1</v>
      </c>
      <c r="AH141" s="22" t="s">
        <v>235</v>
      </c>
      <c r="AI141" s="12" t="str">
        <f>IF(AH141="","",IFERROR(RIGHT("0000"&amp;AH141,4)&amp;" - "&amp;UPPER(_xlfn.XLOOKUP(RIGHT("0000"&amp;AH141,4),CODEBOOK_CAP!$C$2:$C$212,CODEBOOK_CAP!$D$2:$D$212)),"Código CAP não encontrado"))</f>
        <v>0322 - ESTRUTURAS, HOSPITAIS, CLÍNICAS</v>
      </c>
      <c r="AJ141" s="12" t="str">
        <f>IF(AH141="","",IFERROR(_xlfn.XLOOKUP(RIGHT("0000"&amp;AH141,4),CODEBOOK_CAP!$C$2:$C$212,CODEBOOK_CAP!$E$2:$E$212),"Código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1" s="22" t="s">
        <v>77</v>
      </c>
      <c r="AL141" s="26"/>
      <c r="AM141" s="22" t="s">
        <v>79</v>
      </c>
      <c r="AN141" s="22" t="s">
        <v>79</v>
      </c>
      <c r="AO141" s="12" t="s">
        <v>953</v>
      </c>
      <c r="AP141" s="22" t="s">
        <v>77</v>
      </c>
      <c r="AQ141" s="12"/>
      <c r="AR141" s="22" t="s">
        <v>77</v>
      </c>
      <c r="AS141" s="10"/>
      <c r="AT141" s="2" t="s">
        <v>82</v>
      </c>
      <c r="AU141" s="12" t="s">
        <v>83</v>
      </c>
      <c r="AV141" s="3" t="n">
        <v>46214</v>
      </c>
      <c r="AW141" s="21"/>
      <c r="AY141" s="1"/>
      <c r="BA141" s="1"/>
      <c r="BB141" s="1"/>
    </row>
    <row r="142" ht="150" customHeight="1">
      <c r="A142" s="20" t="s">
        <v>1038</v>
      </c>
      <c r="B142" s="20" t="n">
        <v>2023</v>
      </c>
      <c r="C142" s="20" t="n">
        <v>264</v>
      </c>
      <c r="D142" s="20" t="s">
        <v>50</v>
      </c>
      <c r="E142" s="20" t="s">
        <v>976</v>
      </c>
      <c r="F142" s="20" t="s">
        <v>1039</v>
      </c>
      <c r="G142" s="20" t="s">
        <v>86</v>
      </c>
      <c r="H142" s="20" t="s">
        <v>978</v>
      </c>
      <c r="I142" s="20"/>
      <c r="J142" s="20" t="s">
        <v>1040</v>
      </c>
      <c r="K142" s="20" t="s">
        <v>122</v>
      </c>
      <c r="L142" s="20" t="s">
        <v>57</v>
      </c>
      <c r="M142" s="20" t="s">
        <v>58</v>
      </c>
      <c r="N142" s="20" t="s">
        <v>59</v>
      </c>
      <c r="O142" s="20" t="s">
        <v>60</v>
      </c>
      <c r="P142" s="20" t="s">
        <v>89</v>
      </c>
      <c r="Q142" s="20" t="s">
        <v>90</v>
      </c>
      <c r="R142" s="20" t="s">
        <v>91</v>
      </c>
      <c r="S142" s="20" t="s">
        <v>92</v>
      </c>
      <c r="T142" s="20" t="s">
        <v>123</v>
      </c>
      <c r="U142" s="20" t="s">
        <v>124</v>
      </c>
      <c r="V142" s="20" t="s">
        <v>95</v>
      </c>
      <c r="W142" s="20" t="s">
        <v>96</v>
      </c>
      <c r="X142" s="20" t="s">
        <v>97</v>
      </c>
      <c r="Y142" s="20" t="s">
        <v>70</v>
      </c>
      <c r="Z142" s="20" t="s">
        <v>98</v>
      </c>
      <c r="AA142" s="20" t="s">
        <v>125</v>
      </c>
      <c r="AB142" s="20" t="s">
        <v>125</v>
      </c>
      <c r="AC142" s="20" t="s">
        <v>125</v>
      </c>
      <c r="AD142" s="20" t="s">
        <v>125</v>
      </c>
      <c r="AE142" s="20"/>
      <c r="AF142" s="9" t="n">
        <v>1</v>
      </c>
      <c r="AG142" s="12" t="n">
        <v>1</v>
      </c>
      <c r="AH142" s="22" t="s">
        <v>620</v>
      </c>
      <c r="AI142" s="12" t="str">
        <f>IF(AH142="","",IFERROR(RIGHT("0000"&amp;AH142,4)&amp;" - "&amp;UPPER(_xlfn.XLOOKUP(RIGHT("0000"&amp;AH142,4),CODEBOOK_CAP!$C$2:$C$212,CODEBOOK_CAP!$D$2:$D$212)),"Código CAP não encontrado"))</f>
        <v>0332 - SAÚDE INFANTIL, GRAVIDEZ E PRÉ-NATAL</v>
      </c>
      <c r="AJ142" s="12" t="str">
        <f>IF(AH142="","",IFERROR(_xlfn.XLOOKUP(RIGHT("0000"&amp;AH142,4),CODEBOOK_CAP!$C$2:$C$212,CODEBOOK_CAP!$E$2:$E$212),"Código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42" s="22" t="s">
        <v>77</v>
      </c>
      <c r="AL142" s="26"/>
      <c r="AM142" s="22" t="s">
        <v>79</v>
      </c>
      <c r="AN142" s="22" t="s">
        <v>79</v>
      </c>
      <c r="AO142" s="12" t="s">
        <v>1041</v>
      </c>
      <c r="AP142" s="22" t="s">
        <v>79</v>
      </c>
      <c r="AQ142" s="12" t="s">
        <v>622</v>
      </c>
      <c r="AR142" s="22" t="s">
        <v>77</v>
      </c>
      <c r="AS142" s="10"/>
      <c r="AT142" s="2" t="s">
        <v>82</v>
      </c>
      <c r="AU142" s="12" t="s">
        <v>83</v>
      </c>
      <c r="AV142" s="3" t="n">
        <v>46214</v>
      </c>
      <c r="AW142" s="21"/>
      <c r="AY142" s="1"/>
      <c r="BA142" s="1"/>
      <c r="BB142" s="1"/>
    </row>
    <row r="143" ht="120" customHeight="1">
      <c r="A143" s="20" t="s">
        <v>1042</v>
      </c>
      <c r="B143" s="20" t="n">
        <v>2023</v>
      </c>
      <c r="C143" s="20" t="n">
        <v>265</v>
      </c>
      <c r="D143" s="20" t="s">
        <v>50</v>
      </c>
      <c r="E143" s="20" t="s">
        <v>976</v>
      </c>
      <c r="F143" s="20" t="s">
        <v>1043</v>
      </c>
      <c r="G143" s="20" t="s">
        <v>86</v>
      </c>
      <c r="H143" s="20" t="s">
        <v>978</v>
      </c>
      <c r="I143" s="20"/>
      <c r="J143" s="20" t="s">
        <v>1044</v>
      </c>
      <c r="K143" s="20" t="s">
        <v>853</v>
      </c>
      <c r="L143" s="20" t="s">
        <v>57</v>
      </c>
      <c r="M143" s="20" t="s">
        <v>58</v>
      </c>
      <c r="N143" s="20" t="s">
        <v>59</v>
      </c>
      <c r="O143" s="20" t="s">
        <v>60</v>
      </c>
      <c r="P143" s="20" t="s">
        <v>227</v>
      </c>
      <c r="Q143" s="20" t="s">
        <v>228</v>
      </c>
      <c r="R143" s="20" t="s">
        <v>229</v>
      </c>
      <c r="S143" s="20" t="s">
        <v>230</v>
      </c>
      <c r="T143" s="20" t="s">
        <v>231</v>
      </c>
      <c r="U143" s="20" t="s">
        <v>230</v>
      </c>
      <c r="V143" s="20" t="s">
        <v>854</v>
      </c>
      <c r="W143" s="20" t="s">
        <v>96</v>
      </c>
      <c r="X143" s="20" t="s">
        <v>97</v>
      </c>
      <c r="Y143" s="20" t="s">
        <v>70</v>
      </c>
      <c r="Z143" s="20" t="s">
        <v>98</v>
      </c>
      <c r="AA143" s="20" t="s">
        <v>125</v>
      </c>
      <c r="AB143" s="20" t="s">
        <v>1045</v>
      </c>
      <c r="AC143" s="20" t="s">
        <v>1045</v>
      </c>
      <c r="AD143" s="20" t="s">
        <v>1045</v>
      </c>
      <c r="AE143" s="20"/>
      <c r="AF143" s="9" t="n">
        <v>1</v>
      </c>
      <c r="AG143" s="12" t="n">
        <v>1</v>
      </c>
      <c r="AH143" s="22" t="s">
        <v>235</v>
      </c>
      <c r="AI143" s="12" t="str">
        <f>IF(AH143="","",IFERROR(RIGHT("0000"&amp;AH143,4)&amp;" - "&amp;UPPER(_xlfn.XLOOKUP(RIGHT("0000"&amp;AH143,4),CODEBOOK_CAP!$C$2:$C$212,CODEBOOK_CAP!$D$2:$D$212)),"Código CAP não encontrado"))</f>
        <v>0322 - ESTRUTURAS, HOSPITAIS, CLÍNICAS</v>
      </c>
      <c r="AJ143" s="12" t="str">
        <f>IF(AH143="","",IFERROR(_xlfn.XLOOKUP(RIGHT("0000"&amp;AH143,4),CODEBOOK_CAP!$C$2:$C$212,CODEBOOK_CAP!$E$2:$E$212),"Código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3" s="22" t="s">
        <v>79</v>
      </c>
      <c r="AL143" s="26" t="s">
        <v>1046</v>
      </c>
      <c r="AM143" s="22" t="s">
        <v>79</v>
      </c>
      <c r="AN143" s="22" t="s">
        <v>79</v>
      </c>
      <c r="AO143" s="12" t="s">
        <v>1047</v>
      </c>
      <c r="AP143" s="22" t="s">
        <v>77</v>
      </c>
      <c r="AQ143" s="12"/>
      <c r="AR143" s="22" t="s">
        <v>77</v>
      </c>
      <c r="AS143" s="10"/>
      <c r="AT143" s="2" t="s">
        <v>82</v>
      </c>
      <c r="AU143" s="12" t="s">
        <v>83</v>
      </c>
      <c r="AV143" s="3" t="n">
        <v>46214</v>
      </c>
      <c r="AW143" s="21"/>
      <c r="AY143" s="1"/>
      <c r="BA143" s="1"/>
      <c r="BB143" s="1"/>
    </row>
    <row r="144" ht="120" customHeight="1">
      <c r="A144" s="20" t="s">
        <v>1048</v>
      </c>
      <c r="B144" s="20" t="n">
        <v>2023</v>
      </c>
      <c r="C144" s="20" t="n">
        <v>157</v>
      </c>
      <c r="D144" s="20" t="s">
        <v>50</v>
      </c>
      <c r="E144" s="20" t="s">
        <v>976</v>
      </c>
      <c r="F144" s="20" t="s">
        <v>1049</v>
      </c>
      <c r="G144" s="20" t="s">
        <v>86</v>
      </c>
      <c r="H144" s="20" t="s">
        <v>978</v>
      </c>
      <c r="I144" s="20"/>
      <c r="J144" s="20" t="s">
        <v>1050</v>
      </c>
      <c r="K144" s="20" t="s">
        <v>1051</v>
      </c>
      <c r="L144" s="20" t="s">
        <v>57</v>
      </c>
      <c r="M144" s="20" t="s">
        <v>58</v>
      </c>
      <c r="N144" s="20" t="s">
        <v>59</v>
      </c>
      <c r="O144" s="20" t="s">
        <v>60</v>
      </c>
      <c r="P144" s="20" t="s">
        <v>89</v>
      </c>
      <c r="Q144" s="20" t="s">
        <v>90</v>
      </c>
      <c r="R144" s="20" t="s">
        <v>91</v>
      </c>
      <c r="S144" s="20" t="s">
        <v>92</v>
      </c>
      <c r="T144" s="20" t="s">
        <v>341</v>
      </c>
      <c r="U144" s="20" t="s">
        <v>342</v>
      </c>
      <c r="V144" s="20" t="s">
        <v>232</v>
      </c>
      <c r="W144" s="20" t="s">
        <v>96</v>
      </c>
      <c r="X144" s="20" t="s">
        <v>97</v>
      </c>
      <c r="Y144" s="20" t="s">
        <v>70</v>
      </c>
      <c r="Z144" s="20" t="s">
        <v>98</v>
      </c>
      <c r="AA144" s="20" t="s">
        <v>125</v>
      </c>
      <c r="AB144" s="20" t="s">
        <v>125</v>
      </c>
      <c r="AC144" s="20" t="s">
        <v>125</v>
      </c>
      <c r="AD144" s="20" t="s">
        <v>125</v>
      </c>
      <c r="AE144" s="20"/>
      <c r="AF144" s="9" t="n">
        <v>1</v>
      </c>
      <c r="AG144" s="12" t="n">
        <v>1</v>
      </c>
      <c r="AH144" s="22" t="s">
        <v>235</v>
      </c>
      <c r="AI144" s="12" t="str">
        <f>IF(AH144="","",IFERROR(RIGHT("0000"&amp;AH144,4)&amp;" - "&amp;UPPER(_xlfn.XLOOKUP(RIGHT("0000"&amp;AH144,4),CODEBOOK_CAP!$C$2:$C$212,CODEBOOK_CAP!$D$2:$D$212)),"Código CAP não encontrado"))</f>
        <v>0322 - ESTRUTURAS, HOSPITAIS, CLÍNICAS</v>
      </c>
      <c r="AJ144" s="12" t="str">
        <f>IF(AH144="","",IFERROR(_xlfn.XLOOKUP(RIGHT("0000"&amp;AH144,4),CODEBOOK_CAP!$C$2:$C$212,CODEBOOK_CAP!$E$2:$E$212),"Código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4" s="22" t="s">
        <v>77</v>
      </c>
      <c r="AL144" s="26"/>
      <c r="AM144" s="22" t="s">
        <v>77</v>
      </c>
      <c r="AN144" s="22" t="s">
        <v>77</v>
      </c>
      <c r="AO144" s="12"/>
      <c r="AP144" s="22" t="s">
        <v>77</v>
      </c>
      <c r="AQ144" s="12"/>
      <c r="AR144" s="22" t="s">
        <v>77</v>
      </c>
      <c r="AS144" s="10"/>
      <c r="AT144" s="2" t="s">
        <v>82</v>
      </c>
      <c r="AU144" s="12" t="s">
        <v>83</v>
      </c>
      <c r="AV144" s="3" t="n">
        <v>46214</v>
      </c>
      <c r="AW144" s="21"/>
      <c r="AY144" s="1"/>
      <c r="BA144" s="1"/>
      <c r="BB144" s="1"/>
    </row>
    <row r="145" ht="120" customHeight="1">
      <c r="A145" s="20" t="s">
        <v>1052</v>
      </c>
      <c r="B145" s="20" t="n">
        <v>2023</v>
      </c>
      <c r="C145" s="20" t="n">
        <v>266</v>
      </c>
      <c r="D145" s="20" t="s">
        <v>50</v>
      </c>
      <c r="E145" s="20" t="s">
        <v>976</v>
      </c>
      <c r="F145" s="20" t="s">
        <v>1053</v>
      </c>
      <c r="G145" s="20" t="s">
        <v>86</v>
      </c>
      <c r="H145" s="20" t="s">
        <v>978</v>
      </c>
      <c r="I145" s="20"/>
      <c r="J145" s="20" t="s">
        <v>1054</v>
      </c>
      <c r="K145" s="20" t="s">
        <v>122</v>
      </c>
      <c r="L145" s="20" t="s">
        <v>57</v>
      </c>
      <c r="M145" s="20" t="s">
        <v>58</v>
      </c>
      <c r="N145" s="20" t="s">
        <v>59</v>
      </c>
      <c r="O145" s="20" t="s">
        <v>60</v>
      </c>
      <c r="P145" s="20" t="s">
        <v>89</v>
      </c>
      <c r="Q145" s="20" t="s">
        <v>90</v>
      </c>
      <c r="R145" s="20" t="s">
        <v>91</v>
      </c>
      <c r="S145" s="20" t="s">
        <v>92</v>
      </c>
      <c r="T145" s="20" t="s">
        <v>123</v>
      </c>
      <c r="U145" s="20" t="s">
        <v>124</v>
      </c>
      <c r="V145" s="20" t="s">
        <v>95</v>
      </c>
      <c r="W145" s="20" t="s">
        <v>96</v>
      </c>
      <c r="X145" s="20" t="s">
        <v>97</v>
      </c>
      <c r="Y145" s="20" t="s">
        <v>70</v>
      </c>
      <c r="Z145" s="20" t="s">
        <v>98</v>
      </c>
      <c r="AA145" s="20" t="s">
        <v>125</v>
      </c>
      <c r="AB145" s="20" t="s">
        <v>125</v>
      </c>
      <c r="AC145" s="20" t="s">
        <v>125</v>
      </c>
      <c r="AD145" s="20" t="s">
        <v>125</v>
      </c>
      <c r="AE145" s="20"/>
      <c r="AF145" s="9" t="n">
        <v>1</v>
      </c>
      <c r="AG145" s="12" t="n">
        <v>1</v>
      </c>
      <c r="AH145" s="22" t="s">
        <v>235</v>
      </c>
      <c r="AI145" s="12" t="str">
        <f>IF(AH145="","",IFERROR(RIGHT("0000"&amp;AH145,4)&amp;" - "&amp;UPPER(_xlfn.XLOOKUP(RIGHT("0000"&amp;AH145,4),CODEBOOK_CAP!$C$2:$C$212,CODEBOOK_CAP!$D$2:$D$212)),"Código CAP não encontrado"))</f>
        <v>0322 - ESTRUTURAS, HOSPITAIS, CLÍNICAS</v>
      </c>
      <c r="AJ145" s="12" t="str">
        <f>IF(AH145="","",IFERROR(_xlfn.XLOOKUP(RIGHT("0000"&amp;AH145,4),CODEBOOK_CAP!$C$2:$C$212,CODEBOOK_CAP!$E$2:$E$212),"Código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5" s="22" t="s">
        <v>77</v>
      </c>
      <c r="AL145" s="26"/>
      <c r="AM145" s="22" t="s">
        <v>79</v>
      </c>
      <c r="AN145" s="22" t="s">
        <v>79</v>
      </c>
      <c r="AO145" s="12" t="s">
        <v>957</v>
      </c>
      <c r="AP145" s="22" t="s">
        <v>77</v>
      </c>
      <c r="AQ145" s="12"/>
      <c r="AR145" s="22" t="s">
        <v>77</v>
      </c>
      <c r="AS145" s="10"/>
      <c r="AT145" s="2" t="s">
        <v>82</v>
      </c>
      <c r="AU145" s="12" t="s">
        <v>83</v>
      </c>
      <c r="AV145" s="3" t="n">
        <v>46214</v>
      </c>
      <c r="AW145" s="21"/>
      <c r="AY145" s="1"/>
      <c r="BA145" s="1"/>
      <c r="BB145" s="1"/>
    </row>
    <row r="146" ht="120" customHeight="1">
      <c r="A146" s="20" t="s">
        <v>1055</v>
      </c>
      <c r="B146" s="20" t="n">
        <v>2023</v>
      </c>
      <c r="C146" s="20" t="n">
        <v>158</v>
      </c>
      <c r="D146" s="20" t="s">
        <v>50</v>
      </c>
      <c r="E146" s="20" t="s">
        <v>976</v>
      </c>
      <c r="F146" s="20" t="s">
        <v>1056</v>
      </c>
      <c r="G146" s="20" t="s">
        <v>86</v>
      </c>
      <c r="H146" s="20" t="s">
        <v>978</v>
      </c>
      <c r="I146" s="20"/>
      <c r="J146" s="20" t="s">
        <v>1057</v>
      </c>
      <c r="K146" s="20" t="s">
        <v>853</v>
      </c>
      <c r="L146" s="20" t="s">
        <v>57</v>
      </c>
      <c r="M146" s="20" t="s">
        <v>58</v>
      </c>
      <c r="N146" s="20" t="s">
        <v>59</v>
      </c>
      <c r="O146" s="20" t="s">
        <v>60</v>
      </c>
      <c r="P146" s="20" t="s">
        <v>227</v>
      </c>
      <c r="Q146" s="20" t="s">
        <v>228</v>
      </c>
      <c r="R146" s="20" t="s">
        <v>229</v>
      </c>
      <c r="S146" s="20" t="s">
        <v>230</v>
      </c>
      <c r="T146" s="20" t="s">
        <v>231</v>
      </c>
      <c r="U146" s="20" t="s">
        <v>230</v>
      </c>
      <c r="V146" s="20" t="s">
        <v>854</v>
      </c>
      <c r="W146" s="20" t="s">
        <v>96</v>
      </c>
      <c r="X146" s="20" t="s">
        <v>97</v>
      </c>
      <c r="Y146" s="20" t="s">
        <v>70</v>
      </c>
      <c r="Z146" s="20" t="s">
        <v>98</v>
      </c>
      <c r="AA146" s="20" t="s">
        <v>125</v>
      </c>
      <c r="AB146" s="20" t="s">
        <v>1058</v>
      </c>
      <c r="AC146" s="20" t="s">
        <v>1058</v>
      </c>
      <c r="AD146" s="20" t="s">
        <v>1058</v>
      </c>
      <c r="AE146" s="20"/>
      <c r="AF146" s="9" t="n">
        <v>1</v>
      </c>
      <c r="AG146" s="12" t="n">
        <v>1</v>
      </c>
      <c r="AH146" s="22" t="s">
        <v>235</v>
      </c>
      <c r="AI146" s="12" t="str">
        <f>IF(AH146="","",IFERROR(RIGHT("0000"&amp;AH146,4)&amp;" - "&amp;UPPER(_xlfn.XLOOKUP(RIGHT("0000"&amp;AH146,4),CODEBOOK_CAP!$C$2:$C$212,CODEBOOK_CAP!$D$2:$D$212)),"Código CAP não encontrado"))</f>
        <v>0322 - ESTRUTURAS, HOSPITAIS, CLÍNICAS</v>
      </c>
      <c r="AJ146" s="12" t="str">
        <f>IF(AH146="","",IFERROR(_xlfn.XLOOKUP(RIGHT("0000"&amp;AH146,4),CODEBOOK_CAP!$C$2:$C$212,CODEBOOK_CAP!$E$2:$E$212),"Código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6" s="22" t="s">
        <v>79</v>
      </c>
      <c r="AL146" s="26" t="s">
        <v>1059</v>
      </c>
      <c r="AM146" s="22" t="s">
        <v>79</v>
      </c>
      <c r="AN146" s="22" t="s">
        <v>79</v>
      </c>
      <c r="AO146" s="12" t="s">
        <v>1060</v>
      </c>
      <c r="AP146" s="22" t="s">
        <v>77</v>
      </c>
      <c r="AQ146" s="12"/>
      <c r="AR146" s="22" t="s">
        <v>77</v>
      </c>
      <c r="AS146" s="10"/>
      <c r="AT146" s="2" t="s">
        <v>82</v>
      </c>
      <c r="AU146" s="12" t="s">
        <v>83</v>
      </c>
      <c r="AV146" s="3" t="n">
        <v>46214</v>
      </c>
      <c r="AW146" s="21"/>
      <c r="AY146" s="1"/>
      <c r="BA146" s="1"/>
      <c r="BB146" s="1"/>
    </row>
    <row r="147" ht="120" customHeight="1">
      <c r="A147" s="20" t="s">
        <v>1061</v>
      </c>
      <c r="B147" s="20" t="n">
        <v>2023</v>
      </c>
      <c r="C147" s="20" t="n">
        <v>160</v>
      </c>
      <c r="D147" s="20" t="s">
        <v>50</v>
      </c>
      <c r="E147" s="20" t="s">
        <v>976</v>
      </c>
      <c r="F147" s="20" t="s">
        <v>1062</v>
      </c>
      <c r="G147" s="20" t="s">
        <v>86</v>
      </c>
      <c r="H147" s="20" t="s">
        <v>978</v>
      </c>
      <c r="I147" s="20"/>
      <c r="J147" s="20" t="s">
        <v>1063</v>
      </c>
      <c r="K147" s="20" t="s">
        <v>853</v>
      </c>
      <c r="L147" s="20" t="s">
        <v>57</v>
      </c>
      <c r="M147" s="20" t="s">
        <v>58</v>
      </c>
      <c r="N147" s="20" t="s">
        <v>59</v>
      </c>
      <c r="O147" s="20" t="s">
        <v>60</v>
      </c>
      <c r="P147" s="20" t="s">
        <v>227</v>
      </c>
      <c r="Q147" s="20" t="s">
        <v>228</v>
      </c>
      <c r="R147" s="20" t="s">
        <v>229</v>
      </c>
      <c r="S147" s="20" t="s">
        <v>230</v>
      </c>
      <c r="T147" s="20" t="s">
        <v>231</v>
      </c>
      <c r="U147" s="20" t="s">
        <v>230</v>
      </c>
      <c r="V147" s="20" t="s">
        <v>854</v>
      </c>
      <c r="W147" s="20" t="s">
        <v>96</v>
      </c>
      <c r="X147" s="20" t="s">
        <v>97</v>
      </c>
      <c r="Y147" s="20" t="s">
        <v>70</v>
      </c>
      <c r="Z147" s="20" t="s">
        <v>98</v>
      </c>
      <c r="AA147" s="20" t="s">
        <v>125</v>
      </c>
      <c r="AB147" s="20" t="s">
        <v>1064</v>
      </c>
      <c r="AC147" s="20" t="s">
        <v>1064</v>
      </c>
      <c r="AD147" s="20" t="s">
        <v>1064</v>
      </c>
      <c r="AE147" s="20"/>
      <c r="AF147" s="9" t="n">
        <v>1</v>
      </c>
      <c r="AG147" s="12" t="n">
        <v>1</v>
      </c>
      <c r="AH147" s="22" t="s">
        <v>235</v>
      </c>
      <c r="AI147" s="12" t="str">
        <f>IF(AH147="","",IFERROR(RIGHT("0000"&amp;AH147,4)&amp;" - "&amp;UPPER(_xlfn.XLOOKUP(RIGHT("0000"&amp;AH147,4),CODEBOOK_CAP!$C$2:$C$212,CODEBOOK_CAP!$D$2:$D$212)),"Código CAP não encontrado"))</f>
        <v>0322 - ESTRUTURAS, HOSPITAIS, CLÍNICAS</v>
      </c>
      <c r="AJ147" s="12" t="str">
        <f>IF(AH147="","",IFERROR(_xlfn.XLOOKUP(RIGHT("0000"&amp;AH147,4),CODEBOOK_CAP!$C$2:$C$212,CODEBOOK_CAP!$E$2:$E$212),"Código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7" s="22" t="s">
        <v>79</v>
      </c>
      <c r="AL147" s="26" t="s">
        <v>1065</v>
      </c>
      <c r="AM147" s="22" t="s">
        <v>79</v>
      </c>
      <c r="AN147" s="22" t="s">
        <v>79</v>
      </c>
      <c r="AO147" s="12" t="s">
        <v>1066</v>
      </c>
      <c r="AP147" s="22" t="s">
        <v>77</v>
      </c>
      <c r="AQ147" s="12"/>
      <c r="AR147" s="22" t="s">
        <v>77</v>
      </c>
      <c r="AS147" s="10"/>
      <c r="AT147" s="2" t="s">
        <v>82</v>
      </c>
      <c r="AU147" s="12" t="s">
        <v>83</v>
      </c>
      <c r="AV147" s="3" t="n">
        <v>46214</v>
      </c>
      <c r="AW147" s="21"/>
      <c r="AY147" s="1"/>
      <c r="BA147" s="1"/>
      <c r="BB147" s="1"/>
    </row>
    <row r="148" ht="120" customHeight="1">
      <c r="A148" s="20" t="s">
        <v>1067</v>
      </c>
      <c r="B148" s="20" t="n">
        <v>2023</v>
      </c>
      <c r="C148" s="20" t="n">
        <v>161</v>
      </c>
      <c r="D148" s="20" t="s">
        <v>50</v>
      </c>
      <c r="E148" s="20" t="s">
        <v>976</v>
      </c>
      <c r="F148" s="20" t="s">
        <v>1068</v>
      </c>
      <c r="G148" s="20" t="s">
        <v>86</v>
      </c>
      <c r="H148" s="20" t="s">
        <v>978</v>
      </c>
      <c r="I148" s="20"/>
      <c r="J148" s="20" t="s">
        <v>1069</v>
      </c>
      <c r="K148" s="20" t="s">
        <v>853</v>
      </c>
      <c r="L148" s="20" t="s">
        <v>57</v>
      </c>
      <c r="M148" s="20" t="s">
        <v>58</v>
      </c>
      <c r="N148" s="20" t="s">
        <v>59</v>
      </c>
      <c r="O148" s="20" t="s">
        <v>60</v>
      </c>
      <c r="P148" s="20" t="s">
        <v>227</v>
      </c>
      <c r="Q148" s="20" t="s">
        <v>228</v>
      </c>
      <c r="R148" s="20" t="s">
        <v>229</v>
      </c>
      <c r="S148" s="20" t="s">
        <v>230</v>
      </c>
      <c r="T148" s="20" t="s">
        <v>231</v>
      </c>
      <c r="U148" s="20" t="s">
        <v>230</v>
      </c>
      <c r="V148" s="20" t="s">
        <v>854</v>
      </c>
      <c r="W148" s="20" t="s">
        <v>96</v>
      </c>
      <c r="X148" s="20" t="s">
        <v>97</v>
      </c>
      <c r="Y148" s="20" t="s">
        <v>70</v>
      </c>
      <c r="Z148" s="20" t="s">
        <v>98</v>
      </c>
      <c r="AA148" s="20" t="s">
        <v>125</v>
      </c>
      <c r="AB148" s="20" t="s">
        <v>1070</v>
      </c>
      <c r="AC148" s="20" t="s">
        <v>1070</v>
      </c>
      <c r="AD148" s="20" t="s">
        <v>1070</v>
      </c>
      <c r="AE148" s="20"/>
      <c r="AF148" s="9" t="n">
        <v>1</v>
      </c>
      <c r="AG148" s="12" t="n">
        <v>1</v>
      </c>
      <c r="AH148" s="22" t="s">
        <v>235</v>
      </c>
      <c r="AI148" s="12" t="str">
        <f>IF(AH148="","",IFERROR(RIGHT("0000"&amp;AH148,4)&amp;" - "&amp;UPPER(_xlfn.XLOOKUP(RIGHT("0000"&amp;AH148,4),CODEBOOK_CAP!$C$2:$C$212,CODEBOOK_CAP!$D$2:$D$212)),"Código CAP não encontrado"))</f>
        <v>0322 - ESTRUTURAS, HOSPITAIS, CLÍNICAS</v>
      </c>
      <c r="AJ148" s="12" t="str">
        <f>IF(AH148="","",IFERROR(_xlfn.XLOOKUP(RIGHT("0000"&amp;AH148,4),CODEBOOK_CAP!$C$2:$C$212,CODEBOOK_CAP!$E$2:$E$212),"Código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8" s="22" t="s">
        <v>79</v>
      </c>
      <c r="AL148" s="26" t="s">
        <v>1071</v>
      </c>
      <c r="AM148" s="22" t="s">
        <v>79</v>
      </c>
      <c r="AN148" s="22" t="s">
        <v>79</v>
      </c>
      <c r="AO148" s="12" t="s">
        <v>1072</v>
      </c>
      <c r="AP148" s="22" t="s">
        <v>77</v>
      </c>
      <c r="AQ148" s="12"/>
      <c r="AR148" s="22" t="s">
        <v>77</v>
      </c>
      <c r="AS148" s="10"/>
      <c r="AT148" s="2" t="s">
        <v>82</v>
      </c>
      <c r="AU148" s="12" t="s">
        <v>83</v>
      </c>
      <c r="AV148" s="3" t="n">
        <v>46214</v>
      </c>
      <c r="AW148" s="21"/>
      <c r="AY148" s="1"/>
      <c r="BA148" s="1"/>
      <c r="BB148" s="1"/>
    </row>
    <row r="149" ht="120" customHeight="1">
      <c r="A149" s="20" t="s">
        <v>1073</v>
      </c>
      <c r="B149" s="20" t="n">
        <v>2023</v>
      </c>
      <c r="C149" s="20" t="n">
        <v>162</v>
      </c>
      <c r="D149" s="20" t="s">
        <v>50</v>
      </c>
      <c r="E149" s="20" t="s">
        <v>976</v>
      </c>
      <c r="F149" s="20" t="s">
        <v>1074</v>
      </c>
      <c r="G149" s="20" t="s">
        <v>86</v>
      </c>
      <c r="H149" s="20" t="s">
        <v>978</v>
      </c>
      <c r="I149" s="20"/>
      <c r="J149" s="20" t="s">
        <v>1075</v>
      </c>
      <c r="K149" s="20" t="s">
        <v>853</v>
      </c>
      <c r="L149" s="20" t="s">
        <v>57</v>
      </c>
      <c r="M149" s="20" t="s">
        <v>58</v>
      </c>
      <c r="N149" s="20" t="s">
        <v>59</v>
      </c>
      <c r="O149" s="20" t="s">
        <v>60</v>
      </c>
      <c r="P149" s="20" t="s">
        <v>227</v>
      </c>
      <c r="Q149" s="20" t="s">
        <v>228</v>
      </c>
      <c r="R149" s="20" t="s">
        <v>229</v>
      </c>
      <c r="S149" s="20" t="s">
        <v>230</v>
      </c>
      <c r="T149" s="20" t="s">
        <v>231</v>
      </c>
      <c r="U149" s="20" t="s">
        <v>230</v>
      </c>
      <c r="V149" s="20" t="s">
        <v>854</v>
      </c>
      <c r="W149" s="20" t="s">
        <v>96</v>
      </c>
      <c r="X149" s="20" t="s">
        <v>97</v>
      </c>
      <c r="Y149" s="20" t="s">
        <v>70</v>
      </c>
      <c r="Z149" s="20" t="s">
        <v>98</v>
      </c>
      <c r="AA149" s="20" t="s">
        <v>125</v>
      </c>
      <c r="AB149" s="20" t="s">
        <v>1076</v>
      </c>
      <c r="AC149" s="20" t="s">
        <v>1076</v>
      </c>
      <c r="AD149" s="20" t="s">
        <v>1076</v>
      </c>
      <c r="AE149" s="20"/>
      <c r="AF149" s="9" t="n">
        <v>1</v>
      </c>
      <c r="AG149" s="12" t="n">
        <v>1</v>
      </c>
      <c r="AH149" s="22" t="s">
        <v>235</v>
      </c>
      <c r="AI149" s="12" t="str">
        <f>IF(AH149="","",IFERROR(RIGHT("0000"&amp;AH149,4)&amp;" - "&amp;UPPER(_xlfn.XLOOKUP(RIGHT("0000"&amp;AH149,4),CODEBOOK_CAP!$C$2:$C$212,CODEBOOK_CAP!$D$2:$D$212)),"Código CAP não encontrado"))</f>
        <v>0322 - ESTRUTURAS, HOSPITAIS, CLÍNICAS</v>
      </c>
      <c r="AJ149" s="12" t="str">
        <f>IF(AH149="","",IFERROR(_xlfn.XLOOKUP(RIGHT("0000"&amp;AH149,4),CODEBOOK_CAP!$C$2:$C$212,CODEBOOK_CAP!$E$2:$E$212),"Código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49" s="22" t="s">
        <v>79</v>
      </c>
      <c r="AL149" s="26" t="s">
        <v>1077</v>
      </c>
      <c r="AM149" s="22" t="s">
        <v>79</v>
      </c>
      <c r="AN149" s="22" t="s">
        <v>79</v>
      </c>
      <c r="AO149" s="12" t="s">
        <v>1078</v>
      </c>
      <c r="AP149" s="22" t="s">
        <v>77</v>
      </c>
      <c r="AQ149" s="12"/>
      <c r="AR149" s="22" t="s">
        <v>77</v>
      </c>
      <c r="AS149" s="10"/>
      <c r="AT149" s="2" t="s">
        <v>82</v>
      </c>
      <c r="AU149" s="12" t="s">
        <v>83</v>
      </c>
      <c r="AV149" s="3" t="n">
        <v>46214</v>
      </c>
      <c r="AW149" s="21"/>
      <c r="AY149" s="1"/>
      <c r="BA149" s="1"/>
      <c r="BB149" s="1"/>
    </row>
    <row r="150" ht="195" customHeight="1">
      <c r="A150" s="20" t="s">
        <v>1079</v>
      </c>
      <c r="B150" s="20" t="n">
        <v>2023</v>
      </c>
      <c r="C150" s="20" t="n">
        <v>267</v>
      </c>
      <c r="D150" s="20" t="s">
        <v>50</v>
      </c>
      <c r="E150" s="20" t="s">
        <v>976</v>
      </c>
      <c r="F150" s="20" t="s">
        <v>1080</v>
      </c>
      <c r="G150" s="20" t="s">
        <v>315</v>
      </c>
      <c r="H150" s="20" t="s">
        <v>978</v>
      </c>
      <c r="I150" s="20"/>
      <c r="J150" s="20" t="s">
        <v>1081</v>
      </c>
      <c r="K150" s="20" t="s">
        <v>1082</v>
      </c>
      <c r="L150" s="20" t="s">
        <v>1020</v>
      </c>
      <c r="M150" s="20" t="s">
        <v>1021</v>
      </c>
      <c r="N150" s="20" t="s">
        <v>724</v>
      </c>
      <c r="O150" s="20" t="s">
        <v>725</v>
      </c>
      <c r="P150" s="20" t="s">
        <v>1022</v>
      </c>
      <c r="Q150" s="20" t="s">
        <v>1023</v>
      </c>
      <c r="R150" s="20" t="s">
        <v>1024</v>
      </c>
      <c r="S150" s="20" t="s">
        <v>1025</v>
      </c>
      <c r="T150" s="20" t="s">
        <v>1026</v>
      </c>
      <c r="U150" s="20" t="s">
        <v>1027</v>
      </c>
      <c r="V150" s="20" t="s">
        <v>854</v>
      </c>
      <c r="W150" s="20" t="s">
        <v>96</v>
      </c>
      <c r="X150" s="20" t="s">
        <v>97</v>
      </c>
      <c r="Y150" s="20" t="s">
        <v>70</v>
      </c>
      <c r="Z150" s="20" t="s">
        <v>177</v>
      </c>
      <c r="AA150" s="20" t="s">
        <v>409</v>
      </c>
      <c r="AB150" s="20" t="s">
        <v>1083</v>
      </c>
      <c r="AC150" s="20" t="s">
        <v>1083</v>
      </c>
      <c r="AD150" s="20" t="s">
        <v>1083</v>
      </c>
      <c r="AE150" s="20" t="s">
        <v>1084</v>
      </c>
      <c r="AF150" s="9" t="n">
        <v>0</v>
      </c>
      <c r="AG150" s="12" t="n">
        <v>0</v>
      </c>
      <c r="AH150" s="22" t="s">
        <v>294</v>
      </c>
      <c r="AI150" s="12" t="str">
        <f>IF(AH150="","",IFERROR(RIGHT("0000"&amp;AH150,4)&amp;" - "&amp;UPPER(_xlfn.XLOOKUP(RIGHT("0000"&amp;AH150,4),CODEBOOK_CAP!$C$2:$C$212,CODEBOOK_CAP!$D$2:$D$212)),"Código CAP não encontrado"))</f>
        <v>0711 - CONSERVAÇÃO DO SOLO, MAR, RIOS, PRAIAS E COSTAS</v>
      </c>
      <c r="AJ150" s="12" t="str">
        <f>IF(AH150="","",IFERROR(_xlfn.XLOOKUP(RIGHT("0000"&amp;AH150,4),CODEBOOK_CAP!$C$2:$C$212,CODEBOOK_CAP!$E$2:$E$212),"Código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150" s="22" t="s">
        <v>77</v>
      </c>
      <c r="AL150" s="26"/>
      <c r="AM150" s="22" t="s">
        <v>77</v>
      </c>
      <c r="AN150" s="22" t="s">
        <v>77</v>
      </c>
      <c r="AO150" s="12"/>
      <c r="AP150" s="22" t="s">
        <v>77</v>
      </c>
      <c r="AQ150" s="12"/>
      <c r="AR150" s="22" t="s">
        <v>79</v>
      </c>
      <c r="AS150" s="10" t="s">
        <v>1084</v>
      </c>
      <c r="AT150" s="2" t="s">
        <v>82</v>
      </c>
      <c r="AU150" s="12" t="s">
        <v>83</v>
      </c>
      <c r="AV150" s="3" t="n">
        <v>46214</v>
      </c>
      <c r="AW150" s="21"/>
      <c r="AY150" s="1"/>
      <c r="BA150" s="1"/>
      <c r="BB150" s="1"/>
    </row>
    <row r="151" ht="210" customHeight="1">
      <c r="A151" s="20" t="s">
        <v>1085</v>
      </c>
      <c r="B151" s="20" t="n">
        <v>2023</v>
      </c>
      <c r="C151" s="20" t="n">
        <v>163</v>
      </c>
      <c r="D151" s="20" t="s">
        <v>50</v>
      </c>
      <c r="E151" s="20" t="s">
        <v>976</v>
      </c>
      <c r="F151" s="20" t="s">
        <v>1086</v>
      </c>
      <c r="G151" s="20" t="s">
        <v>86</v>
      </c>
      <c r="H151" s="20" t="s">
        <v>978</v>
      </c>
      <c r="I151" s="20"/>
      <c r="J151" s="20" t="s">
        <v>1087</v>
      </c>
      <c r="K151" s="20" t="s">
        <v>1088</v>
      </c>
      <c r="L151" s="20" t="s">
        <v>785</v>
      </c>
      <c r="M151" s="20" t="s">
        <v>786</v>
      </c>
      <c r="N151" s="20" t="s">
        <v>787</v>
      </c>
      <c r="O151" s="20" t="s">
        <v>788</v>
      </c>
      <c r="P151" s="20" t="s">
        <v>541</v>
      </c>
      <c r="Q151" s="20" t="s">
        <v>789</v>
      </c>
      <c r="R151" s="20" t="s">
        <v>790</v>
      </c>
      <c r="S151" s="20" t="s">
        <v>791</v>
      </c>
      <c r="T151" s="20" t="s">
        <v>1089</v>
      </c>
      <c r="U151" s="20" t="s">
        <v>1090</v>
      </c>
      <c r="V151" s="20" t="s">
        <v>854</v>
      </c>
      <c r="W151" s="20" t="s">
        <v>96</v>
      </c>
      <c r="X151" s="20" t="s">
        <v>97</v>
      </c>
      <c r="Y151" s="20" t="s">
        <v>70</v>
      </c>
      <c r="Z151" s="20" t="s">
        <v>794</v>
      </c>
      <c r="AA151" s="20" t="s">
        <v>198</v>
      </c>
      <c r="AB151" s="20" t="s">
        <v>1091</v>
      </c>
      <c r="AC151" s="20" t="s">
        <v>1091</v>
      </c>
      <c r="AD151" s="20" t="s">
        <v>1091</v>
      </c>
      <c r="AE151" s="20"/>
      <c r="AF151" s="9" t="n">
        <v>0</v>
      </c>
      <c r="AG151" s="12" t="n">
        <v>0</v>
      </c>
      <c r="AH151" s="22" t="s">
        <v>899</v>
      </c>
      <c r="AI151" s="12" t="str">
        <f>IF(AH151="","",IFERROR(RIGHT("0000"&amp;AH151,4)&amp;" - "&amp;UPPER(_xlfn.XLOOKUP(RIGHT("0000"&amp;AH151,4),CODEBOOK_CAP!$C$2:$C$212,CODEBOOK_CAP!$D$2:$D$212)),"Código CAP não encontrado"))</f>
        <v>0602 - ENSINO BÁSICO, FUNDAMENTAL E MÉDIO</v>
      </c>
      <c r="AJ151" s="12" t="str">
        <f>IF(AH151="","",IFERROR(_xlfn.XLOOKUP(RIGHT("0000"&amp;AH151,4),CODEBOOK_CAP!$C$2:$C$212,CODEBOOK_CAP!$E$2:$E$212),"Código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51" s="22" t="s">
        <v>79</v>
      </c>
      <c r="AL151" s="26" t="s">
        <v>1092</v>
      </c>
      <c r="AM151" s="22" t="s">
        <v>79</v>
      </c>
      <c r="AN151" s="22" t="s">
        <v>79</v>
      </c>
      <c r="AO151" s="12" t="s">
        <v>1093</v>
      </c>
      <c r="AP151" s="22" t="s">
        <v>79</v>
      </c>
      <c r="AQ151" s="12" t="s">
        <v>1094</v>
      </c>
      <c r="AR151" s="22" t="s">
        <v>77</v>
      </c>
      <c r="AS151" s="10"/>
      <c r="AT151" s="2" t="s">
        <v>82</v>
      </c>
      <c r="AU151" s="12" t="s">
        <v>83</v>
      </c>
      <c r="AV151" s="3" t="n">
        <v>46214</v>
      </c>
      <c r="AW151" s="21"/>
      <c r="AY151" s="1"/>
      <c r="BA151" s="1"/>
      <c r="BB151" s="1"/>
    </row>
    <row r="152" ht="210" customHeight="1">
      <c r="A152" s="20" t="s">
        <v>1095</v>
      </c>
      <c r="B152" s="20" t="n">
        <v>2023</v>
      </c>
      <c r="C152" s="20" t="n">
        <v>203</v>
      </c>
      <c r="D152" s="20" t="s">
        <v>50</v>
      </c>
      <c r="E152" s="20" t="s">
        <v>976</v>
      </c>
      <c r="F152" s="20" t="s">
        <v>1096</v>
      </c>
      <c r="G152" s="20" t="s">
        <v>86</v>
      </c>
      <c r="H152" s="20" t="s">
        <v>978</v>
      </c>
      <c r="I152" s="20"/>
      <c r="J152" s="20" t="s">
        <v>1097</v>
      </c>
      <c r="K152" s="20" t="s">
        <v>1088</v>
      </c>
      <c r="L152" s="20" t="s">
        <v>785</v>
      </c>
      <c r="M152" s="20" t="s">
        <v>786</v>
      </c>
      <c r="N152" s="20" t="s">
        <v>787</v>
      </c>
      <c r="O152" s="20" t="s">
        <v>788</v>
      </c>
      <c r="P152" s="20" t="s">
        <v>541</v>
      </c>
      <c r="Q152" s="20" t="s">
        <v>789</v>
      </c>
      <c r="R152" s="20" t="s">
        <v>790</v>
      </c>
      <c r="S152" s="20" t="s">
        <v>791</v>
      </c>
      <c r="T152" s="20" t="s">
        <v>1089</v>
      </c>
      <c r="U152" s="20" t="s">
        <v>1090</v>
      </c>
      <c r="V152" s="20" t="s">
        <v>854</v>
      </c>
      <c r="W152" s="20" t="s">
        <v>96</v>
      </c>
      <c r="X152" s="20" t="s">
        <v>97</v>
      </c>
      <c r="Y152" s="20" t="s">
        <v>70</v>
      </c>
      <c r="Z152" s="20" t="s">
        <v>794</v>
      </c>
      <c r="AA152" s="20" t="s">
        <v>198</v>
      </c>
      <c r="AB152" s="20" t="s">
        <v>1098</v>
      </c>
      <c r="AC152" s="20" t="s">
        <v>1098</v>
      </c>
      <c r="AD152" s="20" t="s">
        <v>1098</v>
      </c>
      <c r="AE152" s="20"/>
      <c r="AF152" s="9" t="n">
        <v>0</v>
      </c>
      <c r="AG152" s="12" t="n">
        <v>0</v>
      </c>
      <c r="AH152" s="22" t="s">
        <v>899</v>
      </c>
      <c r="AI152" s="12" t="str">
        <f>IF(AH152="","",IFERROR(RIGHT("0000"&amp;AH152,4)&amp;" - "&amp;UPPER(_xlfn.XLOOKUP(RIGHT("0000"&amp;AH152,4),CODEBOOK_CAP!$C$2:$C$212,CODEBOOK_CAP!$D$2:$D$212)),"Código CAP não encontrado"))</f>
        <v>0602 - ENSINO BÁSICO, FUNDAMENTAL E MÉDIO</v>
      </c>
      <c r="AJ152" s="12" t="str">
        <f>IF(AH152="","",IFERROR(_xlfn.XLOOKUP(RIGHT("0000"&amp;AH152,4),CODEBOOK_CAP!$C$2:$C$212,CODEBOOK_CAP!$E$2:$E$212),"Código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52" s="22" t="s">
        <v>79</v>
      </c>
      <c r="AL152" s="26" t="s">
        <v>1099</v>
      </c>
      <c r="AM152" s="22" t="s">
        <v>79</v>
      </c>
      <c r="AN152" s="22" t="s">
        <v>79</v>
      </c>
      <c r="AO152" s="12" t="s">
        <v>1100</v>
      </c>
      <c r="AP152" s="22" t="s">
        <v>79</v>
      </c>
      <c r="AQ152" s="12" t="s">
        <v>1094</v>
      </c>
      <c r="AR152" s="22" t="s">
        <v>77</v>
      </c>
      <c r="AS152" s="10"/>
      <c r="AT152" s="2" t="s">
        <v>82</v>
      </c>
      <c r="AU152" s="12" t="s">
        <v>83</v>
      </c>
      <c r="AV152" s="3" t="n">
        <v>46214</v>
      </c>
      <c r="AW152" s="21"/>
      <c r="AY152" s="1"/>
      <c r="BA152" s="1"/>
      <c r="BB152" s="1"/>
    </row>
    <row r="153" ht="255" customHeight="1">
      <c r="A153" s="20" t="s">
        <v>1101</v>
      </c>
      <c r="B153" s="20" t="n">
        <v>2023</v>
      </c>
      <c r="C153" s="20" t="n">
        <v>325</v>
      </c>
      <c r="D153" s="20" t="s">
        <v>50</v>
      </c>
      <c r="E153" s="20" t="s">
        <v>976</v>
      </c>
      <c r="F153" s="20" t="s">
        <v>1102</v>
      </c>
      <c r="G153" s="20" t="s">
        <v>86</v>
      </c>
      <c r="H153" s="20" t="s">
        <v>978</v>
      </c>
      <c r="I153" s="20"/>
      <c r="J153" s="20" t="s">
        <v>1103</v>
      </c>
      <c r="K153" s="20" t="s">
        <v>207</v>
      </c>
      <c r="L153" s="20" t="s">
        <v>208</v>
      </c>
      <c r="M153" s="20" t="s">
        <v>209</v>
      </c>
      <c r="N153" s="20" t="s">
        <v>210</v>
      </c>
      <c r="O153" s="20" t="s">
        <v>211</v>
      </c>
      <c r="P153" s="20" t="s">
        <v>212</v>
      </c>
      <c r="Q153" s="20" t="s">
        <v>213</v>
      </c>
      <c r="R153" s="20" t="s">
        <v>214</v>
      </c>
      <c r="S153" s="20" t="s">
        <v>215</v>
      </c>
      <c r="T153" s="20" t="s">
        <v>216</v>
      </c>
      <c r="U153" s="20" t="s">
        <v>217</v>
      </c>
      <c r="V153" s="20" t="s">
        <v>67</v>
      </c>
      <c r="W153" s="20" t="s">
        <v>68</v>
      </c>
      <c r="X153" s="20" t="s">
        <v>69</v>
      </c>
      <c r="Y153" s="20" t="s">
        <v>70</v>
      </c>
      <c r="Z153" s="20" t="s">
        <v>177</v>
      </c>
      <c r="AA153" s="20" t="s">
        <v>1104</v>
      </c>
      <c r="AB153" s="20" t="s">
        <v>1105</v>
      </c>
      <c r="AC153" s="20" t="s">
        <v>1105</v>
      </c>
      <c r="AD153" s="20" t="s">
        <v>1105</v>
      </c>
      <c r="AE153" s="20"/>
      <c r="AF153" s="9" t="n">
        <v>0</v>
      </c>
      <c r="AG153" s="12" t="n">
        <v>0</v>
      </c>
      <c r="AH153" s="22" t="s">
        <v>219</v>
      </c>
      <c r="AI153" s="12" t="str">
        <f>IF(AH153="","",IFERROR(RIGHT("0000"&amp;AH153,4)&amp;" - "&amp;UPPER(_xlfn.XLOOKUP(RIGHT("0000"&amp;AH153,4),CODEBOOK_CAP!$C$2:$C$212,CODEBOOK_CAP!$D$2:$D$212)),"Código CAP não encontrado"))</f>
        <v>1002 - CARROS, TRÂNSITO, CONSTRUÇÃO E MANUTENÇÃO DE RUAS E ESTRADAS</v>
      </c>
      <c r="AJ153" s="12" t="str">
        <f>IF(AH153="","",IFERROR(_xlfn.XLOOKUP(RIGHT("0000"&amp;AH153,4),CODEBOOK_CAP!$C$2:$C$212,CODEBOOK_CAP!$E$2:$E$212),"Código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53" s="22" t="s">
        <v>79</v>
      </c>
      <c r="AL153" s="26" t="s">
        <v>1106</v>
      </c>
      <c r="AM153" s="22" t="s">
        <v>79</v>
      </c>
      <c r="AN153" s="22" t="s">
        <v>79</v>
      </c>
      <c r="AO153" s="12" t="s">
        <v>1106</v>
      </c>
      <c r="AP153" s="22" t="s">
        <v>77</v>
      </c>
      <c r="AQ153" s="12"/>
      <c r="AR153" s="22" t="s">
        <v>77</v>
      </c>
      <c r="AS153" s="10"/>
      <c r="AT153" s="2" t="s">
        <v>82</v>
      </c>
      <c r="AU153" s="12" t="s">
        <v>83</v>
      </c>
      <c r="AV153" s="3" t="n">
        <v>46214</v>
      </c>
      <c r="AW153" s="21"/>
      <c r="AY153" s="1"/>
      <c r="BA153" s="1"/>
      <c r="BB153" s="1"/>
    </row>
    <row r="154" ht="255" customHeight="1">
      <c r="A154" s="20" t="s">
        <v>1107</v>
      </c>
      <c r="B154" s="20" t="n">
        <v>2023</v>
      </c>
      <c r="C154" s="20" t="n">
        <v>326</v>
      </c>
      <c r="D154" s="20" t="s">
        <v>50</v>
      </c>
      <c r="E154" s="20" t="s">
        <v>976</v>
      </c>
      <c r="F154" s="20" t="s">
        <v>1108</v>
      </c>
      <c r="G154" s="20" t="s">
        <v>86</v>
      </c>
      <c r="H154" s="20" t="s">
        <v>978</v>
      </c>
      <c r="I154" s="20"/>
      <c r="J154" s="20" t="s">
        <v>1109</v>
      </c>
      <c r="K154" s="20" t="s">
        <v>207</v>
      </c>
      <c r="L154" s="20" t="s">
        <v>208</v>
      </c>
      <c r="M154" s="20" t="s">
        <v>209</v>
      </c>
      <c r="N154" s="20" t="s">
        <v>210</v>
      </c>
      <c r="O154" s="20" t="s">
        <v>211</v>
      </c>
      <c r="P154" s="20" t="s">
        <v>212</v>
      </c>
      <c r="Q154" s="20" t="s">
        <v>213</v>
      </c>
      <c r="R154" s="20" t="s">
        <v>214</v>
      </c>
      <c r="S154" s="20" t="s">
        <v>215</v>
      </c>
      <c r="T154" s="20" t="s">
        <v>216</v>
      </c>
      <c r="U154" s="20" t="s">
        <v>217</v>
      </c>
      <c r="V154" s="20" t="s">
        <v>67</v>
      </c>
      <c r="W154" s="20" t="s">
        <v>68</v>
      </c>
      <c r="X154" s="20" t="s">
        <v>69</v>
      </c>
      <c r="Y154" s="20" t="s">
        <v>70</v>
      </c>
      <c r="Z154" s="20" t="s">
        <v>177</v>
      </c>
      <c r="AA154" s="20" t="s">
        <v>1110</v>
      </c>
      <c r="AB154" s="20" t="s">
        <v>77</v>
      </c>
      <c r="AC154" s="20" t="s">
        <v>77</v>
      </c>
      <c r="AD154" s="20" t="s">
        <v>77</v>
      </c>
      <c r="AE154" s="20"/>
      <c r="AF154" s="9" t="n">
        <v>0</v>
      </c>
      <c r="AG154" s="12" t="n">
        <v>0</v>
      </c>
      <c r="AH154" s="22" t="s">
        <v>219</v>
      </c>
      <c r="AI154" s="12" t="str">
        <f>IF(AH154="","",IFERROR(RIGHT("0000"&amp;AH154,4)&amp;" - "&amp;UPPER(_xlfn.XLOOKUP(RIGHT("0000"&amp;AH154,4),CODEBOOK_CAP!$C$2:$C$212,CODEBOOK_CAP!$D$2:$D$212)),"Código CAP não encontrado"))</f>
        <v>1002 - CARROS, TRÂNSITO, CONSTRUÇÃO E MANUTENÇÃO DE RUAS E ESTRADAS</v>
      </c>
      <c r="AJ154" s="12" t="str">
        <f>IF(AH154="","",IFERROR(_xlfn.XLOOKUP(RIGHT("0000"&amp;AH154,4),CODEBOOK_CAP!$C$2:$C$212,CODEBOOK_CAP!$E$2:$E$212),"Código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54" s="22" t="s">
        <v>79</v>
      </c>
      <c r="AL154" s="26" t="s">
        <v>1111</v>
      </c>
      <c r="AM154" s="22" t="s">
        <v>79</v>
      </c>
      <c r="AN154" s="22" t="s">
        <v>77</v>
      </c>
      <c r="AO154" s="12"/>
      <c r="AP154" s="22" t="s">
        <v>77</v>
      </c>
      <c r="AQ154" s="12"/>
      <c r="AR154" s="22" t="s">
        <v>77</v>
      </c>
      <c r="AS154" s="10"/>
      <c r="AT154" s="2" t="s">
        <v>82</v>
      </c>
      <c r="AU154" s="12" t="s">
        <v>83</v>
      </c>
      <c r="AV154" s="3" t="n">
        <v>46214</v>
      </c>
      <c r="AW154" s="21"/>
      <c r="AY154" s="1"/>
      <c r="BA154" s="1"/>
      <c r="BB154" s="1"/>
    </row>
    <row r="155" ht="210" customHeight="1">
      <c r="A155" s="20" t="s">
        <v>1112</v>
      </c>
      <c r="B155" s="20" t="n">
        <v>2023</v>
      </c>
      <c r="C155" s="20" t="n">
        <v>707</v>
      </c>
      <c r="D155" s="20" t="s">
        <v>50</v>
      </c>
      <c r="E155" s="20" t="s">
        <v>1113</v>
      </c>
      <c r="F155" s="20" t="s">
        <v>1114</v>
      </c>
      <c r="G155" s="20" t="s">
        <v>183</v>
      </c>
      <c r="H155" s="20" t="s">
        <v>1115</v>
      </c>
      <c r="I155" s="20"/>
      <c r="J155" s="20" t="s">
        <v>1116</v>
      </c>
      <c r="K155" s="20" t="s">
        <v>1117</v>
      </c>
      <c r="L155" s="20" t="s">
        <v>274</v>
      </c>
      <c r="M155" s="20" t="s">
        <v>275</v>
      </c>
      <c r="N155" s="20" t="s">
        <v>276</v>
      </c>
      <c r="O155" s="20" t="s">
        <v>277</v>
      </c>
      <c r="P155" s="20" t="s">
        <v>278</v>
      </c>
      <c r="Q155" s="20" t="s">
        <v>279</v>
      </c>
      <c r="R155" s="20" t="s">
        <v>1118</v>
      </c>
      <c r="S155" s="20" t="s">
        <v>1119</v>
      </c>
      <c r="T155" s="20" t="s">
        <v>1120</v>
      </c>
      <c r="U155" s="20" t="s">
        <v>1121</v>
      </c>
      <c r="V155" s="20" t="s">
        <v>95</v>
      </c>
      <c r="W155" s="20" t="s">
        <v>96</v>
      </c>
      <c r="X155" s="20" t="s">
        <v>97</v>
      </c>
      <c r="Y155" s="20" t="s">
        <v>70</v>
      </c>
      <c r="Z155" s="20" t="s">
        <v>284</v>
      </c>
      <c r="AA155" s="20" t="s">
        <v>388</v>
      </c>
      <c r="AB155" s="20" t="s">
        <v>77</v>
      </c>
      <c r="AC155" s="20" t="s">
        <v>77</v>
      </c>
      <c r="AD155" s="20" t="s">
        <v>77</v>
      </c>
      <c r="AE155" s="20"/>
      <c r="AF155" s="9" t="n">
        <v>0</v>
      </c>
      <c r="AG155" s="12" t="n">
        <v>0</v>
      </c>
      <c r="AH155" s="22" t="s">
        <v>607</v>
      </c>
      <c r="AI155" s="12" t="str">
        <f>IF(AH155="","",IFERROR(RIGHT("0000"&amp;AH155,4)&amp;" - "&amp;UPPER(_xlfn.XLOOKUP(RIGHT("0000"&amp;AH155,4),CODEBOOK_CAP!$C$2:$C$212,CODEBOOK_CAP!$D$2:$D$212)),"Código CAP não encontrado"))</f>
        <v>1300 - GERAL</v>
      </c>
      <c r="AJ155" s="12" t="str">
        <f>IF(AH155="","",IFERROR(_xlfn.XLOOKUP(RIGHT("0000"&amp;AH155,4),CODEBOOK_CAP!$C$2:$C$212,CODEBOOK_CAP!$E$2:$E$212),"Código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55" s="22" t="s">
        <v>77</v>
      </c>
      <c r="AL155" s="26"/>
      <c r="AM155" s="22" t="s">
        <v>77</v>
      </c>
      <c r="AN155" s="22" t="s">
        <v>77</v>
      </c>
      <c r="AO155" s="12"/>
      <c r="AP155" s="22" t="s">
        <v>77</v>
      </c>
      <c r="AQ155" s="12"/>
      <c r="AR155" s="22" t="s">
        <v>77</v>
      </c>
      <c r="AS155" s="10"/>
      <c r="AT155" s="2" t="s">
        <v>82</v>
      </c>
      <c r="AU155" s="12" t="s">
        <v>83</v>
      </c>
      <c r="AV155" s="3" t="n">
        <v>46214</v>
      </c>
      <c r="AW155" s="21"/>
      <c r="AY155" s="1"/>
      <c r="BA155" s="1"/>
      <c r="BB155" s="1"/>
    </row>
    <row r="156" ht="120" customHeight="1">
      <c r="A156" s="20" t="s">
        <v>1122</v>
      </c>
      <c r="B156" s="20" t="n">
        <v>2023</v>
      </c>
      <c r="C156" s="20" t="n">
        <v>75</v>
      </c>
      <c r="D156" s="20" t="s">
        <v>50</v>
      </c>
      <c r="E156" s="20" t="s">
        <v>1123</v>
      </c>
      <c r="F156" s="20" t="s">
        <v>1124</v>
      </c>
      <c r="G156" s="20" t="s">
        <v>86</v>
      </c>
      <c r="H156" s="20" t="s">
        <v>1125</v>
      </c>
      <c r="I156" s="20"/>
      <c r="J156" s="20" t="s">
        <v>1126</v>
      </c>
      <c r="K156" s="20" t="s">
        <v>122</v>
      </c>
      <c r="L156" s="20" t="s">
        <v>57</v>
      </c>
      <c r="M156" s="20" t="s">
        <v>58</v>
      </c>
      <c r="N156" s="20" t="s">
        <v>59</v>
      </c>
      <c r="O156" s="20" t="s">
        <v>60</v>
      </c>
      <c r="P156" s="20" t="s">
        <v>89</v>
      </c>
      <c r="Q156" s="20" t="s">
        <v>90</v>
      </c>
      <c r="R156" s="20" t="s">
        <v>91</v>
      </c>
      <c r="S156" s="20" t="s">
        <v>92</v>
      </c>
      <c r="T156" s="20" t="s">
        <v>123</v>
      </c>
      <c r="U156" s="20" t="s">
        <v>124</v>
      </c>
      <c r="V156" s="20" t="s">
        <v>95</v>
      </c>
      <c r="W156" s="20" t="s">
        <v>96</v>
      </c>
      <c r="X156" s="20" t="s">
        <v>97</v>
      </c>
      <c r="Y156" s="20" t="s">
        <v>70</v>
      </c>
      <c r="Z156" s="20" t="s">
        <v>98</v>
      </c>
      <c r="AA156" s="20" t="s">
        <v>1127</v>
      </c>
      <c r="AB156" s="20" t="s">
        <v>1127</v>
      </c>
      <c r="AC156" s="20" t="s">
        <v>1127</v>
      </c>
      <c r="AD156" s="20" t="s">
        <v>1127</v>
      </c>
      <c r="AE156" s="20"/>
      <c r="AF156" s="9" t="n">
        <v>1</v>
      </c>
      <c r="AG156" s="12" t="n">
        <v>1</v>
      </c>
      <c r="AH156" s="22" t="s">
        <v>235</v>
      </c>
      <c r="AI156" s="12" t="str">
        <f>IF(AH156="","",IFERROR(RIGHT("0000"&amp;AH156,4)&amp;" - "&amp;UPPER(_xlfn.XLOOKUP(RIGHT("0000"&amp;AH156,4),CODEBOOK_CAP!$C$2:$C$212,CODEBOOK_CAP!$D$2:$D$212)),"Código CAP não encontrado"))</f>
        <v>0322 - ESTRUTURAS, HOSPITAIS, CLÍNICAS</v>
      </c>
      <c r="AJ156" s="12" t="str">
        <f>IF(AH156="","",IFERROR(_xlfn.XLOOKUP(RIGHT("0000"&amp;AH156,4),CODEBOOK_CAP!$C$2:$C$212,CODEBOOK_CAP!$E$2:$E$212),"Código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6" s="22" t="s">
        <v>77</v>
      </c>
      <c r="AL156" s="26"/>
      <c r="AM156" s="22" t="s">
        <v>79</v>
      </c>
      <c r="AN156" s="22" t="s">
        <v>79</v>
      </c>
      <c r="AO156" s="12" t="s">
        <v>1128</v>
      </c>
      <c r="AP156" s="22" t="s">
        <v>77</v>
      </c>
      <c r="AQ156" s="12"/>
      <c r="AR156" s="22" t="s">
        <v>77</v>
      </c>
      <c r="AS156" s="10"/>
      <c r="AT156" s="2" t="s">
        <v>82</v>
      </c>
      <c r="AU156" s="12" t="s">
        <v>83</v>
      </c>
      <c r="AV156" s="3" t="n">
        <v>46218</v>
      </c>
      <c r="AW156" s="21"/>
      <c r="AY156" s="1"/>
      <c r="BA156" s="1"/>
      <c r="BB156" s="1"/>
    </row>
    <row r="157" ht="120" customHeight="1">
      <c r="A157" s="20" t="s">
        <v>1129</v>
      </c>
      <c r="B157" s="20" t="n">
        <v>2023</v>
      </c>
      <c r="C157" s="20" t="n">
        <v>76</v>
      </c>
      <c r="D157" s="20" t="s">
        <v>50</v>
      </c>
      <c r="E157" s="20" t="s">
        <v>1123</v>
      </c>
      <c r="F157" s="20" t="s">
        <v>1130</v>
      </c>
      <c r="G157" s="20" t="s">
        <v>86</v>
      </c>
      <c r="H157" s="20" t="s">
        <v>1125</v>
      </c>
      <c r="I157" s="20"/>
      <c r="J157" s="20" t="s">
        <v>1131</v>
      </c>
      <c r="K157" s="20" t="s">
        <v>122</v>
      </c>
      <c r="L157" s="20" t="s">
        <v>57</v>
      </c>
      <c r="M157" s="20" t="s">
        <v>58</v>
      </c>
      <c r="N157" s="20" t="s">
        <v>59</v>
      </c>
      <c r="O157" s="20" t="s">
        <v>60</v>
      </c>
      <c r="P157" s="20" t="s">
        <v>89</v>
      </c>
      <c r="Q157" s="20" t="s">
        <v>90</v>
      </c>
      <c r="R157" s="20" t="s">
        <v>91</v>
      </c>
      <c r="S157" s="20" t="s">
        <v>92</v>
      </c>
      <c r="T157" s="20" t="s">
        <v>123</v>
      </c>
      <c r="U157" s="20" t="s">
        <v>124</v>
      </c>
      <c r="V157" s="20" t="s">
        <v>95</v>
      </c>
      <c r="W157" s="20" t="s">
        <v>96</v>
      </c>
      <c r="X157" s="20" t="s">
        <v>97</v>
      </c>
      <c r="Y157" s="20" t="s">
        <v>70</v>
      </c>
      <c r="Z157" s="20" t="s">
        <v>98</v>
      </c>
      <c r="AA157" s="20" t="s">
        <v>160</v>
      </c>
      <c r="AB157" s="20" t="s">
        <v>160</v>
      </c>
      <c r="AC157" s="20" t="s">
        <v>160</v>
      </c>
      <c r="AD157" s="20" t="s">
        <v>160</v>
      </c>
      <c r="AE157" s="20"/>
      <c r="AF157" s="9" t="n">
        <v>1</v>
      </c>
      <c r="AG157" s="12" t="n">
        <v>1</v>
      </c>
      <c r="AH157" s="22" t="s">
        <v>235</v>
      </c>
      <c r="AI157" s="12" t="str">
        <f>IF(AH157="","",IFERROR(RIGHT("0000"&amp;AH157,4)&amp;" - "&amp;UPPER(_xlfn.XLOOKUP(RIGHT("0000"&amp;AH157,4),CODEBOOK_CAP!$C$2:$C$212,CODEBOOK_CAP!$D$2:$D$212)),"Código CAP não encontrado"))</f>
        <v>0322 - ESTRUTURAS, HOSPITAIS, CLÍNICAS</v>
      </c>
      <c r="AJ157" s="12" t="str">
        <f>IF(AH157="","",IFERROR(_xlfn.XLOOKUP(RIGHT("0000"&amp;AH157,4),CODEBOOK_CAP!$C$2:$C$212,CODEBOOK_CAP!$E$2:$E$212),"Código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7" s="22" t="s">
        <v>77</v>
      </c>
      <c r="AL157" s="26"/>
      <c r="AM157" s="22" t="s">
        <v>77</v>
      </c>
      <c r="AN157" s="22" t="s">
        <v>77</v>
      </c>
      <c r="AO157" s="12"/>
      <c r="AP157" s="22" t="s">
        <v>77</v>
      </c>
      <c r="AQ157" s="12"/>
      <c r="AR157" s="22" t="s">
        <v>77</v>
      </c>
      <c r="AS157" s="10"/>
      <c r="AT157" s="2" t="s">
        <v>82</v>
      </c>
      <c r="AU157" s="12" t="s">
        <v>83</v>
      </c>
      <c r="AV157" s="3" t="n">
        <v>46218</v>
      </c>
      <c r="AW157" s="21"/>
      <c r="AY157" s="1"/>
      <c r="BA157" s="1"/>
      <c r="BB157" s="1"/>
    </row>
    <row r="158" ht="120" customHeight="1">
      <c r="A158" s="20" t="s">
        <v>1132</v>
      </c>
      <c r="B158" s="20" t="n">
        <v>2023</v>
      </c>
      <c r="C158" s="20" t="n">
        <v>77</v>
      </c>
      <c r="D158" s="20" t="s">
        <v>50</v>
      </c>
      <c r="E158" s="20" t="s">
        <v>1123</v>
      </c>
      <c r="F158" s="20" t="s">
        <v>1133</v>
      </c>
      <c r="G158" s="20" t="s">
        <v>86</v>
      </c>
      <c r="H158" s="20" t="s">
        <v>1125</v>
      </c>
      <c r="I158" s="20"/>
      <c r="J158" s="20" t="s">
        <v>1134</v>
      </c>
      <c r="K158" s="20" t="s">
        <v>1051</v>
      </c>
      <c r="L158" s="20" t="s">
        <v>57</v>
      </c>
      <c r="M158" s="20" t="s">
        <v>58</v>
      </c>
      <c r="N158" s="20" t="s">
        <v>59</v>
      </c>
      <c r="O158" s="20" t="s">
        <v>60</v>
      </c>
      <c r="P158" s="20" t="s">
        <v>89</v>
      </c>
      <c r="Q158" s="20" t="s">
        <v>90</v>
      </c>
      <c r="R158" s="20" t="s">
        <v>91</v>
      </c>
      <c r="S158" s="20" t="s">
        <v>92</v>
      </c>
      <c r="T158" s="20" t="s">
        <v>341</v>
      </c>
      <c r="U158" s="20" t="s">
        <v>342</v>
      </c>
      <c r="V158" s="20" t="s">
        <v>232</v>
      </c>
      <c r="W158" s="20" t="s">
        <v>96</v>
      </c>
      <c r="X158" s="20" t="s">
        <v>97</v>
      </c>
      <c r="Y158" s="20" t="s">
        <v>70</v>
      </c>
      <c r="Z158" s="20" t="s">
        <v>98</v>
      </c>
      <c r="AA158" s="20" t="s">
        <v>409</v>
      </c>
      <c r="AB158" s="20" t="s">
        <v>409</v>
      </c>
      <c r="AC158" s="20" t="s">
        <v>409</v>
      </c>
      <c r="AD158" s="20" t="s">
        <v>409</v>
      </c>
      <c r="AE158" s="20"/>
      <c r="AF158" s="9" t="n">
        <v>1</v>
      </c>
      <c r="AG158" s="12" t="n">
        <v>1</v>
      </c>
      <c r="AH158" s="22" t="s">
        <v>235</v>
      </c>
      <c r="AI158" s="12" t="str">
        <f>IF(AH158="","",IFERROR(RIGHT("0000"&amp;AH158,4)&amp;" - "&amp;UPPER(_xlfn.XLOOKUP(RIGHT("0000"&amp;AH158,4),CODEBOOK_CAP!$C$2:$C$212,CODEBOOK_CAP!$D$2:$D$212)),"Código CAP não encontrado"))</f>
        <v>0322 - ESTRUTURAS, HOSPITAIS, CLÍNICAS</v>
      </c>
      <c r="AJ158" s="12" t="str">
        <f>IF(AH158="","",IFERROR(_xlfn.XLOOKUP(RIGHT("0000"&amp;AH158,4),CODEBOOK_CAP!$C$2:$C$212,CODEBOOK_CAP!$E$2:$E$212),"Código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58" s="22" t="s">
        <v>77</v>
      </c>
      <c r="AL158" s="26"/>
      <c r="AM158" s="22" t="s">
        <v>77</v>
      </c>
      <c r="AN158" s="22" t="s">
        <v>77</v>
      </c>
      <c r="AO158" s="12"/>
      <c r="AP158" s="22" t="s">
        <v>77</v>
      </c>
      <c r="AQ158" s="12"/>
      <c r="AR158" s="22" t="s">
        <v>77</v>
      </c>
      <c r="AS158" s="10"/>
      <c r="AT158" s="2" t="s">
        <v>82</v>
      </c>
      <c r="AU158" s="12" t="s">
        <v>83</v>
      </c>
      <c r="AV158" s="3" t="n">
        <v>46218</v>
      </c>
      <c r="AW158" s="21"/>
      <c r="AY158" s="1"/>
      <c r="BA158" s="1"/>
      <c r="BB158" s="1"/>
    </row>
    <row r="159" ht="105" customHeight="1">
      <c r="A159" s="20" t="s">
        <v>1135</v>
      </c>
      <c r="B159" s="20" t="n">
        <v>2023</v>
      </c>
      <c r="C159" s="20" t="n">
        <v>78</v>
      </c>
      <c r="D159" s="20" t="s">
        <v>50</v>
      </c>
      <c r="E159" s="20" t="s">
        <v>1123</v>
      </c>
      <c r="F159" s="20" t="s">
        <v>1136</v>
      </c>
      <c r="G159" s="20" t="s">
        <v>86</v>
      </c>
      <c r="H159" s="20" t="s">
        <v>1125</v>
      </c>
      <c r="I159" s="20"/>
      <c r="J159" s="20" t="s">
        <v>1137</v>
      </c>
      <c r="K159" s="20" t="s">
        <v>103</v>
      </c>
      <c r="L159" s="20" t="s">
        <v>57</v>
      </c>
      <c r="M159" s="20" t="s">
        <v>58</v>
      </c>
      <c r="N159" s="20" t="s">
        <v>59</v>
      </c>
      <c r="O159" s="20" t="s">
        <v>60</v>
      </c>
      <c r="P159" s="20" t="s">
        <v>89</v>
      </c>
      <c r="Q159" s="20" t="s">
        <v>90</v>
      </c>
      <c r="R159" s="20" t="s">
        <v>91</v>
      </c>
      <c r="S159" s="20" t="s">
        <v>92</v>
      </c>
      <c r="T159" s="20" t="s">
        <v>93</v>
      </c>
      <c r="U159" s="20" t="s">
        <v>94</v>
      </c>
      <c r="V159" s="20" t="s">
        <v>104</v>
      </c>
      <c r="W159" s="20" t="s">
        <v>96</v>
      </c>
      <c r="X159" s="20" t="s">
        <v>97</v>
      </c>
      <c r="Y159" s="20" t="s">
        <v>70</v>
      </c>
      <c r="Z159" s="20" t="s">
        <v>98</v>
      </c>
      <c r="AA159" s="20" t="s">
        <v>409</v>
      </c>
      <c r="AB159" s="20" t="s">
        <v>409</v>
      </c>
      <c r="AC159" s="20" t="s">
        <v>409</v>
      </c>
      <c r="AD159" s="20" t="s">
        <v>409</v>
      </c>
      <c r="AE159" s="20"/>
      <c r="AF159" s="9" t="n">
        <v>1</v>
      </c>
      <c r="AG159" s="12" t="n">
        <v>1</v>
      </c>
      <c r="AH159" s="22" t="s">
        <v>76</v>
      </c>
      <c r="AI159" s="12" t="str">
        <f>IF(AH159="","",IFERROR(RIGHT("0000"&amp;AH159,4)&amp;" - "&amp;UPPER(_xlfn.XLOOKUP(RIGHT("0000"&amp;AH159,4),CODEBOOK_CAP!$C$2:$C$212,CODEBOOK_CAP!$D$2:$D$212)),"Código CAP não encontrado"))</f>
        <v>0333 - SAÚDE MENTAL</v>
      </c>
      <c r="AJ159" s="12" t="str">
        <f>IF(AH159="","",IFERROR(_xlfn.XLOOKUP(RIGHT("0000"&amp;AH159,4),CODEBOOK_CAP!$C$2:$C$212,CODEBOOK_CAP!$E$2:$E$212),"Código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159" s="22" t="s">
        <v>77</v>
      </c>
      <c r="AL159" s="26"/>
      <c r="AM159" s="22" t="s">
        <v>77</v>
      </c>
      <c r="AN159" s="22" t="s">
        <v>77</v>
      </c>
      <c r="AO159" s="12"/>
      <c r="AP159" s="22" t="s">
        <v>77</v>
      </c>
      <c r="AQ159" s="12"/>
      <c r="AR159" s="22" t="s">
        <v>77</v>
      </c>
      <c r="AS159" s="10"/>
      <c r="AT159" s="2" t="s">
        <v>82</v>
      </c>
      <c r="AU159" s="12" t="s">
        <v>83</v>
      </c>
      <c r="AV159" s="3" t="n">
        <v>46218</v>
      </c>
      <c r="AW159" s="21"/>
      <c r="AY159" s="1"/>
      <c r="BA159" s="1"/>
      <c r="BB159" s="1"/>
    </row>
    <row r="160" ht="120" customHeight="1">
      <c r="A160" s="20" t="s">
        <v>1138</v>
      </c>
      <c r="B160" s="20" t="n">
        <v>2023</v>
      </c>
      <c r="C160" s="20" t="n">
        <v>79</v>
      </c>
      <c r="D160" s="20" t="s">
        <v>50</v>
      </c>
      <c r="E160" s="20" t="s">
        <v>1123</v>
      </c>
      <c r="F160" s="20" t="s">
        <v>1139</v>
      </c>
      <c r="G160" s="20" t="s">
        <v>315</v>
      </c>
      <c r="H160" s="20" t="s">
        <v>1125</v>
      </c>
      <c r="I160" s="20"/>
      <c r="J160" s="20" t="s">
        <v>1140</v>
      </c>
      <c r="K160" s="20" t="s">
        <v>1141</v>
      </c>
      <c r="L160" s="20" t="s">
        <v>57</v>
      </c>
      <c r="M160" s="20" t="s">
        <v>58</v>
      </c>
      <c r="N160" s="20" t="s">
        <v>59</v>
      </c>
      <c r="O160" s="20" t="s">
        <v>60</v>
      </c>
      <c r="P160" s="20" t="s">
        <v>89</v>
      </c>
      <c r="Q160" s="20" t="s">
        <v>90</v>
      </c>
      <c r="R160" s="20" t="s">
        <v>91</v>
      </c>
      <c r="S160" s="20" t="s">
        <v>92</v>
      </c>
      <c r="T160" s="20" t="s">
        <v>341</v>
      </c>
      <c r="U160" s="20" t="s">
        <v>342</v>
      </c>
      <c r="V160" s="20" t="s">
        <v>854</v>
      </c>
      <c r="W160" s="20" t="s">
        <v>96</v>
      </c>
      <c r="X160" s="20" t="s">
        <v>97</v>
      </c>
      <c r="Y160" s="20" t="s">
        <v>70</v>
      </c>
      <c r="Z160" s="20" t="s">
        <v>98</v>
      </c>
      <c r="AA160" s="20" t="s">
        <v>409</v>
      </c>
      <c r="AB160" s="20" t="s">
        <v>1142</v>
      </c>
      <c r="AC160" s="20" t="s">
        <v>1143</v>
      </c>
      <c r="AD160" s="20" t="s">
        <v>1142</v>
      </c>
      <c r="AE160" s="20"/>
      <c r="AF160" s="9" t="n">
        <v>1</v>
      </c>
      <c r="AG160" s="12" t="n">
        <v>1</v>
      </c>
      <c r="AH160" s="22" t="s">
        <v>235</v>
      </c>
      <c r="AI160" s="12" t="str">
        <f>IF(AH160="","",IFERROR(RIGHT("0000"&amp;AH160,4)&amp;" - "&amp;UPPER(_xlfn.XLOOKUP(RIGHT("0000"&amp;AH160,4),CODEBOOK_CAP!$C$2:$C$212,CODEBOOK_CAP!$D$2:$D$212)),"Código CAP não encontrado"))</f>
        <v>0322 - ESTRUTURAS, HOSPITAIS, CLÍNICAS</v>
      </c>
      <c r="AJ160" s="12" t="str">
        <f>IF(AH160="","",IFERROR(_xlfn.XLOOKUP(RIGHT("0000"&amp;AH160,4),CODEBOOK_CAP!$C$2:$C$212,CODEBOOK_CAP!$E$2:$E$212),"Código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60" s="22" t="s">
        <v>77</v>
      </c>
      <c r="AL160" s="26"/>
      <c r="AM160" s="22" t="s">
        <v>77</v>
      </c>
      <c r="AN160" s="22" t="s">
        <v>77</v>
      </c>
      <c r="AO160" s="12"/>
      <c r="AP160" s="22" t="s">
        <v>77</v>
      </c>
      <c r="AQ160" s="12"/>
      <c r="AR160" s="22" t="s">
        <v>77</v>
      </c>
      <c r="AS160" s="10"/>
      <c r="AT160" s="2" t="s">
        <v>82</v>
      </c>
      <c r="AU160" s="12" t="s">
        <v>83</v>
      </c>
      <c r="AV160" s="3" t="n">
        <v>46218</v>
      </c>
      <c r="AW160" s="21"/>
      <c r="AY160" s="1"/>
      <c r="BA160" s="1"/>
      <c r="BB160" s="1"/>
    </row>
    <row r="161" ht="120" customHeight="1">
      <c r="A161" s="20" t="s">
        <v>1144</v>
      </c>
      <c r="B161" s="20" t="n">
        <v>2023</v>
      </c>
      <c r="C161" s="20" t="n">
        <v>80</v>
      </c>
      <c r="D161" s="20" t="s">
        <v>50</v>
      </c>
      <c r="E161" s="20" t="s">
        <v>1123</v>
      </c>
      <c r="F161" s="20" t="s">
        <v>1145</v>
      </c>
      <c r="G161" s="20" t="s">
        <v>86</v>
      </c>
      <c r="H161" s="20" t="s">
        <v>1125</v>
      </c>
      <c r="I161" s="20"/>
      <c r="J161" s="20" t="s">
        <v>1146</v>
      </c>
      <c r="K161" s="20" t="s">
        <v>441</v>
      </c>
      <c r="L161" s="20" t="s">
        <v>57</v>
      </c>
      <c r="M161" s="20" t="s">
        <v>58</v>
      </c>
      <c r="N161" s="20" t="s">
        <v>59</v>
      </c>
      <c r="O161" s="20" t="s">
        <v>60</v>
      </c>
      <c r="P161" s="20" t="s">
        <v>89</v>
      </c>
      <c r="Q161" s="20" t="s">
        <v>90</v>
      </c>
      <c r="R161" s="20" t="s">
        <v>91</v>
      </c>
      <c r="S161" s="20" t="s">
        <v>92</v>
      </c>
      <c r="T161" s="20" t="s">
        <v>341</v>
      </c>
      <c r="U161" s="20" t="s">
        <v>342</v>
      </c>
      <c r="V161" s="20" t="s">
        <v>95</v>
      </c>
      <c r="W161" s="20" t="s">
        <v>96</v>
      </c>
      <c r="X161" s="20" t="s">
        <v>97</v>
      </c>
      <c r="Y161" s="20" t="s">
        <v>70</v>
      </c>
      <c r="Z161" s="20" t="s">
        <v>98</v>
      </c>
      <c r="AA161" s="20" t="s">
        <v>1147</v>
      </c>
      <c r="AB161" s="20" t="s">
        <v>1147</v>
      </c>
      <c r="AC161" s="20" t="s">
        <v>1147</v>
      </c>
      <c r="AD161" s="20" t="s">
        <v>1147</v>
      </c>
      <c r="AE161" s="20"/>
      <c r="AF161" s="9" t="n">
        <v>1</v>
      </c>
      <c r="AG161" s="12" t="n">
        <v>1</v>
      </c>
      <c r="AH161" s="22" t="s">
        <v>800</v>
      </c>
      <c r="AI161" s="12" t="str">
        <f>IF(AH161="","",IFERROR(RIGHT("0000"&amp;AH161,4)&amp;" - "&amp;UPPER(_xlfn.XLOOKUP(RIGHT("0000"&amp;AH161,4),CODEBOOK_CAP!$C$2:$C$212,CODEBOOK_CAP!$D$2:$D$212)),"Código CAP não encontrado"))</f>
        <v>0334 - TRATAMENTOS, CIRUGIAS, ATENDIMENTOS, DOENÇAS E REABILITAÇÃO</v>
      </c>
      <c r="AJ161" s="12" t="str">
        <f>IF(AH161="","",IFERROR(_xlfn.XLOOKUP(RIGHT("0000"&amp;AH161,4),CODEBOOK_CAP!$C$2:$C$212,CODEBOOK_CAP!$E$2:$E$212),"Código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161" s="22" t="s">
        <v>77</v>
      </c>
      <c r="AL161" s="26"/>
      <c r="AM161" s="22" t="s">
        <v>77</v>
      </c>
      <c r="AN161" s="22" t="s">
        <v>77</v>
      </c>
      <c r="AO161" s="12"/>
      <c r="AP161" s="22" t="s">
        <v>77</v>
      </c>
      <c r="AQ161" s="12"/>
      <c r="AR161" s="22" t="s">
        <v>77</v>
      </c>
      <c r="AS161" s="10"/>
      <c r="AT161" s="2" t="s">
        <v>82</v>
      </c>
      <c r="AU161" s="12" t="s">
        <v>83</v>
      </c>
      <c r="AV161" s="3" t="n">
        <v>46218</v>
      </c>
      <c r="AW161" s="21"/>
      <c r="AY161" s="1"/>
      <c r="BA161" s="1"/>
      <c r="BB161" s="1"/>
    </row>
    <row r="162" ht="210" customHeight="1">
      <c r="A162" s="20" t="s">
        <v>1148</v>
      </c>
      <c r="B162" s="20" t="n">
        <v>2023</v>
      </c>
      <c r="C162" s="20" t="n">
        <v>81</v>
      </c>
      <c r="D162" s="20" t="s">
        <v>50</v>
      </c>
      <c r="E162" s="20" t="s">
        <v>1123</v>
      </c>
      <c r="F162" s="20" t="s">
        <v>1149</v>
      </c>
      <c r="G162" s="20" t="s">
        <v>86</v>
      </c>
      <c r="H162" s="20" t="s">
        <v>1125</v>
      </c>
      <c r="I162" s="20"/>
      <c r="J162" s="20" t="s">
        <v>1150</v>
      </c>
      <c r="K162" s="20" t="s">
        <v>1151</v>
      </c>
      <c r="L162" s="20" t="s">
        <v>785</v>
      </c>
      <c r="M162" s="20" t="s">
        <v>786</v>
      </c>
      <c r="N162" s="20" t="s">
        <v>787</v>
      </c>
      <c r="O162" s="20" t="s">
        <v>788</v>
      </c>
      <c r="P162" s="20" t="s">
        <v>517</v>
      </c>
      <c r="Q162" s="20" t="s">
        <v>893</v>
      </c>
      <c r="R162" s="20" t="s">
        <v>894</v>
      </c>
      <c r="S162" s="20" t="s">
        <v>895</v>
      </c>
      <c r="T162" s="20" t="s">
        <v>792</v>
      </c>
      <c r="U162" s="20" t="s">
        <v>793</v>
      </c>
      <c r="V162" s="20" t="s">
        <v>1152</v>
      </c>
      <c r="W162" s="20" t="s">
        <v>68</v>
      </c>
      <c r="X162" s="20" t="s">
        <v>69</v>
      </c>
      <c r="Y162" s="20" t="s">
        <v>70</v>
      </c>
      <c r="Z162" s="20" t="s">
        <v>794</v>
      </c>
      <c r="AA162" s="20" t="s">
        <v>409</v>
      </c>
      <c r="AB162" s="20" t="s">
        <v>409</v>
      </c>
      <c r="AC162" s="20" t="s">
        <v>409</v>
      </c>
      <c r="AD162" s="20" t="s">
        <v>409</v>
      </c>
      <c r="AE162" s="20"/>
      <c r="AF162" s="9" t="n">
        <v>0</v>
      </c>
      <c r="AG162" s="12" t="n">
        <v>0</v>
      </c>
      <c r="AH162" s="22" t="s">
        <v>899</v>
      </c>
      <c r="AI162" s="12" t="str">
        <f>IF(AH162="","",IFERROR(RIGHT("0000"&amp;AH162,4)&amp;" - "&amp;UPPER(_xlfn.XLOOKUP(RIGHT("0000"&amp;AH162,4),CODEBOOK_CAP!$C$2:$C$212,CODEBOOK_CAP!$D$2:$D$212)),"Código CAP não encontrado"))</f>
        <v>0602 - ENSINO BÁSICO, FUNDAMENTAL E MÉDIO</v>
      </c>
      <c r="AJ162" s="12" t="str">
        <f>IF(AH162="","",IFERROR(_xlfn.XLOOKUP(RIGHT("0000"&amp;AH162,4),CODEBOOK_CAP!$C$2:$C$212,CODEBOOK_CAP!$E$2:$E$212),"Código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62" s="22" t="s">
        <v>79</v>
      </c>
      <c r="AL162" s="26" t="s">
        <v>1153</v>
      </c>
      <c r="AM162" s="22" t="s">
        <v>79</v>
      </c>
      <c r="AN162" s="22" t="s">
        <v>79</v>
      </c>
      <c r="AO162" s="12" t="s">
        <v>1154</v>
      </c>
      <c r="AP162" s="22" t="s">
        <v>79</v>
      </c>
      <c r="AQ162" s="12" t="s">
        <v>901</v>
      </c>
      <c r="AR162" s="22" t="s">
        <v>77</v>
      </c>
      <c r="AS162" s="10"/>
      <c r="AT162" s="2" t="s">
        <v>82</v>
      </c>
      <c r="AU162" s="12" t="s">
        <v>83</v>
      </c>
      <c r="AV162" s="3" t="n">
        <v>46218</v>
      </c>
      <c r="AW162" s="21"/>
      <c r="AY162" s="1"/>
      <c r="BA162" s="1"/>
      <c r="BB162" s="1"/>
    </row>
    <row r="163" ht="210" customHeight="1">
      <c r="A163" s="20" t="s">
        <v>1155</v>
      </c>
      <c r="B163" s="20" t="n">
        <v>2023</v>
      </c>
      <c r="C163" s="20" t="n">
        <v>82</v>
      </c>
      <c r="D163" s="20" t="s">
        <v>50</v>
      </c>
      <c r="E163" s="20" t="s">
        <v>1123</v>
      </c>
      <c r="F163" s="20" t="s">
        <v>1156</v>
      </c>
      <c r="G163" s="20" t="s">
        <v>86</v>
      </c>
      <c r="H163" s="20" t="s">
        <v>1125</v>
      </c>
      <c r="I163" s="20"/>
      <c r="J163" s="20" t="s">
        <v>1157</v>
      </c>
      <c r="K163" s="20" t="s">
        <v>1151</v>
      </c>
      <c r="L163" s="20" t="s">
        <v>785</v>
      </c>
      <c r="M163" s="20" t="s">
        <v>786</v>
      </c>
      <c r="N163" s="20" t="s">
        <v>787</v>
      </c>
      <c r="O163" s="20" t="s">
        <v>788</v>
      </c>
      <c r="P163" s="20" t="s">
        <v>517</v>
      </c>
      <c r="Q163" s="20" t="s">
        <v>893</v>
      </c>
      <c r="R163" s="20" t="s">
        <v>894</v>
      </c>
      <c r="S163" s="20" t="s">
        <v>895</v>
      </c>
      <c r="T163" s="20" t="s">
        <v>792</v>
      </c>
      <c r="U163" s="20" t="s">
        <v>793</v>
      </c>
      <c r="V163" s="20" t="s">
        <v>1152</v>
      </c>
      <c r="W163" s="20" t="s">
        <v>68</v>
      </c>
      <c r="X163" s="20" t="s">
        <v>69</v>
      </c>
      <c r="Y163" s="20" t="s">
        <v>70</v>
      </c>
      <c r="Z163" s="20" t="s">
        <v>794</v>
      </c>
      <c r="AA163" s="20" t="s">
        <v>740</v>
      </c>
      <c r="AB163" s="20" t="s">
        <v>740</v>
      </c>
      <c r="AC163" s="20" t="s">
        <v>740</v>
      </c>
      <c r="AD163" s="20" t="s">
        <v>740</v>
      </c>
      <c r="AE163" s="20"/>
      <c r="AF163" s="9" t="n">
        <v>0</v>
      </c>
      <c r="AG163" s="12" t="n">
        <v>0</v>
      </c>
      <c r="AH163" s="22" t="s">
        <v>899</v>
      </c>
      <c r="AI163" s="12" t="str">
        <f>IF(AH163="","",IFERROR(RIGHT("0000"&amp;AH163,4)&amp;" - "&amp;UPPER(_xlfn.XLOOKUP(RIGHT("0000"&amp;AH163,4),CODEBOOK_CAP!$C$2:$C$212,CODEBOOK_CAP!$D$2:$D$212)),"Código CAP não encontrado"))</f>
        <v>0602 - ENSINO BÁSICO, FUNDAMENTAL E MÉDIO</v>
      </c>
      <c r="AJ163" s="12" t="str">
        <f>IF(AH163="","",IFERROR(_xlfn.XLOOKUP(RIGHT("0000"&amp;AH163,4),CODEBOOK_CAP!$C$2:$C$212,CODEBOOK_CAP!$E$2:$E$212),"Código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63" s="22" t="s">
        <v>79</v>
      </c>
      <c r="AL163" s="26" t="s">
        <v>1158</v>
      </c>
      <c r="AM163" s="22" t="s">
        <v>79</v>
      </c>
      <c r="AN163" s="22" t="s">
        <v>79</v>
      </c>
      <c r="AO163" s="26" t="s">
        <v>1159</v>
      </c>
      <c r="AP163" s="22" t="s">
        <v>79</v>
      </c>
      <c r="AQ163" s="12" t="s">
        <v>901</v>
      </c>
      <c r="AR163" s="22" t="s">
        <v>77</v>
      </c>
      <c r="AS163" s="10"/>
      <c r="AT163" s="2" t="s">
        <v>82</v>
      </c>
      <c r="AU163" s="12" t="s">
        <v>83</v>
      </c>
      <c r="AV163" s="3" t="n">
        <v>46218</v>
      </c>
      <c r="AW163" s="21"/>
      <c r="AY163" s="1"/>
      <c r="BA163" s="1"/>
      <c r="BB163" s="1"/>
    </row>
    <row r="164" ht="210" customHeight="1">
      <c r="A164" s="20" t="s">
        <v>1160</v>
      </c>
      <c r="B164" s="20" t="n">
        <v>2023</v>
      </c>
      <c r="C164" s="20" t="n">
        <v>83</v>
      </c>
      <c r="D164" s="20" t="s">
        <v>50</v>
      </c>
      <c r="E164" s="20" t="s">
        <v>1123</v>
      </c>
      <c r="F164" s="20" t="s">
        <v>1161</v>
      </c>
      <c r="G164" s="20" t="s">
        <v>86</v>
      </c>
      <c r="H164" s="20" t="s">
        <v>1125</v>
      </c>
      <c r="I164" s="20"/>
      <c r="J164" s="20" t="s">
        <v>1162</v>
      </c>
      <c r="K164" s="20" t="s">
        <v>1151</v>
      </c>
      <c r="L164" s="20" t="s">
        <v>785</v>
      </c>
      <c r="M164" s="20" t="s">
        <v>786</v>
      </c>
      <c r="N164" s="20" t="s">
        <v>787</v>
      </c>
      <c r="O164" s="20" t="s">
        <v>788</v>
      </c>
      <c r="P164" s="20" t="s">
        <v>517</v>
      </c>
      <c r="Q164" s="20" t="s">
        <v>893</v>
      </c>
      <c r="R164" s="20" t="s">
        <v>894</v>
      </c>
      <c r="S164" s="20" t="s">
        <v>895</v>
      </c>
      <c r="T164" s="20" t="s">
        <v>792</v>
      </c>
      <c r="U164" s="20" t="s">
        <v>793</v>
      </c>
      <c r="V164" s="20" t="s">
        <v>1152</v>
      </c>
      <c r="W164" s="20" t="s">
        <v>68</v>
      </c>
      <c r="X164" s="20" t="s">
        <v>69</v>
      </c>
      <c r="Y164" s="20" t="s">
        <v>70</v>
      </c>
      <c r="Z164" s="20" t="s">
        <v>794</v>
      </c>
      <c r="AA164" s="20" t="s">
        <v>125</v>
      </c>
      <c r="AB164" s="20" t="s">
        <v>125</v>
      </c>
      <c r="AC164" s="20" t="s">
        <v>409</v>
      </c>
      <c r="AD164" s="20" t="s">
        <v>125</v>
      </c>
      <c r="AE164" s="20"/>
      <c r="AF164" s="9" t="n">
        <v>0</v>
      </c>
      <c r="AG164" s="12" t="n">
        <v>0</v>
      </c>
      <c r="AH164" s="22" t="s">
        <v>899</v>
      </c>
      <c r="AI164" s="12" t="str">
        <f>IF(AH164="","",IFERROR(RIGHT("0000"&amp;AH164,4)&amp;" - "&amp;UPPER(_xlfn.XLOOKUP(RIGHT("0000"&amp;AH164,4),CODEBOOK_CAP!$C$2:$C$212,CODEBOOK_CAP!$D$2:$D$212)),"Código CAP não encontrado"))</f>
        <v>0602 - ENSINO BÁSICO, FUNDAMENTAL E MÉDIO</v>
      </c>
      <c r="AJ164" s="12" t="str">
        <f>IF(AH164="","",IFERROR(_xlfn.XLOOKUP(RIGHT("0000"&amp;AH164,4),CODEBOOK_CAP!$C$2:$C$212,CODEBOOK_CAP!$E$2:$E$212),"Código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64" s="22" t="s">
        <v>79</v>
      </c>
      <c r="AL164" s="26" t="s">
        <v>1163</v>
      </c>
      <c r="AM164" s="22" t="s">
        <v>79</v>
      </c>
      <c r="AN164" s="22" t="s">
        <v>79</v>
      </c>
      <c r="AO164" s="12" t="s">
        <v>1164</v>
      </c>
      <c r="AP164" s="22" t="s">
        <v>79</v>
      </c>
      <c r="AQ164" s="12" t="s">
        <v>901</v>
      </c>
      <c r="AR164" s="22" t="s">
        <v>77</v>
      </c>
      <c r="AS164" s="10"/>
      <c r="AT164" s="2" t="s">
        <v>82</v>
      </c>
      <c r="AU164" s="12" t="s">
        <v>83</v>
      </c>
      <c r="AV164" s="3" t="n">
        <v>46218</v>
      </c>
      <c r="AW164" s="21"/>
      <c r="AY164" s="1"/>
      <c r="BA164" s="1"/>
      <c r="BB164" s="1"/>
    </row>
    <row r="165" ht="75" customHeight="1">
      <c r="A165" s="20" t="s">
        <v>1165</v>
      </c>
      <c r="B165" s="20" t="n">
        <v>2023</v>
      </c>
      <c r="C165" s="20" t="n">
        <v>84</v>
      </c>
      <c r="D165" s="20" t="s">
        <v>50</v>
      </c>
      <c r="E165" s="20" t="s">
        <v>1123</v>
      </c>
      <c r="F165" s="20" t="s">
        <v>1166</v>
      </c>
      <c r="G165" s="20" t="s">
        <v>86</v>
      </c>
      <c r="H165" s="20" t="s">
        <v>1125</v>
      </c>
      <c r="I165" s="20"/>
      <c r="J165" s="20" t="s">
        <v>1167</v>
      </c>
      <c r="K165" s="20" t="s">
        <v>299</v>
      </c>
      <c r="L165" s="20" t="s">
        <v>208</v>
      </c>
      <c r="M165" s="20" t="s">
        <v>209</v>
      </c>
      <c r="N165" s="20" t="s">
        <v>210</v>
      </c>
      <c r="O165" s="20" t="s">
        <v>211</v>
      </c>
      <c r="P165" s="20" t="s">
        <v>212</v>
      </c>
      <c r="Q165" s="20" t="s">
        <v>213</v>
      </c>
      <c r="R165" s="20" t="s">
        <v>251</v>
      </c>
      <c r="S165" s="20" t="s">
        <v>252</v>
      </c>
      <c r="T165" s="20" t="s">
        <v>300</v>
      </c>
      <c r="U165" s="20" t="s">
        <v>301</v>
      </c>
      <c r="V165" s="20" t="s">
        <v>67</v>
      </c>
      <c r="W165" s="20" t="s">
        <v>68</v>
      </c>
      <c r="X165" s="20" t="s">
        <v>69</v>
      </c>
      <c r="Y165" s="20" t="s">
        <v>70</v>
      </c>
      <c r="Z165" s="20" t="s">
        <v>177</v>
      </c>
      <c r="AA165" s="20" t="s">
        <v>1168</v>
      </c>
      <c r="AB165" s="20" t="s">
        <v>1169</v>
      </c>
      <c r="AC165" s="20" t="s">
        <v>1169</v>
      </c>
      <c r="AD165" s="20" t="s">
        <v>1169</v>
      </c>
      <c r="AE165" s="20"/>
      <c r="AF165" s="9" t="n">
        <v>0</v>
      </c>
      <c r="AG165" s="12" t="n">
        <v>0</v>
      </c>
      <c r="AH165" s="22" t="s">
        <v>304</v>
      </c>
      <c r="AI165" s="12" t="str">
        <f>IF(AH165="","",IFERROR(RIGHT("0000"&amp;AH165,4)&amp;" - "&amp;UPPER(_xlfn.XLOOKUP(RIGHT("0000"&amp;AH165,4),CODEBOOK_CAP!$C$2:$C$212,CODEBOOK_CAP!$D$2:$D$212)),"Código CAP não encontrado"))</f>
        <v>1403 - REABILITAÇÃO URBANA, ECONOMIA URBANA</v>
      </c>
      <c r="AJ165" s="12" t="str">
        <f>IF(AH165="","",IFERROR(_xlfn.XLOOKUP(RIGHT("0000"&amp;AH165,4),CODEBOOK_CAP!$C$2:$C$212,CODEBOOK_CAP!$E$2:$E$212),"Código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65" s="22" t="s">
        <v>79</v>
      </c>
      <c r="AL165" s="26" t="s">
        <v>1170</v>
      </c>
      <c r="AM165" s="22" t="s">
        <v>79</v>
      </c>
      <c r="AN165" s="22" t="s">
        <v>77</v>
      </c>
      <c r="AO165" s="12"/>
      <c r="AP165" s="22" t="s">
        <v>77</v>
      </c>
      <c r="AQ165" s="12"/>
      <c r="AR165" s="22" t="s">
        <v>77</v>
      </c>
      <c r="AS165" s="10"/>
      <c r="AT165" s="2" t="s">
        <v>82</v>
      </c>
      <c r="AU165" s="12" t="s">
        <v>83</v>
      </c>
      <c r="AV165" s="3" t="n">
        <v>46218</v>
      </c>
      <c r="AW165" s="21"/>
      <c r="AY165" s="1"/>
      <c r="BA165" s="1"/>
      <c r="BB165" s="1"/>
    </row>
    <row r="166" ht="195" customHeight="1">
      <c r="A166" s="20" t="s">
        <v>1171</v>
      </c>
      <c r="B166" s="20" t="n">
        <v>2023</v>
      </c>
      <c r="C166" s="20" t="n">
        <v>85</v>
      </c>
      <c r="D166" s="20" t="s">
        <v>50</v>
      </c>
      <c r="E166" s="20" t="s">
        <v>1123</v>
      </c>
      <c r="F166" s="20" t="s">
        <v>1172</v>
      </c>
      <c r="G166" s="20" t="s">
        <v>86</v>
      </c>
      <c r="H166" s="20" t="s">
        <v>1125</v>
      </c>
      <c r="I166" s="20"/>
      <c r="J166" s="20" t="s">
        <v>1173</v>
      </c>
      <c r="K166" s="20" t="s">
        <v>289</v>
      </c>
      <c r="L166" s="20" t="s">
        <v>208</v>
      </c>
      <c r="M166" s="20" t="s">
        <v>209</v>
      </c>
      <c r="N166" s="20" t="s">
        <v>210</v>
      </c>
      <c r="O166" s="20" t="s">
        <v>211</v>
      </c>
      <c r="P166" s="20" t="s">
        <v>212</v>
      </c>
      <c r="Q166" s="20" t="s">
        <v>213</v>
      </c>
      <c r="R166" s="20" t="s">
        <v>251</v>
      </c>
      <c r="S166" s="20" t="s">
        <v>252</v>
      </c>
      <c r="T166" s="20" t="s">
        <v>290</v>
      </c>
      <c r="U166" s="20" t="s">
        <v>291</v>
      </c>
      <c r="V166" s="20" t="s">
        <v>67</v>
      </c>
      <c r="W166" s="20" t="s">
        <v>68</v>
      </c>
      <c r="X166" s="20" t="s">
        <v>69</v>
      </c>
      <c r="Y166" s="20" t="s">
        <v>70</v>
      </c>
      <c r="Z166" s="20" t="s">
        <v>177</v>
      </c>
      <c r="AA166" s="20" t="s">
        <v>160</v>
      </c>
      <c r="AB166" s="20" t="s">
        <v>160</v>
      </c>
      <c r="AC166" s="20" t="s">
        <v>160</v>
      </c>
      <c r="AD166" s="20" t="s">
        <v>160</v>
      </c>
      <c r="AE166" s="20"/>
      <c r="AF166" s="9" t="n">
        <v>0</v>
      </c>
      <c r="AG166" s="12" t="n">
        <v>0</v>
      </c>
      <c r="AH166" s="22" t="s">
        <v>294</v>
      </c>
      <c r="AI166" s="12" t="str">
        <f>IF(AH166="","",IFERROR(RIGHT("0000"&amp;AH166,4)&amp;" - "&amp;UPPER(_xlfn.XLOOKUP(RIGHT("0000"&amp;AH166,4),CODEBOOK_CAP!$C$2:$C$212,CODEBOOK_CAP!$D$2:$D$212)),"Código CAP não encontrado"))</f>
        <v>0711 - CONSERVAÇÃO DO SOLO, MAR, RIOS, PRAIAS E COSTAS</v>
      </c>
      <c r="AJ166" s="12" t="str">
        <f>IF(AH166="","",IFERROR(_xlfn.XLOOKUP(RIGHT("0000"&amp;AH166,4),CODEBOOK_CAP!$C$2:$C$212,CODEBOOK_CAP!$E$2:$E$212),"Código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166" s="22" t="s">
        <v>79</v>
      </c>
      <c r="AL166" s="26" t="s">
        <v>1174</v>
      </c>
      <c r="AM166" s="22" t="s">
        <v>79</v>
      </c>
      <c r="AN166" s="22" t="s">
        <v>79</v>
      </c>
      <c r="AO166" s="12" t="s">
        <v>1174</v>
      </c>
      <c r="AP166" s="22" t="s">
        <v>77</v>
      </c>
      <c r="AQ166" s="12"/>
      <c r="AR166" s="22" t="s">
        <v>77</v>
      </c>
      <c r="AS166" s="10"/>
      <c r="AT166" s="2" t="s">
        <v>82</v>
      </c>
      <c r="AU166" s="12" t="s">
        <v>83</v>
      </c>
      <c r="AV166" s="3" t="n">
        <v>46218</v>
      </c>
      <c r="AW166" s="21"/>
      <c r="AY166" s="1"/>
      <c r="BA166" s="1"/>
      <c r="BB166" s="1"/>
    </row>
    <row r="167" ht="105" customHeight="1">
      <c r="A167" s="20" t="s">
        <v>1175</v>
      </c>
      <c r="B167" s="20" t="n">
        <v>2023</v>
      </c>
      <c r="C167" s="20" t="n">
        <v>86</v>
      </c>
      <c r="D167" s="20" t="s">
        <v>50</v>
      </c>
      <c r="E167" s="20" t="s">
        <v>1123</v>
      </c>
      <c r="F167" s="20" t="s">
        <v>1176</v>
      </c>
      <c r="G167" s="20" t="s">
        <v>86</v>
      </c>
      <c r="H167" s="20" t="s">
        <v>1125</v>
      </c>
      <c r="I167" s="20"/>
      <c r="J167" s="20" t="s">
        <v>1177</v>
      </c>
      <c r="K167" s="20" t="s">
        <v>250</v>
      </c>
      <c r="L167" s="20" t="s">
        <v>208</v>
      </c>
      <c r="M167" s="20" t="s">
        <v>209</v>
      </c>
      <c r="N167" s="20" t="s">
        <v>135</v>
      </c>
      <c r="O167" s="20" t="s">
        <v>136</v>
      </c>
      <c r="P167" s="20" t="s">
        <v>61</v>
      </c>
      <c r="Q167" s="20" t="s">
        <v>62</v>
      </c>
      <c r="R167" s="20" t="s">
        <v>251</v>
      </c>
      <c r="S167" s="20" t="s">
        <v>252</v>
      </c>
      <c r="T167" s="20" t="s">
        <v>253</v>
      </c>
      <c r="U167" s="20" t="s">
        <v>254</v>
      </c>
      <c r="V167" s="20" t="s">
        <v>67</v>
      </c>
      <c r="W167" s="20" t="s">
        <v>68</v>
      </c>
      <c r="X167" s="20" t="s">
        <v>69</v>
      </c>
      <c r="Y167" s="20" t="s">
        <v>70</v>
      </c>
      <c r="Z167" s="20" t="s">
        <v>177</v>
      </c>
      <c r="AA167" s="20" t="s">
        <v>580</v>
      </c>
      <c r="AB167" s="20" t="s">
        <v>1178</v>
      </c>
      <c r="AC167" s="20" t="s">
        <v>1178</v>
      </c>
      <c r="AD167" s="20" t="s">
        <v>1178</v>
      </c>
      <c r="AE167" s="20"/>
      <c r="AF167" s="9" t="n">
        <v>0</v>
      </c>
      <c r="AG167" s="12" t="n">
        <v>0</v>
      </c>
      <c r="AH167" s="22" t="s">
        <v>161</v>
      </c>
      <c r="AI167" s="12" t="str">
        <f>IF(AH167="","",IFERROR(RIGHT("0000"&amp;AH167,4)&amp;" - "&amp;UPPER(_xlfn.XLOOKUP(RIGHT("0000"&amp;AH167,4),CODEBOOK_CAP!$C$2:$C$212,CODEBOOK_CAP!$D$2:$D$212)),"Código CAP não encontrado"))</f>
        <v>2300 - GERAL</v>
      </c>
      <c r="AJ167" s="12" t="str">
        <f>IF(AH167="","",IFERROR(_xlfn.XLOOKUP(RIGHT("0000"&amp;AH167,4),CODEBOOK_CAP!$C$2:$C$212,CODEBOOK_CAP!$E$2:$E$212),"Código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67" s="22" t="s">
        <v>79</v>
      </c>
      <c r="AL167" s="26" t="s">
        <v>1179</v>
      </c>
      <c r="AM167" s="22" t="s">
        <v>79</v>
      </c>
      <c r="AN167" s="22" t="s">
        <v>79</v>
      </c>
      <c r="AO167" s="12" t="s">
        <v>1180</v>
      </c>
      <c r="AP167" s="22" t="s">
        <v>77</v>
      </c>
      <c r="AQ167" s="12"/>
      <c r="AR167" s="22" t="s">
        <v>77</v>
      </c>
      <c r="AS167" s="10"/>
      <c r="AT167" s="2" t="s">
        <v>82</v>
      </c>
      <c r="AU167" s="12" t="s">
        <v>83</v>
      </c>
      <c r="AV167" s="3" t="n">
        <v>46218</v>
      </c>
      <c r="AW167" s="21"/>
      <c r="AX167" s="1" t="s">
        <v>6956</v>
      </c>
      <c r="AY167" s="1"/>
      <c r="BA167" s="1"/>
      <c r="BB167" s="1"/>
    </row>
    <row r="168" ht="75" customHeight="1">
      <c r="A168" s="20" t="s">
        <v>1181</v>
      </c>
      <c r="B168" s="20" t="n">
        <v>2023</v>
      </c>
      <c r="C168" s="20" t="n">
        <v>87</v>
      </c>
      <c r="D168" s="20" t="s">
        <v>50</v>
      </c>
      <c r="E168" s="20" t="s">
        <v>1123</v>
      </c>
      <c r="F168" s="20" t="s">
        <v>1182</v>
      </c>
      <c r="G168" s="20" t="s">
        <v>86</v>
      </c>
      <c r="H168" s="20" t="s">
        <v>1125</v>
      </c>
      <c r="I168" s="20"/>
      <c r="J168" s="20" t="s">
        <v>1183</v>
      </c>
      <c r="K168" s="20" t="s">
        <v>299</v>
      </c>
      <c r="L168" s="20" t="s">
        <v>208</v>
      </c>
      <c r="M168" s="20" t="s">
        <v>209</v>
      </c>
      <c r="N168" s="20" t="s">
        <v>210</v>
      </c>
      <c r="O168" s="20" t="s">
        <v>211</v>
      </c>
      <c r="P168" s="20" t="s">
        <v>212</v>
      </c>
      <c r="Q168" s="20" t="s">
        <v>213</v>
      </c>
      <c r="R168" s="20" t="s">
        <v>251</v>
      </c>
      <c r="S168" s="20" t="s">
        <v>252</v>
      </c>
      <c r="T168" s="20" t="s">
        <v>300</v>
      </c>
      <c r="U168" s="20" t="s">
        <v>301</v>
      </c>
      <c r="V168" s="20" t="s">
        <v>67</v>
      </c>
      <c r="W168" s="20" t="s">
        <v>68</v>
      </c>
      <c r="X168" s="20" t="s">
        <v>69</v>
      </c>
      <c r="Y168" s="20" t="s">
        <v>70</v>
      </c>
      <c r="Z168" s="20" t="s">
        <v>177</v>
      </c>
      <c r="AA168" s="20" t="s">
        <v>125</v>
      </c>
      <c r="AB168" s="20" t="s">
        <v>1184</v>
      </c>
      <c r="AC168" s="20" t="s">
        <v>1184</v>
      </c>
      <c r="AD168" s="20" t="s">
        <v>1184</v>
      </c>
      <c r="AE168" s="20"/>
      <c r="AF168" s="9" t="n">
        <v>0</v>
      </c>
      <c r="AG168" s="12" t="n">
        <v>0</v>
      </c>
      <c r="AH168" s="22" t="s">
        <v>304</v>
      </c>
      <c r="AI168" s="12" t="str">
        <f>IF(AH168="","",IFERROR(RIGHT("0000"&amp;AH168,4)&amp;" - "&amp;UPPER(_xlfn.XLOOKUP(RIGHT("0000"&amp;AH168,4),CODEBOOK_CAP!$C$2:$C$212,CODEBOOK_CAP!$D$2:$D$212)),"Código CAP não encontrado"))</f>
        <v>1403 - REABILITAÇÃO URBANA, ECONOMIA URBANA</v>
      </c>
      <c r="AJ168" s="12" t="str">
        <f>IF(AH168="","",IFERROR(_xlfn.XLOOKUP(RIGHT("0000"&amp;AH168,4),CODEBOOK_CAP!$C$2:$C$212,CODEBOOK_CAP!$E$2:$E$212),"Código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68" s="22" t="s">
        <v>79</v>
      </c>
      <c r="AL168" s="26" t="s">
        <v>1185</v>
      </c>
      <c r="AM168" s="22" t="s">
        <v>79</v>
      </c>
      <c r="AN168" s="22" t="s">
        <v>79</v>
      </c>
      <c r="AO168" s="12" t="s">
        <v>1185</v>
      </c>
      <c r="AP168" s="22" t="s">
        <v>77</v>
      </c>
      <c r="AQ168" s="12"/>
      <c r="AR168" s="22" t="s">
        <v>77</v>
      </c>
      <c r="AS168" s="10"/>
      <c r="AT168" s="2" t="s">
        <v>82</v>
      </c>
      <c r="AU168" s="12" t="s">
        <v>83</v>
      </c>
      <c r="AV168" s="3" t="n">
        <v>46218</v>
      </c>
      <c r="AW168" s="21"/>
      <c r="AY168" s="1"/>
      <c r="BA168" s="1"/>
      <c r="BB168" s="1"/>
    </row>
    <row r="169" ht="255" customHeight="1">
      <c r="A169" s="20" t="s">
        <v>1186</v>
      </c>
      <c r="B169" s="20" t="n">
        <v>2023</v>
      </c>
      <c r="C169" s="20" t="n">
        <v>88</v>
      </c>
      <c r="D169" s="20" t="s">
        <v>50</v>
      </c>
      <c r="E169" s="20" t="s">
        <v>1123</v>
      </c>
      <c r="F169" s="20" t="s">
        <v>1187</v>
      </c>
      <c r="G169" s="20" t="s">
        <v>86</v>
      </c>
      <c r="H169" s="20" t="s">
        <v>1125</v>
      </c>
      <c r="I169" s="20"/>
      <c r="J169" s="20" t="s">
        <v>1188</v>
      </c>
      <c r="K169" s="20" t="s">
        <v>1189</v>
      </c>
      <c r="L169" s="20" t="s">
        <v>208</v>
      </c>
      <c r="M169" s="20" t="s">
        <v>209</v>
      </c>
      <c r="N169" s="20" t="s">
        <v>210</v>
      </c>
      <c r="O169" s="20" t="s">
        <v>211</v>
      </c>
      <c r="P169" s="20" t="s">
        <v>212</v>
      </c>
      <c r="Q169" s="20" t="s">
        <v>213</v>
      </c>
      <c r="R169" s="20" t="s">
        <v>251</v>
      </c>
      <c r="S169" s="20" t="s">
        <v>252</v>
      </c>
      <c r="T169" s="20" t="s">
        <v>1190</v>
      </c>
      <c r="U169" s="20" t="s">
        <v>1191</v>
      </c>
      <c r="V169" s="20" t="s">
        <v>67</v>
      </c>
      <c r="W169" s="20" t="s">
        <v>68</v>
      </c>
      <c r="X169" s="20" t="s">
        <v>69</v>
      </c>
      <c r="Y169" s="20" t="s">
        <v>70</v>
      </c>
      <c r="Z169" s="20" t="s">
        <v>177</v>
      </c>
      <c r="AA169" s="20" t="s">
        <v>1192</v>
      </c>
      <c r="AB169" s="20" t="s">
        <v>1193</v>
      </c>
      <c r="AC169" s="20" t="s">
        <v>1193</v>
      </c>
      <c r="AD169" s="20" t="s">
        <v>1193</v>
      </c>
      <c r="AE169" s="20"/>
      <c r="AF169" s="9" t="n">
        <v>0</v>
      </c>
      <c r="AG169" s="12" t="n">
        <v>0</v>
      </c>
      <c r="AH169" s="22" t="s">
        <v>219</v>
      </c>
      <c r="AI169" s="12" t="str">
        <f>IF(AH169="","",IFERROR(RIGHT("0000"&amp;AH169,4)&amp;" - "&amp;UPPER(_xlfn.XLOOKUP(RIGHT("0000"&amp;AH169,4),CODEBOOK_CAP!$C$2:$C$212,CODEBOOK_CAP!$D$2:$D$212)),"Código CAP não encontrado"))</f>
        <v>1002 - CARROS, TRÂNSITO, CONSTRUÇÃO E MANUTENÇÃO DE RUAS E ESTRADAS</v>
      </c>
      <c r="AJ169" s="12" t="str">
        <f>IF(AH169="","",IFERROR(_xlfn.XLOOKUP(RIGHT("0000"&amp;AH169,4),CODEBOOK_CAP!$C$2:$C$212,CODEBOOK_CAP!$E$2:$E$212),"Código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69" s="22" t="s">
        <v>79</v>
      </c>
      <c r="AL169" s="26" t="s">
        <v>1111</v>
      </c>
      <c r="AM169" s="22" t="s">
        <v>79</v>
      </c>
      <c r="AN169" s="22" t="s">
        <v>77</v>
      </c>
      <c r="AO169" s="12"/>
      <c r="AP169" s="22" t="s">
        <v>77</v>
      </c>
      <c r="AQ169" s="12"/>
      <c r="AR169" s="22" t="s">
        <v>77</v>
      </c>
      <c r="AS169" s="10"/>
      <c r="AT169" s="2" t="s">
        <v>82</v>
      </c>
      <c r="AU169" s="12" t="s">
        <v>83</v>
      </c>
      <c r="AV169" s="3" t="n">
        <v>46218</v>
      </c>
      <c r="AW169" s="21"/>
      <c r="AY169" s="1"/>
      <c r="BA169" s="1"/>
      <c r="BB169" s="1"/>
    </row>
    <row r="170" ht="105" customHeight="1">
      <c r="A170" s="20" t="s">
        <v>1194</v>
      </c>
      <c r="B170" s="20" t="n">
        <v>2023</v>
      </c>
      <c r="C170" s="20" t="n">
        <v>89</v>
      </c>
      <c r="D170" s="20" t="s">
        <v>50</v>
      </c>
      <c r="E170" s="20" t="s">
        <v>1123</v>
      </c>
      <c r="F170" s="20" t="s">
        <v>1195</v>
      </c>
      <c r="G170" s="20" t="s">
        <v>86</v>
      </c>
      <c r="H170" s="20" t="s">
        <v>1125</v>
      </c>
      <c r="I170" s="20"/>
      <c r="J170" s="20" t="s">
        <v>1196</v>
      </c>
      <c r="K170" s="20" t="s">
        <v>1197</v>
      </c>
      <c r="L170" s="20" t="s">
        <v>208</v>
      </c>
      <c r="M170" s="20" t="s">
        <v>209</v>
      </c>
      <c r="N170" s="20" t="s">
        <v>210</v>
      </c>
      <c r="O170" s="20" t="s">
        <v>211</v>
      </c>
      <c r="P170" s="20" t="s">
        <v>212</v>
      </c>
      <c r="Q170" s="20" t="s">
        <v>213</v>
      </c>
      <c r="R170" s="20" t="s">
        <v>1198</v>
      </c>
      <c r="S170" s="20" t="s">
        <v>1199</v>
      </c>
      <c r="T170" s="20" t="s">
        <v>1200</v>
      </c>
      <c r="U170" s="20" t="s">
        <v>1201</v>
      </c>
      <c r="V170" s="20" t="s">
        <v>95</v>
      </c>
      <c r="W170" s="20" t="s">
        <v>96</v>
      </c>
      <c r="X170" s="20" t="s">
        <v>97</v>
      </c>
      <c r="Y170" s="20" t="s">
        <v>70</v>
      </c>
      <c r="Z170" s="20" t="s">
        <v>177</v>
      </c>
      <c r="AA170" s="20" t="s">
        <v>125</v>
      </c>
      <c r="AB170" s="20" t="s">
        <v>77</v>
      </c>
      <c r="AC170" s="20" t="s">
        <v>77</v>
      </c>
      <c r="AD170" s="20" t="s">
        <v>77</v>
      </c>
      <c r="AE170" s="20"/>
      <c r="AF170" s="9" t="n">
        <v>0</v>
      </c>
      <c r="AG170" s="12" t="n">
        <v>0</v>
      </c>
      <c r="AH170" s="22" t="s">
        <v>161</v>
      </c>
      <c r="AI170" s="12" t="str">
        <f>IF(AH170="","",IFERROR(RIGHT("0000"&amp;AH170,4)&amp;" - "&amp;UPPER(_xlfn.XLOOKUP(RIGHT("0000"&amp;AH170,4),CODEBOOK_CAP!$C$2:$C$212,CODEBOOK_CAP!$D$2:$D$212)),"Código CAP não encontrado"))</f>
        <v>2300 - GERAL</v>
      </c>
      <c r="AJ170" s="12" t="str">
        <f>IF(AH170="","",IFERROR(_xlfn.XLOOKUP(RIGHT("0000"&amp;AH170,4),CODEBOOK_CAP!$C$2:$C$212,CODEBOOK_CAP!$E$2:$E$212),"Código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170" s="22" t="s">
        <v>79</v>
      </c>
      <c r="AL170" s="26" t="s">
        <v>1202</v>
      </c>
      <c r="AM170" s="22" t="s">
        <v>79</v>
      </c>
      <c r="AN170" s="22" t="s">
        <v>77</v>
      </c>
      <c r="AO170" s="12"/>
      <c r="AP170" s="22" t="s">
        <v>77</v>
      </c>
      <c r="AQ170" s="12"/>
      <c r="AR170" s="22" t="s">
        <v>77</v>
      </c>
      <c r="AS170" s="10"/>
      <c r="AT170" s="2" t="s">
        <v>82</v>
      </c>
      <c r="AU170" s="12" t="s">
        <v>83</v>
      </c>
      <c r="AV170" s="3" t="n">
        <v>46218</v>
      </c>
      <c r="AW170" s="21"/>
      <c r="AX170" s="1" t="s">
        <v>6956</v>
      </c>
      <c r="AY170" s="1"/>
      <c r="BA170" s="1"/>
      <c r="BB170" s="1"/>
    </row>
    <row r="171" ht="75" customHeight="1">
      <c r="A171" s="20" t="s">
        <v>1203</v>
      </c>
      <c r="B171" s="20" t="n">
        <v>2023</v>
      </c>
      <c r="C171" s="20" t="n">
        <v>90</v>
      </c>
      <c r="D171" s="20" t="s">
        <v>50</v>
      </c>
      <c r="E171" s="20" t="s">
        <v>1123</v>
      </c>
      <c r="F171" s="20" t="s">
        <v>1204</v>
      </c>
      <c r="G171" s="20" t="s">
        <v>86</v>
      </c>
      <c r="H171" s="20" t="s">
        <v>1125</v>
      </c>
      <c r="I171" s="20"/>
      <c r="J171" s="20" t="s">
        <v>1205</v>
      </c>
      <c r="K171" s="20" t="s">
        <v>299</v>
      </c>
      <c r="L171" s="20" t="s">
        <v>208</v>
      </c>
      <c r="M171" s="20" t="s">
        <v>209</v>
      </c>
      <c r="N171" s="20" t="s">
        <v>210</v>
      </c>
      <c r="O171" s="20" t="s">
        <v>211</v>
      </c>
      <c r="P171" s="20" t="s">
        <v>212</v>
      </c>
      <c r="Q171" s="20" t="s">
        <v>213</v>
      </c>
      <c r="R171" s="20" t="s">
        <v>251</v>
      </c>
      <c r="S171" s="20" t="s">
        <v>252</v>
      </c>
      <c r="T171" s="20" t="s">
        <v>300</v>
      </c>
      <c r="U171" s="20" t="s">
        <v>301</v>
      </c>
      <c r="V171" s="20" t="s">
        <v>67</v>
      </c>
      <c r="W171" s="20" t="s">
        <v>68</v>
      </c>
      <c r="X171" s="20" t="s">
        <v>69</v>
      </c>
      <c r="Y171" s="20" t="s">
        <v>70</v>
      </c>
      <c r="Z171" s="20" t="s">
        <v>177</v>
      </c>
      <c r="AA171" s="20" t="s">
        <v>125</v>
      </c>
      <c r="AB171" s="20" t="s">
        <v>1206</v>
      </c>
      <c r="AC171" s="20" t="s">
        <v>1206</v>
      </c>
      <c r="AD171" s="20" t="s">
        <v>1206</v>
      </c>
      <c r="AE171" s="20"/>
      <c r="AF171" s="9" t="n">
        <v>0</v>
      </c>
      <c r="AG171" s="12" t="n">
        <v>0</v>
      </c>
      <c r="AH171" s="22" t="s">
        <v>304</v>
      </c>
      <c r="AI171" s="12" t="str">
        <f>IF(AH171="","",IFERROR(RIGHT("0000"&amp;AH171,4)&amp;" - "&amp;UPPER(_xlfn.XLOOKUP(RIGHT("0000"&amp;AH171,4),CODEBOOK_CAP!$C$2:$C$212,CODEBOOK_CAP!$D$2:$D$212)),"Código CAP não encontrado"))</f>
        <v>1403 - REABILITAÇÃO URBANA, ECONOMIA URBANA</v>
      </c>
      <c r="AJ171" s="12" t="str">
        <f>IF(AH171="","",IFERROR(_xlfn.XLOOKUP(RIGHT("0000"&amp;AH171,4),CODEBOOK_CAP!$C$2:$C$212,CODEBOOK_CAP!$E$2:$E$212),"Código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171" s="22" t="s">
        <v>79</v>
      </c>
      <c r="AL171" s="26" t="s">
        <v>1207</v>
      </c>
      <c r="AM171" s="22" t="s">
        <v>79</v>
      </c>
      <c r="AN171" s="22" t="s">
        <v>79</v>
      </c>
      <c r="AO171" s="12" t="s">
        <v>1207</v>
      </c>
      <c r="AP171" s="22" t="s">
        <v>77</v>
      </c>
      <c r="AQ171" s="12"/>
      <c r="AR171" s="22" t="s">
        <v>77</v>
      </c>
      <c r="AS171" s="10"/>
      <c r="AT171" s="2" t="s">
        <v>82</v>
      </c>
      <c r="AU171" s="12" t="s">
        <v>83</v>
      </c>
      <c r="AV171" s="3" t="n">
        <v>46218</v>
      </c>
      <c r="AW171" s="21"/>
      <c r="AY171" s="1"/>
      <c r="BA171" s="1"/>
      <c r="BB171" s="1"/>
    </row>
    <row r="172" ht="255" customHeight="1">
      <c r="A172" s="20" t="s">
        <v>1208</v>
      </c>
      <c r="B172" s="20" t="n">
        <v>2023</v>
      </c>
      <c r="C172" s="20" t="n">
        <v>91</v>
      </c>
      <c r="D172" s="20" t="s">
        <v>50</v>
      </c>
      <c r="E172" s="20" t="s">
        <v>1123</v>
      </c>
      <c r="F172" s="20" t="s">
        <v>1209</v>
      </c>
      <c r="G172" s="20" t="s">
        <v>86</v>
      </c>
      <c r="H172" s="20" t="s">
        <v>1125</v>
      </c>
      <c r="I172" s="20"/>
      <c r="J172" s="20" t="s">
        <v>1210</v>
      </c>
      <c r="K172" s="20" t="s">
        <v>1189</v>
      </c>
      <c r="L172" s="20" t="s">
        <v>208</v>
      </c>
      <c r="M172" s="20" t="s">
        <v>209</v>
      </c>
      <c r="N172" s="20" t="s">
        <v>210</v>
      </c>
      <c r="O172" s="20" t="s">
        <v>211</v>
      </c>
      <c r="P172" s="20" t="s">
        <v>212</v>
      </c>
      <c r="Q172" s="20" t="s">
        <v>213</v>
      </c>
      <c r="R172" s="20" t="s">
        <v>251</v>
      </c>
      <c r="S172" s="20" t="s">
        <v>252</v>
      </c>
      <c r="T172" s="20" t="s">
        <v>1190</v>
      </c>
      <c r="U172" s="20" t="s">
        <v>1191</v>
      </c>
      <c r="V172" s="20" t="s">
        <v>67</v>
      </c>
      <c r="W172" s="20" t="s">
        <v>68</v>
      </c>
      <c r="X172" s="20" t="s">
        <v>69</v>
      </c>
      <c r="Y172" s="20" t="s">
        <v>70</v>
      </c>
      <c r="Z172" s="20" t="s">
        <v>177</v>
      </c>
      <c r="AA172" s="20" t="s">
        <v>125</v>
      </c>
      <c r="AB172" s="20" t="s">
        <v>77</v>
      </c>
      <c r="AC172" s="20" t="s">
        <v>77</v>
      </c>
      <c r="AD172" s="20" t="s">
        <v>77</v>
      </c>
      <c r="AE172" s="20"/>
      <c r="AF172" s="9" t="n">
        <v>0</v>
      </c>
      <c r="AG172" s="12" t="n">
        <v>0</v>
      </c>
      <c r="AH172" s="22" t="s">
        <v>219</v>
      </c>
      <c r="AI172" s="12" t="str">
        <f>IF(AH172="","",IFERROR(RIGHT("0000"&amp;AH172,4)&amp;" - "&amp;UPPER(_xlfn.XLOOKUP(RIGHT("0000"&amp;AH172,4),CODEBOOK_CAP!$C$2:$C$212,CODEBOOK_CAP!$D$2:$D$212)),"Código CAP não encontrado"))</f>
        <v>1002 - CARROS, TRÂNSITO, CONSTRUÇÃO E MANUTENÇÃO DE RUAS E ESTRADAS</v>
      </c>
      <c r="AJ172" s="12" t="str">
        <f>IF(AH172="","",IFERROR(_xlfn.XLOOKUP(RIGHT("0000"&amp;AH172,4),CODEBOOK_CAP!$C$2:$C$212,CODEBOOK_CAP!$E$2:$E$212),"Código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172" s="22" t="s">
        <v>79</v>
      </c>
      <c r="AL172" s="26" t="s">
        <v>1211</v>
      </c>
      <c r="AM172" s="22" t="s">
        <v>79</v>
      </c>
      <c r="AN172" s="22" t="s">
        <v>77</v>
      </c>
      <c r="AO172" s="12"/>
      <c r="AP172" s="22" t="s">
        <v>77</v>
      </c>
      <c r="AQ172" s="12"/>
      <c r="AR172" s="22" t="s">
        <v>77</v>
      </c>
      <c r="AS172" s="10"/>
      <c r="AT172" s="2" t="s">
        <v>82</v>
      </c>
      <c r="AU172" s="12" t="s">
        <v>83</v>
      </c>
      <c r="AV172" s="3" t="n">
        <v>46218</v>
      </c>
      <c r="AW172" s="21"/>
      <c r="AY172" s="1"/>
      <c r="BA172" s="1"/>
      <c r="BB172" s="1"/>
    </row>
    <row r="173" ht="150" customHeight="1">
      <c r="A173" s="20" t="s">
        <v>1212</v>
      </c>
      <c r="B173" s="20" t="n">
        <v>2023</v>
      </c>
      <c r="C173" s="20" t="n">
        <v>353</v>
      </c>
      <c r="D173" s="20" t="s">
        <v>50</v>
      </c>
      <c r="E173" s="20" t="s">
        <v>1213</v>
      </c>
      <c r="F173" s="20" t="s">
        <v>1214</v>
      </c>
      <c r="G173" s="20" t="s">
        <v>86</v>
      </c>
      <c r="H173" s="20" t="s">
        <v>1215</v>
      </c>
      <c r="I173" s="20"/>
      <c r="J173" s="20" t="s">
        <v>1216</v>
      </c>
      <c r="K173" s="20" t="s">
        <v>122</v>
      </c>
      <c r="L173" s="20" t="s">
        <v>57</v>
      </c>
      <c r="M173" s="20" t="s">
        <v>58</v>
      </c>
      <c r="N173" s="20" t="s">
        <v>59</v>
      </c>
      <c r="O173" s="20" t="s">
        <v>60</v>
      </c>
      <c r="P173" s="20" t="s">
        <v>89</v>
      </c>
      <c r="Q173" s="20" t="s">
        <v>90</v>
      </c>
      <c r="R173" s="20" t="s">
        <v>91</v>
      </c>
      <c r="S173" s="20" t="s">
        <v>92</v>
      </c>
      <c r="T173" s="20" t="s">
        <v>123</v>
      </c>
      <c r="U173" s="20" t="s">
        <v>124</v>
      </c>
      <c r="V173" s="20" t="s">
        <v>95</v>
      </c>
      <c r="W173" s="20" t="s">
        <v>96</v>
      </c>
      <c r="X173" s="20" t="s">
        <v>97</v>
      </c>
      <c r="Y173" s="20" t="s">
        <v>70</v>
      </c>
      <c r="Z173" s="20" t="s">
        <v>98</v>
      </c>
      <c r="AA173" s="20" t="s">
        <v>160</v>
      </c>
      <c r="AB173" s="20" t="s">
        <v>160</v>
      </c>
      <c r="AC173" s="20" t="s">
        <v>160</v>
      </c>
      <c r="AD173" s="20" t="s">
        <v>160</v>
      </c>
      <c r="AE173" s="20"/>
      <c r="AF173" s="9" t="n">
        <v>1</v>
      </c>
      <c r="AG173" s="12" t="n">
        <v>1</v>
      </c>
      <c r="AH173" s="22" t="s">
        <v>620</v>
      </c>
      <c r="AI173" s="12" t="str">
        <f>IF(AH173="","",IFERROR(RIGHT("0000"&amp;AH173,4)&amp;" - "&amp;UPPER(_xlfn.XLOOKUP(RIGHT("0000"&amp;AH173,4),CODEBOOK_CAP!$C$2:$C$212,CODEBOOK_CAP!$D$2:$D$212)),"Código CAP não encontrado"))</f>
        <v>0332 - SAÚDE INFANTIL, GRAVIDEZ E PRÉ-NATAL</v>
      </c>
      <c r="AJ173" s="12" t="str">
        <f>IF(AH173="","",IFERROR(_xlfn.XLOOKUP(RIGHT("0000"&amp;AH173,4),CODEBOOK_CAP!$C$2:$C$212,CODEBOOK_CAP!$E$2:$E$212),"Código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73" s="22" t="s">
        <v>77</v>
      </c>
      <c r="AL173" s="26"/>
      <c r="AM173" s="22" t="s">
        <v>79</v>
      </c>
      <c r="AN173" s="22" t="s">
        <v>79</v>
      </c>
      <c r="AO173" s="12" t="s">
        <v>745</v>
      </c>
      <c r="AP173" s="22" t="s">
        <v>79</v>
      </c>
      <c r="AQ173" s="12" t="s">
        <v>622</v>
      </c>
      <c r="AR173" s="22" t="s">
        <v>77</v>
      </c>
      <c r="AS173" s="10"/>
      <c r="AT173" s="2" t="s">
        <v>82</v>
      </c>
      <c r="AU173" s="12" t="s">
        <v>83</v>
      </c>
      <c r="AV173" s="3" t="n">
        <v>46218</v>
      </c>
      <c r="AW173" s="21"/>
      <c r="AY173" s="1"/>
      <c r="BA173" s="1"/>
      <c r="BB173" s="1"/>
    </row>
    <row r="174" ht="165" customHeight="1">
      <c r="A174" s="20" t="s">
        <v>1217</v>
      </c>
      <c r="B174" s="20" t="n">
        <v>2023</v>
      </c>
      <c r="C174" s="20" t="n">
        <v>355</v>
      </c>
      <c r="D174" s="20" t="s">
        <v>50</v>
      </c>
      <c r="E174" s="20" t="s">
        <v>1213</v>
      </c>
      <c r="F174" s="20" t="s">
        <v>1218</v>
      </c>
      <c r="G174" s="20" t="s">
        <v>86</v>
      </c>
      <c r="H174" s="20" t="s">
        <v>1215</v>
      </c>
      <c r="I174" s="20"/>
      <c r="J174" s="20" t="s">
        <v>1219</v>
      </c>
      <c r="K174" s="20" t="s">
        <v>122</v>
      </c>
      <c r="L174" s="20" t="s">
        <v>57</v>
      </c>
      <c r="M174" s="20" t="s">
        <v>58</v>
      </c>
      <c r="N174" s="20" t="s">
        <v>59</v>
      </c>
      <c r="O174" s="20" t="s">
        <v>60</v>
      </c>
      <c r="P174" s="20" t="s">
        <v>89</v>
      </c>
      <c r="Q174" s="20" t="s">
        <v>90</v>
      </c>
      <c r="R174" s="20" t="s">
        <v>91</v>
      </c>
      <c r="S174" s="20" t="s">
        <v>92</v>
      </c>
      <c r="T174" s="20" t="s">
        <v>123</v>
      </c>
      <c r="U174" s="20" t="s">
        <v>124</v>
      </c>
      <c r="V174" s="20" t="s">
        <v>95</v>
      </c>
      <c r="W174" s="20" t="s">
        <v>96</v>
      </c>
      <c r="X174" s="20" t="s">
        <v>97</v>
      </c>
      <c r="Y174" s="20" t="s">
        <v>70</v>
      </c>
      <c r="Z174" s="20" t="s">
        <v>98</v>
      </c>
      <c r="AA174" s="20" t="s">
        <v>160</v>
      </c>
      <c r="AB174" s="20" t="s">
        <v>160</v>
      </c>
      <c r="AC174" s="20" t="s">
        <v>160</v>
      </c>
      <c r="AD174" s="20" t="s">
        <v>160</v>
      </c>
      <c r="AE174" s="20"/>
      <c r="AF174" s="9" t="n">
        <v>1</v>
      </c>
      <c r="AG174" s="12" t="n">
        <v>1</v>
      </c>
      <c r="AH174" s="22" t="s">
        <v>126</v>
      </c>
      <c r="AI174" s="12" t="str">
        <f>IF(AH174="","",IFERROR(RIGHT("0000"&amp;AH174,4)&amp;" - "&amp;UPPER(_xlfn.XLOOKUP(RIGHT("0000"&amp;AH174,4),CODEBOOK_CAP!$C$2:$C$212,CODEBOOK_CAP!$D$2:$D$212)),"Código CAP não encontrado"))</f>
        <v>0335 - REGULAMENTAÇÃO DE FARMÁCIAS , COMPRA E CONSUMO DE MEDICAMENTOS</v>
      </c>
      <c r="AJ174" s="12" t="str">
        <f>IF(AH174="","",IFERROR(_xlfn.XLOOKUP(RIGHT("0000"&amp;AH174,4),CODEBOOK_CAP!$C$2:$C$212,CODEBOOK_CAP!$E$2:$E$212),"Código CAP não encontrado"))</f>
        <v>Assuntos relacionados a compra e venda de medicamentos em farmácias. Regulamentação de horário de funcionamento de farmácias, farmácia popular, farmácias de manipulação, organização e regras para funcionamento de farmácias, proibição de atendimento médico em farmácias, controle de receitas, acesso a compra de medicamentos de tarja vermelha e tarja preta. Preço de medicamentos e remedios. Distribuição de medicamentos gratuitos. Questões relacionadas sobre patentes de medicamentos no 1522. Não confundir com assuntos relacionados a Industria Farmaceutica (321)</v>
      </c>
      <c r="AK174" s="22" t="s">
        <v>77</v>
      </c>
      <c r="AL174" s="26"/>
      <c r="AM174" s="22" t="s">
        <v>79</v>
      </c>
      <c r="AN174" s="22" t="s">
        <v>79</v>
      </c>
      <c r="AO174" s="26" t="s">
        <v>1220</v>
      </c>
      <c r="AP174" s="22" t="s">
        <v>79</v>
      </c>
      <c r="AQ174" s="19" t="s">
        <v>128</v>
      </c>
      <c r="AR174" s="22" t="s">
        <v>77</v>
      </c>
      <c r="AS174" s="10"/>
      <c r="AT174" s="2" t="s">
        <v>82</v>
      </c>
      <c r="AU174" s="12" t="s">
        <v>83</v>
      </c>
      <c r="AV174" s="3" t="n">
        <v>46218</v>
      </c>
      <c r="AW174" s="21"/>
      <c r="AY174" s="1"/>
      <c r="BA174" s="1"/>
      <c r="BB174" s="1"/>
    </row>
    <row r="175" ht="120" customHeight="1">
      <c r="A175" s="20" t="s">
        <v>1221</v>
      </c>
      <c r="B175" s="20" t="n">
        <v>2023</v>
      </c>
      <c r="C175" s="20" t="n">
        <v>356</v>
      </c>
      <c r="D175" s="20" t="s">
        <v>50</v>
      </c>
      <c r="E175" s="20" t="s">
        <v>1213</v>
      </c>
      <c r="F175" s="20" t="s">
        <v>1222</v>
      </c>
      <c r="G175" s="20" t="s">
        <v>86</v>
      </c>
      <c r="H175" s="20" t="s">
        <v>1215</v>
      </c>
      <c r="I175" s="20"/>
      <c r="J175" s="20" t="s">
        <v>1223</v>
      </c>
      <c r="K175" s="20" t="s">
        <v>56</v>
      </c>
      <c r="L175" s="20" t="s">
        <v>57</v>
      </c>
      <c r="M175" s="20" t="s">
        <v>58</v>
      </c>
      <c r="N175" s="20" t="s">
        <v>59</v>
      </c>
      <c r="O175" s="20" t="s">
        <v>60</v>
      </c>
      <c r="P175" s="20" t="s">
        <v>61</v>
      </c>
      <c r="Q175" s="20" t="s">
        <v>62</v>
      </c>
      <c r="R175" s="20" t="s">
        <v>63</v>
      </c>
      <c r="S175" s="20" t="s">
        <v>64</v>
      </c>
      <c r="T175" s="20" t="s">
        <v>65</v>
      </c>
      <c r="U175" s="20" t="s">
        <v>66</v>
      </c>
      <c r="V175" s="20" t="s">
        <v>67</v>
      </c>
      <c r="W175" s="20" t="s">
        <v>68</v>
      </c>
      <c r="X175" s="20" t="s">
        <v>69</v>
      </c>
      <c r="Y175" s="20" t="s">
        <v>70</v>
      </c>
      <c r="Z175" s="20" t="s">
        <v>71</v>
      </c>
      <c r="AA175" s="20" t="s">
        <v>1224</v>
      </c>
      <c r="AB175" s="20" t="s">
        <v>1225</v>
      </c>
      <c r="AC175" s="20" t="s">
        <v>1225</v>
      </c>
      <c r="AD175" s="20" t="s">
        <v>1225</v>
      </c>
      <c r="AE175" s="20"/>
      <c r="AF175" s="9" t="n">
        <v>1</v>
      </c>
      <c r="AG175" s="12" t="n">
        <v>1</v>
      </c>
      <c r="AH175" s="22" t="s">
        <v>235</v>
      </c>
      <c r="AI175" s="12" t="str">
        <f>IF(AH175="","",IFERROR(RIGHT("0000"&amp;AH175,4)&amp;" - "&amp;UPPER(_xlfn.XLOOKUP(RIGHT("0000"&amp;AH175,4),CODEBOOK_CAP!$C$2:$C$212,CODEBOOK_CAP!$D$2:$D$212)),"Código CAP não encontrado"))</f>
        <v>0322 - ESTRUTURAS, HOSPITAIS, CLÍNICAS</v>
      </c>
      <c r="AJ175" s="12" t="str">
        <f>IF(AH175="","",IFERROR(_xlfn.XLOOKUP(RIGHT("0000"&amp;AH175,4),CODEBOOK_CAP!$C$2:$C$212,CODEBOOK_CAP!$E$2:$E$212),"Código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75" s="22" t="s">
        <v>77</v>
      </c>
      <c r="AL175" s="26"/>
      <c r="AM175" s="22" t="s">
        <v>79</v>
      </c>
      <c r="AN175" s="22" t="s">
        <v>79</v>
      </c>
      <c r="AO175" s="12" t="s">
        <v>1226</v>
      </c>
      <c r="AP175" s="22" t="s">
        <v>77</v>
      </c>
      <c r="AQ175" s="12"/>
      <c r="AR175" s="22" t="s">
        <v>77</v>
      </c>
      <c r="AS175" s="10"/>
      <c r="AT175" s="2" t="s">
        <v>82</v>
      </c>
      <c r="AU175" s="12" t="s">
        <v>83</v>
      </c>
      <c r="AV175" s="3" t="n">
        <v>46218</v>
      </c>
      <c r="AW175" s="21"/>
      <c r="AY175" s="1"/>
      <c r="BA175" s="1"/>
      <c r="BB175" s="1"/>
    </row>
    <row r="176" ht="120" customHeight="1">
      <c r="A176" s="20" t="s">
        <v>1227</v>
      </c>
      <c r="B176" s="20" t="n">
        <v>2023</v>
      </c>
      <c r="C176" s="20" t="n">
        <v>357</v>
      </c>
      <c r="D176" s="20" t="s">
        <v>50</v>
      </c>
      <c r="E176" s="20" t="s">
        <v>1213</v>
      </c>
      <c r="F176" s="20" t="s">
        <v>1228</v>
      </c>
      <c r="G176" s="20" t="s">
        <v>315</v>
      </c>
      <c r="H176" s="20" t="s">
        <v>1215</v>
      </c>
      <c r="I176" s="20"/>
      <c r="J176" s="20" t="s">
        <v>1229</v>
      </c>
      <c r="K176" s="20" t="s">
        <v>56</v>
      </c>
      <c r="L176" s="20" t="s">
        <v>57</v>
      </c>
      <c r="M176" s="20" t="s">
        <v>58</v>
      </c>
      <c r="N176" s="20" t="s">
        <v>59</v>
      </c>
      <c r="O176" s="20" t="s">
        <v>60</v>
      </c>
      <c r="P176" s="20" t="s">
        <v>61</v>
      </c>
      <c r="Q176" s="20" t="s">
        <v>62</v>
      </c>
      <c r="R176" s="20" t="s">
        <v>63</v>
      </c>
      <c r="S176" s="20" t="s">
        <v>64</v>
      </c>
      <c r="T176" s="20" t="s">
        <v>65</v>
      </c>
      <c r="U176" s="20" t="s">
        <v>66</v>
      </c>
      <c r="V176" s="20" t="s">
        <v>67</v>
      </c>
      <c r="W176" s="20" t="s">
        <v>68</v>
      </c>
      <c r="X176" s="20" t="s">
        <v>69</v>
      </c>
      <c r="Y176" s="20" t="s">
        <v>70</v>
      </c>
      <c r="Z176" s="20" t="s">
        <v>98</v>
      </c>
      <c r="AA176" s="20" t="s">
        <v>1224</v>
      </c>
      <c r="AB176" s="20" t="s">
        <v>1230</v>
      </c>
      <c r="AC176" s="20" t="s">
        <v>1230</v>
      </c>
      <c r="AD176" s="20" t="s">
        <v>1231</v>
      </c>
      <c r="AE176" s="20" t="s">
        <v>1232</v>
      </c>
      <c r="AF176" s="9" t="n">
        <v>1</v>
      </c>
      <c r="AG176" s="12" t="n">
        <v>1</v>
      </c>
      <c r="AH176" s="22" t="s">
        <v>235</v>
      </c>
      <c r="AI176" s="12" t="str">
        <f>IF(AH176="","",IFERROR(RIGHT("0000"&amp;AH176,4)&amp;" - "&amp;UPPER(_xlfn.XLOOKUP(RIGHT("0000"&amp;AH176,4),CODEBOOK_CAP!$C$2:$C$212,CODEBOOK_CAP!$D$2:$D$212)),"Código CAP não encontrado"))</f>
        <v>0322 - ESTRUTURAS, HOSPITAIS, CLÍNICAS</v>
      </c>
      <c r="AJ176" s="12" t="str">
        <f>IF(AH176="","",IFERROR(_xlfn.XLOOKUP(RIGHT("0000"&amp;AH176,4),CODEBOOK_CAP!$C$2:$C$212,CODEBOOK_CAP!$E$2:$E$212),"Código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76" s="22" t="s">
        <v>77</v>
      </c>
      <c r="AL176" s="26"/>
      <c r="AM176" s="22" t="s">
        <v>79</v>
      </c>
      <c r="AN176" s="22" t="s">
        <v>79</v>
      </c>
      <c r="AO176" s="26" t="s">
        <v>1233</v>
      </c>
      <c r="AP176" s="22" t="s">
        <v>77</v>
      </c>
      <c r="AQ176" s="12"/>
      <c r="AR176" s="22" t="s">
        <v>77</v>
      </c>
      <c r="AS176" s="10"/>
      <c r="AT176" s="2" t="s">
        <v>82</v>
      </c>
      <c r="AU176" s="12" t="s">
        <v>83</v>
      </c>
      <c r="AV176" s="3" t="n">
        <v>46218</v>
      </c>
      <c r="AW176" s="21"/>
      <c r="AY176" s="1"/>
      <c r="BA176" s="1"/>
      <c r="BB176" s="1"/>
    </row>
    <row r="177" ht="120" customHeight="1">
      <c r="A177" s="20" t="s">
        <v>1234</v>
      </c>
      <c r="B177" s="20" t="n">
        <v>2023</v>
      </c>
      <c r="C177" s="20" t="n">
        <v>359</v>
      </c>
      <c r="D177" s="20" t="s">
        <v>50</v>
      </c>
      <c r="E177" s="20" t="s">
        <v>1213</v>
      </c>
      <c r="F177" s="20" t="s">
        <v>1235</v>
      </c>
      <c r="G177" s="20" t="s">
        <v>86</v>
      </c>
      <c r="H177" s="20" t="s">
        <v>1215</v>
      </c>
      <c r="I177" s="20"/>
      <c r="J177" s="20" t="s">
        <v>1236</v>
      </c>
      <c r="K177" s="20" t="s">
        <v>865</v>
      </c>
      <c r="L177" s="20" t="s">
        <v>57</v>
      </c>
      <c r="M177" s="20" t="s">
        <v>58</v>
      </c>
      <c r="N177" s="20" t="s">
        <v>59</v>
      </c>
      <c r="O177" s="20" t="s">
        <v>60</v>
      </c>
      <c r="P177" s="20" t="s">
        <v>227</v>
      </c>
      <c r="Q177" s="20" t="s">
        <v>228</v>
      </c>
      <c r="R177" s="20" t="s">
        <v>229</v>
      </c>
      <c r="S177" s="20" t="s">
        <v>230</v>
      </c>
      <c r="T177" s="20" t="s">
        <v>866</v>
      </c>
      <c r="U177" s="20" t="s">
        <v>867</v>
      </c>
      <c r="V177" s="20" t="s">
        <v>868</v>
      </c>
      <c r="W177" s="20" t="s">
        <v>96</v>
      </c>
      <c r="X177" s="20" t="s">
        <v>97</v>
      </c>
      <c r="Y177" s="20" t="s">
        <v>70</v>
      </c>
      <c r="Z177" s="20" t="s">
        <v>98</v>
      </c>
      <c r="AA177" s="20" t="s">
        <v>1224</v>
      </c>
      <c r="AB177" s="20" t="s">
        <v>1237</v>
      </c>
      <c r="AC177" s="20" t="s">
        <v>1237</v>
      </c>
      <c r="AD177" s="20" t="s">
        <v>1237</v>
      </c>
      <c r="AE177" s="20"/>
      <c r="AF177" s="9" t="n">
        <v>1</v>
      </c>
      <c r="AG177" s="12" t="n">
        <v>1</v>
      </c>
      <c r="AH177" s="22" t="s">
        <v>235</v>
      </c>
      <c r="AI177" s="12" t="str">
        <f>IF(AH177="","",IFERROR(RIGHT("0000"&amp;AH177,4)&amp;" - "&amp;UPPER(_xlfn.XLOOKUP(RIGHT("0000"&amp;AH177,4),CODEBOOK_CAP!$C$2:$C$212,CODEBOOK_CAP!$D$2:$D$212)),"Código CAP não encontrado"))</f>
        <v>0322 - ESTRUTURAS, HOSPITAIS, CLÍNICAS</v>
      </c>
      <c r="AJ177" s="12" t="str">
        <f>IF(AH177="","",IFERROR(_xlfn.XLOOKUP(RIGHT("0000"&amp;AH177,4),CODEBOOK_CAP!$C$2:$C$212,CODEBOOK_CAP!$E$2:$E$212),"Código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77" s="22" t="s">
        <v>77</v>
      </c>
      <c r="AL177" s="26"/>
      <c r="AM177" s="22" t="s">
        <v>79</v>
      </c>
      <c r="AN177" s="22" t="s">
        <v>79</v>
      </c>
      <c r="AO177" s="12" t="s">
        <v>1238</v>
      </c>
      <c r="AP177" s="22" t="s">
        <v>77</v>
      </c>
      <c r="AQ177" s="12"/>
      <c r="AR177" s="22" t="s">
        <v>77</v>
      </c>
      <c r="AS177" s="10"/>
      <c r="AT177" s="2" t="s">
        <v>82</v>
      </c>
      <c r="AU177" s="12" t="s">
        <v>83</v>
      </c>
      <c r="AV177" s="3" t="n">
        <v>46218</v>
      </c>
      <c r="AW177" s="21"/>
      <c r="AY177" s="1"/>
      <c r="BA177" s="1"/>
      <c r="BB177" s="1"/>
    </row>
    <row r="178" ht="150" customHeight="1">
      <c r="A178" s="20" t="s">
        <v>1239</v>
      </c>
      <c r="B178" s="20" t="n">
        <v>2023</v>
      </c>
      <c r="C178" s="20" t="n">
        <v>360</v>
      </c>
      <c r="D178" s="20" t="s">
        <v>50</v>
      </c>
      <c r="E178" s="20" t="s">
        <v>1213</v>
      </c>
      <c r="F178" s="20" t="s">
        <v>1240</v>
      </c>
      <c r="G178" s="20" t="s">
        <v>86</v>
      </c>
      <c r="H178" s="20" t="s">
        <v>1215</v>
      </c>
      <c r="I178" s="20"/>
      <c r="J178" s="20" t="s">
        <v>1241</v>
      </c>
      <c r="K178" s="20" t="s">
        <v>416</v>
      </c>
      <c r="L178" s="20" t="s">
        <v>57</v>
      </c>
      <c r="M178" s="20" t="s">
        <v>58</v>
      </c>
      <c r="N178" s="20" t="s">
        <v>59</v>
      </c>
      <c r="O178" s="20" t="s">
        <v>60</v>
      </c>
      <c r="P178" s="20" t="s">
        <v>89</v>
      </c>
      <c r="Q178" s="20" t="s">
        <v>90</v>
      </c>
      <c r="R178" s="20" t="s">
        <v>91</v>
      </c>
      <c r="S178" s="20" t="s">
        <v>92</v>
      </c>
      <c r="T178" s="20" t="s">
        <v>123</v>
      </c>
      <c r="U178" s="20" t="s">
        <v>124</v>
      </c>
      <c r="V178" s="20" t="s">
        <v>417</v>
      </c>
      <c r="W178" s="20" t="s">
        <v>96</v>
      </c>
      <c r="X178" s="20" t="s">
        <v>97</v>
      </c>
      <c r="Y178" s="20" t="s">
        <v>70</v>
      </c>
      <c r="Z178" s="20" t="s">
        <v>98</v>
      </c>
      <c r="AA178" s="20" t="s">
        <v>388</v>
      </c>
      <c r="AB178" s="20" t="s">
        <v>388</v>
      </c>
      <c r="AC178" s="20" t="s">
        <v>388</v>
      </c>
      <c r="AD178" s="20" t="s">
        <v>388</v>
      </c>
      <c r="AE178" s="20"/>
      <c r="AF178" s="9" t="n">
        <v>1</v>
      </c>
      <c r="AG178" s="12" t="n">
        <v>1</v>
      </c>
      <c r="AH178" s="22" t="s">
        <v>620</v>
      </c>
      <c r="AI178" s="12" t="str">
        <f>IF(AH178="","",IFERROR(RIGHT("0000"&amp;AH178,4)&amp;" - "&amp;UPPER(_xlfn.XLOOKUP(RIGHT("0000"&amp;AH178,4),CODEBOOK_CAP!$C$2:$C$212,CODEBOOK_CAP!$D$2:$D$212)),"Código CAP não encontrado"))</f>
        <v>0332 - SAÚDE INFANTIL, GRAVIDEZ E PRÉ-NATAL</v>
      </c>
      <c r="AJ178" s="12" t="str">
        <f>IF(AH178="","",IFERROR(_xlfn.XLOOKUP(RIGHT("0000"&amp;AH178,4),CODEBOOK_CAP!$C$2:$C$212,CODEBOOK_CAP!$E$2:$E$212),"Código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178" s="22" t="s">
        <v>77</v>
      </c>
      <c r="AL178" s="26"/>
      <c r="AM178" s="22" t="s">
        <v>79</v>
      </c>
      <c r="AN178" s="22" t="s">
        <v>79</v>
      </c>
      <c r="AO178" s="12" t="s">
        <v>953</v>
      </c>
      <c r="AP178" s="22" t="s">
        <v>79</v>
      </c>
      <c r="AQ178" s="12" t="s">
        <v>1242</v>
      </c>
      <c r="AR178" s="22" t="s">
        <v>77</v>
      </c>
      <c r="AS178" s="10"/>
      <c r="AT178" s="2" t="s">
        <v>82</v>
      </c>
      <c r="AU178" s="12" t="s">
        <v>83</v>
      </c>
      <c r="AV178" s="3" t="n">
        <v>46218</v>
      </c>
      <c r="AW178" s="21"/>
      <c r="AY178" s="1"/>
      <c r="BA178" s="1"/>
      <c r="BB178" s="1"/>
    </row>
    <row r="179" ht="120" customHeight="1">
      <c r="A179" s="20" t="s">
        <v>1243</v>
      </c>
      <c r="B179" s="20" t="n">
        <v>2023</v>
      </c>
      <c r="C179" s="20" t="n">
        <v>362</v>
      </c>
      <c r="D179" s="20" t="s">
        <v>50</v>
      </c>
      <c r="E179" s="20" t="s">
        <v>1213</v>
      </c>
      <c r="F179" s="20" t="s">
        <v>1244</v>
      </c>
      <c r="G179" s="20" t="s">
        <v>86</v>
      </c>
      <c r="H179" s="20" t="s">
        <v>1215</v>
      </c>
      <c r="I179" s="20"/>
      <c r="J179" s="20" t="s">
        <v>1245</v>
      </c>
      <c r="K179" s="20" t="s">
        <v>416</v>
      </c>
      <c r="L179" s="20" t="s">
        <v>57</v>
      </c>
      <c r="M179" s="20" t="s">
        <v>58</v>
      </c>
      <c r="N179" s="20" t="s">
        <v>59</v>
      </c>
      <c r="O179" s="20" t="s">
        <v>60</v>
      </c>
      <c r="P179" s="20" t="s">
        <v>89</v>
      </c>
      <c r="Q179" s="20" t="s">
        <v>90</v>
      </c>
      <c r="R179" s="20" t="s">
        <v>91</v>
      </c>
      <c r="S179" s="20" t="s">
        <v>92</v>
      </c>
      <c r="T179" s="20" t="s">
        <v>123</v>
      </c>
      <c r="U179" s="20" t="s">
        <v>124</v>
      </c>
      <c r="V179" s="20" t="s">
        <v>417</v>
      </c>
      <c r="W179" s="20" t="s">
        <v>96</v>
      </c>
      <c r="X179" s="20" t="s">
        <v>97</v>
      </c>
      <c r="Y179" s="20" t="s">
        <v>70</v>
      </c>
      <c r="Z179" s="20" t="s">
        <v>98</v>
      </c>
      <c r="AA179" s="20" t="s">
        <v>1246</v>
      </c>
      <c r="AB179" s="20" t="s">
        <v>1246</v>
      </c>
      <c r="AC179" s="20" t="s">
        <v>1246</v>
      </c>
      <c r="AD179" s="20" t="s">
        <v>1246</v>
      </c>
      <c r="AE179" s="20"/>
      <c r="AF179" s="9" t="n">
        <v>1</v>
      </c>
      <c r="AG179" s="12" t="n">
        <v>0</v>
      </c>
      <c r="AH179" s="22" t="s">
        <v>821</v>
      </c>
      <c r="AI179" s="12" t="str">
        <f>IF(AH179="","",IFERROR(RIGHT("0000"&amp;AH179,4)&amp;" - "&amp;UPPER(_xlfn.XLOOKUP(RIGHT("0000"&amp;AH179,4),CODEBOOK_CAP!$C$2:$C$212,CODEBOOK_CAP!$D$2:$D$212)),"Código CAP não encontrado"))</f>
        <v>1304 - POLÍTICAS SOCIAIS DE ASSISTÊNCIA PARA PESSOAS COM DEFICIÊNCIAS</v>
      </c>
      <c r="AJ179" s="12" t="str">
        <f>IF(AH179="","",IFERROR(_xlfn.XLOOKUP(RIGHT("0000"&amp;AH179,4),CODEBOOK_CAP!$C$2:$C$212,CODEBOOK_CAP!$E$2:$E$212),"Código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179" s="22" t="s">
        <v>77</v>
      </c>
      <c r="AL179" s="26"/>
      <c r="AM179" s="22" t="s">
        <v>79</v>
      </c>
      <c r="AN179" s="22" t="s">
        <v>79</v>
      </c>
      <c r="AO179" s="12" t="s">
        <v>953</v>
      </c>
      <c r="AP179" s="22" t="s">
        <v>79</v>
      </c>
      <c r="AQ179" s="12" t="s">
        <v>824</v>
      </c>
      <c r="AR179" s="22" t="s">
        <v>77</v>
      </c>
      <c r="AS179" s="10"/>
      <c r="AT179" s="2" t="s">
        <v>82</v>
      </c>
      <c r="AU179" s="12" t="s">
        <v>83</v>
      </c>
      <c r="AV179" s="3" t="n">
        <v>46218</v>
      </c>
      <c r="AW179" s="21"/>
      <c r="AY179" s="1"/>
      <c r="BA179" s="1"/>
      <c r="BB179" s="1"/>
    </row>
    <row r="180" ht="120" customHeight="1">
      <c r="A180" s="20" t="s">
        <v>1247</v>
      </c>
      <c r="B180" s="20" t="n">
        <v>2023</v>
      </c>
      <c r="C180" s="20" t="n">
        <v>364</v>
      </c>
      <c r="D180" s="20" t="s">
        <v>50</v>
      </c>
      <c r="E180" s="20" t="s">
        <v>1213</v>
      </c>
      <c r="F180" s="20" t="s">
        <v>1248</v>
      </c>
      <c r="G180" s="20" t="s">
        <v>86</v>
      </c>
      <c r="H180" s="20" t="s">
        <v>1215</v>
      </c>
      <c r="I180" s="20"/>
      <c r="J180" s="20" t="s">
        <v>1249</v>
      </c>
      <c r="K180" s="20" t="s">
        <v>416</v>
      </c>
      <c r="L180" s="20" t="s">
        <v>57</v>
      </c>
      <c r="M180" s="20" t="s">
        <v>58</v>
      </c>
      <c r="N180" s="20" t="s">
        <v>59</v>
      </c>
      <c r="O180" s="20" t="s">
        <v>60</v>
      </c>
      <c r="P180" s="20" t="s">
        <v>89</v>
      </c>
      <c r="Q180" s="20" t="s">
        <v>90</v>
      </c>
      <c r="R180" s="20" t="s">
        <v>91</v>
      </c>
      <c r="S180" s="20" t="s">
        <v>92</v>
      </c>
      <c r="T180" s="20" t="s">
        <v>123</v>
      </c>
      <c r="U180" s="20" t="s">
        <v>124</v>
      </c>
      <c r="V180" s="20" t="s">
        <v>417</v>
      </c>
      <c r="W180" s="20" t="s">
        <v>96</v>
      </c>
      <c r="X180" s="20" t="s">
        <v>97</v>
      </c>
      <c r="Y180" s="20" t="s">
        <v>70</v>
      </c>
      <c r="Z180" s="20" t="s">
        <v>98</v>
      </c>
      <c r="AA180" s="20" t="s">
        <v>560</v>
      </c>
      <c r="AB180" s="20" t="s">
        <v>560</v>
      </c>
      <c r="AC180" s="20" t="s">
        <v>560</v>
      </c>
      <c r="AD180" s="20" t="s">
        <v>560</v>
      </c>
      <c r="AE180" s="20"/>
      <c r="AF180" s="9" t="n">
        <v>1</v>
      </c>
      <c r="AG180" s="12" t="n">
        <v>1</v>
      </c>
      <c r="AH180" s="22" t="s">
        <v>235</v>
      </c>
      <c r="AI180" s="12" t="str">
        <f>IF(AH180="","",IFERROR(RIGHT("0000"&amp;AH180,4)&amp;" - "&amp;UPPER(_xlfn.XLOOKUP(RIGHT("0000"&amp;AH180,4),CODEBOOK_CAP!$C$2:$C$212,CODEBOOK_CAP!$D$2:$D$212)),"Código CAP não encontrado"))</f>
        <v>0322 - ESTRUTURAS, HOSPITAIS, CLÍNICAS</v>
      </c>
      <c r="AJ180" s="12" t="str">
        <f>IF(AH180="","",IFERROR(_xlfn.XLOOKUP(RIGHT("0000"&amp;AH180,4),CODEBOOK_CAP!$C$2:$C$212,CODEBOOK_CAP!$E$2:$E$212),"Código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180" s="22" t="s">
        <v>77</v>
      </c>
      <c r="AL180" s="26"/>
      <c r="AM180" s="22" t="s">
        <v>79</v>
      </c>
      <c r="AN180" s="22" t="s">
        <v>79</v>
      </c>
      <c r="AO180" s="12" t="s">
        <v>953</v>
      </c>
      <c r="AP180" s="22" t="s">
        <v>77</v>
      </c>
      <c r="AQ180" s="12"/>
      <c r="AR180" s="22" t="s">
        <v>77</v>
      </c>
      <c r="AS180" s="10"/>
      <c r="AT180" s="2" t="s">
        <v>82</v>
      </c>
      <c r="AU180" s="12" t="s">
        <v>83</v>
      </c>
      <c r="AV180" s="3" t="n">
        <v>46218</v>
      </c>
      <c r="AW180" s="21"/>
      <c r="AY180" s="1"/>
      <c r="BA180" s="1"/>
      <c r="BB180" s="1"/>
    </row>
    <row r="181" ht="135" customHeight="1">
      <c r="A181" s="20" t="s">
        <v>1250</v>
      </c>
      <c r="B181" s="20" t="n">
        <v>2023</v>
      </c>
      <c r="C181" s="20" t="n">
        <v>365</v>
      </c>
      <c r="D181" s="20" t="s">
        <v>50</v>
      </c>
      <c r="E181" s="20" t="s">
        <v>1213</v>
      </c>
      <c r="F181" s="20" t="s">
        <v>1251</v>
      </c>
      <c r="G181" s="20" t="s">
        <v>86</v>
      </c>
      <c r="H181" s="20" t="s">
        <v>1215</v>
      </c>
      <c r="I181" s="20"/>
      <c r="J181" s="20" t="s">
        <v>1252</v>
      </c>
      <c r="K181" s="20" t="s">
        <v>1253</v>
      </c>
      <c r="L181" s="20" t="s">
        <v>1254</v>
      </c>
      <c r="M181" s="20" t="s">
        <v>1255</v>
      </c>
      <c r="N181" s="20" t="s">
        <v>660</v>
      </c>
      <c r="O181" s="20" t="s">
        <v>661</v>
      </c>
      <c r="P181" s="20" t="s">
        <v>662</v>
      </c>
      <c r="Q181" s="20" t="s">
        <v>663</v>
      </c>
      <c r="R181" s="20" t="s">
        <v>1256</v>
      </c>
      <c r="S181" s="20" t="s">
        <v>1257</v>
      </c>
      <c r="T181" s="20" t="s">
        <v>1258</v>
      </c>
      <c r="U181" s="20" t="s">
        <v>1259</v>
      </c>
      <c r="V181" s="20" t="s">
        <v>95</v>
      </c>
      <c r="W181" s="20" t="s">
        <v>96</v>
      </c>
      <c r="X181" s="20" t="s">
        <v>97</v>
      </c>
      <c r="Y181" s="20" t="s">
        <v>70</v>
      </c>
      <c r="Z181" s="20" t="s">
        <v>1260</v>
      </c>
      <c r="AA181" s="20" t="s">
        <v>1261</v>
      </c>
      <c r="AB181" s="20" t="s">
        <v>1262</v>
      </c>
      <c r="AC181" s="20" t="s">
        <v>1262</v>
      </c>
      <c r="AD181" s="20" t="s">
        <v>1262</v>
      </c>
      <c r="AE181" s="20"/>
      <c r="AF181" s="9" t="n">
        <v>0</v>
      </c>
      <c r="AG181" s="12" t="n">
        <v>0</v>
      </c>
      <c r="AH181" s="22" t="s">
        <v>1263</v>
      </c>
      <c r="AI181" s="12" t="str">
        <f>IF(AH181="","",IFERROR(RIGHT("0000"&amp;AH181,4)&amp;" - "&amp;UPPER(_xlfn.XLOOKUP(RIGHT("0000"&amp;AH181,4),CODEBOOK_CAP!$C$2:$C$212,CODEBOOK_CAP!$D$2:$D$212)),"Código CAP não encontrado"))</f>
        <v>0705 - POLUIÇÃO DO AR, VISUAL E SONORA E TEMPERATURA</v>
      </c>
      <c r="AJ181" s="12" t="str">
        <f>IF(AH181="","",IFERROR(_xlfn.XLOOKUP(RIGHT("0000"&amp;AH181,4),CODEBOOK_CAP!$C$2:$C$212,CODEBOOK_CAP!$E$2:$E$212),"Código CAP não encontrado"))</f>
        <v>Questões vinculadas com a variação de temperatura global, aquecimento global, degelo, mudanças de temperatura, pouição do ar, poluição visual, poluição sonora, regras e normas ambientais de combate a poluição, emissão de gases, regras de banners, paineis e fachadas de comércio visual, restrição e normas de barulhos, ruidos e poluição sonora, qualidade do ar, programas de redução de poluição do ar, plantio de arvores, arborização</v>
      </c>
      <c r="AK181" s="22" t="s">
        <v>77</v>
      </c>
      <c r="AL181" s="26"/>
      <c r="AM181" s="22" t="s">
        <v>77</v>
      </c>
      <c r="AN181" s="22" t="s">
        <v>77</v>
      </c>
      <c r="AO181" s="12"/>
      <c r="AP181" s="22" t="s">
        <v>77</v>
      </c>
      <c r="AQ181" s="12"/>
      <c r="AR181" s="22" t="s">
        <v>77</v>
      </c>
      <c r="AS181" s="10"/>
      <c r="AT181" s="2" t="s">
        <v>82</v>
      </c>
      <c r="AU181" s="12" t="s">
        <v>83</v>
      </c>
      <c r="AV181" s="3" t="n">
        <v>46218</v>
      </c>
      <c r="AW181" s="21"/>
      <c r="AY181" s="1"/>
      <c r="BA181" s="1"/>
      <c r="BB181" s="1"/>
    </row>
    <row r="182" ht="165" customHeight="1">
      <c r="A182" s="20" t="s">
        <v>1264</v>
      </c>
      <c r="B182" s="20" t="n">
        <v>2023</v>
      </c>
      <c r="C182" s="20" t="n">
        <v>367</v>
      </c>
      <c r="D182" s="20" t="s">
        <v>50</v>
      </c>
      <c r="E182" s="20" t="s">
        <v>1213</v>
      </c>
      <c r="F182" s="20" t="s">
        <v>1265</v>
      </c>
      <c r="G182" s="20" t="s">
        <v>86</v>
      </c>
      <c r="H182" s="20" t="s">
        <v>1215</v>
      </c>
      <c r="I182" s="20"/>
      <c r="J182" s="20" t="s">
        <v>1266</v>
      </c>
      <c r="K182" s="20" t="s">
        <v>1267</v>
      </c>
      <c r="L182" s="20" t="s">
        <v>57</v>
      </c>
      <c r="M182" s="20" t="s">
        <v>58</v>
      </c>
      <c r="N182" s="20" t="s">
        <v>59</v>
      </c>
      <c r="O182" s="20" t="s">
        <v>60</v>
      </c>
      <c r="P182" s="20" t="s">
        <v>111</v>
      </c>
      <c r="Q182" s="20" t="s">
        <v>112</v>
      </c>
      <c r="R182" s="20" t="s">
        <v>113</v>
      </c>
      <c r="S182" s="20" t="s">
        <v>114</v>
      </c>
      <c r="T182" s="20" t="s">
        <v>115</v>
      </c>
      <c r="U182" s="20" t="s">
        <v>114</v>
      </c>
      <c r="V182" s="20" t="s">
        <v>854</v>
      </c>
      <c r="W182" s="20" t="s">
        <v>96</v>
      </c>
      <c r="X182" s="20" t="s">
        <v>97</v>
      </c>
      <c r="Y182" s="20" t="s">
        <v>70</v>
      </c>
      <c r="Z182" s="20" t="s">
        <v>98</v>
      </c>
      <c r="AA182" s="20" t="s">
        <v>125</v>
      </c>
      <c r="AB182" s="20" t="s">
        <v>1268</v>
      </c>
      <c r="AC182" s="20" t="s">
        <v>1268</v>
      </c>
      <c r="AD182" s="20" t="s">
        <v>1268</v>
      </c>
      <c r="AE182" s="20"/>
      <c r="AF182" s="9" t="n">
        <v>1</v>
      </c>
      <c r="AG182" s="12" t="n">
        <v>0</v>
      </c>
      <c r="AH182" s="22" t="s">
        <v>1269</v>
      </c>
      <c r="AI182" s="12" t="str">
        <f>IF(AH182="","",IFERROR(RIGHT("0000"&amp;AH182,4)&amp;" - "&amp;UPPER(_xlfn.XLOOKUP(RIGHT("0000"&amp;AH182,4),CODEBOOK_CAP!$C$2:$C$212,CODEBOOK_CAP!$D$2:$D$212)),"Código CAP não encontrado"))</f>
        <v>0405 - CONTROLE DE DOENÇAS ANIMAIS</v>
      </c>
      <c r="AJ182" s="12" t="str">
        <f>IF(AH182="","",IFERROR(_xlfn.XLOOKUP(RIGHT("0000"&amp;AH182,4),CODEBOOK_CAP!$C$2:$C$212,CODEBOOK_CAP!$E$2:$E$212),"Código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182" s="22" t="s">
        <v>77</v>
      </c>
      <c r="AL182" s="26"/>
      <c r="AM182" s="22" t="s">
        <v>77</v>
      </c>
      <c r="AN182" s="22" t="s">
        <v>77</v>
      </c>
      <c r="AO182" s="12"/>
      <c r="AP182" s="22" t="s">
        <v>79</v>
      </c>
      <c r="AQ182" s="12" t="s">
        <v>1270</v>
      </c>
      <c r="AR182" s="22" t="s">
        <v>77</v>
      </c>
      <c r="AS182" s="10"/>
      <c r="AT182" s="2" t="s">
        <v>82</v>
      </c>
      <c r="AU182" s="12" t="s">
        <v>83</v>
      </c>
      <c r="AV182" s="3" t="n">
        <v>46218</v>
      </c>
      <c r="AW182" s="21"/>
      <c r="AY182" s="1"/>
      <c r="BA182" s="1"/>
      <c r="BB182" s="1"/>
    </row>
    <row r="183" ht="45" customHeight="1">
      <c r="A183" s="20" t="s">
        <v>1271</v>
      </c>
      <c r="B183" s="20" t="n">
        <v>2023</v>
      </c>
      <c r="C183" s="20" t="n">
        <v>368</v>
      </c>
      <c r="D183" s="20" t="s">
        <v>50</v>
      </c>
      <c r="E183" s="20" t="s">
        <v>1213</v>
      </c>
      <c r="F183" s="20" t="s">
        <v>1272</v>
      </c>
      <c r="G183" s="20" t="s">
        <v>315</v>
      </c>
      <c r="H183" s="20" t="s">
        <v>1215</v>
      </c>
      <c r="I183" s="20"/>
      <c r="J183" s="20" t="s">
        <v>1273</v>
      </c>
      <c r="K183" s="20" t="s">
        <v>1274</v>
      </c>
      <c r="L183" s="20" t="s">
        <v>1275</v>
      </c>
      <c r="M183" s="20" t="s">
        <v>1276</v>
      </c>
      <c r="N183" s="20" t="s">
        <v>1277</v>
      </c>
      <c r="O183" s="20" t="s">
        <v>1278</v>
      </c>
      <c r="P183" s="20" t="s">
        <v>1279</v>
      </c>
      <c r="Q183" s="20" t="s">
        <v>1280</v>
      </c>
      <c r="R183" s="20" t="s">
        <v>1281</v>
      </c>
      <c r="S183" s="20" t="s">
        <v>1282</v>
      </c>
      <c r="T183" s="20" t="s">
        <v>1283</v>
      </c>
      <c r="U183" s="20" t="s">
        <v>1284</v>
      </c>
      <c r="V183" s="20" t="s">
        <v>196</v>
      </c>
      <c r="W183" s="20" t="s">
        <v>68</v>
      </c>
      <c r="X183" s="20" t="s">
        <v>69</v>
      </c>
      <c r="Y183" s="20" t="s">
        <v>70</v>
      </c>
      <c r="Z183" s="20" t="s">
        <v>1285</v>
      </c>
      <c r="AA183" s="20" t="s">
        <v>125</v>
      </c>
      <c r="AB183" s="20" t="s">
        <v>1286</v>
      </c>
      <c r="AC183" s="20" t="s">
        <v>1287</v>
      </c>
      <c r="AD183" s="20" t="s">
        <v>1287</v>
      </c>
      <c r="AE183" s="20" t="s">
        <v>1288</v>
      </c>
      <c r="AF183" s="9" t="n">
        <v>0</v>
      </c>
      <c r="AG183" s="12" t="n">
        <v>0</v>
      </c>
      <c r="AH183" s="22" t="s">
        <v>1289</v>
      </c>
      <c r="AI183" s="12" t="str">
        <f>IF(AH183="","",IFERROR(RIGHT("0000"&amp;AH183,4)&amp;" - "&amp;UPPER(_xlfn.XLOOKUP(RIGHT("0000"&amp;AH183,4),CODEBOOK_CAP!$C$2:$C$212,CODEBOOK_CAP!$D$2:$D$212)),"Código CAP não encontrado"))</f>
        <v>0499 - OUTROS</v>
      </c>
      <c r="AJ183" s="12" t="str">
        <f>IF(AH183="","",IFERROR(_xlfn.XLOOKUP(RIGHT("0000"&amp;AH183,4),CODEBOOK_CAP!$C$2:$C$212,CODEBOOK_CAP!$E$2:$E$212),"Código CAP não encontrado"))</f>
        <v>Observações que versam sobre AGRICULTURA, PECUÁRIA E PESCA, mas que não se enquadram em nenhum dos itens acima.</v>
      </c>
      <c r="AK183" s="22" t="s">
        <v>77</v>
      </c>
      <c r="AL183" s="26"/>
      <c r="AM183" s="22" t="s">
        <v>79</v>
      </c>
      <c r="AN183" s="22" t="s">
        <v>79</v>
      </c>
      <c r="AO183" s="12" t="s">
        <v>1290</v>
      </c>
      <c r="AP183" s="22" t="s">
        <v>77</v>
      </c>
      <c r="AQ183" s="12"/>
      <c r="AR183" s="22" t="s">
        <v>79</v>
      </c>
      <c r="AS183" s="10" t="s">
        <v>1288</v>
      </c>
      <c r="AT183" s="2" t="s">
        <v>82</v>
      </c>
      <c r="AU183" s="12" t="s">
        <v>83</v>
      </c>
      <c r="AV183" s="3" t="n">
        <v>46218</v>
      </c>
      <c r="AW183" s="21"/>
      <c r="AY183" s="1"/>
      <c r="BA183" s="1"/>
      <c r="BB183" s="1"/>
    </row>
    <row r="184" ht="105" customHeight="1">
      <c r="A184" s="20" t="s">
        <v>1291</v>
      </c>
      <c r="B184" s="20" t="n">
        <v>2023</v>
      </c>
      <c r="C184" s="20" t="n">
        <v>370</v>
      </c>
      <c r="D184" s="20" t="s">
        <v>50</v>
      </c>
      <c r="E184" s="20" t="s">
        <v>1213</v>
      </c>
      <c r="F184" s="20" t="s">
        <v>1292</v>
      </c>
      <c r="G184" s="20" t="s">
        <v>86</v>
      </c>
      <c r="H184" s="20" t="s">
        <v>1215</v>
      </c>
      <c r="I184" s="20"/>
      <c r="J184" s="20" t="s">
        <v>1293</v>
      </c>
      <c r="K184" s="20" t="s">
        <v>1294</v>
      </c>
      <c r="L184" s="20" t="s">
        <v>722</v>
      </c>
      <c r="M184" s="20" t="s">
        <v>723</v>
      </c>
      <c r="N184" s="20" t="s">
        <v>724</v>
      </c>
      <c r="O184" s="20" t="s">
        <v>725</v>
      </c>
      <c r="P184" s="20" t="s">
        <v>61</v>
      </c>
      <c r="Q184" s="20" t="s">
        <v>62</v>
      </c>
      <c r="R184" s="20" t="s">
        <v>1295</v>
      </c>
      <c r="S184" s="20" t="s">
        <v>1296</v>
      </c>
      <c r="T184" s="20" t="s">
        <v>1297</v>
      </c>
      <c r="U184" s="20" t="s">
        <v>1298</v>
      </c>
      <c r="V184" s="20" t="s">
        <v>95</v>
      </c>
      <c r="W184" s="20" t="s">
        <v>96</v>
      </c>
      <c r="X184" s="20" t="s">
        <v>97</v>
      </c>
      <c r="Y184" s="20" t="s">
        <v>70</v>
      </c>
      <c r="Z184" s="20" t="s">
        <v>730</v>
      </c>
      <c r="AA184" s="20" t="s">
        <v>125</v>
      </c>
      <c r="AB184" s="20" t="s">
        <v>125</v>
      </c>
      <c r="AC184" s="20" t="s">
        <v>125</v>
      </c>
      <c r="AD184" s="20" t="s">
        <v>125</v>
      </c>
      <c r="AE184" s="20"/>
      <c r="AF184" s="9" t="n">
        <v>0</v>
      </c>
      <c r="AG184" s="12" t="n">
        <v>0</v>
      </c>
      <c r="AH184" s="22" t="s">
        <v>143</v>
      </c>
      <c r="AI184" s="12" t="str">
        <f>IF(AH184="","",IFERROR(RIGHT("0000"&amp;AH184,4)&amp;" - "&amp;UPPER(_xlfn.XLOOKUP(RIGHT("0000"&amp;AH184,4),CODEBOOK_CAP!$C$2:$C$212,CODEBOOK_CAP!$D$2:$D$212)),"Código CAP não encontrado"))</f>
        <v>0502 - FORMAÇÃO E DESENVOLVIMENTO PROFISSIONAL</v>
      </c>
      <c r="AJ184" s="12" t="str">
        <f>IF(AH184="","",IFERROR(_xlfn.XLOOKUP(RIGHT("0000"&amp;AH184,4),CODEBOOK_CAP!$C$2:$C$212,CODEBOOK_CAP!$E$2:$E$212),"Código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184" s="22" t="s">
        <v>79</v>
      </c>
      <c r="AL184" s="26" t="s">
        <v>1299</v>
      </c>
      <c r="AM184" s="22" t="s">
        <v>79</v>
      </c>
      <c r="AN184" s="22" t="s">
        <v>77</v>
      </c>
      <c r="AO184" s="12"/>
      <c r="AP184" s="22" t="s">
        <v>79</v>
      </c>
      <c r="AQ184" s="12" t="s">
        <v>1300</v>
      </c>
      <c r="AR184" s="22" t="s">
        <v>77</v>
      </c>
      <c r="AS184" s="10"/>
      <c r="AT184" s="2" t="s">
        <v>82</v>
      </c>
      <c r="AU184" s="12" t="s">
        <v>83</v>
      </c>
      <c r="AV184" s="3" t="n">
        <v>46218</v>
      </c>
      <c r="AW184" s="21"/>
      <c r="AY184" s="1"/>
      <c r="BA184" s="1"/>
      <c r="BB184" s="1"/>
    </row>
    <row r="185" ht="195" customHeight="1">
      <c r="A185" s="20" t="s">
        <v>1301</v>
      </c>
      <c r="B185" s="20" t="n">
        <v>2023</v>
      </c>
      <c r="C185" s="20" t="n">
        <v>371</v>
      </c>
      <c r="D185" s="20" t="s">
        <v>50</v>
      </c>
      <c r="E185" s="20" t="s">
        <v>1213</v>
      </c>
      <c r="F185" s="20" t="s">
        <v>1302</v>
      </c>
      <c r="G185" s="20" t="s">
        <v>86</v>
      </c>
      <c r="H185" s="20" t="s">
        <v>1215</v>
      </c>
      <c r="I185" s="20"/>
      <c r="J185" s="20" t="s">
        <v>1303</v>
      </c>
      <c r="K185" s="20" t="s">
        <v>1304</v>
      </c>
      <c r="L185" s="20" t="s">
        <v>1305</v>
      </c>
      <c r="M185" s="20" t="s">
        <v>1306</v>
      </c>
      <c r="N185" s="20" t="s">
        <v>1307</v>
      </c>
      <c r="O185" s="20" t="s">
        <v>1308</v>
      </c>
      <c r="P185" s="20" t="s">
        <v>1309</v>
      </c>
      <c r="Q185" s="20" t="s">
        <v>1310</v>
      </c>
      <c r="R185" s="20" t="s">
        <v>1311</v>
      </c>
      <c r="S185" s="20" t="s">
        <v>1312</v>
      </c>
      <c r="T185" s="20" t="s">
        <v>1313</v>
      </c>
      <c r="U185" s="20" t="s">
        <v>1314</v>
      </c>
      <c r="V185" s="20" t="s">
        <v>95</v>
      </c>
      <c r="W185" s="20" t="s">
        <v>96</v>
      </c>
      <c r="X185" s="20" t="s">
        <v>97</v>
      </c>
      <c r="Y185" s="20" t="s">
        <v>70</v>
      </c>
      <c r="Z185" s="20" t="s">
        <v>1315</v>
      </c>
      <c r="AA185" s="20" t="s">
        <v>125</v>
      </c>
      <c r="AB185" s="20" t="s">
        <v>1316</v>
      </c>
      <c r="AC185" s="20" t="s">
        <v>1316</v>
      </c>
      <c r="AD185" s="20" t="s">
        <v>1316</v>
      </c>
      <c r="AE185" s="20"/>
      <c r="AF185" s="9" t="n">
        <v>0</v>
      </c>
      <c r="AG185" s="12" t="n">
        <v>0</v>
      </c>
      <c r="AH185" s="22" t="s">
        <v>1317</v>
      </c>
      <c r="AI185" s="12" t="str">
        <f>IF(AH185="","",IFERROR(RIGHT("0000"&amp;AH185,4)&amp;" - "&amp;UPPER(_xlfn.XLOOKUP(RIGHT("0000"&amp;AH185,4),CODEBOOK_CAP!$C$2:$C$212,CODEBOOK_CAP!$D$2:$D$212)),"Código CAP não encontrado"))</f>
        <v>0700 - GERAL</v>
      </c>
      <c r="AJ185" s="12" t="str">
        <f>IF(AH185="","",IFERROR(_xlfn.XLOOKUP(RIGHT("0000"&amp;AH185,4),CODEBOOK_CAP!$C$2:$C$212,CODEBOOK_CAP!$E$2:$E$212),"Código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K185" s="22" t="s">
        <v>77</v>
      </c>
      <c r="AL185" s="26"/>
      <c r="AM185" s="22" t="s">
        <v>77</v>
      </c>
      <c r="AN185" s="22" t="s">
        <v>77</v>
      </c>
      <c r="AO185" s="12"/>
      <c r="AP185" s="22" t="s">
        <v>77</v>
      </c>
      <c r="AQ185" s="12"/>
      <c r="AR185" s="22" t="s">
        <v>77</v>
      </c>
      <c r="AS185" s="10"/>
      <c r="AT185" s="2" t="s">
        <v>82</v>
      </c>
      <c r="AU185" s="12" t="s">
        <v>83</v>
      </c>
      <c r="AV185" s="3" t="n">
        <v>46218</v>
      </c>
      <c r="AW185" s="21"/>
      <c r="AY185" s="1"/>
      <c r="BA185" s="1"/>
      <c r="BB185" s="1"/>
    </row>
    <row r="186" ht="210" customHeight="1">
      <c r="A186" s="20" t="s">
        <v>1318</v>
      </c>
      <c r="B186" s="20" t="n">
        <v>2023</v>
      </c>
      <c r="C186" s="20" t="n">
        <v>373</v>
      </c>
      <c r="D186" s="20" t="s">
        <v>50</v>
      </c>
      <c r="E186" s="20" t="s">
        <v>1213</v>
      </c>
      <c r="F186" s="20" t="s">
        <v>1319</v>
      </c>
      <c r="G186" s="20" t="s">
        <v>86</v>
      </c>
      <c r="H186" s="20" t="s">
        <v>1215</v>
      </c>
      <c r="I186" s="20"/>
      <c r="J186" s="20" t="s">
        <v>1320</v>
      </c>
      <c r="K186" s="20" t="s">
        <v>945</v>
      </c>
      <c r="L186" s="20" t="s">
        <v>274</v>
      </c>
      <c r="M186" s="20" t="s">
        <v>275</v>
      </c>
      <c r="N186" s="20" t="s">
        <v>276</v>
      </c>
      <c r="O186" s="20" t="s">
        <v>277</v>
      </c>
      <c r="P186" s="20" t="s">
        <v>278</v>
      </c>
      <c r="Q186" s="20" t="s">
        <v>279</v>
      </c>
      <c r="R186" s="20" t="s">
        <v>280</v>
      </c>
      <c r="S186" s="20" t="s">
        <v>281</v>
      </c>
      <c r="T186" s="20" t="s">
        <v>282</v>
      </c>
      <c r="U186" s="20" t="s">
        <v>283</v>
      </c>
      <c r="V186" s="20" t="s">
        <v>854</v>
      </c>
      <c r="W186" s="20" t="s">
        <v>96</v>
      </c>
      <c r="X186" s="20" t="s">
        <v>97</v>
      </c>
      <c r="Y186" s="20" t="s">
        <v>70</v>
      </c>
      <c r="Z186" s="20" t="s">
        <v>284</v>
      </c>
      <c r="AA186" s="20" t="s">
        <v>395</v>
      </c>
      <c r="AB186" s="20" t="s">
        <v>1321</v>
      </c>
      <c r="AC186" s="20" t="s">
        <v>1321</v>
      </c>
      <c r="AD186" s="20" t="s">
        <v>1321</v>
      </c>
      <c r="AE186" s="20" t="s">
        <v>1322</v>
      </c>
      <c r="AF186" s="9" t="n">
        <v>0</v>
      </c>
      <c r="AG186" s="12" t="n">
        <v>0</v>
      </c>
      <c r="AH186" s="22" t="s">
        <v>607</v>
      </c>
      <c r="AI186" s="12" t="str">
        <f>IF(AH186="","",IFERROR(RIGHT("0000"&amp;AH186,4)&amp;" - "&amp;UPPER(_xlfn.XLOOKUP(RIGHT("0000"&amp;AH186,4),CODEBOOK_CAP!$C$2:$C$212,CODEBOOK_CAP!$D$2:$D$212)),"Código CAP não encontrado"))</f>
        <v>1300 - GERAL</v>
      </c>
      <c r="AJ186" s="12" t="str">
        <f>IF(AH186="","",IFERROR(_xlfn.XLOOKUP(RIGHT("0000"&amp;AH186,4),CODEBOOK_CAP!$C$2:$C$212,CODEBOOK_CAP!$E$2:$E$212),"Código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186" s="22" t="s">
        <v>77</v>
      </c>
      <c r="AL186" s="26"/>
      <c r="AM186" s="22" t="s">
        <v>79</v>
      </c>
      <c r="AN186" s="22" t="s">
        <v>79</v>
      </c>
      <c r="AO186" s="26" t="s">
        <v>1323</v>
      </c>
      <c r="AP186" s="22" t="s">
        <v>77</v>
      </c>
      <c r="AQ186" s="12"/>
      <c r="AR186" s="22" t="s">
        <v>79</v>
      </c>
      <c r="AS186" s="10" t="s">
        <v>1322</v>
      </c>
      <c r="AT186" s="2" t="s">
        <v>82</v>
      </c>
      <c r="AU186" s="12" t="s">
        <v>83</v>
      </c>
      <c r="AV186" s="3" t="n">
        <v>46218</v>
      </c>
      <c r="AW186" s="21"/>
      <c r="AY186" s="1"/>
      <c r="BA186" s="1"/>
      <c r="BB186" s="1"/>
    </row>
    <row r="187" ht="210" customHeight="1">
      <c r="A187" s="20" t="s">
        <v>1324</v>
      </c>
      <c r="B187" s="20" t="n">
        <v>2023</v>
      </c>
      <c r="C187" s="20" t="n">
        <v>374</v>
      </c>
      <c r="D187" s="20" t="s">
        <v>50</v>
      </c>
      <c r="E187" s="20" t="s">
        <v>1213</v>
      </c>
      <c r="F187" s="20" t="s">
        <v>1325</v>
      </c>
      <c r="G187" s="20" t="s">
        <v>86</v>
      </c>
      <c r="H187" s="20" t="s">
        <v>1215</v>
      </c>
      <c r="I187" s="20"/>
      <c r="J187" s="20" t="s">
        <v>1326</v>
      </c>
      <c r="K187" s="20" t="s">
        <v>1088</v>
      </c>
      <c r="L187" s="20" t="s">
        <v>785</v>
      </c>
      <c r="M187" s="20" t="s">
        <v>786</v>
      </c>
      <c r="N187" s="20" t="s">
        <v>787</v>
      </c>
      <c r="O187" s="20" t="s">
        <v>788</v>
      </c>
      <c r="P187" s="20" t="s">
        <v>541</v>
      </c>
      <c r="Q187" s="20" t="s">
        <v>789</v>
      </c>
      <c r="R187" s="20" t="s">
        <v>790</v>
      </c>
      <c r="S187" s="20" t="s">
        <v>791</v>
      </c>
      <c r="T187" s="20" t="s">
        <v>1089</v>
      </c>
      <c r="U187" s="20" t="s">
        <v>1090</v>
      </c>
      <c r="V187" s="20" t="s">
        <v>854</v>
      </c>
      <c r="W187" s="20" t="s">
        <v>96</v>
      </c>
      <c r="X187" s="20" t="s">
        <v>97</v>
      </c>
      <c r="Y187" s="20" t="s">
        <v>70</v>
      </c>
      <c r="Z187" s="20" t="s">
        <v>794</v>
      </c>
      <c r="AA187" s="20" t="s">
        <v>1246</v>
      </c>
      <c r="AB187" s="20" t="s">
        <v>1327</v>
      </c>
      <c r="AC187" s="20" t="s">
        <v>1327</v>
      </c>
      <c r="AD187" s="20" t="s">
        <v>1327</v>
      </c>
      <c r="AE187" s="20"/>
      <c r="AF187" s="9" t="n">
        <v>0</v>
      </c>
      <c r="AG187" s="12" t="n">
        <v>0</v>
      </c>
      <c r="AH187" s="22" t="s">
        <v>899</v>
      </c>
      <c r="AI187" s="12" t="str">
        <f>IF(AH187="","",IFERROR(RIGHT("0000"&amp;AH187,4)&amp;" - "&amp;UPPER(_xlfn.XLOOKUP(RIGHT("0000"&amp;AH187,4),CODEBOOK_CAP!$C$2:$C$212,CODEBOOK_CAP!$D$2:$D$212)),"Código CAP não encontrado"))</f>
        <v>0602 - ENSINO BÁSICO, FUNDAMENTAL E MÉDIO</v>
      </c>
      <c r="AJ187" s="12" t="str">
        <f>IF(AH187="","",IFERROR(_xlfn.XLOOKUP(RIGHT("0000"&amp;AH187,4),CODEBOOK_CAP!$C$2:$C$212,CODEBOOK_CAP!$E$2:$E$212),"Código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187" s="22" t="s">
        <v>77</v>
      </c>
      <c r="AL187" s="26"/>
      <c r="AM187" s="22" t="s">
        <v>79</v>
      </c>
      <c r="AN187" s="22" t="s">
        <v>79</v>
      </c>
      <c r="AO187" s="12" t="s">
        <v>1328</v>
      </c>
      <c r="AP187" s="22" t="s">
        <v>79</v>
      </c>
      <c r="AQ187" s="12" t="s">
        <v>1094</v>
      </c>
      <c r="AR187" s="22" t="s">
        <v>77</v>
      </c>
      <c r="AS187" s="10"/>
      <c r="AT187" s="2" t="s">
        <v>82</v>
      </c>
      <c r="AU187" s="12" t="s">
        <v>83</v>
      </c>
      <c r="AV187" s="3" t="n">
        <v>46218</v>
      </c>
      <c r="AW187" s="21"/>
      <c r="AY187" s="1"/>
      <c r="BA187" s="1"/>
      <c r="BB187" s="1"/>
    </row>
    <row r="188" ht="120" customHeight="1">
      <c r="A188" s="20" t="s">
        <v>1329</v>
      </c>
      <c r="B188" s="20" t="n">
        <v>2023</v>
      </c>
      <c r="C188" s="20" t="n">
        <v>376</v>
      </c>
      <c r="D188" s="20" t="s">
        <v>50</v>
      </c>
      <c r="E188" s="20" t="s">
        <v>1213</v>
      </c>
      <c r="F188" s="20" t="s">
        <v>1330</v>
      </c>
      <c r="G188" s="20" t="s">
        <v>86</v>
      </c>
      <c r="H188" s="20" t="s">
        <v>1215</v>
      </c>
      <c r="I188" s="20"/>
      <c r="J188" s="20" t="s">
        <v>1331</v>
      </c>
      <c r="K188" s="20" t="s">
        <v>1088</v>
      </c>
      <c r="L188" s="20" t="s">
        <v>785</v>
      </c>
      <c r="M188" s="20" t="s">
        <v>786</v>
      </c>
      <c r="N188" s="20" t="s">
        <v>787</v>
      </c>
      <c r="O188" s="20" t="s">
        <v>788</v>
      </c>
      <c r="P188" s="20" t="s">
        <v>541</v>
      </c>
      <c r="Q188" s="20" t="s">
        <v>789</v>
      </c>
      <c r="R188" s="20" t="s">
        <v>790</v>
      </c>
      <c r="S188" s="20" t="s">
        <v>791</v>
      </c>
      <c r="T188" s="20" t="s">
        <v>1089</v>
      </c>
      <c r="U188" s="20" t="s">
        <v>1090</v>
      </c>
      <c r="V188" s="20" t="s">
        <v>854</v>
      </c>
      <c r="W188" s="20" t="s">
        <v>96</v>
      </c>
      <c r="X188" s="20" t="s">
        <v>97</v>
      </c>
      <c r="Y188" s="20" t="s">
        <v>70</v>
      </c>
      <c r="Z188" s="20" t="s">
        <v>794</v>
      </c>
      <c r="AA188" s="20" t="s">
        <v>198</v>
      </c>
      <c r="AB188" s="20" t="s">
        <v>1332</v>
      </c>
      <c r="AC188" s="20" t="s">
        <v>1332</v>
      </c>
      <c r="AD188" s="20" t="s">
        <v>1332</v>
      </c>
      <c r="AE188" s="20"/>
      <c r="AF188" s="9" t="n">
        <v>0</v>
      </c>
      <c r="AG188" s="12" t="n">
        <v>0</v>
      </c>
      <c r="AH188" s="22" t="s">
        <v>1333</v>
      </c>
      <c r="AI188" s="12" t="s">
        <v>1334</v>
      </c>
      <c r="AJ188" s="12" t="str">
        <f>IF(AH188="","",IFERROR(_xlfn.XLOOKUP(RIGHT("0000"&amp;AH188,4),CODEBOOK_CAP!$C$2:$C$212,CODEBOOK_CAP!$E$2:$E$212),"Código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188" s="22" t="s">
        <v>77</v>
      </c>
      <c r="AL188" s="26"/>
      <c r="AM188" s="22" t="s">
        <v>77</v>
      </c>
      <c r="AN188" s="22" t="s">
        <v>77</v>
      </c>
      <c r="AO188" s="12"/>
      <c r="AP188" s="22" t="s">
        <v>77</v>
      </c>
      <c r="AQ188" s="12"/>
      <c r="AR188" s="22" t="s">
        <v>77</v>
      </c>
      <c r="AS188" s="10"/>
      <c r="AT188" s="2" t="s">
        <v>82</v>
      </c>
      <c r="AU188" s="12" t="s">
        <v>83</v>
      </c>
      <c r="AV188" s="3" t="n">
        <v>46218</v>
      </c>
      <c r="AW188" s="21"/>
      <c r="AY188" s="1"/>
      <c r="BA188" s="1"/>
      <c r="BB188" s="1"/>
    </row>
    <row r="189" ht="75" customHeight="1">
      <c r="A189" s="20" t="s">
        <v>1335</v>
      </c>
      <c r="B189" s="20" t="n">
        <v>2023</v>
      </c>
      <c r="C189" s="20" t="n">
        <v>378</v>
      </c>
      <c r="D189" s="20" t="s">
        <v>50</v>
      </c>
      <c r="E189" s="20" t="s">
        <v>1213</v>
      </c>
      <c r="F189" s="20" t="s">
        <v>1336</v>
      </c>
      <c r="G189" s="20" t="s">
        <v>86</v>
      </c>
      <c r="H189" s="20" t="s">
        <v>1215</v>
      </c>
      <c r="I189" s="20"/>
      <c r="J189" s="20" t="s">
        <v>1337</v>
      </c>
      <c r="K189" s="20" t="s">
        <v>1338</v>
      </c>
      <c r="L189" s="20" t="s">
        <v>133</v>
      </c>
      <c r="M189" s="20" t="s">
        <v>134</v>
      </c>
      <c r="N189" s="20" t="s">
        <v>704</v>
      </c>
      <c r="O189" s="20" t="s">
        <v>705</v>
      </c>
      <c r="P189" s="20" t="s">
        <v>706</v>
      </c>
      <c r="Q189" s="20" t="s">
        <v>707</v>
      </c>
      <c r="R189" s="20" t="s">
        <v>708</v>
      </c>
      <c r="S189" s="20" t="s">
        <v>709</v>
      </c>
      <c r="T189" s="20" t="s">
        <v>710</v>
      </c>
      <c r="U189" s="20" t="s">
        <v>711</v>
      </c>
      <c r="V189" s="20" t="s">
        <v>95</v>
      </c>
      <c r="W189" s="20" t="s">
        <v>96</v>
      </c>
      <c r="X189" s="20" t="s">
        <v>97</v>
      </c>
      <c r="Y189" s="20" t="s">
        <v>70</v>
      </c>
      <c r="Z189" s="20" t="s">
        <v>141</v>
      </c>
      <c r="AA189" s="20" t="s">
        <v>125</v>
      </c>
      <c r="AB189" s="20" t="s">
        <v>125</v>
      </c>
      <c r="AC189" s="20" t="s">
        <v>125</v>
      </c>
      <c r="AD189" s="20" t="s">
        <v>125</v>
      </c>
      <c r="AE189" s="20"/>
      <c r="AF189" s="9" t="n">
        <v>0</v>
      </c>
      <c r="AG189" s="12" t="n">
        <v>0</v>
      </c>
      <c r="AH189" s="22" t="s">
        <v>143</v>
      </c>
      <c r="AI189" s="12" t="str">
        <f>IF(AH189="","",IFERROR(RIGHT("0000"&amp;AH189,4)&amp;" - "&amp;UPPER(_xlfn.XLOOKUP(RIGHT("0000"&amp;AH189,4),CODEBOOK_CAP!$C$2:$C$212,CODEBOOK_CAP!$D$2:$D$212)),"Código CAP não encontrado"))</f>
        <v>0502 - FORMAÇÃO E DESENVOLVIMENTO PROFISSIONAL</v>
      </c>
      <c r="AJ189" s="12" t="str">
        <f>IF(AH189="","",IFERROR(_xlfn.XLOOKUP(RIGHT("0000"&amp;AH189,4),CODEBOOK_CAP!$C$2:$C$212,CODEBOOK_CAP!$E$2:$E$212),"Código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189" s="22" t="s">
        <v>77</v>
      </c>
      <c r="AL189" s="26"/>
      <c r="AM189" s="22" t="s">
        <v>77</v>
      </c>
      <c r="AN189" s="22" t="s">
        <v>77</v>
      </c>
      <c r="AO189" s="12"/>
      <c r="AP189" s="22" t="s">
        <v>79</v>
      </c>
      <c r="AQ189" s="19" t="s">
        <v>128</v>
      </c>
      <c r="AR189" s="22" t="s">
        <v>77</v>
      </c>
      <c r="AS189" s="10"/>
      <c r="AT189" s="2" t="s">
        <v>82</v>
      </c>
      <c r="AU189" s="12" t="s">
        <v>83</v>
      </c>
      <c r="AV189" s="3" t="n">
        <v>46218</v>
      </c>
      <c r="AW189" s="21"/>
      <c r="AY189" s="1"/>
      <c r="BA189" s="1"/>
      <c r="BB189" s="1"/>
    </row>
    <row r="190" ht="180" customHeight="1">
      <c r="A190" s="20" t="s">
        <v>1339</v>
      </c>
      <c r="B190" s="20" t="n">
        <v>2023</v>
      </c>
      <c r="C190" s="20" t="n">
        <v>379</v>
      </c>
      <c r="D190" s="20" t="s">
        <v>50</v>
      </c>
      <c r="E190" s="20" t="s">
        <v>1213</v>
      </c>
      <c r="F190" s="20" t="s">
        <v>1340</v>
      </c>
      <c r="G190" s="20" t="s">
        <v>86</v>
      </c>
      <c r="H190" s="20" t="s">
        <v>1215</v>
      </c>
      <c r="I190" s="20"/>
      <c r="J190" s="20" t="s">
        <v>1341</v>
      </c>
      <c r="K190" s="20" t="s">
        <v>1342</v>
      </c>
      <c r="L190" s="20" t="s">
        <v>785</v>
      </c>
      <c r="M190" s="20" t="s">
        <v>786</v>
      </c>
      <c r="N190" s="20" t="s">
        <v>787</v>
      </c>
      <c r="O190" s="20" t="s">
        <v>788</v>
      </c>
      <c r="P190" s="20" t="s">
        <v>517</v>
      </c>
      <c r="Q190" s="20" t="s">
        <v>893</v>
      </c>
      <c r="R190" s="20" t="s">
        <v>894</v>
      </c>
      <c r="S190" s="20" t="s">
        <v>895</v>
      </c>
      <c r="T190" s="20" t="s">
        <v>1343</v>
      </c>
      <c r="U190" s="20" t="s">
        <v>1344</v>
      </c>
      <c r="V190" s="20" t="s">
        <v>854</v>
      </c>
      <c r="W190" s="20" t="s">
        <v>96</v>
      </c>
      <c r="X190" s="20" t="s">
        <v>97</v>
      </c>
      <c r="Y190" s="20" t="s">
        <v>70</v>
      </c>
      <c r="Z190" s="20" t="s">
        <v>794</v>
      </c>
      <c r="AA190" s="20" t="s">
        <v>395</v>
      </c>
      <c r="AB190" s="20" t="s">
        <v>1345</v>
      </c>
      <c r="AC190" s="20" t="s">
        <v>1345</v>
      </c>
      <c r="AD190" s="20" t="s">
        <v>1345</v>
      </c>
      <c r="AE190" s="20"/>
      <c r="AF190" s="9" t="n">
        <v>0</v>
      </c>
      <c r="AG190" s="12" t="n">
        <v>0</v>
      </c>
      <c r="AH190" s="22" t="s">
        <v>1346</v>
      </c>
      <c r="AI190" s="12" t="str">
        <f>IF(AH190="","",IFERROR(RIGHT("0000"&amp;AH190,4)&amp;" - "&amp;UPPER(_xlfn.XLOOKUP(RIGHT("0000"&amp;AH190,4),CODEBOOK_CAP!$C$2:$C$212,CODEBOOK_CAP!$D$2:$D$212)),"Código CAP não encontrado"))</f>
        <v>0201 - DISCRIMINAÇÃO POR QUESTÕES ÉTNICO-RACIAIS</v>
      </c>
      <c r="AJ190" s="12" t="str">
        <f>IF(AH190="","",IFERROR(_xlfn.XLOOKUP(RIGHT("0000"&amp;AH190,4),CODEBOOK_CAP!$C$2:$C$212,CODEBOOK_CAP!$E$2:$E$212),"Código CAP não encontrado"))</f>
        <v>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v>
      </c>
      <c r="AK190" s="22" t="s">
        <v>77</v>
      </c>
      <c r="AL190" s="26"/>
      <c r="AM190" s="22" t="s">
        <v>77</v>
      </c>
      <c r="AN190" s="22" t="s">
        <v>77</v>
      </c>
      <c r="AO190" s="12"/>
      <c r="AP190" s="22" t="s">
        <v>77</v>
      </c>
      <c r="AQ190" s="12"/>
      <c r="AR190" s="22" t="s">
        <v>77</v>
      </c>
      <c r="AS190" s="10"/>
      <c r="AT190" s="2" t="s">
        <v>82</v>
      </c>
      <c r="AU190" s="12" t="s">
        <v>83</v>
      </c>
      <c r="AV190" s="3" t="n">
        <v>46218</v>
      </c>
      <c r="AW190" s="21"/>
      <c r="AY190" s="1"/>
      <c r="BA190" s="1"/>
      <c r="BB190" s="1"/>
    </row>
    <row r="191" ht="105" customHeight="1">
      <c r="A191" s="20" t="s">
        <v>1347</v>
      </c>
      <c r="B191" s="20" t="n">
        <v>2023</v>
      </c>
      <c r="C191" s="20" t="n">
        <v>390</v>
      </c>
      <c r="D191" s="20" t="s">
        <v>50</v>
      </c>
      <c r="E191" s="20" t="s">
        <v>1213</v>
      </c>
      <c r="F191" s="20" t="s">
        <v>1348</v>
      </c>
      <c r="G191" s="20" t="s">
        <v>1349</v>
      </c>
      <c r="H191" s="20" t="s">
        <v>1215</v>
      </c>
      <c r="I191" s="20"/>
      <c r="J191" s="20" t="s">
        <v>1350</v>
      </c>
      <c r="K191" s="20" t="s">
        <v>1351</v>
      </c>
      <c r="L191" s="20" t="s">
        <v>722</v>
      </c>
      <c r="M191" s="20" t="s">
        <v>723</v>
      </c>
      <c r="N191" s="20" t="s">
        <v>724</v>
      </c>
      <c r="O191" s="20" t="s">
        <v>725</v>
      </c>
      <c r="P191" s="20" t="s">
        <v>61</v>
      </c>
      <c r="Q191" s="20" t="s">
        <v>62</v>
      </c>
      <c r="R191" s="20" t="s">
        <v>1352</v>
      </c>
      <c r="S191" s="20" t="s">
        <v>1353</v>
      </c>
      <c r="T191" s="20" t="s">
        <v>1354</v>
      </c>
      <c r="U191" s="20" t="s">
        <v>1355</v>
      </c>
      <c r="V191" s="20" t="s">
        <v>854</v>
      </c>
      <c r="W191" s="20" t="s">
        <v>96</v>
      </c>
      <c r="X191" s="20" t="s">
        <v>97</v>
      </c>
      <c r="Y191" s="20" t="s">
        <v>70</v>
      </c>
      <c r="Z191" s="20" t="s">
        <v>730</v>
      </c>
      <c r="AA191" s="20" t="s">
        <v>125</v>
      </c>
      <c r="AB191" s="20" t="s">
        <v>1356</v>
      </c>
      <c r="AC191" s="20" t="s">
        <v>1356</v>
      </c>
      <c r="AD191" s="20" t="s">
        <v>1356</v>
      </c>
      <c r="AE191" s="20"/>
      <c r="AF191" s="9" t="n">
        <v>0</v>
      </c>
      <c r="AG191" s="12" t="n">
        <v>1</v>
      </c>
      <c r="AH191" s="22" t="s">
        <v>76</v>
      </c>
      <c r="AI191" s="12" t="str">
        <f>IF(AH191="","",IFERROR(RIGHT("0000"&amp;AH191,4)&amp;" - "&amp;UPPER(_xlfn.XLOOKUP(RIGHT("0000"&amp;AH191,4),CODEBOOK_CAP!$C$2:$C$212,CODEBOOK_CAP!$D$2:$D$212)),"Código CAP não encontrado"))</f>
        <v>0333 - SAÚDE MENTAL</v>
      </c>
      <c r="AJ191" s="12" t="str">
        <f>IF(AH191="","",IFERROR(_xlfn.XLOOKUP(RIGHT("0000"&amp;AH191,4),CODEBOOK_CAP!$C$2:$C$212,CODEBOOK_CAP!$E$2:$E$212),"Código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191" s="22" t="s">
        <v>77</v>
      </c>
      <c r="AL191" s="26"/>
      <c r="AM191" s="22" t="s">
        <v>77</v>
      </c>
      <c r="AN191" s="22" t="s">
        <v>77</v>
      </c>
      <c r="AO191" s="12"/>
      <c r="AP191" s="22" t="s">
        <v>77</v>
      </c>
      <c r="AQ191" s="12"/>
      <c r="AR191" s="22" t="s">
        <v>77</v>
      </c>
      <c r="AS191" s="10"/>
      <c r="AT191" s="2" t="s">
        <v>82</v>
      </c>
      <c r="AU191" s="12" t="s">
        <v>83</v>
      </c>
      <c r="AV191" s="3" t="n">
        <v>46218</v>
      </c>
      <c r="AW191" s="21"/>
      <c r="AY191" s="1"/>
      <c r="BA191" s="1"/>
      <c r="BB191" s="1"/>
    </row>
    <row r="192" ht="105" customHeight="1">
      <c r="A192" s="20" t="s">
        <v>1357</v>
      </c>
      <c r="B192" s="20" t="n">
        <v>2023</v>
      </c>
      <c r="C192" s="20" t="n">
        <v>391</v>
      </c>
      <c r="D192" s="20" t="s">
        <v>50</v>
      </c>
      <c r="E192" s="20" t="s">
        <v>1213</v>
      </c>
      <c r="F192" s="20" t="s">
        <v>1358</v>
      </c>
      <c r="G192" s="20" t="s">
        <v>183</v>
      </c>
      <c r="H192" s="20" t="s">
        <v>1215</v>
      </c>
      <c r="I192" s="20"/>
      <c r="J192" s="20" t="s">
        <v>1359</v>
      </c>
      <c r="K192" s="20" t="s">
        <v>1360</v>
      </c>
      <c r="L192" s="20" t="s">
        <v>208</v>
      </c>
      <c r="M192" s="20" t="s">
        <v>209</v>
      </c>
      <c r="N192" s="20" t="s">
        <v>150</v>
      </c>
      <c r="O192" s="20" t="s">
        <v>151</v>
      </c>
      <c r="P192" s="20" t="s">
        <v>152</v>
      </c>
      <c r="Q192" s="20" t="s">
        <v>153</v>
      </c>
      <c r="R192" s="20" t="s">
        <v>1361</v>
      </c>
      <c r="S192" s="20" t="s">
        <v>1362</v>
      </c>
      <c r="T192" s="20" t="s">
        <v>1363</v>
      </c>
      <c r="U192" s="20" t="s">
        <v>1364</v>
      </c>
      <c r="V192" s="20" t="s">
        <v>67</v>
      </c>
      <c r="W192" s="20" t="s">
        <v>68</v>
      </c>
      <c r="X192" s="20" t="s">
        <v>69</v>
      </c>
      <c r="Y192" s="20" t="s">
        <v>70</v>
      </c>
      <c r="Z192" s="20" t="s">
        <v>177</v>
      </c>
      <c r="AA192" s="20" t="s">
        <v>125</v>
      </c>
      <c r="AB192" s="20" t="s">
        <v>77</v>
      </c>
      <c r="AC192" s="20" t="s">
        <v>77</v>
      </c>
      <c r="AD192" s="20" t="s">
        <v>77</v>
      </c>
      <c r="AE192" s="20"/>
      <c r="AF192" s="9" t="n">
        <v>0</v>
      </c>
      <c r="AG192" s="12" t="n">
        <v>0</v>
      </c>
      <c r="AH192" s="22" t="s">
        <v>1365</v>
      </c>
      <c r="AI192" s="12" t="str">
        <f>IF(AH192="","",IFERROR(RIGHT("0000"&amp;AH192,4)&amp;" - "&amp;UPPER(_xlfn.XLOOKUP(RIGHT("0000"&amp;AH192,4),CODEBOOK_CAP!$C$2:$C$212,CODEBOOK_CAP!$D$2:$D$212)),"Código CAP não encontrado"))</f>
        <v>2102 - POPULAÇÕES TRADICIONAIS BRASILEIRAS - INDÍGENAS, QUILOMBOLAS, RIBEIRINHOS, SERINGUEIROS, CAIÇARAS</v>
      </c>
      <c r="AJ192" s="12" t="str">
        <f>IF(AH192="","",IFERROR(_xlfn.XLOOKUP(RIGHT("0000"&amp;AH192,4),CODEBOOK_CAP!$C$2:$C$212,CODEBOOK_CAP!$E$2:$E$212),"Código CAP não encontrado"))</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K192" s="22" t="s">
        <v>77</v>
      </c>
      <c r="AL192" s="26"/>
      <c r="AM192" s="22" t="s">
        <v>77</v>
      </c>
      <c r="AN192" s="22" t="s">
        <v>77</v>
      </c>
      <c r="AO192" s="12"/>
      <c r="AP192" s="22" t="s">
        <v>79</v>
      </c>
      <c r="AQ192" s="12" t="s">
        <v>1366</v>
      </c>
      <c r="AR192" s="22" t="s">
        <v>77</v>
      </c>
      <c r="AS192" s="10"/>
      <c r="AT192" s="2" t="s">
        <v>82</v>
      </c>
      <c r="AU192" s="12" t="s">
        <v>83</v>
      </c>
      <c r="AV192" s="3" t="n">
        <v>46218</v>
      </c>
      <c r="AW192" s="21"/>
      <c r="AY192" s="1"/>
      <c r="BA192" s="1"/>
      <c r="BB192" s="1"/>
    </row>
    <row r="193" ht="180" customHeight="1">
      <c r="A193" s="20" t="s">
        <v>1367</v>
      </c>
      <c r="B193" s="20" t="n">
        <v>2023</v>
      </c>
      <c r="C193" s="20" t="n">
        <v>394</v>
      </c>
      <c r="D193" s="20" t="s">
        <v>50</v>
      </c>
      <c r="E193" s="20" t="s">
        <v>1213</v>
      </c>
      <c r="F193" s="20" t="s">
        <v>1368</v>
      </c>
      <c r="G193" s="20" t="s">
        <v>86</v>
      </c>
      <c r="H193" s="20" t="s">
        <v>1215</v>
      </c>
      <c r="I193" s="20"/>
      <c r="J193" s="20" t="s">
        <v>1369</v>
      </c>
      <c r="K193" s="20" t="s">
        <v>1370</v>
      </c>
      <c r="L193" s="20" t="s">
        <v>722</v>
      </c>
      <c r="M193" s="20" t="s">
        <v>723</v>
      </c>
      <c r="N193" s="20" t="s">
        <v>724</v>
      </c>
      <c r="O193" s="20" t="s">
        <v>725</v>
      </c>
      <c r="P193" s="20" t="s">
        <v>61</v>
      </c>
      <c r="Q193" s="20" t="s">
        <v>62</v>
      </c>
      <c r="R193" s="20" t="s">
        <v>1352</v>
      </c>
      <c r="S193" s="20" t="s">
        <v>1353</v>
      </c>
      <c r="T193" s="20" t="s">
        <v>1354</v>
      </c>
      <c r="U193" s="20" t="s">
        <v>1355</v>
      </c>
      <c r="V193" s="20" t="s">
        <v>196</v>
      </c>
      <c r="W193" s="20" t="s">
        <v>68</v>
      </c>
      <c r="X193" s="20" t="s">
        <v>69</v>
      </c>
      <c r="Y193" s="20" t="s">
        <v>70</v>
      </c>
      <c r="Z193" s="20" t="s">
        <v>730</v>
      </c>
      <c r="AA193" s="20" t="s">
        <v>125</v>
      </c>
      <c r="AB193" s="20" t="s">
        <v>1371</v>
      </c>
      <c r="AC193" s="20" t="s">
        <v>1371</v>
      </c>
      <c r="AD193" s="20" t="s">
        <v>1371</v>
      </c>
      <c r="AE193" s="20"/>
      <c r="AF193" s="9" t="n">
        <v>0</v>
      </c>
      <c r="AG193" s="12" t="n">
        <v>0</v>
      </c>
      <c r="AH193" s="22" t="s">
        <v>1030</v>
      </c>
      <c r="AI193" s="12" t="str">
        <f>IF(AH193="","",IFERROR(RIGHT("0000"&amp;AH193,4)&amp;" - "&amp;UPPER(_xlfn.XLOOKUP(RIGHT("0000"&amp;AH193,4),CODEBOOK_CAP!$C$2:$C$212,CODEBOOK_CAP!$D$2:$D$212)),"Código CAP não encontrado"))</f>
        <v>1201 - POLÍCIA, AGENCIAS E INSTITUIÇÕES - LEI E CRIMES</v>
      </c>
      <c r="AJ193" s="12" t="str">
        <f>IF(AH193="","",IFERROR(_xlfn.XLOOKUP(RIGHT("0000"&amp;AH193,4),CODEBOOK_CAP!$C$2:$C$212,CODEBOOK_CAP!$E$2:$E$212),"Código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193" s="22" t="s">
        <v>77</v>
      </c>
      <c r="AL193" s="26"/>
      <c r="AM193" s="22" t="s">
        <v>77</v>
      </c>
      <c r="AN193" s="22" t="s">
        <v>77</v>
      </c>
      <c r="AO193" s="12"/>
      <c r="AP193" s="22" t="s">
        <v>77</v>
      </c>
      <c r="AQ193" s="12"/>
      <c r="AR193" s="22" t="s">
        <v>77</v>
      </c>
      <c r="AS193" s="10"/>
      <c r="AT193" s="2" t="s">
        <v>82</v>
      </c>
      <c r="AU193" s="12" t="s">
        <v>83</v>
      </c>
      <c r="AV193" s="3" t="n">
        <v>46218</v>
      </c>
      <c r="AW193" s="21"/>
      <c r="AY193" s="1"/>
      <c r="BA193" s="1"/>
      <c r="BB193" s="1"/>
    </row>
    <row r="194" ht="105" customHeight="1">
      <c r="A194" s="20" t="s">
        <v>1372</v>
      </c>
      <c r="B194" s="20" t="n">
        <v>2023</v>
      </c>
      <c r="C194" s="20" t="n">
        <v>396</v>
      </c>
      <c r="D194" s="20" t="s">
        <v>50</v>
      </c>
      <c r="E194" s="20" t="s">
        <v>1213</v>
      </c>
      <c r="F194" s="20" t="s">
        <v>1373</v>
      </c>
      <c r="G194" s="20" t="s">
        <v>86</v>
      </c>
      <c r="H194" s="20" t="s">
        <v>1215</v>
      </c>
      <c r="I194" s="20"/>
      <c r="J194" s="20" t="s">
        <v>1374</v>
      </c>
      <c r="K194" s="20" t="s">
        <v>1375</v>
      </c>
      <c r="L194" s="20" t="s">
        <v>1376</v>
      </c>
      <c r="M194" s="20" t="s">
        <v>1377</v>
      </c>
      <c r="N194" s="20" t="s">
        <v>660</v>
      </c>
      <c r="O194" s="20" t="s">
        <v>661</v>
      </c>
      <c r="P194" s="20" t="s">
        <v>662</v>
      </c>
      <c r="Q194" s="20" t="s">
        <v>663</v>
      </c>
      <c r="R194" s="20" t="s">
        <v>1378</v>
      </c>
      <c r="S194" s="20" t="s">
        <v>1379</v>
      </c>
      <c r="T194" s="20" t="s">
        <v>1380</v>
      </c>
      <c r="U194" s="20" t="s">
        <v>1381</v>
      </c>
      <c r="V194" s="20" t="s">
        <v>854</v>
      </c>
      <c r="W194" s="20" t="s">
        <v>96</v>
      </c>
      <c r="X194" s="20" t="s">
        <v>97</v>
      </c>
      <c r="Y194" s="20" t="s">
        <v>70</v>
      </c>
      <c r="Z194" s="20" t="s">
        <v>1382</v>
      </c>
      <c r="AA194" s="20" t="s">
        <v>395</v>
      </c>
      <c r="AB194" s="20" t="s">
        <v>1383</v>
      </c>
      <c r="AC194" s="20" t="s">
        <v>1383</v>
      </c>
      <c r="AD194" s="20" t="s">
        <v>1383</v>
      </c>
      <c r="AE194" s="20"/>
      <c r="AF194" s="9" t="n">
        <v>0</v>
      </c>
      <c r="AG194" s="12" t="n">
        <v>0</v>
      </c>
      <c r="AH194" s="22" t="s">
        <v>1365</v>
      </c>
      <c r="AI194" s="12" t="str">
        <f>IF(AH194="","",IFERROR(RIGHT("0000"&amp;AH194,4)&amp;" - "&amp;UPPER(_xlfn.XLOOKUP(RIGHT("0000"&amp;AH194,4),CODEBOOK_CAP!$C$2:$C$212,CODEBOOK_CAP!$D$2:$D$212)),"Código CAP não encontrado"))</f>
        <v>2102 - POPULAÇÕES TRADICIONAIS BRASILEIRAS - INDÍGENAS, QUILOMBOLAS, RIBEIRINHOS, SERINGUEIROS, CAIÇARAS</v>
      </c>
      <c r="AJ194" s="12" t="str">
        <f>IF(AH194="","",IFERROR(_xlfn.XLOOKUP(RIGHT("0000"&amp;AH194,4),CODEBOOK_CAP!$C$2:$C$212,CODEBOOK_CAP!$E$2:$E$212),"Código CAP não encontrado"))</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K194" s="22" t="s">
        <v>77</v>
      </c>
      <c r="AL194" s="26"/>
      <c r="AM194" s="22" t="s">
        <v>77</v>
      </c>
      <c r="AN194" s="22" t="s">
        <v>77</v>
      </c>
      <c r="AO194" s="12"/>
      <c r="AP194" s="22" t="s">
        <v>79</v>
      </c>
      <c r="AQ194" s="12" t="s">
        <v>1384</v>
      </c>
      <c r="AR194" s="22" t="s">
        <v>77</v>
      </c>
      <c r="AS194" s="10"/>
      <c r="AT194" s="2" t="s">
        <v>82</v>
      </c>
      <c r="AU194" s="12" t="s">
        <v>83</v>
      </c>
      <c r="AV194" s="3" t="n">
        <v>46218</v>
      </c>
      <c r="AW194" s="21"/>
      <c r="AY194" s="1"/>
      <c r="BA194" s="1"/>
      <c r="BB194" s="1"/>
    </row>
    <row r="195" ht="105" customHeight="1">
      <c r="A195" s="20" t="s">
        <v>1385</v>
      </c>
      <c r="B195" s="20" t="n">
        <v>2023</v>
      </c>
      <c r="C195" s="20" t="n">
        <v>397</v>
      </c>
      <c r="D195" s="20" t="s">
        <v>50</v>
      </c>
      <c r="E195" s="20" t="s">
        <v>1213</v>
      </c>
      <c r="F195" s="20" t="s">
        <v>1386</v>
      </c>
      <c r="G195" s="20" t="s">
        <v>183</v>
      </c>
      <c r="H195" s="20" t="s">
        <v>1215</v>
      </c>
      <c r="I195" s="20"/>
      <c r="J195" s="20" t="s">
        <v>1387</v>
      </c>
      <c r="K195" s="20" t="s">
        <v>1388</v>
      </c>
      <c r="L195" s="20" t="s">
        <v>760</v>
      </c>
      <c r="M195" s="20" t="s">
        <v>761</v>
      </c>
      <c r="N195" s="20" t="s">
        <v>150</v>
      </c>
      <c r="O195" s="20" t="s">
        <v>151</v>
      </c>
      <c r="P195" s="20" t="s">
        <v>1389</v>
      </c>
      <c r="Q195" s="20" t="s">
        <v>1390</v>
      </c>
      <c r="R195" s="20" t="s">
        <v>1391</v>
      </c>
      <c r="S195" s="20" t="s">
        <v>1392</v>
      </c>
      <c r="T195" s="20" t="s">
        <v>1393</v>
      </c>
      <c r="U195" s="20" t="s">
        <v>1394</v>
      </c>
      <c r="V195" s="20" t="s">
        <v>95</v>
      </c>
      <c r="W195" s="20" t="s">
        <v>96</v>
      </c>
      <c r="X195" s="20" t="s">
        <v>97</v>
      </c>
      <c r="Y195" s="20" t="s">
        <v>70</v>
      </c>
      <c r="Z195" s="20" t="s">
        <v>764</v>
      </c>
      <c r="AA195" s="20" t="s">
        <v>292</v>
      </c>
      <c r="AB195" s="20" t="s">
        <v>77</v>
      </c>
      <c r="AC195" s="20" t="s">
        <v>77</v>
      </c>
      <c r="AD195" s="20" t="s">
        <v>77</v>
      </c>
      <c r="AE195" s="20"/>
      <c r="AF195" s="9" t="n">
        <v>0</v>
      </c>
      <c r="AG195" s="12" t="n">
        <v>0</v>
      </c>
      <c r="AH195" s="22" t="s">
        <v>1365</v>
      </c>
      <c r="AI195" s="12" t="str">
        <f>IF(AH195="","",IFERROR(RIGHT("0000"&amp;AH195,4)&amp;" - "&amp;UPPER(_xlfn.XLOOKUP(RIGHT("0000"&amp;AH195,4),CODEBOOK_CAP!$C$2:$C$212,CODEBOOK_CAP!$D$2:$D$212)),"Código CAP não encontrado"))</f>
        <v>2102 - POPULAÇÕES TRADICIONAIS BRASILEIRAS - INDÍGENAS, QUILOMBOLAS, RIBEIRINHOS, SERINGUEIROS, CAIÇARAS</v>
      </c>
      <c r="AJ195" s="12" t="str">
        <f>IF(AH195="","",IFERROR(_xlfn.XLOOKUP(RIGHT("0000"&amp;AH195,4),CODEBOOK_CAP!$C$2:$C$212,CODEBOOK_CAP!$E$2:$E$212),"Código CAP não encontrado"))</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K195" s="22" t="s">
        <v>77</v>
      </c>
      <c r="AL195" s="26"/>
      <c r="AM195" s="22" t="s">
        <v>77</v>
      </c>
      <c r="AN195" s="22" t="s">
        <v>77</v>
      </c>
      <c r="AO195" s="12"/>
      <c r="AP195" s="22" t="s">
        <v>79</v>
      </c>
      <c r="AQ195" s="12" t="s">
        <v>1366</v>
      </c>
      <c r="AR195" s="22" t="s">
        <v>77</v>
      </c>
      <c r="AS195" s="10"/>
      <c r="AT195" s="2" t="s">
        <v>82</v>
      </c>
      <c r="AU195" s="12" t="s">
        <v>83</v>
      </c>
      <c r="AV195" s="3" t="n">
        <v>46218</v>
      </c>
      <c r="AW195" s="21"/>
      <c r="AY195" s="1"/>
      <c r="BA195" s="1"/>
      <c r="BB195" s="1"/>
    </row>
    <row r="196" ht="225" customHeight="1">
      <c r="A196" s="20" t="s">
        <v>1395</v>
      </c>
      <c r="B196" s="20" t="n">
        <v>2023</v>
      </c>
      <c r="C196" s="20" t="n">
        <v>400</v>
      </c>
      <c r="D196" s="20" t="s">
        <v>50</v>
      </c>
      <c r="E196" s="20" t="s">
        <v>1213</v>
      </c>
      <c r="F196" s="20" t="s">
        <v>1279</v>
      </c>
      <c r="G196" s="20" t="s">
        <v>86</v>
      </c>
      <c r="H196" s="20" t="s">
        <v>1215</v>
      </c>
      <c r="I196" s="20"/>
      <c r="J196" s="20" t="s">
        <v>1396</v>
      </c>
      <c r="K196" s="20" t="s">
        <v>1397</v>
      </c>
      <c r="L196" s="20" t="s">
        <v>785</v>
      </c>
      <c r="M196" s="20" t="s">
        <v>786</v>
      </c>
      <c r="N196" s="20" t="s">
        <v>787</v>
      </c>
      <c r="O196" s="20" t="s">
        <v>788</v>
      </c>
      <c r="P196" s="20" t="s">
        <v>517</v>
      </c>
      <c r="Q196" s="20" t="s">
        <v>893</v>
      </c>
      <c r="R196" s="20" t="s">
        <v>894</v>
      </c>
      <c r="S196" s="20" t="s">
        <v>895</v>
      </c>
      <c r="T196" s="20" t="s">
        <v>896</v>
      </c>
      <c r="U196" s="20" t="s">
        <v>897</v>
      </c>
      <c r="V196" s="20" t="s">
        <v>1398</v>
      </c>
      <c r="W196" s="20" t="s">
        <v>96</v>
      </c>
      <c r="X196" s="20" t="s">
        <v>97</v>
      </c>
      <c r="Y196" s="20" t="s">
        <v>70</v>
      </c>
      <c r="Z196" s="20" t="s">
        <v>794</v>
      </c>
      <c r="AA196" s="20" t="s">
        <v>1399</v>
      </c>
      <c r="AB196" s="20" t="s">
        <v>1400</v>
      </c>
      <c r="AC196" s="20" t="s">
        <v>1400</v>
      </c>
      <c r="AD196" s="20" t="s">
        <v>1400</v>
      </c>
      <c r="AE196" s="20"/>
      <c r="AF196" s="9" t="n">
        <v>0</v>
      </c>
      <c r="AG196" s="12" t="n">
        <v>1</v>
      </c>
      <c r="AH196" s="22" t="s">
        <v>117</v>
      </c>
      <c r="AI196" s="12" t="str">
        <f>IF(AH196="","",IFERROR(RIGHT("0000"&amp;AH196,4)&amp;" - "&amp;UPPER(_xlfn.XLOOKUP(RIGHT("0000"&amp;AH196,4),CODEBOOK_CAP!$C$2:$C$212,CODEBOOK_CAP!$D$2:$D$212)),"Código CAP não encontrado"))</f>
        <v>0331 - PREVENÇÃO, CAMPANHAS E PROMOÇÃO</v>
      </c>
      <c r="AJ196" s="12" t="str">
        <f>IF(AH196="","",IFERROR(_xlfn.XLOOKUP(RIGHT("0000"&amp;AH196,4),CODEBOOK_CAP!$C$2:$C$212,CODEBOOK_CAP!$E$2:$E$212),"Código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196" s="22" t="s">
        <v>77</v>
      </c>
      <c r="AL196" s="26"/>
      <c r="AM196" s="22" t="s">
        <v>77</v>
      </c>
      <c r="AN196" s="22" t="s">
        <v>77</v>
      </c>
      <c r="AO196" s="12"/>
      <c r="AP196" s="22" t="s">
        <v>79</v>
      </c>
      <c r="AQ196" s="12" t="s">
        <v>1401</v>
      </c>
      <c r="AR196" s="22" t="s">
        <v>77</v>
      </c>
      <c r="AS196" s="10"/>
      <c r="AT196" s="2" t="s">
        <v>82</v>
      </c>
      <c r="AU196" s="12" t="s">
        <v>83</v>
      </c>
      <c r="AV196" s="3" t="n">
        <v>46218</v>
      </c>
      <c r="AW196" s="21"/>
      <c r="AY196" s="1"/>
      <c r="BA196" s="1"/>
      <c r="BB196" s="1"/>
    </row>
    <row r="197" ht="75" customHeight="1">
      <c r="A197" s="20" t="s">
        <v>1402</v>
      </c>
      <c r="B197" s="20" t="n">
        <v>2023</v>
      </c>
      <c r="C197" s="20" t="n">
        <v>401</v>
      </c>
      <c r="D197" s="20" t="s">
        <v>50</v>
      </c>
      <c r="E197" s="20" t="s">
        <v>1213</v>
      </c>
      <c r="F197" s="20" t="s">
        <v>1403</v>
      </c>
      <c r="G197" s="20" t="s">
        <v>86</v>
      </c>
      <c r="H197" s="20" t="s">
        <v>1215</v>
      </c>
      <c r="I197" s="20"/>
      <c r="J197" s="20" t="s">
        <v>1404</v>
      </c>
      <c r="K197" s="20" t="s">
        <v>1405</v>
      </c>
      <c r="L197" s="20" t="s">
        <v>1406</v>
      </c>
      <c r="M197" s="20" t="s">
        <v>1407</v>
      </c>
      <c r="N197" s="20" t="s">
        <v>1408</v>
      </c>
      <c r="O197" s="20" t="s">
        <v>1409</v>
      </c>
      <c r="P197" s="20" t="s">
        <v>1410</v>
      </c>
      <c r="Q197" s="20" t="s">
        <v>1411</v>
      </c>
      <c r="R197" s="20" t="s">
        <v>1412</v>
      </c>
      <c r="S197" s="20" t="s">
        <v>1413</v>
      </c>
      <c r="T197" s="20" t="s">
        <v>1414</v>
      </c>
      <c r="U197" s="20" t="s">
        <v>1415</v>
      </c>
      <c r="V197" s="20" t="s">
        <v>95</v>
      </c>
      <c r="W197" s="20" t="s">
        <v>96</v>
      </c>
      <c r="X197" s="20" t="s">
        <v>97</v>
      </c>
      <c r="Y197" s="20" t="s">
        <v>70</v>
      </c>
      <c r="Z197" s="20" t="s">
        <v>284</v>
      </c>
      <c r="AA197" s="20" t="s">
        <v>1416</v>
      </c>
      <c r="AB197" s="20" t="s">
        <v>1416</v>
      </c>
      <c r="AC197" s="20" t="s">
        <v>1416</v>
      </c>
      <c r="AD197" s="20" t="s">
        <v>1416</v>
      </c>
      <c r="AE197" s="20"/>
      <c r="AF197" s="9" t="n">
        <v>0</v>
      </c>
      <c r="AG197" s="12" t="n">
        <v>0</v>
      </c>
      <c r="AH197" s="22" t="s">
        <v>1417</v>
      </c>
      <c r="AI197" s="12" t="str">
        <f>IF(AH197="","",IFERROR(RIGHT("0000"&amp;AH197,4)&amp;" - "&amp;UPPER(_xlfn.XLOOKUP(RIGHT("0000"&amp;AH197,4),CODEBOOK_CAP!$C$2:$C$212,CODEBOOK_CAP!$D$2:$D$212)),"Código CAP não encontrado"))</f>
        <v>0900 - GERAL</v>
      </c>
      <c r="AJ197" s="12" t="str">
        <f>IF(AH197="","",IFERROR(_xlfn.XLOOKUP(RIGHT("0000"&amp;AH197,4),CODEBOOK_CAP!$C$2:$C$212,CODEBOOK_CAP!$E$2:$E$212),"Código CAP não encontrado"))</f>
        <v>Observações relacionadas com o numero de refugiados ou imigrantes, residência e permissão de permanência no país. Todas as questões sobre imigrantes, asilo, ajuda. Não confundir com visto de turismo (1504). Qualquer questão sobre TRABALHO FORMAL de imigrante no 529.</v>
      </c>
      <c r="AK197" s="22" t="s">
        <v>77</v>
      </c>
      <c r="AL197" s="26"/>
      <c r="AM197" s="22" t="s">
        <v>77</v>
      </c>
      <c r="AN197" s="22" t="s">
        <v>77</v>
      </c>
      <c r="AO197" s="12"/>
      <c r="AP197" s="22" t="s">
        <v>79</v>
      </c>
      <c r="AQ197" s="12" t="s">
        <v>1418</v>
      </c>
      <c r="AR197" s="22" t="s">
        <v>77</v>
      </c>
      <c r="AS197" s="10"/>
      <c r="AT197" s="2" t="s">
        <v>82</v>
      </c>
      <c r="AU197" s="12" t="s">
        <v>83</v>
      </c>
      <c r="AV197" s="3" t="n">
        <v>46218</v>
      </c>
      <c r="AW197" s="21"/>
      <c r="AY197" s="1"/>
      <c r="BA197" s="1"/>
      <c r="BB197" s="1"/>
    </row>
    <row r="198" ht="135" customHeight="1">
      <c r="A198" s="20" t="s">
        <v>1419</v>
      </c>
      <c r="B198" s="20" t="n">
        <v>2023</v>
      </c>
      <c r="C198" s="20" t="n">
        <v>403</v>
      </c>
      <c r="D198" s="20" t="s">
        <v>50</v>
      </c>
      <c r="E198" s="20" t="s">
        <v>1213</v>
      </c>
      <c r="F198" s="20" t="s">
        <v>1420</v>
      </c>
      <c r="G198" s="20" t="s">
        <v>86</v>
      </c>
      <c r="H198" s="20" t="s">
        <v>1215</v>
      </c>
      <c r="I198" s="20"/>
      <c r="J198" s="20" t="s">
        <v>1421</v>
      </c>
      <c r="K198" s="20" t="s">
        <v>1422</v>
      </c>
      <c r="L198" s="20" t="s">
        <v>1376</v>
      </c>
      <c r="M198" s="20" t="s">
        <v>1377</v>
      </c>
      <c r="N198" s="20" t="s">
        <v>660</v>
      </c>
      <c r="O198" s="20" t="s">
        <v>661</v>
      </c>
      <c r="P198" s="20" t="s">
        <v>662</v>
      </c>
      <c r="Q198" s="20" t="s">
        <v>663</v>
      </c>
      <c r="R198" s="20" t="s">
        <v>1378</v>
      </c>
      <c r="S198" s="20" t="s">
        <v>1379</v>
      </c>
      <c r="T198" s="20" t="s">
        <v>1423</v>
      </c>
      <c r="U198" s="20" t="s">
        <v>1424</v>
      </c>
      <c r="V198" s="20" t="s">
        <v>95</v>
      </c>
      <c r="W198" s="20" t="s">
        <v>96</v>
      </c>
      <c r="X198" s="20" t="s">
        <v>97</v>
      </c>
      <c r="Y198" s="20" t="s">
        <v>70</v>
      </c>
      <c r="Z198" s="20" t="s">
        <v>1382</v>
      </c>
      <c r="AA198" s="20" t="s">
        <v>125</v>
      </c>
      <c r="AB198" s="20" t="s">
        <v>125</v>
      </c>
      <c r="AC198" s="20" t="s">
        <v>125</v>
      </c>
      <c r="AD198" s="20" t="s">
        <v>125</v>
      </c>
      <c r="AE198" s="20"/>
      <c r="AF198" s="9" t="n">
        <v>0</v>
      </c>
      <c r="AG198" s="12" t="n">
        <v>0</v>
      </c>
      <c r="AH198" s="22" t="s">
        <v>1425</v>
      </c>
      <c r="AI198" s="12" t="str">
        <f>IF(AH198="","",IFERROR(RIGHT("0000"&amp;AH198,4)&amp;" - "&amp;UPPER(_xlfn.XLOOKUP(RIGHT("0000"&amp;AH198,4),CODEBOOK_CAP!$C$2:$C$212,CODEBOOK_CAP!$D$2:$D$212)),"Código CAP não encontrado"))</f>
        <v>0709 - PROTEÇÃO DE ESPÉCIES, FAUNA, FLORA E FLORESTAS</v>
      </c>
      <c r="AJ198" s="12" t="str">
        <f>IF(AH198="","",IFERROR(_xlfn.XLOOKUP(RIGHT("0000"&amp;AH198,4),CODEBOOK_CAP!$C$2:$C$212,CODEBOOK_CAP!$E$2:$E$212),"Código CAP não encontrado"))</f>
        <v>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v>
      </c>
      <c r="AK198" s="22" t="s">
        <v>77</v>
      </c>
      <c r="AL198" s="26"/>
      <c r="AM198" s="22" t="s">
        <v>77</v>
      </c>
      <c r="AN198" s="22" t="s">
        <v>77</v>
      </c>
      <c r="AO198" s="12"/>
      <c r="AP198" s="22" t="s">
        <v>77</v>
      </c>
      <c r="AQ198" s="12"/>
      <c r="AR198" s="22" t="s">
        <v>77</v>
      </c>
      <c r="AS198" s="10"/>
      <c r="AT198" s="2" t="s">
        <v>82</v>
      </c>
      <c r="AU198" s="12" t="s">
        <v>83</v>
      </c>
      <c r="AV198" s="3" t="n">
        <v>46218</v>
      </c>
      <c r="AW198" s="21"/>
      <c r="AY198" s="1"/>
      <c r="BA198" s="1"/>
      <c r="BB198" s="1"/>
    </row>
    <row r="199" ht="195" customHeight="1">
      <c r="A199" s="20" t="s">
        <v>1426</v>
      </c>
      <c r="B199" s="20" t="n">
        <v>2023</v>
      </c>
      <c r="C199" s="20" t="n">
        <v>405</v>
      </c>
      <c r="D199" s="20" t="s">
        <v>50</v>
      </c>
      <c r="E199" s="20" t="s">
        <v>1213</v>
      </c>
      <c r="F199" s="20" t="s">
        <v>1427</v>
      </c>
      <c r="G199" s="20" t="s">
        <v>183</v>
      </c>
      <c r="H199" s="20" t="s">
        <v>1215</v>
      </c>
      <c r="I199" s="20"/>
      <c r="J199" s="20" t="s">
        <v>1428</v>
      </c>
      <c r="K199" s="20" t="s">
        <v>1253</v>
      </c>
      <c r="L199" s="20" t="s">
        <v>1254</v>
      </c>
      <c r="M199" s="20" t="s">
        <v>1255</v>
      </c>
      <c r="N199" s="20" t="s">
        <v>660</v>
      </c>
      <c r="O199" s="20" t="s">
        <v>661</v>
      </c>
      <c r="P199" s="20" t="s">
        <v>662</v>
      </c>
      <c r="Q199" s="20" t="s">
        <v>663</v>
      </c>
      <c r="R199" s="20" t="s">
        <v>1256</v>
      </c>
      <c r="S199" s="20" t="s">
        <v>1257</v>
      </c>
      <c r="T199" s="20" t="s">
        <v>1258</v>
      </c>
      <c r="U199" s="20" t="s">
        <v>1259</v>
      </c>
      <c r="V199" s="20" t="s">
        <v>95</v>
      </c>
      <c r="W199" s="20" t="s">
        <v>96</v>
      </c>
      <c r="X199" s="20" t="s">
        <v>97</v>
      </c>
      <c r="Y199" s="20" t="s">
        <v>70</v>
      </c>
      <c r="Z199" s="20" t="s">
        <v>1260</v>
      </c>
      <c r="AA199" s="20" t="s">
        <v>325</v>
      </c>
      <c r="AB199" s="20" t="s">
        <v>77</v>
      </c>
      <c r="AC199" s="20" t="s">
        <v>77</v>
      </c>
      <c r="AD199" s="20" t="s">
        <v>77</v>
      </c>
      <c r="AE199" s="20"/>
      <c r="AF199" s="9" t="n">
        <v>0</v>
      </c>
      <c r="AG199" s="12" t="n">
        <v>0</v>
      </c>
      <c r="AH199" s="22" t="s">
        <v>1317</v>
      </c>
      <c r="AI199" s="12" t="str">
        <f>IF(AH199="","",IFERROR(RIGHT("0000"&amp;AH199,4)&amp;" - "&amp;UPPER(_xlfn.XLOOKUP(RIGHT("0000"&amp;AH199,4),CODEBOOK_CAP!$C$2:$C$212,CODEBOOK_CAP!$D$2:$D$212)),"Código CAP não encontrado"))</f>
        <v>0700 - GERAL</v>
      </c>
      <c r="AJ199" s="12" t="str">
        <f>IF(AH199="","",IFERROR(_xlfn.XLOOKUP(RIGHT("0000"&amp;AH199,4),CODEBOOK_CAP!$C$2:$C$212,CODEBOOK_CAP!$E$2:$E$212),"Código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K199" s="22" t="s">
        <v>77</v>
      </c>
      <c r="AL199" s="26"/>
      <c r="AM199" s="22" t="s">
        <v>77</v>
      </c>
      <c r="AN199" s="22" t="s">
        <v>77</v>
      </c>
      <c r="AO199" s="12"/>
      <c r="AP199" s="22" t="s">
        <v>77</v>
      </c>
      <c r="AQ199" s="12"/>
      <c r="AR199" s="22" t="s">
        <v>77</v>
      </c>
      <c r="AS199" s="10"/>
      <c r="AT199" s="2" t="s">
        <v>82</v>
      </c>
      <c r="AU199" s="12" t="s">
        <v>83</v>
      </c>
      <c r="AV199" s="3" t="n">
        <v>46218</v>
      </c>
      <c r="AW199" s="21"/>
      <c r="AY199" s="1"/>
      <c r="BA199" s="1"/>
      <c r="BB199" s="1"/>
    </row>
    <row r="200" ht="105" customHeight="1">
      <c r="A200" s="20" t="s">
        <v>1429</v>
      </c>
      <c r="B200" s="20" t="n">
        <v>2023</v>
      </c>
      <c r="C200" s="20" t="n">
        <v>406</v>
      </c>
      <c r="D200" s="20" t="s">
        <v>50</v>
      </c>
      <c r="E200" s="20" t="s">
        <v>1213</v>
      </c>
      <c r="F200" s="20" t="s">
        <v>1430</v>
      </c>
      <c r="G200" s="20" t="s">
        <v>86</v>
      </c>
      <c r="H200" s="20" t="s">
        <v>1215</v>
      </c>
      <c r="I200" s="20"/>
      <c r="J200" s="20" t="s">
        <v>1431</v>
      </c>
      <c r="K200" s="20" t="s">
        <v>185</v>
      </c>
      <c r="L200" s="20" t="s">
        <v>186</v>
      </c>
      <c r="M200" s="20" t="s">
        <v>187</v>
      </c>
      <c r="N200" s="20" t="s">
        <v>188</v>
      </c>
      <c r="O200" s="20" t="s">
        <v>189</v>
      </c>
      <c r="P200" s="20" t="s">
        <v>190</v>
      </c>
      <c r="Q200" s="20" t="s">
        <v>191</v>
      </c>
      <c r="R200" s="20" t="s">
        <v>192</v>
      </c>
      <c r="S200" s="20" t="s">
        <v>193</v>
      </c>
      <c r="T200" s="20" t="s">
        <v>194</v>
      </c>
      <c r="U200" s="20" t="s">
        <v>195</v>
      </c>
      <c r="V200" s="20" t="s">
        <v>196</v>
      </c>
      <c r="W200" s="20" t="s">
        <v>68</v>
      </c>
      <c r="X200" s="20" t="s">
        <v>69</v>
      </c>
      <c r="Y200" s="20" t="s">
        <v>70</v>
      </c>
      <c r="Z200" s="20" t="s">
        <v>197</v>
      </c>
      <c r="AA200" s="20" t="s">
        <v>292</v>
      </c>
      <c r="AB200" s="20" t="s">
        <v>1432</v>
      </c>
      <c r="AC200" s="20" t="s">
        <v>1432</v>
      </c>
      <c r="AD200" s="20" t="s">
        <v>1432</v>
      </c>
      <c r="AE200" s="20"/>
      <c r="AF200" s="9" t="n">
        <v>0</v>
      </c>
      <c r="AG200" s="12" t="n">
        <v>0</v>
      </c>
      <c r="AH200" s="22" t="s">
        <v>161</v>
      </c>
      <c r="AI200" s="12" t="str">
        <f>IF(AH200="","",IFERROR(RIGHT("0000"&amp;AH200,4)&amp;" - "&amp;UPPER(_xlfn.XLOOKUP(RIGHT("0000"&amp;AH200,4),CODEBOOK_CAP!$C$2:$C$212,CODEBOOK_CAP!$D$2:$D$212)),"Código CAP não encontrado"))</f>
        <v>2300 - GERAL</v>
      </c>
      <c r="AJ200" s="12" t="str">
        <f>IF(AH200="","",IFERROR(_xlfn.XLOOKUP(RIGHT("0000"&amp;AH200,4),CODEBOOK_CAP!$C$2:$C$212,CODEBOOK_CAP!$E$2:$E$212),"Código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00" s="22" t="s">
        <v>79</v>
      </c>
      <c r="AL200" s="26" t="s">
        <v>1433</v>
      </c>
      <c r="AM200" s="22" t="s">
        <v>79</v>
      </c>
      <c r="AN200" s="22" t="s">
        <v>79</v>
      </c>
      <c r="AO200" s="12" t="s">
        <v>1433</v>
      </c>
      <c r="AP200" s="22" t="s">
        <v>79</v>
      </c>
      <c r="AQ200" s="12" t="s">
        <v>1094</v>
      </c>
      <c r="AR200" s="22" t="s">
        <v>77</v>
      </c>
      <c r="AS200" s="10"/>
      <c r="AT200" s="2" t="s">
        <v>82</v>
      </c>
      <c r="AU200" s="12" t="s">
        <v>83</v>
      </c>
      <c r="AV200" s="3" t="n">
        <v>46218</v>
      </c>
      <c r="AW200" s="21"/>
      <c r="AX200" s="1" t="s">
        <v>6956</v>
      </c>
      <c r="AY200" s="1"/>
      <c r="BA200" s="1"/>
      <c r="BB200" s="1"/>
    </row>
    <row r="201" ht="105" customHeight="1">
      <c r="A201" s="20" t="s">
        <v>1434</v>
      </c>
      <c r="B201" s="20" t="n">
        <v>2023</v>
      </c>
      <c r="C201" s="20" t="n">
        <v>407</v>
      </c>
      <c r="D201" s="20" t="s">
        <v>50</v>
      </c>
      <c r="E201" s="20" t="s">
        <v>1213</v>
      </c>
      <c r="F201" s="20" t="s">
        <v>1435</v>
      </c>
      <c r="G201" s="20" t="s">
        <v>86</v>
      </c>
      <c r="H201" s="20" t="s">
        <v>1215</v>
      </c>
      <c r="I201" s="20"/>
      <c r="J201" s="20" t="s">
        <v>1436</v>
      </c>
      <c r="K201" s="20" t="s">
        <v>185</v>
      </c>
      <c r="L201" s="20" t="s">
        <v>186</v>
      </c>
      <c r="M201" s="20" t="s">
        <v>187</v>
      </c>
      <c r="N201" s="20" t="s">
        <v>188</v>
      </c>
      <c r="O201" s="20" t="s">
        <v>189</v>
      </c>
      <c r="P201" s="20" t="s">
        <v>190</v>
      </c>
      <c r="Q201" s="20" t="s">
        <v>191</v>
      </c>
      <c r="R201" s="20" t="s">
        <v>192</v>
      </c>
      <c r="S201" s="20" t="s">
        <v>193</v>
      </c>
      <c r="T201" s="20" t="s">
        <v>194</v>
      </c>
      <c r="U201" s="20" t="s">
        <v>195</v>
      </c>
      <c r="V201" s="20" t="s">
        <v>196</v>
      </c>
      <c r="W201" s="20" t="s">
        <v>68</v>
      </c>
      <c r="X201" s="20" t="s">
        <v>69</v>
      </c>
      <c r="Y201" s="20" t="s">
        <v>70</v>
      </c>
      <c r="Z201" s="20" t="s">
        <v>197</v>
      </c>
      <c r="AA201" s="20" t="s">
        <v>292</v>
      </c>
      <c r="AB201" s="20" t="s">
        <v>1432</v>
      </c>
      <c r="AC201" s="20" t="s">
        <v>1432</v>
      </c>
      <c r="AD201" s="20" t="s">
        <v>1432</v>
      </c>
      <c r="AE201" s="20"/>
      <c r="AF201" s="9" t="n">
        <v>0</v>
      </c>
      <c r="AG201" s="12" t="n">
        <v>0</v>
      </c>
      <c r="AH201" s="22" t="s">
        <v>161</v>
      </c>
      <c r="AI201" s="12" t="str">
        <f>IF(AH201="","",IFERROR(RIGHT("0000"&amp;AH201,4)&amp;" - "&amp;UPPER(_xlfn.XLOOKUP(RIGHT("0000"&amp;AH201,4),CODEBOOK_CAP!$C$2:$C$212,CODEBOOK_CAP!$D$2:$D$212)),"Código CAP não encontrado"))</f>
        <v>2300 - GERAL</v>
      </c>
      <c r="AJ201" s="12" t="str">
        <f>IF(AH201="","",IFERROR(_xlfn.XLOOKUP(RIGHT("0000"&amp;AH201,4),CODEBOOK_CAP!$C$2:$C$212,CODEBOOK_CAP!$E$2:$E$212),"Código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01" s="22" t="s">
        <v>79</v>
      </c>
      <c r="AL201" s="26" t="s">
        <v>1437</v>
      </c>
      <c r="AM201" s="22" t="s">
        <v>79</v>
      </c>
      <c r="AN201" s="22" t="s">
        <v>79</v>
      </c>
      <c r="AO201" s="26" t="s">
        <v>1437</v>
      </c>
      <c r="AP201" s="22" t="s">
        <v>79</v>
      </c>
      <c r="AQ201" s="12" t="s">
        <v>1094</v>
      </c>
      <c r="AR201" s="22" t="s">
        <v>77</v>
      </c>
      <c r="AS201" s="10"/>
      <c r="AT201" s="2" t="s">
        <v>82</v>
      </c>
      <c r="AU201" s="12" t="s">
        <v>83</v>
      </c>
      <c r="AV201" s="3" t="n">
        <v>46218</v>
      </c>
      <c r="AW201" s="21"/>
      <c r="AX201" s="1" t="s">
        <v>6956</v>
      </c>
      <c r="AY201" s="1"/>
      <c r="BA201" s="1"/>
      <c r="BB201" s="1"/>
    </row>
    <row r="202" ht="210" customHeight="1">
      <c r="A202" s="20" t="s">
        <v>1438</v>
      </c>
      <c r="B202" s="20" t="n">
        <v>2023</v>
      </c>
      <c r="C202" s="20" t="n">
        <v>408</v>
      </c>
      <c r="D202" s="20" t="s">
        <v>50</v>
      </c>
      <c r="E202" s="20" t="s">
        <v>1213</v>
      </c>
      <c r="F202" s="20" t="s">
        <v>1439</v>
      </c>
      <c r="G202" s="20" t="s">
        <v>315</v>
      </c>
      <c r="H202" s="20" t="s">
        <v>1215</v>
      </c>
      <c r="I202" s="20"/>
      <c r="J202" s="20" t="s">
        <v>1440</v>
      </c>
      <c r="K202" s="20" t="s">
        <v>1441</v>
      </c>
      <c r="L202" s="20" t="s">
        <v>274</v>
      </c>
      <c r="M202" s="20" t="s">
        <v>275</v>
      </c>
      <c r="N202" s="20" t="s">
        <v>276</v>
      </c>
      <c r="O202" s="20" t="s">
        <v>277</v>
      </c>
      <c r="P202" s="20" t="s">
        <v>278</v>
      </c>
      <c r="Q202" s="20" t="s">
        <v>279</v>
      </c>
      <c r="R202" s="20" t="s">
        <v>280</v>
      </c>
      <c r="S202" s="20" t="s">
        <v>281</v>
      </c>
      <c r="T202" s="20" t="s">
        <v>819</v>
      </c>
      <c r="U202" s="20" t="s">
        <v>820</v>
      </c>
      <c r="V202" s="20" t="s">
        <v>95</v>
      </c>
      <c r="W202" s="20" t="s">
        <v>96</v>
      </c>
      <c r="X202" s="20" t="s">
        <v>97</v>
      </c>
      <c r="Y202" s="20" t="s">
        <v>70</v>
      </c>
      <c r="Z202" s="20" t="s">
        <v>284</v>
      </c>
      <c r="AA202" s="20" t="s">
        <v>198</v>
      </c>
      <c r="AB202" s="20" t="s">
        <v>198</v>
      </c>
      <c r="AC202" s="20" t="s">
        <v>198</v>
      </c>
      <c r="AD202" s="20" t="s">
        <v>198</v>
      </c>
      <c r="AE202" s="20"/>
      <c r="AF202" s="9" t="n">
        <v>0</v>
      </c>
      <c r="AG202" s="12" t="n">
        <v>0</v>
      </c>
      <c r="AH202" s="22" t="s">
        <v>607</v>
      </c>
      <c r="AI202" s="12" t="str">
        <f>IF(AH202="","",IFERROR(RIGHT("0000"&amp;AH202,4)&amp;" - "&amp;UPPER(_xlfn.XLOOKUP(RIGHT("0000"&amp;AH202,4),CODEBOOK_CAP!$C$2:$C$212,CODEBOOK_CAP!$D$2:$D$212)),"Código CAP não encontrado"))</f>
        <v>1300 - GERAL</v>
      </c>
      <c r="AJ202" s="12" t="str">
        <f>IF(AH202="","",IFERROR(_xlfn.XLOOKUP(RIGHT("0000"&amp;AH202,4),CODEBOOK_CAP!$C$2:$C$212,CODEBOOK_CAP!$E$2:$E$212),"Código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02" s="22" t="s">
        <v>77</v>
      </c>
      <c r="AL202" s="26"/>
      <c r="AM202" s="22" t="s">
        <v>77</v>
      </c>
      <c r="AN202" s="22" t="s">
        <v>77</v>
      </c>
      <c r="AO202" s="12"/>
      <c r="AP202" s="22" t="s">
        <v>77</v>
      </c>
      <c r="AQ202" s="12"/>
      <c r="AR202" s="22" t="s">
        <v>77</v>
      </c>
      <c r="AS202" s="10"/>
      <c r="AT202" s="2" t="s">
        <v>82</v>
      </c>
      <c r="AU202" s="12" t="s">
        <v>83</v>
      </c>
      <c r="AV202" s="3" t="n">
        <v>46218</v>
      </c>
      <c r="AW202" s="21"/>
      <c r="AY202" s="1"/>
      <c r="BA202" s="1"/>
      <c r="BB202" s="1"/>
    </row>
    <row r="203" ht="105" customHeight="1">
      <c r="A203" s="20" t="s">
        <v>1442</v>
      </c>
      <c r="B203" s="20" t="n">
        <v>2023</v>
      </c>
      <c r="C203" s="20" t="n">
        <v>410</v>
      </c>
      <c r="D203" s="20" t="s">
        <v>50</v>
      </c>
      <c r="E203" s="20" t="s">
        <v>1213</v>
      </c>
      <c r="F203" s="20" t="s">
        <v>1443</v>
      </c>
      <c r="G203" s="20" t="s">
        <v>183</v>
      </c>
      <c r="H203" s="20" t="s">
        <v>1215</v>
      </c>
      <c r="I203" s="20"/>
      <c r="J203" s="20" t="s">
        <v>1444</v>
      </c>
      <c r="K203" s="20" t="s">
        <v>1388</v>
      </c>
      <c r="L203" s="20" t="s">
        <v>760</v>
      </c>
      <c r="M203" s="20" t="s">
        <v>761</v>
      </c>
      <c r="N203" s="20" t="s">
        <v>150</v>
      </c>
      <c r="O203" s="20" t="s">
        <v>151</v>
      </c>
      <c r="P203" s="20" t="s">
        <v>1389</v>
      </c>
      <c r="Q203" s="20" t="s">
        <v>1390</v>
      </c>
      <c r="R203" s="20" t="s">
        <v>1391</v>
      </c>
      <c r="S203" s="20" t="s">
        <v>1392</v>
      </c>
      <c r="T203" s="20" t="s">
        <v>1393</v>
      </c>
      <c r="U203" s="20" t="s">
        <v>1394</v>
      </c>
      <c r="V203" s="20" t="s">
        <v>95</v>
      </c>
      <c r="W203" s="20" t="s">
        <v>96</v>
      </c>
      <c r="X203" s="20" t="s">
        <v>97</v>
      </c>
      <c r="Y203" s="20" t="s">
        <v>70</v>
      </c>
      <c r="Z203" s="20" t="s">
        <v>764</v>
      </c>
      <c r="AA203" s="20" t="s">
        <v>1445</v>
      </c>
      <c r="AB203" s="20" t="s">
        <v>77</v>
      </c>
      <c r="AC203" s="20" t="s">
        <v>77</v>
      </c>
      <c r="AD203" s="20" t="s">
        <v>77</v>
      </c>
      <c r="AE203" s="20"/>
      <c r="AF203" s="9" t="n">
        <v>0</v>
      </c>
      <c r="AG203" s="12" t="n">
        <v>0</v>
      </c>
      <c r="AH203" s="22" t="s">
        <v>161</v>
      </c>
      <c r="AI203" s="12" t="str">
        <f>IF(AH203="","",IFERROR(RIGHT("0000"&amp;AH203,4)&amp;" - "&amp;UPPER(_xlfn.XLOOKUP(RIGHT("0000"&amp;AH203,4),CODEBOOK_CAP!$C$2:$C$212,CODEBOOK_CAP!$D$2:$D$212)),"Código CAP não encontrado"))</f>
        <v>2300 - GERAL</v>
      </c>
      <c r="AJ203" s="12" t="str">
        <f>IF(AH203="","",IFERROR(_xlfn.XLOOKUP(RIGHT("0000"&amp;AH203,4),CODEBOOK_CAP!$C$2:$C$212,CODEBOOK_CAP!$E$2:$E$212),"Código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03" s="22" t="s">
        <v>79</v>
      </c>
      <c r="AL203" s="26" t="s">
        <v>1446</v>
      </c>
      <c r="AM203" s="22" t="s">
        <v>590</v>
      </c>
      <c r="AN203" s="22" t="s">
        <v>79</v>
      </c>
      <c r="AO203" s="26" t="s">
        <v>1446</v>
      </c>
      <c r="AP203" s="22" t="s">
        <v>77</v>
      </c>
      <c r="AQ203" s="12"/>
      <c r="AR203" s="22" t="s">
        <v>77</v>
      </c>
      <c r="AS203" s="10"/>
      <c r="AT203" s="2" t="s">
        <v>82</v>
      </c>
      <c r="AU203" s="12" t="s">
        <v>83</v>
      </c>
      <c r="AV203" s="3" t="n">
        <v>46218</v>
      </c>
      <c r="AW203" s="21"/>
      <c r="AX203" s="1" t="s">
        <v>6955</v>
      </c>
      <c r="AY203" s="1"/>
      <c r="BA203" s="1"/>
      <c r="BB203" s="1"/>
    </row>
    <row r="204" ht="120" customHeight="1">
      <c r="A204" s="20" t="s">
        <v>1447</v>
      </c>
      <c r="B204" s="20" t="n">
        <v>2023</v>
      </c>
      <c r="C204" s="20" t="n">
        <v>149</v>
      </c>
      <c r="D204" s="20" t="s">
        <v>50</v>
      </c>
      <c r="E204" s="20" t="s">
        <v>1448</v>
      </c>
      <c r="F204" s="20" t="s">
        <v>706</v>
      </c>
      <c r="G204" s="20" t="s">
        <v>86</v>
      </c>
      <c r="H204" s="20" t="s">
        <v>1449</v>
      </c>
      <c r="I204" s="20"/>
      <c r="J204" s="20" t="s">
        <v>1450</v>
      </c>
      <c r="K204" s="20" t="s">
        <v>122</v>
      </c>
      <c r="L204" s="20" t="s">
        <v>57</v>
      </c>
      <c r="M204" s="20" t="s">
        <v>58</v>
      </c>
      <c r="N204" s="20" t="s">
        <v>59</v>
      </c>
      <c r="O204" s="20" t="s">
        <v>60</v>
      </c>
      <c r="P204" s="20" t="s">
        <v>89</v>
      </c>
      <c r="Q204" s="20" t="s">
        <v>90</v>
      </c>
      <c r="R204" s="20" t="s">
        <v>91</v>
      </c>
      <c r="S204" s="20" t="s">
        <v>92</v>
      </c>
      <c r="T204" s="20" t="s">
        <v>123</v>
      </c>
      <c r="U204" s="20" t="s">
        <v>124</v>
      </c>
      <c r="V204" s="20" t="s">
        <v>95</v>
      </c>
      <c r="W204" s="20" t="s">
        <v>96</v>
      </c>
      <c r="X204" s="20" t="s">
        <v>97</v>
      </c>
      <c r="Y204" s="20" t="s">
        <v>70</v>
      </c>
      <c r="Z204" s="20" t="s">
        <v>98</v>
      </c>
      <c r="AA204" s="20" t="s">
        <v>1451</v>
      </c>
      <c r="AB204" s="20" t="s">
        <v>1451</v>
      </c>
      <c r="AC204" s="20" t="s">
        <v>1451</v>
      </c>
      <c r="AD204" s="20" t="s">
        <v>1451</v>
      </c>
      <c r="AE204" s="20"/>
      <c r="AF204" s="9" t="n">
        <v>1</v>
      </c>
      <c r="AG204" s="12" t="n">
        <v>1</v>
      </c>
      <c r="AH204" s="22" t="s">
        <v>235</v>
      </c>
      <c r="AI204" s="12" t="str">
        <f>IF(AH204="","",IFERROR(RIGHT("0000"&amp;AH204,4)&amp;" - "&amp;UPPER(_xlfn.XLOOKUP(RIGHT("0000"&amp;AH204,4),CODEBOOK_CAP!$C$2:$C$212,CODEBOOK_CAP!$D$2:$D$212)),"Código CAP não encontrado"))</f>
        <v>0322 - ESTRUTURAS, HOSPITAIS, CLÍNICAS</v>
      </c>
      <c r="AJ204" s="12" t="str">
        <f>IF(AH204="","",IFERROR(_xlfn.XLOOKUP(RIGHT("0000"&amp;AH204,4),CODEBOOK_CAP!$C$2:$C$212,CODEBOOK_CAP!$E$2:$E$212),"Código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04" s="22" t="s">
        <v>77</v>
      </c>
      <c r="AL204" s="26"/>
      <c r="AM204" s="22" t="s">
        <v>79</v>
      </c>
      <c r="AN204" s="22" t="s">
        <v>79</v>
      </c>
      <c r="AO204" s="12" t="s">
        <v>1452</v>
      </c>
      <c r="AP204" s="22" t="s">
        <v>77</v>
      </c>
      <c r="AQ204" s="12"/>
      <c r="AR204" s="22" t="s">
        <v>77</v>
      </c>
      <c r="AS204" s="10"/>
      <c r="AT204" s="2" t="s">
        <v>82</v>
      </c>
      <c r="AU204" s="12" t="s">
        <v>83</v>
      </c>
      <c r="AV204" s="3" t="n">
        <v>46218</v>
      </c>
      <c r="AW204" s="21"/>
      <c r="AY204" s="1"/>
      <c r="BA204" s="1"/>
      <c r="BB204" s="1"/>
    </row>
    <row r="205" ht="120" customHeight="1">
      <c r="A205" s="20" t="s">
        <v>1453</v>
      </c>
      <c r="B205" s="20" t="n">
        <v>2023</v>
      </c>
      <c r="C205" s="20" t="n">
        <v>150</v>
      </c>
      <c r="D205" s="20" t="s">
        <v>50</v>
      </c>
      <c r="E205" s="20" t="s">
        <v>1448</v>
      </c>
      <c r="F205" s="20" t="s">
        <v>1454</v>
      </c>
      <c r="G205" s="20" t="s">
        <v>86</v>
      </c>
      <c r="H205" s="20" t="s">
        <v>1449</v>
      </c>
      <c r="I205" s="20"/>
      <c r="J205" s="20" t="s">
        <v>1455</v>
      </c>
      <c r="K205" s="20" t="s">
        <v>122</v>
      </c>
      <c r="L205" s="20" t="s">
        <v>57</v>
      </c>
      <c r="M205" s="20" t="s">
        <v>58</v>
      </c>
      <c r="N205" s="20" t="s">
        <v>59</v>
      </c>
      <c r="O205" s="20" t="s">
        <v>60</v>
      </c>
      <c r="P205" s="20" t="s">
        <v>89</v>
      </c>
      <c r="Q205" s="20" t="s">
        <v>90</v>
      </c>
      <c r="R205" s="20" t="s">
        <v>91</v>
      </c>
      <c r="S205" s="20" t="s">
        <v>92</v>
      </c>
      <c r="T205" s="20" t="s">
        <v>123</v>
      </c>
      <c r="U205" s="20" t="s">
        <v>124</v>
      </c>
      <c r="V205" s="20" t="s">
        <v>95</v>
      </c>
      <c r="W205" s="20" t="s">
        <v>96</v>
      </c>
      <c r="X205" s="20" t="s">
        <v>97</v>
      </c>
      <c r="Y205" s="20" t="s">
        <v>70</v>
      </c>
      <c r="Z205" s="20" t="s">
        <v>98</v>
      </c>
      <c r="AA205" s="20" t="s">
        <v>1451</v>
      </c>
      <c r="AB205" s="20" t="s">
        <v>1451</v>
      </c>
      <c r="AC205" s="20" t="s">
        <v>1451</v>
      </c>
      <c r="AD205" s="20" t="s">
        <v>1451</v>
      </c>
      <c r="AE205" s="20"/>
      <c r="AF205" s="9" t="n">
        <v>1</v>
      </c>
      <c r="AG205" s="12" t="n">
        <v>1</v>
      </c>
      <c r="AH205" s="22" t="s">
        <v>235</v>
      </c>
      <c r="AI205" s="12" t="str">
        <f>IF(AH205="","",IFERROR(RIGHT("0000"&amp;AH205,4)&amp;" - "&amp;UPPER(_xlfn.XLOOKUP(RIGHT("0000"&amp;AH205,4),CODEBOOK_CAP!$C$2:$C$212,CODEBOOK_CAP!$D$2:$D$212)),"Código CAP não encontrado"))</f>
        <v>0322 - ESTRUTURAS, HOSPITAIS, CLÍNICAS</v>
      </c>
      <c r="AJ205" s="12" t="str">
        <f>IF(AH205="","",IFERROR(_xlfn.XLOOKUP(RIGHT("0000"&amp;AH205,4),CODEBOOK_CAP!$C$2:$C$212,CODEBOOK_CAP!$E$2:$E$212),"Código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05" s="22" t="s">
        <v>77</v>
      </c>
      <c r="AL205" s="26"/>
      <c r="AM205" s="22" t="s">
        <v>79</v>
      </c>
      <c r="AN205" s="22" t="s">
        <v>79</v>
      </c>
      <c r="AO205" s="12" t="s">
        <v>1456</v>
      </c>
      <c r="AP205" s="22" t="s">
        <v>77</v>
      </c>
      <c r="AQ205" s="12"/>
      <c r="AR205" s="22" t="s">
        <v>77</v>
      </c>
      <c r="AS205" s="10"/>
      <c r="AT205" s="2" t="s">
        <v>82</v>
      </c>
      <c r="AU205" s="12" t="s">
        <v>83</v>
      </c>
      <c r="AV205" s="3" t="n">
        <v>46218</v>
      </c>
      <c r="AW205" s="21"/>
      <c r="AY205" s="1"/>
      <c r="BA205" s="1"/>
      <c r="BB205" s="1"/>
    </row>
    <row r="206" ht="120" customHeight="1">
      <c r="A206" s="20" t="s">
        <v>1457</v>
      </c>
      <c r="B206" s="20" t="n">
        <v>2023</v>
      </c>
      <c r="C206" s="20" t="n">
        <v>151</v>
      </c>
      <c r="D206" s="20" t="s">
        <v>50</v>
      </c>
      <c r="E206" s="20" t="s">
        <v>1448</v>
      </c>
      <c r="F206" s="20" t="s">
        <v>1458</v>
      </c>
      <c r="G206" s="20" t="s">
        <v>86</v>
      </c>
      <c r="H206" s="20" t="s">
        <v>1449</v>
      </c>
      <c r="I206" s="20"/>
      <c r="J206" s="20" t="s">
        <v>1459</v>
      </c>
      <c r="K206" s="20" t="s">
        <v>122</v>
      </c>
      <c r="L206" s="20" t="s">
        <v>57</v>
      </c>
      <c r="M206" s="20" t="s">
        <v>58</v>
      </c>
      <c r="N206" s="20" t="s">
        <v>59</v>
      </c>
      <c r="O206" s="20" t="s">
        <v>60</v>
      </c>
      <c r="P206" s="20" t="s">
        <v>89</v>
      </c>
      <c r="Q206" s="20" t="s">
        <v>90</v>
      </c>
      <c r="R206" s="20" t="s">
        <v>91</v>
      </c>
      <c r="S206" s="20" t="s">
        <v>92</v>
      </c>
      <c r="T206" s="20" t="s">
        <v>123</v>
      </c>
      <c r="U206" s="20" t="s">
        <v>124</v>
      </c>
      <c r="V206" s="20" t="s">
        <v>95</v>
      </c>
      <c r="W206" s="20" t="s">
        <v>96</v>
      </c>
      <c r="X206" s="20" t="s">
        <v>97</v>
      </c>
      <c r="Y206" s="20" t="s">
        <v>70</v>
      </c>
      <c r="Z206" s="20" t="s">
        <v>98</v>
      </c>
      <c r="AA206" s="20" t="s">
        <v>1451</v>
      </c>
      <c r="AB206" s="20" t="s">
        <v>1451</v>
      </c>
      <c r="AC206" s="20" t="s">
        <v>1451</v>
      </c>
      <c r="AD206" s="20" t="s">
        <v>1451</v>
      </c>
      <c r="AE206" s="20"/>
      <c r="AF206" s="9" t="n">
        <v>1</v>
      </c>
      <c r="AG206" s="12" t="n">
        <v>1</v>
      </c>
      <c r="AH206" s="22" t="s">
        <v>235</v>
      </c>
      <c r="AI206" s="12" t="str">
        <f>IF(AH206="","",IFERROR(RIGHT("0000"&amp;AH206,4)&amp;" - "&amp;UPPER(_xlfn.XLOOKUP(RIGHT("0000"&amp;AH206,4),CODEBOOK_CAP!$C$2:$C$212,CODEBOOK_CAP!$D$2:$D$212)),"Código CAP não encontrado"))</f>
        <v>0322 - ESTRUTURAS, HOSPITAIS, CLÍNICAS</v>
      </c>
      <c r="AJ206" s="12" t="str">
        <f>IF(AH206="","",IFERROR(_xlfn.XLOOKUP(RIGHT("0000"&amp;AH206,4),CODEBOOK_CAP!$C$2:$C$212,CODEBOOK_CAP!$E$2:$E$212),"Código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06" s="22" t="s">
        <v>77</v>
      </c>
      <c r="AL206" s="26"/>
      <c r="AM206" s="22" t="s">
        <v>79</v>
      </c>
      <c r="AN206" s="22" t="s">
        <v>79</v>
      </c>
      <c r="AO206" s="12" t="s">
        <v>985</v>
      </c>
      <c r="AP206" s="22" t="s">
        <v>77</v>
      </c>
      <c r="AQ206" s="12"/>
      <c r="AR206" s="22" t="s">
        <v>77</v>
      </c>
      <c r="AS206" s="10"/>
      <c r="AT206" s="2" t="s">
        <v>82</v>
      </c>
      <c r="AU206" s="12" t="s">
        <v>83</v>
      </c>
      <c r="AV206" s="3" t="n">
        <v>46218</v>
      </c>
      <c r="AW206" s="21"/>
      <c r="AY206" s="1"/>
      <c r="BA206" s="1"/>
      <c r="BB206" s="1"/>
    </row>
    <row r="207" ht="120" customHeight="1">
      <c r="A207" s="20" t="s">
        <v>1460</v>
      </c>
      <c r="B207" s="20" t="n">
        <v>2023</v>
      </c>
      <c r="C207" s="20" t="n">
        <v>152</v>
      </c>
      <c r="D207" s="20" t="s">
        <v>50</v>
      </c>
      <c r="E207" s="20" t="s">
        <v>1448</v>
      </c>
      <c r="F207" s="20" t="s">
        <v>1461</v>
      </c>
      <c r="G207" s="20" t="s">
        <v>86</v>
      </c>
      <c r="H207" s="20" t="s">
        <v>1449</v>
      </c>
      <c r="I207" s="20"/>
      <c r="J207" s="20" t="s">
        <v>1462</v>
      </c>
      <c r="K207" s="20" t="s">
        <v>122</v>
      </c>
      <c r="L207" s="20" t="s">
        <v>57</v>
      </c>
      <c r="M207" s="20" t="s">
        <v>58</v>
      </c>
      <c r="N207" s="20" t="s">
        <v>59</v>
      </c>
      <c r="O207" s="20" t="s">
        <v>60</v>
      </c>
      <c r="P207" s="20" t="s">
        <v>89</v>
      </c>
      <c r="Q207" s="20" t="s">
        <v>90</v>
      </c>
      <c r="R207" s="20" t="s">
        <v>91</v>
      </c>
      <c r="S207" s="20" t="s">
        <v>92</v>
      </c>
      <c r="T207" s="20" t="s">
        <v>123</v>
      </c>
      <c r="U207" s="20" t="s">
        <v>124</v>
      </c>
      <c r="V207" s="20" t="s">
        <v>95</v>
      </c>
      <c r="W207" s="20" t="s">
        <v>96</v>
      </c>
      <c r="X207" s="20" t="s">
        <v>97</v>
      </c>
      <c r="Y207" s="20" t="s">
        <v>70</v>
      </c>
      <c r="Z207" s="20" t="s">
        <v>98</v>
      </c>
      <c r="AA207" s="20" t="s">
        <v>125</v>
      </c>
      <c r="AB207" s="20" t="s">
        <v>125</v>
      </c>
      <c r="AC207" s="20" t="s">
        <v>125</v>
      </c>
      <c r="AD207" s="20" t="s">
        <v>125</v>
      </c>
      <c r="AE207" s="20"/>
      <c r="AF207" s="9" t="n">
        <v>1</v>
      </c>
      <c r="AG207" s="12" t="n">
        <v>1</v>
      </c>
      <c r="AH207" s="22" t="s">
        <v>235</v>
      </c>
      <c r="AI207" s="12" t="str">
        <f>IF(AH207="","",IFERROR(RIGHT("0000"&amp;AH207,4)&amp;" - "&amp;UPPER(_xlfn.XLOOKUP(RIGHT("0000"&amp;AH207,4),CODEBOOK_CAP!$C$2:$C$212,CODEBOOK_CAP!$D$2:$D$212)),"Código CAP não encontrado"))</f>
        <v>0322 - ESTRUTURAS, HOSPITAIS, CLÍNICAS</v>
      </c>
      <c r="AJ207" s="12" t="str">
        <f>IF(AH207="","",IFERROR(_xlfn.XLOOKUP(RIGHT("0000"&amp;AH207,4),CODEBOOK_CAP!$C$2:$C$212,CODEBOOK_CAP!$E$2:$E$212),"Código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07" s="22" t="s">
        <v>77</v>
      </c>
      <c r="AL207" s="26"/>
      <c r="AM207" s="22" t="s">
        <v>79</v>
      </c>
      <c r="AN207" s="22" t="s">
        <v>79</v>
      </c>
      <c r="AO207" s="12" t="s">
        <v>1002</v>
      </c>
      <c r="AP207" s="22" t="s">
        <v>77</v>
      </c>
      <c r="AQ207" s="12"/>
      <c r="AR207" s="22" t="s">
        <v>77</v>
      </c>
      <c r="AS207" s="10"/>
      <c r="AT207" s="2" t="s">
        <v>82</v>
      </c>
      <c r="AU207" s="12" t="s">
        <v>83</v>
      </c>
      <c r="AV207" s="3" t="n">
        <v>46218</v>
      </c>
      <c r="AW207" s="21"/>
      <c r="AY207" s="1"/>
      <c r="BA207" s="1"/>
      <c r="BB207" s="1"/>
    </row>
    <row r="208" ht="120" customHeight="1">
      <c r="A208" s="20" t="s">
        <v>1463</v>
      </c>
      <c r="B208" s="20" t="n">
        <v>2023</v>
      </c>
      <c r="C208" s="20" t="n">
        <v>153</v>
      </c>
      <c r="D208" s="20" t="s">
        <v>50</v>
      </c>
      <c r="E208" s="20" t="s">
        <v>1448</v>
      </c>
      <c r="F208" s="20" t="s">
        <v>1464</v>
      </c>
      <c r="G208" s="20" t="s">
        <v>86</v>
      </c>
      <c r="H208" s="20" t="s">
        <v>1449</v>
      </c>
      <c r="I208" s="20"/>
      <c r="J208" s="20" t="s">
        <v>1465</v>
      </c>
      <c r="K208" s="20" t="s">
        <v>416</v>
      </c>
      <c r="L208" s="20" t="s">
        <v>57</v>
      </c>
      <c r="M208" s="20" t="s">
        <v>58</v>
      </c>
      <c r="N208" s="20" t="s">
        <v>59</v>
      </c>
      <c r="O208" s="20" t="s">
        <v>60</v>
      </c>
      <c r="P208" s="20" t="s">
        <v>89</v>
      </c>
      <c r="Q208" s="20" t="s">
        <v>90</v>
      </c>
      <c r="R208" s="20" t="s">
        <v>91</v>
      </c>
      <c r="S208" s="20" t="s">
        <v>92</v>
      </c>
      <c r="T208" s="20" t="s">
        <v>123</v>
      </c>
      <c r="U208" s="20" t="s">
        <v>124</v>
      </c>
      <c r="V208" s="20" t="s">
        <v>417</v>
      </c>
      <c r="W208" s="20" t="s">
        <v>96</v>
      </c>
      <c r="X208" s="20" t="s">
        <v>97</v>
      </c>
      <c r="Y208" s="20" t="s">
        <v>70</v>
      </c>
      <c r="Z208" s="20" t="s">
        <v>98</v>
      </c>
      <c r="AA208" s="20" t="s">
        <v>125</v>
      </c>
      <c r="AB208" s="20" t="s">
        <v>125</v>
      </c>
      <c r="AC208" s="20" t="s">
        <v>125</v>
      </c>
      <c r="AD208" s="20" t="s">
        <v>125</v>
      </c>
      <c r="AE208" s="20"/>
      <c r="AF208" s="9" t="n">
        <v>1</v>
      </c>
      <c r="AG208" s="12" t="n">
        <v>1</v>
      </c>
      <c r="AH208" s="22" t="s">
        <v>235</v>
      </c>
      <c r="AI208" s="12" t="str">
        <f>IF(AH208="","",IFERROR(RIGHT("0000"&amp;AH208,4)&amp;" - "&amp;UPPER(_xlfn.XLOOKUP(RIGHT("0000"&amp;AH208,4),CODEBOOK_CAP!$C$2:$C$212,CODEBOOK_CAP!$D$2:$D$212)),"Código CAP não encontrado"))</f>
        <v>0322 - ESTRUTURAS, HOSPITAIS, CLÍNICAS</v>
      </c>
      <c r="AJ208" s="12" t="str">
        <f>IF(AH208="","",IFERROR(_xlfn.XLOOKUP(RIGHT("0000"&amp;AH208,4),CODEBOOK_CAP!$C$2:$C$212,CODEBOOK_CAP!$E$2:$E$212),"Código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08" s="22" t="s">
        <v>77</v>
      </c>
      <c r="AL208" s="26"/>
      <c r="AM208" s="22" t="s">
        <v>79</v>
      </c>
      <c r="AN208" s="22" t="s">
        <v>79</v>
      </c>
      <c r="AO208" s="12" t="s">
        <v>1466</v>
      </c>
      <c r="AP208" s="22" t="s">
        <v>79</v>
      </c>
      <c r="AQ208" s="12" t="s">
        <v>622</v>
      </c>
      <c r="AR208" s="22" t="s">
        <v>77</v>
      </c>
      <c r="AS208" s="10"/>
      <c r="AT208" s="2" t="s">
        <v>82</v>
      </c>
      <c r="AU208" s="12" t="s">
        <v>83</v>
      </c>
      <c r="AV208" s="3" t="n">
        <v>46218</v>
      </c>
      <c r="AW208" s="21"/>
      <c r="AY208" s="1"/>
      <c r="BA208" s="1"/>
      <c r="BB208" s="1"/>
    </row>
    <row r="209" ht="150" customHeight="1">
      <c r="A209" s="20" t="s">
        <v>1467</v>
      </c>
      <c r="B209" s="20" t="n">
        <v>2023</v>
      </c>
      <c r="C209" s="20" t="n">
        <v>154</v>
      </c>
      <c r="D209" s="20" t="s">
        <v>50</v>
      </c>
      <c r="E209" s="20" t="s">
        <v>1448</v>
      </c>
      <c r="F209" s="20" t="s">
        <v>1468</v>
      </c>
      <c r="G209" s="20" t="s">
        <v>86</v>
      </c>
      <c r="H209" s="20" t="s">
        <v>1449</v>
      </c>
      <c r="I209" s="20"/>
      <c r="J209" s="20" t="s">
        <v>1469</v>
      </c>
      <c r="K209" s="20" t="s">
        <v>122</v>
      </c>
      <c r="L209" s="20" t="s">
        <v>57</v>
      </c>
      <c r="M209" s="20" t="s">
        <v>58</v>
      </c>
      <c r="N209" s="20" t="s">
        <v>59</v>
      </c>
      <c r="O209" s="20" t="s">
        <v>60</v>
      </c>
      <c r="P209" s="20" t="s">
        <v>89</v>
      </c>
      <c r="Q209" s="20" t="s">
        <v>90</v>
      </c>
      <c r="R209" s="20" t="s">
        <v>91</v>
      </c>
      <c r="S209" s="20" t="s">
        <v>92</v>
      </c>
      <c r="T209" s="20" t="s">
        <v>123</v>
      </c>
      <c r="U209" s="20" t="s">
        <v>124</v>
      </c>
      <c r="V209" s="20" t="s">
        <v>95</v>
      </c>
      <c r="W209" s="20" t="s">
        <v>96</v>
      </c>
      <c r="X209" s="20" t="s">
        <v>97</v>
      </c>
      <c r="Y209" s="20" t="s">
        <v>70</v>
      </c>
      <c r="Z209" s="20" t="s">
        <v>98</v>
      </c>
      <c r="AA209" s="20" t="s">
        <v>1470</v>
      </c>
      <c r="AB209" s="20" t="s">
        <v>1470</v>
      </c>
      <c r="AC209" s="20" t="s">
        <v>1470</v>
      </c>
      <c r="AD209" s="20" t="s">
        <v>1470</v>
      </c>
      <c r="AE209" s="20"/>
      <c r="AF209" s="9" t="n">
        <v>1</v>
      </c>
      <c r="AG209" s="12" t="n">
        <v>1</v>
      </c>
      <c r="AH209" s="22" t="s">
        <v>620</v>
      </c>
      <c r="AI209" s="12" t="str">
        <f>IF(AH209="","",IFERROR(RIGHT("0000"&amp;AH209,4)&amp;" - "&amp;UPPER(_xlfn.XLOOKUP(RIGHT("0000"&amp;AH209,4),CODEBOOK_CAP!$C$2:$C$212,CODEBOOK_CAP!$D$2:$D$212)),"Código CAP não encontrado"))</f>
        <v>0332 - SAÚDE INFANTIL, GRAVIDEZ E PRÉ-NATAL</v>
      </c>
      <c r="AJ209" s="12" t="str">
        <f>IF(AH209="","",IFERROR(_xlfn.XLOOKUP(RIGHT("0000"&amp;AH209,4),CODEBOOK_CAP!$C$2:$C$212,CODEBOOK_CAP!$E$2:$E$212),"Código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09" s="22" t="s">
        <v>77</v>
      </c>
      <c r="AL209" s="26"/>
      <c r="AM209" s="22" t="s">
        <v>79</v>
      </c>
      <c r="AN209" s="22" t="s">
        <v>79</v>
      </c>
      <c r="AO209" s="12" t="s">
        <v>1041</v>
      </c>
      <c r="AP209" s="22" t="s">
        <v>79</v>
      </c>
      <c r="AQ209" s="12" t="s">
        <v>622</v>
      </c>
      <c r="AR209" s="22" t="s">
        <v>77</v>
      </c>
      <c r="AS209" s="10"/>
      <c r="AT209" s="2" t="s">
        <v>82</v>
      </c>
      <c r="AU209" s="12" t="s">
        <v>83</v>
      </c>
      <c r="AV209" s="3" t="n">
        <v>46218</v>
      </c>
      <c r="AW209" s="21"/>
      <c r="AY209" s="1"/>
      <c r="BA209" s="1"/>
      <c r="BB209" s="1"/>
    </row>
    <row r="210" ht="120" customHeight="1">
      <c r="A210" s="20" t="s">
        <v>1471</v>
      </c>
      <c r="B210" s="20" t="n">
        <v>2023</v>
      </c>
      <c r="C210" s="20" t="n">
        <v>155</v>
      </c>
      <c r="D210" s="20" t="s">
        <v>50</v>
      </c>
      <c r="E210" s="20" t="s">
        <v>1448</v>
      </c>
      <c r="F210" s="20" t="s">
        <v>1472</v>
      </c>
      <c r="G210" s="20" t="s">
        <v>86</v>
      </c>
      <c r="H210" s="20" t="s">
        <v>1449</v>
      </c>
      <c r="I210" s="20"/>
      <c r="J210" s="20" t="s">
        <v>1473</v>
      </c>
      <c r="K210" s="20" t="s">
        <v>122</v>
      </c>
      <c r="L210" s="20" t="s">
        <v>57</v>
      </c>
      <c r="M210" s="20" t="s">
        <v>58</v>
      </c>
      <c r="N210" s="20" t="s">
        <v>59</v>
      </c>
      <c r="O210" s="20" t="s">
        <v>60</v>
      </c>
      <c r="P210" s="20" t="s">
        <v>89</v>
      </c>
      <c r="Q210" s="20" t="s">
        <v>90</v>
      </c>
      <c r="R210" s="20" t="s">
        <v>91</v>
      </c>
      <c r="S210" s="20" t="s">
        <v>92</v>
      </c>
      <c r="T210" s="20" t="s">
        <v>123</v>
      </c>
      <c r="U210" s="20" t="s">
        <v>124</v>
      </c>
      <c r="V210" s="20" t="s">
        <v>95</v>
      </c>
      <c r="W210" s="20" t="s">
        <v>96</v>
      </c>
      <c r="X210" s="20" t="s">
        <v>97</v>
      </c>
      <c r="Y210" s="20" t="s">
        <v>70</v>
      </c>
      <c r="Z210" s="20" t="s">
        <v>98</v>
      </c>
      <c r="AA210" s="20" t="s">
        <v>1474</v>
      </c>
      <c r="AB210" s="20" t="s">
        <v>1474</v>
      </c>
      <c r="AC210" s="20" t="s">
        <v>1474</v>
      </c>
      <c r="AD210" s="20" t="s">
        <v>1474</v>
      </c>
      <c r="AE210" s="20"/>
      <c r="AF210" s="9" t="n">
        <v>1</v>
      </c>
      <c r="AG210" s="12" t="n">
        <v>1</v>
      </c>
      <c r="AH210" s="22" t="s">
        <v>235</v>
      </c>
      <c r="AI210" s="12" t="str">
        <f>IF(AH210="","",IFERROR(RIGHT("0000"&amp;AH210,4)&amp;" - "&amp;UPPER(_xlfn.XLOOKUP(RIGHT("0000"&amp;AH210,4),CODEBOOK_CAP!$C$2:$C$212,CODEBOOK_CAP!$D$2:$D$212)),"Código CAP não encontrado"))</f>
        <v>0322 - ESTRUTURAS, HOSPITAIS, CLÍNICAS</v>
      </c>
      <c r="AJ210" s="12" t="str">
        <f>IF(AH210="","",IFERROR(_xlfn.XLOOKUP(RIGHT("0000"&amp;AH210,4),CODEBOOK_CAP!$C$2:$C$212,CODEBOOK_CAP!$E$2:$E$212),"Código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0" s="22" t="s">
        <v>77</v>
      </c>
      <c r="AL210" s="26"/>
      <c r="AM210" s="22" t="s">
        <v>79</v>
      </c>
      <c r="AN210" s="22" t="s">
        <v>79</v>
      </c>
      <c r="AO210" s="12" t="s">
        <v>1475</v>
      </c>
      <c r="AP210" s="22" t="s">
        <v>77</v>
      </c>
      <c r="AQ210" s="12"/>
      <c r="AR210" s="22" t="s">
        <v>77</v>
      </c>
      <c r="AS210" s="10"/>
      <c r="AT210" s="2" t="s">
        <v>82</v>
      </c>
      <c r="AU210" s="12" t="s">
        <v>83</v>
      </c>
      <c r="AV210" s="3" t="n">
        <v>46218</v>
      </c>
      <c r="AW210" s="21"/>
      <c r="AY210" s="1"/>
      <c r="BA210" s="1"/>
      <c r="BB210" s="1"/>
    </row>
    <row r="211" ht="120" customHeight="1">
      <c r="A211" s="20" t="s">
        <v>1476</v>
      </c>
      <c r="B211" s="20" t="n">
        <v>2023</v>
      </c>
      <c r="C211" s="20" t="n">
        <v>208</v>
      </c>
      <c r="D211" s="20" t="s">
        <v>50</v>
      </c>
      <c r="E211" s="20" t="s">
        <v>1448</v>
      </c>
      <c r="F211" s="20" t="s">
        <v>1477</v>
      </c>
      <c r="G211" s="20" t="s">
        <v>86</v>
      </c>
      <c r="H211" s="20" t="s">
        <v>1449</v>
      </c>
      <c r="I211" s="20"/>
      <c r="J211" s="20" t="s">
        <v>1478</v>
      </c>
      <c r="K211" s="20" t="s">
        <v>122</v>
      </c>
      <c r="L211" s="20" t="s">
        <v>57</v>
      </c>
      <c r="M211" s="20" t="s">
        <v>58</v>
      </c>
      <c r="N211" s="20" t="s">
        <v>59</v>
      </c>
      <c r="O211" s="20" t="s">
        <v>60</v>
      </c>
      <c r="P211" s="20" t="s">
        <v>89</v>
      </c>
      <c r="Q211" s="20" t="s">
        <v>90</v>
      </c>
      <c r="R211" s="20" t="s">
        <v>91</v>
      </c>
      <c r="S211" s="20" t="s">
        <v>92</v>
      </c>
      <c r="T211" s="20" t="s">
        <v>123</v>
      </c>
      <c r="U211" s="20" t="s">
        <v>124</v>
      </c>
      <c r="V211" s="20" t="s">
        <v>95</v>
      </c>
      <c r="W211" s="20" t="s">
        <v>96</v>
      </c>
      <c r="X211" s="20" t="s">
        <v>97</v>
      </c>
      <c r="Y211" s="20" t="s">
        <v>70</v>
      </c>
      <c r="Z211" s="20" t="s">
        <v>98</v>
      </c>
      <c r="AA211" s="20" t="s">
        <v>1451</v>
      </c>
      <c r="AB211" s="20" t="s">
        <v>1451</v>
      </c>
      <c r="AC211" s="20" t="s">
        <v>1451</v>
      </c>
      <c r="AD211" s="20" t="s">
        <v>1451</v>
      </c>
      <c r="AE211" s="20"/>
      <c r="AF211" s="9" t="n">
        <v>1</v>
      </c>
      <c r="AG211" s="12" t="n">
        <v>1</v>
      </c>
      <c r="AH211" s="22" t="s">
        <v>235</v>
      </c>
      <c r="AI211" s="12" t="str">
        <f>IF(AH211="","",IFERROR(RIGHT("0000"&amp;AH211,4)&amp;" - "&amp;UPPER(_xlfn.XLOOKUP(RIGHT("0000"&amp;AH211,4),CODEBOOK_CAP!$C$2:$C$212,CODEBOOK_CAP!$D$2:$D$212)),"Código CAP não encontrado"))</f>
        <v>0322 - ESTRUTURAS, HOSPITAIS, CLÍNICAS</v>
      </c>
      <c r="AJ211" s="12" t="str">
        <f>IF(AH211="","",IFERROR(_xlfn.XLOOKUP(RIGHT("0000"&amp;AH211,4),CODEBOOK_CAP!$C$2:$C$212,CODEBOOK_CAP!$E$2:$E$212),"Código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11" s="22" t="s">
        <v>77</v>
      </c>
      <c r="AL211" s="26"/>
      <c r="AM211" s="22" t="s">
        <v>79</v>
      </c>
      <c r="AN211" s="22" t="s">
        <v>79</v>
      </c>
      <c r="AO211" s="12" t="s">
        <v>840</v>
      </c>
      <c r="AP211" s="22" t="s">
        <v>77</v>
      </c>
      <c r="AQ211" s="12"/>
      <c r="AR211" s="22" t="s">
        <v>77</v>
      </c>
      <c r="AS211" s="10"/>
      <c r="AT211" s="2" t="s">
        <v>82</v>
      </c>
      <c r="AU211" s="12" t="s">
        <v>83</v>
      </c>
      <c r="AV211" s="3" t="n">
        <v>46218</v>
      </c>
      <c r="AW211" s="21"/>
      <c r="AY211" s="1"/>
      <c r="BA211" s="1"/>
      <c r="BB211" s="1"/>
    </row>
    <row r="212" ht="75" customHeight="1">
      <c r="A212" s="20" t="s">
        <v>1479</v>
      </c>
      <c r="B212" s="20" t="n">
        <v>2023</v>
      </c>
      <c r="C212" s="20" t="n">
        <v>209</v>
      </c>
      <c r="D212" s="20" t="s">
        <v>50</v>
      </c>
      <c r="E212" s="20" t="s">
        <v>1448</v>
      </c>
      <c r="F212" s="20" t="s">
        <v>1480</v>
      </c>
      <c r="G212" s="20" t="s">
        <v>53</v>
      </c>
      <c r="H212" s="20" t="s">
        <v>1449</v>
      </c>
      <c r="I212" s="20"/>
      <c r="J212" s="20" t="s">
        <v>1481</v>
      </c>
      <c r="K212" s="20" t="s">
        <v>299</v>
      </c>
      <c r="L212" s="20" t="s">
        <v>208</v>
      </c>
      <c r="M212" s="20" t="s">
        <v>209</v>
      </c>
      <c r="N212" s="20" t="s">
        <v>210</v>
      </c>
      <c r="O212" s="20" t="s">
        <v>211</v>
      </c>
      <c r="P212" s="20" t="s">
        <v>212</v>
      </c>
      <c r="Q212" s="20" t="s">
        <v>213</v>
      </c>
      <c r="R212" s="20" t="s">
        <v>251</v>
      </c>
      <c r="S212" s="20" t="s">
        <v>252</v>
      </c>
      <c r="T212" s="20" t="s">
        <v>300</v>
      </c>
      <c r="U212" s="20" t="s">
        <v>301</v>
      </c>
      <c r="V212" s="20" t="s">
        <v>67</v>
      </c>
      <c r="W212" s="20" t="s">
        <v>68</v>
      </c>
      <c r="X212" s="20" t="s">
        <v>69</v>
      </c>
      <c r="Y212" s="20" t="s">
        <v>70</v>
      </c>
      <c r="Z212" s="20" t="s">
        <v>177</v>
      </c>
      <c r="AA212" s="20" t="s">
        <v>160</v>
      </c>
      <c r="AB212" s="20" t="s">
        <v>77</v>
      </c>
      <c r="AC212" s="20" t="s">
        <v>77</v>
      </c>
      <c r="AD212" s="20" t="s">
        <v>77</v>
      </c>
      <c r="AE212" s="20"/>
      <c r="AF212" s="9" t="n">
        <v>0</v>
      </c>
      <c r="AG212" s="12" t="n">
        <v>0</v>
      </c>
      <c r="AH212" s="22" t="s">
        <v>304</v>
      </c>
      <c r="AI212" s="12" t="str">
        <f>IF(AH212="","",IFERROR(RIGHT("0000"&amp;AH212,4)&amp;" - "&amp;UPPER(_xlfn.XLOOKUP(RIGHT("0000"&amp;AH212,4),CODEBOOK_CAP!$C$2:$C$212,CODEBOOK_CAP!$D$2:$D$212)),"Código CAP não encontrado"))</f>
        <v>1403 - REABILITAÇÃO URBANA, ECONOMIA URBANA</v>
      </c>
      <c r="AJ212" s="12" t="str">
        <f>IF(AH212="","",IFERROR(_xlfn.XLOOKUP(RIGHT("0000"&amp;AH212,4),CODEBOOK_CAP!$C$2:$C$212,CODEBOOK_CAP!$E$2:$E$212),"Código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12" s="22" t="s">
        <v>79</v>
      </c>
      <c r="AL212" s="26" t="s">
        <v>1482</v>
      </c>
      <c r="AM212" s="22" t="s">
        <v>79</v>
      </c>
      <c r="AN212" s="22" t="s">
        <v>79</v>
      </c>
      <c r="AO212" s="26" t="s">
        <v>1482</v>
      </c>
      <c r="AP212" s="22" t="s">
        <v>77</v>
      </c>
      <c r="AQ212" s="12"/>
      <c r="AR212" s="22" t="s">
        <v>77</v>
      </c>
      <c r="AS212" s="10"/>
      <c r="AT212" s="2" t="s">
        <v>82</v>
      </c>
      <c r="AU212" s="12" t="s">
        <v>83</v>
      </c>
      <c r="AV212" s="3" t="n">
        <v>46218</v>
      </c>
      <c r="AW212" s="21"/>
      <c r="AY212" s="1"/>
      <c r="BA212" s="1"/>
      <c r="BB212" s="1"/>
    </row>
    <row r="213" ht="75" customHeight="1">
      <c r="A213" s="20" t="s">
        <v>1483</v>
      </c>
      <c r="B213" s="20" t="n">
        <v>2023</v>
      </c>
      <c r="C213" s="20" t="n">
        <v>210</v>
      </c>
      <c r="D213" s="20" t="s">
        <v>50</v>
      </c>
      <c r="E213" s="20" t="s">
        <v>1448</v>
      </c>
      <c r="F213" s="20" t="s">
        <v>1484</v>
      </c>
      <c r="G213" s="20" t="s">
        <v>315</v>
      </c>
      <c r="H213" s="20" t="s">
        <v>1449</v>
      </c>
      <c r="I213" s="20"/>
      <c r="J213" s="20" t="s">
        <v>1485</v>
      </c>
      <c r="K213" s="20" t="s">
        <v>299</v>
      </c>
      <c r="L213" s="20" t="s">
        <v>208</v>
      </c>
      <c r="M213" s="20" t="s">
        <v>209</v>
      </c>
      <c r="N213" s="20" t="s">
        <v>210</v>
      </c>
      <c r="O213" s="20" t="s">
        <v>211</v>
      </c>
      <c r="P213" s="20" t="s">
        <v>212</v>
      </c>
      <c r="Q213" s="20" t="s">
        <v>213</v>
      </c>
      <c r="R213" s="20" t="s">
        <v>251</v>
      </c>
      <c r="S213" s="20" t="s">
        <v>252</v>
      </c>
      <c r="T213" s="20" t="s">
        <v>300</v>
      </c>
      <c r="U213" s="20" t="s">
        <v>301</v>
      </c>
      <c r="V213" s="20" t="s">
        <v>67</v>
      </c>
      <c r="W213" s="20" t="s">
        <v>68</v>
      </c>
      <c r="X213" s="20" t="s">
        <v>69</v>
      </c>
      <c r="Y213" s="20" t="s">
        <v>70</v>
      </c>
      <c r="Z213" s="20" t="s">
        <v>177</v>
      </c>
      <c r="AA213" s="20" t="s">
        <v>343</v>
      </c>
      <c r="AB213" s="20" t="s">
        <v>1486</v>
      </c>
      <c r="AC213" s="20" t="s">
        <v>77</v>
      </c>
      <c r="AD213" s="20" t="s">
        <v>77</v>
      </c>
      <c r="AE213" s="20"/>
      <c r="AF213" s="9" t="n">
        <v>0</v>
      </c>
      <c r="AG213" s="12" t="n">
        <v>0</v>
      </c>
      <c r="AH213" s="22" t="s">
        <v>304</v>
      </c>
      <c r="AI213" s="12" t="str">
        <f>IF(AH213="","",IFERROR(RIGHT("0000"&amp;AH213,4)&amp;" - "&amp;UPPER(_xlfn.XLOOKUP(RIGHT("0000"&amp;AH213,4),CODEBOOK_CAP!$C$2:$C$212,CODEBOOK_CAP!$D$2:$D$212)),"Código CAP não encontrado"))</f>
        <v>1403 - REABILITAÇÃO URBANA, ECONOMIA URBANA</v>
      </c>
      <c r="AJ213" s="12" t="str">
        <f>IF(AH213="","",IFERROR(_xlfn.XLOOKUP(RIGHT("0000"&amp;AH213,4),CODEBOOK_CAP!$C$2:$C$212,CODEBOOK_CAP!$E$2:$E$212),"Código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13" s="22" t="s">
        <v>79</v>
      </c>
      <c r="AL213" s="26" t="s">
        <v>1487</v>
      </c>
      <c r="AM213" s="22" t="s">
        <v>79</v>
      </c>
      <c r="AN213" s="22" t="s">
        <v>79</v>
      </c>
      <c r="AO213" s="12" t="s">
        <v>1487</v>
      </c>
      <c r="AP213" s="22" t="s">
        <v>77</v>
      </c>
      <c r="AQ213" s="12"/>
      <c r="AR213" s="22" t="s">
        <v>77</v>
      </c>
      <c r="AS213" s="10"/>
      <c r="AT213" s="2" t="s">
        <v>82</v>
      </c>
      <c r="AU213" s="12" t="s">
        <v>83</v>
      </c>
      <c r="AV213" s="3" t="n">
        <v>46218</v>
      </c>
      <c r="AW213" s="21"/>
      <c r="AY213" s="1"/>
      <c r="BA213" s="1"/>
      <c r="BB213" s="1"/>
    </row>
    <row r="214" ht="75" customHeight="1">
      <c r="A214" s="20" t="s">
        <v>1488</v>
      </c>
      <c r="B214" s="20" t="n">
        <v>2023</v>
      </c>
      <c r="C214" s="20" t="n">
        <v>211</v>
      </c>
      <c r="D214" s="20" t="s">
        <v>50</v>
      </c>
      <c r="E214" s="20" t="s">
        <v>1448</v>
      </c>
      <c r="F214" s="20" t="s">
        <v>1489</v>
      </c>
      <c r="G214" s="20" t="s">
        <v>53</v>
      </c>
      <c r="H214" s="20" t="s">
        <v>1449</v>
      </c>
      <c r="I214" s="20"/>
      <c r="J214" s="20" t="s">
        <v>1490</v>
      </c>
      <c r="K214" s="20" t="s">
        <v>299</v>
      </c>
      <c r="L214" s="20" t="s">
        <v>208</v>
      </c>
      <c r="M214" s="20" t="s">
        <v>209</v>
      </c>
      <c r="N214" s="20" t="s">
        <v>210</v>
      </c>
      <c r="O214" s="20" t="s">
        <v>211</v>
      </c>
      <c r="P214" s="20" t="s">
        <v>212</v>
      </c>
      <c r="Q214" s="20" t="s">
        <v>213</v>
      </c>
      <c r="R214" s="20" t="s">
        <v>251</v>
      </c>
      <c r="S214" s="20" t="s">
        <v>252</v>
      </c>
      <c r="T214" s="20" t="s">
        <v>300</v>
      </c>
      <c r="U214" s="20" t="s">
        <v>301</v>
      </c>
      <c r="V214" s="20" t="s">
        <v>67</v>
      </c>
      <c r="W214" s="20" t="s">
        <v>68</v>
      </c>
      <c r="X214" s="20" t="s">
        <v>69</v>
      </c>
      <c r="Y214" s="20" t="s">
        <v>70</v>
      </c>
      <c r="Z214" s="20" t="s">
        <v>177</v>
      </c>
      <c r="AA214" s="20" t="s">
        <v>343</v>
      </c>
      <c r="AB214" s="20" t="s">
        <v>77</v>
      </c>
      <c r="AC214" s="20" t="s">
        <v>77</v>
      </c>
      <c r="AD214" s="20" t="s">
        <v>77</v>
      </c>
      <c r="AE214" s="20"/>
      <c r="AF214" s="9" t="n">
        <v>0</v>
      </c>
      <c r="AG214" s="12" t="n">
        <v>0</v>
      </c>
      <c r="AH214" s="22" t="s">
        <v>304</v>
      </c>
      <c r="AI214" s="12" t="str">
        <f>IF(AH214="","",IFERROR(RIGHT("0000"&amp;AH214,4)&amp;" - "&amp;UPPER(_xlfn.XLOOKUP(RIGHT("0000"&amp;AH214,4),CODEBOOK_CAP!$C$2:$C$212,CODEBOOK_CAP!$D$2:$D$212)),"Código CAP não encontrado"))</f>
        <v>1403 - REABILITAÇÃO URBANA, ECONOMIA URBANA</v>
      </c>
      <c r="AJ214" s="12" t="str">
        <f>IF(AH214="","",IFERROR(_xlfn.XLOOKUP(RIGHT("0000"&amp;AH214,4),CODEBOOK_CAP!$C$2:$C$212,CODEBOOK_CAP!$E$2:$E$212),"Código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14" s="22" t="s">
        <v>77</v>
      </c>
      <c r="AL214" s="26"/>
      <c r="AM214" s="22" t="s">
        <v>77</v>
      </c>
      <c r="AN214" s="22" t="s">
        <v>77</v>
      </c>
      <c r="AO214" s="12"/>
      <c r="AP214" s="22" t="s">
        <v>77</v>
      </c>
      <c r="AQ214" s="12"/>
      <c r="AR214" s="22" t="s">
        <v>77</v>
      </c>
      <c r="AS214" s="10"/>
      <c r="AT214" s="2" t="s">
        <v>82</v>
      </c>
      <c r="AU214" s="12" t="s">
        <v>83</v>
      </c>
      <c r="AV214" s="3" t="n">
        <v>46218</v>
      </c>
      <c r="AW214" s="21"/>
      <c r="AY214" s="1"/>
      <c r="BA214" s="1"/>
      <c r="BB214" s="1"/>
    </row>
    <row r="215" ht="75" customHeight="1">
      <c r="A215" s="20" t="s">
        <v>1491</v>
      </c>
      <c r="B215" s="20" t="n">
        <v>2023</v>
      </c>
      <c r="C215" s="20" t="n">
        <v>212</v>
      </c>
      <c r="D215" s="20" t="s">
        <v>50</v>
      </c>
      <c r="E215" s="20" t="s">
        <v>1448</v>
      </c>
      <c r="F215" s="20" t="s">
        <v>1492</v>
      </c>
      <c r="G215" s="20" t="s">
        <v>53</v>
      </c>
      <c r="H215" s="20" t="s">
        <v>1449</v>
      </c>
      <c r="I215" s="20"/>
      <c r="J215" s="20" t="s">
        <v>1493</v>
      </c>
      <c r="K215" s="20" t="s">
        <v>299</v>
      </c>
      <c r="L215" s="20" t="s">
        <v>208</v>
      </c>
      <c r="M215" s="20" t="s">
        <v>209</v>
      </c>
      <c r="N215" s="20" t="s">
        <v>210</v>
      </c>
      <c r="O215" s="20" t="s">
        <v>211</v>
      </c>
      <c r="P215" s="20" t="s">
        <v>212</v>
      </c>
      <c r="Q215" s="20" t="s">
        <v>213</v>
      </c>
      <c r="R215" s="20" t="s">
        <v>251</v>
      </c>
      <c r="S215" s="20" t="s">
        <v>252</v>
      </c>
      <c r="T215" s="20" t="s">
        <v>300</v>
      </c>
      <c r="U215" s="20" t="s">
        <v>301</v>
      </c>
      <c r="V215" s="20" t="s">
        <v>67</v>
      </c>
      <c r="W215" s="20" t="s">
        <v>68</v>
      </c>
      <c r="X215" s="20" t="s">
        <v>69</v>
      </c>
      <c r="Y215" s="20" t="s">
        <v>70</v>
      </c>
      <c r="Z215" s="20" t="s">
        <v>177</v>
      </c>
      <c r="AA215" s="20" t="s">
        <v>343</v>
      </c>
      <c r="AB215" s="20" t="s">
        <v>77</v>
      </c>
      <c r="AC215" s="20" t="s">
        <v>77</v>
      </c>
      <c r="AD215" s="20" t="s">
        <v>77</v>
      </c>
      <c r="AE215" s="20"/>
      <c r="AF215" s="9" t="n">
        <v>0</v>
      </c>
      <c r="AG215" s="12" t="n">
        <v>0</v>
      </c>
      <c r="AH215" s="22" t="s">
        <v>304</v>
      </c>
      <c r="AI215" s="12" t="str">
        <f>IF(AH215="","",IFERROR(RIGHT("0000"&amp;AH215,4)&amp;" - "&amp;UPPER(_xlfn.XLOOKUP(RIGHT("0000"&amp;AH215,4),CODEBOOK_CAP!$C$2:$C$212,CODEBOOK_CAP!$D$2:$D$212)),"Código CAP não encontrado"))</f>
        <v>1403 - REABILITAÇÃO URBANA, ECONOMIA URBANA</v>
      </c>
      <c r="AJ215" s="12" t="str">
        <f>IF(AH215="","",IFERROR(_xlfn.XLOOKUP(RIGHT("0000"&amp;AH215,4),CODEBOOK_CAP!$C$2:$C$212,CODEBOOK_CAP!$E$2:$E$212),"Código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15" s="22" t="s">
        <v>79</v>
      </c>
      <c r="AL215" s="26" t="s">
        <v>1494</v>
      </c>
      <c r="AM215" s="22" t="s">
        <v>79</v>
      </c>
      <c r="AN215" s="22" t="s">
        <v>79</v>
      </c>
      <c r="AO215" s="12" t="s">
        <v>1494</v>
      </c>
      <c r="AP215" s="22" t="s">
        <v>77</v>
      </c>
      <c r="AQ215" s="12"/>
      <c r="AR215" s="22" t="s">
        <v>77</v>
      </c>
      <c r="AS215" s="10"/>
      <c r="AT215" s="2" t="s">
        <v>82</v>
      </c>
      <c r="AU215" s="12" t="s">
        <v>83</v>
      </c>
      <c r="AV215" s="3" t="n">
        <v>46218</v>
      </c>
      <c r="AW215" s="21"/>
      <c r="AY215" s="1"/>
      <c r="BA215" s="1"/>
      <c r="BB215" s="1"/>
    </row>
    <row r="216" ht="75" customHeight="1">
      <c r="A216" s="20" t="s">
        <v>1495</v>
      </c>
      <c r="B216" s="20" t="n">
        <v>2023</v>
      </c>
      <c r="C216" s="20" t="n">
        <v>213</v>
      </c>
      <c r="D216" s="20" t="s">
        <v>50</v>
      </c>
      <c r="E216" s="20" t="s">
        <v>1448</v>
      </c>
      <c r="F216" s="20" t="s">
        <v>1496</v>
      </c>
      <c r="G216" s="20" t="s">
        <v>53</v>
      </c>
      <c r="H216" s="20" t="s">
        <v>1449</v>
      </c>
      <c r="I216" s="20"/>
      <c r="J216" s="20" t="s">
        <v>1497</v>
      </c>
      <c r="K216" s="20" t="s">
        <v>299</v>
      </c>
      <c r="L216" s="20" t="s">
        <v>208</v>
      </c>
      <c r="M216" s="20" t="s">
        <v>209</v>
      </c>
      <c r="N216" s="20" t="s">
        <v>210</v>
      </c>
      <c r="O216" s="20" t="s">
        <v>211</v>
      </c>
      <c r="P216" s="20" t="s">
        <v>212</v>
      </c>
      <c r="Q216" s="20" t="s">
        <v>213</v>
      </c>
      <c r="R216" s="20" t="s">
        <v>251</v>
      </c>
      <c r="S216" s="20" t="s">
        <v>252</v>
      </c>
      <c r="T216" s="20" t="s">
        <v>300</v>
      </c>
      <c r="U216" s="20" t="s">
        <v>301</v>
      </c>
      <c r="V216" s="20" t="s">
        <v>67</v>
      </c>
      <c r="W216" s="20" t="s">
        <v>68</v>
      </c>
      <c r="X216" s="20" t="s">
        <v>69</v>
      </c>
      <c r="Y216" s="20" t="s">
        <v>70</v>
      </c>
      <c r="Z216" s="20" t="s">
        <v>177</v>
      </c>
      <c r="AA216" s="20" t="s">
        <v>1498</v>
      </c>
      <c r="AB216" s="20" t="s">
        <v>77</v>
      </c>
      <c r="AC216" s="20" t="s">
        <v>77</v>
      </c>
      <c r="AD216" s="20" t="s">
        <v>77</v>
      </c>
      <c r="AE216" s="20"/>
      <c r="AF216" s="9" t="n">
        <v>0</v>
      </c>
      <c r="AG216" s="12" t="n">
        <v>0</v>
      </c>
      <c r="AH216" s="22" t="s">
        <v>464</v>
      </c>
      <c r="AI216" s="12" t="str">
        <f>IF(AH216="","",IFERROR(RIGHT("0000"&amp;AH216,4)&amp;" - "&amp;UPPER(_xlfn.XLOOKUP(RIGHT("0000"&amp;AH216,4),CODEBOOK_CAP!$C$2:$C$212,CODEBOOK_CAP!$D$2:$D$212)),"Código CAP não encontrado"))</f>
        <v>2101 - PARQUES PÚBLICOS E RESERVAS DE PRESERVAÇÃO</v>
      </c>
      <c r="AJ216" s="12" t="str">
        <f>IF(AH216="","",IFERROR(_xlfn.XLOOKUP(RIGHT("0000"&amp;AH216,4),CODEBOOK_CAP!$C$2:$C$212,CODEBOOK_CAP!$E$2:$E$212),"Código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216" s="22" t="s">
        <v>79</v>
      </c>
      <c r="AL216" s="26" t="s">
        <v>1499</v>
      </c>
      <c r="AM216" s="22" t="s">
        <v>79</v>
      </c>
      <c r="AN216" s="22" t="s">
        <v>79</v>
      </c>
      <c r="AO216" s="12" t="s">
        <v>1499</v>
      </c>
      <c r="AP216" s="22" t="s">
        <v>77</v>
      </c>
      <c r="AQ216" s="12"/>
      <c r="AR216" s="22" t="s">
        <v>77</v>
      </c>
      <c r="AS216" s="10"/>
      <c r="AT216" s="2" t="s">
        <v>82</v>
      </c>
      <c r="AU216" s="12" t="s">
        <v>83</v>
      </c>
      <c r="AV216" s="3" t="n">
        <v>46218</v>
      </c>
      <c r="AW216" s="21"/>
      <c r="AY216" s="1"/>
      <c r="BA216" s="1"/>
      <c r="BB216" s="1"/>
    </row>
    <row r="217" ht="75" customHeight="1">
      <c r="A217" s="20" t="s">
        <v>1500</v>
      </c>
      <c r="B217" s="20" t="n">
        <v>2023</v>
      </c>
      <c r="C217" s="20" t="n">
        <v>214</v>
      </c>
      <c r="D217" s="20" t="s">
        <v>50</v>
      </c>
      <c r="E217" s="20" t="s">
        <v>1448</v>
      </c>
      <c r="F217" s="20" t="s">
        <v>1501</v>
      </c>
      <c r="G217" s="20" t="s">
        <v>53</v>
      </c>
      <c r="H217" s="20" t="s">
        <v>1449</v>
      </c>
      <c r="I217" s="20"/>
      <c r="J217" s="20" t="s">
        <v>1502</v>
      </c>
      <c r="K217" s="20" t="s">
        <v>299</v>
      </c>
      <c r="L217" s="20" t="s">
        <v>208</v>
      </c>
      <c r="M217" s="20" t="s">
        <v>209</v>
      </c>
      <c r="N217" s="20" t="s">
        <v>210</v>
      </c>
      <c r="O217" s="20" t="s">
        <v>211</v>
      </c>
      <c r="P217" s="20" t="s">
        <v>212</v>
      </c>
      <c r="Q217" s="20" t="s">
        <v>213</v>
      </c>
      <c r="R217" s="20" t="s">
        <v>251</v>
      </c>
      <c r="S217" s="20" t="s">
        <v>252</v>
      </c>
      <c r="T217" s="20" t="s">
        <v>300</v>
      </c>
      <c r="U217" s="20" t="s">
        <v>301</v>
      </c>
      <c r="V217" s="20" t="s">
        <v>67</v>
      </c>
      <c r="W217" s="20" t="s">
        <v>68</v>
      </c>
      <c r="X217" s="20" t="s">
        <v>69</v>
      </c>
      <c r="Y217" s="20" t="s">
        <v>70</v>
      </c>
      <c r="Z217" s="20" t="s">
        <v>177</v>
      </c>
      <c r="AA217" s="20" t="s">
        <v>1503</v>
      </c>
      <c r="AB217" s="20" t="s">
        <v>77</v>
      </c>
      <c r="AC217" s="20" t="s">
        <v>77</v>
      </c>
      <c r="AD217" s="20" t="s">
        <v>77</v>
      </c>
      <c r="AE217" s="20"/>
      <c r="AF217" s="9" t="n">
        <v>0</v>
      </c>
      <c r="AG217" s="12" t="n">
        <v>0</v>
      </c>
      <c r="AH217" s="22" t="s">
        <v>464</v>
      </c>
      <c r="AI217" s="12" t="str">
        <f>IF(AH217="","",IFERROR(RIGHT("0000"&amp;AH217,4)&amp;" - "&amp;UPPER(_xlfn.XLOOKUP(RIGHT("0000"&amp;AH217,4),CODEBOOK_CAP!$C$2:$C$212,CODEBOOK_CAP!$D$2:$D$212)),"Código CAP não encontrado"))</f>
        <v>2101 - PARQUES PÚBLICOS E RESERVAS DE PRESERVAÇÃO</v>
      </c>
      <c r="AJ217" s="12" t="str">
        <f>IF(AH217="","",IFERROR(_xlfn.XLOOKUP(RIGHT("0000"&amp;AH217,4),CODEBOOK_CAP!$C$2:$C$212,CODEBOOK_CAP!$E$2:$E$212),"Código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217" s="22" t="s">
        <v>79</v>
      </c>
      <c r="AL217" s="26" t="s">
        <v>1504</v>
      </c>
      <c r="AM217" s="22" t="s">
        <v>79</v>
      </c>
      <c r="AN217" s="22" t="s">
        <v>79</v>
      </c>
      <c r="AO217" s="12" t="s">
        <v>1504</v>
      </c>
      <c r="AP217" s="22" t="s">
        <v>77</v>
      </c>
      <c r="AQ217" s="12"/>
      <c r="AR217" s="22" t="s">
        <v>77</v>
      </c>
      <c r="AS217" s="10"/>
      <c r="AT217" s="2" t="s">
        <v>82</v>
      </c>
      <c r="AU217" s="12" t="s">
        <v>83</v>
      </c>
      <c r="AV217" s="3" t="n">
        <v>46218</v>
      </c>
      <c r="AW217" s="21"/>
      <c r="AY217" s="1"/>
      <c r="BA217" s="1"/>
      <c r="BB217" s="1"/>
    </row>
    <row r="218" ht="255" customHeight="1">
      <c r="A218" s="20" t="s">
        <v>1505</v>
      </c>
      <c r="B218" s="20" t="n">
        <v>2023</v>
      </c>
      <c r="C218" s="20" t="n">
        <v>33</v>
      </c>
      <c r="D218" s="20" t="s">
        <v>50</v>
      </c>
      <c r="E218" s="20" t="s">
        <v>1506</v>
      </c>
      <c r="F218" s="20" t="s">
        <v>1507</v>
      </c>
      <c r="G218" s="20" t="s">
        <v>86</v>
      </c>
      <c r="H218" s="20" t="s">
        <v>1508</v>
      </c>
      <c r="I218" s="20"/>
      <c r="J218" s="20" t="s">
        <v>1509</v>
      </c>
      <c r="K218" s="20" t="s">
        <v>207</v>
      </c>
      <c r="L218" s="20" t="s">
        <v>208</v>
      </c>
      <c r="M218" s="20" t="s">
        <v>209</v>
      </c>
      <c r="N218" s="20" t="s">
        <v>210</v>
      </c>
      <c r="O218" s="20" t="s">
        <v>211</v>
      </c>
      <c r="P218" s="20" t="s">
        <v>212</v>
      </c>
      <c r="Q218" s="20" t="s">
        <v>213</v>
      </c>
      <c r="R218" s="20" t="s">
        <v>214</v>
      </c>
      <c r="S218" s="20" t="s">
        <v>215</v>
      </c>
      <c r="T218" s="20" t="s">
        <v>216</v>
      </c>
      <c r="U218" s="20" t="s">
        <v>217</v>
      </c>
      <c r="V218" s="20" t="s">
        <v>67</v>
      </c>
      <c r="W218" s="20" t="s">
        <v>68</v>
      </c>
      <c r="X218" s="20" t="s">
        <v>69</v>
      </c>
      <c r="Y218" s="20" t="s">
        <v>70</v>
      </c>
      <c r="Z218" s="20" t="s">
        <v>177</v>
      </c>
      <c r="AA218" s="20" t="s">
        <v>1510</v>
      </c>
      <c r="AB218" s="20" t="s">
        <v>1511</v>
      </c>
      <c r="AC218" s="20" t="s">
        <v>1511</v>
      </c>
      <c r="AD218" s="20" t="s">
        <v>1511</v>
      </c>
      <c r="AE218" s="20"/>
      <c r="AF218" s="9" t="n">
        <v>0</v>
      </c>
      <c r="AG218" s="12" t="n">
        <v>0</v>
      </c>
      <c r="AH218" s="22" t="s">
        <v>219</v>
      </c>
      <c r="AI218" s="12" t="str">
        <f>IF(AH218="","",IFERROR(RIGHT("0000"&amp;AH218,4)&amp;" - "&amp;UPPER(_xlfn.XLOOKUP(RIGHT("0000"&amp;AH218,4),CODEBOOK_CAP!$C$2:$C$212,CODEBOOK_CAP!$D$2:$D$212)),"Código CAP não encontrado"))</f>
        <v>1002 - CARROS, TRÂNSITO, CONSTRUÇÃO E MANUTENÇÃO DE RUAS E ESTRADAS</v>
      </c>
      <c r="AJ218" s="12" t="str">
        <f>IF(AH218="","",IFERROR(_xlfn.XLOOKUP(RIGHT("0000"&amp;AH218,4),CODEBOOK_CAP!$C$2:$C$212,CODEBOOK_CAP!$E$2:$E$212),"Código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18" s="22" t="s">
        <v>79</v>
      </c>
      <c r="AL218" s="26" t="s">
        <v>1512</v>
      </c>
      <c r="AM218" s="22" t="s">
        <v>79</v>
      </c>
      <c r="AN218" s="22" t="s">
        <v>79</v>
      </c>
      <c r="AO218" s="26" t="s">
        <v>1512</v>
      </c>
      <c r="AP218" s="22" t="s">
        <v>77</v>
      </c>
      <c r="AQ218" s="12"/>
      <c r="AR218" s="22" t="s">
        <v>77</v>
      </c>
      <c r="AS218" s="10"/>
      <c r="AT218" s="2" t="s">
        <v>82</v>
      </c>
      <c r="AU218" s="12" t="s">
        <v>83</v>
      </c>
      <c r="AV218" s="3" t="n">
        <v>46218</v>
      </c>
      <c r="AW218" s="21"/>
      <c r="AY218" s="1"/>
      <c r="BA218" s="1"/>
      <c r="BB218" s="1"/>
    </row>
    <row r="219" ht="255" customHeight="1">
      <c r="A219" s="20" t="s">
        <v>1513</v>
      </c>
      <c r="B219" s="20" t="n">
        <v>2023</v>
      </c>
      <c r="C219" s="20" t="n">
        <v>34</v>
      </c>
      <c r="D219" s="20" t="s">
        <v>50</v>
      </c>
      <c r="E219" s="20" t="s">
        <v>1506</v>
      </c>
      <c r="F219" s="20" t="s">
        <v>1514</v>
      </c>
      <c r="G219" s="20" t="s">
        <v>86</v>
      </c>
      <c r="H219" s="20" t="s">
        <v>1508</v>
      </c>
      <c r="I219" s="20"/>
      <c r="J219" s="20" t="s">
        <v>1515</v>
      </c>
      <c r="K219" s="20" t="s">
        <v>207</v>
      </c>
      <c r="L219" s="20" t="s">
        <v>208</v>
      </c>
      <c r="M219" s="20" t="s">
        <v>209</v>
      </c>
      <c r="N219" s="20" t="s">
        <v>210</v>
      </c>
      <c r="O219" s="20" t="s">
        <v>211</v>
      </c>
      <c r="P219" s="20" t="s">
        <v>212</v>
      </c>
      <c r="Q219" s="20" t="s">
        <v>213</v>
      </c>
      <c r="R219" s="20" t="s">
        <v>214</v>
      </c>
      <c r="S219" s="20" t="s">
        <v>215</v>
      </c>
      <c r="T219" s="20" t="s">
        <v>216</v>
      </c>
      <c r="U219" s="20" t="s">
        <v>217</v>
      </c>
      <c r="V219" s="20" t="s">
        <v>67</v>
      </c>
      <c r="W219" s="20" t="s">
        <v>68</v>
      </c>
      <c r="X219" s="20" t="s">
        <v>69</v>
      </c>
      <c r="Y219" s="20" t="s">
        <v>70</v>
      </c>
      <c r="Z219" s="20" t="s">
        <v>177</v>
      </c>
      <c r="AA219" s="20" t="s">
        <v>1516</v>
      </c>
      <c r="AB219" s="20" t="s">
        <v>1517</v>
      </c>
      <c r="AC219" s="20" t="s">
        <v>1517</v>
      </c>
      <c r="AD219" s="20" t="s">
        <v>1517</v>
      </c>
      <c r="AE219" s="20"/>
      <c r="AF219" s="9" t="n">
        <v>0</v>
      </c>
      <c r="AG219" s="12" t="n">
        <v>0</v>
      </c>
      <c r="AH219" s="22" t="s">
        <v>219</v>
      </c>
      <c r="AI219" s="12" t="str">
        <f>IF(AH219="","",IFERROR(RIGHT("0000"&amp;AH219,4)&amp;" - "&amp;UPPER(_xlfn.XLOOKUP(RIGHT("0000"&amp;AH219,4),CODEBOOK_CAP!$C$2:$C$212,CODEBOOK_CAP!$D$2:$D$212)),"Código CAP não encontrado"))</f>
        <v>1002 - CARROS, TRÂNSITO, CONSTRUÇÃO E MANUTENÇÃO DE RUAS E ESTRADAS</v>
      </c>
      <c r="AJ219" s="12" t="str">
        <f>IF(AH219="","",IFERROR(_xlfn.XLOOKUP(RIGHT("0000"&amp;AH219,4),CODEBOOK_CAP!$C$2:$C$212,CODEBOOK_CAP!$E$2:$E$212),"Código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19" s="22" t="s">
        <v>79</v>
      </c>
      <c r="AL219" s="26" t="s">
        <v>1518</v>
      </c>
      <c r="AM219" s="22" t="s">
        <v>79</v>
      </c>
      <c r="AN219" s="22" t="s">
        <v>79</v>
      </c>
      <c r="AO219" s="12" t="s">
        <v>1518</v>
      </c>
      <c r="AP219" s="22" t="s">
        <v>77</v>
      </c>
      <c r="AQ219" s="12"/>
      <c r="AR219" s="22" t="s">
        <v>77</v>
      </c>
      <c r="AS219" s="10"/>
      <c r="AT219" s="2" t="s">
        <v>82</v>
      </c>
      <c r="AU219" s="12" t="s">
        <v>83</v>
      </c>
      <c r="AV219" s="3" t="n">
        <v>46218</v>
      </c>
      <c r="AW219" s="21"/>
      <c r="AY219" s="1"/>
      <c r="BA219" s="1"/>
      <c r="BB219" s="1"/>
    </row>
    <row r="220" ht="255" customHeight="1">
      <c r="A220" s="20" t="s">
        <v>1519</v>
      </c>
      <c r="B220" s="20" t="n">
        <v>2023</v>
      </c>
      <c r="C220" s="20" t="n">
        <v>35</v>
      </c>
      <c r="D220" s="20" t="s">
        <v>50</v>
      </c>
      <c r="E220" s="20" t="s">
        <v>1506</v>
      </c>
      <c r="F220" s="20" t="s">
        <v>1520</v>
      </c>
      <c r="G220" s="20" t="s">
        <v>86</v>
      </c>
      <c r="H220" s="20" t="s">
        <v>1508</v>
      </c>
      <c r="I220" s="20"/>
      <c r="J220" s="20" t="s">
        <v>1521</v>
      </c>
      <c r="K220" s="20" t="s">
        <v>207</v>
      </c>
      <c r="L220" s="20" t="s">
        <v>208</v>
      </c>
      <c r="M220" s="20" t="s">
        <v>209</v>
      </c>
      <c r="N220" s="20" t="s">
        <v>210</v>
      </c>
      <c r="O220" s="20" t="s">
        <v>211</v>
      </c>
      <c r="P220" s="20" t="s">
        <v>212</v>
      </c>
      <c r="Q220" s="20" t="s">
        <v>213</v>
      </c>
      <c r="R220" s="20" t="s">
        <v>214</v>
      </c>
      <c r="S220" s="20" t="s">
        <v>215</v>
      </c>
      <c r="T220" s="20" t="s">
        <v>216</v>
      </c>
      <c r="U220" s="20" t="s">
        <v>217</v>
      </c>
      <c r="V220" s="20" t="s">
        <v>67</v>
      </c>
      <c r="W220" s="20" t="s">
        <v>68</v>
      </c>
      <c r="X220" s="20" t="s">
        <v>69</v>
      </c>
      <c r="Y220" s="20" t="s">
        <v>70</v>
      </c>
      <c r="Z220" s="20" t="s">
        <v>177</v>
      </c>
      <c r="AA220" s="20" t="s">
        <v>343</v>
      </c>
      <c r="AB220" s="20" t="s">
        <v>1522</v>
      </c>
      <c r="AC220" s="20" t="s">
        <v>1522</v>
      </c>
      <c r="AD220" s="20" t="s">
        <v>1522</v>
      </c>
      <c r="AE220" s="20"/>
      <c r="AF220" s="9" t="n">
        <v>0</v>
      </c>
      <c r="AG220" s="12" t="n">
        <v>0</v>
      </c>
      <c r="AH220" s="22" t="s">
        <v>219</v>
      </c>
      <c r="AI220" s="12" t="str">
        <f>IF(AH220="","",IFERROR(RIGHT("0000"&amp;AH220,4)&amp;" - "&amp;UPPER(_xlfn.XLOOKUP(RIGHT("0000"&amp;AH220,4),CODEBOOK_CAP!$C$2:$C$212,CODEBOOK_CAP!$D$2:$D$212)),"Código CAP não encontrado"))</f>
        <v>1002 - CARROS, TRÂNSITO, CONSTRUÇÃO E MANUTENÇÃO DE RUAS E ESTRADAS</v>
      </c>
      <c r="AJ220" s="12" t="str">
        <f>IF(AH220="","",IFERROR(_xlfn.XLOOKUP(RIGHT("0000"&amp;AH220,4),CODEBOOK_CAP!$C$2:$C$212,CODEBOOK_CAP!$E$2:$E$212),"Código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20" s="22" t="s">
        <v>79</v>
      </c>
      <c r="AL220" s="26" t="s">
        <v>1523</v>
      </c>
      <c r="AM220" s="22" t="s">
        <v>79</v>
      </c>
      <c r="AN220" s="22" t="s">
        <v>79</v>
      </c>
      <c r="AO220" s="26" t="s">
        <v>1523</v>
      </c>
      <c r="AP220" s="22" t="s">
        <v>77</v>
      </c>
      <c r="AQ220" s="12"/>
      <c r="AR220" s="22" t="s">
        <v>77</v>
      </c>
      <c r="AS220" s="10"/>
      <c r="AT220" s="2" t="s">
        <v>82</v>
      </c>
      <c r="AU220" s="12" t="s">
        <v>83</v>
      </c>
      <c r="AV220" s="3" t="n">
        <v>46218</v>
      </c>
      <c r="AW220" s="21"/>
      <c r="AY220" s="1"/>
      <c r="BA220" s="1"/>
      <c r="BB220" s="1"/>
    </row>
    <row r="221" ht="255" customHeight="1">
      <c r="A221" s="20" t="s">
        <v>1524</v>
      </c>
      <c r="B221" s="20" t="n">
        <v>2023</v>
      </c>
      <c r="C221" s="20" t="n">
        <v>36</v>
      </c>
      <c r="D221" s="20" t="s">
        <v>50</v>
      </c>
      <c r="E221" s="20" t="s">
        <v>1506</v>
      </c>
      <c r="F221" s="20" t="s">
        <v>1525</v>
      </c>
      <c r="G221" s="20" t="s">
        <v>86</v>
      </c>
      <c r="H221" s="20" t="s">
        <v>1508</v>
      </c>
      <c r="I221" s="20"/>
      <c r="J221" s="20" t="s">
        <v>1526</v>
      </c>
      <c r="K221" s="20" t="s">
        <v>207</v>
      </c>
      <c r="L221" s="20" t="s">
        <v>208</v>
      </c>
      <c r="M221" s="20" t="s">
        <v>209</v>
      </c>
      <c r="N221" s="20" t="s">
        <v>210</v>
      </c>
      <c r="O221" s="20" t="s">
        <v>211</v>
      </c>
      <c r="P221" s="20" t="s">
        <v>212</v>
      </c>
      <c r="Q221" s="20" t="s">
        <v>213</v>
      </c>
      <c r="R221" s="20" t="s">
        <v>214</v>
      </c>
      <c r="S221" s="20" t="s">
        <v>215</v>
      </c>
      <c r="T221" s="20" t="s">
        <v>216</v>
      </c>
      <c r="U221" s="20" t="s">
        <v>217</v>
      </c>
      <c r="V221" s="20" t="s">
        <v>67</v>
      </c>
      <c r="W221" s="20" t="s">
        <v>68</v>
      </c>
      <c r="X221" s="20" t="s">
        <v>69</v>
      </c>
      <c r="Y221" s="20" t="s">
        <v>70</v>
      </c>
      <c r="Z221" s="20" t="s">
        <v>177</v>
      </c>
      <c r="AA221" s="20" t="s">
        <v>1527</v>
      </c>
      <c r="AB221" s="20" t="s">
        <v>77</v>
      </c>
      <c r="AC221" s="20" t="s">
        <v>77</v>
      </c>
      <c r="AD221" s="20" t="s">
        <v>77</v>
      </c>
      <c r="AE221" s="20"/>
      <c r="AF221" s="9" t="n">
        <v>0</v>
      </c>
      <c r="AG221" s="12" t="n">
        <v>0</v>
      </c>
      <c r="AH221" s="22" t="s">
        <v>219</v>
      </c>
      <c r="AI221" s="12" t="str">
        <f>IF(AH221="","",IFERROR(RIGHT("0000"&amp;AH221,4)&amp;" - "&amp;UPPER(_xlfn.XLOOKUP(RIGHT("0000"&amp;AH221,4),CODEBOOK_CAP!$C$2:$C$212,CODEBOOK_CAP!$D$2:$D$212)),"Código CAP não encontrado"))</f>
        <v>1002 - CARROS, TRÂNSITO, CONSTRUÇÃO E MANUTENÇÃO DE RUAS E ESTRADAS</v>
      </c>
      <c r="AJ221" s="12" t="str">
        <f>IF(AH221="","",IFERROR(_xlfn.XLOOKUP(RIGHT("0000"&amp;AH221,4),CODEBOOK_CAP!$C$2:$C$212,CODEBOOK_CAP!$E$2:$E$212),"Código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21" s="22" t="s">
        <v>79</v>
      </c>
      <c r="AL221" s="26" t="s">
        <v>1528</v>
      </c>
      <c r="AM221" s="22" t="s">
        <v>79</v>
      </c>
      <c r="AN221" s="22" t="s">
        <v>79</v>
      </c>
      <c r="AO221" s="12" t="s">
        <v>1528</v>
      </c>
      <c r="AP221" s="22" t="s">
        <v>77</v>
      </c>
      <c r="AQ221" s="12"/>
      <c r="AR221" s="22" t="s">
        <v>77</v>
      </c>
      <c r="AS221" s="10"/>
      <c r="AT221" s="2" t="s">
        <v>82</v>
      </c>
      <c r="AU221" s="12" t="s">
        <v>83</v>
      </c>
      <c r="AV221" s="3" t="n">
        <v>46218</v>
      </c>
      <c r="AW221" s="21"/>
      <c r="AY221" s="1"/>
      <c r="BA221" s="1"/>
      <c r="BB221" s="1"/>
    </row>
    <row r="222" ht="210" customHeight="1">
      <c r="A222" s="20" t="s">
        <v>1529</v>
      </c>
      <c r="B222" s="20" t="n">
        <v>2023</v>
      </c>
      <c r="C222" s="20" t="n">
        <v>37</v>
      </c>
      <c r="D222" s="20" t="s">
        <v>50</v>
      </c>
      <c r="E222" s="20" t="s">
        <v>1506</v>
      </c>
      <c r="F222" s="20" t="s">
        <v>1530</v>
      </c>
      <c r="G222" s="20" t="s">
        <v>315</v>
      </c>
      <c r="H222" s="20" t="s">
        <v>1508</v>
      </c>
      <c r="I222" s="20"/>
      <c r="J222" s="20" t="s">
        <v>1531</v>
      </c>
      <c r="K222" s="20" t="s">
        <v>1532</v>
      </c>
      <c r="L222" s="20" t="s">
        <v>274</v>
      </c>
      <c r="M222" s="20" t="s">
        <v>275</v>
      </c>
      <c r="N222" s="20" t="s">
        <v>276</v>
      </c>
      <c r="O222" s="20" t="s">
        <v>277</v>
      </c>
      <c r="P222" s="20" t="s">
        <v>278</v>
      </c>
      <c r="Q222" s="20" t="s">
        <v>279</v>
      </c>
      <c r="R222" s="20" t="s">
        <v>1118</v>
      </c>
      <c r="S222" s="20" t="s">
        <v>1119</v>
      </c>
      <c r="T222" s="20" t="s">
        <v>1533</v>
      </c>
      <c r="U222" s="20" t="s">
        <v>1534</v>
      </c>
      <c r="V222" s="20" t="s">
        <v>95</v>
      </c>
      <c r="W222" s="20" t="s">
        <v>96</v>
      </c>
      <c r="X222" s="20" t="s">
        <v>97</v>
      </c>
      <c r="Y222" s="20" t="s">
        <v>70</v>
      </c>
      <c r="Z222" s="20" t="s">
        <v>284</v>
      </c>
      <c r="AA222" s="20" t="s">
        <v>1535</v>
      </c>
      <c r="AB222" s="20" t="s">
        <v>1535</v>
      </c>
      <c r="AC222" s="20" t="s">
        <v>1535</v>
      </c>
      <c r="AD222" s="20" t="s">
        <v>1535</v>
      </c>
      <c r="AE222" s="20"/>
      <c r="AF222" s="9" t="n">
        <v>0</v>
      </c>
      <c r="AG222" s="12" t="n">
        <v>0</v>
      </c>
      <c r="AH222" s="22" t="s">
        <v>607</v>
      </c>
      <c r="AI222" s="12" t="str">
        <f>IF(AH222="","",IFERROR(RIGHT("0000"&amp;AH222,4)&amp;" - "&amp;UPPER(_xlfn.XLOOKUP(RIGHT("0000"&amp;AH222,4),CODEBOOK_CAP!$C$2:$C$212,CODEBOOK_CAP!$D$2:$D$212)),"Código CAP não encontrado"))</f>
        <v>1300 - GERAL</v>
      </c>
      <c r="AJ222" s="12" t="str">
        <f>IF(AH222="","",IFERROR(_xlfn.XLOOKUP(RIGHT("0000"&amp;AH222,4),CODEBOOK_CAP!$C$2:$C$212,CODEBOOK_CAP!$E$2:$E$212),"Código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22" s="22" t="s">
        <v>79</v>
      </c>
      <c r="AL222" s="26" t="s">
        <v>1536</v>
      </c>
      <c r="AM222" s="22" t="s">
        <v>79</v>
      </c>
      <c r="AN222" s="22" t="s">
        <v>79</v>
      </c>
      <c r="AO222" s="12" t="s">
        <v>1536</v>
      </c>
      <c r="AP222" s="22" t="s">
        <v>77</v>
      </c>
      <c r="AQ222" s="12"/>
      <c r="AR222" s="22" t="s">
        <v>77</v>
      </c>
      <c r="AS222" s="10"/>
      <c r="AT222" s="2" t="s">
        <v>82</v>
      </c>
      <c r="AU222" s="12" t="s">
        <v>83</v>
      </c>
      <c r="AV222" s="3" t="n">
        <v>46218</v>
      </c>
      <c r="AW222" s="21"/>
      <c r="AY222" s="1"/>
      <c r="BA222" s="1"/>
      <c r="BB222" s="1"/>
    </row>
    <row r="223" ht="150" customHeight="1">
      <c r="A223" s="20" t="s">
        <v>1537</v>
      </c>
      <c r="B223" s="20" t="n">
        <v>2023</v>
      </c>
      <c r="C223" s="20" t="n">
        <v>38</v>
      </c>
      <c r="D223" s="20" t="s">
        <v>50</v>
      </c>
      <c r="E223" s="20" t="s">
        <v>1506</v>
      </c>
      <c r="F223" s="20" t="s">
        <v>1538</v>
      </c>
      <c r="G223" s="20" t="s">
        <v>86</v>
      </c>
      <c r="H223" s="20" t="s">
        <v>1508</v>
      </c>
      <c r="I223" s="20"/>
      <c r="J223" s="20" t="s">
        <v>1539</v>
      </c>
      <c r="K223" s="20" t="s">
        <v>122</v>
      </c>
      <c r="L223" s="20" t="s">
        <v>57</v>
      </c>
      <c r="M223" s="20" t="s">
        <v>58</v>
      </c>
      <c r="N223" s="20" t="s">
        <v>59</v>
      </c>
      <c r="O223" s="20" t="s">
        <v>60</v>
      </c>
      <c r="P223" s="20" t="s">
        <v>89</v>
      </c>
      <c r="Q223" s="20" t="s">
        <v>90</v>
      </c>
      <c r="R223" s="20" t="s">
        <v>91</v>
      </c>
      <c r="S223" s="20" t="s">
        <v>92</v>
      </c>
      <c r="T223" s="20" t="s">
        <v>123</v>
      </c>
      <c r="U223" s="20" t="s">
        <v>124</v>
      </c>
      <c r="V223" s="20" t="s">
        <v>95</v>
      </c>
      <c r="W223" s="20" t="s">
        <v>96</v>
      </c>
      <c r="X223" s="20" t="s">
        <v>97</v>
      </c>
      <c r="Y223" s="20" t="s">
        <v>70</v>
      </c>
      <c r="Z223" s="20" t="s">
        <v>98</v>
      </c>
      <c r="AA223" s="20" t="s">
        <v>1540</v>
      </c>
      <c r="AB223" s="20" t="s">
        <v>1540</v>
      </c>
      <c r="AC223" s="20" t="s">
        <v>1540</v>
      </c>
      <c r="AD223" s="20" t="s">
        <v>1540</v>
      </c>
      <c r="AE223" s="20"/>
      <c r="AF223" s="9" t="n">
        <v>1</v>
      </c>
      <c r="AG223" s="12" t="n">
        <v>1</v>
      </c>
      <c r="AH223" s="22" t="s">
        <v>620</v>
      </c>
      <c r="AI223" s="12" t="str">
        <f>IF(AH223="","",IFERROR(RIGHT("0000"&amp;AH223,4)&amp;" - "&amp;UPPER(_xlfn.XLOOKUP(RIGHT("0000"&amp;AH223,4),CODEBOOK_CAP!$C$2:$C$212,CODEBOOK_CAP!$D$2:$D$212)),"Código CAP não encontrado"))</f>
        <v>0332 - SAÚDE INFANTIL, GRAVIDEZ E PRÉ-NATAL</v>
      </c>
      <c r="AJ223" s="12" t="str">
        <f>IF(AH223="","",IFERROR(_xlfn.XLOOKUP(RIGHT("0000"&amp;AH223,4),CODEBOOK_CAP!$C$2:$C$212,CODEBOOK_CAP!$E$2:$E$212),"Código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23" s="22" t="s">
        <v>77</v>
      </c>
      <c r="AL223" s="26"/>
      <c r="AM223" s="22" t="s">
        <v>79</v>
      </c>
      <c r="AN223" s="22" t="s">
        <v>79</v>
      </c>
      <c r="AO223" s="12" t="s">
        <v>1541</v>
      </c>
      <c r="AP223" s="22" t="s">
        <v>79</v>
      </c>
      <c r="AQ223" s="12" t="s">
        <v>1094</v>
      </c>
      <c r="AR223" s="22" t="s">
        <v>77</v>
      </c>
      <c r="AS223" s="10"/>
      <c r="AT223" s="2" t="s">
        <v>82</v>
      </c>
      <c r="AU223" s="12" t="s">
        <v>83</v>
      </c>
      <c r="AV223" s="3" t="n">
        <v>46218</v>
      </c>
      <c r="AW223" s="21"/>
      <c r="AY223" s="1"/>
      <c r="BA223" s="1"/>
      <c r="BB223" s="1"/>
    </row>
    <row r="224" ht="120" customHeight="1">
      <c r="A224" s="20" t="s">
        <v>1542</v>
      </c>
      <c r="B224" s="20" t="n">
        <v>2023</v>
      </c>
      <c r="C224" s="20" t="n">
        <v>39</v>
      </c>
      <c r="D224" s="20" t="s">
        <v>50</v>
      </c>
      <c r="E224" s="20" t="s">
        <v>1506</v>
      </c>
      <c r="F224" s="20" t="s">
        <v>1543</v>
      </c>
      <c r="G224" s="20" t="s">
        <v>86</v>
      </c>
      <c r="H224" s="20" t="s">
        <v>1508</v>
      </c>
      <c r="I224" s="20"/>
      <c r="J224" s="20" t="s">
        <v>1544</v>
      </c>
      <c r="K224" s="20" t="s">
        <v>416</v>
      </c>
      <c r="L224" s="20" t="s">
        <v>57</v>
      </c>
      <c r="M224" s="20" t="s">
        <v>58</v>
      </c>
      <c r="N224" s="20" t="s">
        <v>59</v>
      </c>
      <c r="O224" s="20" t="s">
        <v>60</v>
      </c>
      <c r="P224" s="20" t="s">
        <v>89</v>
      </c>
      <c r="Q224" s="20" t="s">
        <v>90</v>
      </c>
      <c r="R224" s="20" t="s">
        <v>91</v>
      </c>
      <c r="S224" s="20" t="s">
        <v>92</v>
      </c>
      <c r="T224" s="20" t="s">
        <v>123</v>
      </c>
      <c r="U224" s="20" t="s">
        <v>124</v>
      </c>
      <c r="V224" s="20" t="s">
        <v>417</v>
      </c>
      <c r="W224" s="20" t="s">
        <v>96</v>
      </c>
      <c r="X224" s="20" t="s">
        <v>97</v>
      </c>
      <c r="Y224" s="20" t="s">
        <v>70</v>
      </c>
      <c r="Z224" s="20" t="s">
        <v>98</v>
      </c>
      <c r="AA224" s="20" t="s">
        <v>1540</v>
      </c>
      <c r="AB224" s="20" t="s">
        <v>1540</v>
      </c>
      <c r="AC224" s="20" t="s">
        <v>1540</v>
      </c>
      <c r="AD224" s="20" t="s">
        <v>1540</v>
      </c>
      <c r="AE224" s="20"/>
      <c r="AF224" s="9" t="n">
        <v>1</v>
      </c>
      <c r="AG224" s="12" t="n">
        <v>1</v>
      </c>
      <c r="AH224" s="22" t="s">
        <v>235</v>
      </c>
      <c r="AI224" s="12" t="str">
        <f>IF(AH224="","",IFERROR(RIGHT("0000"&amp;AH224,4)&amp;" - "&amp;UPPER(_xlfn.XLOOKUP(RIGHT("0000"&amp;AH224,4),CODEBOOK_CAP!$C$2:$C$212,CODEBOOK_CAP!$D$2:$D$212)),"Código CAP não encontrado"))</f>
        <v>0322 - ESTRUTURAS, HOSPITAIS, CLÍNICAS</v>
      </c>
      <c r="AJ224" s="12" t="str">
        <f>IF(AH224="","",IFERROR(_xlfn.XLOOKUP(RIGHT("0000"&amp;AH224,4),CODEBOOK_CAP!$C$2:$C$212,CODEBOOK_CAP!$E$2:$E$212),"Código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4" s="22" t="s">
        <v>77</v>
      </c>
      <c r="AL224" s="26"/>
      <c r="AM224" s="22" t="s">
        <v>79</v>
      </c>
      <c r="AN224" s="22" t="s">
        <v>79</v>
      </c>
      <c r="AO224" s="12" t="s">
        <v>953</v>
      </c>
      <c r="AP224" s="22" t="s">
        <v>77</v>
      </c>
      <c r="AQ224" s="12"/>
      <c r="AR224" s="22" t="s">
        <v>77</v>
      </c>
      <c r="AS224" s="10"/>
      <c r="AT224" s="2" t="s">
        <v>82</v>
      </c>
      <c r="AU224" s="12" t="s">
        <v>83</v>
      </c>
      <c r="AV224" s="3" t="n">
        <v>46218</v>
      </c>
      <c r="AW224" s="21"/>
      <c r="AY224" s="1"/>
      <c r="BA224" s="1"/>
      <c r="BB224" s="1"/>
    </row>
    <row r="225" ht="120" customHeight="1">
      <c r="A225" s="20" t="s">
        <v>1545</v>
      </c>
      <c r="B225" s="20" t="n">
        <v>2023</v>
      </c>
      <c r="C225" s="20" t="n">
        <v>40</v>
      </c>
      <c r="D225" s="20" t="s">
        <v>50</v>
      </c>
      <c r="E225" s="20" t="s">
        <v>1506</v>
      </c>
      <c r="F225" s="20" t="s">
        <v>1546</v>
      </c>
      <c r="G225" s="20" t="s">
        <v>86</v>
      </c>
      <c r="H225" s="20" t="s">
        <v>1508</v>
      </c>
      <c r="I225" s="20"/>
      <c r="J225" s="20" t="s">
        <v>1547</v>
      </c>
      <c r="K225" s="20" t="s">
        <v>122</v>
      </c>
      <c r="L225" s="20" t="s">
        <v>57</v>
      </c>
      <c r="M225" s="20" t="s">
        <v>58</v>
      </c>
      <c r="N225" s="20" t="s">
        <v>59</v>
      </c>
      <c r="O225" s="20" t="s">
        <v>60</v>
      </c>
      <c r="P225" s="20" t="s">
        <v>89</v>
      </c>
      <c r="Q225" s="20" t="s">
        <v>90</v>
      </c>
      <c r="R225" s="20" t="s">
        <v>91</v>
      </c>
      <c r="S225" s="20" t="s">
        <v>92</v>
      </c>
      <c r="T225" s="20" t="s">
        <v>123</v>
      </c>
      <c r="U225" s="20" t="s">
        <v>124</v>
      </c>
      <c r="V225" s="20" t="s">
        <v>95</v>
      </c>
      <c r="W225" s="20" t="s">
        <v>96</v>
      </c>
      <c r="X225" s="20" t="s">
        <v>97</v>
      </c>
      <c r="Y225" s="20" t="s">
        <v>70</v>
      </c>
      <c r="Z225" s="20" t="s">
        <v>98</v>
      </c>
      <c r="AA225" s="20" t="s">
        <v>1540</v>
      </c>
      <c r="AB225" s="20" t="s">
        <v>1540</v>
      </c>
      <c r="AC225" s="20" t="s">
        <v>1540</v>
      </c>
      <c r="AD225" s="20" t="s">
        <v>1540</v>
      </c>
      <c r="AE225" s="20"/>
      <c r="AF225" s="9" t="n">
        <v>1</v>
      </c>
      <c r="AG225" s="12" t="n">
        <v>1</v>
      </c>
      <c r="AH225" s="22" t="s">
        <v>235</v>
      </c>
      <c r="AI225" s="12" t="str">
        <f>IF(AH225="","",IFERROR(RIGHT("0000"&amp;AH225,4)&amp;" - "&amp;UPPER(_xlfn.XLOOKUP(RIGHT("0000"&amp;AH225,4),CODEBOOK_CAP!$C$2:$C$212,CODEBOOK_CAP!$D$2:$D$212)),"Código CAP não encontrado"))</f>
        <v>0322 - ESTRUTURAS, HOSPITAIS, CLÍNICAS</v>
      </c>
      <c r="AJ225" s="12" t="str">
        <f>IF(AH225="","",IFERROR(_xlfn.XLOOKUP(RIGHT("0000"&amp;AH225,4),CODEBOOK_CAP!$C$2:$C$212,CODEBOOK_CAP!$E$2:$E$212),"Código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5" s="22" t="s">
        <v>77</v>
      </c>
      <c r="AL225" s="26"/>
      <c r="AM225" s="22" t="s">
        <v>79</v>
      </c>
      <c r="AN225" s="22" t="s">
        <v>79</v>
      </c>
      <c r="AO225" s="12" t="s">
        <v>957</v>
      </c>
      <c r="AP225" s="22" t="s">
        <v>77</v>
      </c>
      <c r="AQ225" s="12"/>
      <c r="AR225" s="22" t="s">
        <v>77</v>
      </c>
      <c r="AS225" s="10"/>
      <c r="AT225" s="2" t="s">
        <v>82</v>
      </c>
      <c r="AU225" s="12" t="s">
        <v>83</v>
      </c>
      <c r="AV225" s="3" t="n">
        <v>46218</v>
      </c>
      <c r="AW225" s="21"/>
      <c r="AY225" s="1"/>
      <c r="BA225" s="1"/>
      <c r="BB225" s="1"/>
    </row>
    <row r="226" ht="210" customHeight="1">
      <c r="A226" s="20" t="s">
        <v>1548</v>
      </c>
      <c r="B226" s="20" t="n">
        <v>2023</v>
      </c>
      <c r="C226" s="20" t="n">
        <v>74</v>
      </c>
      <c r="D226" s="20" t="s">
        <v>50</v>
      </c>
      <c r="E226" s="20" t="s">
        <v>1506</v>
      </c>
      <c r="F226" s="20" t="s">
        <v>1549</v>
      </c>
      <c r="G226" s="20" t="s">
        <v>183</v>
      </c>
      <c r="H226" s="20" t="s">
        <v>1508</v>
      </c>
      <c r="I226" s="20"/>
      <c r="J226" s="20" t="s">
        <v>1550</v>
      </c>
      <c r="K226" s="20" t="s">
        <v>1551</v>
      </c>
      <c r="L226" s="20" t="s">
        <v>274</v>
      </c>
      <c r="M226" s="20" t="s">
        <v>275</v>
      </c>
      <c r="N226" s="20" t="s">
        <v>276</v>
      </c>
      <c r="O226" s="20" t="s">
        <v>277</v>
      </c>
      <c r="P226" s="20" t="s">
        <v>278</v>
      </c>
      <c r="Q226" s="20" t="s">
        <v>279</v>
      </c>
      <c r="R226" s="20" t="s">
        <v>280</v>
      </c>
      <c r="S226" s="20" t="s">
        <v>281</v>
      </c>
      <c r="T226" s="20" t="s">
        <v>1552</v>
      </c>
      <c r="U226" s="20" t="s">
        <v>1553</v>
      </c>
      <c r="V226" s="20" t="s">
        <v>95</v>
      </c>
      <c r="W226" s="20" t="s">
        <v>96</v>
      </c>
      <c r="X226" s="20" t="s">
        <v>97</v>
      </c>
      <c r="Y226" s="20" t="s">
        <v>70</v>
      </c>
      <c r="Z226" s="20" t="s">
        <v>284</v>
      </c>
      <c r="AA226" s="20" t="s">
        <v>1554</v>
      </c>
      <c r="AB226" s="20" t="s">
        <v>77</v>
      </c>
      <c r="AC226" s="20" t="s">
        <v>77</v>
      </c>
      <c r="AD226" s="20" t="s">
        <v>77</v>
      </c>
      <c r="AE226" s="20"/>
      <c r="AF226" s="9" t="n">
        <v>0</v>
      </c>
      <c r="AG226" s="12" t="n">
        <v>0</v>
      </c>
      <c r="AH226" s="22" t="s">
        <v>607</v>
      </c>
      <c r="AI226" s="12" t="str">
        <f>IF(AH226="","",IFERROR(RIGHT("0000"&amp;AH226,4)&amp;" - "&amp;UPPER(_xlfn.XLOOKUP(RIGHT("0000"&amp;AH226,4),CODEBOOK_CAP!$C$2:$C$212,CODEBOOK_CAP!$D$2:$D$212)),"Código CAP não encontrado"))</f>
        <v>1300 - GERAL</v>
      </c>
      <c r="AJ226" s="12" t="str">
        <f>IF(AH226="","",IFERROR(_xlfn.XLOOKUP(RIGHT("0000"&amp;AH226,4),CODEBOOK_CAP!$C$2:$C$212,CODEBOOK_CAP!$E$2:$E$212),"Código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26" s="22" t="s">
        <v>79</v>
      </c>
      <c r="AL226" s="26" t="s">
        <v>1555</v>
      </c>
      <c r="AM226" s="22" t="s">
        <v>79</v>
      </c>
      <c r="AN226" s="22" t="s">
        <v>79</v>
      </c>
      <c r="AO226" s="26" t="s">
        <v>1555</v>
      </c>
      <c r="AP226" s="22" t="s">
        <v>77</v>
      </c>
      <c r="AQ226" s="12"/>
      <c r="AR226" s="22" t="s">
        <v>77</v>
      </c>
      <c r="AS226" s="10"/>
      <c r="AT226" s="2" t="s">
        <v>82</v>
      </c>
      <c r="AU226" s="12" t="s">
        <v>83</v>
      </c>
      <c r="AV226" s="3" t="n">
        <v>46218</v>
      </c>
      <c r="AW226" s="21"/>
      <c r="AY226" s="1"/>
      <c r="BA226" s="1"/>
      <c r="BB226" s="1"/>
    </row>
    <row r="227" ht="120" customHeight="1">
      <c r="A227" s="20" t="s">
        <v>1556</v>
      </c>
      <c r="B227" s="20" t="n">
        <v>2023</v>
      </c>
      <c r="C227" s="20" t="n">
        <v>41</v>
      </c>
      <c r="D227" s="20" t="s">
        <v>50</v>
      </c>
      <c r="E227" s="20" t="s">
        <v>1557</v>
      </c>
      <c r="F227" s="20" t="s">
        <v>1558</v>
      </c>
      <c r="G227" s="20" t="s">
        <v>86</v>
      </c>
      <c r="H227" s="20" t="s">
        <v>1559</v>
      </c>
      <c r="I227" s="20"/>
      <c r="J227" s="20" t="s">
        <v>994</v>
      </c>
      <c r="K227" s="20" t="s">
        <v>122</v>
      </c>
      <c r="L227" s="20" t="s">
        <v>57</v>
      </c>
      <c r="M227" s="20" t="s">
        <v>58</v>
      </c>
      <c r="N227" s="20" t="s">
        <v>59</v>
      </c>
      <c r="O227" s="20" t="s">
        <v>60</v>
      </c>
      <c r="P227" s="20" t="s">
        <v>89</v>
      </c>
      <c r="Q227" s="20" t="s">
        <v>90</v>
      </c>
      <c r="R227" s="20" t="s">
        <v>91</v>
      </c>
      <c r="S227" s="20" t="s">
        <v>92</v>
      </c>
      <c r="T227" s="20" t="s">
        <v>123</v>
      </c>
      <c r="U227" s="20" t="s">
        <v>124</v>
      </c>
      <c r="V227" s="20" t="s">
        <v>95</v>
      </c>
      <c r="W227" s="20" t="s">
        <v>96</v>
      </c>
      <c r="X227" s="20" t="s">
        <v>97</v>
      </c>
      <c r="Y227" s="20" t="s">
        <v>70</v>
      </c>
      <c r="Z227" s="20" t="s">
        <v>98</v>
      </c>
      <c r="AA227" s="20" t="s">
        <v>1560</v>
      </c>
      <c r="AB227" s="20" t="s">
        <v>1560</v>
      </c>
      <c r="AC227" s="20" t="s">
        <v>1560</v>
      </c>
      <c r="AD227" s="20" t="s">
        <v>1560</v>
      </c>
      <c r="AE227" s="20"/>
      <c r="AF227" s="9" t="n">
        <v>1</v>
      </c>
      <c r="AG227" s="12" t="n">
        <v>1</v>
      </c>
      <c r="AH227" s="22" t="s">
        <v>235</v>
      </c>
      <c r="AI227" s="12" t="str">
        <f>IF(AH227="","",IFERROR(RIGHT("0000"&amp;AH227,4)&amp;" - "&amp;UPPER(_xlfn.XLOOKUP(RIGHT("0000"&amp;AH227,4),CODEBOOK_CAP!$C$2:$C$212,CODEBOOK_CAP!$D$2:$D$212)),"Código CAP não encontrado"))</f>
        <v>0322 - ESTRUTURAS, HOSPITAIS, CLÍNICAS</v>
      </c>
      <c r="AJ227" s="12" t="str">
        <f>IF(AH227="","",IFERROR(_xlfn.XLOOKUP(RIGHT("0000"&amp;AH227,4),CODEBOOK_CAP!$C$2:$C$212,CODEBOOK_CAP!$E$2:$E$212),"Código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27" s="22" t="s">
        <v>77</v>
      </c>
      <c r="AL227" s="26"/>
      <c r="AM227" s="22" t="s">
        <v>79</v>
      </c>
      <c r="AN227" s="22" t="s">
        <v>79</v>
      </c>
      <c r="AO227" s="12" t="s">
        <v>840</v>
      </c>
      <c r="AP227" s="22" t="s">
        <v>77</v>
      </c>
      <c r="AQ227" s="12"/>
      <c r="AR227" s="22" t="s">
        <v>77</v>
      </c>
      <c r="AS227" s="10"/>
      <c r="AT227" s="2" t="s">
        <v>82</v>
      </c>
      <c r="AU227" s="12" t="s">
        <v>83</v>
      </c>
      <c r="AV227" s="3" t="n">
        <v>46218</v>
      </c>
      <c r="AW227" s="21"/>
      <c r="AY227" s="1"/>
      <c r="BA227" s="1"/>
      <c r="BB227" s="1"/>
    </row>
    <row r="228" ht="210" customHeight="1">
      <c r="A228" s="20" t="s">
        <v>1561</v>
      </c>
      <c r="B228" s="20" t="n">
        <v>2023</v>
      </c>
      <c r="C228" s="20" t="n">
        <v>42</v>
      </c>
      <c r="D228" s="20" t="s">
        <v>50</v>
      </c>
      <c r="E228" s="20" t="s">
        <v>1557</v>
      </c>
      <c r="F228" s="20" t="s">
        <v>1562</v>
      </c>
      <c r="G228" s="20" t="s">
        <v>315</v>
      </c>
      <c r="H228" s="20" t="s">
        <v>1559</v>
      </c>
      <c r="I228" s="20"/>
      <c r="J228" s="20" t="s">
        <v>1563</v>
      </c>
      <c r="K228" s="20" t="s">
        <v>273</v>
      </c>
      <c r="L228" s="20" t="s">
        <v>274</v>
      </c>
      <c r="M228" s="20" t="s">
        <v>275</v>
      </c>
      <c r="N228" s="20" t="s">
        <v>276</v>
      </c>
      <c r="O228" s="20" t="s">
        <v>277</v>
      </c>
      <c r="P228" s="20" t="s">
        <v>278</v>
      </c>
      <c r="Q228" s="20" t="s">
        <v>279</v>
      </c>
      <c r="R228" s="20" t="s">
        <v>280</v>
      </c>
      <c r="S228" s="20" t="s">
        <v>281</v>
      </c>
      <c r="T228" s="20" t="s">
        <v>282</v>
      </c>
      <c r="U228" s="20" t="s">
        <v>283</v>
      </c>
      <c r="V228" s="20" t="s">
        <v>95</v>
      </c>
      <c r="W228" s="20" t="s">
        <v>96</v>
      </c>
      <c r="X228" s="20" t="s">
        <v>97</v>
      </c>
      <c r="Y228" s="20" t="s">
        <v>70</v>
      </c>
      <c r="Z228" s="20" t="s">
        <v>284</v>
      </c>
      <c r="AA228" s="20" t="s">
        <v>409</v>
      </c>
      <c r="AB228" s="20" t="s">
        <v>409</v>
      </c>
      <c r="AC228" s="20" t="s">
        <v>409</v>
      </c>
      <c r="AD228" s="20" t="s">
        <v>409</v>
      </c>
      <c r="AE228" s="20"/>
      <c r="AF228" s="9" t="n">
        <v>0</v>
      </c>
      <c r="AG228" s="12" t="n">
        <v>0</v>
      </c>
      <c r="AH228" s="22" t="s">
        <v>607</v>
      </c>
      <c r="AI228" s="12" t="str">
        <f>IF(AH228="","",IFERROR(RIGHT("0000"&amp;AH228,4)&amp;" - "&amp;UPPER(_xlfn.XLOOKUP(RIGHT("0000"&amp;AH228,4),CODEBOOK_CAP!$C$2:$C$212,CODEBOOK_CAP!$D$2:$D$212)),"Código CAP não encontrado"))</f>
        <v>1300 - GERAL</v>
      </c>
      <c r="AJ228" s="12" t="str">
        <f>IF(AH228="","",IFERROR(_xlfn.XLOOKUP(RIGHT("0000"&amp;AH228,4),CODEBOOK_CAP!$C$2:$C$212,CODEBOOK_CAP!$E$2:$E$212),"Código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28" s="22" t="s">
        <v>79</v>
      </c>
      <c r="AL228" s="26" t="s">
        <v>1564</v>
      </c>
      <c r="AM228" s="22" t="s">
        <v>79</v>
      </c>
      <c r="AN228" s="22" t="s">
        <v>79</v>
      </c>
      <c r="AO228" s="12" t="s">
        <v>1564</v>
      </c>
      <c r="AP228" s="22" t="s">
        <v>79</v>
      </c>
      <c r="AQ228" s="12" t="s">
        <v>1094</v>
      </c>
      <c r="AR228" s="22" t="s">
        <v>77</v>
      </c>
      <c r="AS228" s="10"/>
      <c r="AT228" s="2" t="s">
        <v>82</v>
      </c>
      <c r="AU228" s="12" t="s">
        <v>83</v>
      </c>
      <c r="AV228" s="3" t="n">
        <v>46218</v>
      </c>
      <c r="AW228" s="21"/>
      <c r="AY228" s="1"/>
      <c r="BA228" s="1"/>
      <c r="BB228" s="1"/>
    </row>
    <row r="229" ht="210" customHeight="1">
      <c r="A229" s="20" t="s">
        <v>1565</v>
      </c>
      <c r="B229" s="20" t="n">
        <v>2023</v>
      </c>
      <c r="C229" s="20" t="n">
        <v>43</v>
      </c>
      <c r="D229" s="20" t="s">
        <v>50</v>
      </c>
      <c r="E229" s="20" t="s">
        <v>1557</v>
      </c>
      <c r="F229" s="20" t="s">
        <v>1566</v>
      </c>
      <c r="G229" s="20" t="s">
        <v>86</v>
      </c>
      <c r="H229" s="20" t="s">
        <v>1559</v>
      </c>
      <c r="I229" s="20"/>
      <c r="J229" s="20" t="s">
        <v>1567</v>
      </c>
      <c r="K229" s="20" t="s">
        <v>273</v>
      </c>
      <c r="L229" s="20" t="s">
        <v>274</v>
      </c>
      <c r="M229" s="20" t="s">
        <v>275</v>
      </c>
      <c r="N229" s="20" t="s">
        <v>276</v>
      </c>
      <c r="O229" s="20" t="s">
        <v>277</v>
      </c>
      <c r="P229" s="20" t="s">
        <v>278</v>
      </c>
      <c r="Q229" s="20" t="s">
        <v>279</v>
      </c>
      <c r="R229" s="20" t="s">
        <v>280</v>
      </c>
      <c r="S229" s="20" t="s">
        <v>281</v>
      </c>
      <c r="T229" s="20" t="s">
        <v>282</v>
      </c>
      <c r="U229" s="20" t="s">
        <v>283</v>
      </c>
      <c r="V229" s="20" t="s">
        <v>95</v>
      </c>
      <c r="W229" s="20" t="s">
        <v>96</v>
      </c>
      <c r="X229" s="20" t="s">
        <v>97</v>
      </c>
      <c r="Y229" s="20" t="s">
        <v>70</v>
      </c>
      <c r="Z229" s="20" t="s">
        <v>284</v>
      </c>
      <c r="AA229" s="20" t="s">
        <v>1568</v>
      </c>
      <c r="AB229" s="20" t="s">
        <v>1568</v>
      </c>
      <c r="AC229" s="20" t="s">
        <v>1224</v>
      </c>
      <c r="AD229" s="20" t="s">
        <v>1568</v>
      </c>
      <c r="AE229" s="20"/>
      <c r="AF229" s="9" t="n">
        <v>0</v>
      </c>
      <c r="AG229" s="12" t="n">
        <v>0</v>
      </c>
      <c r="AH229" s="22" t="s">
        <v>607</v>
      </c>
      <c r="AI229" s="12" t="str">
        <f>IF(AH229="","",IFERROR(RIGHT("0000"&amp;AH229,4)&amp;" - "&amp;UPPER(_xlfn.XLOOKUP(RIGHT("0000"&amp;AH229,4),CODEBOOK_CAP!$C$2:$C$212,CODEBOOK_CAP!$D$2:$D$212)),"Código CAP não encontrado"))</f>
        <v>1300 - GERAL</v>
      </c>
      <c r="AJ229" s="12" t="str">
        <f>IF(AH229="","",IFERROR(_xlfn.XLOOKUP(RIGHT("0000"&amp;AH229,4),CODEBOOK_CAP!$C$2:$C$212,CODEBOOK_CAP!$E$2:$E$212),"Código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29" s="22" t="s">
        <v>79</v>
      </c>
      <c r="AL229" s="26" t="s">
        <v>1569</v>
      </c>
      <c r="AM229" s="22" t="s">
        <v>79</v>
      </c>
      <c r="AN229" s="22" t="s">
        <v>79</v>
      </c>
      <c r="AO229" s="12" t="s">
        <v>1569</v>
      </c>
      <c r="AP229" s="22" t="s">
        <v>79</v>
      </c>
      <c r="AQ229" s="12" t="s">
        <v>901</v>
      </c>
      <c r="AR229" s="22" t="s">
        <v>77</v>
      </c>
      <c r="AS229" s="10"/>
      <c r="AT229" s="2" t="s">
        <v>82</v>
      </c>
      <c r="AU229" s="12" t="s">
        <v>83</v>
      </c>
      <c r="AV229" s="3" t="n">
        <v>46218</v>
      </c>
      <c r="AW229" s="21"/>
      <c r="AY229" s="1"/>
      <c r="BA229" s="1"/>
      <c r="BB229" s="1"/>
    </row>
    <row r="230" ht="255" customHeight="1">
      <c r="A230" s="20" t="s">
        <v>1570</v>
      </c>
      <c r="B230" s="20" t="n">
        <v>2023</v>
      </c>
      <c r="C230" s="20" t="n">
        <v>44</v>
      </c>
      <c r="D230" s="20" t="s">
        <v>50</v>
      </c>
      <c r="E230" s="20" t="s">
        <v>1557</v>
      </c>
      <c r="F230" s="20" t="s">
        <v>1571</v>
      </c>
      <c r="G230" s="20" t="s">
        <v>86</v>
      </c>
      <c r="H230" s="20" t="s">
        <v>1559</v>
      </c>
      <c r="I230" s="20"/>
      <c r="J230" s="20" t="s">
        <v>1572</v>
      </c>
      <c r="K230" s="20" t="s">
        <v>207</v>
      </c>
      <c r="L230" s="20" t="s">
        <v>208</v>
      </c>
      <c r="M230" s="20" t="s">
        <v>209</v>
      </c>
      <c r="N230" s="20" t="s">
        <v>210</v>
      </c>
      <c r="O230" s="20" t="s">
        <v>211</v>
      </c>
      <c r="P230" s="20" t="s">
        <v>212</v>
      </c>
      <c r="Q230" s="20" t="s">
        <v>213</v>
      </c>
      <c r="R230" s="20" t="s">
        <v>214</v>
      </c>
      <c r="S230" s="20" t="s">
        <v>215</v>
      </c>
      <c r="T230" s="20" t="s">
        <v>216</v>
      </c>
      <c r="U230" s="20" t="s">
        <v>217</v>
      </c>
      <c r="V230" s="20" t="s">
        <v>67</v>
      </c>
      <c r="W230" s="20" t="s">
        <v>68</v>
      </c>
      <c r="X230" s="20" t="s">
        <v>69</v>
      </c>
      <c r="Y230" s="20" t="s">
        <v>70</v>
      </c>
      <c r="Z230" s="20" t="s">
        <v>177</v>
      </c>
      <c r="AA230" s="20" t="s">
        <v>125</v>
      </c>
      <c r="AB230" s="20" t="s">
        <v>77</v>
      </c>
      <c r="AC230" s="20" t="s">
        <v>77</v>
      </c>
      <c r="AD230" s="20" t="s">
        <v>77</v>
      </c>
      <c r="AE230" s="20"/>
      <c r="AF230" s="9" t="n">
        <v>0</v>
      </c>
      <c r="AG230" s="12" t="n">
        <v>0</v>
      </c>
      <c r="AH230" s="22" t="s">
        <v>219</v>
      </c>
      <c r="AI230" s="12" t="str">
        <f>IF(AH230="","",IFERROR(RIGHT("0000"&amp;AH230,4)&amp;" - "&amp;UPPER(_xlfn.XLOOKUP(RIGHT("0000"&amp;AH230,4),CODEBOOK_CAP!$C$2:$C$212,CODEBOOK_CAP!$D$2:$D$212)),"Código CAP não encontrado"))</f>
        <v>1002 - CARROS, TRÂNSITO, CONSTRUÇÃO E MANUTENÇÃO DE RUAS E ESTRADAS</v>
      </c>
      <c r="AJ230" s="12" t="str">
        <f>IF(AH230="","",IFERROR(_xlfn.XLOOKUP(RIGHT("0000"&amp;AH230,4),CODEBOOK_CAP!$C$2:$C$212,CODEBOOK_CAP!$E$2:$E$212),"Código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30" s="22" t="s">
        <v>79</v>
      </c>
      <c r="AL230" s="26" t="s">
        <v>1573</v>
      </c>
      <c r="AM230" s="22" t="s">
        <v>79</v>
      </c>
      <c r="AN230" s="22" t="s">
        <v>79</v>
      </c>
      <c r="AO230" s="12" t="s">
        <v>1573</v>
      </c>
      <c r="AP230" s="22" t="s">
        <v>77</v>
      </c>
      <c r="AQ230" s="12"/>
      <c r="AR230" s="22" t="s">
        <v>77</v>
      </c>
      <c r="AS230" s="10"/>
      <c r="AT230" s="2" t="s">
        <v>82</v>
      </c>
      <c r="AU230" s="12" t="s">
        <v>83</v>
      </c>
      <c r="AV230" s="3" t="n">
        <v>46218</v>
      </c>
      <c r="AW230" s="21"/>
      <c r="AY230" s="1"/>
      <c r="BA230" s="1"/>
      <c r="BB230" s="1"/>
    </row>
    <row r="231" ht="255" customHeight="1">
      <c r="A231" s="20" t="s">
        <v>1574</v>
      </c>
      <c r="B231" s="20" t="n">
        <v>2023</v>
      </c>
      <c r="C231" s="20" t="n">
        <v>45</v>
      </c>
      <c r="D231" s="20" t="s">
        <v>50</v>
      </c>
      <c r="E231" s="20" t="s">
        <v>1557</v>
      </c>
      <c r="F231" s="20" t="s">
        <v>1575</v>
      </c>
      <c r="G231" s="20" t="s">
        <v>86</v>
      </c>
      <c r="H231" s="20" t="s">
        <v>1559</v>
      </c>
      <c r="I231" s="20"/>
      <c r="J231" s="20" t="s">
        <v>1576</v>
      </c>
      <c r="K231" s="20" t="s">
        <v>207</v>
      </c>
      <c r="L231" s="20" t="s">
        <v>208</v>
      </c>
      <c r="M231" s="20" t="s">
        <v>209</v>
      </c>
      <c r="N231" s="20" t="s">
        <v>210</v>
      </c>
      <c r="O231" s="20" t="s">
        <v>211</v>
      </c>
      <c r="P231" s="20" t="s">
        <v>212</v>
      </c>
      <c r="Q231" s="20" t="s">
        <v>213</v>
      </c>
      <c r="R231" s="20" t="s">
        <v>214</v>
      </c>
      <c r="S231" s="20" t="s">
        <v>215</v>
      </c>
      <c r="T231" s="20" t="s">
        <v>216</v>
      </c>
      <c r="U231" s="20" t="s">
        <v>217</v>
      </c>
      <c r="V231" s="20" t="s">
        <v>67</v>
      </c>
      <c r="W231" s="20" t="s">
        <v>68</v>
      </c>
      <c r="X231" s="20" t="s">
        <v>69</v>
      </c>
      <c r="Y231" s="20" t="s">
        <v>70</v>
      </c>
      <c r="Z231" s="20" t="s">
        <v>177</v>
      </c>
      <c r="AA231" s="20" t="s">
        <v>462</v>
      </c>
      <c r="AB231" s="20" t="s">
        <v>1577</v>
      </c>
      <c r="AC231" s="20" t="s">
        <v>1577</v>
      </c>
      <c r="AD231" s="20" t="s">
        <v>1577</v>
      </c>
      <c r="AE231" s="20"/>
      <c r="AF231" s="9" t="n">
        <v>0</v>
      </c>
      <c r="AG231" s="12" t="n">
        <v>0</v>
      </c>
      <c r="AH231" s="22" t="s">
        <v>219</v>
      </c>
      <c r="AI231" s="12" t="str">
        <f>IF(AH231="","",IFERROR(RIGHT("0000"&amp;AH231,4)&amp;" - "&amp;UPPER(_xlfn.XLOOKUP(RIGHT("0000"&amp;AH231,4),CODEBOOK_CAP!$C$2:$C$212,CODEBOOK_CAP!$D$2:$D$212)),"Código CAP não encontrado"))</f>
        <v>1002 - CARROS, TRÂNSITO, CONSTRUÇÃO E MANUTENÇÃO DE RUAS E ESTRADAS</v>
      </c>
      <c r="AJ231" s="12" t="str">
        <f>IF(AH231="","",IFERROR(_xlfn.XLOOKUP(RIGHT("0000"&amp;AH231,4),CODEBOOK_CAP!$C$2:$C$212,CODEBOOK_CAP!$E$2:$E$212),"Código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31" s="22" t="s">
        <v>79</v>
      </c>
      <c r="AL231" s="26" t="s">
        <v>1578</v>
      </c>
      <c r="AM231" s="22" t="s">
        <v>79</v>
      </c>
      <c r="AN231" s="22" t="s">
        <v>79</v>
      </c>
      <c r="AO231" s="12" t="s">
        <v>1578</v>
      </c>
      <c r="AP231" s="22" t="s">
        <v>77</v>
      </c>
      <c r="AQ231" s="12"/>
      <c r="AR231" s="22" t="s">
        <v>77</v>
      </c>
      <c r="AS231" s="10"/>
      <c r="AT231" s="2" t="s">
        <v>82</v>
      </c>
      <c r="AU231" s="12" t="s">
        <v>83</v>
      </c>
      <c r="AV231" s="3" t="n">
        <v>46218</v>
      </c>
      <c r="AW231" s="21"/>
      <c r="AY231" s="1"/>
      <c r="BA231" s="1"/>
      <c r="BB231" s="1"/>
    </row>
    <row r="232" ht="255" customHeight="1">
      <c r="A232" s="20" t="s">
        <v>1579</v>
      </c>
      <c r="B232" s="20" t="n">
        <v>2023</v>
      </c>
      <c r="C232" s="20" t="n">
        <v>46</v>
      </c>
      <c r="D232" s="20" t="s">
        <v>50</v>
      </c>
      <c r="E232" s="20" t="s">
        <v>1557</v>
      </c>
      <c r="F232" s="20" t="s">
        <v>1580</v>
      </c>
      <c r="G232" s="20" t="s">
        <v>86</v>
      </c>
      <c r="H232" s="20" t="s">
        <v>1559</v>
      </c>
      <c r="I232" s="20"/>
      <c r="J232" s="20" t="s">
        <v>1581</v>
      </c>
      <c r="K232" s="20" t="s">
        <v>207</v>
      </c>
      <c r="L232" s="20" t="s">
        <v>208</v>
      </c>
      <c r="M232" s="20" t="s">
        <v>209</v>
      </c>
      <c r="N232" s="20" t="s">
        <v>210</v>
      </c>
      <c r="O232" s="20" t="s">
        <v>211</v>
      </c>
      <c r="P232" s="20" t="s">
        <v>212</v>
      </c>
      <c r="Q232" s="20" t="s">
        <v>213</v>
      </c>
      <c r="R232" s="20" t="s">
        <v>214</v>
      </c>
      <c r="S232" s="20" t="s">
        <v>215</v>
      </c>
      <c r="T232" s="20" t="s">
        <v>216</v>
      </c>
      <c r="U232" s="20" t="s">
        <v>217</v>
      </c>
      <c r="V232" s="20" t="s">
        <v>67</v>
      </c>
      <c r="W232" s="20" t="s">
        <v>68</v>
      </c>
      <c r="X232" s="20" t="s">
        <v>69</v>
      </c>
      <c r="Y232" s="20" t="s">
        <v>70</v>
      </c>
      <c r="Z232" s="20" t="s">
        <v>177</v>
      </c>
      <c r="AA232" s="20" t="s">
        <v>160</v>
      </c>
      <c r="AB232" s="20" t="s">
        <v>1582</v>
      </c>
      <c r="AC232" s="20" t="s">
        <v>1582</v>
      </c>
      <c r="AD232" s="20" t="s">
        <v>1582</v>
      </c>
      <c r="AE232" s="20"/>
      <c r="AF232" s="9" t="n">
        <v>0</v>
      </c>
      <c r="AG232" s="12" t="n">
        <v>0</v>
      </c>
      <c r="AH232" s="22" t="s">
        <v>219</v>
      </c>
      <c r="AI232" s="12" t="str">
        <f>IF(AH232="","",IFERROR(RIGHT("0000"&amp;AH232,4)&amp;" - "&amp;UPPER(_xlfn.XLOOKUP(RIGHT("0000"&amp;AH232,4),CODEBOOK_CAP!$C$2:$C$212,CODEBOOK_CAP!$D$2:$D$212)),"Código CAP não encontrado"))</f>
        <v>1002 - CARROS, TRÂNSITO, CONSTRUÇÃO E MANUTENÇÃO DE RUAS E ESTRADAS</v>
      </c>
      <c r="AJ232" s="12" t="str">
        <f>IF(AH232="","",IFERROR(_xlfn.XLOOKUP(RIGHT("0000"&amp;AH232,4),CODEBOOK_CAP!$C$2:$C$212,CODEBOOK_CAP!$E$2:$E$212),"Código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32" s="22" t="s">
        <v>79</v>
      </c>
      <c r="AL232" s="26" t="s">
        <v>1583</v>
      </c>
      <c r="AM232" s="22" t="s">
        <v>79</v>
      </c>
      <c r="AN232" s="22" t="s">
        <v>79</v>
      </c>
      <c r="AO232" s="12" t="s">
        <v>1583</v>
      </c>
      <c r="AP232" s="22" t="s">
        <v>77</v>
      </c>
      <c r="AQ232" s="12"/>
      <c r="AR232" s="22" t="s">
        <v>77</v>
      </c>
      <c r="AS232" s="10"/>
      <c r="AT232" s="2" t="s">
        <v>82</v>
      </c>
      <c r="AU232" s="12" t="s">
        <v>83</v>
      </c>
      <c r="AV232" s="3" t="n">
        <v>46218</v>
      </c>
      <c r="AW232" s="21"/>
      <c r="AY232" s="1"/>
      <c r="BA232" s="1"/>
      <c r="BB232" s="1"/>
    </row>
    <row r="233" ht="105" customHeight="1">
      <c r="A233" s="20" t="s">
        <v>1584</v>
      </c>
      <c r="B233" s="20" t="n">
        <v>2023</v>
      </c>
      <c r="C233" s="20" t="n">
        <v>47</v>
      </c>
      <c r="D233" s="20" t="s">
        <v>50</v>
      </c>
      <c r="E233" s="20" t="s">
        <v>1557</v>
      </c>
      <c r="F233" s="20" t="s">
        <v>1585</v>
      </c>
      <c r="G233" s="20" t="s">
        <v>183</v>
      </c>
      <c r="H233" s="20" t="s">
        <v>1559</v>
      </c>
      <c r="I233" s="20"/>
      <c r="J233" s="20" t="s">
        <v>1586</v>
      </c>
      <c r="K233" s="20" t="s">
        <v>1587</v>
      </c>
      <c r="L233" s="20" t="s">
        <v>186</v>
      </c>
      <c r="M233" s="20" t="s">
        <v>187</v>
      </c>
      <c r="N233" s="20" t="s">
        <v>188</v>
      </c>
      <c r="O233" s="20" t="s">
        <v>189</v>
      </c>
      <c r="P233" s="20" t="s">
        <v>190</v>
      </c>
      <c r="Q233" s="20" t="s">
        <v>191</v>
      </c>
      <c r="R233" s="20" t="s">
        <v>192</v>
      </c>
      <c r="S233" s="20" t="s">
        <v>193</v>
      </c>
      <c r="T233" s="20" t="s">
        <v>194</v>
      </c>
      <c r="U233" s="20" t="s">
        <v>195</v>
      </c>
      <c r="V233" s="20" t="s">
        <v>196</v>
      </c>
      <c r="W233" s="20" t="s">
        <v>68</v>
      </c>
      <c r="X233" s="20" t="s">
        <v>69</v>
      </c>
      <c r="Y233" s="20" t="s">
        <v>70</v>
      </c>
      <c r="Z233" s="20" t="s">
        <v>197</v>
      </c>
      <c r="AA233" s="20" t="s">
        <v>292</v>
      </c>
      <c r="AB233" s="20" t="s">
        <v>77</v>
      </c>
      <c r="AC233" s="20" t="s">
        <v>77</v>
      </c>
      <c r="AD233" s="20" t="s">
        <v>77</v>
      </c>
      <c r="AE233" s="20"/>
      <c r="AF233" s="9" t="n">
        <v>0</v>
      </c>
      <c r="AG233" s="12" t="n">
        <v>0</v>
      </c>
      <c r="AH233" s="22" t="s">
        <v>161</v>
      </c>
      <c r="AI233" s="12" t="str">
        <f>IF(AH233="","",IFERROR(RIGHT("0000"&amp;AH233,4)&amp;" - "&amp;UPPER(_xlfn.XLOOKUP(RIGHT("0000"&amp;AH233,4),CODEBOOK_CAP!$C$2:$C$212,CODEBOOK_CAP!$D$2:$D$212)),"Código CAP não encontrado"))</f>
        <v>2300 - GERAL</v>
      </c>
      <c r="AJ233" s="12" t="str">
        <f>IF(AH233="","",IFERROR(_xlfn.XLOOKUP(RIGHT("0000"&amp;AH233,4),CODEBOOK_CAP!$C$2:$C$212,CODEBOOK_CAP!$E$2:$E$212),"Código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33" s="22" t="s">
        <v>79</v>
      </c>
      <c r="AL233" s="26" t="s">
        <v>1588</v>
      </c>
      <c r="AM233" s="22" t="s">
        <v>79</v>
      </c>
      <c r="AN233" s="22" t="s">
        <v>79</v>
      </c>
      <c r="AO233" s="12" t="s">
        <v>1588</v>
      </c>
      <c r="AP233" s="22" t="s">
        <v>77</v>
      </c>
      <c r="AQ233" s="12"/>
      <c r="AR233" s="22" t="s">
        <v>77</v>
      </c>
      <c r="AS233" s="10"/>
      <c r="AT233" s="2" t="s">
        <v>82</v>
      </c>
      <c r="AU233" s="12" t="s">
        <v>83</v>
      </c>
      <c r="AV233" s="3" t="n">
        <v>46218</v>
      </c>
      <c r="AW233" s="21"/>
      <c r="AX233" s="1" t="s">
        <v>6956</v>
      </c>
      <c r="AY233" s="1"/>
      <c r="BA233" s="1"/>
      <c r="BB233" s="1"/>
    </row>
    <row r="234" ht="105" customHeight="1">
      <c r="A234" s="20" t="s">
        <v>1589</v>
      </c>
      <c r="B234" s="20" t="n">
        <v>2023</v>
      </c>
      <c r="C234" s="20" t="n">
        <v>48</v>
      </c>
      <c r="D234" s="20" t="s">
        <v>50</v>
      </c>
      <c r="E234" s="20" t="s">
        <v>1557</v>
      </c>
      <c r="F234" s="20" t="s">
        <v>1590</v>
      </c>
      <c r="G234" s="20" t="s">
        <v>86</v>
      </c>
      <c r="H234" s="20" t="s">
        <v>1559</v>
      </c>
      <c r="I234" s="20"/>
      <c r="J234" s="20" t="s">
        <v>1591</v>
      </c>
      <c r="K234" s="20" t="s">
        <v>1587</v>
      </c>
      <c r="L234" s="20" t="s">
        <v>186</v>
      </c>
      <c r="M234" s="20" t="s">
        <v>187</v>
      </c>
      <c r="N234" s="20" t="s">
        <v>188</v>
      </c>
      <c r="O234" s="20" t="s">
        <v>189</v>
      </c>
      <c r="P234" s="20" t="s">
        <v>190</v>
      </c>
      <c r="Q234" s="20" t="s">
        <v>191</v>
      </c>
      <c r="R234" s="20" t="s">
        <v>192</v>
      </c>
      <c r="S234" s="20" t="s">
        <v>193</v>
      </c>
      <c r="T234" s="20" t="s">
        <v>194</v>
      </c>
      <c r="U234" s="20" t="s">
        <v>195</v>
      </c>
      <c r="V234" s="20" t="s">
        <v>196</v>
      </c>
      <c r="W234" s="20" t="s">
        <v>68</v>
      </c>
      <c r="X234" s="20" t="s">
        <v>69</v>
      </c>
      <c r="Y234" s="20" t="s">
        <v>70</v>
      </c>
      <c r="Z234" s="20" t="s">
        <v>197</v>
      </c>
      <c r="AA234" s="20" t="s">
        <v>1592</v>
      </c>
      <c r="AB234" s="20" t="s">
        <v>1432</v>
      </c>
      <c r="AC234" s="20" t="s">
        <v>1432</v>
      </c>
      <c r="AD234" s="20" t="s">
        <v>1432</v>
      </c>
      <c r="AE234" s="20"/>
      <c r="AF234" s="9" t="n">
        <v>0</v>
      </c>
      <c r="AG234" s="12" t="n">
        <v>0</v>
      </c>
      <c r="AH234" s="22" t="s">
        <v>161</v>
      </c>
      <c r="AI234" s="12" t="str">
        <f>IF(AH234="","",IFERROR(RIGHT("0000"&amp;AH234,4)&amp;" - "&amp;UPPER(_xlfn.XLOOKUP(RIGHT("0000"&amp;AH234,4),CODEBOOK_CAP!$C$2:$C$212,CODEBOOK_CAP!$D$2:$D$212)),"Código CAP não encontrado"))</f>
        <v>2300 - GERAL</v>
      </c>
      <c r="AJ234" s="12" t="str">
        <f>IF(AH234="","",IFERROR(_xlfn.XLOOKUP(RIGHT("0000"&amp;AH234,4),CODEBOOK_CAP!$C$2:$C$212,CODEBOOK_CAP!$E$2:$E$212),"Código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34" s="22" t="s">
        <v>79</v>
      </c>
      <c r="AL234" s="26" t="s">
        <v>1593</v>
      </c>
      <c r="AM234" s="22" t="s">
        <v>79</v>
      </c>
      <c r="AN234" s="22" t="s">
        <v>79</v>
      </c>
      <c r="AO234" s="12" t="s">
        <v>1593</v>
      </c>
      <c r="AP234" s="22" t="s">
        <v>77</v>
      </c>
      <c r="AQ234" s="12"/>
      <c r="AR234" s="22" t="s">
        <v>77</v>
      </c>
      <c r="AS234" s="10"/>
      <c r="AT234" s="2" t="s">
        <v>82</v>
      </c>
      <c r="AU234" s="12" t="s">
        <v>83</v>
      </c>
      <c r="AV234" s="3" t="n">
        <v>46218</v>
      </c>
      <c r="AW234" s="21"/>
      <c r="AX234" s="1" t="s">
        <v>6956</v>
      </c>
      <c r="AY234" s="1"/>
      <c r="BA234" s="1"/>
      <c r="BB234" s="1"/>
    </row>
    <row r="235" ht="120" customHeight="1">
      <c r="A235" s="20" t="s">
        <v>1594</v>
      </c>
      <c r="B235" s="20" t="n">
        <v>2023</v>
      </c>
      <c r="C235" s="20" t="n">
        <v>49</v>
      </c>
      <c r="D235" s="20" t="s">
        <v>50</v>
      </c>
      <c r="E235" s="20" t="s">
        <v>1557</v>
      </c>
      <c r="F235" s="20" t="s">
        <v>1595</v>
      </c>
      <c r="G235" s="20" t="s">
        <v>86</v>
      </c>
      <c r="H235" s="20" t="s">
        <v>1559</v>
      </c>
      <c r="I235" s="20"/>
      <c r="J235" s="20" t="s">
        <v>1596</v>
      </c>
      <c r="K235" s="20" t="s">
        <v>56</v>
      </c>
      <c r="L235" s="20" t="s">
        <v>57</v>
      </c>
      <c r="M235" s="20" t="s">
        <v>58</v>
      </c>
      <c r="N235" s="20" t="s">
        <v>59</v>
      </c>
      <c r="O235" s="20" t="s">
        <v>60</v>
      </c>
      <c r="P235" s="20" t="s">
        <v>61</v>
      </c>
      <c r="Q235" s="20" t="s">
        <v>62</v>
      </c>
      <c r="R235" s="20" t="s">
        <v>63</v>
      </c>
      <c r="S235" s="20" t="s">
        <v>64</v>
      </c>
      <c r="T235" s="20" t="s">
        <v>65</v>
      </c>
      <c r="U235" s="20" t="s">
        <v>66</v>
      </c>
      <c r="V235" s="20" t="s">
        <v>67</v>
      </c>
      <c r="W235" s="20" t="s">
        <v>68</v>
      </c>
      <c r="X235" s="20" t="s">
        <v>69</v>
      </c>
      <c r="Y235" s="20" t="s">
        <v>70</v>
      </c>
      <c r="Z235" s="20" t="s">
        <v>71</v>
      </c>
      <c r="AA235" s="20" t="s">
        <v>1597</v>
      </c>
      <c r="AB235" s="20" t="s">
        <v>1598</v>
      </c>
      <c r="AC235" s="20" t="s">
        <v>1599</v>
      </c>
      <c r="AD235" s="20" t="s">
        <v>1599</v>
      </c>
      <c r="AE235" s="20" t="s">
        <v>1600</v>
      </c>
      <c r="AF235" s="9" t="n">
        <v>1</v>
      </c>
      <c r="AG235" s="12" t="n">
        <v>1</v>
      </c>
      <c r="AH235" s="22" t="s">
        <v>235</v>
      </c>
      <c r="AI235" s="12" t="str">
        <f>IF(AH235="","",IFERROR(RIGHT("0000"&amp;AH235,4)&amp;" - "&amp;UPPER(_xlfn.XLOOKUP(RIGHT("0000"&amp;AH235,4),CODEBOOK_CAP!$C$2:$C$212,CODEBOOK_CAP!$D$2:$D$212)),"Código CAP não encontrado"))</f>
        <v>0322 - ESTRUTURAS, HOSPITAIS, CLÍNICAS</v>
      </c>
      <c r="AJ235" s="12" t="str">
        <f>IF(AH235="","",IFERROR(_xlfn.XLOOKUP(RIGHT("0000"&amp;AH235,4),CODEBOOK_CAP!$C$2:$C$212,CODEBOOK_CAP!$E$2:$E$212),"Código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35" s="22" t="s">
        <v>79</v>
      </c>
      <c r="AL235" s="26" t="s">
        <v>1601</v>
      </c>
      <c r="AM235" s="22" t="s">
        <v>79</v>
      </c>
      <c r="AN235" s="22" t="s">
        <v>79</v>
      </c>
      <c r="AO235" s="12" t="s">
        <v>1602</v>
      </c>
      <c r="AP235" s="22" t="s">
        <v>77</v>
      </c>
      <c r="AQ235" s="12"/>
      <c r="AR235" s="22" t="s">
        <v>79</v>
      </c>
      <c r="AS235" s="10" t="s">
        <v>1600</v>
      </c>
      <c r="AT235" s="2" t="s">
        <v>82</v>
      </c>
      <c r="AU235" s="12" t="s">
        <v>83</v>
      </c>
      <c r="AV235" s="3" t="n">
        <v>46218</v>
      </c>
      <c r="AW235" s="21"/>
      <c r="AY235" s="1"/>
      <c r="BA235" s="1"/>
      <c r="BB235" s="1"/>
    </row>
    <row r="236" ht="120" customHeight="1">
      <c r="A236" s="20" t="s">
        <v>1603</v>
      </c>
      <c r="B236" s="20" t="n">
        <v>2023</v>
      </c>
      <c r="C236" s="20" t="n">
        <v>50</v>
      </c>
      <c r="D236" s="20" t="s">
        <v>50</v>
      </c>
      <c r="E236" s="20" t="s">
        <v>1557</v>
      </c>
      <c r="F236" s="20" t="s">
        <v>1604</v>
      </c>
      <c r="G236" s="20" t="s">
        <v>86</v>
      </c>
      <c r="H236" s="20" t="s">
        <v>1559</v>
      </c>
      <c r="I236" s="20"/>
      <c r="J236" s="20" t="s">
        <v>1037</v>
      </c>
      <c r="K236" s="20" t="s">
        <v>416</v>
      </c>
      <c r="L236" s="20" t="s">
        <v>57</v>
      </c>
      <c r="M236" s="20" t="s">
        <v>58</v>
      </c>
      <c r="N236" s="20" t="s">
        <v>59</v>
      </c>
      <c r="O236" s="20" t="s">
        <v>60</v>
      </c>
      <c r="P236" s="20" t="s">
        <v>89</v>
      </c>
      <c r="Q236" s="20" t="s">
        <v>90</v>
      </c>
      <c r="R236" s="20" t="s">
        <v>91</v>
      </c>
      <c r="S236" s="20" t="s">
        <v>92</v>
      </c>
      <c r="T236" s="20" t="s">
        <v>123</v>
      </c>
      <c r="U236" s="20" t="s">
        <v>124</v>
      </c>
      <c r="V236" s="20" t="s">
        <v>417</v>
      </c>
      <c r="W236" s="20" t="s">
        <v>96</v>
      </c>
      <c r="X236" s="20" t="s">
        <v>97</v>
      </c>
      <c r="Y236" s="20" t="s">
        <v>70</v>
      </c>
      <c r="Z236" s="20" t="s">
        <v>98</v>
      </c>
      <c r="AA236" s="20" t="s">
        <v>1605</v>
      </c>
      <c r="AB236" s="20" t="s">
        <v>1605</v>
      </c>
      <c r="AC236" s="20" t="s">
        <v>1605</v>
      </c>
      <c r="AD236" s="20" t="s">
        <v>1605</v>
      </c>
      <c r="AE236" s="20"/>
      <c r="AF236" s="9" t="n">
        <v>1</v>
      </c>
      <c r="AG236" s="12" t="n">
        <v>1</v>
      </c>
      <c r="AH236" s="22" t="s">
        <v>235</v>
      </c>
      <c r="AI236" s="12" t="str">
        <f>IF(AH236="","",IFERROR(RIGHT("0000"&amp;AH236,4)&amp;" - "&amp;UPPER(_xlfn.XLOOKUP(RIGHT("0000"&amp;AH236,4),CODEBOOK_CAP!$C$2:$C$212,CODEBOOK_CAP!$D$2:$D$212)),"Código CAP não encontrado"))</f>
        <v>0322 - ESTRUTURAS, HOSPITAIS, CLÍNICAS</v>
      </c>
      <c r="AJ236" s="12" t="str">
        <f>IF(AH236="","",IFERROR(_xlfn.XLOOKUP(RIGHT("0000"&amp;AH236,4),CODEBOOK_CAP!$C$2:$C$212,CODEBOOK_CAP!$E$2:$E$212),"Código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36" s="22" t="s">
        <v>77</v>
      </c>
      <c r="AL236" s="26"/>
      <c r="AM236" s="22" t="s">
        <v>79</v>
      </c>
      <c r="AN236" s="22" t="s">
        <v>79</v>
      </c>
      <c r="AO236" s="12" t="s">
        <v>953</v>
      </c>
      <c r="AP236" s="22" t="s">
        <v>77</v>
      </c>
      <c r="AQ236" s="12"/>
      <c r="AR236" s="22" t="s">
        <v>77</v>
      </c>
      <c r="AS236" s="10"/>
      <c r="AT236" s="2" t="s">
        <v>82</v>
      </c>
      <c r="AU236" s="12" t="s">
        <v>83</v>
      </c>
      <c r="AV236" s="3" t="n">
        <v>46218</v>
      </c>
      <c r="AW236" s="21"/>
      <c r="AY236" s="1"/>
      <c r="BA236" s="1"/>
      <c r="BB236" s="1"/>
    </row>
    <row r="237" ht="105" customHeight="1">
      <c r="A237" s="20" t="s">
        <v>1606</v>
      </c>
      <c r="B237" s="20" t="n">
        <v>2023</v>
      </c>
      <c r="C237" s="20" t="n">
        <v>51</v>
      </c>
      <c r="D237" s="20" t="s">
        <v>50</v>
      </c>
      <c r="E237" s="20" t="s">
        <v>1557</v>
      </c>
      <c r="F237" s="20" t="s">
        <v>1607</v>
      </c>
      <c r="G237" s="20" t="s">
        <v>86</v>
      </c>
      <c r="H237" s="20" t="s">
        <v>1559</v>
      </c>
      <c r="I237" s="20"/>
      <c r="J237" s="20" t="s">
        <v>1608</v>
      </c>
      <c r="K237" s="20" t="s">
        <v>1609</v>
      </c>
      <c r="L237" s="20" t="s">
        <v>208</v>
      </c>
      <c r="M237" s="20" t="s">
        <v>209</v>
      </c>
      <c r="N237" s="20" t="s">
        <v>188</v>
      </c>
      <c r="O237" s="20" t="s">
        <v>189</v>
      </c>
      <c r="P237" s="20" t="s">
        <v>190</v>
      </c>
      <c r="Q237" s="20" t="s">
        <v>191</v>
      </c>
      <c r="R237" s="20" t="s">
        <v>192</v>
      </c>
      <c r="S237" s="20" t="s">
        <v>193</v>
      </c>
      <c r="T237" s="20" t="s">
        <v>242</v>
      </c>
      <c r="U237" s="20" t="s">
        <v>243</v>
      </c>
      <c r="V237" s="20" t="s">
        <v>196</v>
      </c>
      <c r="W237" s="20" t="s">
        <v>68</v>
      </c>
      <c r="X237" s="20" t="s">
        <v>69</v>
      </c>
      <c r="Y237" s="20" t="s">
        <v>70</v>
      </c>
      <c r="Z237" s="20" t="s">
        <v>177</v>
      </c>
      <c r="AA237" s="20" t="s">
        <v>409</v>
      </c>
      <c r="AB237" s="20" t="s">
        <v>1610</v>
      </c>
      <c r="AC237" s="20" t="s">
        <v>1610</v>
      </c>
      <c r="AD237" s="20" t="s">
        <v>1610</v>
      </c>
      <c r="AE237" s="20"/>
      <c r="AF237" s="9" t="n">
        <v>0</v>
      </c>
      <c r="AG237" s="12" t="n">
        <v>0</v>
      </c>
      <c r="AH237" s="22" t="s">
        <v>161</v>
      </c>
      <c r="AI237" s="12" t="str">
        <f>IF(AH237="","",IFERROR(RIGHT("0000"&amp;AH237,4)&amp;" - "&amp;UPPER(_xlfn.XLOOKUP(RIGHT("0000"&amp;AH237,4),CODEBOOK_CAP!$C$2:$C$212,CODEBOOK_CAP!$D$2:$D$212)),"Código CAP não encontrado"))</f>
        <v>2300 - GERAL</v>
      </c>
      <c r="AJ237" s="12" t="str">
        <f>IF(AH237="","",IFERROR(_xlfn.XLOOKUP(RIGHT("0000"&amp;AH237,4),CODEBOOK_CAP!$C$2:$C$212,CODEBOOK_CAP!$E$2:$E$212),"Código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37" s="22" t="s">
        <v>79</v>
      </c>
      <c r="AL237" s="26" t="s">
        <v>1611</v>
      </c>
      <c r="AM237" s="22" t="s">
        <v>79</v>
      </c>
      <c r="AN237" s="22" t="s">
        <v>79</v>
      </c>
      <c r="AO237" s="12" t="s">
        <v>1611</v>
      </c>
      <c r="AP237" s="22" t="s">
        <v>77</v>
      </c>
      <c r="AQ237" s="12"/>
      <c r="AR237" s="22" t="s">
        <v>77</v>
      </c>
      <c r="AS237" s="10"/>
      <c r="AT237" s="2" t="s">
        <v>82</v>
      </c>
      <c r="AU237" s="12" t="s">
        <v>83</v>
      </c>
      <c r="AV237" s="3" t="n">
        <v>46218</v>
      </c>
      <c r="AW237" s="21"/>
      <c r="AX237" s="1" t="s">
        <v>6956</v>
      </c>
      <c r="AY237" s="1"/>
      <c r="BA237" s="1"/>
      <c r="BB237" s="1"/>
    </row>
    <row r="238" ht="105" customHeight="1">
      <c r="A238" s="20" t="s">
        <v>1612</v>
      </c>
      <c r="B238" s="20" t="n">
        <v>2023</v>
      </c>
      <c r="C238" s="20" t="n">
        <v>52</v>
      </c>
      <c r="D238" s="20" t="s">
        <v>50</v>
      </c>
      <c r="E238" s="20" t="s">
        <v>1557</v>
      </c>
      <c r="F238" s="20" t="s">
        <v>1613</v>
      </c>
      <c r="G238" s="20" t="s">
        <v>183</v>
      </c>
      <c r="H238" s="20" t="s">
        <v>1559</v>
      </c>
      <c r="I238" s="20"/>
      <c r="J238" s="20" t="s">
        <v>1614</v>
      </c>
      <c r="K238" s="20" t="s">
        <v>1609</v>
      </c>
      <c r="L238" s="20" t="s">
        <v>208</v>
      </c>
      <c r="M238" s="20" t="s">
        <v>209</v>
      </c>
      <c r="N238" s="20" t="s">
        <v>188</v>
      </c>
      <c r="O238" s="20" t="s">
        <v>189</v>
      </c>
      <c r="P238" s="20" t="s">
        <v>190</v>
      </c>
      <c r="Q238" s="20" t="s">
        <v>191</v>
      </c>
      <c r="R238" s="20" t="s">
        <v>192</v>
      </c>
      <c r="S238" s="20" t="s">
        <v>193</v>
      </c>
      <c r="T238" s="20" t="s">
        <v>242</v>
      </c>
      <c r="U238" s="20" t="s">
        <v>243</v>
      </c>
      <c r="V238" s="20" t="s">
        <v>196</v>
      </c>
      <c r="W238" s="20" t="s">
        <v>68</v>
      </c>
      <c r="X238" s="20" t="s">
        <v>69</v>
      </c>
      <c r="Y238" s="20" t="s">
        <v>70</v>
      </c>
      <c r="Z238" s="20" t="s">
        <v>177</v>
      </c>
      <c r="AA238" s="20" t="s">
        <v>125</v>
      </c>
      <c r="AB238" s="20" t="s">
        <v>77</v>
      </c>
      <c r="AC238" s="20" t="s">
        <v>77</v>
      </c>
      <c r="AD238" s="20" t="s">
        <v>77</v>
      </c>
      <c r="AE238" s="20"/>
      <c r="AF238" s="9" t="n">
        <v>0</v>
      </c>
      <c r="AG238" s="12" t="n">
        <v>0</v>
      </c>
      <c r="AH238" s="22" t="s">
        <v>161</v>
      </c>
      <c r="AI238" s="12" t="str">
        <f>IF(AH238="","",IFERROR(RIGHT("0000"&amp;AH238,4)&amp;" - "&amp;UPPER(_xlfn.XLOOKUP(RIGHT("0000"&amp;AH238,4),CODEBOOK_CAP!$C$2:$C$212,CODEBOOK_CAP!$D$2:$D$212)),"Código CAP não encontrado"))</f>
        <v>2300 - GERAL</v>
      </c>
      <c r="AJ238" s="12" t="str">
        <f>IF(AH238="","",IFERROR(_xlfn.XLOOKUP(RIGHT("0000"&amp;AH238,4),CODEBOOK_CAP!$C$2:$C$212,CODEBOOK_CAP!$E$2:$E$212),"Código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38" s="22" t="s">
        <v>79</v>
      </c>
      <c r="AL238" s="26" t="s">
        <v>1615</v>
      </c>
      <c r="AM238" s="22" t="s">
        <v>79</v>
      </c>
      <c r="AN238" s="22" t="s">
        <v>79</v>
      </c>
      <c r="AO238" s="12" t="s">
        <v>1615</v>
      </c>
      <c r="AP238" s="22" t="s">
        <v>77</v>
      </c>
      <c r="AQ238" s="12"/>
      <c r="AR238" s="22" t="s">
        <v>77</v>
      </c>
      <c r="AS238" s="10"/>
      <c r="AT238" s="2" t="s">
        <v>82</v>
      </c>
      <c r="AU238" s="12" t="s">
        <v>83</v>
      </c>
      <c r="AV238" s="3" t="n">
        <v>46218</v>
      </c>
      <c r="AW238" s="21"/>
      <c r="AX238" s="1" t="s">
        <v>6956</v>
      </c>
      <c r="AY238" s="1"/>
      <c r="BA238" s="1"/>
      <c r="BB238" s="1"/>
    </row>
    <row r="239" ht="255" customHeight="1">
      <c r="A239" s="20" t="s">
        <v>1616</v>
      </c>
      <c r="B239" s="20" t="n">
        <v>2023</v>
      </c>
      <c r="C239" s="20" t="n">
        <v>448</v>
      </c>
      <c r="D239" s="20" t="s">
        <v>50</v>
      </c>
      <c r="E239" s="20" t="s">
        <v>1557</v>
      </c>
      <c r="F239" s="20" t="s">
        <v>1617</v>
      </c>
      <c r="G239" s="20" t="s">
        <v>86</v>
      </c>
      <c r="H239" s="20" t="s">
        <v>1559</v>
      </c>
      <c r="I239" s="20"/>
      <c r="J239" s="20" t="s">
        <v>1618</v>
      </c>
      <c r="K239" s="20" t="s">
        <v>207</v>
      </c>
      <c r="L239" s="20" t="s">
        <v>208</v>
      </c>
      <c r="M239" s="20" t="s">
        <v>209</v>
      </c>
      <c r="N239" s="20" t="s">
        <v>210</v>
      </c>
      <c r="O239" s="20" t="s">
        <v>211</v>
      </c>
      <c r="P239" s="20" t="s">
        <v>212</v>
      </c>
      <c r="Q239" s="20" t="s">
        <v>213</v>
      </c>
      <c r="R239" s="20" t="s">
        <v>214</v>
      </c>
      <c r="S239" s="20" t="s">
        <v>215</v>
      </c>
      <c r="T239" s="20" t="s">
        <v>216</v>
      </c>
      <c r="U239" s="20" t="s">
        <v>217</v>
      </c>
      <c r="V239" s="20" t="s">
        <v>67</v>
      </c>
      <c r="W239" s="20" t="s">
        <v>68</v>
      </c>
      <c r="X239" s="20" t="s">
        <v>69</v>
      </c>
      <c r="Y239" s="20" t="s">
        <v>70</v>
      </c>
      <c r="Z239" s="20" t="s">
        <v>177</v>
      </c>
      <c r="AA239" s="20" t="s">
        <v>198</v>
      </c>
      <c r="AB239" s="20" t="s">
        <v>1619</v>
      </c>
      <c r="AC239" s="20" t="s">
        <v>1619</v>
      </c>
      <c r="AD239" s="20" t="s">
        <v>1619</v>
      </c>
      <c r="AE239" s="20"/>
      <c r="AF239" s="9" t="n">
        <v>0</v>
      </c>
      <c r="AG239" s="12" t="n">
        <v>0</v>
      </c>
      <c r="AH239" s="22" t="s">
        <v>219</v>
      </c>
      <c r="AI239" s="12" t="str">
        <f>IF(AH239="","",IFERROR(RIGHT("0000"&amp;AH239,4)&amp;" - "&amp;UPPER(_xlfn.XLOOKUP(RIGHT("0000"&amp;AH239,4),CODEBOOK_CAP!$C$2:$C$212,CODEBOOK_CAP!$D$2:$D$212)),"Código CAP não encontrado"))</f>
        <v>1002 - CARROS, TRÂNSITO, CONSTRUÇÃO E MANUTENÇÃO DE RUAS E ESTRADAS</v>
      </c>
      <c r="AJ239" s="12" t="str">
        <f>IF(AH239="","",IFERROR(_xlfn.XLOOKUP(RIGHT("0000"&amp;AH239,4),CODEBOOK_CAP!$C$2:$C$212,CODEBOOK_CAP!$E$2:$E$212),"Código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39" s="22" t="s">
        <v>79</v>
      </c>
      <c r="AL239" s="26" t="s">
        <v>1620</v>
      </c>
      <c r="AM239" s="22" t="s">
        <v>79</v>
      </c>
      <c r="AN239" s="22" t="s">
        <v>79</v>
      </c>
      <c r="AO239" s="12" t="s">
        <v>1620</v>
      </c>
      <c r="AP239" s="22" t="s">
        <v>77</v>
      </c>
      <c r="AQ239" s="12"/>
      <c r="AR239" s="22" t="s">
        <v>77</v>
      </c>
      <c r="AS239" s="10"/>
      <c r="AT239" s="2" t="s">
        <v>82</v>
      </c>
      <c r="AU239" s="12" t="s">
        <v>83</v>
      </c>
      <c r="AV239" s="3" t="n">
        <v>46218</v>
      </c>
      <c r="AW239" s="21"/>
      <c r="AY239" s="1"/>
      <c r="BA239" s="1"/>
      <c r="BB239" s="1"/>
    </row>
    <row r="240" ht="120" customHeight="1">
      <c r="A240" s="20" t="s">
        <v>1621</v>
      </c>
      <c r="B240" s="20" t="n">
        <v>2023</v>
      </c>
      <c r="C240" s="20" t="n">
        <v>119</v>
      </c>
      <c r="D240" s="20" t="s">
        <v>50</v>
      </c>
      <c r="E240" s="20" t="s">
        <v>1622</v>
      </c>
      <c r="F240" s="20" t="s">
        <v>1623</v>
      </c>
      <c r="G240" s="20" t="s">
        <v>183</v>
      </c>
      <c r="H240" s="20" t="s">
        <v>1624</v>
      </c>
      <c r="I240" s="20"/>
      <c r="J240" s="20" t="s">
        <v>1625</v>
      </c>
      <c r="K240" s="20" t="s">
        <v>56</v>
      </c>
      <c r="L240" s="20" t="s">
        <v>57</v>
      </c>
      <c r="M240" s="20" t="s">
        <v>58</v>
      </c>
      <c r="N240" s="20" t="s">
        <v>59</v>
      </c>
      <c r="O240" s="20" t="s">
        <v>60</v>
      </c>
      <c r="P240" s="20" t="s">
        <v>61</v>
      </c>
      <c r="Q240" s="20" t="s">
        <v>62</v>
      </c>
      <c r="R240" s="20" t="s">
        <v>63</v>
      </c>
      <c r="S240" s="20" t="s">
        <v>64</v>
      </c>
      <c r="T240" s="20" t="s">
        <v>65</v>
      </c>
      <c r="U240" s="20" t="s">
        <v>66</v>
      </c>
      <c r="V240" s="20" t="s">
        <v>67</v>
      </c>
      <c r="W240" s="20" t="s">
        <v>68</v>
      </c>
      <c r="X240" s="20" t="s">
        <v>69</v>
      </c>
      <c r="Y240" s="20" t="s">
        <v>70</v>
      </c>
      <c r="Z240" s="20" t="s">
        <v>71</v>
      </c>
      <c r="AA240" s="20" t="s">
        <v>1626</v>
      </c>
      <c r="AB240" s="20" t="s">
        <v>77</v>
      </c>
      <c r="AC240" s="20" t="s">
        <v>77</v>
      </c>
      <c r="AD240" s="20" t="s">
        <v>77</v>
      </c>
      <c r="AE240" s="20"/>
      <c r="AF240" s="9" t="n">
        <v>1</v>
      </c>
      <c r="AG240" s="12" t="n">
        <v>1</v>
      </c>
      <c r="AH240" s="22" t="s">
        <v>235</v>
      </c>
      <c r="AI240" s="12" t="str">
        <f>IF(AH240="","",IFERROR(RIGHT("0000"&amp;AH240,4)&amp;" - "&amp;UPPER(_xlfn.XLOOKUP(RIGHT("0000"&amp;AH240,4),CODEBOOK_CAP!$C$2:$C$212,CODEBOOK_CAP!$D$2:$D$212)),"Código CAP não encontrado"))</f>
        <v>0322 - ESTRUTURAS, HOSPITAIS, CLÍNICAS</v>
      </c>
      <c r="AJ240" s="12" t="str">
        <f>IF(AH240="","",IFERROR(_xlfn.XLOOKUP(RIGHT("0000"&amp;AH240,4),CODEBOOK_CAP!$C$2:$C$212,CODEBOOK_CAP!$E$2:$E$212),"Código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0" s="22" t="s">
        <v>77</v>
      </c>
      <c r="AL240" s="26"/>
      <c r="AM240" s="22" t="s">
        <v>79</v>
      </c>
      <c r="AN240" s="22" t="s">
        <v>79</v>
      </c>
      <c r="AO240" s="12" t="s">
        <v>1627</v>
      </c>
      <c r="AP240" s="22" t="s">
        <v>77</v>
      </c>
      <c r="AQ240" s="12"/>
      <c r="AR240" s="22" t="s">
        <v>77</v>
      </c>
      <c r="AS240" s="10"/>
      <c r="AT240" s="2" t="s">
        <v>82</v>
      </c>
      <c r="AU240" s="12" t="s">
        <v>83</v>
      </c>
      <c r="AV240" s="3" t="n">
        <v>46218</v>
      </c>
      <c r="AW240" s="21"/>
      <c r="AY240" s="1"/>
      <c r="BA240" s="1"/>
      <c r="BB240" s="1"/>
    </row>
    <row r="241" ht="120" customHeight="1">
      <c r="A241" s="20" t="s">
        <v>1628</v>
      </c>
      <c r="B241" s="20" t="n">
        <v>2023</v>
      </c>
      <c r="C241" s="20" t="n">
        <v>120</v>
      </c>
      <c r="D241" s="20" t="s">
        <v>50</v>
      </c>
      <c r="E241" s="20" t="s">
        <v>1622</v>
      </c>
      <c r="F241" s="20" t="s">
        <v>1629</v>
      </c>
      <c r="G241" s="20" t="s">
        <v>86</v>
      </c>
      <c r="H241" s="20" t="s">
        <v>1624</v>
      </c>
      <c r="I241" s="20"/>
      <c r="J241" s="20" t="s">
        <v>1630</v>
      </c>
      <c r="K241" s="20" t="s">
        <v>865</v>
      </c>
      <c r="L241" s="20" t="s">
        <v>57</v>
      </c>
      <c r="M241" s="20" t="s">
        <v>58</v>
      </c>
      <c r="N241" s="20" t="s">
        <v>59</v>
      </c>
      <c r="O241" s="20" t="s">
        <v>60</v>
      </c>
      <c r="P241" s="20" t="s">
        <v>227</v>
      </c>
      <c r="Q241" s="20" t="s">
        <v>228</v>
      </c>
      <c r="R241" s="20" t="s">
        <v>229</v>
      </c>
      <c r="S241" s="20" t="s">
        <v>230</v>
      </c>
      <c r="T241" s="20" t="s">
        <v>866</v>
      </c>
      <c r="U241" s="20" t="s">
        <v>867</v>
      </c>
      <c r="V241" s="20" t="s">
        <v>868</v>
      </c>
      <c r="W241" s="20" t="s">
        <v>96</v>
      </c>
      <c r="X241" s="20" t="s">
        <v>97</v>
      </c>
      <c r="Y241" s="20" t="s">
        <v>70</v>
      </c>
      <c r="Z241" s="20" t="s">
        <v>98</v>
      </c>
      <c r="AA241" s="20" t="s">
        <v>1626</v>
      </c>
      <c r="AB241" s="20" t="s">
        <v>1626</v>
      </c>
      <c r="AC241" s="20" t="s">
        <v>1626</v>
      </c>
      <c r="AD241" s="20" t="s">
        <v>1626</v>
      </c>
      <c r="AE241" s="20"/>
      <c r="AF241" s="9" t="n">
        <v>1</v>
      </c>
      <c r="AG241" s="12" t="n">
        <v>1</v>
      </c>
      <c r="AH241" s="22" t="s">
        <v>235</v>
      </c>
      <c r="AI241" s="12" t="str">
        <f>IF(AH241="","",IFERROR(RIGHT("0000"&amp;AH241,4)&amp;" - "&amp;UPPER(_xlfn.XLOOKUP(RIGHT("0000"&amp;AH241,4),CODEBOOK_CAP!$C$2:$C$212,CODEBOOK_CAP!$D$2:$D$212)),"Código CAP não encontrado"))</f>
        <v>0322 - ESTRUTURAS, HOSPITAIS, CLÍNICAS</v>
      </c>
      <c r="AJ241" s="12" t="str">
        <f>IF(AH241="","",IFERROR(_xlfn.XLOOKUP(RIGHT("0000"&amp;AH241,4),CODEBOOK_CAP!$C$2:$C$212,CODEBOOK_CAP!$E$2:$E$212),"Código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1" s="22" t="s">
        <v>77</v>
      </c>
      <c r="AL241" s="26"/>
      <c r="AM241" s="22" t="s">
        <v>79</v>
      </c>
      <c r="AN241" s="22" t="s">
        <v>79</v>
      </c>
      <c r="AO241" s="12" t="s">
        <v>1631</v>
      </c>
      <c r="AP241" s="22" t="s">
        <v>77</v>
      </c>
      <c r="AQ241" s="12"/>
      <c r="AR241" s="22" t="s">
        <v>77</v>
      </c>
      <c r="AS241" s="10"/>
      <c r="AT241" s="2" t="s">
        <v>82</v>
      </c>
      <c r="AU241" s="12" t="s">
        <v>83</v>
      </c>
      <c r="AV241" s="3" t="n">
        <v>46218</v>
      </c>
      <c r="AW241" s="21"/>
      <c r="AY241" s="1"/>
      <c r="BA241" s="1"/>
      <c r="BB241" s="1"/>
    </row>
    <row r="242" ht="120" customHeight="1">
      <c r="A242" s="20" t="s">
        <v>1632</v>
      </c>
      <c r="B242" s="20" t="n">
        <v>2023</v>
      </c>
      <c r="C242" s="20" t="n">
        <v>121</v>
      </c>
      <c r="D242" s="20" t="s">
        <v>50</v>
      </c>
      <c r="E242" s="20" t="s">
        <v>1622</v>
      </c>
      <c r="F242" s="20" t="s">
        <v>1633</v>
      </c>
      <c r="G242" s="20" t="s">
        <v>86</v>
      </c>
      <c r="H242" s="20" t="s">
        <v>1624</v>
      </c>
      <c r="I242" s="20"/>
      <c r="J242" s="20" t="s">
        <v>1634</v>
      </c>
      <c r="K242" s="20" t="s">
        <v>56</v>
      </c>
      <c r="L242" s="20" t="s">
        <v>57</v>
      </c>
      <c r="M242" s="20" t="s">
        <v>58</v>
      </c>
      <c r="N242" s="20" t="s">
        <v>59</v>
      </c>
      <c r="O242" s="20" t="s">
        <v>60</v>
      </c>
      <c r="P242" s="20" t="s">
        <v>61</v>
      </c>
      <c r="Q242" s="20" t="s">
        <v>62</v>
      </c>
      <c r="R242" s="20" t="s">
        <v>63</v>
      </c>
      <c r="S242" s="20" t="s">
        <v>64</v>
      </c>
      <c r="T242" s="20" t="s">
        <v>65</v>
      </c>
      <c r="U242" s="20" t="s">
        <v>66</v>
      </c>
      <c r="V242" s="20" t="s">
        <v>67</v>
      </c>
      <c r="W242" s="20" t="s">
        <v>68</v>
      </c>
      <c r="X242" s="20" t="s">
        <v>69</v>
      </c>
      <c r="Y242" s="20" t="s">
        <v>70</v>
      </c>
      <c r="Z242" s="20" t="s">
        <v>71</v>
      </c>
      <c r="AA242" s="20" t="s">
        <v>1626</v>
      </c>
      <c r="AB242" s="20" t="s">
        <v>1635</v>
      </c>
      <c r="AC242" s="20" t="s">
        <v>1635</v>
      </c>
      <c r="AD242" s="20" t="s">
        <v>1635</v>
      </c>
      <c r="AE242" s="20"/>
      <c r="AF242" s="9" t="n">
        <v>1</v>
      </c>
      <c r="AG242" s="12" t="n">
        <v>1</v>
      </c>
      <c r="AH242" s="22" t="s">
        <v>235</v>
      </c>
      <c r="AI242" s="12" t="str">
        <f>IF(AH242="","",IFERROR(RIGHT("0000"&amp;AH242,4)&amp;" - "&amp;UPPER(_xlfn.XLOOKUP(RIGHT("0000"&amp;AH242,4),CODEBOOK_CAP!$C$2:$C$212,CODEBOOK_CAP!$D$2:$D$212)),"Código CAP não encontrado"))</f>
        <v>0322 - ESTRUTURAS, HOSPITAIS, CLÍNICAS</v>
      </c>
      <c r="AJ242" s="12" t="str">
        <f>IF(AH242="","",IFERROR(_xlfn.XLOOKUP(RIGHT("0000"&amp;AH242,4),CODEBOOK_CAP!$C$2:$C$212,CODEBOOK_CAP!$E$2:$E$212),"Código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2" s="22" t="s">
        <v>77</v>
      </c>
      <c r="AL242" s="26"/>
      <c r="AM242" s="22" t="s">
        <v>79</v>
      </c>
      <c r="AN242" s="22" t="s">
        <v>79</v>
      </c>
      <c r="AO242" s="12" t="s">
        <v>1636</v>
      </c>
      <c r="AP242" s="22" t="s">
        <v>77</v>
      </c>
      <c r="AQ242" s="12"/>
      <c r="AR242" s="22" t="s">
        <v>77</v>
      </c>
      <c r="AS242" s="10"/>
      <c r="AT242" s="2" t="s">
        <v>82</v>
      </c>
      <c r="AU242" s="12" t="s">
        <v>83</v>
      </c>
      <c r="AV242" s="3" t="n">
        <v>46218</v>
      </c>
      <c r="AW242" s="21"/>
      <c r="AY242" s="1"/>
      <c r="BA242" s="1"/>
      <c r="BB242" s="1"/>
    </row>
    <row r="243" ht="120" customHeight="1">
      <c r="A243" s="20" t="s">
        <v>1637</v>
      </c>
      <c r="B243" s="20" t="n">
        <v>2023</v>
      </c>
      <c r="C243" s="20" t="n">
        <v>122</v>
      </c>
      <c r="D243" s="20" t="s">
        <v>50</v>
      </c>
      <c r="E243" s="20" t="s">
        <v>1622</v>
      </c>
      <c r="F243" s="20" t="s">
        <v>1638</v>
      </c>
      <c r="G243" s="20" t="s">
        <v>86</v>
      </c>
      <c r="H243" s="20" t="s">
        <v>1624</v>
      </c>
      <c r="I243" s="20"/>
      <c r="J243" s="20" t="s">
        <v>1639</v>
      </c>
      <c r="K243" s="20" t="s">
        <v>865</v>
      </c>
      <c r="L243" s="20" t="s">
        <v>57</v>
      </c>
      <c r="M243" s="20" t="s">
        <v>58</v>
      </c>
      <c r="N243" s="20" t="s">
        <v>59</v>
      </c>
      <c r="O243" s="20" t="s">
        <v>60</v>
      </c>
      <c r="P243" s="20" t="s">
        <v>227</v>
      </c>
      <c r="Q243" s="20" t="s">
        <v>228</v>
      </c>
      <c r="R243" s="20" t="s">
        <v>229</v>
      </c>
      <c r="S243" s="20" t="s">
        <v>230</v>
      </c>
      <c r="T243" s="20" t="s">
        <v>866</v>
      </c>
      <c r="U243" s="20" t="s">
        <v>867</v>
      </c>
      <c r="V243" s="20" t="s">
        <v>868</v>
      </c>
      <c r="W243" s="20" t="s">
        <v>96</v>
      </c>
      <c r="X243" s="20" t="s">
        <v>97</v>
      </c>
      <c r="Y243" s="20" t="s">
        <v>70</v>
      </c>
      <c r="Z243" s="20" t="s">
        <v>98</v>
      </c>
      <c r="AA243" s="20" t="s">
        <v>1626</v>
      </c>
      <c r="AB243" s="20" t="s">
        <v>1626</v>
      </c>
      <c r="AC243" s="20" t="s">
        <v>1626</v>
      </c>
      <c r="AD243" s="20" t="s">
        <v>1626</v>
      </c>
      <c r="AE243" s="20"/>
      <c r="AF243" s="9" t="n">
        <v>1</v>
      </c>
      <c r="AG243" s="12" t="n">
        <v>1</v>
      </c>
      <c r="AH243" s="22" t="s">
        <v>235</v>
      </c>
      <c r="AI243" s="12" t="str">
        <f>IF(AH243="","",IFERROR(RIGHT("0000"&amp;AH243,4)&amp;" - "&amp;UPPER(_xlfn.XLOOKUP(RIGHT("0000"&amp;AH243,4),CODEBOOK_CAP!$C$2:$C$212,CODEBOOK_CAP!$D$2:$D$212)),"Código CAP não encontrado"))</f>
        <v>0322 - ESTRUTURAS, HOSPITAIS, CLÍNICAS</v>
      </c>
      <c r="AJ243" s="12" t="str">
        <f>IF(AH243="","",IFERROR(_xlfn.XLOOKUP(RIGHT("0000"&amp;AH243,4),CODEBOOK_CAP!$C$2:$C$212,CODEBOOK_CAP!$E$2:$E$212),"Código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3" s="22" t="s">
        <v>77</v>
      </c>
      <c r="AL243" s="26"/>
      <c r="AM243" s="22" t="s">
        <v>79</v>
      </c>
      <c r="AN243" s="22" t="s">
        <v>79</v>
      </c>
      <c r="AO243" s="12" t="s">
        <v>1640</v>
      </c>
      <c r="AP243" s="22" t="s">
        <v>77</v>
      </c>
      <c r="AQ243" s="12"/>
      <c r="AR243" s="22" t="s">
        <v>77</v>
      </c>
      <c r="AS243" s="10"/>
      <c r="AT243" s="2" t="s">
        <v>82</v>
      </c>
      <c r="AU243" s="12" t="s">
        <v>83</v>
      </c>
      <c r="AV243" s="3" t="n">
        <v>46218</v>
      </c>
      <c r="AW243" s="21"/>
      <c r="AY243" s="1"/>
      <c r="BA243" s="1"/>
      <c r="BB243" s="1"/>
    </row>
    <row r="244" ht="120" customHeight="1">
      <c r="A244" s="20" t="s">
        <v>1641</v>
      </c>
      <c r="B244" s="20" t="n">
        <v>2023</v>
      </c>
      <c r="C244" s="20" t="n">
        <v>123</v>
      </c>
      <c r="D244" s="20" t="s">
        <v>50</v>
      </c>
      <c r="E244" s="20" t="s">
        <v>1622</v>
      </c>
      <c r="F244" s="20" t="s">
        <v>1642</v>
      </c>
      <c r="G244" s="20" t="s">
        <v>86</v>
      </c>
      <c r="H244" s="20" t="s">
        <v>1624</v>
      </c>
      <c r="I244" s="20"/>
      <c r="J244" s="20" t="s">
        <v>1643</v>
      </c>
      <c r="K244" s="20" t="s">
        <v>56</v>
      </c>
      <c r="L244" s="20" t="s">
        <v>57</v>
      </c>
      <c r="M244" s="20" t="s">
        <v>58</v>
      </c>
      <c r="N244" s="20" t="s">
        <v>59</v>
      </c>
      <c r="O244" s="20" t="s">
        <v>60</v>
      </c>
      <c r="P244" s="20" t="s">
        <v>61</v>
      </c>
      <c r="Q244" s="20" t="s">
        <v>62</v>
      </c>
      <c r="R244" s="20" t="s">
        <v>63</v>
      </c>
      <c r="S244" s="20" t="s">
        <v>64</v>
      </c>
      <c r="T244" s="20" t="s">
        <v>65</v>
      </c>
      <c r="U244" s="20" t="s">
        <v>66</v>
      </c>
      <c r="V244" s="20" t="s">
        <v>67</v>
      </c>
      <c r="W244" s="20" t="s">
        <v>68</v>
      </c>
      <c r="X244" s="20" t="s">
        <v>69</v>
      </c>
      <c r="Y244" s="20" t="s">
        <v>70</v>
      </c>
      <c r="Z244" s="20" t="s">
        <v>71</v>
      </c>
      <c r="AA244" s="20" t="s">
        <v>1626</v>
      </c>
      <c r="AB244" s="20" t="s">
        <v>1644</v>
      </c>
      <c r="AC244" s="20" t="s">
        <v>1644</v>
      </c>
      <c r="AD244" s="20" t="s">
        <v>1644</v>
      </c>
      <c r="AE244" s="20"/>
      <c r="AF244" s="9" t="n">
        <v>1</v>
      </c>
      <c r="AG244" s="12" t="n">
        <v>1</v>
      </c>
      <c r="AH244" s="22" t="s">
        <v>235</v>
      </c>
      <c r="AI244" s="12" t="str">
        <f>IF(AH244="","",IFERROR(RIGHT("0000"&amp;AH244,4)&amp;" - "&amp;UPPER(_xlfn.XLOOKUP(RIGHT("0000"&amp;AH244,4),CODEBOOK_CAP!$C$2:$C$212,CODEBOOK_CAP!$D$2:$D$212)),"Código CAP não encontrado"))</f>
        <v>0322 - ESTRUTURAS, HOSPITAIS, CLÍNICAS</v>
      </c>
      <c r="AJ244" s="12" t="str">
        <f>IF(AH244="","",IFERROR(_xlfn.XLOOKUP(RIGHT("0000"&amp;AH244,4),CODEBOOK_CAP!$C$2:$C$212,CODEBOOK_CAP!$E$2:$E$212),"Código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4" s="22" t="s">
        <v>77</v>
      </c>
      <c r="AL244" s="26"/>
      <c r="AM244" s="22" t="s">
        <v>79</v>
      </c>
      <c r="AN244" s="22" t="s">
        <v>79</v>
      </c>
      <c r="AO244" s="12" t="s">
        <v>1645</v>
      </c>
      <c r="AP244" s="22" t="s">
        <v>77</v>
      </c>
      <c r="AQ244" s="12"/>
      <c r="AR244" s="22" t="s">
        <v>77</v>
      </c>
      <c r="AS244" s="10"/>
      <c r="AT244" s="2" t="s">
        <v>82</v>
      </c>
      <c r="AU244" s="12" t="s">
        <v>83</v>
      </c>
      <c r="AV244" s="3" t="n">
        <v>46218</v>
      </c>
      <c r="AW244" s="21"/>
      <c r="AY244" s="1"/>
      <c r="BA244" s="1"/>
      <c r="BB244" s="1"/>
    </row>
    <row r="245" ht="120" customHeight="1">
      <c r="A245" s="20" t="s">
        <v>1646</v>
      </c>
      <c r="B245" s="20" t="n">
        <v>2023</v>
      </c>
      <c r="C245" s="20" t="n">
        <v>124</v>
      </c>
      <c r="D245" s="20" t="s">
        <v>50</v>
      </c>
      <c r="E245" s="20" t="s">
        <v>1622</v>
      </c>
      <c r="F245" s="20" t="s">
        <v>1647</v>
      </c>
      <c r="G245" s="20" t="s">
        <v>86</v>
      </c>
      <c r="H245" s="20" t="s">
        <v>1624</v>
      </c>
      <c r="I245" s="20"/>
      <c r="J245" s="20" t="s">
        <v>1648</v>
      </c>
      <c r="K245" s="20" t="s">
        <v>56</v>
      </c>
      <c r="L245" s="20" t="s">
        <v>57</v>
      </c>
      <c r="M245" s="20" t="s">
        <v>58</v>
      </c>
      <c r="N245" s="20" t="s">
        <v>59</v>
      </c>
      <c r="O245" s="20" t="s">
        <v>60</v>
      </c>
      <c r="P245" s="20" t="s">
        <v>61</v>
      </c>
      <c r="Q245" s="20" t="s">
        <v>62</v>
      </c>
      <c r="R245" s="20" t="s">
        <v>63</v>
      </c>
      <c r="S245" s="20" t="s">
        <v>64</v>
      </c>
      <c r="T245" s="20" t="s">
        <v>65</v>
      </c>
      <c r="U245" s="20" t="s">
        <v>66</v>
      </c>
      <c r="V245" s="20" t="s">
        <v>67</v>
      </c>
      <c r="W245" s="20" t="s">
        <v>68</v>
      </c>
      <c r="X245" s="20" t="s">
        <v>69</v>
      </c>
      <c r="Y245" s="20" t="s">
        <v>70</v>
      </c>
      <c r="Z245" s="20" t="s">
        <v>71</v>
      </c>
      <c r="AA245" s="20" t="s">
        <v>1626</v>
      </c>
      <c r="AB245" s="20" t="s">
        <v>1649</v>
      </c>
      <c r="AC245" s="20" t="s">
        <v>1650</v>
      </c>
      <c r="AD245" s="20" t="s">
        <v>1650</v>
      </c>
      <c r="AE245" s="20"/>
      <c r="AF245" s="9" t="n">
        <v>1</v>
      </c>
      <c r="AG245" s="12" t="n">
        <v>1</v>
      </c>
      <c r="AH245" s="22" t="s">
        <v>235</v>
      </c>
      <c r="AI245" s="12" t="str">
        <f>IF(AH245="","",IFERROR(RIGHT("0000"&amp;AH245,4)&amp;" - "&amp;UPPER(_xlfn.XLOOKUP(RIGHT("0000"&amp;AH245,4),CODEBOOK_CAP!$C$2:$C$212,CODEBOOK_CAP!$D$2:$D$212)),"Código CAP não encontrado"))</f>
        <v>0322 - ESTRUTURAS, HOSPITAIS, CLÍNICAS</v>
      </c>
      <c r="AJ245" s="12" t="str">
        <f>IF(AH245="","",IFERROR(_xlfn.XLOOKUP(RIGHT("0000"&amp;AH245,4),CODEBOOK_CAP!$C$2:$C$212,CODEBOOK_CAP!$E$2:$E$212),"Código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5" s="22" t="s">
        <v>77</v>
      </c>
      <c r="AL245" s="26"/>
      <c r="AM245" s="22" t="s">
        <v>79</v>
      </c>
      <c r="AN245" s="22" t="s">
        <v>79</v>
      </c>
      <c r="AO245" s="12" t="s">
        <v>1651</v>
      </c>
      <c r="AP245" s="22" t="s">
        <v>77</v>
      </c>
      <c r="AQ245" s="12"/>
      <c r="AR245" s="22" t="s">
        <v>77</v>
      </c>
      <c r="AS245" s="10"/>
      <c r="AT245" s="2" t="s">
        <v>82</v>
      </c>
      <c r="AU245" s="12" t="s">
        <v>83</v>
      </c>
      <c r="AV245" s="3" t="n">
        <v>46218</v>
      </c>
      <c r="AW245" s="21"/>
      <c r="AY245" s="1"/>
      <c r="BA245" s="1"/>
      <c r="BB245" s="1"/>
    </row>
    <row r="246" ht="120" customHeight="1">
      <c r="A246" s="20" t="s">
        <v>1652</v>
      </c>
      <c r="B246" s="20" t="n">
        <v>2023</v>
      </c>
      <c r="C246" s="20" t="n">
        <v>125</v>
      </c>
      <c r="D246" s="20" t="s">
        <v>50</v>
      </c>
      <c r="E246" s="20" t="s">
        <v>1622</v>
      </c>
      <c r="F246" s="20" t="s">
        <v>1653</v>
      </c>
      <c r="G246" s="20" t="s">
        <v>86</v>
      </c>
      <c r="H246" s="20" t="s">
        <v>1624</v>
      </c>
      <c r="I246" s="20"/>
      <c r="J246" s="20" t="s">
        <v>1654</v>
      </c>
      <c r="K246" s="20" t="s">
        <v>865</v>
      </c>
      <c r="L246" s="20" t="s">
        <v>57</v>
      </c>
      <c r="M246" s="20" t="s">
        <v>58</v>
      </c>
      <c r="N246" s="20" t="s">
        <v>59</v>
      </c>
      <c r="O246" s="20" t="s">
        <v>60</v>
      </c>
      <c r="P246" s="20" t="s">
        <v>227</v>
      </c>
      <c r="Q246" s="20" t="s">
        <v>228</v>
      </c>
      <c r="R246" s="20" t="s">
        <v>229</v>
      </c>
      <c r="S246" s="20" t="s">
        <v>230</v>
      </c>
      <c r="T246" s="20" t="s">
        <v>866</v>
      </c>
      <c r="U246" s="20" t="s">
        <v>867</v>
      </c>
      <c r="V246" s="20" t="s">
        <v>868</v>
      </c>
      <c r="W246" s="20" t="s">
        <v>96</v>
      </c>
      <c r="X246" s="20" t="s">
        <v>97</v>
      </c>
      <c r="Y246" s="20" t="s">
        <v>70</v>
      </c>
      <c r="Z246" s="20" t="s">
        <v>98</v>
      </c>
      <c r="AA246" s="20" t="s">
        <v>1626</v>
      </c>
      <c r="AB246" s="20" t="s">
        <v>1626</v>
      </c>
      <c r="AC246" s="20" t="s">
        <v>1626</v>
      </c>
      <c r="AD246" s="20" t="s">
        <v>1626</v>
      </c>
      <c r="AE246" s="20"/>
      <c r="AF246" s="9" t="n">
        <v>1</v>
      </c>
      <c r="AG246" s="12" t="n">
        <v>1</v>
      </c>
      <c r="AH246" s="22" t="s">
        <v>235</v>
      </c>
      <c r="AI246" s="12" t="str">
        <f>IF(AH246="","",IFERROR(RIGHT("0000"&amp;AH246,4)&amp;" - "&amp;UPPER(_xlfn.XLOOKUP(RIGHT("0000"&amp;AH246,4),CODEBOOK_CAP!$C$2:$C$212,CODEBOOK_CAP!$D$2:$D$212)),"Código CAP não encontrado"))</f>
        <v>0322 - ESTRUTURAS, HOSPITAIS, CLÍNICAS</v>
      </c>
      <c r="AJ246" s="12" t="str">
        <f>IF(AH246="","",IFERROR(_xlfn.XLOOKUP(RIGHT("0000"&amp;AH246,4),CODEBOOK_CAP!$C$2:$C$212,CODEBOOK_CAP!$E$2:$E$212),"Código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46" s="22" t="s">
        <v>77</v>
      </c>
      <c r="AL246" s="26"/>
      <c r="AM246" s="22" t="s">
        <v>79</v>
      </c>
      <c r="AN246" s="22" t="s">
        <v>79</v>
      </c>
      <c r="AO246" s="12" t="s">
        <v>1655</v>
      </c>
      <c r="AP246" s="22" t="s">
        <v>77</v>
      </c>
      <c r="AQ246" s="12"/>
      <c r="AR246" s="22" t="s">
        <v>77</v>
      </c>
      <c r="AS246" s="10"/>
      <c r="AT246" s="2" t="s">
        <v>82</v>
      </c>
      <c r="AU246" s="12" t="s">
        <v>83</v>
      </c>
      <c r="AV246" s="3" t="n">
        <v>46218</v>
      </c>
      <c r="AW246" s="21"/>
      <c r="AY246" s="1"/>
      <c r="BA246" s="1"/>
      <c r="BB246" s="1"/>
    </row>
    <row r="247" ht="75" customHeight="1">
      <c r="A247" s="20" t="s">
        <v>1656</v>
      </c>
      <c r="B247" s="20" t="n">
        <v>2023</v>
      </c>
      <c r="C247" s="20" t="n">
        <v>131</v>
      </c>
      <c r="D247" s="20" t="s">
        <v>50</v>
      </c>
      <c r="E247" s="20" t="s">
        <v>1622</v>
      </c>
      <c r="F247" s="20" t="s">
        <v>1657</v>
      </c>
      <c r="G247" s="20" t="s">
        <v>86</v>
      </c>
      <c r="H247" s="20" t="s">
        <v>1624</v>
      </c>
      <c r="I247" s="20"/>
      <c r="J247" s="20" t="s">
        <v>1658</v>
      </c>
      <c r="K247" s="20" t="s">
        <v>299</v>
      </c>
      <c r="L247" s="20" t="s">
        <v>208</v>
      </c>
      <c r="M247" s="20" t="s">
        <v>209</v>
      </c>
      <c r="N247" s="20" t="s">
        <v>210</v>
      </c>
      <c r="O247" s="20" t="s">
        <v>211</v>
      </c>
      <c r="P247" s="20" t="s">
        <v>212</v>
      </c>
      <c r="Q247" s="20" t="s">
        <v>213</v>
      </c>
      <c r="R247" s="20" t="s">
        <v>251</v>
      </c>
      <c r="S247" s="20" t="s">
        <v>252</v>
      </c>
      <c r="T247" s="20" t="s">
        <v>300</v>
      </c>
      <c r="U247" s="20" t="s">
        <v>301</v>
      </c>
      <c r="V247" s="20" t="s">
        <v>67</v>
      </c>
      <c r="W247" s="20" t="s">
        <v>68</v>
      </c>
      <c r="X247" s="20" t="s">
        <v>69</v>
      </c>
      <c r="Y247" s="20" t="s">
        <v>70</v>
      </c>
      <c r="Z247" s="20" t="s">
        <v>177</v>
      </c>
      <c r="AA247" s="20" t="s">
        <v>1659</v>
      </c>
      <c r="AB247" s="20" t="s">
        <v>1660</v>
      </c>
      <c r="AC247" s="20" t="s">
        <v>1660</v>
      </c>
      <c r="AD247" s="20" t="s">
        <v>1660</v>
      </c>
      <c r="AE247" s="20" t="s">
        <v>1661</v>
      </c>
      <c r="AF247" s="9" t="n">
        <v>0</v>
      </c>
      <c r="AG247" s="12" t="n">
        <v>0</v>
      </c>
      <c r="AH247" s="22" t="s">
        <v>464</v>
      </c>
      <c r="AI247" s="12" t="str">
        <f>IF(AH247="","",IFERROR(RIGHT("0000"&amp;AH247,4)&amp;" - "&amp;UPPER(_xlfn.XLOOKUP(RIGHT("0000"&amp;AH247,4),CODEBOOK_CAP!$C$2:$C$212,CODEBOOK_CAP!$D$2:$D$212)),"Código CAP não encontrado"))</f>
        <v>2101 - PARQUES PÚBLICOS E RESERVAS DE PRESERVAÇÃO</v>
      </c>
      <c r="AJ247" s="12" t="str">
        <f>IF(AH247="","",IFERROR(_xlfn.XLOOKUP(RIGHT("0000"&amp;AH247,4),CODEBOOK_CAP!$C$2:$C$212,CODEBOOK_CAP!$E$2:$E$212),"Código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247" s="22" t="s">
        <v>79</v>
      </c>
      <c r="AL247" s="26" t="s">
        <v>1662</v>
      </c>
      <c r="AM247" s="22" t="s">
        <v>79</v>
      </c>
      <c r="AN247" s="22" t="s">
        <v>79</v>
      </c>
      <c r="AO247" s="12" t="s">
        <v>1662</v>
      </c>
      <c r="AP247" s="22" t="s">
        <v>77</v>
      </c>
      <c r="AQ247" s="12"/>
      <c r="AR247" s="22" t="s">
        <v>79</v>
      </c>
      <c r="AS247" s="22" t="s">
        <v>1661</v>
      </c>
      <c r="AT247" s="2" t="s">
        <v>82</v>
      </c>
      <c r="AU247" s="12" t="s">
        <v>83</v>
      </c>
      <c r="AV247" s="3" t="n">
        <v>46218</v>
      </c>
      <c r="AW247" s="21"/>
      <c r="AY247" s="1"/>
      <c r="BA247" s="1"/>
      <c r="BB247" s="1"/>
    </row>
    <row r="248" ht="150" customHeight="1">
      <c r="A248" s="20" t="s">
        <v>1663</v>
      </c>
      <c r="B248" s="20" t="n">
        <v>2023</v>
      </c>
      <c r="C248" s="20" t="n">
        <v>132</v>
      </c>
      <c r="D248" s="20" t="s">
        <v>50</v>
      </c>
      <c r="E248" s="20" t="s">
        <v>1622</v>
      </c>
      <c r="F248" s="20" t="s">
        <v>1664</v>
      </c>
      <c r="G248" s="20" t="s">
        <v>315</v>
      </c>
      <c r="H248" s="20" t="s">
        <v>1624</v>
      </c>
      <c r="I248" s="20"/>
      <c r="J248" s="20" t="s">
        <v>1665</v>
      </c>
      <c r="K248" s="20" t="s">
        <v>1666</v>
      </c>
      <c r="L248" s="20" t="s">
        <v>1406</v>
      </c>
      <c r="M248" s="20" t="s">
        <v>1407</v>
      </c>
      <c r="N248" s="20" t="s">
        <v>1408</v>
      </c>
      <c r="O248" s="20" t="s">
        <v>1409</v>
      </c>
      <c r="P248" s="20" t="s">
        <v>1410</v>
      </c>
      <c r="Q248" s="20" t="s">
        <v>1411</v>
      </c>
      <c r="R248" s="20" t="s">
        <v>1412</v>
      </c>
      <c r="S248" s="20" t="s">
        <v>1413</v>
      </c>
      <c r="T248" s="20" t="s">
        <v>1667</v>
      </c>
      <c r="U248" s="20" t="s">
        <v>1668</v>
      </c>
      <c r="V248" s="20" t="s">
        <v>95</v>
      </c>
      <c r="W248" s="20" t="s">
        <v>96</v>
      </c>
      <c r="X248" s="20" t="s">
        <v>97</v>
      </c>
      <c r="Y248" s="20" t="s">
        <v>70</v>
      </c>
      <c r="Z248" s="20" t="s">
        <v>284</v>
      </c>
      <c r="AA248" s="20" t="s">
        <v>1669</v>
      </c>
      <c r="AB248" s="20" t="s">
        <v>1669</v>
      </c>
      <c r="AC248" s="20" t="s">
        <v>77</v>
      </c>
      <c r="AD248" s="20" t="s">
        <v>77</v>
      </c>
      <c r="AE248" s="20"/>
      <c r="AF248" s="9" t="n">
        <v>0</v>
      </c>
      <c r="AG248" s="12" t="n">
        <v>0</v>
      </c>
      <c r="AH248" s="22" t="s">
        <v>1562</v>
      </c>
      <c r="AI248" s="12" t="str">
        <f>IF(AH248="","",IFERROR(RIGHT("0000"&amp;AH248,4)&amp;" - "&amp;UPPER(_xlfn.XLOOKUP(RIGHT("0000"&amp;AH248,4),CODEBOOK_CAP!$C$2:$C$212,CODEBOOK_CAP!$D$2:$D$212)),"Código CAP não encontrado"))</f>
        <v>0202 - DISCRIMINAÇÃO POR GÊNERO OU ORIENTAÇÃO SEXUAL (MISOGINIA E HOMOFOBIA)</v>
      </c>
      <c r="AJ248" s="12" t="str">
        <f>IF(AH248="","",IFERROR(_xlfn.XLOOKUP(RIGHT("0000"&amp;AH248,4),CODEBOOK_CAP!$C$2:$C$212,CODEBOOK_CAP!$E$2:$E$212),"Código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K248" s="22" t="s">
        <v>77</v>
      </c>
      <c r="AL248" s="26"/>
      <c r="AM248" s="22" t="s">
        <v>77</v>
      </c>
      <c r="AN248" s="22" t="s">
        <v>77</v>
      </c>
      <c r="AO248" s="12"/>
      <c r="AP248" s="22" t="s">
        <v>79</v>
      </c>
      <c r="AQ248" s="12" t="s">
        <v>118</v>
      </c>
      <c r="AR248" s="22" t="s">
        <v>77</v>
      </c>
      <c r="AS248" s="10"/>
      <c r="AT248" s="2" t="s">
        <v>82</v>
      </c>
      <c r="AU248" s="12" t="s">
        <v>83</v>
      </c>
      <c r="AV248" s="3" t="n">
        <v>46218</v>
      </c>
      <c r="AW248" s="21"/>
      <c r="AY248" s="1"/>
      <c r="BA248" s="1"/>
      <c r="BB248" s="1"/>
    </row>
    <row r="249" ht="75" customHeight="1">
      <c r="A249" s="20" t="s">
        <v>1670</v>
      </c>
      <c r="B249" s="20" t="n">
        <v>2023</v>
      </c>
      <c r="C249" s="20" t="n">
        <v>133</v>
      </c>
      <c r="D249" s="20" t="s">
        <v>50</v>
      </c>
      <c r="E249" s="20" t="s">
        <v>1622</v>
      </c>
      <c r="F249" s="20" t="s">
        <v>1671</v>
      </c>
      <c r="G249" s="20" t="s">
        <v>86</v>
      </c>
      <c r="H249" s="20" t="s">
        <v>1624</v>
      </c>
      <c r="I249" s="20"/>
      <c r="J249" s="20" t="s">
        <v>1672</v>
      </c>
      <c r="K249" s="20" t="s">
        <v>299</v>
      </c>
      <c r="L249" s="20" t="s">
        <v>208</v>
      </c>
      <c r="M249" s="20" t="s">
        <v>209</v>
      </c>
      <c r="N249" s="20" t="s">
        <v>210</v>
      </c>
      <c r="O249" s="20" t="s">
        <v>211</v>
      </c>
      <c r="P249" s="20" t="s">
        <v>212</v>
      </c>
      <c r="Q249" s="20" t="s">
        <v>213</v>
      </c>
      <c r="R249" s="20" t="s">
        <v>251</v>
      </c>
      <c r="S249" s="20" t="s">
        <v>252</v>
      </c>
      <c r="T249" s="20" t="s">
        <v>300</v>
      </c>
      <c r="U249" s="20" t="s">
        <v>301</v>
      </c>
      <c r="V249" s="20" t="s">
        <v>67</v>
      </c>
      <c r="W249" s="20" t="s">
        <v>68</v>
      </c>
      <c r="X249" s="20" t="s">
        <v>69</v>
      </c>
      <c r="Y249" s="20" t="s">
        <v>70</v>
      </c>
      <c r="Z249" s="20" t="s">
        <v>177</v>
      </c>
      <c r="AA249" s="20" t="s">
        <v>1669</v>
      </c>
      <c r="AB249" s="20" t="s">
        <v>1673</v>
      </c>
      <c r="AC249" s="20" t="s">
        <v>1673</v>
      </c>
      <c r="AD249" s="20" t="s">
        <v>1673</v>
      </c>
      <c r="AE249" s="20"/>
      <c r="AF249" s="9" t="n">
        <v>0</v>
      </c>
      <c r="AG249" s="12" t="n">
        <v>0</v>
      </c>
      <c r="AH249" s="22" t="s">
        <v>304</v>
      </c>
      <c r="AI249" s="12" t="str">
        <f>IF(AH249="","",IFERROR(RIGHT("0000"&amp;AH249,4)&amp;" - "&amp;UPPER(_xlfn.XLOOKUP(RIGHT("0000"&amp;AH249,4),CODEBOOK_CAP!$C$2:$C$212,CODEBOOK_CAP!$D$2:$D$212)),"Código CAP não encontrado"))</f>
        <v>1403 - REABILITAÇÃO URBANA, ECONOMIA URBANA</v>
      </c>
      <c r="AJ249" s="12" t="str">
        <f>IF(AH249="","",IFERROR(_xlfn.XLOOKUP(RIGHT("0000"&amp;AH249,4),CODEBOOK_CAP!$C$2:$C$212,CODEBOOK_CAP!$E$2:$E$212),"Código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49" s="22" t="s">
        <v>79</v>
      </c>
      <c r="AL249" s="26" t="s">
        <v>1674</v>
      </c>
      <c r="AM249" s="22" t="s">
        <v>79</v>
      </c>
      <c r="AN249" s="22" t="s">
        <v>79</v>
      </c>
      <c r="AO249" s="12" t="s">
        <v>1675</v>
      </c>
      <c r="AP249" s="22" t="s">
        <v>77</v>
      </c>
      <c r="AQ249" s="12"/>
      <c r="AR249" s="22" t="s">
        <v>77</v>
      </c>
      <c r="AS249" s="10"/>
      <c r="AT249" s="2" t="s">
        <v>82</v>
      </c>
      <c r="AU249" s="12" t="s">
        <v>83</v>
      </c>
      <c r="AV249" s="3" t="n">
        <v>46218</v>
      </c>
      <c r="AW249" s="21"/>
      <c r="AY249" s="1"/>
      <c r="BA249" s="1"/>
      <c r="BB249" s="1"/>
    </row>
    <row r="250" ht="255" customHeight="1">
      <c r="A250" s="20" t="s">
        <v>1676</v>
      </c>
      <c r="B250" s="20" t="n">
        <v>2023</v>
      </c>
      <c r="C250" s="20" t="n">
        <v>134</v>
      </c>
      <c r="D250" s="20" t="s">
        <v>50</v>
      </c>
      <c r="E250" s="20" t="s">
        <v>1622</v>
      </c>
      <c r="F250" s="20" t="s">
        <v>1677</v>
      </c>
      <c r="G250" s="20" t="s">
        <v>86</v>
      </c>
      <c r="H250" s="20" t="s">
        <v>1624</v>
      </c>
      <c r="I250" s="20"/>
      <c r="J250" s="20" t="s">
        <v>1678</v>
      </c>
      <c r="K250" s="20" t="s">
        <v>478</v>
      </c>
      <c r="L250" s="20" t="s">
        <v>479</v>
      </c>
      <c r="M250" s="20" t="s">
        <v>480</v>
      </c>
      <c r="N250" s="20" t="s">
        <v>481</v>
      </c>
      <c r="O250" s="20" t="s">
        <v>482</v>
      </c>
      <c r="P250" s="20" t="s">
        <v>483</v>
      </c>
      <c r="Q250" s="20" t="s">
        <v>484</v>
      </c>
      <c r="R250" s="20" t="s">
        <v>485</v>
      </c>
      <c r="S250" s="20" t="s">
        <v>486</v>
      </c>
      <c r="T250" s="20" t="s">
        <v>487</v>
      </c>
      <c r="U250" s="20" t="s">
        <v>488</v>
      </c>
      <c r="V250" s="20" t="s">
        <v>95</v>
      </c>
      <c r="W250" s="20" t="s">
        <v>96</v>
      </c>
      <c r="X250" s="20" t="s">
        <v>97</v>
      </c>
      <c r="Y250" s="20" t="s">
        <v>70</v>
      </c>
      <c r="Z250" s="20" t="s">
        <v>489</v>
      </c>
      <c r="AA250" s="20" t="s">
        <v>409</v>
      </c>
      <c r="AB250" s="20" t="s">
        <v>1679</v>
      </c>
      <c r="AC250" s="20" t="s">
        <v>1679</v>
      </c>
      <c r="AD250" s="20" t="s">
        <v>1679</v>
      </c>
      <c r="AE250" s="20"/>
      <c r="AF250" s="9" t="n">
        <v>0</v>
      </c>
      <c r="AG250" s="12" t="n">
        <v>0</v>
      </c>
      <c r="AH250" s="22" t="s">
        <v>219</v>
      </c>
      <c r="AI250" s="12" t="str">
        <f>IF(AH250="","",IFERROR(RIGHT("0000"&amp;AH250,4)&amp;" - "&amp;UPPER(_xlfn.XLOOKUP(RIGHT("0000"&amp;AH250,4),CODEBOOK_CAP!$C$2:$C$212,CODEBOOK_CAP!$D$2:$D$212)),"Código CAP não encontrado"))</f>
        <v>1002 - CARROS, TRÂNSITO, CONSTRUÇÃO E MANUTENÇÃO DE RUAS E ESTRADAS</v>
      </c>
      <c r="AJ250" s="12" t="str">
        <f>IF(AH250="","",IFERROR(_xlfn.XLOOKUP(RIGHT("0000"&amp;AH250,4),CODEBOOK_CAP!$C$2:$C$212,CODEBOOK_CAP!$E$2:$E$212),"Código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50" s="22" t="s">
        <v>79</v>
      </c>
      <c r="AL250" s="26" t="s">
        <v>1680</v>
      </c>
      <c r="AM250" s="22" t="s">
        <v>590</v>
      </c>
      <c r="AN250" s="22" t="s">
        <v>77</v>
      </c>
      <c r="AO250" s="12"/>
      <c r="AP250" s="22" t="s">
        <v>77</v>
      </c>
      <c r="AQ250" s="12"/>
      <c r="AR250" s="22" t="s">
        <v>77</v>
      </c>
      <c r="AS250" s="10"/>
      <c r="AT250" s="2" t="s">
        <v>82</v>
      </c>
      <c r="AU250" s="12" t="s">
        <v>83</v>
      </c>
      <c r="AV250" s="3" t="n">
        <v>46218</v>
      </c>
      <c r="AW250" s="21"/>
      <c r="AY250" s="1"/>
      <c r="BA250" s="1"/>
      <c r="BB250" s="1"/>
    </row>
    <row r="251" ht="105" customHeight="1">
      <c r="A251" s="20" t="s">
        <v>1681</v>
      </c>
      <c r="B251" s="20" t="n">
        <v>2023</v>
      </c>
      <c r="C251" s="20" t="n">
        <v>135</v>
      </c>
      <c r="D251" s="20" t="s">
        <v>50</v>
      </c>
      <c r="E251" s="20" t="s">
        <v>1622</v>
      </c>
      <c r="F251" s="20" t="s">
        <v>1682</v>
      </c>
      <c r="G251" s="20" t="s">
        <v>183</v>
      </c>
      <c r="H251" s="20" t="s">
        <v>1624</v>
      </c>
      <c r="I251" s="20"/>
      <c r="J251" s="20" t="s">
        <v>1683</v>
      </c>
      <c r="K251" s="20" t="s">
        <v>1684</v>
      </c>
      <c r="L251" s="20" t="s">
        <v>1685</v>
      </c>
      <c r="M251" s="20" t="s">
        <v>1686</v>
      </c>
      <c r="N251" s="20" t="s">
        <v>150</v>
      </c>
      <c r="O251" s="20" t="s">
        <v>151</v>
      </c>
      <c r="P251" s="20" t="s">
        <v>1389</v>
      </c>
      <c r="Q251" s="20" t="s">
        <v>1390</v>
      </c>
      <c r="R251" s="20" t="s">
        <v>1391</v>
      </c>
      <c r="S251" s="20" t="s">
        <v>1392</v>
      </c>
      <c r="T251" s="20" t="s">
        <v>1393</v>
      </c>
      <c r="U251" s="20" t="s">
        <v>1394</v>
      </c>
      <c r="V251" s="20" t="s">
        <v>1687</v>
      </c>
      <c r="W251" s="20" t="s">
        <v>96</v>
      </c>
      <c r="X251" s="20" t="s">
        <v>97</v>
      </c>
      <c r="Y251" s="20" t="s">
        <v>70</v>
      </c>
      <c r="Z251" s="20" t="s">
        <v>764</v>
      </c>
      <c r="AA251" s="20" t="s">
        <v>1669</v>
      </c>
      <c r="AB251" s="20" t="s">
        <v>77</v>
      </c>
      <c r="AC251" s="20" t="s">
        <v>77</v>
      </c>
      <c r="AD251" s="20" t="s">
        <v>77</v>
      </c>
      <c r="AE251" s="20"/>
      <c r="AF251" s="9" t="n">
        <v>0</v>
      </c>
      <c r="AG251" s="12" t="n">
        <v>0</v>
      </c>
      <c r="AH251" s="22" t="s">
        <v>161</v>
      </c>
      <c r="AI251" s="12" t="str">
        <f>IF(AH251="","",IFERROR(RIGHT("0000"&amp;AH251,4)&amp;" - "&amp;UPPER(_xlfn.XLOOKUP(RIGHT("0000"&amp;AH251,4),CODEBOOK_CAP!$C$2:$C$212,CODEBOOK_CAP!$D$2:$D$212)),"Código CAP não encontrado"))</f>
        <v>2300 - GERAL</v>
      </c>
      <c r="AJ251" s="12" t="str">
        <f>IF(AH251="","",IFERROR(_xlfn.XLOOKUP(RIGHT("0000"&amp;AH251,4),CODEBOOK_CAP!$C$2:$C$212,CODEBOOK_CAP!$E$2:$E$212),"Código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51" s="22" t="s">
        <v>77</v>
      </c>
      <c r="AL251" s="26"/>
      <c r="AM251" s="22" t="s">
        <v>77</v>
      </c>
      <c r="AN251" s="22" t="s">
        <v>77</v>
      </c>
      <c r="AO251" s="12"/>
      <c r="AP251" s="22" t="s">
        <v>77</v>
      </c>
      <c r="AQ251" s="12"/>
      <c r="AR251" s="22" t="s">
        <v>77</v>
      </c>
      <c r="AS251" s="10"/>
      <c r="AT251" s="2" t="s">
        <v>82</v>
      </c>
      <c r="AU251" s="12" t="s">
        <v>83</v>
      </c>
      <c r="AV251" s="3" t="n">
        <v>46218</v>
      </c>
      <c r="AW251" s="21"/>
      <c r="AX251" s="1" t="s">
        <v>6955</v>
      </c>
      <c r="AY251" s="1"/>
      <c r="BA251" s="1"/>
      <c r="BB251" s="1"/>
    </row>
    <row r="252" ht="120" customHeight="1">
      <c r="A252" s="20" t="s">
        <v>1688</v>
      </c>
      <c r="B252" s="20" t="n">
        <v>2023</v>
      </c>
      <c r="C252" s="20" t="n">
        <v>147</v>
      </c>
      <c r="D252" s="20" t="s">
        <v>50</v>
      </c>
      <c r="E252" s="20" t="s">
        <v>1622</v>
      </c>
      <c r="F252" s="20" t="s">
        <v>1689</v>
      </c>
      <c r="G252" s="20" t="s">
        <v>86</v>
      </c>
      <c r="H252" s="20" t="s">
        <v>1624</v>
      </c>
      <c r="I252" s="20"/>
      <c r="J252" s="20" t="s">
        <v>1690</v>
      </c>
      <c r="K252" s="20" t="s">
        <v>122</v>
      </c>
      <c r="L252" s="20" t="s">
        <v>57</v>
      </c>
      <c r="M252" s="20" t="s">
        <v>58</v>
      </c>
      <c r="N252" s="20" t="s">
        <v>59</v>
      </c>
      <c r="O252" s="20" t="s">
        <v>60</v>
      </c>
      <c r="P252" s="20" t="s">
        <v>89</v>
      </c>
      <c r="Q252" s="20" t="s">
        <v>90</v>
      </c>
      <c r="R252" s="20" t="s">
        <v>91</v>
      </c>
      <c r="S252" s="20" t="s">
        <v>92</v>
      </c>
      <c r="T252" s="20" t="s">
        <v>123</v>
      </c>
      <c r="U252" s="20" t="s">
        <v>124</v>
      </c>
      <c r="V252" s="20" t="s">
        <v>95</v>
      </c>
      <c r="W252" s="20" t="s">
        <v>96</v>
      </c>
      <c r="X252" s="20" t="s">
        <v>97</v>
      </c>
      <c r="Y252" s="20" t="s">
        <v>70</v>
      </c>
      <c r="Z252" s="20" t="s">
        <v>98</v>
      </c>
      <c r="AA252" s="20" t="s">
        <v>1626</v>
      </c>
      <c r="AB252" s="20" t="s">
        <v>1626</v>
      </c>
      <c r="AC252" s="20" t="s">
        <v>1626</v>
      </c>
      <c r="AD252" s="20" t="s">
        <v>1626</v>
      </c>
      <c r="AE252" s="20"/>
      <c r="AF252" s="9" t="n">
        <v>1</v>
      </c>
      <c r="AG252" s="12" t="n">
        <v>1</v>
      </c>
      <c r="AH252" s="22" t="s">
        <v>235</v>
      </c>
      <c r="AI252" s="12" t="str">
        <f>IF(AH252="","",IFERROR(RIGHT("0000"&amp;AH252,4)&amp;" - "&amp;UPPER(_xlfn.XLOOKUP(RIGHT("0000"&amp;AH252,4),CODEBOOK_CAP!$C$2:$C$212,CODEBOOK_CAP!$D$2:$D$212)),"Código CAP não encontrado"))</f>
        <v>0322 - ESTRUTURAS, HOSPITAIS, CLÍNICAS</v>
      </c>
      <c r="AJ252" s="12" t="str">
        <f>IF(AH252="","",IFERROR(_xlfn.XLOOKUP(RIGHT("0000"&amp;AH252,4),CODEBOOK_CAP!$C$2:$C$212,CODEBOOK_CAP!$E$2:$E$212),"Código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2" s="22" t="s">
        <v>77</v>
      </c>
      <c r="AL252" s="26"/>
      <c r="AM252" s="22" t="s">
        <v>79</v>
      </c>
      <c r="AN252" s="22" t="s">
        <v>79</v>
      </c>
      <c r="AO252" s="12" t="s">
        <v>1691</v>
      </c>
      <c r="AP252" s="22" t="s">
        <v>77</v>
      </c>
      <c r="AQ252" s="12"/>
      <c r="AR252" s="22" t="s">
        <v>77</v>
      </c>
      <c r="AS252" s="10"/>
      <c r="AT252" s="2" t="s">
        <v>82</v>
      </c>
      <c r="AU252" s="12" t="s">
        <v>83</v>
      </c>
      <c r="AV252" s="3" t="n">
        <v>46218</v>
      </c>
      <c r="AW252" s="21"/>
      <c r="AY252" s="1"/>
      <c r="BA252" s="1"/>
      <c r="BB252" s="1"/>
    </row>
    <row r="253" ht="120" customHeight="1">
      <c r="A253" s="20" t="s">
        <v>1692</v>
      </c>
      <c r="B253" s="20" t="n">
        <v>2023</v>
      </c>
      <c r="C253" s="20" t="n">
        <v>268</v>
      </c>
      <c r="D253" s="20" t="s">
        <v>50</v>
      </c>
      <c r="E253" s="20" t="s">
        <v>1622</v>
      </c>
      <c r="F253" s="20" t="s">
        <v>1693</v>
      </c>
      <c r="G253" s="20" t="s">
        <v>86</v>
      </c>
      <c r="H253" s="20" t="s">
        <v>1624</v>
      </c>
      <c r="I253" s="20"/>
      <c r="J253" s="20" t="s">
        <v>1694</v>
      </c>
      <c r="K253" s="20" t="s">
        <v>56</v>
      </c>
      <c r="L253" s="20" t="s">
        <v>57</v>
      </c>
      <c r="M253" s="20" t="s">
        <v>58</v>
      </c>
      <c r="N253" s="20" t="s">
        <v>59</v>
      </c>
      <c r="O253" s="20" t="s">
        <v>60</v>
      </c>
      <c r="P253" s="20" t="s">
        <v>61</v>
      </c>
      <c r="Q253" s="20" t="s">
        <v>62</v>
      </c>
      <c r="R253" s="20" t="s">
        <v>63</v>
      </c>
      <c r="S253" s="20" t="s">
        <v>64</v>
      </c>
      <c r="T253" s="20" t="s">
        <v>65</v>
      </c>
      <c r="U253" s="20" t="s">
        <v>66</v>
      </c>
      <c r="V253" s="20" t="s">
        <v>67</v>
      </c>
      <c r="W253" s="20" t="s">
        <v>68</v>
      </c>
      <c r="X253" s="20" t="s">
        <v>69</v>
      </c>
      <c r="Y253" s="20" t="s">
        <v>70</v>
      </c>
      <c r="Z253" s="20" t="s">
        <v>71</v>
      </c>
      <c r="AA253" s="20" t="s">
        <v>1695</v>
      </c>
      <c r="AB253" s="20" t="s">
        <v>1696</v>
      </c>
      <c r="AC253" s="20" t="s">
        <v>1697</v>
      </c>
      <c r="AD253" s="20" t="s">
        <v>1697</v>
      </c>
      <c r="AE253" s="20" t="s">
        <v>811</v>
      </c>
      <c r="AF253" s="9" t="n">
        <v>1</v>
      </c>
      <c r="AG253" s="12" t="n">
        <v>1</v>
      </c>
      <c r="AH253" s="22" t="s">
        <v>235</v>
      </c>
      <c r="AI253" s="12" t="str">
        <f>IF(AH253="","",IFERROR(RIGHT("0000"&amp;AH253,4)&amp;" - "&amp;UPPER(_xlfn.XLOOKUP(RIGHT("0000"&amp;AH253,4),CODEBOOK_CAP!$C$2:$C$212,CODEBOOK_CAP!$D$2:$D$212)),"Código CAP não encontrado"))</f>
        <v>0322 - ESTRUTURAS, HOSPITAIS, CLÍNICAS</v>
      </c>
      <c r="AJ253" s="12" t="str">
        <f>IF(AH253="","",IFERROR(_xlfn.XLOOKUP(RIGHT("0000"&amp;AH253,4),CODEBOOK_CAP!$C$2:$C$212,CODEBOOK_CAP!$E$2:$E$212),"Código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3" s="22" t="s">
        <v>77</v>
      </c>
      <c r="AL253" s="26"/>
      <c r="AM253" s="22" t="s">
        <v>79</v>
      </c>
      <c r="AN253" s="22" t="s">
        <v>79</v>
      </c>
      <c r="AO253" s="12" t="s">
        <v>1698</v>
      </c>
      <c r="AP253" s="22" t="s">
        <v>77</v>
      </c>
      <c r="AQ253" s="12"/>
      <c r="AR253" s="22" t="s">
        <v>79</v>
      </c>
      <c r="AS253" s="10" t="s">
        <v>811</v>
      </c>
      <c r="AT253" s="2" t="s">
        <v>82</v>
      </c>
      <c r="AU253" s="12" t="s">
        <v>83</v>
      </c>
      <c r="AV253" s="3" t="n">
        <v>46218</v>
      </c>
      <c r="AW253" s="21"/>
      <c r="AY253" s="1"/>
      <c r="BA253" s="1"/>
      <c r="BB253" s="1"/>
    </row>
    <row r="254" ht="120" customHeight="1">
      <c r="A254" s="20" t="s">
        <v>1699</v>
      </c>
      <c r="B254" s="20" t="n">
        <v>2023</v>
      </c>
      <c r="C254" s="20" t="n">
        <v>126</v>
      </c>
      <c r="D254" s="20" t="s">
        <v>50</v>
      </c>
      <c r="E254" s="20" t="s">
        <v>1622</v>
      </c>
      <c r="F254" s="20" t="s">
        <v>1700</v>
      </c>
      <c r="G254" s="20" t="s">
        <v>315</v>
      </c>
      <c r="H254" s="20" t="s">
        <v>1624</v>
      </c>
      <c r="I254" s="20"/>
      <c r="J254" s="20" t="s">
        <v>1701</v>
      </c>
      <c r="K254" s="20" t="s">
        <v>56</v>
      </c>
      <c r="L254" s="20" t="s">
        <v>57</v>
      </c>
      <c r="M254" s="20" t="s">
        <v>58</v>
      </c>
      <c r="N254" s="20" t="s">
        <v>59</v>
      </c>
      <c r="O254" s="20" t="s">
        <v>60</v>
      </c>
      <c r="P254" s="20" t="s">
        <v>61</v>
      </c>
      <c r="Q254" s="20" t="s">
        <v>62</v>
      </c>
      <c r="R254" s="20" t="s">
        <v>63</v>
      </c>
      <c r="S254" s="20" t="s">
        <v>64</v>
      </c>
      <c r="T254" s="20" t="s">
        <v>65</v>
      </c>
      <c r="U254" s="20" t="s">
        <v>66</v>
      </c>
      <c r="V254" s="20" t="s">
        <v>67</v>
      </c>
      <c r="W254" s="20" t="s">
        <v>68</v>
      </c>
      <c r="X254" s="20" t="s">
        <v>69</v>
      </c>
      <c r="Y254" s="20" t="s">
        <v>70</v>
      </c>
      <c r="Z254" s="20" t="s">
        <v>71</v>
      </c>
      <c r="AA254" s="20" t="s">
        <v>1626</v>
      </c>
      <c r="AB254" s="20" t="s">
        <v>1702</v>
      </c>
      <c r="AC254" s="20" t="s">
        <v>1702</v>
      </c>
      <c r="AD254" s="20" t="s">
        <v>1702</v>
      </c>
      <c r="AE254" s="20" t="s">
        <v>1703</v>
      </c>
      <c r="AF254" s="9" t="n">
        <v>1</v>
      </c>
      <c r="AG254" s="12" t="n">
        <v>1</v>
      </c>
      <c r="AH254" s="22" t="s">
        <v>235</v>
      </c>
      <c r="AI254" s="12" t="str">
        <f>IF(AH254="","",IFERROR(RIGHT("0000"&amp;AH254,4)&amp;" - "&amp;UPPER(_xlfn.XLOOKUP(RIGHT("0000"&amp;AH254,4),CODEBOOK_CAP!$C$2:$C$212,CODEBOOK_CAP!$D$2:$D$212)),"Código CAP não encontrado"))</f>
        <v>0322 - ESTRUTURAS, HOSPITAIS, CLÍNICAS</v>
      </c>
      <c r="AJ254" s="12" t="str">
        <f>IF(AH254="","",IFERROR(_xlfn.XLOOKUP(RIGHT("0000"&amp;AH254,4),CODEBOOK_CAP!$C$2:$C$212,CODEBOOK_CAP!$E$2:$E$212),"Código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54" s="22" t="s">
        <v>77</v>
      </c>
      <c r="AL254" s="26"/>
      <c r="AM254" s="22" t="s">
        <v>79</v>
      </c>
      <c r="AN254" s="22" t="s">
        <v>79</v>
      </c>
      <c r="AO254" s="12" t="s">
        <v>1704</v>
      </c>
      <c r="AP254" s="22" t="s">
        <v>77</v>
      </c>
      <c r="AQ254" s="12"/>
      <c r="AR254" s="22" t="s">
        <v>79</v>
      </c>
      <c r="AS254" s="10" t="s">
        <v>1703</v>
      </c>
      <c r="AT254" s="2" t="s">
        <v>82</v>
      </c>
      <c r="AU254" s="12" t="s">
        <v>83</v>
      </c>
      <c r="AV254" s="3" t="n">
        <v>46218</v>
      </c>
      <c r="AW254" s="21"/>
      <c r="AY254" s="1"/>
      <c r="BA254" s="1"/>
      <c r="BB254" s="1"/>
    </row>
    <row r="255" ht="210" customHeight="1">
      <c r="A255" s="20" t="s">
        <v>1705</v>
      </c>
      <c r="B255" s="20" t="n">
        <v>2023</v>
      </c>
      <c r="C255" s="20" t="n">
        <v>417</v>
      </c>
      <c r="D255" s="20" t="s">
        <v>50</v>
      </c>
      <c r="E255" s="20" t="s">
        <v>1706</v>
      </c>
      <c r="F255" s="20" t="s">
        <v>1707</v>
      </c>
      <c r="G255" s="20" t="s">
        <v>183</v>
      </c>
      <c r="H255" s="20" t="s">
        <v>1708</v>
      </c>
      <c r="I255" s="20"/>
      <c r="J255" s="20" t="s">
        <v>1709</v>
      </c>
      <c r="K255" s="20" t="s">
        <v>1710</v>
      </c>
      <c r="L255" s="20" t="s">
        <v>274</v>
      </c>
      <c r="M255" s="20" t="s">
        <v>275</v>
      </c>
      <c r="N255" s="20" t="s">
        <v>276</v>
      </c>
      <c r="O255" s="20" t="s">
        <v>277</v>
      </c>
      <c r="P255" s="20" t="s">
        <v>278</v>
      </c>
      <c r="Q255" s="20" t="s">
        <v>279</v>
      </c>
      <c r="R255" s="20" t="s">
        <v>280</v>
      </c>
      <c r="S255" s="20" t="s">
        <v>281</v>
      </c>
      <c r="T255" s="20" t="s">
        <v>752</v>
      </c>
      <c r="U255" s="20" t="s">
        <v>753</v>
      </c>
      <c r="V255" s="20" t="s">
        <v>95</v>
      </c>
      <c r="W255" s="20" t="s">
        <v>96</v>
      </c>
      <c r="X255" s="20" t="s">
        <v>97</v>
      </c>
      <c r="Y255" s="20" t="s">
        <v>70</v>
      </c>
      <c r="Z255" s="20" t="s">
        <v>284</v>
      </c>
      <c r="AA255" s="20" t="s">
        <v>285</v>
      </c>
      <c r="AB255" s="20" t="s">
        <v>77</v>
      </c>
      <c r="AC255" s="20" t="s">
        <v>77</v>
      </c>
      <c r="AD255" s="20" t="s">
        <v>77</v>
      </c>
      <c r="AE255" s="20"/>
      <c r="AF255" s="9" t="n">
        <v>0</v>
      </c>
      <c r="AG255" s="12" t="n">
        <v>0</v>
      </c>
      <c r="AH255" s="22" t="s">
        <v>607</v>
      </c>
      <c r="AI255" s="12" t="str">
        <f>IF(AH255="","",IFERROR(RIGHT("0000"&amp;AH255,4)&amp;" - "&amp;UPPER(_xlfn.XLOOKUP(RIGHT("0000"&amp;AH255,4),CODEBOOK_CAP!$C$2:$C$212,CODEBOOK_CAP!$D$2:$D$212)),"Código CAP não encontrado"))</f>
        <v>1300 - GERAL</v>
      </c>
      <c r="AJ255" s="12" t="str">
        <f>IF(AH255="","",IFERROR(_xlfn.XLOOKUP(RIGHT("0000"&amp;AH255,4),CODEBOOK_CAP!$C$2:$C$212,CODEBOOK_CAP!$E$2:$E$212),"Código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255" s="22" t="s">
        <v>77</v>
      </c>
      <c r="AL255" s="26"/>
      <c r="AM255" s="22" t="s">
        <v>77</v>
      </c>
      <c r="AN255" s="22" t="s">
        <v>77</v>
      </c>
      <c r="AO255" s="12"/>
      <c r="AP255" s="22" t="s">
        <v>77</v>
      </c>
      <c r="AQ255" s="12"/>
      <c r="AR255" s="22" t="s">
        <v>77</v>
      </c>
      <c r="AS255" s="10"/>
      <c r="AT255" s="2" t="s">
        <v>82</v>
      </c>
      <c r="AU255" s="12" t="s">
        <v>83</v>
      </c>
      <c r="AV255" s="3" t="n">
        <v>46219</v>
      </c>
      <c r="AW255" s="21"/>
      <c r="AY255" s="1"/>
      <c r="BA255" s="1"/>
      <c r="BB255" s="1"/>
    </row>
    <row r="256" ht="105" customHeight="1">
      <c r="A256" s="20" t="s">
        <v>1711</v>
      </c>
      <c r="B256" s="20" t="n">
        <v>2023</v>
      </c>
      <c r="C256" s="20" t="n">
        <v>418</v>
      </c>
      <c r="D256" s="20" t="s">
        <v>50</v>
      </c>
      <c r="E256" s="20" t="s">
        <v>1706</v>
      </c>
      <c r="F256" s="20" t="s">
        <v>1712</v>
      </c>
      <c r="G256" s="20" t="s">
        <v>86</v>
      </c>
      <c r="H256" s="20" t="s">
        <v>1708</v>
      </c>
      <c r="I256" s="20"/>
      <c r="J256" s="20" t="s">
        <v>1713</v>
      </c>
      <c r="K256" s="20" t="s">
        <v>682</v>
      </c>
      <c r="L256" s="20" t="s">
        <v>186</v>
      </c>
      <c r="M256" s="20" t="s">
        <v>187</v>
      </c>
      <c r="N256" s="20" t="s">
        <v>188</v>
      </c>
      <c r="O256" s="20" t="s">
        <v>189</v>
      </c>
      <c r="P256" s="20" t="s">
        <v>338</v>
      </c>
      <c r="Q256" s="20" t="s">
        <v>683</v>
      </c>
      <c r="R256" s="20" t="s">
        <v>192</v>
      </c>
      <c r="S256" s="20" t="s">
        <v>193</v>
      </c>
      <c r="T256" s="20" t="s">
        <v>684</v>
      </c>
      <c r="U256" s="20" t="s">
        <v>685</v>
      </c>
      <c r="V256" s="20" t="s">
        <v>95</v>
      </c>
      <c r="W256" s="20" t="s">
        <v>96</v>
      </c>
      <c r="X256" s="20" t="s">
        <v>97</v>
      </c>
      <c r="Y256" s="20" t="s">
        <v>70</v>
      </c>
      <c r="Z256" s="20" t="s">
        <v>197</v>
      </c>
      <c r="AA256" s="20" t="s">
        <v>363</v>
      </c>
      <c r="AB256" s="20" t="s">
        <v>1714</v>
      </c>
      <c r="AC256" s="20" t="s">
        <v>1714</v>
      </c>
      <c r="AD256" s="20" t="s">
        <v>1714</v>
      </c>
      <c r="AE256" s="20"/>
      <c r="AF256" s="9" t="n">
        <v>0</v>
      </c>
      <c r="AG256" s="12" t="n">
        <v>0</v>
      </c>
      <c r="AH256" s="22" t="s">
        <v>161</v>
      </c>
      <c r="AI256" s="12" t="str">
        <f>IF(AH256="","",IFERROR(RIGHT("0000"&amp;AH256,4)&amp;" - "&amp;UPPER(_xlfn.XLOOKUP(RIGHT("0000"&amp;AH256,4),CODEBOOK_CAP!$C$2:$C$212,CODEBOOK_CAP!$D$2:$D$212)),"Código CAP não encontrado"))</f>
        <v>2300 - GERAL</v>
      </c>
      <c r="AJ256" s="12" t="str">
        <f>IF(AH256="","",IFERROR(_xlfn.XLOOKUP(RIGHT("0000"&amp;AH256,4),CODEBOOK_CAP!$C$2:$C$212,CODEBOOK_CAP!$E$2:$E$212),"Código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56" s="22" t="s">
        <v>79</v>
      </c>
      <c r="AL256" s="26" t="s">
        <v>1715</v>
      </c>
      <c r="AM256" s="22" t="s">
        <v>79</v>
      </c>
      <c r="AN256" s="22" t="s">
        <v>77</v>
      </c>
      <c r="AO256" s="12"/>
      <c r="AP256" s="22" t="s">
        <v>77</v>
      </c>
      <c r="AQ256" s="12"/>
      <c r="AR256" s="22" t="s">
        <v>77</v>
      </c>
      <c r="AS256" s="10"/>
      <c r="AT256" s="2" t="s">
        <v>82</v>
      </c>
      <c r="AU256" s="12" t="s">
        <v>83</v>
      </c>
      <c r="AV256" s="3" t="n">
        <v>46219</v>
      </c>
      <c r="AW256" s="21"/>
      <c r="AX256" s="1" t="s">
        <v>6956</v>
      </c>
      <c r="AY256" s="1"/>
      <c r="BA256" s="1"/>
      <c r="BB256" s="1"/>
    </row>
    <row r="257" ht="105" customHeight="1">
      <c r="A257" s="20" t="s">
        <v>1716</v>
      </c>
      <c r="B257" s="20" t="n">
        <v>2023</v>
      </c>
      <c r="C257" s="20" t="n">
        <v>419</v>
      </c>
      <c r="D257" s="20" t="s">
        <v>50</v>
      </c>
      <c r="E257" s="20" t="s">
        <v>1706</v>
      </c>
      <c r="F257" s="20" t="s">
        <v>1717</v>
      </c>
      <c r="G257" s="20" t="s">
        <v>315</v>
      </c>
      <c r="H257" s="20" t="s">
        <v>1708</v>
      </c>
      <c r="I257" s="20"/>
      <c r="J257" s="20" t="s">
        <v>1718</v>
      </c>
      <c r="K257" s="20" t="s">
        <v>185</v>
      </c>
      <c r="L257" s="20" t="s">
        <v>186</v>
      </c>
      <c r="M257" s="20" t="s">
        <v>187</v>
      </c>
      <c r="N257" s="20" t="s">
        <v>188</v>
      </c>
      <c r="O257" s="20" t="s">
        <v>189</v>
      </c>
      <c r="P257" s="20" t="s">
        <v>190</v>
      </c>
      <c r="Q257" s="20" t="s">
        <v>191</v>
      </c>
      <c r="R257" s="20" t="s">
        <v>192</v>
      </c>
      <c r="S257" s="20" t="s">
        <v>193</v>
      </c>
      <c r="T257" s="20" t="s">
        <v>194</v>
      </c>
      <c r="U257" s="20" t="s">
        <v>195</v>
      </c>
      <c r="V257" s="20" t="s">
        <v>196</v>
      </c>
      <c r="W257" s="20" t="s">
        <v>68</v>
      </c>
      <c r="X257" s="20" t="s">
        <v>69</v>
      </c>
      <c r="Y257" s="20" t="s">
        <v>70</v>
      </c>
      <c r="Z257" s="20" t="s">
        <v>197</v>
      </c>
      <c r="AA257" s="20" t="s">
        <v>198</v>
      </c>
      <c r="AB257" s="20" t="s">
        <v>1719</v>
      </c>
      <c r="AC257" s="20" t="s">
        <v>1719</v>
      </c>
      <c r="AD257" s="20" t="s">
        <v>1719</v>
      </c>
      <c r="AE257" s="20"/>
      <c r="AF257" s="9" t="n">
        <v>0</v>
      </c>
      <c r="AG257" s="12" t="n">
        <v>0</v>
      </c>
      <c r="AH257" s="22" t="s">
        <v>161</v>
      </c>
      <c r="AI257" s="12" t="str">
        <f>IF(AH257="","",IFERROR(RIGHT("0000"&amp;AH257,4)&amp;" - "&amp;UPPER(_xlfn.XLOOKUP(RIGHT("0000"&amp;AH257,4),CODEBOOK_CAP!$C$2:$C$212,CODEBOOK_CAP!$D$2:$D$212)),"Código CAP não encontrado"))</f>
        <v>2300 - GERAL</v>
      </c>
      <c r="AJ257" s="12" t="str">
        <f>IF(AH257="","",IFERROR(_xlfn.XLOOKUP(RIGHT("0000"&amp;AH257,4),CODEBOOK_CAP!$C$2:$C$212,CODEBOOK_CAP!$E$2:$E$212),"Código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57" s="22" t="s">
        <v>79</v>
      </c>
      <c r="AL257" s="26" t="s">
        <v>1715</v>
      </c>
      <c r="AM257" s="22" t="s">
        <v>79</v>
      </c>
      <c r="AN257" s="22" t="s">
        <v>77</v>
      </c>
      <c r="AO257" s="12"/>
      <c r="AP257" s="22" t="s">
        <v>77</v>
      </c>
      <c r="AQ257" s="12"/>
      <c r="AR257" s="22" t="s">
        <v>77</v>
      </c>
      <c r="AS257" s="10"/>
      <c r="AT257" s="2" t="s">
        <v>82</v>
      </c>
      <c r="AU257" s="12" t="s">
        <v>83</v>
      </c>
      <c r="AV257" s="3" t="n">
        <v>46219</v>
      </c>
      <c r="AW257" s="21"/>
      <c r="AX257" s="1" t="s">
        <v>6956</v>
      </c>
      <c r="AY257" s="1"/>
      <c r="BA257" s="1"/>
      <c r="BB257" s="1"/>
    </row>
    <row r="258" ht="75" customHeight="1">
      <c r="A258" s="20" t="s">
        <v>1720</v>
      </c>
      <c r="B258" s="20" t="n">
        <v>2023</v>
      </c>
      <c r="C258" s="20" t="n">
        <v>420</v>
      </c>
      <c r="D258" s="20" t="s">
        <v>50</v>
      </c>
      <c r="E258" s="20" t="s">
        <v>1706</v>
      </c>
      <c r="F258" s="20" t="s">
        <v>1721</v>
      </c>
      <c r="G258" s="20" t="s">
        <v>86</v>
      </c>
      <c r="H258" s="20" t="s">
        <v>1708</v>
      </c>
      <c r="I258" s="20"/>
      <c r="J258" s="20" t="s">
        <v>1722</v>
      </c>
      <c r="K258" s="20" t="s">
        <v>1723</v>
      </c>
      <c r="L258" s="20" t="s">
        <v>1724</v>
      </c>
      <c r="M258" s="20" t="s">
        <v>1725</v>
      </c>
      <c r="N258" s="20" t="s">
        <v>1726</v>
      </c>
      <c r="O258" s="20" t="s">
        <v>1727</v>
      </c>
      <c r="P258" s="20" t="s">
        <v>1728</v>
      </c>
      <c r="Q258" s="20" t="s">
        <v>1729</v>
      </c>
      <c r="R258" s="20" t="s">
        <v>1730</v>
      </c>
      <c r="S258" s="20" t="s">
        <v>1731</v>
      </c>
      <c r="T258" s="20" t="s">
        <v>1732</v>
      </c>
      <c r="U258" s="20" t="s">
        <v>1733</v>
      </c>
      <c r="V258" s="20" t="s">
        <v>196</v>
      </c>
      <c r="W258" s="20" t="s">
        <v>68</v>
      </c>
      <c r="X258" s="20" t="s">
        <v>69</v>
      </c>
      <c r="Y258" s="20" t="s">
        <v>70</v>
      </c>
      <c r="Z258" s="20" t="s">
        <v>177</v>
      </c>
      <c r="AA258" s="20" t="s">
        <v>198</v>
      </c>
      <c r="AB258" s="20" t="s">
        <v>77</v>
      </c>
      <c r="AC258" s="20" t="s">
        <v>77</v>
      </c>
      <c r="AD258" s="20" t="s">
        <v>77</v>
      </c>
      <c r="AE258" s="20"/>
      <c r="AF258" s="9" t="n">
        <v>0</v>
      </c>
      <c r="AG258" s="12" t="n">
        <v>0</v>
      </c>
      <c r="AH258" s="22" t="s">
        <v>1734</v>
      </c>
      <c r="AI258" s="12" t="str">
        <f>IF(AH258="","",IFERROR(RIGHT("0000"&amp;AH258,4)&amp;" - "&amp;UPPER(_xlfn.XLOOKUP(RIGHT("0000"&amp;AH258,4),CODEBOOK_CAP!$C$2:$C$212,CODEBOOK_CAP!$D$2:$D$212)),"Código CAP não encontrado"))</f>
        <v>0703 - RESÍDUOS SÓLIDOS</v>
      </c>
      <c r="AJ258" s="12" t="str">
        <f>IF(AH258="","",IFERROR(_xlfn.XLOOKUP(RIGHT("0000"&amp;AH258,4),CODEBOOK_CAP!$C$2:$C$212,CODEBOOK_CAP!$E$2:$E$212),"Código CAP não encontrado"))</f>
        <v>Regulação e tratamento de resíduos sólidos, gestão do lixo, lixão, depósitos de lixo, destino, coleta e questões sobre lixo, lixo doméstico, lixo industrial. Aterros e outras formas de destinação final de resíduos.Reciclagem deve ser codificado em 707</v>
      </c>
      <c r="AK258" s="22" t="s">
        <v>79</v>
      </c>
      <c r="AL258" s="26" t="s">
        <v>1715</v>
      </c>
      <c r="AM258" s="22" t="s">
        <v>79</v>
      </c>
      <c r="AN258" s="22" t="s">
        <v>77</v>
      </c>
      <c r="AO258" s="12"/>
      <c r="AP258" s="22" t="s">
        <v>77</v>
      </c>
      <c r="AQ258" s="12"/>
      <c r="AR258" s="22" t="s">
        <v>77</v>
      </c>
      <c r="AS258" s="10"/>
      <c r="AT258" s="2" t="s">
        <v>82</v>
      </c>
      <c r="AU258" s="12" t="s">
        <v>83</v>
      </c>
      <c r="AV258" s="3" t="n">
        <v>46219</v>
      </c>
      <c r="AW258" s="21"/>
      <c r="AY258" s="1"/>
      <c r="BA258" s="1"/>
      <c r="BB258" s="1"/>
    </row>
    <row r="259" ht="105" customHeight="1">
      <c r="A259" s="20" t="s">
        <v>1735</v>
      </c>
      <c r="B259" s="20" t="n">
        <v>2023</v>
      </c>
      <c r="C259" s="20" t="n">
        <v>421</v>
      </c>
      <c r="D259" s="20" t="s">
        <v>50</v>
      </c>
      <c r="E259" s="20" t="s">
        <v>1706</v>
      </c>
      <c r="F259" s="20" t="s">
        <v>1736</v>
      </c>
      <c r="G259" s="20" t="s">
        <v>315</v>
      </c>
      <c r="H259" s="20" t="s">
        <v>1708</v>
      </c>
      <c r="I259" s="20"/>
      <c r="J259" s="20" t="s">
        <v>1737</v>
      </c>
      <c r="K259" s="20" t="s">
        <v>241</v>
      </c>
      <c r="L259" s="20" t="s">
        <v>208</v>
      </c>
      <c r="M259" s="20" t="s">
        <v>209</v>
      </c>
      <c r="N259" s="20" t="s">
        <v>188</v>
      </c>
      <c r="O259" s="20" t="s">
        <v>189</v>
      </c>
      <c r="P259" s="20" t="s">
        <v>190</v>
      </c>
      <c r="Q259" s="20" t="s">
        <v>191</v>
      </c>
      <c r="R259" s="20" t="s">
        <v>192</v>
      </c>
      <c r="S259" s="20" t="s">
        <v>193</v>
      </c>
      <c r="T259" s="20" t="s">
        <v>242</v>
      </c>
      <c r="U259" s="20" t="s">
        <v>243</v>
      </c>
      <c r="V259" s="20" t="s">
        <v>67</v>
      </c>
      <c r="W259" s="20" t="s">
        <v>68</v>
      </c>
      <c r="X259" s="20" t="s">
        <v>69</v>
      </c>
      <c r="Y259" s="20" t="s">
        <v>70</v>
      </c>
      <c r="Z259" s="20" t="s">
        <v>177</v>
      </c>
      <c r="AA259" s="20" t="s">
        <v>160</v>
      </c>
      <c r="AB259" s="20" t="s">
        <v>77</v>
      </c>
      <c r="AC259" s="20" t="s">
        <v>77</v>
      </c>
      <c r="AD259" s="20" t="s">
        <v>77</v>
      </c>
      <c r="AE259" s="20"/>
      <c r="AF259" s="9" t="n">
        <v>0</v>
      </c>
      <c r="AG259" s="12" t="n">
        <v>0</v>
      </c>
      <c r="AH259" s="22" t="s">
        <v>161</v>
      </c>
      <c r="AI259" s="12" t="str">
        <f>IF(AH259="","",IFERROR(RIGHT("0000"&amp;AH259,4)&amp;" - "&amp;UPPER(_xlfn.XLOOKUP(RIGHT("0000"&amp;AH259,4),CODEBOOK_CAP!$C$2:$C$212,CODEBOOK_CAP!$D$2:$D$212)),"Código CAP não encontrado"))</f>
        <v>2300 - GERAL</v>
      </c>
      <c r="AJ259" s="12" t="str">
        <f>IF(AH259="","",IFERROR(_xlfn.XLOOKUP(RIGHT("0000"&amp;AH259,4),CODEBOOK_CAP!$C$2:$C$212,CODEBOOK_CAP!$E$2:$E$212),"Código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59" s="22" t="s">
        <v>79</v>
      </c>
      <c r="AL259" s="26" t="s">
        <v>1738</v>
      </c>
      <c r="AM259" s="22" t="s">
        <v>79</v>
      </c>
      <c r="AN259" s="22" t="s">
        <v>79</v>
      </c>
      <c r="AO259" s="12" t="s">
        <v>1739</v>
      </c>
      <c r="AP259" s="22" t="s">
        <v>77</v>
      </c>
      <c r="AQ259" s="12"/>
      <c r="AR259" s="22" t="s">
        <v>77</v>
      </c>
      <c r="AS259" s="10"/>
      <c r="AT259" s="2" t="s">
        <v>82</v>
      </c>
      <c r="AU259" s="12" t="s">
        <v>83</v>
      </c>
      <c r="AV259" s="3" t="n">
        <v>46219</v>
      </c>
      <c r="AW259" s="21"/>
      <c r="AX259" s="1" t="s">
        <v>6956</v>
      </c>
      <c r="AY259" s="1"/>
      <c r="BA259" s="1"/>
      <c r="BB259" s="1"/>
    </row>
    <row r="260" ht="105" customHeight="1">
      <c r="A260" s="20" t="s">
        <v>1740</v>
      </c>
      <c r="B260" s="20" t="n">
        <v>2023</v>
      </c>
      <c r="C260" s="20" t="n">
        <v>422</v>
      </c>
      <c r="D260" s="20" t="s">
        <v>50</v>
      </c>
      <c r="E260" s="20" t="s">
        <v>1706</v>
      </c>
      <c r="F260" s="20" t="s">
        <v>1741</v>
      </c>
      <c r="G260" s="20" t="s">
        <v>315</v>
      </c>
      <c r="H260" s="20" t="s">
        <v>1708</v>
      </c>
      <c r="I260" s="20"/>
      <c r="J260" s="20" t="s">
        <v>1742</v>
      </c>
      <c r="K260" s="20" t="s">
        <v>299</v>
      </c>
      <c r="L260" s="20" t="s">
        <v>208</v>
      </c>
      <c r="M260" s="20" t="s">
        <v>209</v>
      </c>
      <c r="N260" s="20" t="s">
        <v>210</v>
      </c>
      <c r="O260" s="20" t="s">
        <v>211</v>
      </c>
      <c r="P260" s="20" t="s">
        <v>212</v>
      </c>
      <c r="Q260" s="20" t="s">
        <v>213</v>
      </c>
      <c r="R260" s="20" t="s">
        <v>251</v>
      </c>
      <c r="S260" s="20" t="s">
        <v>252</v>
      </c>
      <c r="T260" s="20" t="s">
        <v>300</v>
      </c>
      <c r="U260" s="20" t="s">
        <v>301</v>
      </c>
      <c r="V260" s="20" t="s">
        <v>67</v>
      </c>
      <c r="W260" s="20" t="s">
        <v>68</v>
      </c>
      <c r="X260" s="20" t="s">
        <v>69</v>
      </c>
      <c r="Y260" s="20" t="s">
        <v>70</v>
      </c>
      <c r="Z260" s="20" t="s">
        <v>177</v>
      </c>
      <c r="AA260" s="20" t="s">
        <v>1743</v>
      </c>
      <c r="AB260" s="20" t="s">
        <v>1744</v>
      </c>
      <c r="AC260" s="20" t="s">
        <v>1745</v>
      </c>
      <c r="AD260" s="20" t="s">
        <v>1745</v>
      </c>
      <c r="AE260" s="20"/>
      <c r="AF260" s="9" t="n">
        <v>0</v>
      </c>
      <c r="AG260" s="12" t="n">
        <v>0</v>
      </c>
      <c r="AH260" s="22" t="s">
        <v>161</v>
      </c>
      <c r="AI260" s="12" t="str">
        <f>IF(AH260="","",IFERROR(RIGHT("0000"&amp;AH260,4)&amp;" - "&amp;UPPER(_xlfn.XLOOKUP(RIGHT("0000"&amp;AH260,4),CODEBOOK_CAP!$C$2:$C$212,CODEBOOK_CAP!$D$2:$D$212)),"Código CAP não encontrado"))</f>
        <v>2300 - GERAL</v>
      </c>
      <c r="AJ260" s="12" t="str">
        <f>IF(AH260="","",IFERROR(_xlfn.XLOOKUP(RIGHT("0000"&amp;AH260,4),CODEBOOK_CAP!$C$2:$C$212,CODEBOOK_CAP!$E$2:$E$212),"Código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60" s="22" t="s">
        <v>79</v>
      </c>
      <c r="AL260" s="26" t="s">
        <v>1738</v>
      </c>
      <c r="AM260" s="22" t="s">
        <v>79</v>
      </c>
      <c r="AN260" s="22" t="s">
        <v>79</v>
      </c>
      <c r="AO260" s="12" t="s">
        <v>1739</v>
      </c>
      <c r="AP260" s="22" t="s">
        <v>77</v>
      </c>
      <c r="AQ260" s="12"/>
      <c r="AR260" s="22" t="s">
        <v>77</v>
      </c>
      <c r="AS260" s="10"/>
      <c r="AT260" s="2" t="s">
        <v>82</v>
      </c>
      <c r="AU260" s="12" t="s">
        <v>83</v>
      </c>
      <c r="AV260" s="3" t="n">
        <v>46219</v>
      </c>
      <c r="AW260" s="21"/>
      <c r="AX260" s="1" t="s">
        <v>6956</v>
      </c>
      <c r="AY260" s="1"/>
      <c r="BA260" s="1"/>
      <c r="BB260" s="1"/>
    </row>
    <row r="261" ht="120" customHeight="1">
      <c r="A261" s="20" t="s">
        <v>1746</v>
      </c>
      <c r="B261" s="20" t="n">
        <v>2023</v>
      </c>
      <c r="C261" s="20" t="n">
        <v>429</v>
      </c>
      <c r="D261" s="20" t="s">
        <v>50</v>
      </c>
      <c r="E261" s="20" t="s">
        <v>1706</v>
      </c>
      <c r="F261" s="20" t="s">
        <v>1747</v>
      </c>
      <c r="G261" s="20" t="s">
        <v>86</v>
      </c>
      <c r="H261" s="20" t="s">
        <v>1708</v>
      </c>
      <c r="I261" s="20"/>
      <c r="J261" s="20" t="s">
        <v>1748</v>
      </c>
      <c r="K261" s="20" t="s">
        <v>122</v>
      </c>
      <c r="L261" s="20" t="s">
        <v>57</v>
      </c>
      <c r="M261" s="20" t="s">
        <v>58</v>
      </c>
      <c r="N261" s="20" t="s">
        <v>59</v>
      </c>
      <c r="O261" s="20" t="s">
        <v>60</v>
      </c>
      <c r="P261" s="20" t="s">
        <v>89</v>
      </c>
      <c r="Q261" s="20" t="s">
        <v>90</v>
      </c>
      <c r="R261" s="20" t="s">
        <v>91</v>
      </c>
      <c r="S261" s="20" t="s">
        <v>92</v>
      </c>
      <c r="T261" s="20" t="s">
        <v>123</v>
      </c>
      <c r="U261" s="20" t="s">
        <v>124</v>
      </c>
      <c r="V261" s="20" t="s">
        <v>95</v>
      </c>
      <c r="W261" s="20" t="s">
        <v>96</v>
      </c>
      <c r="X261" s="20" t="s">
        <v>97</v>
      </c>
      <c r="Y261" s="20" t="s">
        <v>70</v>
      </c>
      <c r="Z261" s="20" t="s">
        <v>98</v>
      </c>
      <c r="AA261" s="20" t="s">
        <v>160</v>
      </c>
      <c r="AB261" s="20" t="s">
        <v>160</v>
      </c>
      <c r="AC261" s="20" t="s">
        <v>160</v>
      </c>
      <c r="AD261" s="20" t="s">
        <v>160</v>
      </c>
      <c r="AE261" s="20"/>
      <c r="AF261" s="9" t="n">
        <v>1</v>
      </c>
      <c r="AG261" s="12" t="n">
        <v>1</v>
      </c>
      <c r="AH261" s="22" t="s">
        <v>235</v>
      </c>
      <c r="AI261" s="12" t="str">
        <f>IF(AH261="","",IFERROR(RIGHT("0000"&amp;AH261,4)&amp;" - "&amp;UPPER(_xlfn.XLOOKUP(RIGHT("0000"&amp;AH261,4),CODEBOOK_CAP!$C$2:$C$212,CODEBOOK_CAP!$D$2:$D$212)),"Código CAP não encontrado"))</f>
        <v>0322 - ESTRUTURAS, HOSPITAIS, CLÍNICAS</v>
      </c>
      <c r="AJ261" s="12" t="str">
        <f>IF(AH261="","",IFERROR(_xlfn.XLOOKUP(RIGHT("0000"&amp;AH261,4),CODEBOOK_CAP!$C$2:$C$212,CODEBOOK_CAP!$E$2:$E$212),"Código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1" s="22" t="s">
        <v>77</v>
      </c>
      <c r="AL261" s="26"/>
      <c r="AM261" s="22" t="s">
        <v>79</v>
      </c>
      <c r="AN261" s="22" t="s">
        <v>79</v>
      </c>
      <c r="AO261" s="12" t="s">
        <v>957</v>
      </c>
      <c r="AP261" s="22" t="s">
        <v>77</v>
      </c>
      <c r="AQ261" s="12"/>
      <c r="AR261" s="22" t="s">
        <v>77</v>
      </c>
      <c r="AS261" s="10"/>
      <c r="AT261" s="2" t="s">
        <v>82</v>
      </c>
      <c r="AU261" s="12" t="s">
        <v>83</v>
      </c>
      <c r="AV261" s="3" t="n">
        <v>46219</v>
      </c>
      <c r="AW261" s="21"/>
      <c r="AY261" s="1"/>
      <c r="BA261" s="1"/>
      <c r="BB261" s="1"/>
    </row>
    <row r="262" ht="120" customHeight="1">
      <c r="A262" s="20" t="s">
        <v>1749</v>
      </c>
      <c r="B262" s="20" t="n">
        <v>2023</v>
      </c>
      <c r="C262" s="20" t="n">
        <v>430</v>
      </c>
      <c r="D262" s="20" t="s">
        <v>50</v>
      </c>
      <c r="E262" s="20" t="s">
        <v>1706</v>
      </c>
      <c r="F262" s="20" t="s">
        <v>1750</v>
      </c>
      <c r="G262" s="20" t="s">
        <v>315</v>
      </c>
      <c r="H262" s="20" t="s">
        <v>1708</v>
      </c>
      <c r="I262" s="20"/>
      <c r="J262" s="20" t="s">
        <v>1751</v>
      </c>
      <c r="K262" s="20" t="s">
        <v>309</v>
      </c>
      <c r="L262" s="20" t="s">
        <v>57</v>
      </c>
      <c r="M262" s="20" t="s">
        <v>58</v>
      </c>
      <c r="N262" s="20" t="s">
        <v>59</v>
      </c>
      <c r="O262" s="20" t="s">
        <v>60</v>
      </c>
      <c r="P262" s="20" t="s">
        <v>227</v>
      </c>
      <c r="Q262" s="20" t="s">
        <v>228</v>
      </c>
      <c r="R262" s="20" t="s">
        <v>229</v>
      </c>
      <c r="S262" s="20" t="s">
        <v>230</v>
      </c>
      <c r="T262" s="20" t="s">
        <v>231</v>
      </c>
      <c r="U262" s="20" t="s">
        <v>230</v>
      </c>
      <c r="V262" s="20" t="s">
        <v>196</v>
      </c>
      <c r="W262" s="20" t="s">
        <v>68</v>
      </c>
      <c r="X262" s="20" t="s">
        <v>69</v>
      </c>
      <c r="Y262" s="20" t="s">
        <v>70</v>
      </c>
      <c r="Z262" s="20" t="s">
        <v>98</v>
      </c>
      <c r="AA262" s="20" t="s">
        <v>125</v>
      </c>
      <c r="AB262" s="20" t="s">
        <v>1752</v>
      </c>
      <c r="AC262" s="20" t="s">
        <v>1753</v>
      </c>
      <c r="AD262" s="20" t="s">
        <v>1753</v>
      </c>
      <c r="AE262" s="20" t="s">
        <v>1754</v>
      </c>
      <c r="AF262" s="9" t="n">
        <v>1</v>
      </c>
      <c r="AG262" s="12" t="n">
        <v>1</v>
      </c>
      <c r="AH262" s="22" t="s">
        <v>235</v>
      </c>
      <c r="AI262" s="12" t="str">
        <f>IF(AH262="","",IFERROR(RIGHT("0000"&amp;AH262,4)&amp;" - "&amp;UPPER(_xlfn.XLOOKUP(RIGHT("0000"&amp;AH262,4),CODEBOOK_CAP!$C$2:$C$212,CODEBOOK_CAP!$D$2:$D$212)),"Código CAP não encontrado"))</f>
        <v>0322 - ESTRUTURAS, HOSPITAIS, CLÍNICAS</v>
      </c>
      <c r="AJ262" s="12" t="str">
        <f>IF(AH262="","",IFERROR(_xlfn.XLOOKUP(RIGHT("0000"&amp;AH262,4),CODEBOOK_CAP!$C$2:$C$212,CODEBOOK_CAP!$E$2:$E$212),"Código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2" s="22" t="s">
        <v>79</v>
      </c>
      <c r="AL262" s="26" t="s">
        <v>1715</v>
      </c>
      <c r="AM262" s="22" t="s">
        <v>79</v>
      </c>
      <c r="AN262" s="22" t="s">
        <v>79</v>
      </c>
      <c r="AO262" s="12" t="s">
        <v>1755</v>
      </c>
      <c r="AP262" s="22" t="s">
        <v>77</v>
      </c>
      <c r="AQ262" s="12"/>
      <c r="AR262" s="22" t="s">
        <v>79</v>
      </c>
      <c r="AS262" s="10" t="s">
        <v>1754</v>
      </c>
      <c r="AT262" s="2" t="s">
        <v>82</v>
      </c>
      <c r="AU262" s="12" t="s">
        <v>83</v>
      </c>
      <c r="AV262" s="3" t="n">
        <v>46219</v>
      </c>
      <c r="AW262" s="21"/>
      <c r="AY262" s="1"/>
      <c r="BA262" s="1"/>
      <c r="BB262" s="1"/>
    </row>
    <row r="263" ht="120" customHeight="1">
      <c r="A263" s="20" t="s">
        <v>1756</v>
      </c>
      <c r="B263" s="20" t="n">
        <v>2023</v>
      </c>
      <c r="C263" s="20" t="n">
        <v>431</v>
      </c>
      <c r="D263" s="20" t="s">
        <v>50</v>
      </c>
      <c r="E263" s="20" t="s">
        <v>1706</v>
      </c>
      <c r="F263" s="20" t="s">
        <v>1757</v>
      </c>
      <c r="G263" s="20" t="s">
        <v>86</v>
      </c>
      <c r="H263" s="20" t="s">
        <v>1708</v>
      </c>
      <c r="I263" s="20"/>
      <c r="J263" s="20" t="s">
        <v>1758</v>
      </c>
      <c r="K263" s="20" t="s">
        <v>56</v>
      </c>
      <c r="L263" s="20" t="s">
        <v>57</v>
      </c>
      <c r="M263" s="20" t="s">
        <v>58</v>
      </c>
      <c r="N263" s="20" t="s">
        <v>59</v>
      </c>
      <c r="O263" s="20" t="s">
        <v>60</v>
      </c>
      <c r="P263" s="20" t="s">
        <v>61</v>
      </c>
      <c r="Q263" s="20" t="s">
        <v>62</v>
      </c>
      <c r="R263" s="20" t="s">
        <v>63</v>
      </c>
      <c r="S263" s="20" t="s">
        <v>64</v>
      </c>
      <c r="T263" s="20" t="s">
        <v>65</v>
      </c>
      <c r="U263" s="20" t="s">
        <v>66</v>
      </c>
      <c r="V263" s="20" t="s">
        <v>67</v>
      </c>
      <c r="W263" s="20" t="s">
        <v>68</v>
      </c>
      <c r="X263" s="20" t="s">
        <v>69</v>
      </c>
      <c r="Y263" s="20" t="s">
        <v>70</v>
      </c>
      <c r="Z263" s="20" t="s">
        <v>71</v>
      </c>
      <c r="AA263" s="20" t="s">
        <v>125</v>
      </c>
      <c r="AB263" s="20" t="s">
        <v>1759</v>
      </c>
      <c r="AC263" s="20" t="s">
        <v>1760</v>
      </c>
      <c r="AD263" s="20" t="s">
        <v>1760</v>
      </c>
      <c r="AE263" s="20"/>
      <c r="AF263" s="9" t="n">
        <v>1</v>
      </c>
      <c r="AG263" s="12" t="n">
        <v>1</v>
      </c>
      <c r="AH263" s="22" t="s">
        <v>235</v>
      </c>
      <c r="AI263" s="12" t="str">
        <f>IF(AH263="","",IFERROR(RIGHT("0000"&amp;AH263,4)&amp;" - "&amp;UPPER(_xlfn.XLOOKUP(RIGHT("0000"&amp;AH263,4),CODEBOOK_CAP!$C$2:$C$212,CODEBOOK_CAP!$D$2:$D$212)),"Código CAP não encontrado"))</f>
        <v>0322 - ESTRUTURAS, HOSPITAIS, CLÍNICAS</v>
      </c>
      <c r="AJ263" s="12" t="str">
        <f>IF(AH263="","",IFERROR(_xlfn.XLOOKUP(RIGHT("0000"&amp;AH263,4),CODEBOOK_CAP!$C$2:$C$212,CODEBOOK_CAP!$E$2:$E$212),"Código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3" s="22" t="s">
        <v>77</v>
      </c>
      <c r="AL263" s="26"/>
      <c r="AM263" s="22" t="s">
        <v>79</v>
      </c>
      <c r="AN263" s="22" t="s">
        <v>79</v>
      </c>
      <c r="AO263" s="12" t="s">
        <v>1761</v>
      </c>
      <c r="AP263" s="22" t="s">
        <v>77</v>
      </c>
      <c r="AQ263" s="12"/>
      <c r="AR263" s="22" t="s">
        <v>77</v>
      </c>
      <c r="AS263" s="10"/>
      <c r="AT263" s="2" t="s">
        <v>82</v>
      </c>
      <c r="AU263" s="12" t="s">
        <v>83</v>
      </c>
      <c r="AV263" s="3" t="n">
        <v>46219</v>
      </c>
      <c r="AW263" s="21"/>
      <c r="AY263" s="1"/>
      <c r="BA263" s="1"/>
      <c r="BB263" s="1"/>
    </row>
    <row r="264" ht="120" customHeight="1">
      <c r="A264" s="20" t="s">
        <v>1762</v>
      </c>
      <c r="B264" s="20" t="n">
        <v>2023</v>
      </c>
      <c r="C264" s="20" t="n">
        <v>432</v>
      </c>
      <c r="D264" s="20" t="s">
        <v>50</v>
      </c>
      <c r="E264" s="20" t="s">
        <v>1706</v>
      </c>
      <c r="F264" s="20" t="s">
        <v>1763</v>
      </c>
      <c r="G264" s="20" t="s">
        <v>86</v>
      </c>
      <c r="H264" s="20" t="s">
        <v>1708</v>
      </c>
      <c r="I264" s="20"/>
      <c r="J264" s="20" t="s">
        <v>1764</v>
      </c>
      <c r="K264" s="20" t="s">
        <v>1051</v>
      </c>
      <c r="L264" s="20" t="s">
        <v>57</v>
      </c>
      <c r="M264" s="20" t="s">
        <v>58</v>
      </c>
      <c r="N264" s="20" t="s">
        <v>59</v>
      </c>
      <c r="O264" s="20" t="s">
        <v>60</v>
      </c>
      <c r="P264" s="20" t="s">
        <v>89</v>
      </c>
      <c r="Q264" s="20" t="s">
        <v>90</v>
      </c>
      <c r="R264" s="20" t="s">
        <v>91</v>
      </c>
      <c r="S264" s="20" t="s">
        <v>92</v>
      </c>
      <c r="T264" s="20" t="s">
        <v>341</v>
      </c>
      <c r="U264" s="20" t="s">
        <v>342</v>
      </c>
      <c r="V264" s="20" t="s">
        <v>232</v>
      </c>
      <c r="W264" s="20" t="s">
        <v>96</v>
      </c>
      <c r="X264" s="20" t="s">
        <v>97</v>
      </c>
      <c r="Y264" s="20" t="s">
        <v>70</v>
      </c>
      <c r="Z264" s="20" t="s">
        <v>98</v>
      </c>
      <c r="AA264" s="20" t="s">
        <v>1765</v>
      </c>
      <c r="AB264" s="20" t="s">
        <v>1765</v>
      </c>
      <c r="AC264" s="20" t="s">
        <v>1766</v>
      </c>
      <c r="AD264" s="20" t="s">
        <v>1765</v>
      </c>
      <c r="AE264" s="20"/>
      <c r="AF264" s="9" t="n">
        <v>1</v>
      </c>
      <c r="AG264" s="12" t="n">
        <v>1</v>
      </c>
      <c r="AH264" s="22" t="s">
        <v>235</v>
      </c>
      <c r="AI264" s="12" t="str">
        <f>IF(AH264="","",IFERROR(RIGHT("0000"&amp;AH264,4)&amp;" - "&amp;UPPER(_xlfn.XLOOKUP(RIGHT("0000"&amp;AH264,4),CODEBOOK_CAP!$C$2:$C$212,CODEBOOK_CAP!$D$2:$D$212)),"Código CAP não encontrado"))</f>
        <v>0322 - ESTRUTURAS, HOSPITAIS, CLÍNICAS</v>
      </c>
      <c r="AJ264" s="12" t="str">
        <f>IF(AH264="","",IFERROR(_xlfn.XLOOKUP(RIGHT("0000"&amp;AH264,4),CODEBOOK_CAP!$C$2:$C$212,CODEBOOK_CAP!$E$2:$E$212),"Código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4" s="22" t="s">
        <v>77</v>
      </c>
      <c r="AL264" s="26"/>
      <c r="AM264" s="22" t="s">
        <v>79</v>
      </c>
      <c r="AN264" s="22" t="s">
        <v>79</v>
      </c>
      <c r="AO264" s="12" t="s">
        <v>1767</v>
      </c>
      <c r="AP264" s="22" t="s">
        <v>77</v>
      </c>
      <c r="AQ264" s="12"/>
      <c r="AR264" s="22" t="s">
        <v>77</v>
      </c>
      <c r="AS264" s="10"/>
      <c r="AT264" s="2" t="s">
        <v>82</v>
      </c>
      <c r="AU264" s="12" t="s">
        <v>83</v>
      </c>
      <c r="AV264" s="3" t="n">
        <v>46219</v>
      </c>
      <c r="AW264" s="21"/>
      <c r="AY264" s="1"/>
      <c r="BA264" s="1"/>
      <c r="BB264" s="1"/>
    </row>
    <row r="265" ht="120" customHeight="1">
      <c r="A265" s="20" t="s">
        <v>1768</v>
      </c>
      <c r="B265" s="20" t="n">
        <v>2023</v>
      </c>
      <c r="C265" s="20" t="n">
        <v>433</v>
      </c>
      <c r="D265" s="20" t="s">
        <v>50</v>
      </c>
      <c r="E265" s="20" t="s">
        <v>1706</v>
      </c>
      <c r="F265" s="20" t="s">
        <v>1769</v>
      </c>
      <c r="G265" s="20" t="s">
        <v>86</v>
      </c>
      <c r="H265" s="20" t="s">
        <v>1708</v>
      </c>
      <c r="I265" s="20"/>
      <c r="J265" s="20" t="s">
        <v>1770</v>
      </c>
      <c r="K265" s="20" t="s">
        <v>402</v>
      </c>
      <c r="L265" s="20" t="s">
        <v>57</v>
      </c>
      <c r="M265" s="20" t="s">
        <v>58</v>
      </c>
      <c r="N265" s="20" t="s">
        <v>59</v>
      </c>
      <c r="O265" s="20" t="s">
        <v>60</v>
      </c>
      <c r="P265" s="20" t="s">
        <v>89</v>
      </c>
      <c r="Q265" s="20" t="s">
        <v>90</v>
      </c>
      <c r="R265" s="20" t="s">
        <v>91</v>
      </c>
      <c r="S265" s="20" t="s">
        <v>92</v>
      </c>
      <c r="T265" s="20" t="s">
        <v>93</v>
      </c>
      <c r="U265" s="20" t="s">
        <v>94</v>
      </c>
      <c r="V265" s="20" t="s">
        <v>196</v>
      </c>
      <c r="W265" s="20" t="s">
        <v>68</v>
      </c>
      <c r="X265" s="20" t="s">
        <v>69</v>
      </c>
      <c r="Y265" s="20" t="s">
        <v>70</v>
      </c>
      <c r="Z265" s="20" t="s">
        <v>98</v>
      </c>
      <c r="AA265" s="20" t="s">
        <v>198</v>
      </c>
      <c r="AB265" s="20" t="s">
        <v>1771</v>
      </c>
      <c r="AC265" s="20" t="s">
        <v>1771</v>
      </c>
      <c r="AD265" s="20" t="s">
        <v>1771</v>
      </c>
      <c r="AE265" s="20"/>
      <c r="AF265" s="9" t="n">
        <v>1</v>
      </c>
      <c r="AG265" s="12" t="n">
        <v>1</v>
      </c>
      <c r="AH265" s="22" t="s">
        <v>235</v>
      </c>
      <c r="AI265" s="12" t="str">
        <f>IF(AH265="","",IFERROR(RIGHT("0000"&amp;AH265,4)&amp;" - "&amp;UPPER(_xlfn.XLOOKUP(RIGHT("0000"&amp;AH265,4),CODEBOOK_CAP!$C$2:$C$212,CODEBOOK_CAP!$D$2:$D$212)),"Código CAP não encontrado"))</f>
        <v>0322 - ESTRUTURAS, HOSPITAIS, CLÍNICAS</v>
      </c>
      <c r="AJ265" s="12" t="str">
        <f>IF(AH265="","",IFERROR(_xlfn.XLOOKUP(RIGHT("0000"&amp;AH265,4),CODEBOOK_CAP!$C$2:$C$212,CODEBOOK_CAP!$E$2:$E$212),"Código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5" s="22" t="s">
        <v>79</v>
      </c>
      <c r="AL265" s="26" t="s">
        <v>1772</v>
      </c>
      <c r="AM265" s="22" t="s">
        <v>79</v>
      </c>
      <c r="AN265" s="22" t="s">
        <v>79</v>
      </c>
      <c r="AO265" s="12" t="s">
        <v>1773</v>
      </c>
      <c r="AP265" s="22" t="s">
        <v>77</v>
      </c>
      <c r="AQ265" s="12"/>
      <c r="AR265" s="22" t="s">
        <v>77</v>
      </c>
      <c r="AS265" s="10"/>
      <c r="AT265" s="2" t="s">
        <v>82</v>
      </c>
      <c r="AU265" s="12" t="s">
        <v>83</v>
      </c>
      <c r="AV265" s="3" t="n">
        <v>46219</v>
      </c>
      <c r="AW265" s="21"/>
      <c r="AY265" s="1"/>
      <c r="BA265" s="1"/>
      <c r="BB265" s="1"/>
    </row>
    <row r="266" ht="120" customHeight="1">
      <c r="A266" s="20" t="s">
        <v>1774</v>
      </c>
      <c r="B266" s="20" t="n">
        <v>2023</v>
      </c>
      <c r="C266" s="20" t="n">
        <v>434</v>
      </c>
      <c r="D266" s="20" t="s">
        <v>50</v>
      </c>
      <c r="E266" s="20" t="s">
        <v>1706</v>
      </c>
      <c r="F266" s="20" t="s">
        <v>1775</v>
      </c>
      <c r="G266" s="20" t="s">
        <v>315</v>
      </c>
      <c r="H266" s="20" t="s">
        <v>1708</v>
      </c>
      <c r="I266" s="20"/>
      <c r="J266" s="20" t="s">
        <v>1776</v>
      </c>
      <c r="K266" s="20" t="s">
        <v>402</v>
      </c>
      <c r="L266" s="20" t="s">
        <v>57</v>
      </c>
      <c r="M266" s="20" t="s">
        <v>58</v>
      </c>
      <c r="N266" s="20" t="s">
        <v>59</v>
      </c>
      <c r="O266" s="20" t="s">
        <v>60</v>
      </c>
      <c r="P266" s="20" t="s">
        <v>89</v>
      </c>
      <c r="Q266" s="20" t="s">
        <v>90</v>
      </c>
      <c r="R266" s="20" t="s">
        <v>91</v>
      </c>
      <c r="S266" s="20" t="s">
        <v>92</v>
      </c>
      <c r="T266" s="20" t="s">
        <v>93</v>
      </c>
      <c r="U266" s="20" t="s">
        <v>94</v>
      </c>
      <c r="V266" s="20" t="s">
        <v>196</v>
      </c>
      <c r="W266" s="20" t="s">
        <v>68</v>
      </c>
      <c r="X266" s="20" t="s">
        <v>69</v>
      </c>
      <c r="Y266" s="20" t="s">
        <v>70</v>
      </c>
      <c r="Z266" s="20" t="s">
        <v>98</v>
      </c>
      <c r="AA266" s="20" t="s">
        <v>125</v>
      </c>
      <c r="AB266" s="20" t="s">
        <v>1777</v>
      </c>
      <c r="AC266" s="20" t="s">
        <v>77</v>
      </c>
      <c r="AD266" s="20" t="s">
        <v>77</v>
      </c>
      <c r="AE266" s="20" t="s">
        <v>1778</v>
      </c>
      <c r="AF266" s="9" t="n">
        <v>1</v>
      </c>
      <c r="AG266" s="12" t="n">
        <v>1</v>
      </c>
      <c r="AH266" s="22" t="s">
        <v>235</v>
      </c>
      <c r="AI266" s="12" t="str">
        <f>IF(AH266="","",IFERROR(RIGHT("0000"&amp;AH266,4)&amp;" - "&amp;UPPER(_xlfn.XLOOKUP(RIGHT("0000"&amp;AH266,4),CODEBOOK_CAP!$C$2:$C$212,CODEBOOK_CAP!$D$2:$D$212)),"Código CAP não encontrado"))</f>
        <v>0322 - ESTRUTURAS, HOSPITAIS, CLÍNICAS</v>
      </c>
      <c r="AJ266" s="12" t="str">
        <f>IF(AH266="","",IFERROR(_xlfn.XLOOKUP(RIGHT("0000"&amp;AH266,4),CODEBOOK_CAP!$C$2:$C$212,CODEBOOK_CAP!$E$2:$E$212),"Código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66" s="22" t="s">
        <v>79</v>
      </c>
      <c r="AL266" s="26" t="s">
        <v>1772</v>
      </c>
      <c r="AM266" s="22" t="s">
        <v>79</v>
      </c>
      <c r="AN266" s="22" t="s">
        <v>79</v>
      </c>
      <c r="AO266" s="12" t="s">
        <v>1779</v>
      </c>
      <c r="AP266" s="22" t="s">
        <v>77</v>
      </c>
      <c r="AQ266" s="12"/>
      <c r="AR266" s="22" t="s">
        <v>79</v>
      </c>
      <c r="AS266" s="10" t="s">
        <v>1778</v>
      </c>
      <c r="AT266" s="2" t="s">
        <v>82</v>
      </c>
      <c r="AU266" s="12" t="s">
        <v>83</v>
      </c>
      <c r="AV266" s="3" t="n">
        <v>46219</v>
      </c>
      <c r="AW266" s="21"/>
      <c r="AY266" s="1"/>
      <c r="BA266" s="1"/>
      <c r="BB266" s="1"/>
    </row>
    <row r="267" ht="105" customHeight="1">
      <c r="A267" s="20" t="s">
        <v>1780</v>
      </c>
      <c r="B267" s="20" t="n">
        <v>2023</v>
      </c>
      <c r="C267" s="20" t="n">
        <v>435</v>
      </c>
      <c r="D267" s="20" t="s">
        <v>50</v>
      </c>
      <c r="E267" s="20" t="s">
        <v>1706</v>
      </c>
      <c r="F267" s="20" t="s">
        <v>1781</v>
      </c>
      <c r="G267" s="20" t="s">
        <v>86</v>
      </c>
      <c r="H267" s="20" t="s">
        <v>1708</v>
      </c>
      <c r="I267" s="20"/>
      <c r="J267" s="20" t="s">
        <v>1782</v>
      </c>
      <c r="K267" s="20" t="s">
        <v>88</v>
      </c>
      <c r="L267" s="20" t="s">
        <v>57</v>
      </c>
      <c r="M267" s="20" t="s">
        <v>58</v>
      </c>
      <c r="N267" s="20" t="s">
        <v>59</v>
      </c>
      <c r="O267" s="20" t="s">
        <v>60</v>
      </c>
      <c r="P267" s="20" t="s">
        <v>89</v>
      </c>
      <c r="Q267" s="20" t="s">
        <v>90</v>
      </c>
      <c r="R267" s="20" t="s">
        <v>91</v>
      </c>
      <c r="S267" s="20" t="s">
        <v>92</v>
      </c>
      <c r="T267" s="20" t="s">
        <v>93</v>
      </c>
      <c r="U267" s="20" t="s">
        <v>94</v>
      </c>
      <c r="V267" s="20" t="s">
        <v>95</v>
      </c>
      <c r="W267" s="20" t="s">
        <v>96</v>
      </c>
      <c r="X267" s="20" t="s">
        <v>97</v>
      </c>
      <c r="Y267" s="20" t="s">
        <v>70</v>
      </c>
      <c r="Z267" s="20" t="s">
        <v>98</v>
      </c>
      <c r="AA267" s="20" t="s">
        <v>388</v>
      </c>
      <c r="AB267" s="20" t="s">
        <v>388</v>
      </c>
      <c r="AC267" s="20" t="s">
        <v>388</v>
      </c>
      <c r="AD267" s="20" t="s">
        <v>388</v>
      </c>
      <c r="AE267" s="20"/>
      <c r="AF267" s="9" t="n">
        <v>1</v>
      </c>
      <c r="AG267" s="12" t="n">
        <v>1</v>
      </c>
      <c r="AH267" s="22" t="s">
        <v>76</v>
      </c>
      <c r="AI267" s="12" t="str">
        <f>IF(AH267="","",IFERROR(RIGHT("0000"&amp;AH267,4)&amp;" - "&amp;UPPER(_xlfn.XLOOKUP(RIGHT("0000"&amp;AH267,4),CODEBOOK_CAP!$C$2:$C$212,CODEBOOK_CAP!$D$2:$D$212)),"Código CAP não encontrado"))</f>
        <v>0333 - SAÚDE MENTAL</v>
      </c>
      <c r="AJ267" s="12" t="str">
        <f>IF(AH267="","",IFERROR(_xlfn.XLOOKUP(RIGHT("0000"&amp;AH267,4),CODEBOOK_CAP!$C$2:$C$212,CODEBOOK_CAP!$E$2:$E$212),"Código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267" s="22" t="s">
        <v>79</v>
      </c>
      <c r="AL267" s="26" t="s">
        <v>1783</v>
      </c>
      <c r="AM267" s="22" t="s">
        <v>79</v>
      </c>
      <c r="AN267" s="22" t="s">
        <v>79</v>
      </c>
      <c r="AO267" s="12" t="s">
        <v>1784</v>
      </c>
      <c r="AP267" s="22" t="s">
        <v>79</v>
      </c>
      <c r="AQ267" s="12" t="s">
        <v>901</v>
      </c>
      <c r="AR267" s="22" t="s">
        <v>77</v>
      </c>
      <c r="AS267" s="10"/>
      <c r="AT267" s="2" t="s">
        <v>82</v>
      </c>
      <c r="AU267" s="12" t="s">
        <v>83</v>
      </c>
      <c r="AV267" s="3" t="n">
        <v>46219</v>
      </c>
      <c r="AW267" s="21"/>
      <c r="AY267" s="1"/>
      <c r="BA267" s="1"/>
      <c r="BB267" s="1"/>
    </row>
    <row r="268" ht="150" customHeight="1">
      <c r="A268" s="20" t="s">
        <v>1785</v>
      </c>
      <c r="B268" s="20" t="n">
        <v>2023</v>
      </c>
      <c r="C268" s="20" t="n">
        <v>436</v>
      </c>
      <c r="D268" s="20" t="s">
        <v>50</v>
      </c>
      <c r="E268" s="20" t="s">
        <v>1706</v>
      </c>
      <c r="F268" s="20" t="s">
        <v>1786</v>
      </c>
      <c r="G268" s="20" t="s">
        <v>86</v>
      </c>
      <c r="H268" s="20" t="s">
        <v>1708</v>
      </c>
      <c r="I268" s="20"/>
      <c r="J268" s="20" t="s">
        <v>1787</v>
      </c>
      <c r="K268" s="20" t="s">
        <v>122</v>
      </c>
      <c r="L268" s="20" t="s">
        <v>57</v>
      </c>
      <c r="M268" s="20" t="s">
        <v>58</v>
      </c>
      <c r="N268" s="20" t="s">
        <v>59</v>
      </c>
      <c r="O268" s="20" t="s">
        <v>60</v>
      </c>
      <c r="P268" s="20" t="s">
        <v>89</v>
      </c>
      <c r="Q268" s="20" t="s">
        <v>90</v>
      </c>
      <c r="R268" s="20" t="s">
        <v>91</v>
      </c>
      <c r="S268" s="20" t="s">
        <v>92</v>
      </c>
      <c r="T268" s="20" t="s">
        <v>123</v>
      </c>
      <c r="U268" s="20" t="s">
        <v>124</v>
      </c>
      <c r="V268" s="20" t="s">
        <v>95</v>
      </c>
      <c r="W268" s="20" t="s">
        <v>96</v>
      </c>
      <c r="X268" s="20" t="s">
        <v>97</v>
      </c>
      <c r="Y268" s="20" t="s">
        <v>70</v>
      </c>
      <c r="Z268" s="20" t="s">
        <v>98</v>
      </c>
      <c r="AA268" s="20" t="s">
        <v>1168</v>
      </c>
      <c r="AB268" s="20" t="s">
        <v>1168</v>
      </c>
      <c r="AC268" s="20" t="s">
        <v>1168</v>
      </c>
      <c r="AD268" s="20" t="s">
        <v>1168</v>
      </c>
      <c r="AE268" s="20"/>
      <c r="AF268" s="9" t="n">
        <v>1</v>
      </c>
      <c r="AG268" s="12" t="n">
        <v>1</v>
      </c>
      <c r="AH268" s="22" t="s">
        <v>620</v>
      </c>
      <c r="AI268" s="12" t="str">
        <f>IF(AH268="","",IFERROR(RIGHT("0000"&amp;AH268,4)&amp;" - "&amp;UPPER(_xlfn.XLOOKUP(RIGHT("0000"&amp;AH268,4),CODEBOOK_CAP!$C$2:$C$212,CODEBOOK_CAP!$D$2:$D$212)),"Código CAP não encontrado"))</f>
        <v>0332 - SAÚDE INFANTIL, GRAVIDEZ E PRÉ-NATAL</v>
      </c>
      <c r="AJ268" s="12" t="str">
        <f>IF(AH268="","",IFERROR(_xlfn.XLOOKUP(RIGHT("0000"&amp;AH268,4),CODEBOOK_CAP!$C$2:$C$212,CODEBOOK_CAP!$E$2:$E$212),"Código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68" s="22" t="s">
        <v>79</v>
      </c>
      <c r="AL268" s="26" t="s">
        <v>1788</v>
      </c>
      <c r="AM268" s="22" t="s">
        <v>79</v>
      </c>
      <c r="AN268" s="22" t="s">
        <v>79</v>
      </c>
      <c r="AO268" s="12" t="s">
        <v>1789</v>
      </c>
      <c r="AP268" s="22" t="s">
        <v>79</v>
      </c>
      <c r="AQ268" s="12" t="s">
        <v>901</v>
      </c>
      <c r="AR268" s="22" t="s">
        <v>77</v>
      </c>
      <c r="AS268" s="10"/>
      <c r="AT268" s="2" t="s">
        <v>82</v>
      </c>
      <c r="AU268" s="12" t="s">
        <v>83</v>
      </c>
      <c r="AV268" s="3" t="n">
        <v>46219</v>
      </c>
      <c r="AW268" s="21"/>
      <c r="AY268" s="1"/>
      <c r="BA268" s="1"/>
      <c r="BB268" s="1"/>
    </row>
    <row r="269" ht="150" customHeight="1">
      <c r="A269" s="20" t="s">
        <v>1790</v>
      </c>
      <c r="B269" s="20" t="n">
        <v>2023</v>
      </c>
      <c r="C269" s="20" t="n">
        <v>437</v>
      </c>
      <c r="D269" s="20" t="s">
        <v>50</v>
      </c>
      <c r="E269" s="20" t="s">
        <v>1706</v>
      </c>
      <c r="F269" s="20" t="s">
        <v>1791</v>
      </c>
      <c r="G269" s="20" t="s">
        <v>86</v>
      </c>
      <c r="H269" s="20" t="s">
        <v>1708</v>
      </c>
      <c r="I269" s="20"/>
      <c r="J269" s="20" t="s">
        <v>1792</v>
      </c>
      <c r="K269" s="20" t="s">
        <v>122</v>
      </c>
      <c r="L269" s="20" t="s">
        <v>57</v>
      </c>
      <c r="M269" s="20" t="s">
        <v>58</v>
      </c>
      <c r="N269" s="20" t="s">
        <v>59</v>
      </c>
      <c r="O269" s="20" t="s">
        <v>60</v>
      </c>
      <c r="P269" s="20" t="s">
        <v>89</v>
      </c>
      <c r="Q269" s="20" t="s">
        <v>90</v>
      </c>
      <c r="R269" s="20" t="s">
        <v>91</v>
      </c>
      <c r="S269" s="20" t="s">
        <v>92</v>
      </c>
      <c r="T269" s="20" t="s">
        <v>123</v>
      </c>
      <c r="U269" s="20" t="s">
        <v>124</v>
      </c>
      <c r="V269" s="20" t="s">
        <v>95</v>
      </c>
      <c r="W269" s="20" t="s">
        <v>96</v>
      </c>
      <c r="X269" s="20" t="s">
        <v>97</v>
      </c>
      <c r="Y269" s="20" t="s">
        <v>70</v>
      </c>
      <c r="Z269" s="20" t="s">
        <v>98</v>
      </c>
      <c r="AA269" s="20" t="s">
        <v>1168</v>
      </c>
      <c r="AB269" s="20" t="s">
        <v>1168</v>
      </c>
      <c r="AC269" s="20" t="s">
        <v>1168</v>
      </c>
      <c r="AD269" s="20" t="s">
        <v>1168</v>
      </c>
      <c r="AE269" s="20"/>
      <c r="AF269" s="9" t="n">
        <v>1</v>
      </c>
      <c r="AG269" s="12" t="n">
        <v>1</v>
      </c>
      <c r="AH269" s="22" t="s">
        <v>620</v>
      </c>
      <c r="AI269" s="12" t="str">
        <f>IF(AH269="","",IFERROR(RIGHT("0000"&amp;AH269,4)&amp;" - "&amp;UPPER(_xlfn.XLOOKUP(RIGHT("0000"&amp;AH269,4),CODEBOOK_CAP!$C$2:$C$212,CODEBOOK_CAP!$D$2:$D$212)),"Código CAP não encontrado"))</f>
        <v>0332 - SAÚDE INFANTIL, GRAVIDEZ E PRÉ-NATAL</v>
      </c>
      <c r="AJ269" s="12" t="str">
        <f>IF(AH269="","",IFERROR(_xlfn.XLOOKUP(RIGHT("0000"&amp;AH269,4),CODEBOOK_CAP!$C$2:$C$212,CODEBOOK_CAP!$E$2:$E$212),"Código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69" s="22" t="s">
        <v>79</v>
      </c>
      <c r="AL269" s="26" t="s">
        <v>1793</v>
      </c>
      <c r="AM269" s="22" t="s">
        <v>79</v>
      </c>
      <c r="AN269" s="22" t="s">
        <v>79</v>
      </c>
      <c r="AO269" s="12" t="s">
        <v>1794</v>
      </c>
      <c r="AP269" s="22" t="s">
        <v>79</v>
      </c>
      <c r="AQ269" s="12" t="s">
        <v>622</v>
      </c>
      <c r="AR269" s="22" t="s">
        <v>77</v>
      </c>
      <c r="AS269" s="10"/>
      <c r="AT269" s="2" t="s">
        <v>82</v>
      </c>
      <c r="AU269" s="12" t="s">
        <v>83</v>
      </c>
      <c r="AV269" s="3" t="n">
        <v>46219</v>
      </c>
      <c r="AW269" s="21"/>
      <c r="AY269" s="1"/>
      <c r="BA269" s="1"/>
      <c r="BB269" s="1"/>
    </row>
    <row r="270" ht="120" customHeight="1">
      <c r="A270" s="20" t="s">
        <v>1795</v>
      </c>
      <c r="B270" s="20" t="n">
        <v>2023</v>
      </c>
      <c r="C270" s="20" t="n">
        <v>438</v>
      </c>
      <c r="D270" s="20" t="s">
        <v>50</v>
      </c>
      <c r="E270" s="20" t="s">
        <v>1706</v>
      </c>
      <c r="F270" s="20" t="s">
        <v>1796</v>
      </c>
      <c r="G270" s="20" t="s">
        <v>315</v>
      </c>
      <c r="H270" s="20" t="s">
        <v>1708</v>
      </c>
      <c r="I270" s="20"/>
      <c r="J270" s="20" t="s">
        <v>1797</v>
      </c>
      <c r="K270" s="20" t="s">
        <v>1798</v>
      </c>
      <c r="L270" s="20" t="s">
        <v>57</v>
      </c>
      <c r="M270" s="20" t="s">
        <v>58</v>
      </c>
      <c r="N270" s="20" t="s">
        <v>59</v>
      </c>
      <c r="O270" s="20" t="s">
        <v>60</v>
      </c>
      <c r="P270" s="20" t="s">
        <v>89</v>
      </c>
      <c r="Q270" s="20" t="s">
        <v>90</v>
      </c>
      <c r="R270" s="20" t="s">
        <v>91</v>
      </c>
      <c r="S270" s="20" t="s">
        <v>92</v>
      </c>
      <c r="T270" s="20" t="s">
        <v>93</v>
      </c>
      <c r="U270" s="20" t="s">
        <v>94</v>
      </c>
      <c r="V270" s="20" t="s">
        <v>854</v>
      </c>
      <c r="W270" s="20" t="s">
        <v>96</v>
      </c>
      <c r="X270" s="20" t="s">
        <v>97</v>
      </c>
      <c r="Y270" s="20" t="s">
        <v>70</v>
      </c>
      <c r="Z270" s="20" t="s">
        <v>98</v>
      </c>
      <c r="AA270" s="20" t="s">
        <v>388</v>
      </c>
      <c r="AB270" s="20" t="s">
        <v>388</v>
      </c>
      <c r="AC270" s="20" t="s">
        <v>1799</v>
      </c>
      <c r="AD270" s="20" t="s">
        <v>1799</v>
      </c>
      <c r="AE270" s="20" t="s">
        <v>1800</v>
      </c>
      <c r="AF270" s="9" t="n">
        <v>1</v>
      </c>
      <c r="AG270" s="12" t="n">
        <v>1</v>
      </c>
      <c r="AH270" s="22" t="s">
        <v>235</v>
      </c>
      <c r="AI270" s="12" t="str">
        <f>IF(AH270="","",IFERROR(RIGHT("0000"&amp;AH270,4)&amp;" - "&amp;UPPER(_xlfn.XLOOKUP(RIGHT("0000"&amp;AH270,4),CODEBOOK_CAP!$C$2:$C$212,CODEBOOK_CAP!$D$2:$D$212)),"Código CAP não encontrado"))</f>
        <v>0322 - ESTRUTURAS, HOSPITAIS, CLÍNICAS</v>
      </c>
      <c r="AJ270" s="12" t="str">
        <f>IF(AH270="","",IFERROR(_xlfn.XLOOKUP(RIGHT("0000"&amp;AH270,4),CODEBOOK_CAP!$C$2:$C$212,CODEBOOK_CAP!$E$2:$E$212),"Código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0" s="22" t="s">
        <v>79</v>
      </c>
      <c r="AL270" s="26" t="s">
        <v>1772</v>
      </c>
      <c r="AM270" s="22" t="s">
        <v>79</v>
      </c>
      <c r="AN270" s="22" t="s">
        <v>79</v>
      </c>
      <c r="AO270" s="12" t="s">
        <v>1801</v>
      </c>
      <c r="AP270" s="22" t="s">
        <v>77</v>
      </c>
      <c r="AQ270" s="12"/>
      <c r="AR270" s="22" t="s">
        <v>79</v>
      </c>
      <c r="AS270" s="10" t="s">
        <v>1800</v>
      </c>
      <c r="AT270" s="2" t="s">
        <v>82</v>
      </c>
      <c r="AU270" s="12" t="s">
        <v>83</v>
      </c>
      <c r="AV270" s="3" t="n">
        <v>46219</v>
      </c>
      <c r="AW270" s="21"/>
      <c r="AY270" s="1"/>
      <c r="BA270" s="1"/>
      <c r="BB270" s="1"/>
    </row>
    <row r="271" ht="120" customHeight="1">
      <c r="A271" s="20" t="s">
        <v>1802</v>
      </c>
      <c r="B271" s="20" t="n">
        <v>2023</v>
      </c>
      <c r="C271" s="20" t="n">
        <v>439</v>
      </c>
      <c r="D271" s="20" t="s">
        <v>50</v>
      </c>
      <c r="E271" s="20" t="s">
        <v>1706</v>
      </c>
      <c r="F271" s="20" t="s">
        <v>1803</v>
      </c>
      <c r="G271" s="20" t="s">
        <v>86</v>
      </c>
      <c r="H271" s="20" t="s">
        <v>1708</v>
      </c>
      <c r="I271" s="20"/>
      <c r="J271" s="20" t="s">
        <v>1134</v>
      </c>
      <c r="K271" s="20" t="s">
        <v>1051</v>
      </c>
      <c r="L271" s="20" t="s">
        <v>57</v>
      </c>
      <c r="M271" s="20" t="s">
        <v>58</v>
      </c>
      <c r="N271" s="20" t="s">
        <v>59</v>
      </c>
      <c r="O271" s="20" t="s">
        <v>60</v>
      </c>
      <c r="P271" s="20" t="s">
        <v>89</v>
      </c>
      <c r="Q271" s="20" t="s">
        <v>90</v>
      </c>
      <c r="R271" s="20" t="s">
        <v>91</v>
      </c>
      <c r="S271" s="20" t="s">
        <v>92</v>
      </c>
      <c r="T271" s="20" t="s">
        <v>341</v>
      </c>
      <c r="U271" s="20" t="s">
        <v>342</v>
      </c>
      <c r="V271" s="20" t="s">
        <v>232</v>
      </c>
      <c r="W271" s="20" t="s">
        <v>96</v>
      </c>
      <c r="X271" s="20" t="s">
        <v>97</v>
      </c>
      <c r="Y271" s="20" t="s">
        <v>70</v>
      </c>
      <c r="Z271" s="20" t="s">
        <v>98</v>
      </c>
      <c r="AA271" s="20" t="s">
        <v>198</v>
      </c>
      <c r="AB271" s="20" t="s">
        <v>198</v>
      </c>
      <c r="AC271" s="20" t="s">
        <v>1804</v>
      </c>
      <c r="AD271" s="20" t="s">
        <v>198</v>
      </c>
      <c r="AE271" s="20"/>
      <c r="AF271" s="9" t="n">
        <v>1</v>
      </c>
      <c r="AG271" s="12" t="n">
        <v>1</v>
      </c>
      <c r="AH271" s="22" t="s">
        <v>235</v>
      </c>
      <c r="AI271" s="12" t="str">
        <f>IF(AH271="","",IFERROR(RIGHT("0000"&amp;AH271,4)&amp;" - "&amp;UPPER(_xlfn.XLOOKUP(RIGHT("0000"&amp;AH271,4),CODEBOOK_CAP!$C$2:$C$212,CODEBOOK_CAP!$D$2:$D$212)),"Código CAP não encontrado"))</f>
        <v>0322 - ESTRUTURAS, HOSPITAIS, CLÍNICAS</v>
      </c>
      <c r="AJ271" s="12" t="str">
        <f>IF(AH271="","",IFERROR(_xlfn.XLOOKUP(RIGHT("0000"&amp;AH271,4),CODEBOOK_CAP!$C$2:$C$212,CODEBOOK_CAP!$E$2:$E$212),"Código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1" s="22" t="s">
        <v>77</v>
      </c>
      <c r="AL271" s="26"/>
      <c r="AM271" s="22" t="s">
        <v>77</v>
      </c>
      <c r="AN271" s="22" t="s">
        <v>77</v>
      </c>
      <c r="AO271" s="12"/>
      <c r="AP271" s="22" t="s">
        <v>77</v>
      </c>
      <c r="AQ271" s="12"/>
      <c r="AR271" s="22" t="s">
        <v>77</v>
      </c>
      <c r="AS271" s="10"/>
      <c r="AT271" s="2" t="s">
        <v>82</v>
      </c>
      <c r="AU271" s="12" t="s">
        <v>83</v>
      </c>
      <c r="AV271" s="3" t="n">
        <v>46219</v>
      </c>
      <c r="AW271" s="21"/>
      <c r="AY271" s="1"/>
      <c r="BA271" s="1"/>
      <c r="BB271" s="1"/>
    </row>
    <row r="272" ht="120" customHeight="1">
      <c r="A272" s="20" t="s">
        <v>1805</v>
      </c>
      <c r="B272" s="20" t="n">
        <v>2023</v>
      </c>
      <c r="C272" s="20" t="n">
        <v>1</v>
      </c>
      <c r="D272" s="20" t="s">
        <v>50</v>
      </c>
      <c r="E272" s="20" t="s">
        <v>1806</v>
      </c>
      <c r="F272" s="20" t="s">
        <v>1807</v>
      </c>
      <c r="G272" s="20" t="s">
        <v>86</v>
      </c>
      <c r="H272" s="20" t="s">
        <v>1808</v>
      </c>
      <c r="I272" s="20"/>
      <c r="J272" s="20" t="s">
        <v>1809</v>
      </c>
      <c r="K272" s="20" t="s">
        <v>56</v>
      </c>
      <c r="L272" s="20" t="s">
        <v>57</v>
      </c>
      <c r="M272" s="20" t="s">
        <v>58</v>
      </c>
      <c r="N272" s="20" t="s">
        <v>59</v>
      </c>
      <c r="O272" s="20" t="s">
        <v>60</v>
      </c>
      <c r="P272" s="20" t="s">
        <v>61</v>
      </c>
      <c r="Q272" s="20" t="s">
        <v>62</v>
      </c>
      <c r="R272" s="20" t="s">
        <v>63</v>
      </c>
      <c r="S272" s="20" t="s">
        <v>64</v>
      </c>
      <c r="T272" s="20" t="s">
        <v>65</v>
      </c>
      <c r="U272" s="20" t="s">
        <v>66</v>
      </c>
      <c r="V272" s="20" t="s">
        <v>67</v>
      </c>
      <c r="W272" s="20" t="s">
        <v>68</v>
      </c>
      <c r="X272" s="20" t="s">
        <v>69</v>
      </c>
      <c r="Y272" s="20" t="s">
        <v>70</v>
      </c>
      <c r="Z272" s="20" t="s">
        <v>71</v>
      </c>
      <c r="AA272" s="20" t="s">
        <v>160</v>
      </c>
      <c r="AB272" s="20" t="s">
        <v>1810</v>
      </c>
      <c r="AC272" s="20" t="s">
        <v>1810</v>
      </c>
      <c r="AD272" s="20" t="s">
        <v>1810</v>
      </c>
      <c r="AE272" s="20" t="s">
        <v>1811</v>
      </c>
      <c r="AF272" s="9" t="n">
        <v>1</v>
      </c>
      <c r="AG272" s="12" t="n">
        <v>1</v>
      </c>
      <c r="AH272" s="22" t="s">
        <v>235</v>
      </c>
      <c r="AI272" s="12" t="str">
        <f>IF(AH272="","",IFERROR(RIGHT("0000"&amp;AH272,4)&amp;" - "&amp;UPPER(_xlfn.XLOOKUP(RIGHT("0000"&amp;AH272,4),CODEBOOK_CAP!$C$2:$C$212,CODEBOOK_CAP!$D$2:$D$212)),"Código CAP não encontrado"))</f>
        <v>0322 - ESTRUTURAS, HOSPITAIS, CLÍNICAS</v>
      </c>
      <c r="AJ272" s="12" t="str">
        <f>IF(AH272="","",IFERROR(_xlfn.XLOOKUP(RIGHT("0000"&amp;AH272,4),CODEBOOK_CAP!$C$2:$C$212,CODEBOOK_CAP!$E$2:$E$212),"Código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2" s="22" t="s">
        <v>79</v>
      </c>
      <c r="AL272" s="26" t="s">
        <v>1812</v>
      </c>
      <c r="AM272" s="22" t="s">
        <v>79</v>
      </c>
      <c r="AN272" s="22" t="s">
        <v>79</v>
      </c>
      <c r="AO272" s="12" t="s">
        <v>1813</v>
      </c>
      <c r="AP272" s="22" t="s">
        <v>77</v>
      </c>
      <c r="AQ272" s="12"/>
      <c r="AR272" s="22" t="s">
        <v>79</v>
      </c>
      <c r="AS272" s="10" t="s">
        <v>1811</v>
      </c>
      <c r="AT272" s="2" t="s">
        <v>1814</v>
      </c>
      <c r="AU272" s="12" t="s">
        <v>83</v>
      </c>
      <c r="AV272" s="3" t="n">
        <v>46220</v>
      </c>
      <c r="AW272" s="21"/>
      <c r="AY272" s="1"/>
      <c r="BA272" s="1"/>
      <c r="BB272" s="1"/>
    </row>
    <row r="273" ht="120" customHeight="1">
      <c r="A273" s="20" t="s">
        <v>1815</v>
      </c>
      <c r="B273" s="20" t="n">
        <v>2023</v>
      </c>
      <c r="C273" s="20" t="n">
        <v>2</v>
      </c>
      <c r="D273" s="20" t="s">
        <v>50</v>
      </c>
      <c r="E273" s="20" t="s">
        <v>1806</v>
      </c>
      <c r="F273" s="20" t="s">
        <v>1816</v>
      </c>
      <c r="G273" s="20" t="s">
        <v>86</v>
      </c>
      <c r="H273" s="20" t="s">
        <v>1808</v>
      </c>
      <c r="I273" s="20"/>
      <c r="J273" s="20" t="s">
        <v>1817</v>
      </c>
      <c r="K273" s="20" t="s">
        <v>56</v>
      </c>
      <c r="L273" s="20" t="s">
        <v>57</v>
      </c>
      <c r="M273" s="20" t="s">
        <v>58</v>
      </c>
      <c r="N273" s="20" t="s">
        <v>59</v>
      </c>
      <c r="O273" s="20" t="s">
        <v>60</v>
      </c>
      <c r="P273" s="20" t="s">
        <v>61</v>
      </c>
      <c r="Q273" s="20" t="s">
        <v>62</v>
      </c>
      <c r="R273" s="20" t="s">
        <v>63</v>
      </c>
      <c r="S273" s="20" t="s">
        <v>64</v>
      </c>
      <c r="T273" s="20" t="s">
        <v>65</v>
      </c>
      <c r="U273" s="20" t="s">
        <v>66</v>
      </c>
      <c r="V273" s="20" t="s">
        <v>67</v>
      </c>
      <c r="W273" s="20" t="s">
        <v>68</v>
      </c>
      <c r="X273" s="20" t="s">
        <v>69</v>
      </c>
      <c r="Y273" s="20" t="s">
        <v>70</v>
      </c>
      <c r="Z273" s="20" t="s">
        <v>71</v>
      </c>
      <c r="AA273" s="20" t="s">
        <v>409</v>
      </c>
      <c r="AB273" s="20" t="s">
        <v>1818</v>
      </c>
      <c r="AC273" s="20" t="s">
        <v>1819</v>
      </c>
      <c r="AD273" s="20" t="s">
        <v>1819</v>
      </c>
      <c r="AE273" s="20"/>
      <c r="AF273" s="9" t="n">
        <v>1</v>
      </c>
      <c r="AG273" s="12" t="n">
        <v>1</v>
      </c>
      <c r="AH273" s="22" t="s">
        <v>235</v>
      </c>
      <c r="AI273" s="12" t="str">
        <f>IF(AH273="","",IFERROR(RIGHT("0000"&amp;AH273,4)&amp;" - "&amp;UPPER(_xlfn.XLOOKUP(RIGHT("0000"&amp;AH273,4),CODEBOOK_CAP!$C$2:$C$212,CODEBOOK_CAP!$D$2:$D$212)),"Código CAP não encontrado"))</f>
        <v>0322 - ESTRUTURAS, HOSPITAIS, CLÍNICAS</v>
      </c>
      <c r="AJ273" s="12" t="str">
        <f>IF(AH273="","",IFERROR(_xlfn.XLOOKUP(RIGHT("0000"&amp;AH273,4),CODEBOOK_CAP!$C$2:$C$212,CODEBOOK_CAP!$E$2:$E$212),"Código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3" s="22" t="s">
        <v>79</v>
      </c>
      <c r="AL273" s="26" t="s">
        <v>1812</v>
      </c>
      <c r="AM273" s="22" t="s">
        <v>79</v>
      </c>
      <c r="AN273" s="22" t="s">
        <v>79</v>
      </c>
      <c r="AO273" s="12" t="s">
        <v>1820</v>
      </c>
      <c r="AP273" s="22" t="s">
        <v>77</v>
      </c>
      <c r="AQ273" s="12"/>
      <c r="AR273" s="22" t="s">
        <v>77</v>
      </c>
      <c r="AS273" s="10"/>
      <c r="AT273" s="2" t="s">
        <v>1814</v>
      </c>
      <c r="AU273" s="12" t="s">
        <v>83</v>
      </c>
      <c r="AV273" s="3" t="n">
        <v>46220</v>
      </c>
      <c r="AW273" s="21"/>
      <c r="AY273" s="1"/>
      <c r="BA273" s="1"/>
      <c r="BB273" s="1"/>
    </row>
    <row r="274" ht="120" customHeight="1">
      <c r="A274" s="20" t="s">
        <v>1821</v>
      </c>
      <c r="B274" s="20" t="n">
        <v>2023</v>
      </c>
      <c r="C274" s="20" t="n">
        <v>3</v>
      </c>
      <c r="D274" s="20" t="s">
        <v>50</v>
      </c>
      <c r="E274" s="20" t="s">
        <v>1806</v>
      </c>
      <c r="F274" s="20" t="s">
        <v>1822</v>
      </c>
      <c r="G274" s="20" t="s">
        <v>53</v>
      </c>
      <c r="H274" s="20" t="s">
        <v>1808</v>
      </c>
      <c r="I274" s="20"/>
      <c r="J274" s="20" t="s">
        <v>1823</v>
      </c>
      <c r="K274" s="20" t="s">
        <v>56</v>
      </c>
      <c r="L274" s="20" t="s">
        <v>57</v>
      </c>
      <c r="M274" s="20" t="s">
        <v>58</v>
      </c>
      <c r="N274" s="20" t="s">
        <v>59</v>
      </c>
      <c r="O274" s="20" t="s">
        <v>60</v>
      </c>
      <c r="P274" s="20" t="s">
        <v>61</v>
      </c>
      <c r="Q274" s="20" t="s">
        <v>62</v>
      </c>
      <c r="R274" s="20" t="s">
        <v>63</v>
      </c>
      <c r="S274" s="20" t="s">
        <v>64</v>
      </c>
      <c r="T274" s="20" t="s">
        <v>65</v>
      </c>
      <c r="U274" s="20" t="s">
        <v>66</v>
      </c>
      <c r="V274" s="20" t="s">
        <v>67</v>
      </c>
      <c r="W274" s="20" t="s">
        <v>68</v>
      </c>
      <c r="X274" s="20" t="s">
        <v>69</v>
      </c>
      <c r="Y274" s="20" t="s">
        <v>70</v>
      </c>
      <c r="Z274" s="20" t="s">
        <v>71</v>
      </c>
      <c r="AA274" s="20" t="s">
        <v>409</v>
      </c>
      <c r="AB274" s="20" t="s">
        <v>1824</v>
      </c>
      <c r="AC274" s="20" t="s">
        <v>1824</v>
      </c>
      <c r="AD274" s="20" t="s">
        <v>1824</v>
      </c>
      <c r="AE274" s="20"/>
      <c r="AF274" s="9" t="n">
        <v>1</v>
      </c>
      <c r="AG274" s="12" t="n">
        <v>1</v>
      </c>
      <c r="AH274" s="22" t="s">
        <v>235</v>
      </c>
      <c r="AI274" s="12" t="str">
        <f>IF(AH274="","",IFERROR(RIGHT("0000"&amp;AH274,4)&amp;" - "&amp;UPPER(_xlfn.XLOOKUP(RIGHT("0000"&amp;AH274,4),CODEBOOK_CAP!$C$2:$C$212,CODEBOOK_CAP!$D$2:$D$212)),"Código CAP não encontrado"))</f>
        <v>0322 - ESTRUTURAS, HOSPITAIS, CLÍNICAS</v>
      </c>
      <c r="AJ274" s="12" t="str">
        <f>IF(AH274="","",IFERROR(_xlfn.XLOOKUP(RIGHT("0000"&amp;AH274,4),CODEBOOK_CAP!$C$2:$C$212,CODEBOOK_CAP!$E$2:$E$212),"Código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4" s="22" t="s">
        <v>79</v>
      </c>
      <c r="AL274" s="26" t="s">
        <v>1825</v>
      </c>
      <c r="AM274" s="22" t="s">
        <v>79</v>
      </c>
      <c r="AN274" s="22" t="s">
        <v>79</v>
      </c>
      <c r="AO274" s="12" t="s">
        <v>1826</v>
      </c>
      <c r="AP274" s="22" t="s">
        <v>77</v>
      </c>
      <c r="AQ274" s="12"/>
      <c r="AR274" s="22" t="s">
        <v>77</v>
      </c>
      <c r="AS274" s="10"/>
      <c r="AT274" s="2" t="s">
        <v>1814</v>
      </c>
      <c r="AU274" s="12" t="s">
        <v>83</v>
      </c>
      <c r="AV274" s="3" t="n">
        <v>46220</v>
      </c>
      <c r="AW274" s="21"/>
      <c r="AY274" s="1"/>
      <c r="BA274" s="1"/>
      <c r="BB274" s="1"/>
    </row>
    <row r="275" ht="120" customHeight="1">
      <c r="A275" s="20" t="s">
        <v>1827</v>
      </c>
      <c r="B275" s="20" t="n">
        <v>2023</v>
      </c>
      <c r="C275" s="20" t="n">
        <v>4</v>
      </c>
      <c r="D275" s="20" t="s">
        <v>50</v>
      </c>
      <c r="E275" s="20" t="s">
        <v>1806</v>
      </c>
      <c r="F275" s="20" t="s">
        <v>1828</v>
      </c>
      <c r="G275" s="20" t="s">
        <v>53</v>
      </c>
      <c r="H275" s="20" t="s">
        <v>1808</v>
      </c>
      <c r="I275" s="20"/>
      <c r="J275" s="20" t="s">
        <v>1829</v>
      </c>
      <c r="K275" s="20" t="s">
        <v>56</v>
      </c>
      <c r="L275" s="20" t="s">
        <v>57</v>
      </c>
      <c r="M275" s="20" t="s">
        <v>58</v>
      </c>
      <c r="N275" s="20" t="s">
        <v>59</v>
      </c>
      <c r="O275" s="20" t="s">
        <v>60</v>
      </c>
      <c r="P275" s="20" t="s">
        <v>61</v>
      </c>
      <c r="Q275" s="20" t="s">
        <v>62</v>
      </c>
      <c r="R275" s="20" t="s">
        <v>63</v>
      </c>
      <c r="S275" s="20" t="s">
        <v>64</v>
      </c>
      <c r="T275" s="20" t="s">
        <v>65</v>
      </c>
      <c r="U275" s="20" t="s">
        <v>66</v>
      </c>
      <c r="V275" s="20" t="s">
        <v>67</v>
      </c>
      <c r="W275" s="20" t="s">
        <v>68</v>
      </c>
      <c r="X275" s="20" t="s">
        <v>69</v>
      </c>
      <c r="Y275" s="20" t="s">
        <v>70</v>
      </c>
      <c r="Z275" s="20" t="s">
        <v>71</v>
      </c>
      <c r="AA275" s="20" t="s">
        <v>1830</v>
      </c>
      <c r="AB275" s="20" t="s">
        <v>1831</v>
      </c>
      <c r="AC275" s="20" t="s">
        <v>1831</v>
      </c>
      <c r="AD275" s="20" t="s">
        <v>1831</v>
      </c>
      <c r="AE275" s="20" t="s">
        <v>1832</v>
      </c>
      <c r="AF275" s="9" t="n">
        <v>1</v>
      </c>
      <c r="AG275" s="12" t="n">
        <v>1</v>
      </c>
      <c r="AH275" s="22" t="s">
        <v>235</v>
      </c>
      <c r="AI275" s="12" t="str">
        <f>IF(AH275="","",IFERROR(RIGHT("0000"&amp;AH275,4)&amp;" - "&amp;UPPER(_xlfn.XLOOKUP(RIGHT("0000"&amp;AH275,4),CODEBOOK_CAP!$C$2:$C$212,CODEBOOK_CAP!$D$2:$D$212)),"Código CAP não encontrado"))</f>
        <v>0322 - ESTRUTURAS, HOSPITAIS, CLÍNICAS</v>
      </c>
      <c r="AJ275" s="12" t="str">
        <f>IF(AH275="","",IFERROR(_xlfn.XLOOKUP(RIGHT("0000"&amp;AH275,4),CODEBOOK_CAP!$C$2:$C$212,CODEBOOK_CAP!$E$2:$E$212),"Código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5" s="22" t="s">
        <v>79</v>
      </c>
      <c r="AL275" s="26" t="s">
        <v>1812</v>
      </c>
      <c r="AM275" s="22" t="s">
        <v>79</v>
      </c>
      <c r="AN275" s="22" t="s">
        <v>79</v>
      </c>
      <c r="AO275" s="12" t="s">
        <v>1833</v>
      </c>
      <c r="AP275" s="22" t="s">
        <v>77</v>
      </c>
      <c r="AQ275" s="12"/>
      <c r="AR275" s="22" t="s">
        <v>79</v>
      </c>
      <c r="AS275" s="10" t="s">
        <v>1832</v>
      </c>
      <c r="AT275" s="2" t="s">
        <v>1814</v>
      </c>
      <c r="AU275" s="12" t="s">
        <v>83</v>
      </c>
      <c r="AV275" s="3" t="n">
        <v>46220</v>
      </c>
      <c r="AW275" s="21"/>
      <c r="AY275" s="1"/>
      <c r="BA275" s="1"/>
      <c r="BB275" s="1"/>
    </row>
    <row r="276" ht="120" customHeight="1">
      <c r="A276" s="20" t="s">
        <v>1834</v>
      </c>
      <c r="B276" s="20" t="n">
        <v>2023</v>
      </c>
      <c r="C276" s="20" t="n">
        <v>5</v>
      </c>
      <c r="D276" s="20" t="s">
        <v>50</v>
      </c>
      <c r="E276" s="20" t="s">
        <v>1806</v>
      </c>
      <c r="F276" s="20" t="s">
        <v>1835</v>
      </c>
      <c r="G276" s="20" t="s">
        <v>86</v>
      </c>
      <c r="H276" s="20" t="s">
        <v>1808</v>
      </c>
      <c r="I276" s="20"/>
      <c r="J276" s="20" t="s">
        <v>1836</v>
      </c>
      <c r="K276" s="20" t="s">
        <v>56</v>
      </c>
      <c r="L276" s="20" t="s">
        <v>57</v>
      </c>
      <c r="M276" s="20" t="s">
        <v>58</v>
      </c>
      <c r="N276" s="20" t="s">
        <v>59</v>
      </c>
      <c r="O276" s="20" t="s">
        <v>60</v>
      </c>
      <c r="P276" s="20" t="s">
        <v>61</v>
      </c>
      <c r="Q276" s="20" t="s">
        <v>62</v>
      </c>
      <c r="R276" s="20" t="s">
        <v>63</v>
      </c>
      <c r="S276" s="20" t="s">
        <v>64</v>
      </c>
      <c r="T276" s="20" t="s">
        <v>65</v>
      </c>
      <c r="U276" s="20" t="s">
        <v>66</v>
      </c>
      <c r="V276" s="20" t="s">
        <v>67</v>
      </c>
      <c r="W276" s="20" t="s">
        <v>68</v>
      </c>
      <c r="X276" s="20" t="s">
        <v>69</v>
      </c>
      <c r="Y276" s="20" t="s">
        <v>70</v>
      </c>
      <c r="Z276" s="20" t="s">
        <v>71</v>
      </c>
      <c r="AA276" s="20" t="s">
        <v>160</v>
      </c>
      <c r="AB276" s="20" t="s">
        <v>1837</v>
      </c>
      <c r="AC276" s="20" t="s">
        <v>1837</v>
      </c>
      <c r="AD276" s="20" t="s">
        <v>1837</v>
      </c>
      <c r="AE276" s="20" t="s">
        <v>1703</v>
      </c>
      <c r="AF276" s="9" t="n">
        <v>1</v>
      </c>
      <c r="AG276" s="12" t="n">
        <v>1</v>
      </c>
      <c r="AH276" s="22" t="s">
        <v>235</v>
      </c>
      <c r="AI276" s="12" t="str">
        <f>IF(AH276="","",IFERROR(RIGHT("0000"&amp;AH276,4)&amp;" - "&amp;UPPER(_xlfn.XLOOKUP(RIGHT("0000"&amp;AH276,4),CODEBOOK_CAP!$C$2:$C$212,CODEBOOK_CAP!$D$2:$D$212)),"Código CAP não encontrado"))</f>
        <v>0322 - ESTRUTURAS, HOSPITAIS, CLÍNICAS</v>
      </c>
      <c r="AJ276" s="12" t="str">
        <f>IF(AH276="","",IFERROR(_xlfn.XLOOKUP(RIGHT("0000"&amp;AH276,4),CODEBOOK_CAP!$C$2:$C$212,CODEBOOK_CAP!$E$2:$E$212),"Código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6" s="22" t="s">
        <v>79</v>
      </c>
      <c r="AL276" s="26" t="s">
        <v>1812</v>
      </c>
      <c r="AM276" s="22" t="s">
        <v>79</v>
      </c>
      <c r="AN276" s="22" t="s">
        <v>79</v>
      </c>
      <c r="AO276" s="12" t="s">
        <v>1838</v>
      </c>
      <c r="AP276" s="22" t="s">
        <v>77</v>
      </c>
      <c r="AQ276" s="12"/>
      <c r="AR276" s="22" t="s">
        <v>79</v>
      </c>
      <c r="AS276" s="10" t="s">
        <v>1703</v>
      </c>
      <c r="AT276" s="2" t="s">
        <v>1814</v>
      </c>
      <c r="AU276" s="12" t="s">
        <v>83</v>
      </c>
      <c r="AV276" s="3" t="n">
        <v>46220</v>
      </c>
      <c r="AW276" s="21"/>
      <c r="AY276" s="1"/>
      <c r="BA276" s="1"/>
      <c r="BB276" s="1"/>
    </row>
    <row r="277" ht="105" customHeight="1">
      <c r="A277" s="20" t="s">
        <v>1839</v>
      </c>
      <c r="B277" s="20" t="n">
        <v>2023</v>
      </c>
      <c r="C277" s="20" t="n">
        <v>380</v>
      </c>
      <c r="D277" s="20" t="s">
        <v>50</v>
      </c>
      <c r="E277" s="20" t="s">
        <v>1806</v>
      </c>
      <c r="F277" s="20" t="s">
        <v>1840</v>
      </c>
      <c r="G277" s="20" t="s">
        <v>86</v>
      </c>
      <c r="H277" s="20" t="s">
        <v>1808</v>
      </c>
      <c r="I277" s="20"/>
      <c r="J277" s="20" t="s">
        <v>1841</v>
      </c>
      <c r="K277" s="20" t="s">
        <v>682</v>
      </c>
      <c r="L277" s="20" t="s">
        <v>186</v>
      </c>
      <c r="M277" s="20" t="s">
        <v>187</v>
      </c>
      <c r="N277" s="20" t="s">
        <v>188</v>
      </c>
      <c r="O277" s="20" t="s">
        <v>189</v>
      </c>
      <c r="P277" s="20" t="s">
        <v>338</v>
      </c>
      <c r="Q277" s="20" t="s">
        <v>683</v>
      </c>
      <c r="R277" s="20" t="s">
        <v>192</v>
      </c>
      <c r="S277" s="20" t="s">
        <v>193</v>
      </c>
      <c r="T277" s="20" t="s">
        <v>684</v>
      </c>
      <c r="U277" s="20" t="s">
        <v>685</v>
      </c>
      <c r="V277" s="20" t="s">
        <v>95</v>
      </c>
      <c r="W277" s="20" t="s">
        <v>96</v>
      </c>
      <c r="X277" s="20" t="s">
        <v>97</v>
      </c>
      <c r="Y277" s="20" t="s">
        <v>70</v>
      </c>
      <c r="Z277" s="20" t="s">
        <v>197</v>
      </c>
      <c r="AA277" s="20" t="s">
        <v>580</v>
      </c>
      <c r="AB277" s="20" t="s">
        <v>1842</v>
      </c>
      <c r="AC277" s="20" t="s">
        <v>1842</v>
      </c>
      <c r="AD277" s="20" t="s">
        <v>1842</v>
      </c>
      <c r="AE277" s="20"/>
      <c r="AF277" s="9" t="n">
        <v>0</v>
      </c>
      <c r="AG277" s="12" t="n">
        <v>0</v>
      </c>
      <c r="AH277" s="22" t="s">
        <v>161</v>
      </c>
      <c r="AI277" s="12" t="str">
        <f>IF(AH277="","",IFERROR(RIGHT("0000"&amp;AH277,4)&amp;" - "&amp;UPPER(_xlfn.XLOOKUP(RIGHT("0000"&amp;AH277,4),CODEBOOK_CAP!$C$2:$C$212,CODEBOOK_CAP!$D$2:$D$212)),"Código CAP não encontrado"))</f>
        <v>2300 - GERAL</v>
      </c>
      <c r="AJ277" s="12" t="str">
        <f>IF(AH277="","",IFERROR(_xlfn.XLOOKUP(RIGHT("0000"&amp;AH277,4),CODEBOOK_CAP!$C$2:$C$212,CODEBOOK_CAP!$E$2:$E$212),"Código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77" s="22" t="s">
        <v>79</v>
      </c>
      <c r="AL277" s="26" t="s">
        <v>1843</v>
      </c>
      <c r="AM277" s="22" t="s">
        <v>79</v>
      </c>
      <c r="AN277" s="22" t="s">
        <v>77</v>
      </c>
      <c r="AO277" s="12"/>
      <c r="AP277" s="22" t="s">
        <v>77</v>
      </c>
      <c r="AQ277" s="12"/>
      <c r="AR277" s="22" t="s">
        <v>77</v>
      </c>
      <c r="AS277" s="10"/>
      <c r="AT277" s="2" t="s">
        <v>1814</v>
      </c>
      <c r="AU277" s="12" t="s">
        <v>83</v>
      </c>
      <c r="AV277" s="3" t="n">
        <v>46220</v>
      </c>
      <c r="AW277" s="21"/>
      <c r="AX277" s="1" t="s">
        <v>6956</v>
      </c>
      <c r="AY277" s="1"/>
      <c r="BA277" s="1"/>
      <c r="BB277" s="1"/>
    </row>
    <row r="278" ht="105" customHeight="1">
      <c r="A278" s="20" t="s">
        <v>1844</v>
      </c>
      <c r="B278" s="20" t="n">
        <v>2023</v>
      </c>
      <c r="C278" s="20" t="n">
        <v>381</v>
      </c>
      <c r="D278" s="20" t="s">
        <v>50</v>
      </c>
      <c r="E278" s="20" t="s">
        <v>1806</v>
      </c>
      <c r="F278" s="20" t="s">
        <v>1845</v>
      </c>
      <c r="G278" s="20" t="s">
        <v>86</v>
      </c>
      <c r="H278" s="20" t="s">
        <v>1808</v>
      </c>
      <c r="I278" s="20"/>
      <c r="J278" s="20" t="s">
        <v>1846</v>
      </c>
      <c r="K278" s="20" t="s">
        <v>682</v>
      </c>
      <c r="L278" s="20" t="s">
        <v>186</v>
      </c>
      <c r="M278" s="20" t="s">
        <v>187</v>
      </c>
      <c r="N278" s="20" t="s">
        <v>188</v>
      </c>
      <c r="O278" s="20" t="s">
        <v>189</v>
      </c>
      <c r="P278" s="20" t="s">
        <v>338</v>
      </c>
      <c r="Q278" s="20" t="s">
        <v>683</v>
      </c>
      <c r="R278" s="20" t="s">
        <v>192</v>
      </c>
      <c r="S278" s="20" t="s">
        <v>193</v>
      </c>
      <c r="T278" s="20" t="s">
        <v>684</v>
      </c>
      <c r="U278" s="20" t="s">
        <v>685</v>
      </c>
      <c r="V278" s="20" t="s">
        <v>95</v>
      </c>
      <c r="W278" s="20" t="s">
        <v>96</v>
      </c>
      <c r="X278" s="20" t="s">
        <v>97</v>
      </c>
      <c r="Y278" s="20" t="s">
        <v>70</v>
      </c>
      <c r="Z278" s="20" t="s">
        <v>197</v>
      </c>
      <c r="AA278" s="20" t="s">
        <v>395</v>
      </c>
      <c r="AB278" s="20" t="s">
        <v>1847</v>
      </c>
      <c r="AC278" s="20" t="s">
        <v>1847</v>
      </c>
      <c r="AD278" s="20" t="s">
        <v>1847</v>
      </c>
      <c r="AE278" s="20"/>
      <c r="AF278" s="9" t="n">
        <v>0</v>
      </c>
      <c r="AG278" s="12" t="n">
        <v>0</v>
      </c>
      <c r="AH278" s="22" t="s">
        <v>161</v>
      </c>
      <c r="AI278" s="12" t="str">
        <f>IF(AH278="","",IFERROR(RIGHT("0000"&amp;AH278,4)&amp;" - "&amp;UPPER(_xlfn.XLOOKUP(RIGHT("0000"&amp;AH278,4),CODEBOOK_CAP!$C$2:$C$212,CODEBOOK_CAP!$D$2:$D$212)),"Código CAP não encontrado"))</f>
        <v>2300 - GERAL</v>
      </c>
      <c r="AJ278" s="12" t="str">
        <f>IF(AH278="","",IFERROR(_xlfn.XLOOKUP(RIGHT("0000"&amp;AH278,4),CODEBOOK_CAP!$C$2:$C$212,CODEBOOK_CAP!$E$2:$E$212),"Código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78" s="22" t="s">
        <v>79</v>
      </c>
      <c r="AL278" s="26" t="s">
        <v>1111</v>
      </c>
      <c r="AM278" s="22" t="s">
        <v>79</v>
      </c>
      <c r="AN278" s="22" t="s">
        <v>77</v>
      </c>
      <c r="AO278" s="12"/>
      <c r="AP278" s="22" t="s">
        <v>77</v>
      </c>
      <c r="AQ278" s="12"/>
      <c r="AR278" s="22" t="s">
        <v>77</v>
      </c>
      <c r="AS278" s="10"/>
      <c r="AT278" s="2" t="s">
        <v>1814</v>
      </c>
      <c r="AU278" s="12" t="s">
        <v>83</v>
      </c>
      <c r="AV278" s="3" t="n">
        <v>46220</v>
      </c>
      <c r="AW278" s="21"/>
      <c r="AX278" s="1" t="s">
        <v>6956</v>
      </c>
      <c r="AY278" s="1"/>
      <c r="BA278" s="1"/>
      <c r="BB278" s="1"/>
    </row>
    <row r="279" ht="120" customHeight="1">
      <c r="A279" s="20" t="s">
        <v>1848</v>
      </c>
      <c r="B279" s="20" t="n">
        <v>2023</v>
      </c>
      <c r="C279" s="20" t="n">
        <v>382</v>
      </c>
      <c r="D279" s="20" t="s">
        <v>50</v>
      </c>
      <c r="E279" s="20" t="s">
        <v>1806</v>
      </c>
      <c r="F279" s="20" t="s">
        <v>1849</v>
      </c>
      <c r="G279" s="20" t="s">
        <v>86</v>
      </c>
      <c r="H279" s="20" t="s">
        <v>1808</v>
      </c>
      <c r="I279" s="20"/>
      <c r="J279" s="20" t="s">
        <v>994</v>
      </c>
      <c r="K279" s="20" t="s">
        <v>122</v>
      </c>
      <c r="L279" s="20" t="s">
        <v>57</v>
      </c>
      <c r="M279" s="20" t="s">
        <v>58</v>
      </c>
      <c r="N279" s="20" t="s">
        <v>59</v>
      </c>
      <c r="O279" s="20" t="s">
        <v>60</v>
      </c>
      <c r="P279" s="20" t="s">
        <v>89</v>
      </c>
      <c r="Q279" s="20" t="s">
        <v>90</v>
      </c>
      <c r="R279" s="20" t="s">
        <v>91</v>
      </c>
      <c r="S279" s="20" t="s">
        <v>92</v>
      </c>
      <c r="T279" s="20" t="s">
        <v>123</v>
      </c>
      <c r="U279" s="20" t="s">
        <v>124</v>
      </c>
      <c r="V279" s="20" t="s">
        <v>95</v>
      </c>
      <c r="W279" s="20" t="s">
        <v>96</v>
      </c>
      <c r="X279" s="20" t="s">
        <v>97</v>
      </c>
      <c r="Y279" s="20" t="s">
        <v>70</v>
      </c>
      <c r="Z279" s="20" t="s">
        <v>98</v>
      </c>
      <c r="AA279" s="20" t="s">
        <v>409</v>
      </c>
      <c r="AB279" s="20" t="s">
        <v>409</v>
      </c>
      <c r="AC279" s="20" t="s">
        <v>409</v>
      </c>
      <c r="AD279" s="20" t="s">
        <v>409</v>
      </c>
      <c r="AE279" s="20"/>
      <c r="AF279" s="9" t="n">
        <v>1</v>
      </c>
      <c r="AG279" s="12" t="n">
        <v>1</v>
      </c>
      <c r="AH279" s="22" t="s">
        <v>235</v>
      </c>
      <c r="AI279" s="12" t="str">
        <f>IF(AH279="","",IFERROR(RIGHT("0000"&amp;AH279,4)&amp;" - "&amp;UPPER(_xlfn.XLOOKUP(RIGHT("0000"&amp;AH279,4),CODEBOOK_CAP!$C$2:$C$212,CODEBOOK_CAP!$D$2:$D$212)),"Código CAP não encontrado"))</f>
        <v>0322 - ESTRUTURAS, HOSPITAIS, CLÍNICAS</v>
      </c>
      <c r="AJ279" s="12" t="str">
        <f>IF(AH279="","",IFERROR(_xlfn.XLOOKUP(RIGHT("0000"&amp;AH279,4),CODEBOOK_CAP!$C$2:$C$212,CODEBOOK_CAP!$E$2:$E$212),"Código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79" s="22" t="s">
        <v>77</v>
      </c>
      <c r="AL279" s="26"/>
      <c r="AM279" s="22" t="s">
        <v>79</v>
      </c>
      <c r="AN279" s="22" t="s">
        <v>79</v>
      </c>
      <c r="AO279" s="12" t="s">
        <v>840</v>
      </c>
      <c r="AP279" s="22" t="s">
        <v>77</v>
      </c>
      <c r="AQ279" s="12"/>
      <c r="AR279" s="22" t="s">
        <v>77</v>
      </c>
      <c r="AS279" s="10"/>
      <c r="AT279" s="2" t="s">
        <v>1814</v>
      </c>
      <c r="AU279" s="12" t="s">
        <v>83</v>
      </c>
      <c r="AV279" s="3" t="n">
        <v>46220</v>
      </c>
      <c r="AW279" s="21"/>
      <c r="AY279" s="1"/>
      <c r="BA279" s="1"/>
      <c r="BB279" s="1"/>
    </row>
    <row r="280" ht="120" customHeight="1">
      <c r="A280" s="20" t="s">
        <v>1850</v>
      </c>
      <c r="B280" s="20" t="n">
        <v>2023</v>
      </c>
      <c r="C280" s="20" t="n">
        <v>383</v>
      </c>
      <c r="D280" s="20" t="s">
        <v>50</v>
      </c>
      <c r="E280" s="20" t="s">
        <v>1806</v>
      </c>
      <c r="F280" s="20" t="s">
        <v>1851</v>
      </c>
      <c r="G280" s="20" t="s">
        <v>86</v>
      </c>
      <c r="H280" s="20" t="s">
        <v>1808</v>
      </c>
      <c r="I280" s="20"/>
      <c r="J280" s="20" t="s">
        <v>979</v>
      </c>
      <c r="K280" s="20" t="s">
        <v>122</v>
      </c>
      <c r="L280" s="20" t="s">
        <v>57</v>
      </c>
      <c r="M280" s="20" t="s">
        <v>58</v>
      </c>
      <c r="N280" s="20" t="s">
        <v>59</v>
      </c>
      <c r="O280" s="20" t="s">
        <v>60</v>
      </c>
      <c r="P280" s="20" t="s">
        <v>89</v>
      </c>
      <c r="Q280" s="20" t="s">
        <v>90</v>
      </c>
      <c r="R280" s="20" t="s">
        <v>91</v>
      </c>
      <c r="S280" s="20" t="s">
        <v>92</v>
      </c>
      <c r="T280" s="20" t="s">
        <v>123</v>
      </c>
      <c r="U280" s="20" t="s">
        <v>124</v>
      </c>
      <c r="V280" s="20" t="s">
        <v>95</v>
      </c>
      <c r="W280" s="20" t="s">
        <v>96</v>
      </c>
      <c r="X280" s="20" t="s">
        <v>97</v>
      </c>
      <c r="Y280" s="20" t="s">
        <v>70</v>
      </c>
      <c r="Z280" s="20" t="s">
        <v>98</v>
      </c>
      <c r="AA280" s="20" t="s">
        <v>125</v>
      </c>
      <c r="AB280" s="20" t="s">
        <v>125</v>
      </c>
      <c r="AC280" s="20" t="s">
        <v>125</v>
      </c>
      <c r="AD280" s="20" t="s">
        <v>125</v>
      </c>
      <c r="AE280" s="20"/>
      <c r="AF280" s="9" t="n">
        <v>1</v>
      </c>
      <c r="AG280" s="12" t="n">
        <v>1</v>
      </c>
      <c r="AH280" s="22" t="s">
        <v>235</v>
      </c>
      <c r="AI280" s="12" t="str">
        <f>IF(AH280="","",IFERROR(RIGHT("0000"&amp;AH280,4)&amp;" - "&amp;UPPER(_xlfn.XLOOKUP(RIGHT("0000"&amp;AH280,4),CODEBOOK_CAP!$C$2:$C$212,CODEBOOK_CAP!$D$2:$D$212)),"Código CAP não encontrado"))</f>
        <v>0322 - ESTRUTURAS, HOSPITAIS, CLÍNICAS</v>
      </c>
      <c r="AJ280" s="12" t="str">
        <f>IF(AH280="","",IFERROR(_xlfn.XLOOKUP(RIGHT("0000"&amp;AH280,4),CODEBOOK_CAP!$C$2:$C$212,CODEBOOK_CAP!$E$2:$E$212),"Código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0" s="22" t="s">
        <v>77</v>
      </c>
      <c r="AL280" s="26"/>
      <c r="AM280" s="22" t="s">
        <v>79</v>
      </c>
      <c r="AN280" s="22" t="s">
        <v>79</v>
      </c>
      <c r="AO280" s="12" t="s">
        <v>981</v>
      </c>
      <c r="AP280" s="22" t="s">
        <v>77</v>
      </c>
      <c r="AQ280" s="12"/>
      <c r="AR280" s="22" t="s">
        <v>77</v>
      </c>
      <c r="AS280" s="10"/>
      <c r="AT280" s="2" t="s">
        <v>1814</v>
      </c>
      <c r="AU280" s="12" t="s">
        <v>83</v>
      </c>
      <c r="AV280" s="3" t="n">
        <v>46220</v>
      </c>
      <c r="AW280" s="21"/>
      <c r="AY280" s="1"/>
      <c r="BA280" s="1"/>
      <c r="BB280" s="1"/>
    </row>
    <row r="281" ht="120" customHeight="1">
      <c r="A281" s="20" t="s">
        <v>1852</v>
      </c>
      <c r="B281" s="20" t="n">
        <v>2023</v>
      </c>
      <c r="C281" s="20" t="n">
        <v>384</v>
      </c>
      <c r="D281" s="20" t="s">
        <v>50</v>
      </c>
      <c r="E281" s="20" t="s">
        <v>1806</v>
      </c>
      <c r="F281" s="20" t="s">
        <v>1853</v>
      </c>
      <c r="G281" s="20" t="s">
        <v>86</v>
      </c>
      <c r="H281" s="20" t="s">
        <v>1808</v>
      </c>
      <c r="I281" s="20"/>
      <c r="J281" s="20" t="s">
        <v>1001</v>
      </c>
      <c r="K281" s="20" t="s">
        <v>122</v>
      </c>
      <c r="L281" s="20" t="s">
        <v>57</v>
      </c>
      <c r="M281" s="20" t="s">
        <v>58</v>
      </c>
      <c r="N281" s="20" t="s">
        <v>59</v>
      </c>
      <c r="O281" s="20" t="s">
        <v>60</v>
      </c>
      <c r="P281" s="20" t="s">
        <v>89</v>
      </c>
      <c r="Q281" s="20" t="s">
        <v>90</v>
      </c>
      <c r="R281" s="20" t="s">
        <v>91</v>
      </c>
      <c r="S281" s="20" t="s">
        <v>92</v>
      </c>
      <c r="T281" s="20" t="s">
        <v>123</v>
      </c>
      <c r="U281" s="20" t="s">
        <v>124</v>
      </c>
      <c r="V281" s="20" t="s">
        <v>95</v>
      </c>
      <c r="W281" s="20" t="s">
        <v>96</v>
      </c>
      <c r="X281" s="20" t="s">
        <v>97</v>
      </c>
      <c r="Y281" s="20" t="s">
        <v>70</v>
      </c>
      <c r="Z281" s="20" t="s">
        <v>98</v>
      </c>
      <c r="AA281" s="20" t="s">
        <v>125</v>
      </c>
      <c r="AB281" s="20" t="s">
        <v>125</v>
      </c>
      <c r="AC281" s="20" t="s">
        <v>125</v>
      </c>
      <c r="AD281" s="20" t="s">
        <v>125</v>
      </c>
      <c r="AE281" s="20"/>
      <c r="AF281" s="9" t="n">
        <v>1</v>
      </c>
      <c r="AG281" s="12" t="n">
        <v>1</v>
      </c>
      <c r="AH281" s="22" t="s">
        <v>235</v>
      </c>
      <c r="AI281" s="12" t="str">
        <f>IF(AH281="","",IFERROR(RIGHT("0000"&amp;AH281,4)&amp;" - "&amp;UPPER(_xlfn.XLOOKUP(RIGHT("0000"&amp;AH281,4),CODEBOOK_CAP!$C$2:$C$212,CODEBOOK_CAP!$D$2:$D$212)),"Código CAP não encontrado"))</f>
        <v>0322 - ESTRUTURAS, HOSPITAIS, CLÍNICAS</v>
      </c>
      <c r="AJ281" s="12" t="str">
        <f>IF(AH281="","",IFERROR(_xlfn.XLOOKUP(RIGHT("0000"&amp;AH281,4),CODEBOOK_CAP!$C$2:$C$212,CODEBOOK_CAP!$E$2:$E$212),"Código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1" s="22" t="s">
        <v>77</v>
      </c>
      <c r="AL281" s="26"/>
      <c r="AM281" s="22" t="s">
        <v>79</v>
      </c>
      <c r="AN281" s="22" t="s">
        <v>79</v>
      </c>
      <c r="AO281" s="12" t="s">
        <v>1854</v>
      </c>
      <c r="AP281" s="22" t="s">
        <v>77</v>
      </c>
      <c r="AQ281" s="12"/>
      <c r="AR281" s="22" t="s">
        <v>77</v>
      </c>
      <c r="AS281" s="10"/>
      <c r="AT281" s="2" t="s">
        <v>1814</v>
      </c>
      <c r="AU281" s="12" t="s">
        <v>83</v>
      </c>
      <c r="AV281" s="3" t="n">
        <v>46220</v>
      </c>
      <c r="AW281" s="21"/>
      <c r="AY281" s="1"/>
      <c r="BA281" s="1"/>
      <c r="BB281" s="1"/>
    </row>
    <row r="282" ht="105" customHeight="1">
      <c r="A282" s="20" t="s">
        <v>1855</v>
      </c>
      <c r="B282" s="20" t="n">
        <v>2023</v>
      </c>
      <c r="C282" s="20" t="n">
        <v>385</v>
      </c>
      <c r="D282" s="20" t="s">
        <v>50</v>
      </c>
      <c r="E282" s="20" t="s">
        <v>1806</v>
      </c>
      <c r="F282" s="20" t="s">
        <v>1856</v>
      </c>
      <c r="G282" s="20" t="s">
        <v>86</v>
      </c>
      <c r="H282" s="20" t="s">
        <v>1808</v>
      </c>
      <c r="I282" s="20"/>
      <c r="J282" s="20" t="s">
        <v>1857</v>
      </c>
      <c r="K282" s="20" t="s">
        <v>185</v>
      </c>
      <c r="L282" s="20" t="s">
        <v>186</v>
      </c>
      <c r="M282" s="20" t="s">
        <v>187</v>
      </c>
      <c r="N282" s="20" t="s">
        <v>188</v>
      </c>
      <c r="O282" s="20" t="s">
        <v>189</v>
      </c>
      <c r="P282" s="20" t="s">
        <v>190</v>
      </c>
      <c r="Q282" s="20" t="s">
        <v>191</v>
      </c>
      <c r="R282" s="20" t="s">
        <v>192</v>
      </c>
      <c r="S282" s="20" t="s">
        <v>193</v>
      </c>
      <c r="T282" s="20" t="s">
        <v>194</v>
      </c>
      <c r="U282" s="20" t="s">
        <v>195</v>
      </c>
      <c r="V282" s="20" t="s">
        <v>196</v>
      </c>
      <c r="W282" s="20" t="s">
        <v>68</v>
      </c>
      <c r="X282" s="20" t="s">
        <v>69</v>
      </c>
      <c r="Y282" s="20" t="s">
        <v>70</v>
      </c>
      <c r="Z282" s="20" t="s">
        <v>197</v>
      </c>
      <c r="AA282" s="20" t="s">
        <v>1858</v>
      </c>
      <c r="AB282" s="20" t="s">
        <v>1859</v>
      </c>
      <c r="AC282" s="20" t="s">
        <v>1859</v>
      </c>
      <c r="AD282" s="20" t="s">
        <v>1859</v>
      </c>
      <c r="AE282" s="20"/>
      <c r="AF282" s="9" t="n">
        <v>0</v>
      </c>
      <c r="AG282" s="12" t="n">
        <v>0</v>
      </c>
      <c r="AH282" s="22" t="s">
        <v>161</v>
      </c>
      <c r="AI282" s="12" t="str">
        <f>IF(AH282="","",IFERROR(RIGHT("0000"&amp;AH282,4)&amp;" - "&amp;UPPER(_xlfn.XLOOKUP(RIGHT("0000"&amp;AH282,4),CODEBOOK_CAP!$C$2:$C$212,CODEBOOK_CAP!$D$2:$D$212)),"Código CAP não encontrado"))</f>
        <v>2300 - GERAL</v>
      </c>
      <c r="AJ282" s="12" t="str">
        <f>IF(AH282="","",IFERROR(_xlfn.XLOOKUP(RIGHT("0000"&amp;AH282,4),CODEBOOK_CAP!$C$2:$C$212,CODEBOOK_CAP!$E$2:$E$212),"Código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282" s="22" t="s">
        <v>77</v>
      </c>
      <c r="AL282" s="26"/>
      <c r="AM282" s="22" t="s">
        <v>77</v>
      </c>
      <c r="AN282" s="22" t="s">
        <v>77</v>
      </c>
      <c r="AO282" s="12"/>
      <c r="AP282" s="22" t="s">
        <v>77</v>
      </c>
      <c r="AQ282" s="12"/>
      <c r="AR282" s="22" t="s">
        <v>77</v>
      </c>
      <c r="AS282" s="10"/>
      <c r="AT282" s="2" t="s">
        <v>1814</v>
      </c>
      <c r="AU282" s="12" t="s">
        <v>83</v>
      </c>
      <c r="AV282" s="3" t="n">
        <v>46220</v>
      </c>
      <c r="AW282" s="21"/>
      <c r="AX282" s="1" t="s">
        <v>6956</v>
      </c>
      <c r="AY282" s="1"/>
      <c r="BA282" s="1"/>
      <c r="BB282" s="1"/>
    </row>
    <row r="283" ht="75" customHeight="1">
      <c r="A283" s="20" t="s">
        <v>1860</v>
      </c>
      <c r="B283" s="20" t="n">
        <v>2023</v>
      </c>
      <c r="C283" s="20" t="n">
        <v>386</v>
      </c>
      <c r="D283" s="20" t="s">
        <v>50</v>
      </c>
      <c r="E283" s="20" t="s">
        <v>1806</v>
      </c>
      <c r="F283" s="20" t="s">
        <v>1861</v>
      </c>
      <c r="G283" s="20" t="s">
        <v>86</v>
      </c>
      <c r="H283" s="20" t="s">
        <v>1808</v>
      </c>
      <c r="I283" s="20"/>
      <c r="J283" s="20" t="s">
        <v>1862</v>
      </c>
      <c r="K283" s="20" t="s">
        <v>299</v>
      </c>
      <c r="L283" s="20" t="s">
        <v>208</v>
      </c>
      <c r="M283" s="20" t="s">
        <v>209</v>
      </c>
      <c r="N283" s="20" t="s">
        <v>210</v>
      </c>
      <c r="O283" s="20" t="s">
        <v>211</v>
      </c>
      <c r="P283" s="20" t="s">
        <v>212</v>
      </c>
      <c r="Q283" s="20" t="s">
        <v>213</v>
      </c>
      <c r="R283" s="20" t="s">
        <v>251</v>
      </c>
      <c r="S283" s="20" t="s">
        <v>252</v>
      </c>
      <c r="T283" s="20" t="s">
        <v>300</v>
      </c>
      <c r="U283" s="20" t="s">
        <v>301</v>
      </c>
      <c r="V283" s="20" t="s">
        <v>67</v>
      </c>
      <c r="W283" s="20" t="s">
        <v>68</v>
      </c>
      <c r="X283" s="20" t="s">
        <v>69</v>
      </c>
      <c r="Y283" s="20" t="s">
        <v>70</v>
      </c>
      <c r="Z283" s="20" t="s">
        <v>177</v>
      </c>
      <c r="AA283" s="20" t="s">
        <v>409</v>
      </c>
      <c r="AB283" s="20" t="s">
        <v>1863</v>
      </c>
      <c r="AC283" s="20" t="s">
        <v>1863</v>
      </c>
      <c r="AD283" s="20" t="s">
        <v>1863</v>
      </c>
      <c r="AE283" s="20"/>
      <c r="AF283" s="9" t="n">
        <v>0</v>
      </c>
      <c r="AG283" s="12" t="n">
        <v>0</v>
      </c>
      <c r="AH283" s="22" t="s">
        <v>304</v>
      </c>
      <c r="AI283" s="12" t="str">
        <f>IF(AH283="","",IFERROR(RIGHT("0000"&amp;AH283,4)&amp;" - "&amp;UPPER(_xlfn.XLOOKUP(RIGHT("0000"&amp;AH283,4),CODEBOOK_CAP!$C$2:$C$212,CODEBOOK_CAP!$D$2:$D$212)),"Código CAP não encontrado"))</f>
        <v>1403 - REABILITAÇÃO URBANA, ECONOMIA URBANA</v>
      </c>
      <c r="AJ283" s="12" t="str">
        <f>IF(AH283="","",IFERROR(_xlfn.XLOOKUP(RIGHT("0000"&amp;AH283,4),CODEBOOK_CAP!$C$2:$C$212,CODEBOOK_CAP!$E$2:$E$212),"Código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283" s="22" t="s">
        <v>79</v>
      </c>
      <c r="AL283" s="26" t="s">
        <v>1843</v>
      </c>
      <c r="AM283" s="22" t="s">
        <v>77</v>
      </c>
      <c r="AN283" s="22" t="s">
        <v>77</v>
      </c>
      <c r="AO283" s="12"/>
      <c r="AP283" s="22" t="s">
        <v>77</v>
      </c>
      <c r="AQ283" s="12"/>
      <c r="AR283" s="22" t="s">
        <v>77</v>
      </c>
      <c r="AS283" s="10"/>
      <c r="AT283" s="2" t="s">
        <v>1814</v>
      </c>
      <c r="AU283" s="12" t="s">
        <v>83</v>
      </c>
      <c r="AV283" s="3" t="n">
        <v>46220</v>
      </c>
      <c r="AW283" s="21"/>
      <c r="AY283" s="1"/>
      <c r="BA283" s="1"/>
      <c r="BB283" s="1"/>
    </row>
    <row r="284" ht="195" customHeight="1">
      <c r="A284" s="20" t="s">
        <v>1864</v>
      </c>
      <c r="B284" s="20" t="n">
        <v>2023</v>
      </c>
      <c r="C284" s="20" t="n">
        <v>387</v>
      </c>
      <c r="D284" s="20" t="s">
        <v>50</v>
      </c>
      <c r="E284" s="20" t="s">
        <v>1806</v>
      </c>
      <c r="F284" s="20" t="s">
        <v>1865</v>
      </c>
      <c r="G284" s="20" t="s">
        <v>86</v>
      </c>
      <c r="H284" s="20" t="s">
        <v>1808</v>
      </c>
      <c r="I284" s="20"/>
      <c r="J284" s="20" t="s">
        <v>1866</v>
      </c>
      <c r="K284" s="20" t="s">
        <v>1867</v>
      </c>
      <c r="L284" s="20" t="s">
        <v>166</v>
      </c>
      <c r="M284" s="20" t="s">
        <v>167</v>
      </c>
      <c r="N284" s="20" t="s">
        <v>168</v>
      </c>
      <c r="O284" s="20" t="s">
        <v>169</v>
      </c>
      <c r="P284" s="20" t="s">
        <v>170</v>
      </c>
      <c r="Q284" s="20" t="s">
        <v>171</v>
      </c>
      <c r="R284" s="20" t="s">
        <v>1868</v>
      </c>
      <c r="S284" s="20" t="s">
        <v>1869</v>
      </c>
      <c r="T284" s="20" t="s">
        <v>1870</v>
      </c>
      <c r="U284" s="20" t="s">
        <v>1871</v>
      </c>
      <c r="V284" s="20" t="s">
        <v>67</v>
      </c>
      <c r="W284" s="20" t="s">
        <v>68</v>
      </c>
      <c r="X284" s="20" t="s">
        <v>69</v>
      </c>
      <c r="Y284" s="20" t="s">
        <v>70</v>
      </c>
      <c r="Z284" s="20" t="s">
        <v>177</v>
      </c>
      <c r="AA284" s="20" t="s">
        <v>198</v>
      </c>
      <c r="AB284" s="20" t="s">
        <v>1872</v>
      </c>
      <c r="AC284" s="20" t="s">
        <v>1872</v>
      </c>
      <c r="AD284" s="20" t="s">
        <v>1872</v>
      </c>
      <c r="AE284" s="20"/>
      <c r="AF284" s="9" t="n">
        <v>0</v>
      </c>
      <c r="AG284" s="12" t="n">
        <v>0</v>
      </c>
      <c r="AH284" s="22" t="s">
        <v>294</v>
      </c>
      <c r="AI284" s="12" t="str">
        <f>IF(AH284="","",IFERROR(RIGHT("0000"&amp;AH284,4)&amp;" - "&amp;UPPER(_xlfn.XLOOKUP(RIGHT("0000"&amp;AH284,4),CODEBOOK_CAP!$C$2:$C$212,CODEBOOK_CAP!$D$2:$D$212)),"Código CAP não encontrado"))</f>
        <v>0711 - CONSERVAÇÃO DO SOLO, MAR, RIOS, PRAIAS E COSTAS</v>
      </c>
      <c r="AJ284" s="12" t="str">
        <f>IF(AH284="","",IFERROR(_xlfn.XLOOKUP(RIGHT("0000"&amp;AH284,4),CODEBOOK_CAP!$C$2:$C$212,CODEBOOK_CAP!$E$2:$E$212),"Código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284" s="22" t="s">
        <v>79</v>
      </c>
      <c r="AL284" s="26" t="s">
        <v>1873</v>
      </c>
      <c r="AM284" s="22" t="s">
        <v>79</v>
      </c>
      <c r="AN284" s="22" t="s">
        <v>79</v>
      </c>
      <c r="AO284" s="12" t="s">
        <v>1873</v>
      </c>
      <c r="AP284" s="22" t="s">
        <v>77</v>
      </c>
      <c r="AQ284" s="12"/>
      <c r="AR284" s="22" t="s">
        <v>77</v>
      </c>
      <c r="AS284" s="10"/>
      <c r="AT284" s="2" t="s">
        <v>1814</v>
      </c>
      <c r="AU284" s="12" t="s">
        <v>83</v>
      </c>
      <c r="AV284" s="3" t="n">
        <v>46220</v>
      </c>
      <c r="AW284" s="21"/>
      <c r="AY284" s="1"/>
      <c r="BA284" s="1"/>
      <c r="BB284" s="1"/>
    </row>
    <row r="285" ht="255" customHeight="1">
      <c r="A285" s="20" t="s">
        <v>1874</v>
      </c>
      <c r="B285" s="20" t="n">
        <v>2023</v>
      </c>
      <c r="C285" s="20" t="n">
        <v>388</v>
      </c>
      <c r="D285" s="20" t="s">
        <v>50</v>
      </c>
      <c r="E285" s="20" t="s">
        <v>1806</v>
      </c>
      <c r="F285" s="20" t="s">
        <v>1875</v>
      </c>
      <c r="G285" s="20" t="s">
        <v>86</v>
      </c>
      <c r="H285" s="20" t="s">
        <v>1808</v>
      </c>
      <c r="I285" s="20"/>
      <c r="J285" s="20" t="s">
        <v>1876</v>
      </c>
      <c r="K285" s="20" t="s">
        <v>1189</v>
      </c>
      <c r="L285" s="20" t="s">
        <v>208</v>
      </c>
      <c r="M285" s="20" t="s">
        <v>209</v>
      </c>
      <c r="N285" s="20" t="s">
        <v>210</v>
      </c>
      <c r="O285" s="20" t="s">
        <v>211</v>
      </c>
      <c r="P285" s="20" t="s">
        <v>212</v>
      </c>
      <c r="Q285" s="20" t="s">
        <v>213</v>
      </c>
      <c r="R285" s="20" t="s">
        <v>251</v>
      </c>
      <c r="S285" s="20" t="s">
        <v>252</v>
      </c>
      <c r="T285" s="20" t="s">
        <v>1190</v>
      </c>
      <c r="U285" s="20" t="s">
        <v>1191</v>
      </c>
      <c r="V285" s="20" t="s">
        <v>67</v>
      </c>
      <c r="W285" s="20" t="s">
        <v>68</v>
      </c>
      <c r="X285" s="20" t="s">
        <v>69</v>
      </c>
      <c r="Y285" s="20" t="s">
        <v>70</v>
      </c>
      <c r="Z285" s="20" t="s">
        <v>177</v>
      </c>
      <c r="AA285" s="20" t="s">
        <v>125</v>
      </c>
      <c r="AB285" s="20" t="s">
        <v>1877</v>
      </c>
      <c r="AC285" s="20" t="s">
        <v>1877</v>
      </c>
      <c r="AD285" s="20" t="s">
        <v>1877</v>
      </c>
      <c r="AE285" s="20"/>
      <c r="AF285" s="9" t="n">
        <v>0</v>
      </c>
      <c r="AG285" s="12" t="n">
        <v>0</v>
      </c>
      <c r="AH285" s="22" t="s">
        <v>219</v>
      </c>
      <c r="AI285" s="12" t="str">
        <f>IF(AH285="","",IFERROR(RIGHT("0000"&amp;AH285,4)&amp;" - "&amp;UPPER(_xlfn.XLOOKUP(RIGHT("0000"&amp;AH285,4),CODEBOOK_CAP!$C$2:$C$212,CODEBOOK_CAP!$D$2:$D$212)),"Código CAP não encontrado"))</f>
        <v>1002 - CARROS, TRÂNSITO, CONSTRUÇÃO E MANUTENÇÃO DE RUAS E ESTRADAS</v>
      </c>
      <c r="AJ285" s="12" t="str">
        <f>IF(AH285="","",IFERROR(_xlfn.XLOOKUP(RIGHT("0000"&amp;AH285,4),CODEBOOK_CAP!$C$2:$C$212,CODEBOOK_CAP!$E$2:$E$212),"Código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85" s="22" t="s">
        <v>79</v>
      </c>
      <c r="AL285" s="26" t="s">
        <v>1878</v>
      </c>
      <c r="AM285" s="22" t="s">
        <v>79</v>
      </c>
      <c r="AN285" s="22" t="s">
        <v>77</v>
      </c>
      <c r="AO285" s="12"/>
      <c r="AP285" s="22" t="s">
        <v>77</v>
      </c>
      <c r="AQ285" s="12"/>
      <c r="AR285" s="22" t="s">
        <v>77</v>
      </c>
      <c r="AS285" s="10"/>
      <c r="AT285" s="2" t="s">
        <v>1814</v>
      </c>
      <c r="AU285" s="12" t="s">
        <v>83</v>
      </c>
      <c r="AV285" s="3" t="n">
        <v>46220</v>
      </c>
      <c r="AW285" s="21"/>
      <c r="AY285" s="1"/>
      <c r="BA285" s="1"/>
      <c r="BB285" s="1"/>
    </row>
    <row r="286" ht="255" customHeight="1">
      <c r="A286" s="20" t="s">
        <v>1879</v>
      </c>
      <c r="B286" s="20" t="n">
        <v>2023</v>
      </c>
      <c r="C286" s="20" t="n">
        <v>389</v>
      </c>
      <c r="D286" s="20" t="s">
        <v>50</v>
      </c>
      <c r="E286" s="20" t="s">
        <v>1806</v>
      </c>
      <c r="F286" s="20" t="s">
        <v>1880</v>
      </c>
      <c r="G286" s="20" t="s">
        <v>86</v>
      </c>
      <c r="H286" s="20" t="s">
        <v>1808</v>
      </c>
      <c r="I286" s="20"/>
      <c r="J286" s="20" t="s">
        <v>1881</v>
      </c>
      <c r="K286" s="20" t="s">
        <v>1189</v>
      </c>
      <c r="L286" s="20" t="s">
        <v>208</v>
      </c>
      <c r="M286" s="20" t="s">
        <v>209</v>
      </c>
      <c r="N286" s="20" t="s">
        <v>210</v>
      </c>
      <c r="O286" s="20" t="s">
        <v>211</v>
      </c>
      <c r="P286" s="20" t="s">
        <v>212</v>
      </c>
      <c r="Q286" s="20" t="s">
        <v>213</v>
      </c>
      <c r="R286" s="20" t="s">
        <v>251</v>
      </c>
      <c r="S286" s="20" t="s">
        <v>252</v>
      </c>
      <c r="T286" s="20" t="s">
        <v>1190</v>
      </c>
      <c r="U286" s="20" t="s">
        <v>1191</v>
      </c>
      <c r="V286" s="20" t="s">
        <v>67</v>
      </c>
      <c r="W286" s="20" t="s">
        <v>68</v>
      </c>
      <c r="X286" s="20" t="s">
        <v>69</v>
      </c>
      <c r="Y286" s="20" t="s">
        <v>70</v>
      </c>
      <c r="Z286" s="20" t="s">
        <v>177</v>
      </c>
      <c r="AA286" s="20" t="s">
        <v>1882</v>
      </c>
      <c r="AB286" s="20" t="s">
        <v>1883</v>
      </c>
      <c r="AC286" s="20" t="s">
        <v>1883</v>
      </c>
      <c r="AD286" s="20" t="s">
        <v>1883</v>
      </c>
      <c r="AE286" s="20" t="s">
        <v>1884</v>
      </c>
      <c r="AF286" s="9" t="n">
        <v>0</v>
      </c>
      <c r="AG286" s="12" t="n">
        <v>0</v>
      </c>
      <c r="AH286" s="22" t="s">
        <v>219</v>
      </c>
      <c r="AI286" s="12" t="str">
        <f>IF(AH286="","",IFERROR(RIGHT("0000"&amp;AH286,4)&amp;" - "&amp;UPPER(_xlfn.XLOOKUP(RIGHT("0000"&amp;AH286,4),CODEBOOK_CAP!$C$2:$C$212,CODEBOOK_CAP!$D$2:$D$212)),"Código CAP não encontrado"))</f>
        <v>1002 - CARROS, TRÂNSITO, CONSTRUÇÃO E MANUTENÇÃO DE RUAS E ESTRADAS</v>
      </c>
      <c r="AJ286" s="12" t="str">
        <f>IF(AH286="","",IFERROR(_xlfn.XLOOKUP(RIGHT("0000"&amp;AH286,4),CODEBOOK_CAP!$C$2:$C$212,CODEBOOK_CAP!$E$2:$E$212),"Código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286" s="22" t="s">
        <v>79</v>
      </c>
      <c r="AL286" s="26" t="s">
        <v>1843</v>
      </c>
      <c r="AM286" s="22" t="s">
        <v>79</v>
      </c>
      <c r="AN286" s="22" t="s">
        <v>77</v>
      </c>
      <c r="AO286" s="12"/>
      <c r="AP286" s="22" t="s">
        <v>77</v>
      </c>
      <c r="AQ286" s="12"/>
      <c r="AR286" s="22" t="s">
        <v>79</v>
      </c>
      <c r="AS286" s="10" t="s">
        <v>1884</v>
      </c>
      <c r="AT286" s="2" t="s">
        <v>1814</v>
      </c>
      <c r="AU286" s="12" t="s">
        <v>83</v>
      </c>
      <c r="AV286" s="3" t="n">
        <v>46220</v>
      </c>
      <c r="AW286" s="21"/>
      <c r="AY286" s="1"/>
      <c r="BA286" s="1"/>
      <c r="BB286" s="1"/>
    </row>
    <row r="287" ht="120" customHeight="1">
      <c r="A287" s="20" t="s">
        <v>1885</v>
      </c>
      <c r="B287" s="20" t="n">
        <v>2023</v>
      </c>
      <c r="C287" s="20" t="n">
        <v>716</v>
      </c>
      <c r="D287" s="20" t="s">
        <v>50</v>
      </c>
      <c r="E287" s="20" t="s">
        <v>1886</v>
      </c>
      <c r="F287" s="20" t="s">
        <v>1887</v>
      </c>
      <c r="G287" s="20" t="s">
        <v>86</v>
      </c>
      <c r="H287" s="20" t="s">
        <v>1888</v>
      </c>
      <c r="I287" s="20"/>
      <c r="J287" s="20" t="s">
        <v>1889</v>
      </c>
      <c r="K287" s="20" t="s">
        <v>416</v>
      </c>
      <c r="L287" s="20" t="s">
        <v>57</v>
      </c>
      <c r="M287" s="20" t="s">
        <v>58</v>
      </c>
      <c r="N287" s="20" t="s">
        <v>59</v>
      </c>
      <c r="O287" s="20" t="s">
        <v>60</v>
      </c>
      <c r="P287" s="20" t="s">
        <v>89</v>
      </c>
      <c r="Q287" s="20" t="s">
        <v>90</v>
      </c>
      <c r="R287" s="20" t="s">
        <v>91</v>
      </c>
      <c r="S287" s="20" t="s">
        <v>92</v>
      </c>
      <c r="T287" s="20" t="s">
        <v>123</v>
      </c>
      <c r="U287" s="20" t="s">
        <v>124</v>
      </c>
      <c r="V287" s="20" t="s">
        <v>417</v>
      </c>
      <c r="W287" s="20" t="s">
        <v>96</v>
      </c>
      <c r="X287" s="20" t="s">
        <v>97</v>
      </c>
      <c r="Y287" s="20" t="s">
        <v>70</v>
      </c>
      <c r="Z287" s="20" t="s">
        <v>98</v>
      </c>
      <c r="AA287" s="20" t="s">
        <v>125</v>
      </c>
      <c r="AB287" s="20" t="s">
        <v>125</v>
      </c>
      <c r="AC287" s="20" t="s">
        <v>125</v>
      </c>
      <c r="AD287" s="20" t="s">
        <v>125</v>
      </c>
      <c r="AE287" s="20"/>
      <c r="AF287" s="9" t="n">
        <v>1</v>
      </c>
      <c r="AG287" s="12" t="n">
        <v>1</v>
      </c>
      <c r="AH287" s="22" t="s">
        <v>235</v>
      </c>
      <c r="AI287" s="12" t="str">
        <f>IF(AH287="","",IFERROR(RIGHT("0000"&amp;AH287,4)&amp;" - "&amp;UPPER(_xlfn.XLOOKUP(RIGHT("0000"&amp;AH287,4),CODEBOOK_CAP!$C$2:$C$212,CODEBOOK_CAP!$D$2:$D$212)),"Código CAP não encontrado"))</f>
        <v>0322 - ESTRUTURAS, HOSPITAIS, CLÍNICAS</v>
      </c>
      <c r="AJ287" s="12" t="str">
        <f>IF(AH287="","",IFERROR(_xlfn.XLOOKUP(RIGHT("0000"&amp;AH287,4),CODEBOOK_CAP!$C$2:$C$212,CODEBOOK_CAP!$E$2:$E$212),"Código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7" s="22" t="s">
        <v>77</v>
      </c>
      <c r="AL287" s="26"/>
      <c r="AM287" s="22" t="s">
        <v>79</v>
      </c>
      <c r="AN287" s="22" t="s">
        <v>79</v>
      </c>
      <c r="AO287" s="12" t="s">
        <v>1890</v>
      </c>
      <c r="AP287" s="22" t="s">
        <v>77</v>
      </c>
      <c r="AQ287" s="12"/>
      <c r="AR287" s="22" t="s">
        <v>77</v>
      </c>
      <c r="AS287" s="10"/>
      <c r="AT287" s="2" t="s">
        <v>1814</v>
      </c>
      <c r="AU287" s="12" t="s">
        <v>83</v>
      </c>
      <c r="AV287" s="3" t="n">
        <v>46220</v>
      </c>
      <c r="AW287" s="21"/>
      <c r="AY287" s="1"/>
      <c r="BA287" s="1"/>
      <c r="BB287" s="1"/>
    </row>
    <row r="288" ht="120" customHeight="1">
      <c r="A288" s="20" t="s">
        <v>1891</v>
      </c>
      <c r="B288" s="20" t="n">
        <v>2023</v>
      </c>
      <c r="C288" s="20" t="n">
        <v>717</v>
      </c>
      <c r="D288" s="20" t="s">
        <v>50</v>
      </c>
      <c r="E288" s="20" t="s">
        <v>1886</v>
      </c>
      <c r="F288" s="20" t="s">
        <v>1892</v>
      </c>
      <c r="G288" s="20" t="s">
        <v>86</v>
      </c>
      <c r="H288" s="20" t="s">
        <v>1888</v>
      </c>
      <c r="I288" s="20"/>
      <c r="J288" s="20" t="s">
        <v>1893</v>
      </c>
      <c r="K288" s="20" t="s">
        <v>122</v>
      </c>
      <c r="L288" s="20" t="s">
        <v>57</v>
      </c>
      <c r="M288" s="20" t="s">
        <v>58</v>
      </c>
      <c r="N288" s="20" t="s">
        <v>59</v>
      </c>
      <c r="O288" s="20" t="s">
        <v>60</v>
      </c>
      <c r="P288" s="20" t="s">
        <v>89</v>
      </c>
      <c r="Q288" s="20" t="s">
        <v>90</v>
      </c>
      <c r="R288" s="20" t="s">
        <v>91</v>
      </c>
      <c r="S288" s="20" t="s">
        <v>92</v>
      </c>
      <c r="T288" s="20" t="s">
        <v>123</v>
      </c>
      <c r="U288" s="20" t="s">
        <v>124</v>
      </c>
      <c r="V288" s="20" t="s">
        <v>95</v>
      </c>
      <c r="W288" s="20" t="s">
        <v>96</v>
      </c>
      <c r="X288" s="20" t="s">
        <v>97</v>
      </c>
      <c r="Y288" s="20" t="s">
        <v>70</v>
      </c>
      <c r="Z288" s="20" t="s">
        <v>98</v>
      </c>
      <c r="AA288" s="20" t="s">
        <v>125</v>
      </c>
      <c r="AB288" s="20" t="s">
        <v>125</v>
      </c>
      <c r="AC288" s="20" t="s">
        <v>125</v>
      </c>
      <c r="AD288" s="20" t="s">
        <v>125</v>
      </c>
      <c r="AE288" s="20"/>
      <c r="AF288" s="9" t="n">
        <v>1</v>
      </c>
      <c r="AG288" s="12" t="n">
        <v>1</v>
      </c>
      <c r="AH288" s="22" t="s">
        <v>235</v>
      </c>
      <c r="AI288" s="12" t="str">
        <f>IF(AH288="","",IFERROR(RIGHT("0000"&amp;AH288,4)&amp;" - "&amp;UPPER(_xlfn.XLOOKUP(RIGHT("0000"&amp;AH288,4),CODEBOOK_CAP!$C$2:$C$212,CODEBOOK_CAP!$D$2:$D$212)),"Código CAP não encontrado"))</f>
        <v>0322 - ESTRUTURAS, HOSPITAIS, CLÍNICAS</v>
      </c>
      <c r="AJ288" s="12" t="str">
        <f>IF(AH288="","",IFERROR(_xlfn.XLOOKUP(RIGHT("0000"&amp;AH288,4),CODEBOOK_CAP!$C$2:$C$212,CODEBOOK_CAP!$E$2:$E$212),"Código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8" s="22" t="s">
        <v>77</v>
      </c>
      <c r="AL288" s="26"/>
      <c r="AM288" s="22" t="s">
        <v>79</v>
      </c>
      <c r="AN288" s="22" t="s">
        <v>79</v>
      </c>
      <c r="AO288" s="12" t="s">
        <v>1894</v>
      </c>
      <c r="AP288" s="22" t="s">
        <v>77</v>
      </c>
      <c r="AQ288" s="12"/>
      <c r="AR288" s="22" t="s">
        <v>77</v>
      </c>
      <c r="AS288" s="10"/>
      <c r="AT288" s="2" t="s">
        <v>1814</v>
      </c>
      <c r="AU288" s="12" t="s">
        <v>83</v>
      </c>
      <c r="AV288" s="3" t="n">
        <v>46220</v>
      </c>
      <c r="AW288" s="21"/>
      <c r="AY288" s="1"/>
      <c r="BA288" s="1"/>
      <c r="BB288" s="1"/>
    </row>
    <row r="289" ht="120" customHeight="1">
      <c r="A289" s="20" t="s">
        <v>1895</v>
      </c>
      <c r="B289" s="20" t="n">
        <v>2023</v>
      </c>
      <c r="C289" s="20" t="n">
        <v>718</v>
      </c>
      <c r="D289" s="20" t="s">
        <v>50</v>
      </c>
      <c r="E289" s="20" t="s">
        <v>1886</v>
      </c>
      <c r="F289" s="20" t="s">
        <v>1896</v>
      </c>
      <c r="G289" s="20" t="s">
        <v>86</v>
      </c>
      <c r="H289" s="20" t="s">
        <v>1888</v>
      </c>
      <c r="I289" s="20"/>
      <c r="J289" s="20" t="s">
        <v>1897</v>
      </c>
      <c r="K289" s="20" t="s">
        <v>122</v>
      </c>
      <c r="L289" s="20" t="s">
        <v>57</v>
      </c>
      <c r="M289" s="20" t="s">
        <v>58</v>
      </c>
      <c r="N289" s="20" t="s">
        <v>59</v>
      </c>
      <c r="O289" s="20" t="s">
        <v>60</v>
      </c>
      <c r="P289" s="20" t="s">
        <v>89</v>
      </c>
      <c r="Q289" s="20" t="s">
        <v>90</v>
      </c>
      <c r="R289" s="20" t="s">
        <v>91</v>
      </c>
      <c r="S289" s="20" t="s">
        <v>92</v>
      </c>
      <c r="T289" s="20" t="s">
        <v>123</v>
      </c>
      <c r="U289" s="20" t="s">
        <v>124</v>
      </c>
      <c r="V289" s="20" t="s">
        <v>95</v>
      </c>
      <c r="W289" s="20" t="s">
        <v>96</v>
      </c>
      <c r="X289" s="20" t="s">
        <v>97</v>
      </c>
      <c r="Y289" s="20" t="s">
        <v>70</v>
      </c>
      <c r="Z289" s="20" t="s">
        <v>98</v>
      </c>
      <c r="AA289" s="20" t="s">
        <v>125</v>
      </c>
      <c r="AB289" s="20" t="s">
        <v>125</v>
      </c>
      <c r="AC289" s="20" t="s">
        <v>125</v>
      </c>
      <c r="AD289" s="20" t="s">
        <v>125</v>
      </c>
      <c r="AE289" s="20"/>
      <c r="AF289" s="9" t="n">
        <v>1</v>
      </c>
      <c r="AG289" s="12" t="n">
        <v>1</v>
      </c>
      <c r="AH289" s="22" t="s">
        <v>235</v>
      </c>
      <c r="AI289" s="12" t="str">
        <f>IF(AH289="","",IFERROR(RIGHT("0000"&amp;AH289,4)&amp;" - "&amp;UPPER(_xlfn.XLOOKUP(RIGHT("0000"&amp;AH289,4),CODEBOOK_CAP!$C$2:$C$212,CODEBOOK_CAP!$D$2:$D$212)),"Código CAP não encontrado"))</f>
        <v>0322 - ESTRUTURAS, HOSPITAIS, CLÍNICAS</v>
      </c>
      <c r="AJ289" s="12" t="str">
        <f>IF(AH289="","",IFERROR(_xlfn.XLOOKUP(RIGHT("0000"&amp;AH289,4),CODEBOOK_CAP!$C$2:$C$212,CODEBOOK_CAP!$E$2:$E$212),"Código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89" s="22" t="s">
        <v>77</v>
      </c>
      <c r="AL289" s="26"/>
      <c r="AM289" s="22" t="s">
        <v>79</v>
      </c>
      <c r="AN289" s="22" t="s">
        <v>79</v>
      </c>
      <c r="AO289" s="12" t="s">
        <v>981</v>
      </c>
      <c r="AP289" s="22" t="s">
        <v>77</v>
      </c>
      <c r="AQ289" s="12"/>
      <c r="AR289" s="22" t="s">
        <v>77</v>
      </c>
      <c r="AS289" s="10"/>
      <c r="AT289" s="2" t="s">
        <v>1814</v>
      </c>
      <c r="AU289" s="12" t="s">
        <v>83</v>
      </c>
      <c r="AV289" s="3" t="n">
        <v>46220</v>
      </c>
      <c r="AW289" s="21"/>
      <c r="AY289" s="1"/>
      <c r="BA289" s="1"/>
      <c r="BB289" s="1"/>
    </row>
    <row r="290" ht="150" customHeight="1">
      <c r="A290" s="20" t="s">
        <v>1898</v>
      </c>
      <c r="B290" s="20" t="n">
        <v>2023</v>
      </c>
      <c r="C290" s="20" t="n">
        <v>719</v>
      </c>
      <c r="D290" s="20" t="s">
        <v>50</v>
      </c>
      <c r="E290" s="20" t="s">
        <v>1886</v>
      </c>
      <c r="F290" s="20" t="s">
        <v>1899</v>
      </c>
      <c r="G290" s="20" t="s">
        <v>86</v>
      </c>
      <c r="H290" s="20" t="s">
        <v>1888</v>
      </c>
      <c r="I290" s="20"/>
      <c r="J290" s="20" t="s">
        <v>1900</v>
      </c>
      <c r="K290" s="20" t="s">
        <v>122</v>
      </c>
      <c r="L290" s="20" t="s">
        <v>57</v>
      </c>
      <c r="M290" s="20" t="s">
        <v>58</v>
      </c>
      <c r="N290" s="20" t="s">
        <v>59</v>
      </c>
      <c r="O290" s="20" t="s">
        <v>60</v>
      </c>
      <c r="P290" s="20" t="s">
        <v>89</v>
      </c>
      <c r="Q290" s="20" t="s">
        <v>90</v>
      </c>
      <c r="R290" s="20" t="s">
        <v>91</v>
      </c>
      <c r="S290" s="20" t="s">
        <v>92</v>
      </c>
      <c r="T290" s="20" t="s">
        <v>123</v>
      </c>
      <c r="U290" s="20" t="s">
        <v>124</v>
      </c>
      <c r="V290" s="20" t="s">
        <v>95</v>
      </c>
      <c r="W290" s="20" t="s">
        <v>96</v>
      </c>
      <c r="X290" s="20" t="s">
        <v>97</v>
      </c>
      <c r="Y290" s="20" t="s">
        <v>70</v>
      </c>
      <c r="Z290" s="20" t="s">
        <v>98</v>
      </c>
      <c r="AA290" s="20" t="s">
        <v>125</v>
      </c>
      <c r="AB290" s="20" t="s">
        <v>125</v>
      </c>
      <c r="AC290" s="20" t="s">
        <v>125</v>
      </c>
      <c r="AD290" s="20" t="s">
        <v>125</v>
      </c>
      <c r="AE290" s="20"/>
      <c r="AF290" s="9" t="n">
        <v>1</v>
      </c>
      <c r="AG290" s="12" t="n">
        <v>1</v>
      </c>
      <c r="AH290" s="22" t="s">
        <v>620</v>
      </c>
      <c r="AI290" s="12" t="str">
        <f>IF(AH290="","",IFERROR(RIGHT("0000"&amp;AH290,4)&amp;" - "&amp;UPPER(_xlfn.XLOOKUP(RIGHT("0000"&amp;AH290,4),CODEBOOK_CAP!$C$2:$C$212,CODEBOOK_CAP!$D$2:$D$212)),"Código CAP não encontrado"))</f>
        <v>0332 - SAÚDE INFANTIL, GRAVIDEZ E PRÉ-NATAL</v>
      </c>
      <c r="AJ290" s="12" t="str">
        <f>IF(AH290="","",IFERROR(_xlfn.XLOOKUP(RIGHT("0000"&amp;AH290,4),CODEBOOK_CAP!$C$2:$C$212,CODEBOOK_CAP!$E$2:$E$212),"Código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290" s="22" t="s">
        <v>77</v>
      </c>
      <c r="AL290" s="26"/>
      <c r="AM290" s="22" t="s">
        <v>79</v>
      </c>
      <c r="AN290" s="22" t="s">
        <v>79</v>
      </c>
      <c r="AO290" s="12" t="s">
        <v>1901</v>
      </c>
      <c r="AP290" s="22" t="s">
        <v>79</v>
      </c>
      <c r="AQ290" s="12" t="s">
        <v>622</v>
      </c>
      <c r="AR290" s="22" t="s">
        <v>77</v>
      </c>
      <c r="AS290" s="10"/>
      <c r="AT290" s="2" t="s">
        <v>1814</v>
      </c>
      <c r="AU290" s="12" t="s">
        <v>83</v>
      </c>
      <c r="AV290" s="3" t="n">
        <v>46220</v>
      </c>
      <c r="AW290" s="21"/>
      <c r="AY290" s="1"/>
      <c r="BA290" s="1"/>
      <c r="BB290" s="1"/>
    </row>
    <row r="291" ht="120" customHeight="1">
      <c r="A291" s="20" t="s">
        <v>1902</v>
      </c>
      <c r="B291" s="20" t="n">
        <v>2023</v>
      </c>
      <c r="C291" s="20" t="n">
        <v>720</v>
      </c>
      <c r="D291" s="20" t="s">
        <v>50</v>
      </c>
      <c r="E291" s="20" t="s">
        <v>1886</v>
      </c>
      <c r="F291" s="20" t="s">
        <v>1903</v>
      </c>
      <c r="G291" s="20" t="s">
        <v>86</v>
      </c>
      <c r="H291" s="20" t="s">
        <v>1888</v>
      </c>
      <c r="I291" s="20"/>
      <c r="J291" s="20" t="s">
        <v>1904</v>
      </c>
      <c r="K291" s="20" t="s">
        <v>122</v>
      </c>
      <c r="L291" s="20" t="s">
        <v>57</v>
      </c>
      <c r="M291" s="20" t="s">
        <v>58</v>
      </c>
      <c r="N291" s="20" t="s">
        <v>59</v>
      </c>
      <c r="O291" s="20" t="s">
        <v>60</v>
      </c>
      <c r="P291" s="20" t="s">
        <v>89</v>
      </c>
      <c r="Q291" s="20" t="s">
        <v>90</v>
      </c>
      <c r="R291" s="20" t="s">
        <v>91</v>
      </c>
      <c r="S291" s="20" t="s">
        <v>92</v>
      </c>
      <c r="T291" s="20" t="s">
        <v>123</v>
      </c>
      <c r="U291" s="20" t="s">
        <v>124</v>
      </c>
      <c r="V291" s="20" t="s">
        <v>95</v>
      </c>
      <c r="W291" s="20" t="s">
        <v>96</v>
      </c>
      <c r="X291" s="20" t="s">
        <v>97</v>
      </c>
      <c r="Y291" s="20" t="s">
        <v>70</v>
      </c>
      <c r="Z291" s="20" t="s">
        <v>98</v>
      </c>
      <c r="AA291" s="20" t="s">
        <v>1905</v>
      </c>
      <c r="AB291" s="20" t="s">
        <v>1905</v>
      </c>
      <c r="AC291" s="20" t="s">
        <v>1905</v>
      </c>
      <c r="AD291" s="20" t="s">
        <v>1905</v>
      </c>
      <c r="AE291" s="20"/>
      <c r="AF291" s="9" t="n">
        <v>1</v>
      </c>
      <c r="AG291" s="12" t="n">
        <v>1</v>
      </c>
      <c r="AH291" s="22" t="s">
        <v>235</v>
      </c>
      <c r="AI291" s="12" t="str">
        <f>IF(AH291="","",IFERROR(RIGHT("0000"&amp;AH291,4)&amp;" - "&amp;UPPER(_xlfn.XLOOKUP(RIGHT("0000"&amp;AH291,4),CODEBOOK_CAP!$C$2:$C$212,CODEBOOK_CAP!$D$2:$D$212)),"Código CAP não encontrado"))</f>
        <v>0322 - ESTRUTURAS, HOSPITAIS, CLÍNICAS</v>
      </c>
      <c r="AJ291" s="12" t="str">
        <f>IF(AH291="","",IFERROR(_xlfn.XLOOKUP(RIGHT("0000"&amp;AH291,4),CODEBOOK_CAP!$C$2:$C$212,CODEBOOK_CAP!$E$2:$E$212),"Código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1" s="22" t="s">
        <v>77</v>
      </c>
      <c r="AL291" s="26"/>
      <c r="AM291" s="22" t="s">
        <v>79</v>
      </c>
      <c r="AN291" s="22" t="s">
        <v>79</v>
      </c>
      <c r="AO291" s="12" t="s">
        <v>1906</v>
      </c>
      <c r="AP291" s="22" t="s">
        <v>77</v>
      </c>
      <c r="AQ291" s="12"/>
      <c r="AR291" s="22" t="s">
        <v>77</v>
      </c>
      <c r="AS291" s="10"/>
      <c r="AT291" s="2" t="s">
        <v>1814</v>
      </c>
      <c r="AU291" s="12" t="s">
        <v>83</v>
      </c>
      <c r="AV291" s="3" t="n">
        <v>46220</v>
      </c>
      <c r="AW291" s="21"/>
      <c r="AY291" s="1"/>
      <c r="BA291" s="1"/>
      <c r="BB291" s="1"/>
    </row>
    <row r="292" ht="120" customHeight="1">
      <c r="A292" s="20" t="s">
        <v>1907</v>
      </c>
      <c r="B292" s="20" t="n">
        <v>2023</v>
      </c>
      <c r="C292" s="20" t="n">
        <v>721</v>
      </c>
      <c r="D292" s="20" t="s">
        <v>50</v>
      </c>
      <c r="E292" s="20" t="s">
        <v>1886</v>
      </c>
      <c r="F292" s="20" t="s">
        <v>1908</v>
      </c>
      <c r="G292" s="20" t="s">
        <v>86</v>
      </c>
      <c r="H292" s="20" t="s">
        <v>1888</v>
      </c>
      <c r="I292" s="20"/>
      <c r="J292" s="20" t="s">
        <v>1909</v>
      </c>
      <c r="K292" s="20" t="s">
        <v>122</v>
      </c>
      <c r="L292" s="20" t="s">
        <v>57</v>
      </c>
      <c r="M292" s="20" t="s">
        <v>58</v>
      </c>
      <c r="N292" s="20" t="s">
        <v>59</v>
      </c>
      <c r="O292" s="20" t="s">
        <v>60</v>
      </c>
      <c r="P292" s="20" t="s">
        <v>89</v>
      </c>
      <c r="Q292" s="20" t="s">
        <v>90</v>
      </c>
      <c r="R292" s="20" t="s">
        <v>91</v>
      </c>
      <c r="S292" s="20" t="s">
        <v>92</v>
      </c>
      <c r="T292" s="20" t="s">
        <v>123</v>
      </c>
      <c r="U292" s="20" t="s">
        <v>124</v>
      </c>
      <c r="V292" s="20" t="s">
        <v>95</v>
      </c>
      <c r="W292" s="20" t="s">
        <v>96</v>
      </c>
      <c r="X292" s="20" t="s">
        <v>97</v>
      </c>
      <c r="Y292" s="20" t="s">
        <v>70</v>
      </c>
      <c r="Z292" s="20" t="s">
        <v>98</v>
      </c>
      <c r="AA292" s="20" t="s">
        <v>125</v>
      </c>
      <c r="AB292" s="20" t="s">
        <v>125</v>
      </c>
      <c r="AC292" s="20" t="s">
        <v>125</v>
      </c>
      <c r="AD292" s="20" t="s">
        <v>125</v>
      </c>
      <c r="AE292" s="20"/>
      <c r="AF292" s="9" t="n">
        <v>1</v>
      </c>
      <c r="AG292" s="12" t="n">
        <v>1</v>
      </c>
      <c r="AH292" s="22" t="s">
        <v>235</v>
      </c>
      <c r="AI292" s="12" t="str">
        <f>IF(AH292="","",IFERROR(RIGHT("0000"&amp;AH292,4)&amp;" - "&amp;UPPER(_xlfn.XLOOKUP(RIGHT("0000"&amp;AH292,4),CODEBOOK_CAP!$C$2:$C$212,CODEBOOK_CAP!$D$2:$D$212)),"Código CAP não encontrado"))</f>
        <v>0322 - ESTRUTURAS, HOSPITAIS, CLÍNICAS</v>
      </c>
      <c r="AJ292" s="12" t="str">
        <f>IF(AH292="","",IFERROR(_xlfn.XLOOKUP(RIGHT("0000"&amp;AH292,4),CODEBOOK_CAP!$C$2:$C$212,CODEBOOK_CAP!$E$2:$E$212),"Código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2" s="22" t="s">
        <v>77</v>
      </c>
      <c r="AL292" s="26"/>
      <c r="AM292" s="22" t="s">
        <v>79</v>
      </c>
      <c r="AN292" s="22" t="s">
        <v>79</v>
      </c>
      <c r="AO292" s="12" t="s">
        <v>1854</v>
      </c>
      <c r="AP292" s="22" t="s">
        <v>77</v>
      </c>
      <c r="AQ292" s="12"/>
      <c r="AR292" s="22" t="s">
        <v>77</v>
      </c>
      <c r="AS292" s="10"/>
      <c r="AT292" s="2" t="s">
        <v>1814</v>
      </c>
      <c r="AU292" s="12" t="s">
        <v>83</v>
      </c>
      <c r="AV292" s="3" t="n">
        <v>46220</v>
      </c>
      <c r="AW292" s="21"/>
      <c r="AY292" s="1"/>
      <c r="BA292" s="1"/>
      <c r="BB292" s="1"/>
    </row>
    <row r="293" ht="120" customHeight="1">
      <c r="A293" s="20" t="s">
        <v>1910</v>
      </c>
      <c r="B293" s="20" t="n">
        <v>2023</v>
      </c>
      <c r="C293" s="20" t="n">
        <v>722</v>
      </c>
      <c r="D293" s="20" t="s">
        <v>50</v>
      </c>
      <c r="E293" s="20" t="s">
        <v>1886</v>
      </c>
      <c r="F293" s="20" t="s">
        <v>1911</v>
      </c>
      <c r="G293" s="20" t="s">
        <v>86</v>
      </c>
      <c r="H293" s="20" t="s">
        <v>1888</v>
      </c>
      <c r="I293" s="20"/>
      <c r="J293" s="20" t="s">
        <v>1912</v>
      </c>
      <c r="K293" s="20" t="s">
        <v>122</v>
      </c>
      <c r="L293" s="20" t="s">
        <v>57</v>
      </c>
      <c r="M293" s="20" t="s">
        <v>58</v>
      </c>
      <c r="N293" s="20" t="s">
        <v>59</v>
      </c>
      <c r="O293" s="20" t="s">
        <v>60</v>
      </c>
      <c r="P293" s="20" t="s">
        <v>89</v>
      </c>
      <c r="Q293" s="20" t="s">
        <v>90</v>
      </c>
      <c r="R293" s="20" t="s">
        <v>91</v>
      </c>
      <c r="S293" s="20" t="s">
        <v>92</v>
      </c>
      <c r="T293" s="20" t="s">
        <v>123</v>
      </c>
      <c r="U293" s="20" t="s">
        <v>124</v>
      </c>
      <c r="V293" s="20" t="s">
        <v>95</v>
      </c>
      <c r="W293" s="20" t="s">
        <v>96</v>
      </c>
      <c r="X293" s="20" t="s">
        <v>97</v>
      </c>
      <c r="Y293" s="20" t="s">
        <v>70</v>
      </c>
      <c r="Z293" s="20" t="s">
        <v>98</v>
      </c>
      <c r="AA293" s="20" t="s">
        <v>125</v>
      </c>
      <c r="AB293" s="20" t="s">
        <v>125</v>
      </c>
      <c r="AC293" s="20" t="s">
        <v>125</v>
      </c>
      <c r="AD293" s="20" t="s">
        <v>125</v>
      </c>
      <c r="AE293" s="20"/>
      <c r="AF293" s="9" t="n">
        <v>1</v>
      </c>
      <c r="AG293" s="12" t="n">
        <v>1</v>
      </c>
      <c r="AH293" s="22" t="s">
        <v>235</v>
      </c>
      <c r="AI293" s="12" t="str">
        <f>IF(AH293="","",IFERROR(RIGHT("0000"&amp;AH293,4)&amp;" - "&amp;UPPER(_xlfn.XLOOKUP(RIGHT("0000"&amp;AH293,4),CODEBOOK_CAP!$C$2:$C$212,CODEBOOK_CAP!$D$2:$D$212)),"Código CAP não encontrado"))</f>
        <v>0322 - ESTRUTURAS, HOSPITAIS, CLÍNICAS</v>
      </c>
      <c r="AJ293" s="12" t="str">
        <f>IF(AH293="","",IFERROR(_xlfn.XLOOKUP(RIGHT("0000"&amp;AH293,4),CODEBOOK_CAP!$C$2:$C$212,CODEBOOK_CAP!$E$2:$E$212),"Código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3" s="22" t="s">
        <v>77</v>
      </c>
      <c r="AL293" s="26"/>
      <c r="AM293" s="22" t="s">
        <v>79</v>
      </c>
      <c r="AN293" s="22" t="s">
        <v>79</v>
      </c>
      <c r="AO293" s="12" t="s">
        <v>840</v>
      </c>
      <c r="AP293" s="22" t="s">
        <v>77</v>
      </c>
      <c r="AQ293" s="12"/>
      <c r="AR293" s="22" t="s">
        <v>77</v>
      </c>
      <c r="AS293" s="10"/>
      <c r="AT293" s="2" t="s">
        <v>1814</v>
      </c>
      <c r="AU293" s="12" t="s">
        <v>83</v>
      </c>
      <c r="AV293" s="3" t="n">
        <v>46220</v>
      </c>
      <c r="AW293" s="21"/>
      <c r="AY293" s="1"/>
      <c r="BA293" s="1"/>
      <c r="BB293" s="1"/>
    </row>
    <row r="294" ht="120" customHeight="1">
      <c r="A294" s="20" t="s">
        <v>1913</v>
      </c>
      <c r="B294" s="20" t="n">
        <v>2023</v>
      </c>
      <c r="C294" s="20" t="n">
        <v>723</v>
      </c>
      <c r="D294" s="20" t="s">
        <v>50</v>
      </c>
      <c r="E294" s="20" t="s">
        <v>1886</v>
      </c>
      <c r="F294" s="20" t="s">
        <v>1914</v>
      </c>
      <c r="G294" s="20" t="s">
        <v>86</v>
      </c>
      <c r="H294" s="20" t="s">
        <v>1888</v>
      </c>
      <c r="I294" s="20"/>
      <c r="J294" s="20" t="s">
        <v>1915</v>
      </c>
      <c r="K294" s="20" t="s">
        <v>441</v>
      </c>
      <c r="L294" s="20" t="s">
        <v>57</v>
      </c>
      <c r="M294" s="20" t="s">
        <v>58</v>
      </c>
      <c r="N294" s="20" t="s">
        <v>59</v>
      </c>
      <c r="O294" s="20" t="s">
        <v>60</v>
      </c>
      <c r="P294" s="20" t="s">
        <v>89</v>
      </c>
      <c r="Q294" s="20" t="s">
        <v>90</v>
      </c>
      <c r="R294" s="20" t="s">
        <v>91</v>
      </c>
      <c r="S294" s="20" t="s">
        <v>92</v>
      </c>
      <c r="T294" s="20" t="s">
        <v>341</v>
      </c>
      <c r="U294" s="20" t="s">
        <v>342</v>
      </c>
      <c r="V294" s="20" t="s">
        <v>95</v>
      </c>
      <c r="W294" s="20" t="s">
        <v>96</v>
      </c>
      <c r="X294" s="20" t="s">
        <v>97</v>
      </c>
      <c r="Y294" s="20" t="s">
        <v>70</v>
      </c>
      <c r="Z294" s="20" t="s">
        <v>98</v>
      </c>
      <c r="AA294" s="20" t="s">
        <v>160</v>
      </c>
      <c r="AB294" s="20" t="s">
        <v>1916</v>
      </c>
      <c r="AC294" s="20" t="s">
        <v>1916</v>
      </c>
      <c r="AD294" s="20" t="s">
        <v>1916</v>
      </c>
      <c r="AE294" s="20"/>
      <c r="AF294" s="9" t="n">
        <v>1</v>
      </c>
      <c r="AG294" s="12" t="n">
        <v>1</v>
      </c>
      <c r="AH294" s="22" t="s">
        <v>235</v>
      </c>
      <c r="AI294" s="12" t="str">
        <f>IF(AH294="","",IFERROR(RIGHT("0000"&amp;AH294,4)&amp;" - "&amp;UPPER(_xlfn.XLOOKUP(RIGHT("0000"&amp;AH294,4),CODEBOOK_CAP!$C$2:$C$212,CODEBOOK_CAP!$D$2:$D$212)),"Código CAP não encontrado"))</f>
        <v>0322 - ESTRUTURAS, HOSPITAIS, CLÍNICAS</v>
      </c>
      <c r="AJ294" s="12" t="str">
        <f>IF(AH294="","",IFERROR(_xlfn.XLOOKUP(RIGHT("0000"&amp;AH294,4),CODEBOOK_CAP!$C$2:$C$212,CODEBOOK_CAP!$E$2:$E$212),"Código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4" s="22" t="s">
        <v>77</v>
      </c>
      <c r="AL294" s="26"/>
      <c r="AM294" s="22" t="s">
        <v>79</v>
      </c>
      <c r="AN294" s="22" t="s">
        <v>79</v>
      </c>
      <c r="AO294" s="12" t="s">
        <v>1917</v>
      </c>
      <c r="AP294" s="22" t="s">
        <v>77</v>
      </c>
      <c r="AQ294" s="12"/>
      <c r="AR294" s="22" t="s">
        <v>77</v>
      </c>
      <c r="AS294" s="10"/>
      <c r="AT294" s="2" t="s">
        <v>1814</v>
      </c>
      <c r="AU294" s="12" t="s">
        <v>83</v>
      </c>
      <c r="AV294" s="3" t="n">
        <v>46220</v>
      </c>
      <c r="AW294" s="21"/>
      <c r="AY294" s="1"/>
      <c r="BA294" s="1"/>
      <c r="BB294" s="1"/>
    </row>
    <row r="295" ht="120" customHeight="1">
      <c r="A295" s="20" t="s">
        <v>1918</v>
      </c>
      <c r="B295" s="20" t="n">
        <v>2023</v>
      </c>
      <c r="C295" s="20" t="n">
        <v>724</v>
      </c>
      <c r="D295" s="20" t="s">
        <v>50</v>
      </c>
      <c r="E295" s="20" t="s">
        <v>1886</v>
      </c>
      <c r="F295" s="20" t="s">
        <v>1700</v>
      </c>
      <c r="G295" s="20" t="s">
        <v>315</v>
      </c>
      <c r="H295" s="20" t="s">
        <v>1888</v>
      </c>
      <c r="I295" s="20"/>
      <c r="J295" s="20" t="s">
        <v>1919</v>
      </c>
      <c r="K295" s="20" t="s">
        <v>56</v>
      </c>
      <c r="L295" s="20" t="s">
        <v>57</v>
      </c>
      <c r="M295" s="20" t="s">
        <v>58</v>
      </c>
      <c r="N295" s="20" t="s">
        <v>59</v>
      </c>
      <c r="O295" s="20" t="s">
        <v>60</v>
      </c>
      <c r="P295" s="20" t="s">
        <v>61</v>
      </c>
      <c r="Q295" s="20" t="s">
        <v>62</v>
      </c>
      <c r="R295" s="20" t="s">
        <v>63</v>
      </c>
      <c r="S295" s="20" t="s">
        <v>64</v>
      </c>
      <c r="T295" s="20" t="s">
        <v>65</v>
      </c>
      <c r="U295" s="20" t="s">
        <v>66</v>
      </c>
      <c r="V295" s="20" t="s">
        <v>67</v>
      </c>
      <c r="W295" s="20" t="s">
        <v>68</v>
      </c>
      <c r="X295" s="20" t="s">
        <v>69</v>
      </c>
      <c r="Y295" s="20" t="s">
        <v>70</v>
      </c>
      <c r="Z295" s="20" t="s">
        <v>71</v>
      </c>
      <c r="AA295" s="20" t="s">
        <v>160</v>
      </c>
      <c r="AB295" s="20" t="s">
        <v>1702</v>
      </c>
      <c r="AC295" s="20" t="s">
        <v>1702</v>
      </c>
      <c r="AD295" s="20" t="s">
        <v>1702</v>
      </c>
      <c r="AE295" s="20" t="s">
        <v>1703</v>
      </c>
      <c r="AF295" s="9" t="n">
        <v>1</v>
      </c>
      <c r="AG295" s="12" t="n">
        <v>1</v>
      </c>
      <c r="AH295" s="22" t="s">
        <v>235</v>
      </c>
      <c r="AI295" s="12" t="str">
        <f>IF(AH295="","",IFERROR(RIGHT("0000"&amp;AH295,4)&amp;" - "&amp;UPPER(_xlfn.XLOOKUP(RIGHT("0000"&amp;AH295,4),CODEBOOK_CAP!$C$2:$C$212,CODEBOOK_CAP!$D$2:$D$212)),"Código CAP não encontrado"))</f>
        <v>0322 - ESTRUTURAS, HOSPITAIS, CLÍNICAS</v>
      </c>
      <c r="AJ295" s="12" t="str">
        <f>IF(AH295="","",IFERROR(_xlfn.XLOOKUP(RIGHT("0000"&amp;AH295,4),CODEBOOK_CAP!$C$2:$C$212,CODEBOOK_CAP!$E$2:$E$212),"Código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5" s="22" t="s">
        <v>77</v>
      </c>
      <c r="AL295" s="26"/>
      <c r="AM295" s="22" t="s">
        <v>79</v>
      </c>
      <c r="AN295" s="22" t="s">
        <v>79</v>
      </c>
      <c r="AO295" s="12" t="s">
        <v>1920</v>
      </c>
      <c r="AP295" s="22" t="s">
        <v>77</v>
      </c>
      <c r="AQ295" s="12"/>
      <c r="AR295" s="22" t="s">
        <v>79</v>
      </c>
      <c r="AS295" s="10" t="s">
        <v>1703</v>
      </c>
      <c r="AT295" s="2" t="s">
        <v>1814</v>
      </c>
      <c r="AU295" s="12" t="s">
        <v>83</v>
      </c>
      <c r="AV295" s="3" t="n">
        <v>46220</v>
      </c>
      <c r="AW295" s="21"/>
      <c r="AY295" s="1"/>
      <c r="BA295" s="1"/>
      <c r="BB295" s="1"/>
    </row>
    <row r="296" ht="120" customHeight="1">
      <c r="A296" s="20" t="s">
        <v>1921</v>
      </c>
      <c r="B296" s="20" t="n">
        <v>2023</v>
      </c>
      <c r="C296" s="20" t="n">
        <v>725</v>
      </c>
      <c r="D296" s="20" t="s">
        <v>50</v>
      </c>
      <c r="E296" s="20" t="s">
        <v>1886</v>
      </c>
      <c r="F296" s="20" t="s">
        <v>1922</v>
      </c>
      <c r="G296" s="20" t="s">
        <v>86</v>
      </c>
      <c r="H296" s="20" t="s">
        <v>1888</v>
      </c>
      <c r="I296" s="20"/>
      <c r="J296" s="20" t="s">
        <v>1923</v>
      </c>
      <c r="K296" s="20" t="s">
        <v>416</v>
      </c>
      <c r="L296" s="20" t="s">
        <v>57</v>
      </c>
      <c r="M296" s="20" t="s">
        <v>58</v>
      </c>
      <c r="N296" s="20" t="s">
        <v>59</v>
      </c>
      <c r="O296" s="20" t="s">
        <v>60</v>
      </c>
      <c r="P296" s="20" t="s">
        <v>89</v>
      </c>
      <c r="Q296" s="20" t="s">
        <v>90</v>
      </c>
      <c r="R296" s="20" t="s">
        <v>91</v>
      </c>
      <c r="S296" s="20" t="s">
        <v>92</v>
      </c>
      <c r="T296" s="20" t="s">
        <v>123</v>
      </c>
      <c r="U296" s="20" t="s">
        <v>124</v>
      </c>
      <c r="V296" s="20" t="s">
        <v>417</v>
      </c>
      <c r="W296" s="20" t="s">
        <v>96</v>
      </c>
      <c r="X296" s="20" t="s">
        <v>97</v>
      </c>
      <c r="Y296" s="20" t="s">
        <v>70</v>
      </c>
      <c r="Z296" s="20" t="s">
        <v>98</v>
      </c>
      <c r="AA296" s="20" t="s">
        <v>160</v>
      </c>
      <c r="AB296" s="20" t="s">
        <v>160</v>
      </c>
      <c r="AC296" s="20" t="s">
        <v>160</v>
      </c>
      <c r="AD296" s="20" t="s">
        <v>160</v>
      </c>
      <c r="AE296" s="20"/>
      <c r="AF296" s="9" t="n">
        <v>1</v>
      </c>
      <c r="AG296" s="12" t="n">
        <v>1</v>
      </c>
      <c r="AH296" s="22" t="s">
        <v>235</v>
      </c>
      <c r="AI296" s="12" t="str">
        <f>IF(AH296="","",IFERROR(RIGHT("0000"&amp;AH296,4)&amp;" - "&amp;UPPER(_xlfn.XLOOKUP(RIGHT("0000"&amp;AH296,4),CODEBOOK_CAP!$C$2:$C$212,CODEBOOK_CAP!$D$2:$D$212)),"Código CAP não encontrado"))</f>
        <v>0322 - ESTRUTURAS, HOSPITAIS, CLÍNICAS</v>
      </c>
      <c r="AJ296" s="12" t="str">
        <f>IF(AH296="","",IFERROR(_xlfn.XLOOKUP(RIGHT("0000"&amp;AH296,4),CODEBOOK_CAP!$C$2:$C$212,CODEBOOK_CAP!$E$2:$E$212),"Código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296" s="22" t="s">
        <v>77</v>
      </c>
      <c r="AL296" s="26"/>
      <c r="AM296" s="22" t="s">
        <v>79</v>
      </c>
      <c r="AN296" s="22" t="s">
        <v>79</v>
      </c>
      <c r="AO296" s="12" t="s">
        <v>1924</v>
      </c>
      <c r="AP296" s="22" t="s">
        <v>77</v>
      </c>
      <c r="AQ296" s="12"/>
      <c r="AR296" s="22" t="s">
        <v>77</v>
      </c>
      <c r="AS296" s="10"/>
      <c r="AT296" s="2" t="s">
        <v>1814</v>
      </c>
      <c r="AU296" s="12" t="s">
        <v>83</v>
      </c>
      <c r="AV296" s="3" t="n">
        <v>46220</v>
      </c>
      <c r="AW296" s="21"/>
      <c r="AY296" s="1"/>
      <c r="BA296" s="1"/>
      <c r="BB296" s="1"/>
    </row>
    <row r="297" ht="195" customHeight="1">
      <c r="A297" s="20" t="s">
        <v>1925</v>
      </c>
      <c r="B297" s="20" t="n">
        <v>2023</v>
      </c>
      <c r="C297" s="20" t="n">
        <v>726</v>
      </c>
      <c r="D297" s="20" t="s">
        <v>50</v>
      </c>
      <c r="E297" s="20" t="s">
        <v>1886</v>
      </c>
      <c r="F297" s="20" t="s">
        <v>1926</v>
      </c>
      <c r="G297" s="20" t="s">
        <v>315</v>
      </c>
      <c r="H297" s="20" t="s">
        <v>1888</v>
      </c>
      <c r="I297" s="20"/>
      <c r="J297" s="20" t="s">
        <v>1927</v>
      </c>
      <c r="K297" s="20" t="s">
        <v>1867</v>
      </c>
      <c r="L297" s="20" t="s">
        <v>166</v>
      </c>
      <c r="M297" s="20" t="s">
        <v>167</v>
      </c>
      <c r="N297" s="20" t="s">
        <v>168</v>
      </c>
      <c r="O297" s="20" t="s">
        <v>169</v>
      </c>
      <c r="P297" s="20" t="s">
        <v>170</v>
      </c>
      <c r="Q297" s="20" t="s">
        <v>171</v>
      </c>
      <c r="R297" s="20" t="s">
        <v>1868</v>
      </c>
      <c r="S297" s="20" t="s">
        <v>1869</v>
      </c>
      <c r="T297" s="20" t="s">
        <v>1870</v>
      </c>
      <c r="U297" s="20" t="s">
        <v>1871</v>
      </c>
      <c r="V297" s="20" t="s">
        <v>67</v>
      </c>
      <c r="W297" s="20" t="s">
        <v>68</v>
      </c>
      <c r="X297" s="20" t="s">
        <v>69</v>
      </c>
      <c r="Y297" s="20" t="s">
        <v>70</v>
      </c>
      <c r="Z297" s="20" t="s">
        <v>177</v>
      </c>
      <c r="AA297" s="20" t="s">
        <v>1928</v>
      </c>
      <c r="AB297" s="20" t="s">
        <v>1929</v>
      </c>
      <c r="AC297" s="20" t="s">
        <v>1930</v>
      </c>
      <c r="AD297" s="20" t="s">
        <v>1930</v>
      </c>
      <c r="AE297" s="20" t="s">
        <v>1931</v>
      </c>
      <c r="AF297" s="9" t="n">
        <v>0</v>
      </c>
      <c r="AG297" s="12" t="n">
        <v>0</v>
      </c>
      <c r="AH297" s="22" t="s">
        <v>294</v>
      </c>
      <c r="AI297" s="12" t="str">
        <f>IF(AH297="","",IFERROR(RIGHT("0000"&amp;AH297,4)&amp;" - "&amp;UPPER(_xlfn.XLOOKUP(RIGHT("0000"&amp;AH297,4),CODEBOOK_CAP!$C$2:$C$212,CODEBOOK_CAP!$D$2:$D$212)),"Código CAP não encontrado"))</f>
        <v>0711 - CONSERVAÇÃO DO SOLO, MAR, RIOS, PRAIAS E COSTAS</v>
      </c>
      <c r="AJ297" s="12" t="str">
        <f>IF(AH297="","",IFERROR(_xlfn.XLOOKUP(RIGHT("0000"&amp;AH297,4),CODEBOOK_CAP!$C$2:$C$212,CODEBOOK_CAP!$E$2:$E$212),"Código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297" s="22" t="s">
        <v>79</v>
      </c>
      <c r="AL297" s="26" t="s">
        <v>1932</v>
      </c>
      <c r="AM297" s="22" t="s">
        <v>79</v>
      </c>
      <c r="AN297" s="22" t="s">
        <v>79</v>
      </c>
      <c r="AO297" s="12" t="s">
        <v>1932</v>
      </c>
      <c r="AP297" s="22" t="s">
        <v>77</v>
      </c>
      <c r="AQ297" s="12"/>
      <c r="AR297" s="22" t="s">
        <v>79</v>
      </c>
      <c r="AS297" s="10" t="s">
        <v>1931</v>
      </c>
      <c r="AT297" s="2" t="s">
        <v>1814</v>
      </c>
      <c r="AU297" s="12" t="s">
        <v>83</v>
      </c>
      <c r="AV297" s="3" t="n">
        <v>46220</v>
      </c>
      <c r="AW297" s="21"/>
      <c r="AY297" s="1"/>
      <c r="BA297" s="1"/>
      <c r="BB297" s="1"/>
    </row>
    <row r="298" ht="75" customHeight="1">
      <c r="A298" s="20" t="s">
        <v>1933</v>
      </c>
      <c r="B298" s="20" t="n">
        <v>2023</v>
      </c>
      <c r="C298" s="20" t="n">
        <v>727</v>
      </c>
      <c r="D298" s="20" t="s">
        <v>50</v>
      </c>
      <c r="E298" s="20" t="s">
        <v>1886</v>
      </c>
      <c r="F298" s="20" t="s">
        <v>1934</v>
      </c>
      <c r="G298" s="20" t="s">
        <v>86</v>
      </c>
      <c r="H298" s="20" t="s">
        <v>1888</v>
      </c>
      <c r="I298" s="20"/>
      <c r="J298" s="20" t="s">
        <v>1935</v>
      </c>
      <c r="K298" s="20" t="s">
        <v>721</v>
      </c>
      <c r="L298" s="20" t="s">
        <v>722</v>
      </c>
      <c r="M298" s="20" t="s">
        <v>723</v>
      </c>
      <c r="N298" s="20" t="s">
        <v>724</v>
      </c>
      <c r="O298" s="20" t="s">
        <v>725</v>
      </c>
      <c r="P298" s="20" t="s">
        <v>61</v>
      </c>
      <c r="Q298" s="20" t="s">
        <v>62</v>
      </c>
      <c r="R298" s="20" t="s">
        <v>726</v>
      </c>
      <c r="S298" s="20" t="s">
        <v>727</v>
      </c>
      <c r="T298" s="20" t="s">
        <v>728</v>
      </c>
      <c r="U298" s="20" t="s">
        <v>729</v>
      </c>
      <c r="V298" s="20" t="s">
        <v>95</v>
      </c>
      <c r="W298" s="20" t="s">
        <v>96</v>
      </c>
      <c r="X298" s="20" t="s">
        <v>97</v>
      </c>
      <c r="Y298" s="20" t="s">
        <v>70</v>
      </c>
      <c r="Z298" s="20" t="s">
        <v>730</v>
      </c>
      <c r="AA298" s="20" t="s">
        <v>343</v>
      </c>
      <c r="AB298" s="20" t="s">
        <v>1936</v>
      </c>
      <c r="AC298" s="20" t="s">
        <v>1936</v>
      </c>
      <c r="AD298" s="20" t="s">
        <v>1936</v>
      </c>
      <c r="AE298" s="20"/>
      <c r="AF298" s="9" t="n">
        <v>0</v>
      </c>
      <c r="AG298" s="12" t="n">
        <v>0</v>
      </c>
      <c r="AH298" s="22" t="s">
        <v>732</v>
      </c>
      <c r="AI298" s="12" t="str">
        <f>IF(AH298="","",IFERROR(RIGHT("0000"&amp;AH298,4)&amp;" - "&amp;UPPER(_xlfn.XLOOKUP(RIGHT("0000"&amp;AH298,4),CODEBOOK_CAP!$C$2:$C$212,CODEBOOK_CAP!$D$2:$D$212)),"Código CAP não encontrado"))</f>
        <v>1211 - CRIME COMUM , VIOLÊNCIA E PREVENÇÃO</v>
      </c>
      <c r="AJ298" s="12" t="str">
        <f>IF(AH298="","",IFERROR(_xlfn.XLOOKUP(RIGHT("0000"&amp;AH298,4),CODEBOOK_CAP!$C$2:$C$212,CODEBOOK_CAP!$E$2:$E$212),"Código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298" s="22" t="s">
        <v>79</v>
      </c>
      <c r="AL298" s="26" t="s">
        <v>1937</v>
      </c>
      <c r="AM298" s="22" t="s">
        <v>79</v>
      </c>
      <c r="AN298" s="22" t="s">
        <v>79</v>
      </c>
      <c r="AO298" s="12" t="s">
        <v>1938</v>
      </c>
      <c r="AP298" s="22" t="s">
        <v>77</v>
      </c>
      <c r="AQ298" s="12"/>
      <c r="AR298" s="22" t="s">
        <v>77</v>
      </c>
      <c r="AS298" s="10"/>
      <c r="AT298" s="2" t="s">
        <v>1814</v>
      </c>
      <c r="AU298" s="12" t="s">
        <v>83</v>
      </c>
      <c r="AV298" s="3" t="n">
        <v>46220</v>
      </c>
      <c r="AW298" s="21"/>
      <c r="AY298" s="1"/>
      <c r="BA298" s="1"/>
      <c r="BB298" s="1"/>
    </row>
    <row r="299" ht="195" customHeight="1">
      <c r="A299" s="20" t="s">
        <v>1939</v>
      </c>
      <c r="B299" s="20" t="n">
        <v>2023</v>
      </c>
      <c r="C299" s="20" t="n">
        <v>728</v>
      </c>
      <c r="D299" s="20" t="s">
        <v>50</v>
      </c>
      <c r="E299" s="20" t="s">
        <v>1886</v>
      </c>
      <c r="F299" s="20" t="s">
        <v>1940</v>
      </c>
      <c r="G299" s="20" t="s">
        <v>86</v>
      </c>
      <c r="H299" s="20" t="s">
        <v>1888</v>
      </c>
      <c r="I299" s="20"/>
      <c r="J299" s="20" t="s">
        <v>1941</v>
      </c>
      <c r="K299" s="20" t="s">
        <v>289</v>
      </c>
      <c r="L299" s="20" t="s">
        <v>208</v>
      </c>
      <c r="M299" s="20" t="s">
        <v>209</v>
      </c>
      <c r="N299" s="20" t="s">
        <v>210</v>
      </c>
      <c r="O299" s="20" t="s">
        <v>211</v>
      </c>
      <c r="P299" s="20" t="s">
        <v>212</v>
      </c>
      <c r="Q299" s="20" t="s">
        <v>213</v>
      </c>
      <c r="R299" s="20" t="s">
        <v>251</v>
      </c>
      <c r="S299" s="20" t="s">
        <v>252</v>
      </c>
      <c r="T299" s="20" t="s">
        <v>290</v>
      </c>
      <c r="U299" s="20" t="s">
        <v>291</v>
      </c>
      <c r="V299" s="20" t="s">
        <v>67</v>
      </c>
      <c r="W299" s="20" t="s">
        <v>68</v>
      </c>
      <c r="X299" s="20" t="s">
        <v>69</v>
      </c>
      <c r="Y299" s="20" t="s">
        <v>70</v>
      </c>
      <c r="Z299" s="20" t="s">
        <v>177</v>
      </c>
      <c r="AA299" s="20" t="s">
        <v>601</v>
      </c>
      <c r="AB299" s="20" t="s">
        <v>601</v>
      </c>
      <c r="AC299" s="20" t="s">
        <v>601</v>
      </c>
      <c r="AD299" s="20" t="s">
        <v>601</v>
      </c>
      <c r="AE299" s="20"/>
      <c r="AF299" s="9" t="n">
        <v>0</v>
      </c>
      <c r="AG299" s="12" t="n">
        <v>0</v>
      </c>
      <c r="AH299" s="22" t="s">
        <v>294</v>
      </c>
      <c r="AI299" s="12" t="str">
        <f>IF(AH299="","",IFERROR(RIGHT("0000"&amp;AH299,4)&amp;" - "&amp;UPPER(_xlfn.XLOOKUP(RIGHT("0000"&amp;AH299,4),CODEBOOK_CAP!$C$2:$C$212,CODEBOOK_CAP!$D$2:$D$212)),"Código CAP não encontrado"))</f>
        <v>0711 - CONSERVAÇÃO DO SOLO, MAR, RIOS, PRAIAS E COSTAS</v>
      </c>
      <c r="AJ299" s="12" t="str">
        <f>IF(AH299="","",IFERROR(_xlfn.XLOOKUP(RIGHT("0000"&amp;AH299,4),CODEBOOK_CAP!$C$2:$C$212,CODEBOOK_CAP!$E$2:$E$212),"Código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299" s="22" t="s">
        <v>79</v>
      </c>
      <c r="AL299" s="26" t="s">
        <v>1942</v>
      </c>
      <c r="AM299" s="22" t="s">
        <v>79</v>
      </c>
      <c r="AN299" s="22" t="s">
        <v>79</v>
      </c>
      <c r="AO299" s="12" t="s">
        <v>1942</v>
      </c>
      <c r="AP299" s="22" t="s">
        <v>77</v>
      </c>
      <c r="AQ299" s="12"/>
      <c r="AR299" s="22" t="s">
        <v>77</v>
      </c>
      <c r="AS299" s="10"/>
      <c r="AT299" s="2" t="s">
        <v>1814</v>
      </c>
      <c r="AU299" s="12" t="s">
        <v>83</v>
      </c>
      <c r="AV299" s="3" t="n">
        <v>46220</v>
      </c>
      <c r="AW299" s="21"/>
      <c r="AY299" s="1"/>
      <c r="BA299" s="1"/>
      <c r="BB299" s="1"/>
    </row>
    <row r="300" ht="210" customHeight="1">
      <c r="A300" s="20" t="s">
        <v>1943</v>
      </c>
      <c r="B300" s="20" t="n">
        <v>2023</v>
      </c>
      <c r="C300" s="20" t="n">
        <v>729</v>
      </c>
      <c r="D300" s="20" t="s">
        <v>50</v>
      </c>
      <c r="E300" s="20" t="s">
        <v>1886</v>
      </c>
      <c r="F300" s="20" t="s">
        <v>1944</v>
      </c>
      <c r="G300" s="20" t="s">
        <v>86</v>
      </c>
      <c r="H300" s="20" t="s">
        <v>1888</v>
      </c>
      <c r="I300" s="20"/>
      <c r="J300" s="20" t="s">
        <v>1945</v>
      </c>
      <c r="K300" s="20" t="s">
        <v>1946</v>
      </c>
      <c r="L300" s="20" t="s">
        <v>785</v>
      </c>
      <c r="M300" s="20" t="s">
        <v>786</v>
      </c>
      <c r="N300" s="20" t="s">
        <v>787</v>
      </c>
      <c r="O300" s="20" t="s">
        <v>788</v>
      </c>
      <c r="P300" s="20" t="s">
        <v>517</v>
      </c>
      <c r="Q300" s="20" t="s">
        <v>893</v>
      </c>
      <c r="R300" s="20" t="s">
        <v>894</v>
      </c>
      <c r="S300" s="20" t="s">
        <v>895</v>
      </c>
      <c r="T300" s="20" t="s">
        <v>896</v>
      </c>
      <c r="U300" s="20" t="s">
        <v>897</v>
      </c>
      <c r="V300" s="20" t="s">
        <v>854</v>
      </c>
      <c r="W300" s="20" t="s">
        <v>96</v>
      </c>
      <c r="X300" s="20" t="s">
        <v>97</v>
      </c>
      <c r="Y300" s="20" t="s">
        <v>70</v>
      </c>
      <c r="Z300" s="20" t="s">
        <v>794</v>
      </c>
      <c r="AA300" s="20" t="s">
        <v>462</v>
      </c>
      <c r="AB300" s="20" t="s">
        <v>1947</v>
      </c>
      <c r="AC300" s="20" t="s">
        <v>1948</v>
      </c>
      <c r="AD300" s="20" t="s">
        <v>1947</v>
      </c>
      <c r="AE300" s="20"/>
      <c r="AF300" s="9" t="n">
        <v>0</v>
      </c>
      <c r="AG300" s="12" t="n">
        <v>0</v>
      </c>
      <c r="AH300" s="22" t="s">
        <v>899</v>
      </c>
      <c r="AI300" s="12" t="str">
        <f>IF(AH300="","",IFERROR(RIGHT("0000"&amp;AH300,4)&amp;" - "&amp;UPPER(_xlfn.XLOOKUP(RIGHT("0000"&amp;AH300,4),CODEBOOK_CAP!$C$2:$C$212,CODEBOOK_CAP!$D$2:$D$212)),"Código CAP não encontrado"))</f>
        <v>0602 - ENSINO BÁSICO, FUNDAMENTAL E MÉDIO</v>
      </c>
      <c r="AJ300" s="12" t="str">
        <f>IF(AH300="","",IFERROR(_xlfn.XLOOKUP(RIGHT("0000"&amp;AH300,4),CODEBOOK_CAP!$C$2:$C$212,CODEBOOK_CAP!$E$2:$E$212),"Código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300" s="22" t="s">
        <v>79</v>
      </c>
      <c r="AL300" s="26" t="s">
        <v>1949</v>
      </c>
      <c r="AM300" s="22" t="s">
        <v>79</v>
      </c>
      <c r="AN300" s="22" t="s">
        <v>77</v>
      </c>
      <c r="AO300" s="12"/>
      <c r="AP300" s="22" t="s">
        <v>79</v>
      </c>
      <c r="AQ300" s="12" t="s">
        <v>901</v>
      </c>
      <c r="AR300" s="22" t="s">
        <v>77</v>
      </c>
      <c r="AS300" s="10"/>
      <c r="AT300" s="2" t="s">
        <v>1814</v>
      </c>
      <c r="AU300" s="12" t="s">
        <v>83</v>
      </c>
      <c r="AV300" s="3" t="n">
        <v>46220</v>
      </c>
      <c r="AW300" s="21"/>
      <c r="AY300" s="1"/>
      <c r="BA300" s="1"/>
      <c r="BB300" s="1"/>
    </row>
    <row r="301" ht="120" customHeight="1">
      <c r="A301" s="20" t="s">
        <v>1950</v>
      </c>
      <c r="B301" s="20" t="n">
        <v>2023</v>
      </c>
      <c r="C301" s="20" t="n">
        <v>544</v>
      </c>
      <c r="D301" s="20" t="s">
        <v>50</v>
      </c>
      <c r="E301" s="20" t="s">
        <v>1951</v>
      </c>
      <c r="F301" s="20" t="s">
        <v>1952</v>
      </c>
      <c r="G301" s="20" t="s">
        <v>53</v>
      </c>
      <c r="H301" s="20" t="s">
        <v>1953</v>
      </c>
      <c r="I301" s="20"/>
      <c r="J301" s="20" t="s">
        <v>1954</v>
      </c>
      <c r="K301" s="20" t="s">
        <v>56</v>
      </c>
      <c r="L301" s="20" t="s">
        <v>57</v>
      </c>
      <c r="M301" s="20" t="s">
        <v>58</v>
      </c>
      <c r="N301" s="20" t="s">
        <v>59</v>
      </c>
      <c r="O301" s="20" t="s">
        <v>60</v>
      </c>
      <c r="P301" s="20" t="s">
        <v>61</v>
      </c>
      <c r="Q301" s="20" t="s">
        <v>62</v>
      </c>
      <c r="R301" s="20" t="s">
        <v>63</v>
      </c>
      <c r="S301" s="20" t="s">
        <v>64</v>
      </c>
      <c r="T301" s="20" t="s">
        <v>65</v>
      </c>
      <c r="U301" s="20" t="s">
        <v>66</v>
      </c>
      <c r="V301" s="20" t="s">
        <v>67</v>
      </c>
      <c r="W301" s="20" t="s">
        <v>68</v>
      </c>
      <c r="X301" s="20" t="s">
        <v>69</v>
      </c>
      <c r="Y301" s="20" t="s">
        <v>70</v>
      </c>
      <c r="Z301" s="20" t="s">
        <v>71</v>
      </c>
      <c r="AA301" s="20" t="s">
        <v>1955</v>
      </c>
      <c r="AB301" s="20" t="s">
        <v>1956</v>
      </c>
      <c r="AC301" s="20" t="s">
        <v>1957</v>
      </c>
      <c r="AD301" s="20" t="s">
        <v>1957</v>
      </c>
      <c r="AE301" s="20" t="s">
        <v>1958</v>
      </c>
      <c r="AF301" s="9" t="n">
        <v>1</v>
      </c>
      <c r="AG301" s="12" t="n">
        <v>1</v>
      </c>
      <c r="AH301" s="22" t="s">
        <v>235</v>
      </c>
      <c r="AI301" s="12" t="str">
        <f>IF(AH301="","",IFERROR(RIGHT("0000"&amp;AH301,4)&amp;" - "&amp;UPPER(_xlfn.XLOOKUP(RIGHT("0000"&amp;AH301,4),CODEBOOK_CAP!$C$2:$C$212,CODEBOOK_CAP!$D$2:$D$212)),"Código CAP não encontrado"))</f>
        <v>0322 - ESTRUTURAS, HOSPITAIS, CLÍNICAS</v>
      </c>
      <c r="AJ301" s="12" t="str">
        <f>IF(AH301="","",IFERROR(_xlfn.XLOOKUP(RIGHT("0000"&amp;AH301,4),CODEBOOK_CAP!$C$2:$C$212,CODEBOOK_CAP!$E$2:$E$212),"Código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01" s="22" t="s">
        <v>77</v>
      </c>
      <c r="AL301" s="26"/>
      <c r="AM301" s="22" t="s">
        <v>77</v>
      </c>
      <c r="AN301" s="22" t="s">
        <v>77</v>
      </c>
      <c r="AO301" s="12"/>
      <c r="AP301" s="22" t="s">
        <v>77</v>
      </c>
      <c r="AQ301" s="12"/>
      <c r="AR301" s="22" t="s">
        <v>79</v>
      </c>
      <c r="AS301" s="10" t="s">
        <v>1958</v>
      </c>
      <c r="AT301" s="2" t="s">
        <v>1814</v>
      </c>
      <c r="AU301" s="12" t="s">
        <v>83</v>
      </c>
      <c r="AV301" s="3" t="n">
        <v>46220</v>
      </c>
      <c r="AW301" s="21"/>
      <c r="AY301" s="1"/>
      <c r="BA301" s="1"/>
      <c r="BB301" s="1"/>
    </row>
    <row r="302" ht="120" customHeight="1">
      <c r="A302" s="20" t="s">
        <v>1959</v>
      </c>
      <c r="B302" s="20" t="n">
        <v>2023</v>
      </c>
      <c r="C302" s="20" t="n">
        <v>546</v>
      </c>
      <c r="D302" s="20" t="s">
        <v>50</v>
      </c>
      <c r="E302" s="20" t="s">
        <v>1951</v>
      </c>
      <c r="F302" s="20" t="s">
        <v>1960</v>
      </c>
      <c r="G302" s="20" t="s">
        <v>86</v>
      </c>
      <c r="H302" s="20" t="s">
        <v>1953</v>
      </c>
      <c r="I302" s="20"/>
      <c r="J302" s="20" t="s">
        <v>1961</v>
      </c>
      <c r="K302" s="20" t="s">
        <v>56</v>
      </c>
      <c r="L302" s="20" t="s">
        <v>57</v>
      </c>
      <c r="M302" s="20" t="s">
        <v>58</v>
      </c>
      <c r="N302" s="20" t="s">
        <v>59</v>
      </c>
      <c r="O302" s="20" t="s">
        <v>60</v>
      </c>
      <c r="P302" s="20" t="s">
        <v>61</v>
      </c>
      <c r="Q302" s="20" t="s">
        <v>62</v>
      </c>
      <c r="R302" s="20" t="s">
        <v>63</v>
      </c>
      <c r="S302" s="20" t="s">
        <v>64</v>
      </c>
      <c r="T302" s="20" t="s">
        <v>65</v>
      </c>
      <c r="U302" s="20" t="s">
        <v>66</v>
      </c>
      <c r="V302" s="20" t="s">
        <v>67</v>
      </c>
      <c r="W302" s="20" t="s">
        <v>68</v>
      </c>
      <c r="X302" s="20" t="s">
        <v>69</v>
      </c>
      <c r="Y302" s="20" t="s">
        <v>70</v>
      </c>
      <c r="Z302" s="20" t="s">
        <v>71</v>
      </c>
      <c r="AA302" s="20" t="s">
        <v>198</v>
      </c>
      <c r="AB302" s="20" t="s">
        <v>198</v>
      </c>
      <c r="AC302" s="20" t="s">
        <v>1962</v>
      </c>
      <c r="AD302" s="20" t="s">
        <v>1962</v>
      </c>
      <c r="AE302" s="20" t="s">
        <v>1600</v>
      </c>
      <c r="AF302" s="9" t="n">
        <v>1</v>
      </c>
      <c r="AG302" s="12" t="n">
        <v>0</v>
      </c>
      <c r="AH302" s="22" t="s">
        <v>821</v>
      </c>
      <c r="AI302" s="12" t="str">
        <f>IF(AH302="","",IFERROR(RIGHT("0000"&amp;AH302,4)&amp;" - "&amp;UPPER(_xlfn.XLOOKUP(RIGHT("0000"&amp;AH302,4),CODEBOOK_CAP!$C$2:$C$212,CODEBOOK_CAP!$D$2:$D$212)),"Código CAP não encontrado"))</f>
        <v>1304 - POLÍTICAS SOCIAIS DE ASSISTÊNCIA PARA PESSOAS COM DEFICIÊNCIAS</v>
      </c>
      <c r="AJ302" s="12" t="str">
        <f>IF(AH302="","",IFERROR(_xlfn.XLOOKUP(RIGHT("0000"&amp;AH302,4),CODEBOOK_CAP!$C$2:$C$212,CODEBOOK_CAP!$E$2:$E$212),"Código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302" s="22" t="s">
        <v>77</v>
      </c>
      <c r="AL302" s="26"/>
      <c r="AM302" s="22" t="s">
        <v>79</v>
      </c>
      <c r="AN302" s="22" t="s">
        <v>79</v>
      </c>
      <c r="AO302" s="12" t="s">
        <v>1963</v>
      </c>
      <c r="AP302" s="22" t="s">
        <v>79</v>
      </c>
      <c r="AQ302" s="12" t="s">
        <v>824</v>
      </c>
      <c r="AR302" s="22" t="s">
        <v>79</v>
      </c>
      <c r="AS302" s="10" t="s">
        <v>1600</v>
      </c>
      <c r="AT302" s="2" t="s">
        <v>1814</v>
      </c>
      <c r="AU302" s="12" t="s">
        <v>83</v>
      </c>
      <c r="AV302" s="3" t="n">
        <v>46220</v>
      </c>
      <c r="AW302" s="21"/>
      <c r="AY302" s="1"/>
      <c r="BA302" s="1"/>
      <c r="BB302" s="1"/>
    </row>
    <row r="303" ht="120" customHeight="1">
      <c r="A303" s="20" t="s">
        <v>1964</v>
      </c>
      <c r="B303" s="20" t="n">
        <v>2023</v>
      </c>
      <c r="C303" s="20" t="n">
        <v>547</v>
      </c>
      <c r="D303" s="20" t="s">
        <v>50</v>
      </c>
      <c r="E303" s="20" t="s">
        <v>1951</v>
      </c>
      <c r="F303" s="20" t="s">
        <v>1965</v>
      </c>
      <c r="G303" s="20" t="s">
        <v>53</v>
      </c>
      <c r="H303" s="20" t="s">
        <v>1953</v>
      </c>
      <c r="I303" s="20"/>
      <c r="J303" s="20" t="s">
        <v>1966</v>
      </c>
      <c r="K303" s="20" t="s">
        <v>56</v>
      </c>
      <c r="L303" s="20" t="s">
        <v>57</v>
      </c>
      <c r="M303" s="20" t="s">
        <v>58</v>
      </c>
      <c r="N303" s="20" t="s">
        <v>59</v>
      </c>
      <c r="O303" s="20" t="s">
        <v>60</v>
      </c>
      <c r="P303" s="20" t="s">
        <v>61</v>
      </c>
      <c r="Q303" s="20" t="s">
        <v>62</v>
      </c>
      <c r="R303" s="20" t="s">
        <v>63</v>
      </c>
      <c r="S303" s="20" t="s">
        <v>64</v>
      </c>
      <c r="T303" s="20" t="s">
        <v>65</v>
      </c>
      <c r="U303" s="20" t="s">
        <v>66</v>
      </c>
      <c r="V303" s="20" t="s">
        <v>67</v>
      </c>
      <c r="W303" s="20" t="s">
        <v>68</v>
      </c>
      <c r="X303" s="20" t="s">
        <v>69</v>
      </c>
      <c r="Y303" s="20" t="s">
        <v>70</v>
      </c>
      <c r="Z303" s="20" t="s">
        <v>71</v>
      </c>
      <c r="AA303" s="20" t="s">
        <v>198</v>
      </c>
      <c r="AB303" s="20" t="s">
        <v>77</v>
      </c>
      <c r="AC303" s="20" t="s">
        <v>77</v>
      </c>
      <c r="AD303" s="20" t="s">
        <v>77</v>
      </c>
      <c r="AE303" s="20"/>
      <c r="AF303" s="9" t="n">
        <v>1</v>
      </c>
      <c r="AG303" s="12" t="n">
        <v>1</v>
      </c>
      <c r="AH303" s="22" t="s">
        <v>235</v>
      </c>
      <c r="AI303" s="12" t="str">
        <f>IF(AH303="","",IFERROR(RIGHT("0000"&amp;AH303,4)&amp;" - "&amp;UPPER(_xlfn.XLOOKUP(RIGHT("0000"&amp;AH303,4),CODEBOOK_CAP!$C$2:$C$212,CODEBOOK_CAP!$D$2:$D$212)),"Código CAP não encontrado"))</f>
        <v>0322 - ESTRUTURAS, HOSPITAIS, CLÍNICAS</v>
      </c>
      <c r="AJ303" s="12" t="str">
        <f>IF(AH303="","",IFERROR(_xlfn.XLOOKUP(RIGHT("0000"&amp;AH303,4),CODEBOOK_CAP!$C$2:$C$212,CODEBOOK_CAP!$E$2:$E$212),"Código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03" s="22" t="s">
        <v>77</v>
      </c>
      <c r="AL303" s="26"/>
      <c r="AM303" s="22" t="s">
        <v>79</v>
      </c>
      <c r="AN303" s="22" t="s">
        <v>79</v>
      </c>
      <c r="AO303" s="12" t="s">
        <v>1967</v>
      </c>
      <c r="AP303" s="22" t="s">
        <v>77</v>
      </c>
      <c r="AQ303" s="12"/>
      <c r="AR303" s="22" t="s">
        <v>77</v>
      </c>
      <c r="AS303" s="10"/>
      <c r="AT303" s="2" t="s">
        <v>1814</v>
      </c>
      <c r="AU303" s="12" t="s">
        <v>83</v>
      </c>
      <c r="AV303" s="3" t="n">
        <v>46220</v>
      </c>
      <c r="AW303" s="21"/>
      <c r="AY303" s="1"/>
      <c r="BA303" s="1"/>
      <c r="BB303" s="1"/>
    </row>
    <row r="304" ht="75" customHeight="1">
      <c r="A304" s="20" t="s">
        <v>1968</v>
      </c>
      <c r="B304" s="20" t="n">
        <v>2023</v>
      </c>
      <c r="C304" s="20" t="n">
        <v>575</v>
      </c>
      <c r="D304" s="20" t="s">
        <v>50</v>
      </c>
      <c r="E304" s="20" t="s">
        <v>1951</v>
      </c>
      <c r="F304" s="20" t="s">
        <v>1969</v>
      </c>
      <c r="G304" s="20" t="s">
        <v>315</v>
      </c>
      <c r="H304" s="20" t="s">
        <v>1953</v>
      </c>
      <c r="I304" s="20"/>
      <c r="J304" s="20" t="s">
        <v>1970</v>
      </c>
      <c r="K304" s="20" t="s">
        <v>289</v>
      </c>
      <c r="L304" s="20" t="s">
        <v>208</v>
      </c>
      <c r="M304" s="20" t="s">
        <v>209</v>
      </c>
      <c r="N304" s="20" t="s">
        <v>210</v>
      </c>
      <c r="O304" s="20" t="s">
        <v>211</v>
      </c>
      <c r="P304" s="20" t="s">
        <v>212</v>
      </c>
      <c r="Q304" s="20" t="s">
        <v>213</v>
      </c>
      <c r="R304" s="20" t="s">
        <v>251</v>
      </c>
      <c r="S304" s="20" t="s">
        <v>252</v>
      </c>
      <c r="T304" s="20" t="s">
        <v>290</v>
      </c>
      <c r="U304" s="20" t="s">
        <v>291</v>
      </c>
      <c r="V304" s="20" t="s">
        <v>67</v>
      </c>
      <c r="W304" s="20" t="s">
        <v>68</v>
      </c>
      <c r="X304" s="20" t="s">
        <v>69</v>
      </c>
      <c r="Y304" s="20" t="s">
        <v>70</v>
      </c>
      <c r="Z304" s="20" t="s">
        <v>177</v>
      </c>
      <c r="AA304" s="20" t="s">
        <v>1971</v>
      </c>
      <c r="AB304" s="20" t="s">
        <v>1972</v>
      </c>
      <c r="AC304" s="20" t="s">
        <v>1972</v>
      </c>
      <c r="AD304" s="20" t="s">
        <v>1972</v>
      </c>
      <c r="AE304" s="20" t="s">
        <v>1973</v>
      </c>
      <c r="AF304" s="9" t="n">
        <v>0</v>
      </c>
      <c r="AG304" s="12" t="n">
        <v>0</v>
      </c>
      <c r="AH304" s="22" t="s">
        <v>304</v>
      </c>
      <c r="AI304" s="12" t="str">
        <f>IF(AH304="","",IFERROR(RIGHT("0000"&amp;AH304,4)&amp;" - "&amp;UPPER(_xlfn.XLOOKUP(RIGHT("0000"&amp;AH304,4),CODEBOOK_CAP!$C$2:$C$212,CODEBOOK_CAP!$D$2:$D$212)),"Código CAP não encontrado"))</f>
        <v>1403 - REABILITAÇÃO URBANA, ECONOMIA URBANA</v>
      </c>
      <c r="AJ304" s="12" t="str">
        <f>IF(AH304="","",IFERROR(_xlfn.XLOOKUP(RIGHT("0000"&amp;AH304,4),CODEBOOK_CAP!$C$2:$C$212,CODEBOOK_CAP!$E$2:$E$212),"Código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304" s="22" t="s">
        <v>77</v>
      </c>
      <c r="AL304" s="26"/>
      <c r="AM304" s="22" t="s">
        <v>77</v>
      </c>
      <c r="AN304" s="22" t="s">
        <v>77</v>
      </c>
      <c r="AO304" s="12"/>
      <c r="AP304" s="22" t="s">
        <v>77</v>
      </c>
      <c r="AQ304" s="12"/>
      <c r="AR304" s="22" t="s">
        <v>79</v>
      </c>
      <c r="AS304" s="10" t="s">
        <v>1973</v>
      </c>
      <c r="AT304" s="2" t="s">
        <v>1814</v>
      </c>
      <c r="AU304" s="12" t="s">
        <v>83</v>
      </c>
      <c r="AV304" s="3" t="n">
        <v>46220</v>
      </c>
      <c r="AW304" s="21"/>
      <c r="AY304" s="1"/>
      <c r="BA304" s="1"/>
      <c r="BB304" s="1"/>
    </row>
    <row r="305" ht="105" customHeight="1">
      <c r="A305" s="20" t="s">
        <v>1974</v>
      </c>
      <c r="B305" s="20" t="n">
        <v>2023</v>
      </c>
      <c r="C305" s="20" t="n">
        <v>576</v>
      </c>
      <c r="D305" s="20" t="s">
        <v>50</v>
      </c>
      <c r="E305" s="20" t="s">
        <v>1951</v>
      </c>
      <c r="F305" s="20" t="s">
        <v>1975</v>
      </c>
      <c r="G305" s="20" t="s">
        <v>53</v>
      </c>
      <c r="H305" s="20" t="s">
        <v>1953</v>
      </c>
      <c r="I305" s="20"/>
      <c r="J305" s="20" t="s">
        <v>1976</v>
      </c>
      <c r="K305" s="20" t="s">
        <v>185</v>
      </c>
      <c r="L305" s="20" t="s">
        <v>186</v>
      </c>
      <c r="M305" s="20" t="s">
        <v>187</v>
      </c>
      <c r="N305" s="20" t="s">
        <v>188</v>
      </c>
      <c r="O305" s="20" t="s">
        <v>189</v>
      </c>
      <c r="P305" s="20" t="s">
        <v>190</v>
      </c>
      <c r="Q305" s="20" t="s">
        <v>191</v>
      </c>
      <c r="R305" s="20" t="s">
        <v>192</v>
      </c>
      <c r="S305" s="20" t="s">
        <v>193</v>
      </c>
      <c r="T305" s="20" t="s">
        <v>194</v>
      </c>
      <c r="U305" s="20" t="s">
        <v>195</v>
      </c>
      <c r="V305" s="20" t="s">
        <v>196</v>
      </c>
      <c r="W305" s="20" t="s">
        <v>68</v>
      </c>
      <c r="X305" s="20" t="s">
        <v>69</v>
      </c>
      <c r="Y305" s="20" t="s">
        <v>70</v>
      </c>
      <c r="Z305" s="20" t="s">
        <v>197</v>
      </c>
      <c r="AA305" s="20" t="s">
        <v>233</v>
      </c>
      <c r="AB305" s="20" t="s">
        <v>1977</v>
      </c>
      <c r="AC305" s="20" t="s">
        <v>1977</v>
      </c>
      <c r="AD305" s="20" t="s">
        <v>1977</v>
      </c>
      <c r="AE305" s="20"/>
      <c r="AF305" s="9" t="n">
        <v>0</v>
      </c>
      <c r="AG305" s="12" t="n">
        <v>0</v>
      </c>
      <c r="AH305" s="22" t="s">
        <v>161</v>
      </c>
      <c r="AI305" s="12" t="str">
        <f>IF(AH305="","",IFERROR(RIGHT("0000"&amp;AH305,4)&amp;" - "&amp;UPPER(_xlfn.XLOOKUP(RIGHT("0000"&amp;AH305,4),CODEBOOK_CAP!$C$2:$C$212,CODEBOOK_CAP!$D$2:$D$212)),"Código CAP não encontrado"))</f>
        <v>2300 - GERAL</v>
      </c>
      <c r="AJ305" s="12" t="str">
        <f>IF(AH305="","",IFERROR(_xlfn.XLOOKUP(RIGHT("0000"&amp;AH305,4),CODEBOOK_CAP!$C$2:$C$212,CODEBOOK_CAP!$E$2:$E$212),"Código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05" s="22" t="s">
        <v>77</v>
      </c>
      <c r="AL305" s="26"/>
      <c r="AM305" s="22" t="s">
        <v>77</v>
      </c>
      <c r="AN305" s="22" t="s">
        <v>77</v>
      </c>
      <c r="AO305" s="12"/>
      <c r="AP305" s="22" t="s">
        <v>77</v>
      </c>
      <c r="AQ305" s="12"/>
      <c r="AR305" s="22" t="s">
        <v>77</v>
      </c>
      <c r="AS305" s="10"/>
      <c r="AT305" s="2" t="s">
        <v>1814</v>
      </c>
      <c r="AU305" s="12" t="s">
        <v>83</v>
      </c>
      <c r="AV305" s="3" t="n">
        <v>46220</v>
      </c>
      <c r="AW305" s="21"/>
      <c r="AX305" s="1" t="s">
        <v>6956</v>
      </c>
      <c r="AY305" s="1"/>
      <c r="BA305" s="1"/>
      <c r="BB305" s="1"/>
    </row>
    <row r="306" ht="195" customHeight="1">
      <c r="A306" s="20" t="s">
        <v>1978</v>
      </c>
      <c r="B306" s="20" t="n">
        <v>2023</v>
      </c>
      <c r="C306" s="20" t="n">
        <v>577</v>
      </c>
      <c r="D306" s="20" t="s">
        <v>50</v>
      </c>
      <c r="E306" s="20" t="s">
        <v>1951</v>
      </c>
      <c r="F306" s="20" t="s">
        <v>1979</v>
      </c>
      <c r="G306" s="20" t="s">
        <v>183</v>
      </c>
      <c r="H306" s="20" t="s">
        <v>1953</v>
      </c>
      <c r="I306" s="20"/>
      <c r="J306" s="20" t="s">
        <v>1980</v>
      </c>
      <c r="K306" s="20" t="s">
        <v>289</v>
      </c>
      <c r="L306" s="20" t="s">
        <v>208</v>
      </c>
      <c r="M306" s="20" t="s">
        <v>209</v>
      </c>
      <c r="N306" s="20" t="s">
        <v>210</v>
      </c>
      <c r="O306" s="20" t="s">
        <v>211</v>
      </c>
      <c r="P306" s="20" t="s">
        <v>212</v>
      </c>
      <c r="Q306" s="20" t="s">
        <v>213</v>
      </c>
      <c r="R306" s="20" t="s">
        <v>251</v>
      </c>
      <c r="S306" s="20" t="s">
        <v>252</v>
      </c>
      <c r="T306" s="20" t="s">
        <v>290</v>
      </c>
      <c r="U306" s="20" t="s">
        <v>291</v>
      </c>
      <c r="V306" s="20" t="s">
        <v>67</v>
      </c>
      <c r="W306" s="20" t="s">
        <v>68</v>
      </c>
      <c r="X306" s="20" t="s">
        <v>69</v>
      </c>
      <c r="Y306" s="20" t="s">
        <v>70</v>
      </c>
      <c r="Z306" s="20" t="s">
        <v>177</v>
      </c>
      <c r="AA306" s="20" t="s">
        <v>1981</v>
      </c>
      <c r="AB306" s="20" t="s">
        <v>77</v>
      </c>
      <c r="AC306" s="20" t="s">
        <v>77</v>
      </c>
      <c r="AD306" s="20" t="s">
        <v>77</v>
      </c>
      <c r="AE306" s="20"/>
      <c r="AF306" s="9" t="n">
        <v>0</v>
      </c>
      <c r="AG306" s="12" t="n">
        <v>0</v>
      </c>
      <c r="AH306" s="22" t="s">
        <v>294</v>
      </c>
      <c r="AI306" s="12" t="str">
        <f>IF(AH306="","",IFERROR(RIGHT("0000"&amp;AH306,4)&amp;" - "&amp;UPPER(_xlfn.XLOOKUP(RIGHT("0000"&amp;AH306,4),CODEBOOK_CAP!$C$2:$C$212,CODEBOOK_CAP!$D$2:$D$212)),"Código CAP não encontrado"))</f>
        <v>0711 - CONSERVAÇÃO DO SOLO, MAR, RIOS, PRAIAS E COSTAS</v>
      </c>
      <c r="AJ306" s="12" t="str">
        <f>IF(AH306="","",IFERROR(_xlfn.XLOOKUP(RIGHT("0000"&amp;AH306,4),CODEBOOK_CAP!$C$2:$C$212,CODEBOOK_CAP!$E$2:$E$212),"Código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306" s="22" t="s">
        <v>79</v>
      </c>
      <c r="AL306" s="26" t="s">
        <v>1982</v>
      </c>
      <c r="AM306" s="22" t="s">
        <v>79</v>
      </c>
      <c r="AN306" s="22" t="s">
        <v>79</v>
      </c>
      <c r="AO306" s="12" t="s">
        <v>1982</v>
      </c>
      <c r="AP306" s="22" t="s">
        <v>77</v>
      </c>
      <c r="AQ306" s="12"/>
      <c r="AR306" s="22" t="s">
        <v>77</v>
      </c>
      <c r="AS306" s="10"/>
      <c r="AT306" s="2" t="s">
        <v>1814</v>
      </c>
      <c r="AU306" s="12" t="s">
        <v>83</v>
      </c>
      <c r="AV306" s="3" t="n">
        <v>46220</v>
      </c>
      <c r="AW306" s="21"/>
      <c r="AY306" s="1"/>
      <c r="BA306" s="1"/>
      <c r="BB306" s="1"/>
    </row>
    <row r="307" ht="90" customHeight="1">
      <c r="A307" s="20" t="s">
        <v>1983</v>
      </c>
      <c r="B307" s="20" t="n">
        <v>2023</v>
      </c>
      <c r="C307" s="20" t="n">
        <v>578</v>
      </c>
      <c r="D307" s="20" t="s">
        <v>50</v>
      </c>
      <c r="E307" s="20" t="s">
        <v>1951</v>
      </c>
      <c r="F307" s="20" t="s">
        <v>1984</v>
      </c>
      <c r="G307" s="20" t="s">
        <v>86</v>
      </c>
      <c r="H307" s="20" t="s">
        <v>1953</v>
      </c>
      <c r="I307" s="20"/>
      <c r="J307" s="20" t="s">
        <v>1985</v>
      </c>
      <c r="K307" s="20" t="s">
        <v>1986</v>
      </c>
      <c r="L307" s="20" t="s">
        <v>785</v>
      </c>
      <c r="M307" s="20" t="s">
        <v>786</v>
      </c>
      <c r="N307" s="20" t="s">
        <v>787</v>
      </c>
      <c r="O307" s="20" t="s">
        <v>788</v>
      </c>
      <c r="P307" s="20" t="s">
        <v>552</v>
      </c>
      <c r="Q307" s="20" t="s">
        <v>1987</v>
      </c>
      <c r="R307" s="20" t="s">
        <v>1988</v>
      </c>
      <c r="S307" s="20" t="s">
        <v>1989</v>
      </c>
      <c r="T307" s="20" t="s">
        <v>792</v>
      </c>
      <c r="U307" s="20" t="s">
        <v>793</v>
      </c>
      <c r="V307" s="20" t="s">
        <v>95</v>
      </c>
      <c r="W307" s="20" t="s">
        <v>96</v>
      </c>
      <c r="X307" s="20" t="s">
        <v>97</v>
      </c>
      <c r="Y307" s="20" t="s">
        <v>70</v>
      </c>
      <c r="Z307" s="20" t="s">
        <v>794</v>
      </c>
      <c r="AA307" s="20" t="s">
        <v>325</v>
      </c>
      <c r="AB307" s="20" t="s">
        <v>325</v>
      </c>
      <c r="AC307" s="20" t="s">
        <v>372</v>
      </c>
      <c r="AD307" s="20" t="s">
        <v>325</v>
      </c>
      <c r="AE307" s="20"/>
      <c r="AF307" s="9" t="n">
        <v>0</v>
      </c>
      <c r="AG307" s="12" t="n">
        <v>0</v>
      </c>
      <c r="AH307" s="22" t="s">
        <v>1990</v>
      </c>
      <c r="AI307" s="12" t="str">
        <f>IF(AH307="","",IFERROR(RIGHT("0000"&amp;AH307,4)&amp;" - "&amp;UPPER(_xlfn.XLOOKUP(RIGHT("0000"&amp;AH307,4),CODEBOOK_CAP!$C$2:$C$212,CODEBOOK_CAP!$D$2:$D$212)),"Código CAP não encontrado"))</f>
        <v>0603 - EDUCAÇÃO ESPECIAL, INCLUSÃO</v>
      </c>
      <c r="AJ307" s="12" t="str">
        <f>IF(AH307="","",IFERROR(_xlfn.XLOOKUP(RIGHT("0000"&amp;AH307,4),CODEBOOK_CAP!$C$2:$C$212,CODEBOOK_CAP!$E$2:$E$212),"Código CAP não encontrado"))</f>
        <v>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v>
      </c>
      <c r="AK307" s="22" t="s">
        <v>77</v>
      </c>
      <c r="AL307" s="26"/>
      <c r="AM307" s="22" t="s">
        <v>79</v>
      </c>
      <c r="AN307" s="22" t="s">
        <v>79</v>
      </c>
      <c r="AO307" s="12" t="s">
        <v>1991</v>
      </c>
      <c r="AP307" s="22" t="s">
        <v>79</v>
      </c>
      <c r="AQ307" s="12" t="s">
        <v>824</v>
      </c>
      <c r="AR307" s="22" t="s">
        <v>77</v>
      </c>
      <c r="AS307" s="10"/>
      <c r="AT307" s="2" t="s">
        <v>1814</v>
      </c>
      <c r="AU307" s="12" t="s">
        <v>83</v>
      </c>
      <c r="AV307" s="3" t="n">
        <v>46220</v>
      </c>
      <c r="AW307" s="21"/>
      <c r="AY307" s="1"/>
      <c r="BA307" s="1"/>
      <c r="BB307" s="1"/>
    </row>
    <row r="308" ht="105" customHeight="1">
      <c r="A308" s="20" t="s">
        <v>1992</v>
      </c>
      <c r="B308" s="20" t="n">
        <v>2023</v>
      </c>
      <c r="C308" s="20" t="n">
        <v>579</v>
      </c>
      <c r="D308" s="20" t="s">
        <v>50</v>
      </c>
      <c r="E308" s="20" t="s">
        <v>1951</v>
      </c>
      <c r="F308" s="20" t="s">
        <v>1993</v>
      </c>
      <c r="G308" s="20" t="s">
        <v>86</v>
      </c>
      <c r="H308" s="20" t="s">
        <v>1953</v>
      </c>
      <c r="I308" s="20"/>
      <c r="J308" s="20" t="s">
        <v>1994</v>
      </c>
      <c r="K308" s="20" t="s">
        <v>682</v>
      </c>
      <c r="L308" s="20" t="s">
        <v>186</v>
      </c>
      <c r="M308" s="20" t="s">
        <v>187</v>
      </c>
      <c r="N308" s="20" t="s">
        <v>188</v>
      </c>
      <c r="O308" s="20" t="s">
        <v>189</v>
      </c>
      <c r="P308" s="20" t="s">
        <v>338</v>
      </c>
      <c r="Q308" s="20" t="s">
        <v>683</v>
      </c>
      <c r="R308" s="20" t="s">
        <v>192</v>
      </c>
      <c r="S308" s="20" t="s">
        <v>193</v>
      </c>
      <c r="T308" s="20" t="s">
        <v>684</v>
      </c>
      <c r="U308" s="20" t="s">
        <v>685</v>
      </c>
      <c r="V308" s="20" t="s">
        <v>95</v>
      </c>
      <c r="W308" s="20" t="s">
        <v>96</v>
      </c>
      <c r="X308" s="20" t="s">
        <v>97</v>
      </c>
      <c r="Y308" s="20" t="s">
        <v>70</v>
      </c>
      <c r="Z308" s="20" t="s">
        <v>197</v>
      </c>
      <c r="AA308" s="20" t="s">
        <v>363</v>
      </c>
      <c r="AB308" s="20" t="s">
        <v>1714</v>
      </c>
      <c r="AC308" s="20" t="s">
        <v>1995</v>
      </c>
      <c r="AD308" s="20" t="s">
        <v>1714</v>
      </c>
      <c r="AE308" s="20"/>
      <c r="AF308" s="9" t="n">
        <v>0</v>
      </c>
      <c r="AG308" s="12" t="n">
        <v>0</v>
      </c>
      <c r="AH308" s="22" t="s">
        <v>161</v>
      </c>
      <c r="AI308" s="12" t="str">
        <f>IF(AH308="","",IFERROR(RIGHT("0000"&amp;AH308,4)&amp;" - "&amp;UPPER(_xlfn.XLOOKUP(RIGHT("0000"&amp;AH308,4),CODEBOOK_CAP!$C$2:$C$212,CODEBOOK_CAP!$D$2:$D$212)),"Código CAP não encontrado"))</f>
        <v>2300 - GERAL</v>
      </c>
      <c r="AJ308" s="12" t="str">
        <f>IF(AH308="","",IFERROR(_xlfn.XLOOKUP(RIGHT("0000"&amp;AH308,4),CODEBOOK_CAP!$C$2:$C$212,CODEBOOK_CAP!$E$2:$E$212),"Código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08" s="22" t="s">
        <v>77</v>
      </c>
      <c r="AL308" s="26"/>
      <c r="AM308" s="22" t="s">
        <v>77</v>
      </c>
      <c r="AN308" s="22" t="s">
        <v>77</v>
      </c>
      <c r="AO308" s="12"/>
      <c r="AP308" s="22" t="s">
        <v>77</v>
      </c>
      <c r="AQ308" s="12"/>
      <c r="AR308" s="22" t="s">
        <v>77</v>
      </c>
      <c r="AS308" s="10"/>
      <c r="AT308" s="2" t="s">
        <v>1814</v>
      </c>
      <c r="AU308" s="12" t="s">
        <v>83</v>
      </c>
      <c r="AV308" s="3" t="n">
        <v>46220</v>
      </c>
      <c r="AW308" s="21"/>
      <c r="AX308" s="1" t="s">
        <v>6956</v>
      </c>
      <c r="AY308" s="1"/>
      <c r="BA308" s="1"/>
      <c r="BB308" s="1"/>
    </row>
    <row r="309" ht="210" customHeight="1">
      <c r="A309" s="20" t="s">
        <v>1996</v>
      </c>
      <c r="B309" s="20" t="n">
        <v>2023</v>
      </c>
      <c r="C309" s="20" t="n">
        <v>580</v>
      </c>
      <c r="D309" s="20" t="s">
        <v>50</v>
      </c>
      <c r="E309" s="20" t="s">
        <v>1951</v>
      </c>
      <c r="F309" s="20" t="s">
        <v>1997</v>
      </c>
      <c r="G309" s="20" t="s">
        <v>86</v>
      </c>
      <c r="H309" s="20" t="s">
        <v>1953</v>
      </c>
      <c r="I309" s="20"/>
      <c r="J309" s="20" t="s">
        <v>1998</v>
      </c>
      <c r="K309" s="20" t="s">
        <v>1999</v>
      </c>
      <c r="L309" s="20" t="s">
        <v>785</v>
      </c>
      <c r="M309" s="20" t="s">
        <v>786</v>
      </c>
      <c r="N309" s="20" t="s">
        <v>787</v>
      </c>
      <c r="O309" s="20" t="s">
        <v>788</v>
      </c>
      <c r="P309" s="20" t="s">
        <v>541</v>
      </c>
      <c r="Q309" s="20" t="s">
        <v>789</v>
      </c>
      <c r="R309" s="20" t="s">
        <v>790</v>
      </c>
      <c r="S309" s="20" t="s">
        <v>791</v>
      </c>
      <c r="T309" s="20" t="s">
        <v>792</v>
      </c>
      <c r="U309" s="20" t="s">
        <v>793</v>
      </c>
      <c r="V309" s="20" t="s">
        <v>95</v>
      </c>
      <c r="W309" s="20" t="s">
        <v>96</v>
      </c>
      <c r="X309" s="20" t="s">
        <v>97</v>
      </c>
      <c r="Y309" s="20" t="s">
        <v>70</v>
      </c>
      <c r="Z309" s="20" t="s">
        <v>794</v>
      </c>
      <c r="AA309" s="20" t="s">
        <v>325</v>
      </c>
      <c r="AB309" s="20" t="s">
        <v>325</v>
      </c>
      <c r="AC309" s="20" t="s">
        <v>325</v>
      </c>
      <c r="AD309" s="20" t="s">
        <v>325</v>
      </c>
      <c r="AE309" s="20"/>
      <c r="AF309" s="9" t="n">
        <v>0</v>
      </c>
      <c r="AG309" s="12" t="n">
        <v>0</v>
      </c>
      <c r="AH309" s="22" t="s">
        <v>899</v>
      </c>
      <c r="AI309" s="12" t="str">
        <f>IF(AH309="","",IFERROR(RIGHT("0000"&amp;AH309,4)&amp;" - "&amp;UPPER(_xlfn.XLOOKUP(RIGHT("0000"&amp;AH309,4),CODEBOOK_CAP!$C$2:$C$212,CODEBOOK_CAP!$D$2:$D$212)),"Código CAP não encontrado"))</f>
        <v>0602 - ENSINO BÁSICO, FUNDAMENTAL E MÉDIO</v>
      </c>
      <c r="AJ309" s="12" t="str">
        <f>IF(AH309="","",IFERROR(_xlfn.XLOOKUP(RIGHT("0000"&amp;AH309,4),CODEBOOK_CAP!$C$2:$C$212,CODEBOOK_CAP!$E$2:$E$212),"Código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309" s="22" t="s">
        <v>77</v>
      </c>
      <c r="AL309" s="26"/>
      <c r="AM309" s="22" t="s">
        <v>79</v>
      </c>
      <c r="AN309" s="22" t="s">
        <v>79</v>
      </c>
      <c r="AO309" s="12" t="s">
        <v>2000</v>
      </c>
      <c r="AP309" s="22" t="s">
        <v>79</v>
      </c>
      <c r="AQ309" s="12" t="s">
        <v>901</v>
      </c>
      <c r="AR309" s="22" t="s">
        <v>77</v>
      </c>
      <c r="AS309" s="10"/>
      <c r="AT309" s="2" t="s">
        <v>1814</v>
      </c>
      <c r="AU309" s="12" t="s">
        <v>83</v>
      </c>
      <c r="AV309" s="3" t="n">
        <v>46220</v>
      </c>
      <c r="AW309" s="21"/>
      <c r="AY309" s="1"/>
      <c r="BA309" s="1"/>
      <c r="BB309" s="1"/>
    </row>
    <row r="310" ht="120" customHeight="1">
      <c r="A310" s="20" t="s">
        <v>2001</v>
      </c>
      <c r="B310" s="20" t="n">
        <v>2023</v>
      </c>
      <c r="C310" s="20" t="n">
        <v>583</v>
      </c>
      <c r="D310" s="20" t="s">
        <v>50</v>
      </c>
      <c r="E310" s="20" t="s">
        <v>1951</v>
      </c>
      <c r="F310" s="20" t="s">
        <v>2002</v>
      </c>
      <c r="G310" s="20" t="s">
        <v>86</v>
      </c>
      <c r="H310" s="20" t="s">
        <v>1953</v>
      </c>
      <c r="I310" s="20"/>
      <c r="J310" s="20" t="s">
        <v>2003</v>
      </c>
      <c r="K310" s="20" t="s">
        <v>122</v>
      </c>
      <c r="L310" s="20" t="s">
        <v>57</v>
      </c>
      <c r="M310" s="20" t="s">
        <v>58</v>
      </c>
      <c r="N310" s="20" t="s">
        <v>59</v>
      </c>
      <c r="O310" s="20" t="s">
        <v>60</v>
      </c>
      <c r="P310" s="20" t="s">
        <v>89</v>
      </c>
      <c r="Q310" s="20" t="s">
        <v>90</v>
      </c>
      <c r="R310" s="20" t="s">
        <v>91</v>
      </c>
      <c r="S310" s="20" t="s">
        <v>92</v>
      </c>
      <c r="T310" s="20" t="s">
        <v>123</v>
      </c>
      <c r="U310" s="20" t="s">
        <v>124</v>
      </c>
      <c r="V310" s="20" t="s">
        <v>95</v>
      </c>
      <c r="W310" s="20" t="s">
        <v>96</v>
      </c>
      <c r="X310" s="20" t="s">
        <v>97</v>
      </c>
      <c r="Y310" s="20" t="s">
        <v>70</v>
      </c>
      <c r="Z310" s="20" t="s">
        <v>98</v>
      </c>
      <c r="AA310" s="20" t="s">
        <v>125</v>
      </c>
      <c r="AB310" s="20" t="s">
        <v>125</v>
      </c>
      <c r="AC310" s="20" t="s">
        <v>125</v>
      </c>
      <c r="AD310" s="20" t="s">
        <v>125</v>
      </c>
      <c r="AE310" s="20"/>
      <c r="AF310" s="9" t="n">
        <v>1</v>
      </c>
      <c r="AG310" s="12" t="n">
        <v>1</v>
      </c>
      <c r="AH310" s="22" t="s">
        <v>235</v>
      </c>
      <c r="AI310" s="12" t="str">
        <f>IF(AH310="","",IFERROR(RIGHT("0000"&amp;AH310,4)&amp;" - "&amp;UPPER(_xlfn.XLOOKUP(RIGHT("0000"&amp;AH310,4),CODEBOOK_CAP!$C$2:$C$212,CODEBOOK_CAP!$D$2:$D$212)),"Código CAP não encontrado"))</f>
        <v>0322 - ESTRUTURAS, HOSPITAIS, CLÍNICAS</v>
      </c>
      <c r="AJ310" s="12" t="str">
        <f>IF(AH310="","",IFERROR(_xlfn.XLOOKUP(RIGHT("0000"&amp;AH310,4),CODEBOOK_CAP!$C$2:$C$212,CODEBOOK_CAP!$E$2:$E$212),"Código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10" s="22" t="s">
        <v>77</v>
      </c>
      <c r="AL310" s="26"/>
      <c r="AM310" s="22" t="s">
        <v>79</v>
      </c>
      <c r="AN310" s="22" t="s">
        <v>79</v>
      </c>
      <c r="AO310" s="12" t="s">
        <v>981</v>
      </c>
      <c r="AP310" s="22" t="s">
        <v>77</v>
      </c>
      <c r="AQ310" s="12"/>
      <c r="AR310" s="22" t="s">
        <v>77</v>
      </c>
      <c r="AS310" s="10"/>
      <c r="AT310" s="2" t="s">
        <v>1814</v>
      </c>
      <c r="AU310" s="12" t="s">
        <v>83</v>
      </c>
      <c r="AV310" s="3" t="n">
        <v>46220</v>
      </c>
      <c r="AW310" s="21"/>
      <c r="AY310" s="1"/>
      <c r="BA310" s="1"/>
      <c r="BB310" s="1"/>
    </row>
    <row r="311" ht="120" customHeight="1">
      <c r="A311" s="20" t="s">
        <v>2004</v>
      </c>
      <c r="B311" s="20" t="n">
        <v>2023</v>
      </c>
      <c r="C311" s="20" t="n">
        <v>584</v>
      </c>
      <c r="D311" s="20" t="s">
        <v>50</v>
      </c>
      <c r="E311" s="20" t="s">
        <v>1951</v>
      </c>
      <c r="F311" s="20" t="s">
        <v>2005</v>
      </c>
      <c r="G311" s="20" t="s">
        <v>86</v>
      </c>
      <c r="H311" s="20" t="s">
        <v>1953</v>
      </c>
      <c r="I311" s="20"/>
      <c r="J311" s="20" t="s">
        <v>2006</v>
      </c>
      <c r="K311" s="20" t="s">
        <v>122</v>
      </c>
      <c r="L311" s="20" t="s">
        <v>57</v>
      </c>
      <c r="M311" s="20" t="s">
        <v>58</v>
      </c>
      <c r="N311" s="20" t="s">
        <v>59</v>
      </c>
      <c r="O311" s="20" t="s">
        <v>60</v>
      </c>
      <c r="P311" s="20" t="s">
        <v>89</v>
      </c>
      <c r="Q311" s="20" t="s">
        <v>90</v>
      </c>
      <c r="R311" s="20" t="s">
        <v>91</v>
      </c>
      <c r="S311" s="20" t="s">
        <v>92</v>
      </c>
      <c r="T311" s="20" t="s">
        <v>123</v>
      </c>
      <c r="U311" s="20" t="s">
        <v>124</v>
      </c>
      <c r="V311" s="20" t="s">
        <v>95</v>
      </c>
      <c r="W311" s="20" t="s">
        <v>96</v>
      </c>
      <c r="X311" s="20" t="s">
        <v>97</v>
      </c>
      <c r="Y311" s="20" t="s">
        <v>70</v>
      </c>
      <c r="Z311" s="20" t="s">
        <v>98</v>
      </c>
      <c r="AA311" s="20" t="s">
        <v>372</v>
      </c>
      <c r="AB311" s="20" t="s">
        <v>372</v>
      </c>
      <c r="AC311" s="20" t="s">
        <v>372</v>
      </c>
      <c r="AD311" s="20" t="s">
        <v>372</v>
      </c>
      <c r="AE311" s="20"/>
      <c r="AF311" s="9" t="n">
        <v>1</v>
      </c>
      <c r="AG311" s="12" t="n">
        <v>1</v>
      </c>
      <c r="AH311" s="22" t="s">
        <v>235</v>
      </c>
      <c r="AI311" s="12" t="str">
        <f>IF(AH311="","",IFERROR(RIGHT("0000"&amp;AH311,4)&amp;" - "&amp;UPPER(_xlfn.XLOOKUP(RIGHT("0000"&amp;AH311,4),CODEBOOK_CAP!$C$2:$C$212,CODEBOOK_CAP!$D$2:$D$212)),"Código CAP não encontrado"))</f>
        <v>0322 - ESTRUTURAS, HOSPITAIS, CLÍNICAS</v>
      </c>
      <c r="AJ311" s="12" t="str">
        <f>IF(AH311="","",IFERROR(_xlfn.XLOOKUP(RIGHT("0000"&amp;AH311,4),CODEBOOK_CAP!$C$2:$C$212,CODEBOOK_CAP!$E$2:$E$212),"Código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11" s="22" t="s">
        <v>77</v>
      </c>
      <c r="AL311" s="26"/>
      <c r="AM311" s="22" t="s">
        <v>79</v>
      </c>
      <c r="AN311" s="22" t="s">
        <v>79</v>
      </c>
      <c r="AO311" s="12" t="s">
        <v>840</v>
      </c>
      <c r="AP311" s="22" t="s">
        <v>77</v>
      </c>
      <c r="AQ311" s="12"/>
      <c r="AR311" s="22" t="s">
        <v>77</v>
      </c>
      <c r="AS311" s="10"/>
      <c r="AT311" s="2" t="s">
        <v>1814</v>
      </c>
      <c r="AU311" s="12" t="s">
        <v>83</v>
      </c>
      <c r="AV311" s="3" t="n">
        <v>46220</v>
      </c>
      <c r="AW311" s="21"/>
      <c r="AY311" s="1"/>
      <c r="BA311" s="1"/>
      <c r="BB311" s="1"/>
    </row>
    <row r="312" ht="120" customHeight="1">
      <c r="A312" s="20" t="s">
        <v>2007</v>
      </c>
      <c r="B312" s="20" t="n">
        <v>2023</v>
      </c>
      <c r="C312" s="20" t="n">
        <v>585</v>
      </c>
      <c r="D312" s="20" t="s">
        <v>50</v>
      </c>
      <c r="E312" s="20" t="s">
        <v>1951</v>
      </c>
      <c r="F312" s="20" t="s">
        <v>2008</v>
      </c>
      <c r="G312" s="20" t="s">
        <v>86</v>
      </c>
      <c r="H312" s="20" t="s">
        <v>1953</v>
      </c>
      <c r="I312" s="20"/>
      <c r="J312" s="20" t="s">
        <v>2009</v>
      </c>
      <c r="K312" s="20" t="s">
        <v>122</v>
      </c>
      <c r="L312" s="20" t="s">
        <v>57</v>
      </c>
      <c r="M312" s="20" t="s">
        <v>58</v>
      </c>
      <c r="N312" s="20" t="s">
        <v>59</v>
      </c>
      <c r="O312" s="20" t="s">
        <v>60</v>
      </c>
      <c r="P312" s="20" t="s">
        <v>89</v>
      </c>
      <c r="Q312" s="20" t="s">
        <v>90</v>
      </c>
      <c r="R312" s="20" t="s">
        <v>91</v>
      </c>
      <c r="S312" s="20" t="s">
        <v>92</v>
      </c>
      <c r="T312" s="20" t="s">
        <v>123</v>
      </c>
      <c r="U312" s="20" t="s">
        <v>124</v>
      </c>
      <c r="V312" s="20" t="s">
        <v>95</v>
      </c>
      <c r="W312" s="20" t="s">
        <v>96</v>
      </c>
      <c r="X312" s="20" t="s">
        <v>97</v>
      </c>
      <c r="Y312" s="20" t="s">
        <v>70</v>
      </c>
      <c r="Z312" s="20" t="s">
        <v>98</v>
      </c>
      <c r="AA312" s="20" t="s">
        <v>372</v>
      </c>
      <c r="AB312" s="20" t="s">
        <v>372</v>
      </c>
      <c r="AC312" s="20" t="s">
        <v>372</v>
      </c>
      <c r="AD312" s="20" t="s">
        <v>372</v>
      </c>
      <c r="AE312" s="20"/>
      <c r="AF312" s="9" t="n">
        <v>1</v>
      </c>
      <c r="AG312" s="12" t="n">
        <v>1</v>
      </c>
      <c r="AH312" s="22" t="s">
        <v>235</v>
      </c>
      <c r="AI312" s="12" t="str">
        <f>IF(AH312="","",IFERROR(RIGHT("0000"&amp;AH312,4)&amp;" - "&amp;UPPER(_xlfn.XLOOKUP(RIGHT("0000"&amp;AH312,4),CODEBOOK_CAP!$C$2:$C$212,CODEBOOK_CAP!$D$2:$D$212)),"Código CAP não encontrado"))</f>
        <v>0322 - ESTRUTURAS, HOSPITAIS, CLÍNICAS</v>
      </c>
      <c r="AJ312" s="12" t="str">
        <f>IF(AH312="","",IFERROR(_xlfn.XLOOKUP(RIGHT("0000"&amp;AH312,4),CODEBOOK_CAP!$C$2:$C$212,CODEBOOK_CAP!$E$2:$E$212),"Código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12" s="22" t="s">
        <v>77</v>
      </c>
      <c r="AL312" s="26"/>
      <c r="AM312" s="22" t="s">
        <v>79</v>
      </c>
      <c r="AN312" s="22" t="s">
        <v>79</v>
      </c>
      <c r="AO312" s="12" t="s">
        <v>2010</v>
      </c>
      <c r="AP312" s="22" t="s">
        <v>77</v>
      </c>
      <c r="AQ312" s="12"/>
      <c r="AR312" s="22" t="s">
        <v>77</v>
      </c>
      <c r="AS312" s="10"/>
      <c r="AT312" s="2" t="s">
        <v>1814</v>
      </c>
      <c r="AU312" s="12" t="s">
        <v>83</v>
      </c>
      <c r="AV312" s="3" t="n">
        <v>46220</v>
      </c>
      <c r="AW312" s="21"/>
      <c r="AY312" s="1"/>
      <c r="BA312" s="1"/>
      <c r="BB312" s="1"/>
    </row>
    <row r="313" ht="150" customHeight="1">
      <c r="A313" s="20" t="s">
        <v>2011</v>
      </c>
      <c r="B313" s="20" t="n">
        <v>2023</v>
      </c>
      <c r="C313" s="20" t="n">
        <v>586</v>
      </c>
      <c r="D313" s="20" t="s">
        <v>50</v>
      </c>
      <c r="E313" s="20" t="s">
        <v>1951</v>
      </c>
      <c r="F313" s="20" t="s">
        <v>2012</v>
      </c>
      <c r="G313" s="20" t="s">
        <v>86</v>
      </c>
      <c r="H313" s="20" t="s">
        <v>1953</v>
      </c>
      <c r="I313" s="20"/>
      <c r="J313" s="20" t="s">
        <v>2013</v>
      </c>
      <c r="K313" s="20" t="s">
        <v>122</v>
      </c>
      <c r="L313" s="20" t="s">
        <v>57</v>
      </c>
      <c r="M313" s="20" t="s">
        <v>58</v>
      </c>
      <c r="N313" s="20" t="s">
        <v>59</v>
      </c>
      <c r="O313" s="20" t="s">
        <v>60</v>
      </c>
      <c r="P313" s="20" t="s">
        <v>89</v>
      </c>
      <c r="Q313" s="20" t="s">
        <v>90</v>
      </c>
      <c r="R313" s="20" t="s">
        <v>91</v>
      </c>
      <c r="S313" s="20" t="s">
        <v>92</v>
      </c>
      <c r="T313" s="20" t="s">
        <v>123</v>
      </c>
      <c r="U313" s="20" t="s">
        <v>124</v>
      </c>
      <c r="V313" s="20" t="s">
        <v>95</v>
      </c>
      <c r="W313" s="20" t="s">
        <v>96</v>
      </c>
      <c r="X313" s="20" t="s">
        <v>97</v>
      </c>
      <c r="Y313" s="20" t="s">
        <v>70</v>
      </c>
      <c r="Z313" s="20" t="s">
        <v>98</v>
      </c>
      <c r="AA313" s="20" t="s">
        <v>125</v>
      </c>
      <c r="AB313" s="20" t="s">
        <v>125</v>
      </c>
      <c r="AC313" s="20" t="s">
        <v>125</v>
      </c>
      <c r="AD313" s="20" t="s">
        <v>125</v>
      </c>
      <c r="AE313" s="20"/>
      <c r="AF313" s="9" t="n">
        <v>1</v>
      </c>
      <c r="AG313" s="12" t="n">
        <v>1</v>
      </c>
      <c r="AH313" s="22" t="s">
        <v>620</v>
      </c>
      <c r="AI313" s="12" t="str">
        <f>IF(AH313="","",IFERROR(RIGHT("0000"&amp;AH313,4)&amp;" - "&amp;UPPER(_xlfn.XLOOKUP(RIGHT("0000"&amp;AH313,4),CODEBOOK_CAP!$C$2:$C$212,CODEBOOK_CAP!$D$2:$D$212)),"Código CAP não encontrado"))</f>
        <v>0332 - SAÚDE INFANTIL, GRAVIDEZ E PRÉ-NATAL</v>
      </c>
      <c r="AJ313" s="12" t="str">
        <f>IF(AH313="","",IFERROR(_xlfn.XLOOKUP(RIGHT("0000"&amp;AH313,4),CODEBOOK_CAP!$C$2:$C$212,CODEBOOK_CAP!$E$2:$E$212),"Código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313" s="22" t="s">
        <v>77</v>
      </c>
      <c r="AL313" s="26"/>
      <c r="AM313" s="22" t="s">
        <v>79</v>
      </c>
      <c r="AN313" s="22" t="s">
        <v>79</v>
      </c>
      <c r="AO313" s="12" t="s">
        <v>1901</v>
      </c>
      <c r="AP313" s="22" t="s">
        <v>77</v>
      </c>
      <c r="AQ313" s="12"/>
      <c r="AR313" s="22" t="s">
        <v>77</v>
      </c>
      <c r="AS313" s="10"/>
      <c r="AT313" s="2" t="s">
        <v>1814</v>
      </c>
      <c r="AU313" s="12" t="s">
        <v>83</v>
      </c>
      <c r="AV313" s="3" t="n">
        <v>46220</v>
      </c>
      <c r="AW313" s="21"/>
      <c r="AY313" s="1"/>
      <c r="BA313" s="1"/>
      <c r="BB313" s="1"/>
    </row>
    <row r="314" ht="120" customHeight="1">
      <c r="A314" s="20" t="s">
        <v>2014</v>
      </c>
      <c r="B314" s="20" t="n">
        <v>2023</v>
      </c>
      <c r="C314" s="20" t="n">
        <v>587</v>
      </c>
      <c r="D314" s="20" t="s">
        <v>50</v>
      </c>
      <c r="E314" s="20" t="s">
        <v>1951</v>
      </c>
      <c r="F314" s="20" t="s">
        <v>2015</v>
      </c>
      <c r="G314" s="20" t="s">
        <v>86</v>
      </c>
      <c r="H314" s="20" t="s">
        <v>1953</v>
      </c>
      <c r="I314" s="20"/>
      <c r="J314" s="20" t="s">
        <v>2016</v>
      </c>
      <c r="K314" s="20" t="s">
        <v>122</v>
      </c>
      <c r="L314" s="20" t="s">
        <v>57</v>
      </c>
      <c r="M314" s="20" t="s">
        <v>58</v>
      </c>
      <c r="N314" s="20" t="s">
        <v>59</v>
      </c>
      <c r="O314" s="20" t="s">
        <v>60</v>
      </c>
      <c r="P314" s="20" t="s">
        <v>89</v>
      </c>
      <c r="Q314" s="20" t="s">
        <v>90</v>
      </c>
      <c r="R314" s="20" t="s">
        <v>91</v>
      </c>
      <c r="S314" s="20" t="s">
        <v>92</v>
      </c>
      <c r="T314" s="20" t="s">
        <v>123</v>
      </c>
      <c r="U314" s="20" t="s">
        <v>124</v>
      </c>
      <c r="V314" s="20" t="s">
        <v>95</v>
      </c>
      <c r="W314" s="20" t="s">
        <v>96</v>
      </c>
      <c r="X314" s="20" t="s">
        <v>97</v>
      </c>
      <c r="Y314" s="20" t="s">
        <v>70</v>
      </c>
      <c r="Z314" s="20" t="s">
        <v>98</v>
      </c>
      <c r="AA314" s="20" t="s">
        <v>372</v>
      </c>
      <c r="AB314" s="20" t="s">
        <v>372</v>
      </c>
      <c r="AC314" s="20" t="s">
        <v>372</v>
      </c>
      <c r="AD314" s="20" t="s">
        <v>372</v>
      </c>
      <c r="AE314" s="20"/>
      <c r="AF314" s="9" t="n">
        <v>1</v>
      </c>
      <c r="AG314" s="12" t="n">
        <v>1</v>
      </c>
      <c r="AH314" s="22" t="s">
        <v>235</v>
      </c>
      <c r="AI314" s="12" t="str">
        <f>IF(AH314="","",IFERROR(RIGHT("0000"&amp;AH314,4)&amp;" - "&amp;UPPER(_xlfn.XLOOKUP(RIGHT("0000"&amp;AH314,4),CODEBOOK_CAP!$C$2:$C$212,CODEBOOK_CAP!$D$2:$D$212)),"Código CAP não encontrado"))</f>
        <v>0322 - ESTRUTURAS, HOSPITAIS, CLÍNICAS</v>
      </c>
      <c r="AJ314" s="12" t="str">
        <f>IF(AH314="","",IFERROR(_xlfn.XLOOKUP(RIGHT("0000"&amp;AH314,4),CODEBOOK_CAP!$C$2:$C$212,CODEBOOK_CAP!$E$2:$E$212),"Código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14" s="22" t="s">
        <v>77</v>
      </c>
      <c r="AL314" s="26"/>
      <c r="AM314" s="22" t="s">
        <v>79</v>
      </c>
      <c r="AN314" s="22" t="s">
        <v>79</v>
      </c>
      <c r="AO314" s="12" t="s">
        <v>1894</v>
      </c>
      <c r="AP314" s="22" t="s">
        <v>77</v>
      </c>
      <c r="AQ314" s="12"/>
      <c r="AR314" s="22" t="s">
        <v>77</v>
      </c>
      <c r="AS314" s="10"/>
      <c r="AT314" s="2" t="s">
        <v>1814</v>
      </c>
      <c r="AU314" s="12" t="s">
        <v>83</v>
      </c>
      <c r="AV314" s="3" t="n">
        <v>46220</v>
      </c>
      <c r="AW314" s="21"/>
      <c r="AY314" s="1"/>
      <c r="BA314" s="1"/>
      <c r="BB314" s="1"/>
    </row>
    <row r="315" ht="120" customHeight="1">
      <c r="A315" s="20" t="s">
        <v>2017</v>
      </c>
      <c r="B315" s="20" t="n">
        <v>2023</v>
      </c>
      <c r="C315" s="20" t="n">
        <v>588</v>
      </c>
      <c r="D315" s="20" t="s">
        <v>50</v>
      </c>
      <c r="E315" s="20" t="s">
        <v>1951</v>
      </c>
      <c r="F315" s="20" t="s">
        <v>2018</v>
      </c>
      <c r="G315" s="20" t="s">
        <v>86</v>
      </c>
      <c r="H315" s="20" t="s">
        <v>1953</v>
      </c>
      <c r="I315" s="20"/>
      <c r="J315" s="20" t="s">
        <v>2019</v>
      </c>
      <c r="K315" s="20" t="s">
        <v>122</v>
      </c>
      <c r="L315" s="20" t="s">
        <v>57</v>
      </c>
      <c r="M315" s="20" t="s">
        <v>58</v>
      </c>
      <c r="N315" s="20" t="s">
        <v>59</v>
      </c>
      <c r="O315" s="20" t="s">
        <v>60</v>
      </c>
      <c r="P315" s="20" t="s">
        <v>89</v>
      </c>
      <c r="Q315" s="20" t="s">
        <v>90</v>
      </c>
      <c r="R315" s="20" t="s">
        <v>91</v>
      </c>
      <c r="S315" s="20" t="s">
        <v>92</v>
      </c>
      <c r="T315" s="20" t="s">
        <v>123</v>
      </c>
      <c r="U315" s="20" t="s">
        <v>124</v>
      </c>
      <c r="V315" s="20" t="s">
        <v>95</v>
      </c>
      <c r="W315" s="20" t="s">
        <v>96</v>
      </c>
      <c r="X315" s="20" t="s">
        <v>97</v>
      </c>
      <c r="Y315" s="20" t="s">
        <v>70</v>
      </c>
      <c r="Z315" s="20" t="s">
        <v>98</v>
      </c>
      <c r="AA315" s="20" t="s">
        <v>2020</v>
      </c>
      <c r="AB315" s="20" t="s">
        <v>2020</v>
      </c>
      <c r="AC315" s="20" t="s">
        <v>2020</v>
      </c>
      <c r="AD315" s="20" t="s">
        <v>2020</v>
      </c>
      <c r="AE315" s="20"/>
      <c r="AF315" s="9" t="n">
        <v>1</v>
      </c>
      <c r="AG315" s="12" t="n">
        <v>1</v>
      </c>
      <c r="AH315" s="22" t="s">
        <v>235</v>
      </c>
      <c r="AI315" s="12" t="str">
        <f>IF(AH315="","",IFERROR(RIGHT("0000"&amp;AH315,4)&amp;" - "&amp;UPPER(_xlfn.XLOOKUP(RIGHT("0000"&amp;AH315,4),CODEBOOK_CAP!$C$2:$C$212,CODEBOOK_CAP!$D$2:$D$212)),"Código CAP não encontrado"))</f>
        <v>0322 - ESTRUTURAS, HOSPITAIS, CLÍNICAS</v>
      </c>
      <c r="AJ315" s="12" t="str">
        <f>IF(AH315="","",IFERROR(_xlfn.XLOOKUP(RIGHT("0000"&amp;AH315,4),CODEBOOK_CAP!$C$2:$C$212,CODEBOOK_CAP!$E$2:$E$212),"Código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15" s="22" t="s">
        <v>77</v>
      </c>
      <c r="AL315" s="26"/>
      <c r="AM315" s="22" t="s">
        <v>79</v>
      </c>
      <c r="AN315" s="22" t="s">
        <v>79</v>
      </c>
      <c r="AO315" s="12" t="s">
        <v>2021</v>
      </c>
      <c r="AP315" s="22" t="s">
        <v>77</v>
      </c>
      <c r="AQ315" s="12"/>
      <c r="AR315" s="22" t="s">
        <v>77</v>
      </c>
      <c r="AS315" s="10"/>
      <c r="AT315" s="2" t="s">
        <v>1814</v>
      </c>
      <c r="AU315" s="12" t="s">
        <v>83</v>
      </c>
      <c r="AV315" s="3" t="n">
        <v>46220</v>
      </c>
      <c r="AW315" s="21"/>
      <c r="AY315" s="1"/>
      <c r="BA315" s="1"/>
      <c r="BB315" s="1"/>
    </row>
    <row r="316" ht="210" customHeight="1">
      <c r="A316" s="20" t="s">
        <v>2022</v>
      </c>
      <c r="B316" s="20" t="n">
        <v>2023</v>
      </c>
      <c r="C316" s="20" t="n">
        <v>605</v>
      </c>
      <c r="D316" s="20" t="s">
        <v>50</v>
      </c>
      <c r="E316" s="20" t="s">
        <v>1951</v>
      </c>
      <c r="F316" s="20" t="s">
        <v>2023</v>
      </c>
      <c r="G316" s="20" t="s">
        <v>86</v>
      </c>
      <c r="H316" s="20" t="s">
        <v>1953</v>
      </c>
      <c r="I316" s="20"/>
      <c r="J316" s="20" t="s">
        <v>2024</v>
      </c>
      <c r="K316" s="20" t="s">
        <v>273</v>
      </c>
      <c r="L316" s="20" t="s">
        <v>274</v>
      </c>
      <c r="M316" s="20" t="s">
        <v>275</v>
      </c>
      <c r="N316" s="20" t="s">
        <v>276</v>
      </c>
      <c r="O316" s="20" t="s">
        <v>277</v>
      </c>
      <c r="P316" s="20" t="s">
        <v>278</v>
      </c>
      <c r="Q316" s="20" t="s">
        <v>279</v>
      </c>
      <c r="R316" s="20" t="s">
        <v>280</v>
      </c>
      <c r="S316" s="20" t="s">
        <v>281</v>
      </c>
      <c r="T316" s="20" t="s">
        <v>282</v>
      </c>
      <c r="U316" s="20" t="s">
        <v>283</v>
      </c>
      <c r="V316" s="20" t="s">
        <v>95</v>
      </c>
      <c r="W316" s="20" t="s">
        <v>96</v>
      </c>
      <c r="X316" s="20" t="s">
        <v>97</v>
      </c>
      <c r="Y316" s="20" t="s">
        <v>70</v>
      </c>
      <c r="Z316" s="20" t="s">
        <v>284</v>
      </c>
      <c r="AA316" s="20" t="s">
        <v>292</v>
      </c>
      <c r="AB316" s="20" t="s">
        <v>292</v>
      </c>
      <c r="AC316" s="20" t="s">
        <v>292</v>
      </c>
      <c r="AD316" s="20" t="s">
        <v>292</v>
      </c>
      <c r="AE316" s="20"/>
      <c r="AF316" s="9" t="n">
        <v>0</v>
      </c>
      <c r="AG316" s="12" t="n">
        <v>0</v>
      </c>
      <c r="AH316" s="22" t="s">
        <v>607</v>
      </c>
      <c r="AI316" s="12" t="str">
        <f>IF(AH316="","",IFERROR(RIGHT("0000"&amp;AH316,4)&amp;" - "&amp;UPPER(_xlfn.XLOOKUP(RIGHT("0000"&amp;AH316,4),CODEBOOK_CAP!$C$2:$C$212,CODEBOOK_CAP!$D$2:$D$212)),"Código CAP não encontrado"))</f>
        <v>1300 - GERAL</v>
      </c>
      <c r="AJ316" s="12" t="str">
        <f>IF(AH316="","",IFERROR(_xlfn.XLOOKUP(RIGHT("0000"&amp;AH316,4),CODEBOOK_CAP!$C$2:$C$212,CODEBOOK_CAP!$E$2:$E$212),"Código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16" s="22" t="s">
        <v>77</v>
      </c>
      <c r="AL316" s="26"/>
      <c r="AM316" s="22" t="s">
        <v>77</v>
      </c>
      <c r="AN316" s="22" t="s">
        <v>77</v>
      </c>
      <c r="AO316" s="12"/>
      <c r="AP316" s="22" t="s">
        <v>77</v>
      </c>
      <c r="AQ316" s="12"/>
      <c r="AR316" s="22" t="s">
        <v>77</v>
      </c>
      <c r="AS316" s="10"/>
      <c r="AT316" s="2" t="s">
        <v>1814</v>
      </c>
      <c r="AU316" s="12" t="s">
        <v>83</v>
      </c>
      <c r="AV316" s="3" t="n">
        <v>46220</v>
      </c>
      <c r="AW316" s="21"/>
      <c r="AY316" s="1"/>
      <c r="BA316" s="1"/>
      <c r="BB316" s="1"/>
    </row>
    <row r="317" ht="90" customHeight="1">
      <c r="A317" s="20" t="s">
        <v>2025</v>
      </c>
      <c r="B317" s="20" t="n">
        <v>2023</v>
      </c>
      <c r="C317" s="20" t="n">
        <v>606</v>
      </c>
      <c r="D317" s="20" t="s">
        <v>50</v>
      </c>
      <c r="E317" s="20" t="s">
        <v>1951</v>
      </c>
      <c r="F317" s="20" t="s">
        <v>2026</v>
      </c>
      <c r="G317" s="20" t="s">
        <v>315</v>
      </c>
      <c r="H317" s="20" t="s">
        <v>1953</v>
      </c>
      <c r="I317" s="20"/>
      <c r="J317" s="20" t="s">
        <v>2027</v>
      </c>
      <c r="K317" s="20" t="s">
        <v>2028</v>
      </c>
      <c r="L317" s="20" t="s">
        <v>274</v>
      </c>
      <c r="M317" s="20" t="s">
        <v>275</v>
      </c>
      <c r="N317" s="20" t="s">
        <v>276</v>
      </c>
      <c r="O317" s="20" t="s">
        <v>277</v>
      </c>
      <c r="P317" s="20" t="s">
        <v>278</v>
      </c>
      <c r="Q317" s="20" t="s">
        <v>279</v>
      </c>
      <c r="R317" s="20" t="s">
        <v>817</v>
      </c>
      <c r="S317" s="20" t="s">
        <v>818</v>
      </c>
      <c r="T317" s="20" t="s">
        <v>2029</v>
      </c>
      <c r="U317" s="20" t="s">
        <v>2030</v>
      </c>
      <c r="V317" s="20" t="s">
        <v>95</v>
      </c>
      <c r="W317" s="20" t="s">
        <v>96</v>
      </c>
      <c r="X317" s="20" t="s">
        <v>97</v>
      </c>
      <c r="Y317" s="20" t="s">
        <v>70</v>
      </c>
      <c r="Z317" s="20" t="s">
        <v>284</v>
      </c>
      <c r="AA317" s="20" t="s">
        <v>292</v>
      </c>
      <c r="AB317" s="20" t="s">
        <v>292</v>
      </c>
      <c r="AC317" s="20" t="s">
        <v>292</v>
      </c>
      <c r="AD317" s="20" t="s">
        <v>292</v>
      </c>
      <c r="AE317" s="20"/>
      <c r="AF317" s="9" t="n">
        <v>0</v>
      </c>
      <c r="AG317" s="12" t="n">
        <v>0</v>
      </c>
      <c r="AH317" s="22" t="s">
        <v>941</v>
      </c>
      <c r="AI317" s="12" t="str">
        <f>IF(AH317="","",IFERROR(RIGHT("0000"&amp;AH317,4)&amp;" - "&amp;UPPER(_xlfn.XLOOKUP(RIGHT("0000"&amp;AH317,4),CODEBOOK_CAP!$C$2:$C$212,CODEBOOK_CAP!$D$2:$D$212)),"Código CAP não encontrado"))</f>
        <v>1308 - POLÍTICAS SOCIAIS PARA FAMÍLIAS E INFÂNCIA</v>
      </c>
      <c r="AJ317" s="12" t="str">
        <f>IF(AH317="","",IFERROR(_xlfn.XLOOKUP(RIGHT("0000"&amp;AH317,4),CODEBOOK_CAP!$C$2:$C$212,CODEBOOK_CAP!$E$2:$E$212),"Código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17" s="22" t="s">
        <v>77</v>
      </c>
      <c r="AL317" s="26"/>
      <c r="AM317" s="22" t="s">
        <v>77</v>
      </c>
      <c r="AN317" s="22" t="s">
        <v>77</v>
      </c>
      <c r="AO317" s="12"/>
      <c r="AP317" s="22" t="s">
        <v>79</v>
      </c>
      <c r="AQ317" s="12" t="s">
        <v>901</v>
      </c>
      <c r="AR317" s="22" t="s">
        <v>77</v>
      </c>
      <c r="AS317" s="10"/>
      <c r="AT317" s="2" t="s">
        <v>1814</v>
      </c>
      <c r="AU317" s="12" t="s">
        <v>83</v>
      </c>
      <c r="AV317" s="3" t="n">
        <v>46220</v>
      </c>
      <c r="AW317" s="21"/>
      <c r="AY317" s="1"/>
      <c r="BA317" s="1"/>
      <c r="BB317" s="1"/>
    </row>
    <row r="318" ht="105" customHeight="1">
      <c r="A318" s="20" t="s">
        <v>2031</v>
      </c>
      <c r="B318" s="20" t="n">
        <v>2023</v>
      </c>
      <c r="C318" s="20" t="n">
        <v>607</v>
      </c>
      <c r="D318" s="20" t="s">
        <v>50</v>
      </c>
      <c r="E318" s="20" t="s">
        <v>1951</v>
      </c>
      <c r="F318" s="20" t="s">
        <v>2032</v>
      </c>
      <c r="G318" s="20" t="s">
        <v>86</v>
      </c>
      <c r="H318" s="20" t="s">
        <v>1953</v>
      </c>
      <c r="I318" s="20"/>
      <c r="J318" s="20" t="s">
        <v>2033</v>
      </c>
      <c r="K318" s="20" t="s">
        <v>2028</v>
      </c>
      <c r="L318" s="20" t="s">
        <v>274</v>
      </c>
      <c r="M318" s="20" t="s">
        <v>275</v>
      </c>
      <c r="N318" s="20" t="s">
        <v>276</v>
      </c>
      <c r="O318" s="20" t="s">
        <v>277</v>
      </c>
      <c r="P318" s="20" t="s">
        <v>278</v>
      </c>
      <c r="Q318" s="20" t="s">
        <v>279</v>
      </c>
      <c r="R318" s="20" t="s">
        <v>817</v>
      </c>
      <c r="S318" s="20" t="s">
        <v>818</v>
      </c>
      <c r="T318" s="20" t="s">
        <v>2029</v>
      </c>
      <c r="U318" s="20" t="s">
        <v>2030</v>
      </c>
      <c r="V318" s="20" t="s">
        <v>95</v>
      </c>
      <c r="W318" s="20" t="s">
        <v>96</v>
      </c>
      <c r="X318" s="20" t="s">
        <v>97</v>
      </c>
      <c r="Y318" s="20" t="s">
        <v>70</v>
      </c>
      <c r="Z318" s="20" t="s">
        <v>284</v>
      </c>
      <c r="AA318" s="20" t="s">
        <v>292</v>
      </c>
      <c r="AB318" s="20" t="s">
        <v>292</v>
      </c>
      <c r="AC318" s="20" t="s">
        <v>292</v>
      </c>
      <c r="AD318" s="20" t="s">
        <v>292</v>
      </c>
      <c r="AE318" s="20"/>
      <c r="AF318" s="9" t="n">
        <v>0</v>
      </c>
      <c r="AG318" s="12" t="n">
        <v>0</v>
      </c>
      <c r="AH318" s="22" t="s">
        <v>941</v>
      </c>
      <c r="AI318" s="12" t="str">
        <f>IF(AH318="","",IFERROR(RIGHT("0000"&amp;AH318,4)&amp;" - "&amp;UPPER(_xlfn.XLOOKUP(RIGHT("0000"&amp;AH318,4),CODEBOOK_CAP!$C$2:$C$212,CODEBOOK_CAP!$D$2:$D$212)),"Código CAP não encontrado"))</f>
        <v>1308 - POLÍTICAS SOCIAIS PARA FAMÍLIAS E INFÂNCIA</v>
      </c>
      <c r="AJ318" s="12" t="str">
        <f>IF(AH318="","",IFERROR(_xlfn.XLOOKUP(RIGHT("0000"&amp;AH318,4),CODEBOOK_CAP!$C$2:$C$212,CODEBOOK_CAP!$E$2:$E$212),"Código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318" s="22" t="s">
        <v>77</v>
      </c>
      <c r="AL318" s="26"/>
      <c r="AM318" s="22" t="s">
        <v>77</v>
      </c>
      <c r="AN318" s="22" t="s">
        <v>77</v>
      </c>
      <c r="AO318" s="12"/>
      <c r="AP318" s="22" t="s">
        <v>79</v>
      </c>
      <c r="AQ318" s="12" t="s">
        <v>901</v>
      </c>
      <c r="AR318" s="22" t="s">
        <v>77</v>
      </c>
      <c r="AS318" s="10"/>
      <c r="AT318" s="2" t="s">
        <v>1814</v>
      </c>
      <c r="AU318" s="12" t="s">
        <v>83</v>
      </c>
      <c r="AV318" s="3" t="n">
        <v>46220</v>
      </c>
      <c r="AW318" s="21"/>
      <c r="AY318" s="1"/>
      <c r="BA318" s="1"/>
      <c r="BB318" s="1"/>
    </row>
    <row r="319" ht="210" customHeight="1">
      <c r="A319" s="20" t="s">
        <v>2034</v>
      </c>
      <c r="B319" s="20" t="n">
        <v>2023</v>
      </c>
      <c r="C319" s="20" t="n">
        <v>608</v>
      </c>
      <c r="D319" s="20" t="s">
        <v>50</v>
      </c>
      <c r="E319" s="20" t="s">
        <v>1951</v>
      </c>
      <c r="F319" s="20" t="s">
        <v>2035</v>
      </c>
      <c r="G319" s="20" t="s">
        <v>315</v>
      </c>
      <c r="H319" s="20" t="s">
        <v>1953</v>
      </c>
      <c r="I319" s="20"/>
      <c r="J319" s="20" t="s">
        <v>2036</v>
      </c>
      <c r="K319" s="20" t="s">
        <v>1117</v>
      </c>
      <c r="L319" s="20" t="s">
        <v>274</v>
      </c>
      <c r="M319" s="20" t="s">
        <v>275</v>
      </c>
      <c r="N319" s="20" t="s">
        <v>276</v>
      </c>
      <c r="O319" s="20" t="s">
        <v>277</v>
      </c>
      <c r="P319" s="20" t="s">
        <v>278</v>
      </c>
      <c r="Q319" s="20" t="s">
        <v>279</v>
      </c>
      <c r="R319" s="20" t="s">
        <v>1118</v>
      </c>
      <c r="S319" s="20" t="s">
        <v>1119</v>
      </c>
      <c r="T319" s="20" t="s">
        <v>1120</v>
      </c>
      <c r="U319" s="20" t="s">
        <v>1121</v>
      </c>
      <c r="V319" s="20" t="s">
        <v>95</v>
      </c>
      <c r="W319" s="20" t="s">
        <v>96</v>
      </c>
      <c r="X319" s="20" t="s">
        <v>97</v>
      </c>
      <c r="Y319" s="20" t="s">
        <v>70</v>
      </c>
      <c r="Z319" s="20" t="s">
        <v>284</v>
      </c>
      <c r="AA319" s="20" t="s">
        <v>292</v>
      </c>
      <c r="AB319" s="20" t="s">
        <v>292</v>
      </c>
      <c r="AC319" s="20" t="s">
        <v>292</v>
      </c>
      <c r="AD319" s="20" t="s">
        <v>292</v>
      </c>
      <c r="AE319" s="20"/>
      <c r="AF319" s="9" t="n">
        <v>0</v>
      </c>
      <c r="AG319" s="12" t="n">
        <v>0</v>
      </c>
      <c r="AH319" s="22" t="s">
        <v>607</v>
      </c>
      <c r="AI319" s="12" t="str">
        <f>IF(AH319="","",IFERROR(RIGHT("0000"&amp;AH319,4)&amp;" - "&amp;UPPER(_xlfn.XLOOKUP(RIGHT("0000"&amp;AH319,4),CODEBOOK_CAP!$C$2:$C$212,CODEBOOK_CAP!$D$2:$D$212)),"Código CAP não encontrado"))</f>
        <v>1300 - GERAL</v>
      </c>
      <c r="AJ319" s="12" t="str">
        <f>IF(AH319="","",IFERROR(_xlfn.XLOOKUP(RIGHT("0000"&amp;AH319,4),CODEBOOK_CAP!$C$2:$C$212,CODEBOOK_CAP!$E$2:$E$212),"Código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19" s="22" t="s">
        <v>77</v>
      </c>
      <c r="AL319" s="26"/>
      <c r="AM319" s="22" t="s">
        <v>77</v>
      </c>
      <c r="AN319" s="22" t="s">
        <v>77</v>
      </c>
      <c r="AO319" s="12"/>
      <c r="AP319" s="22" t="s">
        <v>77</v>
      </c>
      <c r="AQ319" s="12"/>
      <c r="AR319" s="22" t="s">
        <v>77</v>
      </c>
      <c r="AS319" s="10"/>
      <c r="AT319" s="2" t="s">
        <v>1814</v>
      </c>
      <c r="AU319" s="12" t="s">
        <v>83</v>
      </c>
      <c r="AV319" s="3" t="n">
        <v>46220</v>
      </c>
      <c r="AW319" s="21"/>
      <c r="AY319" s="1"/>
      <c r="BA319" s="1"/>
      <c r="BB319" s="1"/>
    </row>
    <row r="320" ht="90" customHeight="1">
      <c r="A320" s="20" t="s">
        <v>2037</v>
      </c>
      <c r="B320" s="20" t="n">
        <v>2023</v>
      </c>
      <c r="C320" s="20" t="n">
        <v>609</v>
      </c>
      <c r="D320" s="20" t="s">
        <v>50</v>
      </c>
      <c r="E320" s="20" t="s">
        <v>1951</v>
      </c>
      <c r="F320" s="20" t="s">
        <v>2038</v>
      </c>
      <c r="G320" s="20" t="s">
        <v>315</v>
      </c>
      <c r="H320" s="20" t="s">
        <v>1953</v>
      </c>
      <c r="I320" s="20"/>
      <c r="J320" s="20" t="s">
        <v>2039</v>
      </c>
      <c r="K320" s="20" t="s">
        <v>2040</v>
      </c>
      <c r="L320" s="20" t="s">
        <v>274</v>
      </c>
      <c r="M320" s="20" t="s">
        <v>275</v>
      </c>
      <c r="N320" s="20" t="s">
        <v>276</v>
      </c>
      <c r="O320" s="20" t="s">
        <v>277</v>
      </c>
      <c r="P320" s="20" t="s">
        <v>2041</v>
      </c>
      <c r="Q320" s="20" t="s">
        <v>2042</v>
      </c>
      <c r="R320" s="20" t="s">
        <v>1118</v>
      </c>
      <c r="S320" s="20" t="s">
        <v>1119</v>
      </c>
      <c r="T320" s="20" t="s">
        <v>1120</v>
      </c>
      <c r="U320" s="20" t="s">
        <v>1121</v>
      </c>
      <c r="V320" s="20" t="s">
        <v>95</v>
      </c>
      <c r="W320" s="20" t="s">
        <v>96</v>
      </c>
      <c r="X320" s="20" t="s">
        <v>97</v>
      </c>
      <c r="Y320" s="20" t="s">
        <v>70</v>
      </c>
      <c r="Z320" s="20" t="s">
        <v>284</v>
      </c>
      <c r="AA320" s="20" t="s">
        <v>292</v>
      </c>
      <c r="AB320" s="20" t="s">
        <v>292</v>
      </c>
      <c r="AC320" s="20" t="s">
        <v>292</v>
      </c>
      <c r="AD320" s="20" t="s">
        <v>292</v>
      </c>
      <c r="AE320" s="20"/>
      <c r="AF320" s="9" t="n">
        <v>0</v>
      </c>
      <c r="AG320" s="12" t="n">
        <v>0</v>
      </c>
      <c r="AH320" s="22" t="s">
        <v>2043</v>
      </c>
      <c r="AI320" s="12" t="str">
        <f>IF(AH320="","",IFERROR(RIGHT("0000"&amp;AH320,4)&amp;" - "&amp;UPPER(_xlfn.XLOOKUP(RIGHT("0000"&amp;AH320,4),CODEBOOK_CAP!$C$2:$C$212,CODEBOOK_CAP!$D$2:$D$212)),"Código CAP não encontrado"))</f>
        <v>1303 - POLÍTICAS SOCIAIS DE ASSISTÊNCIA PARA IDOSOS</v>
      </c>
      <c r="AJ320" s="12" t="str">
        <f>IF(AH320="","",IFERROR(_xlfn.XLOOKUP(RIGHT("0000"&amp;AH320,4),CODEBOOK_CAP!$C$2:$C$212,CODEBOOK_CAP!$E$2:$E$212),"Código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320" s="22" t="s">
        <v>77</v>
      </c>
      <c r="AL320" s="26"/>
      <c r="AM320" s="22" t="s">
        <v>77</v>
      </c>
      <c r="AN320" s="22" t="s">
        <v>77</v>
      </c>
      <c r="AO320" s="12"/>
      <c r="AP320" s="22" t="s">
        <v>79</v>
      </c>
      <c r="AQ320" s="12" t="s">
        <v>2044</v>
      </c>
      <c r="AR320" s="22" t="s">
        <v>77</v>
      </c>
      <c r="AS320" s="10"/>
      <c r="AT320" s="2" t="s">
        <v>1814</v>
      </c>
      <c r="AU320" s="12" t="s">
        <v>83</v>
      </c>
      <c r="AV320" s="3" t="n">
        <v>46220</v>
      </c>
      <c r="AW320" s="21"/>
      <c r="AY320" s="1"/>
      <c r="BA320" s="1"/>
      <c r="BB320" s="1"/>
    </row>
    <row r="321" ht="90" customHeight="1">
      <c r="A321" s="20" t="s">
        <v>2045</v>
      </c>
      <c r="B321" s="20" t="n">
        <v>2023</v>
      </c>
      <c r="C321" s="20" t="n">
        <v>611</v>
      </c>
      <c r="D321" s="20" t="s">
        <v>50</v>
      </c>
      <c r="E321" s="20" t="s">
        <v>1951</v>
      </c>
      <c r="F321" s="20" t="s">
        <v>2046</v>
      </c>
      <c r="G321" s="20" t="s">
        <v>86</v>
      </c>
      <c r="H321" s="20" t="s">
        <v>1953</v>
      </c>
      <c r="I321" s="20"/>
      <c r="J321" s="20" t="s">
        <v>2047</v>
      </c>
      <c r="K321" s="20" t="s">
        <v>2040</v>
      </c>
      <c r="L321" s="20" t="s">
        <v>274</v>
      </c>
      <c r="M321" s="20" t="s">
        <v>275</v>
      </c>
      <c r="N321" s="20" t="s">
        <v>276</v>
      </c>
      <c r="O321" s="20" t="s">
        <v>277</v>
      </c>
      <c r="P321" s="20" t="s">
        <v>2041</v>
      </c>
      <c r="Q321" s="20" t="s">
        <v>2042</v>
      </c>
      <c r="R321" s="20" t="s">
        <v>1118</v>
      </c>
      <c r="S321" s="20" t="s">
        <v>1119</v>
      </c>
      <c r="T321" s="20" t="s">
        <v>1120</v>
      </c>
      <c r="U321" s="20" t="s">
        <v>1121</v>
      </c>
      <c r="V321" s="20" t="s">
        <v>95</v>
      </c>
      <c r="W321" s="20" t="s">
        <v>96</v>
      </c>
      <c r="X321" s="20" t="s">
        <v>97</v>
      </c>
      <c r="Y321" s="20" t="s">
        <v>70</v>
      </c>
      <c r="Z321" s="20" t="s">
        <v>284</v>
      </c>
      <c r="AA321" s="20" t="s">
        <v>292</v>
      </c>
      <c r="AB321" s="20" t="s">
        <v>292</v>
      </c>
      <c r="AC321" s="20" t="s">
        <v>292</v>
      </c>
      <c r="AD321" s="20" t="s">
        <v>292</v>
      </c>
      <c r="AE321" s="20"/>
      <c r="AF321" s="9" t="n">
        <v>0</v>
      </c>
      <c r="AG321" s="12" t="n">
        <v>0</v>
      </c>
      <c r="AH321" s="22" t="s">
        <v>2043</v>
      </c>
      <c r="AI321" s="12" t="str">
        <f>IF(AH321="","",IFERROR(RIGHT("0000"&amp;AH321,4)&amp;" - "&amp;UPPER(_xlfn.XLOOKUP(RIGHT("0000"&amp;AH321,4),CODEBOOK_CAP!$C$2:$C$212,CODEBOOK_CAP!$D$2:$D$212)),"Código CAP não encontrado"))</f>
        <v>1303 - POLÍTICAS SOCIAIS DE ASSISTÊNCIA PARA IDOSOS</v>
      </c>
      <c r="AJ321" s="12" t="str">
        <f>IF(AH321="","",IFERROR(_xlfn.XLOOKUP(RIGHT("0000"&amp;AH321,4),CODEBOOK_CAP!$C$2:$C$212,CODEBOOK_CAP!$E$2:$E$212),"Código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321" s="22" t="s">
        <v>77</v>
      </c>
      <c r="AL321" s="26"/>
      <c r="AM321" s="22" t="s">
        <v>77</v>
      </c>
      <c r="AN321" s="22" t="s">
        <v>77</v>
      </c>
      <c r="AO321" s="12"/>
      <c r="AP321" s="22" t="s">
        <v>79</v>
      </c>
      <c r="AQ321" s="12" t="s">
        <v>2044</v>
      </c>
      <c r="AR321" s="22" t="s">
        <v>77</v>
      </c>
      <c r="AS321" s="10"/>
      <c r="AT321" s="2" t="s">
        <v>1814</v>
      </c>
      <c r="AU321" s="12" t="s">
        <v>83</v>
      </c>
      <c r="AV321" s="3" t="n">
        <v>46220</v>
      </c>
      <c r="AW321" s="21"/>
      <c r="AY321" s="1"/>
      <c r="BA321" s="1"/>
      <c r="BB321" s="1"/>
    </row>
    <row r="322" ht="210" customHeight="1">
      <c r="A322" s="20" t="s">
        <v>2048</v>
      </c>
      <c r="B322" s="20" t="n">
        <v>2023</v>
      </c>
      <c r="C322" s="20" t="n">
        <v>612</v>
      </c>
      <c r="D322" s="20" t="s">
        <v>50</v>
      </c>
      <c r="E322" s="20" t="s">
        <v>1951</v>
      </c>
      <c r="F322" s="20" t="s">
        <v>2049</v>
      </c>
      <c r="G322" s="20" t="s">
        <v>315</v>
      </c>
      <c r="H322" s="20" t="s">
        <v>1953</v>
      </c>
      <c r="I322" s="20"/>
      <c r="J322" s="20" t="s">
        <v>2050</v>
      </c>
      <c r="K322" s="20" t="s">
        <v>273</v>
      </c>
      <c r="L322" s="20" t="s">
        <v>274</v>
      </c>
      <c r="M322" s="20" t="s">
        <v>275</v>
      </c>
      <c r="N322" s="20" t="s">
        <v>276</v>
      </c>
      <c r="O322" s="20" t="s">
        <v>277</v>
      </c>
      <c r="P322" s="20" t="s">
        <v>278</v>
      </c>
      <c r="Q322" s="20" t="s">
        <v>279</v>
      </c>
      <c r="R322" s="20" t="s">
        <v>280</v>
      </c>
      <c r="S322" s="20" t="s">
        <v>281</v>
      </c>
      <c r="T322" s="20" t="s">
        <v>282</v>
      </c>
      <c r="U322" s="20" t="s">
        <v>283</v>
      </c>
      <c r="V322" s="20" t="s">
        <v>95</v>
      </c>
      <c r="W322" s="20" t="s">
        <v>96</v>
      </c>
      <c r="X322" s="20" t="s">
        <v>97</v>
      </c>
      <c r="Y322" s="20" t="s">
        <v>70</v>
      </c>
      <c r="Z322" s="20" t="s">
        <v>284</v>
      </c>
      <c r="AA322" s="20" t="s">
        <v>501</v>
      </c>
      <c r="AB322" s="20" t="s">
        <v>501</v>
      </c>
      <c r="AC322" s="20" t="s">
        <v>395</v>
      </c>
      <c r="AD322" s="20" t="s">
        <v>501</v>
      </c>
      <c r="AE322" s="20"/>
      <c r="AF322" s="9" t="n">
        <v>0</v>
      </c>
      <c r="AG322" s="12" t="n">
        <v>0</v>
      </c>
      <c r="AH322" s="22" t="s">
        <v>607</v>
      </c>
      <c r="AI322" s="12" t="str">
        <f>IF(AH322="","",IFERROR(RIGHT("0000"&amp;AH322,4)&amp;" - "&amp;UPPER(_xlfn.XLOOKUP(RIGHT("0000"&amp;AH322,4),CODEBOOK_CAP!$C$2:$C$212,CODEBOOK_CAP!$D$2:$D$212)),"Código CAP não encontrado"))</f>
        <v>1300 - GERAL</v>
      </c>
      <c r="AJ322" s="12" t="str">
        <f>IF(AH322="","",IFERROR(_xlfn.XLOOKUP(RIGHT("0000"&amp;AH322,4),CODEBOOK_CAP!$C$2:$C$212,CODEBOOK_CAP!$E$2:$E$212),"Código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22" s="22" t="s">
        <v>77</v>
      </c>
      <c r="AL322" s="26"/>
      <c r="AM322" s="22" t="s">
        <v>77</v>
      </c>
      <c r="AN322" s="22" t="s">
        <v>77</v>
      </c>
      <c r="AO322" s="12"/>
      <c r="AP322" s="22" t="s">
        <v>77</v>
      </c>
      <c r="AQ322" s="12"/>
      <c r="AR322" s="22" t="s">
        <v>77</v>
      </c>
      <c r="AS322" s="10"/>
      <c r="AT322" s="2" t="s">
        <v>1814</v>
      </c>
      <c r="AU322" s="12" t="s">
        <v>83</v>
      </c>
      <c r="AV322" s="3" t="n">
        <v>46220</v>
      </c>
      <c r="AW322" s="21"/>
      <c r="AY322" s="1"/>
      <c r="BA322" s="1"/>
      <c r="BB322" s="1"/>
    </row>
    <row r="323" ht="210" customHeight="1">
      <c r="A323" s="20" t="s">
        <v>2051</v>
      </c>
      <c r="B323" s="20" t="n">
        <v>2023</v>
      </c>
      <c r="C323" s="20" t="n">
        <v>613</v>
      </c>
      <c r="D323" s="20" t="s">
        <v>50</v>
      </c>
      <c r="E323" s="20" t="s">
        <v>1951</v>
      </c>
      <c r="F323" s="20" t="s">
        <v>2052</v>
      </c>
      <c r="G323" s="20" t="s">
        <v>86</v>
      </c>
      <c r="H323" s="20" t="s">
        <v>1953</v>
      </c>
      <c r="I323" s="20"/>
      <c r="J323" s="20" t="s">
        <v>2053</v>
      </c>
      <c r="K323" s="20" t="s">
        <v>273</v>
      </c>
      <c r="L323" s="20" t="s">
        <v>274</v>
      </c>
      <c r="M323" s="20" t="s">
        <v>275</v>
      </c>
      <c r="N323" s="20" t="s">
        <v>276</v>
      </c>
      <c r="O323" s="20" t="s">
        <v>277</v>
      </c>
      <c r="P323" s="20" t="s">
        <v>278</v>
      </c>
      <c r="Q323" s="20" t="s">
        <v>279</v>
      </c>
      <c r="R323" s="20" t="s">
        <v>280</v>
      </c>
      <c r="S323" s="20" t="s">
        <v>281</v>
      </c>
      <c r="T323" s="20" t="s">
        <v>282</v>
      </c>
      <c r="U323" s="20" t="s">
        <v>283</v>
      </c>
      <c r="V323" s="20" t="s">
        <v>95</v>
      </c>
      <c r="W323" s="20" t="s">
        <v>96</v>
      </c>
      <c r="X323" s="20" t="s">
        <v>97</v>
      </c>
      <c r="Y323" s="20" t="s">
        <v>70</v>
      </c>
      <c r="Z323" s="20" t="s">
        <v>284</v>
      </c>
      <c r="AA323" s="20" t="s">
        <v>501</v>
      </c>
      <c r="AB323" s="20" t="s">
        <v>501</v>
      </c>
      <c r="AC323" s="20" t="s">
        <v>501</v>
      </c>
      <c r="AD323" s="20" t="s">
        <v>501</v>
      </c>
      <c r="AE323" s="20"/>
      <c r="AF323" s="9" t="n">
        <v>0</v>
      </c>
      <c r="AG323" s="12" t="n">
        <v>0</v>
      </c>
      <c r="AH323" s="22" t="s">
        <v>607</v>
      </c>
      <c r="AI323" s="12" t="str">
        <f>IF(AH323="","",IFERROR(RIGHT("0000"&amp;AH323,4)&amp;" - "&amp;UPPER(_xlfn.XLOOKUP(RIGHT("0000"&amp;AH323,4),CODEBOOK_CAP!$C$2:$C$212,CODEBOOK_CAP!$D$2:$D$212)),"Código CAP não encontrado"))</f>
        <v>1300 - GERAL</v>
      </c>
      <c r="AJ323" s="12" t="str">
        <f>IF(AH323="","",IFERROR(_xlfn.XLOOKUP(RIGHT("0000"&amp;AH323,4),CODEBOOK_CAP!$C$2:$C$212,CODEBOOK_CAP!$E$2:$E$212),"Código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23" s="22" t="s">
        <v>77</v>
      </c>
      <c r="AL323" s="26"/>
      <c r="AM323" s="22" t="s">
        <v>77</v>
      </c>
      <c r="AN323" s="22" t="s">
        <v>77</v>
      </c>
      <c r="AO323" s="12"/>
      <c r="AP323" s="22" t="s">
        <v>77</v>
      </c>
      <c r="AQ323" s="12"/>
      <c r="AR323" s="22" t="s">
        <v>77</v>
      </c>
      <c r="AS323" s="10"/>
      <c r="AT323" s="2" t="s">
        <v>1814</v>
      </c>
      <c r="AU323" s="12" t="s">
        <v>83</v>
      </c>
      <c r="AV323" s="3" t="n">
        <v>46220</v>
      </c>
      <c r="AW323" s="21"/>
      <c r="AY323" s="1"/>
      <c r="BA323" s="1"/>
      <c r="BB323" s="1"/>
    </row>
    <row r="324" ht="210" customHeight="1">
      <c r="A324" s="20" t="s">
        <v>2054</v>
      </c>
      <c r="B324" s="20" t="n">
        <v>2023</v>
      </c>
      <c r="C324" s="20" t="n">
        <v>614</v>
      </c>
      <c r="D324" s="20" t="s">
        <v>50</v>
      </c>
      <c r="E324" s="20" t="s">
        <v>1951</v>
      </c>
      <c r="F324" s="20" t="s">
        <v>2055</v>
      </c>
      <c r="G324" s="20" t="s">
        <v>86</v>
      </c>
      <c r="H324" s="20" t="s">
        <v>1953</v>
      </c>
      <c r="I324" s="20"/>
      <c r="J324" s="20" t="s">
        <v>2056</v>
      </c>
      <c r="K324" s="20" t="s">
        <v>2040</v>
      </c>
      <c r="L324" s="20" t="s">
        <v>274</v>
      </c>
      <c r="M324" s="20" t="s">
        <v>275</v>
      </c>
      <c r="N324" s="20" t="s">
        <v>276</v>
      </c>
      <c r="O324" s="20" t="s">
        <v>277</v>
      </c>
      <c r="P324" s="20" t="s">
        <v>2041</v>
      </c>
      <c r="Q324" s="20" t="s">
        <v>2042</v>
      </c>
      <c r="R324" s="20" t="s">
        <v>1118</v>
      </c>
      <c r="S324" s="20" t="s">
        <v>1119</v>
      </c>
      <c r="T324" s="20" t="s">
        <v>1120</v>
      </c>
      <c r="U324" s="20" t="s">
        <v>1121</v>
      </c>
      <c r="V324" s="20" t="s">
        <v>95</v>
      </c>
      <c r="W324" s="20" t="s">
        <v>96</v>
      </c>
      <c r="X324" s="20" t="s">
        <v>97</v>
      </c>
      <c r="Y324" s="20" t="s">
        <v>70</v>
      </c>
      <c r="Z324" s="20" t="s">
        <v>284</v>
      </c>
      <c r="AA324" s="20" t="s">
        <v>501</v>
      </c>
      <c r="AB324" s="20" t="s">
        <v>501</v>
      </c>
      <c r="AC324" s="20" t="s">
        <v>501</v>
      </c>
      <c r="AD324" s="20" t="s">
        <v>501</v>
      </c>
      <c r="AE324" s="20"/>
      <c r="AF324" s="9" t="n">
        <v>0</v>
      </c>
      <c r="AG324" s="12" t="n">
        <v>0</v>
      </c>
      <c r="AH324" s="22" t="s">
        <v>607</v>
      </c>
      <c r="AI324" s="12" t="str">
        <f>IF(AH324="","",IFERROR(RIGHT("0000"&amp;AH324,4)&amp;" - "&amp;UPPER(_xlfn.XLOOKUP(RIGHT("0000"&amp;AH324,4),CODEBOOK_CAP!$C$2:$C$212,CODEBOOK_CAP!$D$2:$D$212)),"Código CAP não encontrado"))</f>
        <v>1300 - GERAL</v>
      </c>
      <c r="AJ324" s="12" t="str">
        <f>IF(AH324="","",IFERROR(_xlfn.XLOOKUP(RIGHT("0000"&amp;AH324,4),CODEBOOK_CAP!$C$2:$C$212,CODEBOOK_CAP!$E$2:$E$212),"Código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24" s="22" t="s">
        <v>77</v>
      </c>
      <c r="AL324" s="26"/>
      <c r="AM324" s="22" t="s">
        <v>77</v>
      </c>
      <c r="AN324" s="22" t="s">
        <v>77</v>
      </c>
      <c r="AO324" s="12"/>
      <c r="AP324" s="22" t="s">
        <v>77</v>
      </c>
      <c r="AQ324" s="12"/>
      <c r="AR324" s="22" t="s">
        <v>77</v>
      </c>
      <c r="AS324" s="10"/>
      <c r="AT324" s="2" t="s">
        <v>1814</v>
      </c>
      <c r="AU324" s="12" t="s">
        <v>83</v>
      </c>
      <c r="AV324" s="3" t="n">
        <v>46220</v>
      </c>
      <c r="AW324" s="21"/>
      <c r="AY324" s="1"/>
      <c r="BA324" s="1"/>
      <c r="BB324" s="1"/>
    </row>
    <row r="325" ht="105" customHeight="1">
      <c r="A325" s="20" t="s">
        <v>2057</v>
      </c>
      <c r="B325" s="20" t="n">
        <v>2023</v>
      </c>
      <c r="C325" s="20" t="n">
        <v>615</v>
      </c>
      <c r="D325" s="20" t="s">
        <v>50</v>
      </c>
      <c r="E325" s="20" t="s">
        <v>1951</v>
      </c>
      <c r="F325" s="20" t="s">
        <v>2058</v>
      </c>
      <c r="G325" s="20" t="s">
        <v>86</v>
      </c>
      <c r="H325" s="20" t="s">
        <v>1953</v>
      </c>
      <c r="I325" s="20"/>
      <c r="J325" s="20" t="s">
        <v>2059</v>
      </c>
      <c r="K325" s="20" t="s">
        <v>273</v>
      </c>
      <c r="L325" s="20" t="s">
        <v>274</v>
      </c>
      <c r="M325" s="20" t="s">
        <v>275</v>
      </c>
      <c r="N325" s="20" t="s">
        <v>276</v>
      </c>
      <c r="O325" s="20" t="s">
        <v>277</v>
      </c>
      <c r="P325" s="20" t="s">
        <v>278</v>
      </c>
      <c r="Q325" s="20" t="s">
        <v>279</v>
      </c>
      <c r="R325" s="20" t="s">
        <v>280</v>
      </c>
      <c r="S325" s="20" t="s">
        <v>281</v>
      </c>
      <c r="T325" s="20" t="s">
        <v>282</v>
      </c>
      <c r="U325" s="20" t="s">
        <v>283</v>
      </c>
      <c r="V325" s="20" t="s">
        <v>95</v>
      </c>
      <c r="W325" s="20" t="s">
        <v>96</v>
      </c>
      <c r="X325" s="20" t="s">
        <v>97</v>
      </c>
      <c r="Y325" s="20" t="s">
        <v>70</v>
      </c>
      <c r="Z325" s="20" t="s">
        <v>284</v>
      </c>
      <c r="AA325" s="20" t="s">
        <v>501</v>
      </c>
      <c r="AB325" s="20" t="s">
        <v>501</v>
      </c>
      <c r="AC325" s="20" t="s">
        <v>501</v>
      </c>
      <c r="AD325" s="20" t="s">
        <v>501</v>
      </c>
      <c r="AE325" s="20"/>
      <c r="AF325" s="9" t="n">
        <v>0</v>
      </c>
      <c r="AG325" s="12" t="n">
        <v>0</v>
      </c>
      <c r="AH325" s="22" t="s">
        <v>2043</v>
      </c>
      <c r="AI325" s="12" t="str">
        <f>IF(AH325="","",IFERROR(RIGHT("0000"&amp;AH325,4)&amp;" - "&amp;UPPER(_xlfn.XLOOKUP(RIGHT("0000"&amp;AH325,4),CODEBOOK_CAP!$C$2:$C$212,CODEBOOK_CAP!$D$2:$D$212)),"Código CAP não encontrado"))</f>
        <v>1303 - POLÍTICAS SOCIAIS DE ASSISTÊNCIA PARA IDOSOS</v>
      </c>
      <c r="AJ325" s="12" t="str">
        <f>IF(AH325="","",IFERROR(_xlfn.XLOOKUP(RIGHT("0000"&amp;AH325,4),CODEBOOK_CAP!$C$2:$C$212,CODEBOOK_CAP!$E$2:$E$212),"Código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325" s="22" t="s">
        <v>77</v>
      </c>
      <c r="AL325" s="26"/>
      <c r="AM325" s="22" t="s">
        <v>77</v>
      </c>
      <c r="AN325" s="22" t="s">
        <v>77</v>
      </c>
      <c r="AO325" s="12"/>
      <c r="AP325" s="22" t="s">
        <v>79</v>
      </c>
      <c r="AQ325" s="12" t="s">
        <v>2044</v>
      </c>
      <c r="AR325" s="22" t="s">
        <v>77</v>
      </c>
      <c r="AS325" s="10"/>
      <c r="AT325" s="2" t="s">
        <v>1814</v>
      </c>
      <c r="AU325" s="12" t="s">
        <v>83</v>
      </c>
      <c r="AV325" s="3" t="n">
        <v>46220</v>
      </c>
      <c r="AW325" s="21"/>
      <c r="AY325" s="1"/>
      <c r="BA325" s="1"/>
      <c r="BB325" s="1"/>
    </row>
    <row r="326" ht="120" customHeight="1">
      <c r="A326" s="20" t="s">
        <v>2060</v>
      </c>
      <c r="B326" s="20" t="n">
        <v>2023</v>
      </c>
      <c r="C326" s="20" t="n">
        <v>616</v>
      </c>
      <c r="D326" s="20" t="s">
        <v>50</v>
      </c>
      <c r="E326" s="20" t="s">
        <v>1951</v>
      </c>
      <c r="F326" s="20" t="s">
        <v>2061</v>
      </c>
      <c r="G326" s="20" t="s">
        <v>86</v>
      </c>
      <c r="H326" s="20" t="s">
        <v>1953</v>
      </c>
      <c r="I326" s="20"/>
      <c r="J326" s="20" t="s">
        <v>2062</v>
      </c>
      <c r="K326" s="20" t="s">
        <v>749</v>
      </c>
      <c r="L326" s="20" t="s">
        <v>274</v>
      </c>
      <c r="M326" s="20" t="s">
        <v>275</v>
      </c>
      <c r="N326" s="20" t="s">
        <v>276</v>
      </c>
      <c r="O326" s="20" t="s">
        <v>277</v>
      </c>
      <c r="P326" s="20" t="s">
        <v>750</v>
      </c>
      <c r="Q326" s="20" t="s">
        <v>751</v>
      </c>
      <c r="R326" s="20" t="s">
        <v>280</v>
      </c>
      <c r="S326" s="20" t="s">
        <v>281</v>
      </c>
      <c r="T326" s="20" t="s">
        <v>752</v>
      </c>
      <c r="U326" s="20" t="s">
        <v>753</v>
      </c>
      <c r="V326" s="20" t="s">
        <v>95</v>
      </c>
      <c r="W326" s="20" t="s">
        <v>96</v>
      </c>
      <c r="X326" s="20" t="s">
        <v>97</v>
      </c>
      <c r="Y326" s="20" t="s">
        <v>70</v>
      </c>
      <c r="Z326" s="20" t="s">
        <v>284</v>
      </c>
      <c r="AA326" s="20" t="s">
        <v>501</v>
      </c>
      <c r="AB326" s="20" t="s">
        <v>501</v>
      </c>
      <c r="AC326" s="20" t="s">
        <v>501</v>
      </c>
      <c r="AD326" s="20" t="s">
        <v>501</v>
      </c>
      <c r="AE326" s="20"/>
      <c r="AF326" s="9" t="n">
        <v>0</v>
      </c>
      <c r="AG326" s="12" t="n">
        <v>0</v>
      </c>
      <c r="AH326" s="22" t="s">
        <v>821</v>
      </c>
      <c r="AI326" s="12" t="str">
        <f>IF(AH326="","",IFERROR(RIGHT("0000"&amp;AH326,4)&amp;" - "&amp;UPPER(_xlfn.XLOOKUP(RIGHT("0000"&amp;AH326,4),CODEBOOK_CAP!$C$2:$C$212,CODEBOOK_CAP!$D$2:$D$212)),"Código CAP não encontrado"))</f>
        <v>1304 - POLÍTICAS SOCIAIS DE ASSISTÊNCIA PARA PESSOAS COM DEFICIÊNCIAS</v>
      </c>
      <c r="AJ326" s="12" t="str">
        <f>IF(AH326="","",IFERROR(_xlfn.XLOOKUP(RIGHT("0000"&amp;AH326,4),CODEBOOK_CAP!$C$2:$C$212,CODEBOOK_CAP!$E$2:$E$212),"Código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326" s="22" t="s">
        <v>77</v>
      </c>
      <c r="AL326" s="26"/>
      <c r="AM326" s="22" t="s">
        <v>77</v>
      </c>
      <c r="AN326" s="22" t="s">
        <v>77</v>
      </c>
      <c r="AO326" s="12"/>
      <c r="AP326" s="22" t="s">
        <v>79</v>
      </c>
      <c r="AQ326" s="12" t="s">
        <v>2063</v>
      </c>
      <c r="AR326" s="22" t="s">
        <v>77</v>
      </c>
      <c r="AS326" s="10"/>
      <c r="AT326" s="2" t="s">
        <v>1814</v>
      </c>
      <c r="AU326" s="12" t="s">
        <v>83</v>
      </c>
      <c r="AV326" s="3" t="n">
        <v>46220</v>
      </c>
      <c r="AW326" s="21"/>
      <c r="AY326" s="1"/>
      <c r="BA326" s="1"/>
      <c r="BB326" s="1"/>
    </row>
    <row r="327" ht="105" customHeight="1">
      <c r="A327" s="20" t="s">
        <v>2064</v>
      </c>
      <c r="B327" s="20" t="n">
        <v>2023</v>
      </c>
      <c r="C327" s="20" t="n">
        <v>617</v>
      </c>
      <c r="D327" s="20" t="s">
        <v>50</v>
      </c>
      <c r="E327" s="20" t="s">
        <v>1951</v>
      </c>
      <c r="F327" s="20" t="s">
        <v>2065</v>
      </c>
      <c r="G327" s="20" t="s">
        <v>183</v>
      </c>
      <c r="H327" s="20" t="s">
        <v>1953</v>
      </c>
      <c r="I327" s="20"/>
      <c r="J327" s="20" t="s">
        <v>2066</v>
      </c>
      <c r="K327" s="20" t="s">
        <v>2040</v>
      </c>
      <c r="L327" s="20" t="s">
        <v>274</v>
      </c>
      <c r="M327" s="20" t="s">
        <v>275</v>
      </c>
      <c r="N327" s="20" t="s">
        <v>276</v>
      </c>
      <c r="O327" s="20" t="s">
        <v>277</v>
      </c>
      <c r="P327" s="20" t="s">
        <v>2041</v>
      </c>
      <c r="Q327" s="20" t="s">
        <v>2042</v>
      </c>
      <c r="R327" s="20" t="s">
        <v>1118</v>
      </c>
      <c r="S327" s="20" t="s">
        <v>1119</v>
      </c>
      <c r="T327" s="20" t="s">
        <v>1120</v>
      </c>
      <c r="U327" s="20" t="s">
        <v>1121</v>
      </c>
      <c r="V327" s="20" t="s">
        <v>95</v>
      </c>
      <c r="W327" s="20" t="s">
        <v>96</v>
      </c>
      <c r="X327" s="20" t="s">
        <v>97</v>
      </c>
      <c r="Y327" s="20" t="s">
        <v>70</v>
      </c>
      <c r="Z327" s="20" t="s">
        <v>284</v>
      </c>
      <c r="AA327" s="20" t="s">
        <v>501</v>
      </c>
      <c r="AB327" s="20" t="s">
        <v>77</v>
      </c>
      <c r="AC327" s="20" t="s">
        <v>77</v>
      </c>
      <c r="AD327" s="20" t="s">
        <v>77</v>
      </c>
      <c r="AE327" s="20"/>
      <c r="AF327" s="9" t="n">
        <v>0</v>
      </c>
      <c r="AG327" s="12" t="n">
        <v>0</v>
      </c>
      <c r="AH327" s="22" t="s">
        <v>2043</v>
      </c>
      <c r="AI327" s="12" t="str">
        <f>IF(AH327="","",IFERROR(RIGHT("0000"&amp;AH327,4)&amp;" - "&amp;UPPER(_xlfn.XLOOKUP(RIGHT("0000"&amp;AH327,4),CODEBOOK_CAP!$C$2:$C$212,CODEBOOK_CAP!$D$2:$D$212)),"Código CAP não encontrado"))</f>
        <v>1303 - POLÍTICAS SOCIAIS DE ASSISTÊNCIA PARA IDOSOS</v>
      </c>
      <c r="AJ327" s="12" t="str">
        <f>IF(AH327="","",IFERROR(_xlfn.XLOOKUP(RIGHT("0000"&amp;AH327,4),CODEBOOK_CAP!$C$2:$C$212,CODEBOOK_CAP!$E$2:$E$212),"Código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327" s="22" t="s">
        <v>77</v>
      </c>
      <c r="AL327" s="26"/>
      <c r="AM327" s="22" t="s">
        <v>77</v>
      </c>
      <c r="AN327" s="22" t="s">
        <v>77</v>
      </c>
      <c r="AO327" s="12"/>
      <c r="AP327" s="22" t="s">
        <v>79</v>
      </c>
      <c r="AQ327" s="12" t="s">
        <v>2044</v>
      </c>
      <c r="AR327" s="22" t="s">
        <v>77</v>
      </c>
      <c r="AS327" s="10"/>
      <c r="AT327" s="2" t="s">
        <v>1814</v>
      </c>
      <c r="AU327" s="12" t="s">
        <v>83</v>
      </c>
      <c r="AV327" s="3" t="n">
        <v>46220</v>
      </c>
      <c r="AW327" s="21"/>
      <c r="AY327" s="1"/>
      <c r="BA327" s="1"/>
      <c r="BB327" s="1"/>
    </row>
    <row r="328" ht="255" customHeight="1">
      <c r="A328" s="20" t="s">
        <v>2067</v>
      </c>
      <c r="B328" s="20" t="n">
        <v>2023</v>
      </c>
      <c r="C328" s="20" t="n">
        <v>836</v>
      </c>
      <c r="D328" s="20" t="s">
        <v>50</v>
      </c>
      <c r="E328" s="20" t="s">
        <v>2068</v>
      </c>
      <c r="F328" s="20" t="s">
        <v>2069</v>
      </c>
      <c r="G328" s="20" t="s">
        <v>183</v>
      </c>
      <c r="H328" s="20" t="s">
        <v>2070</v>
      </c>
      <c r="I328" s="20"/>
      <c r="J328" s="20" t="s">
        <v>2071</v>
      </c>
      <c r="K328" s="20" t="s">
        <v>2072</v>
      </c>
      <c r="L328" s="20" t="s">
        <v>208</v>
      </c>
      <c r="M328" s="20" t="s">
        <v>209</v>
      </c>
      <c r="N328" s="20" t="s">
        <v>210</v>
      </c>
      <c r="O328" s="20" t="s">
        <v>211</v>
      </c>
      <c r="P328" s="20" t="s">
        <v>212</v>
      </c>
      <c r="Q328" s="20" t="s">
        <v>213</v>
      </c>
      <c r="R328" s="20" t="s">
        <v>214</v>
      </c>
      <c r="S328" s="20" t="s">
        <v>215</v>
      </c>
      <c r="T328" s="20" t="s">
        <v>216</v>
      </c>
      <c r="U328" s="20" t="s">
        <v>217</v>
      </c>
      <c r="V328" s="20" t="s">
        <v>67</v>
      </c>
      <c r="W328" s="20" t="s">
        <v>68</v>
      </c>
      <c r="X328" s="20" t="s">
        <v>69</v>
      </c>
      <c r="Y328" s="20" t="s">
        <v>70</v>
      </c>
      <c r="Z328" s="20" t="s">
        <v>177</v>
      </c>
      <c r="AA328" s="20" t="s">
        <v>2073</v>
      </c>
      <c r="AB328" s="20" t="s">
        <v>77</v>
      </c>
      <c r="AC328" s="20" t="s">
        <v>77</v>
      </c>
      <c r="AD328" s="20" t="s">
        <v>77</v>
      </c>
      <c r="AE328" s="20"/>
      <c r="AF328" s="9" t="n">
        <v>0</v>
      </c>
      <c r="AG328" s="12" t="n">
        <v>0</v>
      </c>
      <c r="AH328" s="22" t="s">
        <v>219</v>
      </c>
      <c r="AI328" s="12" t="str">
        <f>IF(AH328="","",IFERROR(RIGHT("0000"&amp;AH328,4)&amp;" - "&amp;UPPER(_xlfn.XLOOKUP(RIGHT("0000"&amp;AH328,4),CODEBOOK_CAP!$C$2:$C$212,CODEBOOK_CAP!$D$2:$D$212)),"Código CAP não encontrado"))</f>
        <v>1002 - CARROS, TRÂNSITO, CONSTRUÇÃO E MANUTENÇÃO DE RUAS E ESTRADAS</v>
      </c>
      <c r="AJ328" s="12" t="str">
        <f>IF(AH328="","",IFERROR(_xlfn.XLOOKUP(RIGHT("0000"&amp;AH328,4),CODEBOOK_CAP!$C$2:$C$212,CODEBOOK_CAP!$E$2:$E$212),"Código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28" s="22" t="s">
        <v>79</v>
      </c>
      <c r="AL328" s="26" t="s">
        <v>2074</v>
      </c>
      <c r="AM328" s="22" t="s">
        <v>77</v>
      </c>
      <c r="AN328" s="22" t="s">
        <v>77</v>
      </c>
      <c r="AO328" s="12"/>
      <c r="AP328" s="22" t="s">
        <v>77</v>
      </c>
      <c r="AQ328" s="12"/>
      <c r="AR328" s="22" t="s">
        <v>77</v>
      </c>
      <c r="AS328" s="10"/>
      <c r="AT328" s="2" t="s">
        <v>1814</v>
      </c>
      <c r="AU328" s="12" t="s">
        <v>83</v>
      </c>
      <c r="AV328" s="3" t="n">
        <v>46220</v>
      </c>
      <c r="AW328" s="21"/>
      <c r="AY328" s="1"/>
      <c r="BA328" s="1"/>
      <c r="BB328" s="1"/>
    </row>
    <row r="329" ht="45" customHeight="1">
      <c r="A329" s="20" t="s">
        <v>2075</v>
      </c>
      <c r="B329" s="20" t="n">
        <v>2023</v>
      </c>
      <c r="C329" s="20" t="n">
        <v>375</v>
      </c>
      <c r="D329" s="20" t="s">
        <v>50</v>
      </c>
      <c r="E329" s="20" t="s">
        <v>2068</v>
      </c>
      <c r="F329" s="20" t="s">
        <v>2076</v>
      </c>
      <c r="G329" s="20" t="s">
        <v>315</v>
      </c>
      <c r="H329" s="20" t="s">
        <v>2070</v>
      </c>
      <c r="I329" s="20"/>
      <c r="J329" s="20" t="s">
        <v>2077</v>
      </c>
      <c r="K329" s="20" t="s">
        <v>1274</v>
      </c>
      <c r="L329" s="20" t="s">
        <v>1275</v>
      </c>
      <c r="M329" s="20" t="s">
        <v>1276</v>
      </c>
      <c r="N329" s="20" t="s">
        <v>1277</v>
      </c>
      <c r="O329" s="20" t="s">
        <v>1278</v>
      </c>
      <c r="P329" s="20" t="s">
        <v>1279</v>
      </c>
      <c r="Q329" s="20" t="s">
        <v>1280</v>
      </c>
      <c r="R329" s="20" t="s">
        <v>1281</v>
      </c>
      <c r="S329" s="20" t="s">
        <v>1282</v>
      </c>
      <c r="T329" s="20" t="s">
        <v>1283</v>
      </c>
      <c r="U329" s="20" t="s">
        <v>1284</v>
      </c>
      <c r="V329" s="20" t="s">
        <v>196</v>
      </c>
      <c r="W329" s="20" t="s">
        <v>68</v>
      </c>
      <c r="X329" s="20" t="s">
        <v>69</v>
      </c>
      <c r="Y329" s="20" t="s">
        <v>70</v>
      </c>
      <c r="Z329" s="20" t="s">
        <v>1285</v>
      </c>
      <c r="AA329" s="20" t="s">
        <v>2078</v>
      </c>
      <c r="AB329" s="20" t="s">
        <v>2079</v>
      </c>
      <c r="AC329" s="20" t="s">
        <v>2080</v>
      </c>
      <c r="AD329" s="20" t="s">
        <v>2080</v>
      </c>
      <c r="AE329" s="20" t="s">
        <v>2081</v>
      </c>
      <c r="AF329" s="9" t="n">
        <v>0</v>
      </c>
      <c r="AG329" s="12" t="n">
        <v>0</v>
      </c>
      <c r="AH329" s="22" t="s">
        <v>1289</v>
      </c>
      <c r="AI329" s="12" t="str">
        <f>IF(AH329="","",IFERROR(RIGHT("0000"&amp;AH329,4)&amp;" - "&amp;UPPER(_xlfn.XLOOKUP(RIGHT("0000"&amp;AH329,4),CODEBOOK_CAP!$C$2:$C$212,CODEBOOK_CAP!$D$2:$D$212)),"Código CAP não encontrado"))</f>
        <v>0499 - OUTROS</v>
      </c>
      <c r="AJ329" s="12" t="str">
        <f>IF(AH329="","",IFERROR(_xlfn.XLOOKUP(RIGHT("0000"&amp;AH329,4),CODEBOOK_CAP!$C$2:$C$212,CODEBOOK_CAP!$E$2:$E$212),"Código CAP não encontrado"))</f>
        <v>Observações que versam sobre AGRICULTURA, PECUÁRIA E PESCA, mas que não se enquadram em nenhum dos itens acima.</v>
      </c>
      <c r="AK329" s="22" t="s">
        <v>79</v>
      </c>
      <c r="AL329" s="26" t="s">
        <v>2082</v>
      </c>
      <c r="AM329" s="22" t="s">
        <v>77</v>
      </c>
      <c r="AN329" s="22" t="s">
        <v>77</v>
      </c>
      <c r="AO329" s="12"/>
      <c r="AP329" s="22" t="s">
        <v>77</v>
      </c>
      <c r="AQ329" s="12"/>
      <c r="AR329" s="22" t="s">
        <v>79</v>
      </c>
      <c r="AS329" s="10" t="s">
        <v>2081</v>
      </c>
      <c r="AT329" s="2" t="s">
        <v>1814</v>
      </c>
      <c r="AU329" s="12" t="s">
        <v>83</v>
      </c>
      <c r="AV329" s="3" t="n">
        <v>46220</v>
      </c>
      <c r="AW329" s="21"/>
      <c r="AY329" s="1"/>
      <c r="BA329" s="1"/>
      <c r="BB329" s="1"/>
    </row>
    <row r="330" ht="105" customHeight="1">
      <c r="A330" s="20" t="s">
        <v>2083</v>
      </c>
      <c r="B330" s="20" t="n">
        <v>2023</v>
      </c>
      <c r="C330" s="20" t="n">
        <v>392</v>
      </c>
      <c r="D330" s="20" t="s">
        <v>50</v>
      </c>
      <c r="E330" s="20" t="s">
        <v>2068</v>
      </c>
      <c r="F330" s="20" t="s">
        <v>2084</v>
      </c>
      <c r="G330" s="20" t="s">
        <v>86</v>
      </c>
      <c r="H330" s="20" t="s">
        <v>2070</v>
      </c>
      <c r="I330" s="20"/>
      <c r="J330" s="20" t="s">
        <v>2085</v>
      </c>
      <c r="K330" s="20" t="s">
        <v>2086</v>
      </c>
      <c r="L330" s="20" t="s">
        <v>148</v>
      </c>
      <c r="M330" s="20" t="s">
        <v>149</v>
      </c>
      <c r="N330" s="20" t="s">
        <v>150</v>
      </c>
      <c r="O330" s="20" t="s">
        <v>151</v>
      </c>
      <c r="P330" s="20" t="s">
        <v>152</v>
      </c>
      <c r="Q330" s="20" t="s">
        <v>153</v>
      </c>
      <c r="R330" s="20" t="s">
        <v>154</v>
      </c>
      <c r="S330" s="20" t="s">
        <v>155</v>
      </c>
      <c r="T330" s="20" t="s">
        <v>156</v>
      </c>
      <c r="U330" s="20" t="s">
        <v>157</v>
      </c>
      <c r="V330" s="20" t="s">
        <v>95</v>
      </c>
      <c r="W330" s="20" t="s">
        <v>96</v>
      </c>
      <c r="X330" s="20" t="s">
        <v>97</v>
      </c>
      <c r="Y330" s="20" t="s">
        <v>70</v>
      </c>
      <c r="Z330" s="20" t="s">
        <v>159</v>
      </c>
      <c r="AA330" s="20" t="s">
        <v>160</v>
      </c>
      <c r="AB330" s="20" t="s">
        <v>2087</v>
      </c>
      <c r="AC330" s="20" t="s">
        <v>2088</v>
      </c>
      <c r="AD330" s="20" t="s">
        <v>2087</v>
      </c>
      <c r="AE330" s="20"/>
      <c r="AF330" s="9" t="n">
        <v>0</v>
      </c>
      <c r="AG330" s="12" t="n">
        <v>0</v>
      </c>
      <c r="AH330" s="22" t="s">
        <v>161</v>
      </c>
      <c r="AI330" s="12" t="str">
        <f>IF(AH330="","",IFERROR(RIGHT("0000"&amp;AH330,4)&amp;" - "&amp;UPPER(_xlfn.XLOOKUP(RIGHT("0000"&amp;AH330,4),CODEBOOK_CAP!$C$2:$C$212,CODEBOOK_CAP!$D$2:$D$212)),"Código CAP não encontrado"))</f>
        <v>2300 - GERAL</v>
      </c>
      <c r="AJ330" s="12" t="str">
        <f>IF(AH330="","",IFERROR(_xlfn.XLOOKUP(RIGHT("0000"&amp;AH330,4),CODEBOOK_CAP!$C$2:$C$212,CODEBOOK_CAP!$E$2:$E$212),"Código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30" s="22" t="s">
        <v>77</v>
      </c>
      <c r="AL330" s="26"/>
      <c r="AM330" s="22" t="s">
        <v>77</v>
      </c>
      <c r="AN330" s="22" t="s">
        <v>77</v>
      </c>
      <c r="AO330" s="12"/>
      <c r="AP330" s="22" t="s">
        <v>77</v>
      </c>
      <c r="AQ330" s="12"/>
      <c r="AR330" s="22" t="s">
        <v>77</v>
      </c>
      <c r="AS330" s="10"/>
      <c r="AT330" s="2" t="s">
        <v>1814</v>
      </c>
      <c r="AU330" s="12" t="s">
        <v>83</v>
      </c>
      <c r="AV330" s="3" t="n">
        <v>46220</v>
      </c>
      <c r="AW330" s="21"/>
      <c r="AX330" s="1" t="s">
        <v>6955</v>
      </c>
      <c r="AY330" s="1"/>
      <c r="BA330" s="1"/>
      <c r="BB330" s="1"/>
    </row>
    <row r="331" ht="105" customHeight="1">
      <c r="A331" s="20" t="s">
        <v>2089</v>
      </c>
      <c r="B331" s="20" t="n">
        <v>2023</v>
      </c>
      <c r="C331" s="20" t="n">
        <v>398</v>
      </c>
      <c r="D331" s="20" t="s">
        <v>50</v>
      </c>
      <c r="E331" s="20" t="s">
        <v>2068</v>
      </c>
      <c r="F331" s="20" t="s">
        <v>2090</v>
      </c>
      <c r="G331" s="20" t="s">
        <v>86</v>
      </c>
      <c r="H331" s="20" t="s">
        <v>2070</v>
      </c>
      <c r="I331" s="20"/>
      <c r="J331" s="20" t="s">
        <v>2091</v>
      </c>
      <c r="K331" s="20" t="s">
        <v>2092</v>
      </c>
      <c r="L331" s="20" t="s">
        <v>760</v>
      </c>
      <c r="M331" s="20" t="s">
        <v>761</v>
      </c>
      <c r="N331" s="20" t="s">
        <v>150</v>
      </c>
      <c r="O331" s="20" t="s">
        <v>151</v>
      </c>
      <c r="P331" s="20" t="s">
        <v>152</v>
      </c>
      <c r="Q331" s="20" t="s">
        <v>153</v>
      </c>
      <c r="R331" s="20" t="s">
        <v>154</v>
      </c>
      <c r="S331" s="20" t="s">
        <v>155</v>
      </c>
      <c r="T331" s="20" t="s">
        <v>762</v>
      </c>
      <c r="U331" s="20" t="s">
        <v>763</v>
      </c>
      <c r="V331" s="20" t="s">
        <v>95</v>
      </c>
      <c r="W331" s="20" t="s">
        <v>96</v>
      </c>
      <c r="X331" s="20" t="s">
        <v>97</v>
      </c>
      <c r="Y331" s="20" t="s">
        <v>70</v>
      </c>
      <c r="Z331" s="20" t="s">
        <v>764</v>
      </c>
      <c r="AA331" s="20" t="s">
        <v>2093</v>
      </c>
      <c r="AB331" s="20" t="s">
        <v>2093</v>
      </c>
      <c r="AC331" s="20" t="s">
        <v>2093</v>
      </c>
      <c r="AD331" s="20" t="s">
        <v>2093</v>
      </c>
      <c r="AE331" s="20"/>
      <c r="AF331" s="9" t="n">
        <v>0</v>
      </c>
      <c r="AG331" s="12" t="n">
        <v>0</v>
      </c>
      <c r="AH331" s="22" t="s">
        <v>161</v>
      </c>
      <c r="AI331" s="12" t="str">
        <f>IF(AH331="","",IFERROR(RIGHT("0000"&amp;AH331,4)&amp;" - "&amp;UPPER(_xlfn.XLOOKUP(RIGHT("0000"&amp;AH331,4),CODEBOOK_CAP!$C$2:$C$212,CODEBOOK_CAP!$D$2:$D$212)),"Código CAP não encontrado"))</f>
        <v>2300 - GERAL</v>
      </c>
      <c r="AJ331" s="12" t="str">
        <f>IF(AH331="","",IFERROR(_xlfn.XLOOKUP(RIGHT("0000"&amp;AH331,4),CODEBOOK_CAP!$C$2:$C$212,CODEBOOK_CAP!$E$2:$E$212),"Código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31" s="22" t="s">
        <v>77</v>
      </c>
      <c r="AL331" s="26"/>
      <c r="AM331" s="22" t="s">
        <v>77</v>
      </c>
      <c r="AN331" s="22" t="s">
        <v>77</v>
      </c>
      <c r="AO331" s="12"/>
      <c r="AP331" s="22" t="s">
        <v>77</v>
      </c>
      <c r="AQ331" s="12"/>
      <c r="AR331" s="22" t="s">
        <v>77</v>
      </c>
      <c r="AS331" s="10"/>
      <c r="AT331" s="2" t="s">
        <v>1814</v>
      </c>
      <c r="AU331" s="12" t="s">
        <v>83</v>
      </c>
      <c r="AV331" s="3" t="n">
        <v>46220</v>
      </c>
      <c r="AW331" s="21"/>
      <c r="AX331" s="1" t="s">
        <v>6955</v>
      </c>
      <c r="AY331" s="1"/>
      <c r="BA331" s="1"/>
      <c r="BB331" s="1"/>
    </row>
    <row r="332" ht="105" customHeight="1">
      <c r="A332" s="20" t="s">
        <v>2094</v>
      </c>
      <c r="B332" s="20" t="n">
        <v>2023</v>
      </c>
      <c r="C332" s="20" t="n">
        <v>413</v>
      </c>
      <c r="D332" s="20" t="s">
        <v>50</v>
      </c>
      <c r="E332" s="20" t="s">
        <v>2068</v>
      </c>
      <c r="F332" s="20" t="s">
        <v>2095</v>
      </c>
      <c r="G332" s="20" t="s">
        <v>86</v>
      </c>
      <c r="H332" s="20" t="s">
        <v>2070</v>
      </c>
      <c r="I332" s="20"/>
      <c r="J332" s="20" t="s">
        <v>2096</v>
      </c>
      <c r="K332" s="20" t="s">
        <v>1360</v>
      </c>
      <c r="L332" s="20" t="s">
        <v>208</v>
      </c>
      <c r="M332" s="20" t="s">
        <v>209</v>
      </c>
      <c r="N332" s="20" t="s">
        <v>150</v>
      </c>
      <c r="O332" s="20" t="s">
        <v>151</v>
      </c>
      <c r="P332" s="20" t="s">
        <v>152</v>
      </c>
      <c r="Q332" s="20" t="s">
        <v>153</v>
      </c>
      <c r="R332" s="20" t="s">
        <v>1361</v>
      </c>
      <c r="S332" s="20" t="s">
        <v>1362</v>
      </c>
      <c r="T332" s="20" t="s">
        <v>1363</v>
      </c>
      <c r="U332" s="20" t="s">
        <v>1364</v>
      </c>
      <c r="V332" s="20" t="s">
        <v>67</v>
      </c>
      <c r="W332" s="20" t="s">
        <v>68</v>
      </c>
      <c r="X332" s="20" t="s">
        <v>69</v>
      </c>
      <c r="Y332" s="20" t="s">
        <v>70</v>
      </c>
      <c r="Z332" s="20" t="s">
        <v>177</v>
      </c>
      <c r="AA332" s="20" t="s">
        <v>160</v>
      </c>
      <c r="AB332" s="20" t="s">
        <v>2097</v>
      </c>
      <c r="AC332" s="20" t="s">
        <v>2097</v>
      </c>
      <c r="AD332" s="20" t="s">
        <v>2097</v>
      </c>
      <c r="AE332" s="20"/>
      <c r="AF332" s="9" t="n">
        <v>0</v>
      </c>
      <c r="AG332" s="12" t="n">
        <v>0</v>
      </c>
      <c r="AH332" s="22" t="s">
        <v>161</v>
      </c>
      <c r="AI332" s="12" t="str">
        <f>IF(AH332="","",IFERROR(RIGHT("0000"&amp;AH332,4)&amp;" - "&amp;UPPER(_xlfn.XLOOKUP(RIGHT("0000"&amp;AH332,4),CODEBOOK_CAP!$C$2:$C$212,CODEBOOK_CAP!$D$2:$D$212)),"Código CAP não encontrado"))</f>
        <v>2300 - GERAL</v>
      </c>
      <c r="AJ332" s="12" t="str">
        <f>IF(AH332="","",IFERROR(_xlfn.XLOOKUP(RIGHT("0000"&amp;AH332,4),CODEBOOK_CAP!$C$2:$C$212,CODEBOOK_CAP!$E$2:$E$212),"Código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32" s="22" t="s">
        <v>77</v>
      </c>
      <c r="AL332" s="26"/>
      <c r="AM332" s="22" t="s">
        <v>79</v>
      </c>
      <c r="AN332" s="22" t="s">
        <v>79</v>
      </c>
      <c r="AO332" s="12" t="s">
        <v>2098</v>
      </c>
      <c r="AP332" s="22" t="s">
        <v>77</v>
      </c>
      <c r="AQ332" s="12"/>
      <c r="AR332" s="22" t="s">
        <v>77</v>
      </c>
      <c r="AS332" s="10"/>
      <c r="AT332" s="2" t="s">
        <v>1814</v>
      </c>
      <c r="AU332" s="12" t="s">
        <v>83</v>
      </c>
      <c r="AV332" s="3" t="n">
        <v>46220</v>
      </c>
      <c r="AW332" s="21"/>
      <c r="AX332" s="1" t="s">
        <v>6955</v>
      </c>
      <c r="AY332" s="1"/>
      <c r="BA332" s="1"/>
      <c r="BB332" s="1"/>
    </row>
    <row r="333" ht="45" customHeight="1">
      <c r="A333" s="20" t="s">
        <v>2099</v>
      </c>
      <c r="B333" s="20" t="n">
        <v>2023</v>
      </c>
      <c r="C333" s="20" t="n">
        <v>416</v>
      </c>
      <c r="D333" s="20" t="s">
        <v>50</v>
      </c>
      <c r="E333" s="20" t="s">
        <v>2068</v>
      </c>
      <c r="F333" s="20" t="s">
        <v>2100</v>
      </c>
      <c r="G333" s="20" t="s">
        <v>86</v>
      </c>
      <c r="H333" s="20" t="s">
        <v>2070</v>
      </c>
      <c r="I333" s="20"/>
      <c r="J333" s="20" t="s">
        <v>2101</v>
      </c>
      <c r="K333" s="20" t="s">
        <v>2102</v>
      </c>
      <c r="L333" s="20" t="s">
        <v>1406</v>
      </c>
      <c r="M333" s="20" t="s">
        <v>1407</v>
      </c>
      <c r="N333" s="20" t="s">
        <v>1408</v>
      </c>
      <c r="O333" s="20" t="s">
        <v>1409</v>
      </c>
      <c r="P333" s="20" t="s">
        <v>1410</v>
      </c>
      <c r="Q333" s="20" t="s">
        <v>1411</v>
      </c>
      <c r="R333" s="20" t="s">
        <v>1412</v>
      </c>
      <c r="S333" s="20" t="s">
        <v>1413</v>
      </c>
      <c r="T333" s="20" t="s">
        <v>2103</v>
      </c>
      <c r="U333" s="20" t="s">
        <v>2104</v>
      </c>
      <c r="V333" s="20" t="s">
        <v>95</v>
      </c>
      <c r="W333" s="20" t="s">
        <v>96</v>
      </c>
      <c r="X333" s="20" t="s">
        <v>97</v>
      </c>
      <c r="Y333" s="20" t="s">
        <v>70</v>
      </c>
      <c r="Z333" s="20" t="s">
        <v>284</v>
      </c>
      <c r="AA333" s="20" t="s">
        <v>2105</v>
      </c>
      <c r="AB333" s="20" t="s">
        <v>2106</v>
      </c>
      <c r="AC333" s="20" t="s">
        <v>2106</v>
      </c>
      <c r="AD333" s="20" t="s">
        <v>2106</v>
      </c>
      <c r="AE333" s="20"/>
      <c r="AF333" s="9" t="n">
        <v>0</v>
      </c>
      <c r="AG333" s="12" t="n">
        <v>0</v>
      </c>
      <c r="AH333" s="22" t="s">
        <v>2107</v>
      </c>
      <c r="AI333" s="12" t="str">
        <f>IF(AH333="","",IFERROR(RIGHT("0000"&amp;AH333,4)&amp;" - "&amp;UPPER(_xlfn.XLOOKUP(RIGHT("0000"&amp;AH333,4),CODEBOOK_CAP!$C$2:$C$212,CODEBOOK_CAP!$D$2:$D$212)),"Código CAP não encontrado"))</f>
        <v>0299 - OUTROS</v>
      </c>
      <c r="AJ333" s="12" t="str">
        <f>IF(AH333="","",IFERROR(_xlfn.XLOOKUP(RIGHT("0000"&amp;AH333,4),CODEBOOK_CAP!$C$2:$C$212,CODEBOOK_CAP!$E$2:$E$212),"Código CAP não encontrado"))</f>
        <v>Observações que versam sobre a direitos civis e liberdades, mas que não se enquadram em nenhum dos itens acima.</v>
      </c>
      <c r="AK333" s="22" t="s">
        <v>77</v>
      </c>
      <c r="AL333" s="26"/>
      <c r="AM333" s="22" t="n">
        <v>1</v>
      </c>
      <c r="AN333" s="22" t="s">
        <v>79</v>
      </c>
      <c r="AO333" s="12" t="s">
        <v>2108</v>
      </c>
      <c r="AP333" s="22" t="s">
        <v>79</v>
      </c>
      <c r="AQ333" s="12" t="s">
        <v>2109</v>
      </c>
      <c r="AR333" s="22" t="s">
        <v>77</v>
      </c>
      <c r="AS333" s="10"/>
      <c r="AT333" s="2" t="s">
        <v>1814</v>
      </c>
      <c r="AU333" s="12" t="s">
        <v>83</v>
      </c>
      <c r="AV333" s="3" t="n">
        <v>46220</v>
      </c>
      <c r="AW333" s="21"/>
      <c r="AY333" s="1"/>
      <c r="BA333" s="1"/>
      <c r="BB333" s="1"/>
    </row>
    <row r="334" ht="120" customHeight="1">
      <c r="A334" s="20" t="s">
        <v>2110</v>
      </c>
      <c r="B334" s="20" t="n">
        <v>2023</v>
      </c>
      <c r="C334" s="20" t="n">
        <v>424</v>
      </c>
      <c r="D334" s="20" t="s">
        <v>50</v>
      </c>
      <c r="E334" s="20" t="s">
        <v>2068</v>
      </c>
      <c r="F334" s="20" t="s">
        <v>2111</v>
      </c>
      <c r="G334" s="20" t="s">
        <v>86</v>
      </c>
      <c r="H334" s="20" t="s">
        <v>2070</v>
      </c>
      <c r="I334" s="20"/>
      <c r="J334" s="20" t="s">
        <v>997</v>
      </c>
      <c r="K334" s="20" t="s">
        <v>122</v>
      </c>
      <c r="L334" s="20" t="s">
        <v>57</v>
      </c>
      <c r="M334" s="20" t="s">
        <v>58</v>
      </c>
      <c r="N334" s="20" t="s">
        <v>59</v>
      </c>
      <c r="O334" s="20" t="s">
        <v>60</v>
      </c>
      <c r="P334" s="20" t="s">
        <v>89</v>
      </c>
      <c r="Q334" s="20" t="s">
        <v>90</v>
      </c>
      <c r="R334" s="20" t="s">
        <v>91</v>
      </c>
      <c r="S334" s="20" t="s">
        <v>92</v>
      </c>
      <c r="T334" s="20" t="s">
        <v>123</v>
      </c>
      <c r="U334" s="20" t="s">
        <v>124</v>
      </c>
      <c r="V334" s="20" t="s">
        <v>95</v>
      </c>
      <c r="W334" s="20" t="s">
        <v>96</v>
      </c>
      <c r="X334" s="20" t="s">
        <v>97</v>
      </c>
      <c r="Y334" s="20" t="s">
        <v>70</v>
      </c>
      <c r="Z334" s="20" t="s">
        <v>98</v>
      </c>
      <c r="AA334" s="20" t="s">
        <v>2112</v>
      </c>
      <c r="AB334" s="20" t="s">
        <v>2112</v>
      </c>
      <c r="AC334" s="20" t="s">
        <v>2112</v>
      </c>
      <c r="AD334" s="20" t="s">
        <v>2112</v>
      </c>
      <c r="AE334" s="20"/>
      <c r="AF334" s="9" t="n">
        <v>1</v>
      </c>
      <c r="AG334" s="12" t="n">
        <v>1</v>
      </c>
      <c r="AH334" s="22" t="s">
        <v>235</v>
      </c>
      <c r="AI334" s="12" t="str">
        <f>IF(AH334="","",IFERROR(RIGHT("0000"&amp;AH334,4)&amp;" - "&amp;UPPER(_xlfn.XLOOKUP(RIGHT("0000"&amp;AH334,4),CODEBOOK_CAP!$C$2:$C$212,CODEBOOK_CAP!$D$2:$D$212)),"Código CAP não encontrado"))</f>
        <v>0322 - ESTRUTURAS, HOSPITAIS, CLÍNICAS</v>
      </c>
      <c r="AJ334" s="12" t="str">
        <f>IF(AH334="","",IFERROR(_xlfn.XLOOKUP(RIGHT("0000"&amp;AH334,4),CODEBOOK_CAP!$C$2:$C$212,CODEBOOK_CAP!$E$2:$E$212),"Código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4" s="22" t="s">
        <v>77</v>
      </c>
      <c r="AL334" s="26"/>
      <c r="AM334" s="22" t="s">
        <v>79</v>
      </c>
      <c r="AN334" s="22" t="s">
        <v>79</v>
      </c>
      <c r="AO334" s="12" t="s">
        <v>998</v>
      </c>
      <c r="AP334" s="22" t="s">
        <v>77</v>
      </c>
      <c r="AQ334" s="12"/>
      <c r="AR334" s="22" t="s">
        <v>77</v>
      </c>
      <c r="AS334" s="10"/>
      <c r="AT334" s="2" t="s">
        <v>1814</v>
      </c>
      <c r="AU334" s="12" t="s">
        <v>83</v>
      </c>
      <c r="AV334" s="3" t="n">
        <v>46220</v>
      </c>
      <c r="AW334" s="21"/>
      <c r="AY334" s="1"/>
      <c r="BA334" s="1"/>
      <c r="BB334" s="1"/>
    </row>
    <row r="335" ht="150" customHeight="1">
      <c r="A335" s="20" t="s">
        <v>2113</v>
      </c>
      <c r="B335" s="20" t="n">
        <v>2023</v>
      </c>
      <c r="C335" s="20" t="n">
        <v>427</v>
      </c>
      <c r="D335" s="20" t="s">
        <v>50</v>
      </c>
      <c r="E335" s="20" t="s">
        <v>2068</v>
      </c>
      <c r="F335" s="20" t="s">
        <v>2114</v>
      </c>
      <c r="G335" s="20" t="s">
        <v>86</v>
      </c>
      <c r="H335" s="20" t="s">
        <v>2070</v>
      </c>
      <c r="I335" s="20"/>
      <c r="J335" s="20" t="s">
        <v>2115</v>
      </c>
      <c r="K335" s="20" t="s">
        <v>122</v>
      </c>
      <c r="L335" s="20" t="s">
        <v>57</v>
      </c>
      <c r="M335" s="20" t="s">
        <v>58</v>
      </c>
      <c r="N335" s="20" t="s">
        <v>59</v>
      </c>
      <c r="O335" s="20" t="s">
        <v>60</v>
      </c>
      <c r="P335" s="20" t="s">
        <v>89</v>
      </c>
      <c r="Q335" s="20" t="s">
        <v>90</v>
      </c>
      <c r="R335" s="20" t="s">
        <v>91</v>
      </c>
      <c r="S335" s="20" t="s">
        <v>92</v>
      </c>
      <c r="T335" s="20" t="s">
        <v>123</v>
      </c>
      <c r="U335" s="20" t="s">
        <v>124</v>
      </c>
      <c r="V335" s="20" t="s">
        <v>95</v>
      </c>
      <c r="W335" s="20" t="s">
        <v>96</v>
      </c>
      <c r="X335" s="20" t="s">
        <v>97</v>
      </c>
      <c r="Y335" s="20" t="s">
        <v>70</v>
      </c>
      <c r="Z335" s="20" t="s">
        <v>98</v>
      </c>
      <c r="AA335" s="20" t="s">
        <v>1104</v>
      </c>
      <c r="AB335" s="20" t="s">
        <v>1104</v>
      </c>
      <c r="AC335" s="20" t="s">
        <v>1104</v>
      </c>
      <c r="AD335" s="20" t="s">
        <v>1104</v>
      </c>
      <c r="AE335" s="20"/>
      <c r="AF335" s="9" t="n">
        <v>1</v>
      </c>
      <c r="AG335" s="12" t="n">
        <v>1</v>
      </c>
      <c r="AH335" s="22" t="s">
        <v>620</v>
      </c>
      <c r="AI335" s="12" t="str">
        <f>IF(AH335="","",IFERROR(RIGHT("0000"&amp;AH335,4)&amp;" - "&amp;UPPER(_xlfn.XLOOKUP(RIGHT("0000"&amp;AH335,4),CODEBOOK_CAP!$C$2:$C$212,CODEBOOK_CAP!$D$2:$D$212)),"Código CAP não encontrado"))</f>
        <v>0332 - SAÚDE INFANTIL, GRAVIDEZ E PRÉ-NATAL</v>
      </c>
      <c r="AJ335" s="12" t="str">
        <f>IF(AH335="","",IFERROR(_xlfn.XLOOKUP(RIGHT("0000"&amp;AH335,4),CODEBOOK_CAP!$C$2:$C$212,CODEBOOK_CAP!$E$2:$E$212),"Código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335" s="22" t="s">
        <v>77</v>
      </c>
      <c r="AL335" s="26"/>
      <c r="AM335" s="22" t="s">
        <v>79</v>
      </c>
      <c r="AN335" s="22" t="s">
        <v>79</v>
      </c>
      <c r="AO335" s="12" t="s">
        <v>1901</v>
      </c>
      <c r="AP335" s="22" t="s">
        <v>77</v>
      </c>
      <c r="AQ335" s="12"/>
      <c r="AR335" s="22" t="s">
        <v>77</v>
      </c>
      <c r="AS335" s="10"/>
      <c r="AT335" s="2" t="s">
        <v>1814</v>
      </c>
      <c r="AU335" s="12" t="s">
        <v>83</v>
      </c>
      <c r="AV335" s="3" t="n">
        <v>46220</v>
      </c>
      <c r="AW335" s="21"/>
      <c r="AY335" s="1"/>
      <c r="BA335" s="1"/>
      <c r="BB335" s="1"/>
    </row>
    <row r="336" ht="120" customHeight="1">
      <c r="A336" s="20" t="s">
        <v>2116</v>
      </c>
      <c r="B336" s="20" t="n">
        <v>2023</v>
      </c>
      <c r="C336" s="20" t="n">
        <v>428</v>
      </c>
      <c r="D336" s="20" t="s">
        <v>50</v>
      </c>
      <c r="E336" s="20" t="s">
        <v>2068</v>
      </c>
      <c r="F336" s="20" t="s">
        <v>2117</v>
      </c>
      <c r="G336" s="20" t="s">
        <v>315</v>
      </c>
      <c r="H336" s="20" t="s">
        <v>2070</v>
      </c>
      <c r="I336" s="20"/>
      <c r="J336" s="20" t="s">
        <v>2118</v>
      </c>
      <c r="K336" s="20" t="s">
        <v>340</v>
      </c>
      <c r="L336" s="20" t="s">
        <v>57</v>
      </c>
      <c r="M336" s="20" t="s">
        <v>58</v>
      </c>
      <c r="N336" s="20" t="s">
        <v>59</v>
      </c>
      <c r="O336" s="20" t="s">
        <v>60</v>
      </c>
      <c r="P336" s="20" t="s">
        <v>89</v>
      </c>
      <c r="Q336" s="20" t="s">
        <v>90</v>
      </c>
      <c r="R336" s="20" t="s">
        <v>91</v>
      </c>
      <c r="S336" s="20" t="s">
        <v>92</v>
      </c>
      <c r="T336" s="20" t="s">
        <v>341</v>
      </c>
      <c r="U336" s="20" t="s">
        <v>342</v>
      </c>
      <c r="V336" s="20" t="s">
        <v>196</v>
      </c>
      <c r="W336" s="20" t="s">
        <v>68</v>
      </c>
      <c r="X336" s="20" t="s">
        <v>69</v>
      </c>
      <c r="Y336" s="20" t="s">
        <v>70</v>
      </c>
      <c r="Z336" s="20" t="s">
        <v>98</v>
      </c>
      <c r="AA336" s="20" t="s">
        <v>2119</v>
      </c>
      <c r="AB336" s="20" t="s">
        <v>2120</v>
      </c>
      <c r="AC336" s="20" t="s">
        <v>2121</v>
      </c>
      <c r="AD336" s="20" t="s">
        <v>2121</v>
      </c>
      <c r="AE336" s="20" t="s">
        <v>2122</v>
      </c>
      <c r="AF336" s="9" t="n">
        <v>1</v>
      </c>
      <c r="AG336" s="12" t="n">
        <v>1</v>
      </c>
      <c r="AH336" s="22" t="s">
        <v>235</v>
      </c>
      <c r="AI336" s="12" t="str">
        <f>IF(AH336="","",IFERROR(RIGHT("0000"&amp;AH336,4)&amp;" - "&amp;UPPER(_xlfn.XLOOKUP(RIGHT("0000"&amp;AH336,4),CODEBOOK_CAP!$C$2:$C$212,CODEBOOK_CAP!$D$2:$D$212)),"Código CAP não encontrado"))</f>
        <v>0322 - ESTRUTURAS, HOSPITAIS, CLÍNICAS</v>
      </c>
      <c r="AJ336" s="12" t="str">
        <f>IF(AH336="","",IFERROR(_xlfn.XLOOKUP(RIGHT("0000"&amp;AH336,4),CODEBOOK_CAP!$C$2:$C$212,CODEBOOK_CAP!$E$2:$E$212),"Código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6" s="22" t="s">
        <v>79</v>
      </c>
      <c r="AL336" s="26" t="s">
        <v>2123</v>
      </c>
      <c r="AM336" s="22" t="s">
        <v>79</v>
      </c>
      <c r="AN336" s="22" t="s">
        <v>79</v>
      </c>
      <c r="AO336" s="12" t="s">
        <v>2124</v>
      </c>
      <c r="AP336" s="22" t="s">
        <v>77</v>
      </c>
      <c r="AQ336" s="12"/>
      <c r="AR336" s="22" t="s">
        <v>79</v>
      </c>
      <c r="AS336" s="10" t="s">
        <v>2122</v>
      </c>
      <c r="AT336" s="2" t="s">
        <v>1814</v>
      </c>
      <c r="AU336" s="12" t="s">
        <v>83</v>
      </c>
      <c r="AV336" s="3" t="n">
        <v>46220</v>
      </c>
      <c r="AW336" s="21"/>
      <c r="AY336" s="1"/>
      <c r="BA336" s="1"/>
      <c r="BB336" s="1"/>
    </row>
    <row r="337" ht="120" customHeight="1">
      <c r="A337" s="20" t="s">
        <v>2125</v>
      </c>
      <c r="B337" s="20" t="n">
        <v>2023</v>
      </c>
      <c r="C337" s="20" t="n">
        <v>440</v>
      </c>
      <c r="D337" s="20" t="s">
        <v>50</v>
      </c>
      <c r="E337" s="20" t="s">
        <v>2068</v>
      </c>
      <c r="F337" s="20" t="s">
        <v>2126</v>
      </c>
      <c r="G337" s="20" t="s">
        <v>315</v>
      </c>
      <c r="H337" s="20" t="s">
        <v>2070</v>
      </c>
      <c r="I337" s="20"/>
      <c r="J337" s="20" t="s">
        <v>2127</v>
      </c>
      <c r="K337" s="20" t="s">
        <v>309</v>
      </c>
      <c r="L337" s="20" t="s">
        <v>57</v>
      </c>
      <c r="M337" s="20" t="s">
        <v>58</v>
      </c>
      <c r="N337" s="20" t="s">
        <v>59</v>
      </c>
      <c r="O337" s="20" t="s">
        <v>60</v>
      </c>
      <c r="P337" s="20" t="s">
        <v>227</v>
      </c>
      <c r="Q337" s="20" t="s">
        <v>228</v>
      </c>
      <c r="R337" s="20" t="s">
        <v>229</v>
      </c>
      <c r="S337" s="20" t="s">
        <v>230</v>
      </c>
      <c r="T337" s="20" t="s">
        <v>231</v>
      </c>
      <c r="U337" s="20" t="s">
        <v>230</v>
      </c>
      <c r="V337" s="20" t="s">
        <v>196</v>
      </c>
      <c r="W337" s="20" t="s">
        <v>68</v>
      </c>
      <c r="X337" s="20" t="s">
        <v>69</v>
      </c>
      <c r="Y337" s="20" t="s">
        <v>70</v>
      </c>
      <c r="Z337" s="20" t="s">
        <v>98</v>
      </c>
      <c r="AA337" s="20" t="s">
        <v>1981</v>
      </c>
      <c r="AB337" s="20" t="s">
        <v>2128</v>
      </c>
      <c r="AC337" s="20" t="s">
        <v>2129</v>
      </c>
      <c r="AD337" s="20" t="s">
        <v>2129</v>
      </c>
      <c r="AE337" s="20" t="s">
        <v>2130</v>
      </c>
      <c r="AF337" s="9" t="n">
        <v>1</v>
      </c>
      <c r="AG337" s="12" t="n">
        <v>1</v>
      </c>
      <c r="AH337" s="22" t="s">
        <v>235</v>
      </c>
      <c r="AI337" s="12" t="str">
        <f>IF(AH337="","",IFERROR(RIGHT("0000"&amp;AH337,4)&amp;" - "&amp;UPPER(_xlfn.XLOOKUP(RIGHT("0000"&amp;AH337,4),CODEBOOK_CAP!$C$2:$C$212,CODEBOOK_CAP!$D$2:$D$212)),"Código CAP não encontrado"))</f>
        <v>0322 - ESTRUTURAS, HOSPITAIS, CLÍNICAS</v>
      </c>
      <c r="AJ337" s="12" t="str">
        <f>IF(AH337="","",IFERROR(_xlfn.XLOOKUP(RIGHT("0000"&amp;AH337,4),CODEBOOK_CAP!$C$2:$C$212,CODEBOOK_CAP!$E$2:$E$212),"Código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37" s="22" t="s">
        <v>79</v>
      </c>
      <c r="AL337" s="26" t="s">
        <v>1843</v>
      </c>
      <c r="AM337" s="22" t="s">
        <v>79</v>
      </c>
      <c r="AN337" s="22" t="s">
        <v>79</v>
      </c>
      <c r="AO337" s="12" t="s">
        <v>2131</v>
      </c>
      <c r="AP337" s="22" t="s">
        <v>77</v>
      </c>
      <c r="AQ337" s="12"/>
      <c r="AR337" s="22" t="s">
        <v>79</v>
      </c>
      <c r="AS337" s="10" t="s">
        <v>2130</v>
      </c>
      <c r="AT337" s="2" t="s">
        <v>1814</v>
      </c>
      <c r="AU337" s="12" t="s">
        <v>83</v>
      </c>
      <c r="AV337" s="3" t="n">
        <v>46220</v>
      </c>
      <c r="AW337" s="21"/>
      <c r="AY337" s="1"/>
      <c r="BA337" s="1"/>
      <c r="BB337" s="1"/>
    </row>
    <row r="338" ht="165" customHeight="1">
      <c r="A338" s="20" t="s">
        <v>2132</v>
      </c>
      <c r="B338" s="20" t="n">
        <v>2023</v>
      </c>
      <c r="C338" s="20" t="n">
        <v>820</v>
      </c>
      <c r="D338" s="20" t="s">
        <v>50</v>
      </c>
      <c r="E338" s="20" t="s">
        <v>2133</v>
      </c>
      <c r="F338" s="20" t="s">
        <v>2134</v>
      </c>
      <c r="G338" s="20" t="s">
        <v>86</v>
      </c>
      <c r="H338" s="20" t="s">
        <v>2135</v>
      </c>
      <c r="I338" s="20"/>
      <c r="J338" s="20" t="s">
        <v>2136</v>
      </c>
      <c r="K338" s="20" t="s">
        <v>2137</v>
      </c>
      <c r="L338" s="20" t="s">
        <v>1254</v>
      </c>
      <c r="M338" s="20" t="s">
        <v>1255</v>
      </c>
      <c r="N338" s="20" t="s">
        <v>660</v>
      </c>
      <c r="O338" s="20" t="s">
        <v>661</v>
      </c>
      <c r="P338" s="20" t="s">
        <v>2138</v>
      </c>
      <c r="Q338" s="20" t="s">
        <v>2139</v>
      </c>
      <c r="R338" s="20" t="s">
        <v>2140</v>
      </c>
      <c r="S338" s="20" t="s">
        <v>2141</v>
      </c>
      <c r="T338" s="20" t="s">
        <v>2142</v>
      </c>
      <c r="U338" s="20" t="s">
        <v>2143</v>
      </c>
      <c r="V338" s="20" t="s">
        <v>95</v>
      </c>
      <c r="W338" s="20" t="s">
        <v>96</v>
      </c>
      <c r="X338" s="20" t="s">
        <v>97</v>
      </c>
      <c r="Y338" s="20" t="s">
        <v>70</v>
      </c>
      <c r="Z338" s="20" t="s">
        <v>1260</v>
      </c>
      <c r="AA338" s="20" t="s">
        <v>409</v>
      </c>
      <c r="AB338" s="20" t="s">
        <v>409</v>
      </c>
      <c r="AC338" s="20" t="s">
        <v>409</v>
      </c>
      <c r="AD338" s="20" t="s">
        <v>409</v>
      </c>
      <c r="AE338" s="20"/>
      <c r="AF338" s="9" t="n">
        <v>0</v>
      </c>
      <c r="AG338" s="12" t="n">
        <v>0</v>
      </c>
      <c r="AH338" s="22" t="s">
        <v>1269</v>
      </c>
      <c r="AI338" s="12" t="str">
        <f>IF(AH338="","",IFERROR(RIGHT("0000"&amp;AH338,4)&amp;" - "&amp;UPPER(_xlfn.XLOOKUP(RIGHT("0000"&amp;AH338,4),CODEBOOK_CAP!$C$2:$C$212,CODEBOOK_CAP!$D$2:$D$212)),"Código CAP não encontrado"))</f>
        <v>0405 - CONTROLE DE DOENÇAS ANIMAIS</v>
      </c>
      <c r="AJ338" s="12" t="str">
        <f>IF(AH338="","",IFERROR(_xlfn.XLOOKUP(RIGHT("0000"&amp;AH338,4),CODEBOOK_CAP!$C$2:$C$212,CODEBOOK_CAP!$E$2:$E$212),"Código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338" s="22" t="s">
        <v>77</v>
      </c>
      <c r="AL338" s="26"/>
      <c r="AM338" s="22" t="s">
        <v>77</v>
      </c>
      <c r="AN338" s="22" t="s">
        <v>77</v>
      </c>
      <c r="AO338" s="12"/>
      <c r="AP338" s="22" t="s">
        <v>79</v>
      </c>
      <c r="AQ338" s="12" t="s">
        <v>1270</v>
      </c>
      <c r="AR338" s="22" t="s">
        <v>77</v>
      </c>
      <c r="AS338" s="10"/>
      <c r="AT338" s="2" t="s">
        <v>1814</v>
      </c>
      <c r="AU338" s="12" t="s">
        <v>83</v>
      </c>
      <c r="AV338" s="3" t="n">
        <v>46220</v>
      </c>
      <c r="AW338" s="21"/>
      <c r="AY338" s="1"/>
      <c r="BA338" s="1"/>
      <c r="BB338" s="1"/>
    </row>
    <row r="339" ht="165" customHeight="1">
      <c r="A339" s="20" t="s">
        <v>2144</v>
      </c>
      <c r="B339" s="20" t="n">
        <v>2023</v>
      </c>
      <c r="C339" s="20" t="n">
        <v>880</v>
      </c>
      <c r="D339" s="20" t="s">
        <v>50</v>
      </c>
      <c r="E339" s="20" t="s">
        <v>2133</v>
      </c>
      <c r="F339" s="20" t="s">
        <v>2145</v>
      </c>
      <c r="G339" s="20" t="s">
        <v>86</v>
      </c>
      <c r="H339" s="20" t="s">
        <v>2135</v>
      </c>
      <c r="I339" s="20"/>
      <c r="J339" s="20" t="s">
        <v>2146</v>
      </c>
      <c r="K339" s="20" t="s">
        <v>1267</v>
      </c>
      <c r="L339" s="20" t="s">
        <v>57</v>
      </c>
      <c r="M339" s="20" t="s">
        <v>58</v>
      </c>
      <c r="N339" s="20" t="s">
        <v>59</v>
      </c>
      <c r="O339" s="20" t="s">
        <v>60</v>
      </c>
      <c r="P339" s="20" t="s">
        <v>111</v>
      </c>
      <c r="Q339" s="20" t="s">
        <v>112</v>
      </c>
      <c r="R339" s="20" t="s">
        <v>113</v>
      </c>
      <c r="S339" s="20" t="s">
        <v>114</v>
      </c>
      <c r="T339" s="20" t="s">
        <v>115</v>
      </c>
      <c r="U339" s="20" t="s">
        <v>114</v>
      </c>
      <c r="V339" s="20" t="s">
        <v>854</v>
      </c>
      <c r="W339" s="20" t="s">
        <v>96</v>
      </c>
      <c r="X339" s="20" t="s">
        <v>97</v>
      </c>
      <c r="Y339" s="20" t="s">
        <v>70</v>
      </c>
      <c r="Z339" s="20" t="s">
        <v>98</v>
      </c>
      <c r="AA339" s="20" t="s">
        <v>1981</v>
      </c>
      <c r="AB339" s="20" t="s">
        <v>2147</v>
      </c>
      <c r="AC339" s="20" t="s">
        <v>2148</v>
      </c>
      <c r="AD339" s="20" t="s">
        <v>2148</v>
      </c>
      <c r="AE339" s="20"/>
      <c r="AF339" s="9" t="n">
        <v>1</v>
      </c>
      <c r="AG339" s="12" t="n">
        <v>0</v>
      </c>
      <c r="AH339" s="22" t="s">
        <v>1269</v>
      </c>
      <c r="AI339" s="12" t="str">
        <f>IF(AH339="","",IFERROR(RIGHT("0000"&amp;AH339,4)&amp;" - "&amp;UPPER(_xlfn.XLOOKUP(RIGHT("0000"&amp;AH339,4),CODEBOOK_CAP!$C$2:$C$212,CODEBOOK_CAP!$D$2:$D$212)),"Código CAP não encontrado"))</f>
        <v>0405 - CONTROLE DE DOENÇAS ANIMAIS</v>
      </c>
      <c r="AJ339" s="12" t="str">
        <f>IF(AH339="","",IFERROR(_xlfn.XLOOKUP(RIGHT("0000"&amp;AH339,4),CODEBOOK_CAP!$C$2:$C$212,CODEBOOK_CAP!$E$2:$E$212),"Código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339" s="22" t="s">
        <v>79</v>
      </c>
      <c r="AL339" s="26" t="s">
        <v>1843</v>
      </c>
      <c r="AM339" s="22" t="s">
        <v>79</v>
      </c>
      <c r="AN339" s="22" t="s">
        <v>79</v>
      </c>
      <c r="AO339" s="12" t="s">
        <v>2149</v>
      </c>
      <c r="AP339" s="22" t="s">
        <v>79</v>
      </c>
      <c r="AQ339" s="12" t="s">
        <v>2150</v>
      </c>
      <c r="AR339" s="22" t="s">
        <v>77</v>
      </c>
      <c r="AS339" s="10"/>
      <c r="AT339" s="2" t="s">
        <v>1814</v>
      </c>
      <c r="AU339" s="12" t="s">
        <v>83</v>
      </c>
      <c r="AV339" s="3" t="n">
        <v>46220</v>
      </c>
      <c r="AW339" s="21"/>
      <c r="AY339" s="1"/>
      <c r="BA339" s="1"/>
      <c r="BB339" s="1"/>
    </row>
    <row r="340" ht="255" customHeight="1">
      <c r="A340" s="20" t="s">
        <v>2151</v>
      </c>
      <c r="B340" s="20" t="n">
        <v>2023</v>
      </c>
      <c r="C340" s="20" t="n">
        <v>847</v>
      </c>
      <c r="D340" s="20" t="s">
        <v>50</v>
      </c>
      <c r="E340" s="20" t="s">
        <v>2152</v>
      </c>
      <c r="F340" s="20" t="s">
        <v>2153</v>
      </c>
      <c r="G340" s="20" t="s">
        <v>183</v>
      </c>
      <c r="H340" s="20" t="s">
        <v>2154</v>
      </c>
      <c r="I340" s="20"/>
      <c r="J340" s="20" t="s">
        <v>2155</v>
      </c>
      <c r="K340" s="20" t="s">
        <v>207</v>
      </c>
      <c r="L340" s="20" t="s">
        <v>208</v>
      </c>
      <c r="M340" s="20" t="s">
        <v>209</v>
      </c>
      <c r="N340" s="20" t="s">
        <v>210</v>
      </c>
      <c r="O340" s="20" t="s">
        <v>211</v>
      </c>
      <c r="P340" s="20" t="s">
        <v>212</v>
      </c>
      <c r="Q340" s="20" t="s">
        <v>213</v>
      </c>
      <c r="R340" s="20" t="s">
        <v>214</v>
      </c>
      <c r="S340" s="20" t="s">
        <v>215</v>
      </c>
      <c r="T340" s="20" t="s">
        <v>216</v>
      </c>
      <c r="U340" s="20" t="s">
        <v>217</v>
      </c>
      <c r="V340" s="20" t="s">
        <v>67</v>
      </c>
      <c r="W340" s="20" t="s">
        <v>68</v>
      </c>
      <c r="X340" s="20" t="s">
        <v>69</v>
      </c>
      <c r="Y340" s="20" t="s">
        <v>70</v>
      </c>
      <c r="Z340" s="20" t="s">
        <v>177</v>
      </c>
      <c r="AA340" s="20" t="s">
        <v>343</v>
      </c>
      <c r="AB340" s="20" t="s">
        <v>77</v>
      </c>
      <c r="AC340" s="20" t="s">
        <v>77</v>
      </c>
      <c r="AD340" s="20" t="s">
        <v>77</v>
      </c>
      <c r="AE340" s="20"/>
      <c r="AF340" s="9" t="n">
        <v>0</v>
      </c>
      <c r="AG340" s="12" t="n">
        <v>0</v>
      </c>
      <c r="AH340" s="22" t="s">
        <v>219</v>
      </c>
      <c r="AI340" s="12" t="str">
        <f>IF(AH340="","",IFERROR(RIGHT("0000"&amp;AH340,4)&amp;" - "&amp;UPPER(_xlfn.XLOOKUP(RIGHT("0000"&amp;AH340,4),CODEBOOK_CAP!$C$2:$C$212,CODEBOOK_CAP!$D$2:$D$212)),"Código CAP não encontrado"))</f>
        <v>1002 - CARROS, TRÂNSITO, CONSTRUÇÃO E MANUTENÇÃO DE RUAS E ESTRADAS</v>
      </c>
      <c r="AJ340" s="12" t="str">
        <f>IF(AH340="","",IFERROR(_xlfn.XLOOKUP(RIGHT("0000"&amp;AH340,4),CODEBOOK_CAP!$C$2:$C$212,CODEBOOK_CAP!$E$2:$E$212),"Código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40" s="22" t="s">
        <v>79</v>
      </c>
      <c r="AL340" s="26" t="s">
        <v>2156</v>
      </c>
      <c r="AM340" s="22" t="s">
        <v>79</v>
      </c>
      <c r="AN340" s="22" t="s">
        <v>79</v>
      </c>
      <c r="AO340" s="12" t="s">
        <v>2156</v>
      </c>
      <c r="AP340" s="22" t="s">
        <v>77</v>
      </c>
      <c r="AQ340" s="12"/>
      <c r="AR340" s="22" t="s">
        <v>77</v>
      </c>
      <c r="AS340" s="10"/>
      <c r="AT340" s="2" t="s">
        <v>1814</v>
      </c>
      <c r="AU340" s="12" t="s">
        <v>83</v>
      </c>
      <c r="AV340" s="3" t="n">
        <v>46220</v>
      </c>
      <c r="AW340" s="21"/>
      <c r="AY340" s="1"/>
      <c r="BA340" s="1"/>
      <c r="BB340" s="1"/>
    </row>
    <row r="341" ht="210" customHeight="1">
      <c r="A341" s="20" t="s">
        <v>2157</v>
      </c>
      <c r="B341" s="20" t="n">
        <v>2023</v>
      </c>
      <c r="C341" s="20" t="n">
        <v>848</v>
      </c>
      <c r="D341" s="20" t="s">
        <v>50</v>
      </c>
      <c r="E341" s="20" t="s">
        <v>2152</v>
      </c>
      <c r="F341" s="20" t="s">
        <v>2158</v>
      </c>
      <c r="G341" s="20" t="s">
        <v>183</v>
      </c>
      <c r="H341" s="20" t="s">
        <v>2154</v>
      </c>
      <c r="I341" s="20"/>
      <c r="J341" s="20" t="s">
        <v>2159</v>
      </c>
      <c r="K341" s="20" t="s">
        <v>273</v>
      </c>
      <c r="L341" s="20" t="s">
        <v>274</v>
      </c>
      <c r="M341" s="20" t="s">
        <v>275</v>
      </c>
      <c r="N341" s="20" t="s">
        <v>276</v>
      </c>
      <c r="O341" s="20" t="s">
        <v>277</v>
      </c>
      <c r="P341" s="20" t="s">
        <v>278</v>
      </c>
      <c r="Q341" s="20" t="s">
        <v>279</v>
      </c>
      <c r="R341" s="20" t="s">
        <v>280</v>
      </c>
      <c r="S341" s="20" t="s">
        <v>281</v>
      </c>
      <c r="T341" s="20" t="s">
        <v>282</v>
      </c>
      <c r="U341" s="20" t="s">
        <v>283</v>
      </c>
      <c r="V341" s="20" t="s">
        <v>95</v>
      </c>
      <c r="W341" s="20" t="s">
        <v>96</v>
      </c>
      <c r="X341" s="20" t="s">
        <v>97</v>
      </c>
      <c r="Y341" s="20" t="s">
        <v>70</v>
      </c>
      <c r="Z341" s="20" t="s">
        <v>284</v>
      </c>
      <c r="AA341" s="20" t="s">
        <v>2160</v>
      </c>
      <c r="AB341" s="20"/>
      <c r="AC341" s="20"/>
      <c r="AD341" s="20"/>
      <c r="AE341" s="20"/>
      <c r="AF341" s="9" t="n">
        <v>0</v>
      </c>
      <c r="AG341" s="12" t="n">
        <v>0</v>
      </c>
      <c r="AH341" s="22" t="s">
        <v>607</v>
      </c>
      <c r="AI341" s="12" t="str">
        <f>IF(AH341="","",IFERROR(RIGHT("0000"&amp;AH341,4)&amp;" - "&amp;UPPER(_xlfn.XLOOKUP(RIGHT("0000"&amp;AH341,4),CODEBOOK_CAP!$C$2:$C$212,CODEBOOK_CAP!$D$2:$D$212)),"Código CAP não encontrado"))</f>
        <v>1300 - GERAL</v>
      </c>
      <c r="AJ341" s="12" t="str">
        <f>IF(AH341="","",IFERROR(_xlfn.XLOOKUP(RIGHT("0000"&amp;AH341,4),CODEBOOK_CAP!$C$2:$C$212,CODEBOOK_CAP!$E$2:$E$212),"Código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341" s="22" t="s">
        <v>77</v>
      </c>
      <c r="AL341" s="26"/>
      <c r="AM341" s="22" t="s">
        <v>77</v>
      </c>
      <c r="AN341" s="22" t="s">
        <v>77</v>
      </c>
      <c r="AO341" s="12"/>
      <c r="AP341" s="22" t="s">
        <v>77</v>
      </c>
      <c r="AQ341" s="12"/>
      <c r="AR341" s="22" t="s">
        <v>77</v>
      </c>
      <c r="AS341" s="10"/>
      <c r="AT341" s="2" t="s">
        <v>1814</v>
      </c>
      <c r="AU341" s="12" t="s">
        <v>83</v>
      </c>
      <c r="AV341" s="3" t="n">
        <v>46220</v>
      </c>
      <c r="AW341" s="21"/>
      <c r="AY341" s="1"/>
      <c r="BA341" s="1"/>
      <c r="BB341" s="1"/>
    </row>
    <row r="342" ht="120" customHeight="1">
      <c r="A342" s="20" t="s">
        <v>2161</v>
      </c>
      <c r="B342" s="20" t="n">
        <v>2023</v>
      </c>
      <c r="C342" s="20" t="n">
        <v>240</v>
      </c>
      <c r="D342" s="20" t="s">
        <v>50</v>
      </c>
      <c r="E342" s="20" t="s">
        <v>2152</v>
      </c>
      <c r="F342" s="20" t="s">
        <v>2162</v>
      </c>
      <c r="G342" s="20" t="s">
        <v>86</v>
      </c>
      <c r="H342" s="20" t="s">
        <v>2154</v>
      </c>
      <c r="I342" s="20"/>
      <c r="J342" s="20" t="s">
        <v>2163</v>
      </c>
      <c r="K342" s="20" t="s">
        <v>122</v>
      </c>
      <c r="L342" s="20" t="s">
        <v>57</v>
      </c>
      <c r="M342" s="20" t="s">
        <v>58</v>
      </c>
      <c r="N342" s="20" t="s">
        <v>59</v>
      </c>
      <c r="O342" s="20" t="s">
        <v>60</v>
      </c>
      <c r="P342" s="20" t="s">
        <v>89</v>
      </c>
      <c r="Q342" s="20" t="s">
        <v>90</v>
      </c>
      <c r="R342" s="20" t="s">
        <v>91</v>
      </c>
      <c r="S342" s="20" t="s">
        <v>92</v>
      </c>
      <c r="T342" s="20" t="s">
        <v>123</v>
      </c>
      <c r="U342" s="20" t="s">
        <v>124</v>
      </c>
      <c r="V342" s="20" t="s">
        <v>95</v>
      </c>
      <c r="W342" s="20" t="s">
        <v>96</v>
      </c>
      <c r="X342" s="20" t="s">
        <v>97</v>
      </c>
      <c r="Y342" s="20" t="s">
        <v>70</v>
      </c>
      <c r="Z342" s="20" t="s">
        <v>98</v>
      </c>
      <c r="AA342" s="20" t="s">
        <v>2164</v>
      </c>
      <c r="AB342" s="20" t="s">
        <v>2164</v>
      </c>
      <c r="AC342" s="20" t="s">
        <v>2164</v>
      </c>
      <c r="AD342" s="20" t="s">
        <v>2164</v>
      </c>
      <c r="AE342" s="20"/>
      <c r="AF342" s="9" t="n">
        <v>1</v>
      </c>
      <c r="AG342" s="12" t="n">
        <v>1</v>
      </c>
      <c r="AH342" s="22" t="s">
        <v>235</v>
      </c>
      <c r="AI342" s="12" t="str">
        <f>IF(AH342="","",IFERROR(RIGHT("0000"&amp;AH342,4)&amp;" - "&amp;UPPER(_xlfn.XLOOKUP(RIGHT("0000"&amp;AH342,4),CODEBOOK_CAP!$C$2:$C$212,CODEBOOK_CAP!$D$2:$D$212)),"Código CAP não encontrado"))</f>
        <v>0322 - ESTRUTURAS, HOSPITAIS, CLÍNICAS</v>
      </c>
      <c r="AJ342" s="12" t="str">
        <f>IF(AH342="","",IFERROR(_xlfn.XLOOKUP(RIGHT("0000"&amp;AH342,4),CODEBOOK_CAP!$C$2:$C$212,CODEBOOK_CAP!$E$2:$E$212),"Código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2" s="22" t="s">
        <v>77</v>
      </c>
      <c r="AL342" s="26"/>
      <c r="AM342" s="22" t="s">
        <v>79</v>
      </c>
      <c r="AN342" s="22" t="s">
        <v>79</v>
      </c>
      <c r="AO342" s="12" t="s">
        <v>2165</v>
      </c>
      <c r="AP342" s="22" t="s">
        <v>77</v>
      </c>
      <c r="AQ342" s="12"/>
      <c r="AR342" s="22" t="s">
        <v>77</v>
      </c>
      <c r="AS342" s="10"/>
      <c r="AT342" s="2" t="s">
        <v>1814</v>
      </c>
      <c r="AU342" s="12" t="s">
        <v>83</v>
      </c>
      <c r="AV342" s="3" t="n">
        <v>46220</v>
      </c>
      <c r="AW342" s="21"/>
      <c r="AY342" s="1"/>
      <c r="BA342" s="1"/>
      <c r="BB342" s="1"/>
    </row>
    <row r="343" ht="120" customHeight="1">
      <c r="A343" s="20" t="s">
        <v>2166</v>
      </c>
      <c r="B343" s="20" t="n">
        <v>2023</v>
      </c>
      <c r="C343" s="20" t="n">
        <v>241</v>
      </c>
      <c r="D343" s="20" t="s">
        <v>50</v>
      </c>
      <c r="E343" s="20" t="s">
        <v>2152</v>
      </c>
      <c r="F343" s="20" t="s">
        <v>2167</v>
      </c>
      <c r="G343" s="20" t="s">
        <v>86</v>
      </c>
      <c r="H343" s="20" t="s">
        <v>2154</v>
      </c>
      <c r="I343" s="20"/>
      <c r="J343" s="20" t="s">
        <v>2168</v>
      </c>
      <c r="K343" s="20" t="s">
        <v>122</v>
      </c>
      <c r="L343" s="20" t="s">
        <v>57</v>
      </c>
      <c r="M343" s="20" t="s">
        <v>58</v>
      </c>
      <c r="N343" s="20" t="s">
        <v>59</v>
      </c>
      <c r="O343" s="20" t="s">
        <v>60</v>
      </c>
      <c r="P343" s="20" t="s">
        <v>89</v>
      </c>
      <c r="Q343" s="20" t="s">
        <v>90</v>
      </c>
      <c r="R343" s="20" t="s">
        <v>91</v>
      </c>
      <c r="S343" s="20" t="s">
        <v>92</v>
      </c>
      <c r="T343" s="20" t="s">
        <v>123</v>
      </c>
      <c r="U343" s="20" t="s">
        <v>124</v>
      </c>
      <c r="V343" s="20" t="s">
        <v>95</v>
      </c>
      <c r="W343" s="20" t="s">
        <v>96</v>
      </c>
      <c r="X343" s="20" t="s">
        <v>97</v>
      </c>
      <c r="Y343" s="20" t="s">
        <v>70</v>
      </c>
      <c r="Z343" s="20" t="s">
        <v>98</v>
      </c>
      <c r="AA343" s="20" t="s">
        <v>125</v>
      </c>
      <c r="AB343" s="20" t="s">
        <v>125</v>
      </c>
      <c r="AC343" s="20" t="s">
        <v>125</v>
      </c>
      <c r="AD343" s="20" t="s">
        <v>125</v>
      </c>
      <c r="AE343" s="20"/>
      <c r="AF343" s="9" t="n">
        <v>1</v>
      </c>
      <c r="AG343" s="12" t="n">
        <v>1</v>
      </c>
      <c r="AH343" s="22" t="s">
        <v>235</v>
      </c>
      <c r="AI343" s="12" t="str">
        <f>IF(AH343="","",IFERROR(RIGHT("0000"&amp;AH343,4)&amp;" - "&amp;UPPER(_xlfn.XLOOKUP(RIGHT("0000"&amp;AH343,4),CODEBOOK_CAP!$C$2:$C$212,CODEBOOK_CAP!$D$2:$D$212)),"Código CAP não encontrado"))</f>
        <v>0322 - ESTRUTURAS, HOSPITAIS, CLÍNICAS</v>
      </c>
      <c r="AJ343" s="12" t="str">
        <f>IF(AH343="","",IFERROR(_xlfn.XLOOKUP(RIGHT("0000"&amp;AH343,4),CODEBOOK_CAP!$C$2:$C$212,CODEBOOK_CAP!$E$2:$E$212),"Código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3" s="22" t="s">
        <v>77</v>
      </c>
      <c r="AL343" s="26"/>
      <c r="AM343" s="22" t="s">
        <v>79</v>
      </c>
      <c r="AN343" s="22" t="s">
        <v>79</v>
      </c>
      <c r="AO343" s="12" t="s">
        <v>2169</v>
      </c>
      <c r="AP343" s="22" t="s">
        <v>77</v>
      </c>
      <c r="AQ343" s="12"/>
      <c r="AR343" s="22" t="s">
        <v>77</v>
      </c>
      <c r="AS343" s="10"/>
      <c r="AT343" s="2" t="s">
        <v>1814</v>
      </c>
      <c r="AU343" s="12" t="s">
        <v>83</v>
      </c>
      <c r="AV343" s="3" t="n">
        <v>46220</v>
      </c>
      <c r="AW343" s="21"/>
      <c r="AY343" s="1"/>
      <c r="BA343" s="1"/>
      <c r="BB343" s="1"/>
    </row>
    <row r="344" ht="120" customHeight="1">
      <c r="A344" s="20" t="s">
        <v>2170</v>
      </c>
      <c r="B344" s="20" t="n">
        <v>2023</v>
      </c>
      <c r="C344" s="20" t="n">
        <v>242</v>
      </c>
      <c r="D344" s="20" t="s">
        <v>50</v>
      </c>
      <c r="E344" s="20" t="s">
        <v>2152</v>
      </c>
      <c r="F344" s="20" t="s">
        <v>2171</v>
      </c>
      <c r="G344" s="20" t="s">
        <v>86</v>
      </c>
      <c r="H344" s="20" t="s">
        <v>2154</v>
      </c>
      <c r="I344" s="20"/>
      <c r="J344" s="20" t="s">
        <v>2172</v>
      </c>
      <c r="K344" s="20" t="s">
        <v>122</v>
      </c>
      <c r="L344" s="20" t="s">
        <v>57</v>
      </c>
      <c r="M344" s="20" t="s">
        <v>58</v>
      </c>
      <c r="N344" s="20" t="s">
        <v>59</v>
      </c>
      <c r="O344" s="20" t="s">
        <v>60</v>
      </c>
      <c r="P344" s="20" t="s">
        <v>89</v>
      </c>
      <c r="Q344" s="20" t="s">
        <v>90</v>
      </c>
      <c r="R344" s="20" t="s">
        <v>91</v>
      </c>
      <c r="S344" s="20" t="s">
        <v>92</v>
      </c>
      <c r="T344" s="20" t="s">
        <v>123</v>
      </c>
      <c r="U344" s="20" t="s">
        <v>124</v>
      </c>
      <c r="V344" s="20" t="s">
        <v>95</v>
      </c>
      <c r="W344" s="20" t="s">
        <v>96</v>
      </c>
      <c r="X344" s="20" t="s">
        <v>97</v>
      </c>
      <c r="Y344" s="20" t="s">
        <v>70</v>
      </c>
      <c r="Z344" s="20" t="s">
        <v>98</v>
      </c>
      <c r="AA344" s="20" t="s">
        <v>2164</v>
      </c>
      <c r="AB344" s="20" t="s">
        <v>2164</v>
      </c>
      <c r="AC344" s="20" t="s">
        <v>2164</v>
      </c>
      <c r="AD344" s="20" t="s">
        <v>2164</v>
      </c>
      <c r="AE344" s="20"/>
      <c r="AF344" s="9" t="n">
        <v>1</v>
      </c>
      <c r="AG344" s="12" t="n">
        <v>1</v>
      </c>
      <c r="AH344" s="22" t="s">
        <v>235</v>
      </c>
      <c r="AI344" s="12" t="str">
        <f>IF(AH344="","",IFERROR(RIGHT("0000"&amp;AH344,4)&amp;" - "&amp;UPPER(_xlfn.XLOOKUP(RIGHT("0000"&amp;AH344,4),CODEBOOK_CAP!$C$2:$C$212,CODEBOOK_CAP!$D$2:$D$212)),"Código CAP não encontrado"))</f>
        <v>0322 - ESTRUTURAS, HOSPITAIS, CLÍNICAS</v>
      </c>
      <c r="AJ344" s="12" t="str">
        <f>IF(AH344="","",IFERROR(_xlfn.XLOOKUP(RIGHT("0000"&amp;AH344,4),CODEBOOK_CAP!$C$2:$C$212,CODEBOOK_CAP!$E$2:$E$212),"Código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4" s="22" t="s">
        <v>77</v>
      </c>
      <c r="AL344" s="26"/>
      <c r="AM344" s="22" t="s">
        <v>79</v>
      </c>
      <c r="AN344" s="22" t="s">
        <v>79</v>
      </c>
      <c r="AO344" s="12" t="s">
        <v>2173</v>
      </c>
      <c r="AP344" s="22" t="s">
        <v>77</v>
      </c>
      <c r="AQ344" s="12"/>
      <c r="AR344" s="22" t="s">
        <v>77</v>
      </c>
      <c r="AS344" s="10"/>
      <c r="AT344" s="2" t="s">
        <v>1814</v>
      </c>
      <c r="AU344" s="12" t="s">
        <v>83</v>
      </c>
      <c r="AV344" s="3" t="n">
        <v>46220</v>
      </c>
      <c r="AW344" s="21"/>
      <c r="AY344" s="1"/>
      <c r="BA344" s="1"/>
      <c r="BB344" s="1"/>
    </row>
    <row r="345" ht="120" customHeight="1">
      <c r="A345" s="20" t="s">
        <v>2174</v>
      </c>
      <c r="B345" s="20" t="n">
        <v>2023</v>
      </c>
      <c r="C345" s="20" t="n">
        <v>243</v>
      </c>
      <c r="D345" s="20" t="s">
        <v>50</v>
      </c>
      <c r="E345" s="20" t="s">
        <v>2152</v>
      </c>
      <c r="F345" s="20" t="s">
        <v>2175</v>
      </c>
      <c r="G345" s="20" t="s">
        <v>86</v>
      </c>
      <c r="H345" s="20" t="s">
        <v>2154</v>
      </c>
      <c r="I345" s="20"/>
      <c r="J345" s="20" t="s">
        <v>2176</v>
      </c>
      <c r="K345" s="20" t="s">
        <v>122</v>
      </c>
      <c r="L345" s="20" t="s">
        <v>57</v>
      </c>
      <c r="M345" s="20" t="s">
        <v>58</v>
      </c>
      <c r="N345" s="20" t="s">
        <v>59</v>
      </c>
      <c r="O345" s="20" t="s">
        <v>60</v>
      </c>
      <c r="P345" s="20" t="s">
        <v>89</v>
      </c>
      <c r="Q345" s="20" t="s">
        <v>90</v>
      </c>
      <c r="R345" s="20" t="s">
        <v>91</v>
      </c>
      <c r="S345" s="20" t="s">
        <v>92</v>
      </c>
      <c r="T345" s="20" t="s">
        <v>123</v>
      </c>
      <c r="U345" s="20" t="s">
        <v>124</v>
      </c>
      <c r="V345" s="20" t="s">
        <v>95</v>
      </c>
      <c r="W345" s="20" t="s">
        <v>96</v>
      </c>
      <c r="X345" s="20" t="s">
        <v>97</v>
      </c>
      <c r="Y345" s="20" t="s">
        <v>70</v>
      </c>
      <c r="Z345" s="20" t="s">
        <v>98</v>
      </c>
      <c r="AA345" s="20" t="s">
        <v>125</v>
      </c>
      <c r="AB345" s="20" t="s">
        <v>125</v>
      </c>
      <c r="AC345" s="20" t="s">
        <v>125</v>
      </c>
      <c r="AD345" s="20" t="s">
        <v>125</v>
      </c>
      <c r="AE345" s="20"/>
      <c r="AF345" s="9" t="n">
        <v>1</v>
      </c>
      <c r="AG345" s="12" t="n">
        <v>1</v>
      </c>
      <c r="AH345" s="22" t="s">
        <v>235</v>
      </c>
      <c r="AI345" s="12" t="str">
        <f>IF(AH345="","",IFERROR(RIGHT("0000"&amp;AH345,4)&amp;" - "&amp;UPPER(_xlfn.XLOOKUP(RIGHT("0000"&amp;AH345,4),CODEBOOK_CAP!$C$2:$C$212,CODEBOOK_CAP!$D$2:$D$212)),"Código CAP não encontrado"))</f>
        <v>0322 - ESTRUTURAS, HOSPITAIS, CLÍNICAS</v>
      </c>
      <c r="AJ345" s="12" t="str">
        <f>IF(AH345="","",IFERROR(_xlfn.XLOOKUP(RIGHT("0000"&amp;AH345,4),CODEBOOK_CAP!$C$2:$C$212,CODEBOOK_CAP!$E$2:$E$212),"Código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5" s="22" t="s">
        <v>77</v>
      </c>
      <c r="AL345" s="26"/>
      <c r="AM345" s="22" t="s">
        <v>79</v>
      </c>
      <c r="AN345" s="22" t="s">
        <v>79</v>
      </c>
      <c r="AO345" s="12" t="s">
        <v>2177</v>
      </c>
      <c r="AP345" s="22" t="s">
        <v>77</v>
      </c>
      <c r="AQ345" s="12"/>
      <c r="AR345" s="22" t="s">
        <v>77</v>
      </c>
      <c r="AS345" s="10"/>
      <c r="AT345" s="2" t="s">
        <v>1814</v>
      </c>
      <c r="AU345" s="12" t="s">
        <v>83</v>
      </c>
      <c r="AV345" s="3" t="n">
        <v>46220</v>
      </c>
      <c r="AW345" s="21"/>
      <c r="AY345" s="1"/>
      <c r="BA345" s="1"/>
      <c r="BB345" s="1"/>
    </row>
    <row r="346" ht="150" customHeight="1">
      <c r="A346" s="20" t="s">
        <v>2178</v>
      </c>
      <c r="B346" s="20" t="n">
        <v>2023</v>
      </c>
      <c r="C346" s="20" t="n">
        <v>244</v>
      </c>
      <c r="D346" s="20" t="s">
        <v>50</v>
      </c>
      <c r="E346" s="20" t="s">
        <v>2152</v>
      </c>
      <c r="F346" s="20" t="s">
        <v>2179</v>
      </c>
      <c r="G346" s="20" t="s">
        <v>86</v>
      </c>
      <c r="H346" s="20" t="s">
        <v>2154</v>
      </c>
      <c r="I346" s="20"/>
      <c r="J346" s="20" t="s">
        <v>2180</v>
      </c>
      <c r="K346" s="20" t="s">
        <v>122</v>
      </c>
      <c r="L346" s="20" t="s">
        <v>57</v>
      </c>
      <c r="M346" s="20" t="s">
        <v>58</v>
      </c>
      <c r="N346" s="20" t="s">
        <v>59</v>
      </c>
      <c r="O346" s="20" t="s">
        <v>60</v>
      </c>
      <c r="P346" s="20" t="s">
        <v>89</v>
      </c>
      <c r="Q346" s="20" t="s">
        <v>90</v>
      </c>
      <c r="R346" s="20" t="s">
        <v>91</v>
      </c>
      <c r="S346" s="20" t="s">
        <v>92</v>
      </c>
      <c r="T346" s="20" t="s">
        <v>123</v>
      </c>
      <c r="U346" s="20" t="s">
        <v>124</v>
      </c>
      <c r="V346" s="20" t="s">
        <v>95</v>
      </c>
      <c r="W346" s="20" t="s">
        <v>96</v>
      </c>
      <c r="X346" s="20" t="s">
        <v>97</v>
      </c>
      <c r="Y346" s="20" t="s">
        <v>70</v>
      </c>
      <c r="Z346" s="20" t="s">
        <v>98</v>
      </c>
      <c r="AA346" s="20" t="s">
        <v>125</v>
      </c>
      <c r="AB346" s="20" t="s">
        <v>125</v>
      </c>
      <c r="AC346" s="20" t="s">
        <v>125</v>
      </c>
      <c r="AD346" s="20" t="s">
        <v>125</v>
      </c>
      <c r="AE346" s="20"/>
      <c r="AF346" s="9" t="n">
        <v>1</v>
      </c>
      <c r="AG346" s="12" t="n">
        <v>1</v>
      </c>
      <c r="AH346" s="22" t="s">
        <v>620</v>
      </c>
      <c r="AI346" s="12" t="str">
        <f>IF(AH346="","",IFERROR(RIGHT("0000"&amp;AH346,4)&amp;" - "&amp;UPPER(_xlfn.XLOOKUP(RIGHT("0000"&amp;AH346,4),CODEBOOK_CAP!$C$2:$C$212,CODEBOOK_CAP!$D$2:$D$212)),"Código CAP não encontrado"))</f>
        <v>0332 - SAÚDE INFANTIL, GRAVIDEZ E PRÉ-NATAL</v>
      </c>
      <c r="AJ346" s="12" t="str">
        <f>IF(AH346="","",IFERROR(_xlfn.XLOOKUP(RIGHT("0000"&amp;AH346,4),CODEBOOK_CAP!$C$2:$C$212,CODEBOOK_CAP!$E$2:$E$212),"Código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346" s="22" t="s">
        <v>77</v>
      </c>
      <c r="AL346" s="26"/>
      <c r="AM346" s="22" t="s">
        <v>79</v>
      </c>
      <c r="AN346" s="22" t="s">
        <v>79</v>
      </c>
      <c r="AO346" s="12" t="s">
        <v>2181</v>
      </c>
      <c r="AP346" s="22" t="s">
        <v>77</v>
      </c>
      <c r="AQ346" s="12"/>
      <c r="AR346" s="22" t="s">
        <v>77</v>
      </c>
      <c r="AS346" s="10"/>
      <c r="AT346" s="2" t="s">
        <v>1814</v>
      </c>
      <c r="AU346" s="12" t="s">
        <v>83</v>
      </c>
      <c r="AV346" s="3" t="n">
        <v>46220</v>
      </c>
      <c r="AW346" s="21"/>
      <c r="AY346" s="1"/>
      <c r="BA346" s="1"/>
      <c r="BB346" s="1"/>
    </row>
    <row r="347" ht="120" customHeight="1">
      <c r="A347" s="20" t="s">
        <v>2182</v>
      </c>
      <c r="B347" s="20" t="n">
        <v>2023</v>
      </c>
      <c r="C347" s="20" t="n">
        <v>245</v>
      </c>
      <c r="D347" s="20" t="s">
        <v>50</v>
      </c>
      <c r="E347" s="20" t="s">
        <v>2152</v>
      </c>
      <c r="F347" s="20" t="s">
        <v>2183</v>
      </c>
      <c r="G347" s="20" t="s">
        <v>86</v>
      </c>
      <c r="H347" s="20" t="s">
        <v>2154</v>
      </c>
      <c r="I347" s="20"/>
      <c r="J347" s="20" t="s">
        <v>2184</v>
      </c>
      <c r="K347" s="20" t="s">
        <v>122</v>
      </c>
      <c r="L347" s="20" t="s">
        <v>57</v>
      </c>
      <c r="M347" s="20" t="s">
        <v>58</v>
      </c>
      <c r="N347" s="20" t="s">
        <v>59</v>
      </c>
      <c r="O347" s="20" t="s">
        <v>60</v>
      </c>
      <c r="P347" s="20" t="s">
        <v>89</v>
      </c>
      <c r="Q347" s="20" t="s">
        <v>90</v>
      </c>
      <c r="R347" s="20" t="s">
        <v>91</v>
      </c>
      <c r="S347" s="20" t="s">
        <v>92</v>
      </c>
      <c r="T347" s="20" t="s">
        <v>123</v>
      </c>
      <c r="U347" s="20" t="s">
        <v>124</v>
      </c>
      <c r="V347" s="20" t="s">
        <v>95</v>
      </c>
      <c r="W347" s="20" t="s">
        <v>96</v>
      </c>
      <c r="X347" s="20" t="s">
        <v>97</v>
      </c>
      <c r="Y347" s="20" t="s">
        <v>70</v>
      </c>
      <c r="Z347" s="20" t="s">
        <v>98</v>
      </c>
      <c r="AA347" s="20" t="s">
        <v>2164</v>
      </c>
      <c r="AB347" s="20" t="s">
        <v>2164</v>
      </c>
      <c r="AC347" s="20" t="s">
        <v>2164</v>
      </c>
      <c r="AD347" s="20" t="s">
        <v>2164</v>
      </c>
      <c r="AE347" s="20"/>
      <c r="AF347" s="9" t="n">
        <v>1</v>
      </c>
      <c r="AG347" s="12" t="n">
        <v>1</v>
      </c>
      <c r="AH347" s="22" t="s">
        <v>235</v>
      </c>
      <c r="AI347" s="12" t="str">
        <f>IF(AH347="","",IFERROR(RIGHT("0000"&amp;AH347,4)&amp;" - "&amp;UPPER(_xlfn.XLOOKUP(RIGHT("0000"&amp;AH347,4),CODEBOOK_CAP!$C$2:$C$212,CODEBOOK_CAP!$D$2:$D$212)),"Código CAP não encontrado"))</f>
        <v>0322 - ESTRUTURAS, HOSPITAIS, CLÍNICAS</v>
      </c>
      <c r="AJ347" s="12" t="str">
        <f>IF(AH347="","",IFERROR(_xlfn.XLOOKUP(RIGHT("0000"&amp;AH347,4),CODEBOOK_CAP!$C$2:$C$212,CODEBOOK_CAP!$E$2:$E$212),"Código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7" s="22" t="s">
        <v>77</v>
      </c>
      <c r="AL347" s="26"/>
      <c r="AM347" s="22" t="s">
        <v>79</v>
      </c>
      <c r="AN347" s="22" t="s">
        <v>79</v>
      </c>
      <c r="AO347" s="12" t="s">
        <v>2185</v>
      </c>
      <c r="AP347" s="22" t="s">
        <v>77</v>
      </c>
      <c r="AQ347" s="12"/>
      <c r="AR347" s="22" t="s">
        <v>77</v>
      </c>
      <c r="AS347" s="10"/>
      <c r="AT347" s="2" t="s">
        <v>1814</v>
      </c>
      <c r="AU347" s="12" t="s">
        <v>83</v>
      </c>
      <c r="AV347" s="3" t="n">
        <v>46220</v>
      </c>
      <c r="AW347" s="21"/>
      <c r="AY347" s="1"/>
      <c r="BA347" s="1"/>
      <c r="BB347" s="1"/>
    </row>
    <row r="348" ht="120" customHeight="1">
      <c r="A348" s="20" t="s">
        <v>2186</v>
      </c>
      <c r="B348" s="20" t="n">
        <v>2023</v>
      </c>
      <c r="C348" s="20" t="n">
        <v>246</v>
      </c>
      <c r="D348" s="20" t="s">
        <v>50</v>
      </c>
      <c r="E348" s="20" t="s">
        <v>2152</v>
      </c>
      <c r="F348" s="20" t="s">
        <v>2187</v>
      </c>
      <c r="G348" s="20" t="s">
        <v>86</v>
      </c>
      <c r="H348" s="20" t="s">
        <v>2154</v>
      </c>
      <c r="I348" s="20"/>
      <c r="J348" s="20" t="s">
        <v>2188</v>
      </c>
      <c r="K348" s="20" t="s">
        <v>122</v>
      </c>
      <c r="L348" s="20" t="s">
        <v>57</v>
      </c>
      <c r="M348" s="20" t="s">
        <v>58</v>
      </c>
      <c r="N348" s="20" t="s">
        <v>59</v>
      </c>
      <c r="O348" s="20" t="s">
        <v>60</v>
      </c>
      <c r="P348" s="20" t="s">
        <v>89</v>
      </c>
      <c r="Q348" s="20" t="s">
        <v>90</v>
      </c>
      <c r="R348" s="20" t="s">
        <v>91</v>
      </c>
      <c r="S348" s="20" t="s">
        <v>92</v>
      </c>
      <c r="T348" s="20" t="s">
        <v>123</v>
      </c>
      <c r="U348" s="20" t="s">
        <v>124</v>
      </c>
      <c r="V348" s="20" t="s">
        <v>95</v>
      </c>
      <c r="W348" s="20" t="s">
        <v>96</v>
      </c>
      <c r="X348" s="20" t="s">
        <v>97</v>
      </c>
      <c r="Y348" s="20" t="s">
        <v>70</v>
      </c>
      <c r="Z348" s="20" t="s">
        <v>98</v>
      </c>
      <c r="AA348" s="20" t="s">
        <v>125</v>
      </c>
      <c r="AB348" s="20" t="s">
        <v>125</v>
      </c>
      <c r="AC348" s="20" t="s">
        <v>125</v>
      </c>
      <c r="AD348" s="20" t="s">
        <v>125</v>
      </c>
      <c r="AE348" s="20"/>
      <c r="AF348" s="9" t="n">
        <v>1</v>
      </c>
      <c r="AG348" s="12" t="n">
        <v>1</v>
      </c>
      <c r="AH348" s="22" t="s">
        <v>235</v>
      </c>
      <c r="AI348" s="12" t="str">
        <f>IF(AH348="","",IFERROR(RIGHT("0000"&amp;AH348,4)&amp;" - "&amp;UPPER(_xlfn.XLOOKUP(RIGHT("0000"&amp;AH348,4),CODEBOOK_CAP!$C$2:$C$212,CODEBOOK_CAP!$D$2:$D$212)),"Código CAP não encontrado"))</f>
        <v>0322 - ESTRUTURAS, HOSPITAIS, CLÍNICAS</v>
      </c>
      <c r="AJ348" s="12" t="str">
        <f>IF(AH348="","",IFERROR(_xlfn.XLOOKUP(RIGHT("0000"&amp;AH348,4),CODEBOOK_CAP!$C$2:$C$212,CODEBOOK_CAP!$E$2:$E$212),"Código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8" s="22" t="s">
        <v>77</v>
      </c>
      <c r="AL348" s="26"/>
      <c r="AM348" s="22" t="s">
        <v>79</v>
      </c>
      <c r="AN348" s="22" t="s">
        <v>79</v>
      </c>
      <c r="AO348" s="12" t="s">
        <v>2189</v>
      </c>
      <c r="AP348" s="22" t="s">
        <v>77</v>
      </c>
      <c r="AQ348" s="12"/>
      <c r="AR348" s="22" t="s">
        <v>77</v>
      </c>
      <c r="AS348" s="10"/>
      <c r="AT348" s="2" t="s">
        <v>1814</v>
      </c>
      <c r="AU348" s="12" t="s">
        <v>83</v>
      </c>
      <c r="AV348" s="3" t="n">
        <v>46220</v>
      </c>
      <c r="AW348" s="21"/>
      <c r="AY348" s="1"/>
      <c r="BA348" s="1"/>
      <c r="BB348" s="1"/>
    </row>
    <row r="349" ht="120" customHeight="1">
      <c r="A349" s="20" t="s">
        <v>2190</v>
      </c>
      <c r="B349" s="20" t="n">
        <v>2023</v>
      </c>
      <c r="C349" s="20" t="n">
        <v>247</v>
      </c>
      <c r="D349" s="20" t="s">
        <v>50</v>
      </c>
      <c r="E349" s="20" t="s">
        <v>2152</v>
      </c>
      <c r="F349" s="20" t="s">
        <v>2191</v>
      </c>
      <c r="G349" s="20" t="s">
        <v>86</v>
      </c>
      <c r="H349" s="20" t="s">
        <v>2154</v>
      </c>
      <c r="I349" s="20"/>
      <c r="J349" s="20" t="s">
        <v>2192</v>
      </c>
      <c r="K349" s="20" t="s">
        <v>1141</v>
      </c>
      <c r="L349" s="20" t="s">
        <v>57</v>
      </c>
      <c r="M349" s="20" t="s">
        <v>58</v>
      </c>
      <c r="N349" s="20" t="s">
        <v>59</v>
      </c>
      <c r="O349" s="20" t="s">
        <v>60</v>
      </c>
      <c r="P349" s="20" t="s">
        <v>89</v>
      </c>
      <c r="Q349" s="20" t="s">
        <v>90</v>
      </c>
      <c r="R349" s="20" t="s">
        <v>91</v>
      </c>
      <c r="S349" s="20" t="s">
        <v>92</v>
      </c>
      <c r="T349" s="20" t="s">
        <v>341</v>
      </c>
      <c r="U349" s="20" t="s">
        <v>342</v>
      </c>
      <c r="V349" s="20" t="s">
        <v>854</v>
      </c>
      <c r="W349" s="20" t="s">
        <v>96</v>
      </c>
      <c r="X349" s="20" t="s">
        <v>97</v>
      </c>
      <c r="Y349" s="20" t="s">
        <v>70</v>
      </c>
      <c r="Z349" s="20" t="s">
        <v>98</v>
      </c>
      <c r="AA349" s="20" t="s">
        <v>580</v>
      </c>
      <c r="AB349" s="20" t="s">
        <v>2193</v>
      </c>
      <c r="AC349" s="20" t="s">
        <v>2193</v>
      </c>
      <c r="AD349" s="20" t="s">
        <v>2193</v>
      </c>
      <c r="AE349" s="20"/>
      <c r="AF349" s="9" t="n">
        <v>1</v>
      </c>
      <c r="AG349" s="12" t="n">
        <v>1</v>
      </c>
      <c r="AH349" s="22" t="s">
        <v>235</v>
      </c>
      <c r="AI349" s="12" t="str">
        <f>IF(AH349="","",IFERROR(RIGHT("0000"&amp;AH349,4)&amp;" - "&amp;UPPER(_xlfn.XLOOKUP(RIGHT("0000"&amp;AH349,4),CODEBOOK_CAP!$C$2:$C$212,CODEBOOK_CAP!$D$2:$D$212)),"Código CAP não encontrado"))</f>
        <v>0322 - ESTRUTURAS, HOSPITAIS, CLÍNICAS</v>
      </c>
      <c r="AJ349" s="12" t="str">
        <f>IF(AH349="","",IFERROR(_xlfn.XLOOKUP(RIGHT("0000"&amp;AH349,4),CODEBOOK_CAP!$C$2:$C$212,CODEBOOK_CAP!$E$2:$E$212),"Código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49" s="22" t="s">
        <v>77</v>
      </c>
      <c r="AL349" s="26"/>
      <c r="AM349" s="22" t="s">
        <v>79</v>
      </c>
      <c r="AN349" s="22" t="s">
        <v>79</v>
      </c>
      <c r="AO349" s="12" t="s">
        <v>2194</v>
      </c>
      <c r="AP349" s="22" t="s">
        <v>77</v>
      </c>
      <c r="AQ349" s="12"/>
      <c r="AR349" s="22" t="s">
        <v>77</v>
      </c>
      <c r="AS349" s="10"/>
      <c r="AT349" s="2" t="s">
        <v>1814</v>
      </c>
      <c r="AU349" s="12" t="s">
        <v>83</v>
      </c>
      <c r="AV349" s="3" t="n">
        <v>46220</v>
      </c>
      <c r="AW349" s="21"/>
      <c r="AY349" s="1"/>
      <c r="BA349" s="1"/>
      <c r="BB349" s="1"/>
    </row>
    <row r="350" ht="120" customHeight="1">
      <c r="A350" s="20" t="s">
        <v>2195</v>
      </c>
      <c r="B350" s="20" t="n">
        <v>2023</v>
      </c>
      <c r="C350" s="20" t="n">
        <v>248</v>
      </c>
      <c r="D350" s="20" t="s">
        <v>50</v>
      </c>
      <c r="E350" s="20" t="s">
        <v>2152</v>
      </c>
      <c r="F350" s="20" t="s">
        <v>2196</v>
      </c>
      <c r="G350" s="20" t="s">
        <v>86</v>
      </c>
      <c r="H350" s="20" t="s">
        <v>2154</v>
      </c>
      <c r="I350" s="20"/>
      <c r="J350" s="20" t="s">
        <v>2197</v>
      </c>
      <c r="K350" s="20" t="s">
        <v>865</v>
      </c>
      <c r="L350" s="20" t="s">
        <v>57</v>
      </c>
      <c r="M350" s="20" t="s">
        <v>58</v>
      </c>
      <c r="N350" s="20" t="s">
        <v>59</v>
      </c>
      <c r="O350" s="20" t="s">
        <v>60</v>
      </c>
      <c r="P350" s="20" t="s">
        <v>227</v>
      </c>
      <c r="Q350" s="20" t="s">
        <v>228</v>
      </c>
      <c r="R350" s="20" t="s">
        <v>229</v>
      </c>
      <c r="S350" s="20" t="s">
        <v>230</v>
      </c>
      <c r="T350" s="20" t="s">
        <v>866</v>
      </c>
      <c r="U350" s="20" t="s">
        <v>867</v>
      </c>
      <c r="V350" s="20" t="s">
        <v>868</v>
      </c>
      <c r="W350" s="20" t="s">
        <v>96</v>
      </c>
      <c r="X350" s="20" t="s">
        <v>97</v>
      </c>
      <c r="Y350" s="20" t="s">
        <v>70</v>
      </c>
      <c r="Z350" s="20" t="s">
        <v>98</v>
      </c>
      <c r="AA350" s="20" t="s">
        <v>233</v>
      </c>
      <c r="AB350" s="20" t="s">
        <v>233</v>
      </c>
      <c r="AC350" s="20" t="s">
        <v>233</v>
      </c>
      <c r="AD350" s="20" t="s">
        <v>233</v>
      </c>
      <c r="AE350" s="20"/>
      <c r="AF350" s="9" t="n">
        <v>1</v>
      </c>
      <c r="AG350" s="12" t="n">
        <v>1</v>
      </c>
      <c r="AH350" s="22" t="s">
        <v>235</v>
      </c>
      <c r="AI350" s="12" t="str">
        <f>IF(AH350="","",IFERROR(RIGHT("0000"&amp;AH350,4)&amp;" - "&amp;UPPER(_xlfn.XLOOKUP(RIGHT("0000"&amp;AH350,4),CODEBOOK_CAP!$C$2:$C$212,CODEBOOK_CAP!$D$2:$D$212)),"Código CAP não encontrado"))</f>
        <v>0322 - ESTRUTURAS, HOSPITAIS, CLÍNICAS</v>
      </c>
      <c r="AJ350" s="12" t="str">
        <f>IF(AH350="","",IFERROR(_xlfn.XLOOKUP(RIGHT("0000"&amp;AH350,4),CODEBOOK_CAP!$C$2:$C$212,CODEBOOK_CAP!$E$2:$E$212),"Código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0" s="22" t="s">
        <v>79</v>
      </c>
      <c r="AL350" s="26" t="s">
        <v>2198</v>
      </c>
      <c r="AM350" s="22" t="s">
        <v>77</v>
      </c>
      <c r="AN350" s="22" t="s">
        <v>77</v>
      </c>
      <c r="AO350" s="12"/>
      <c r="AP350" s="22" t="s">
        <v>77</v>
      </c>
      <c r="AQ350" s="12"/>
      <c r="AR350" s="22" t="s">
        <v>77</v>
      </c>
      <c r="AS350" s="10"/>
      <c r="AT350" s="2" t="s">
        <v>1814</v>
      </c>
      <c r="AU350" s="12" t="s">
        <v>83</v>
      </c>
      <c r="AV350" s="3" t="n">
        <v>46220</v>
      </c>
      <c r="AW350" s="21"/>
      <c r="AY350" s="1"/>
      <c r="BA350" s="1"/>
      <c r="BB350" s="1"/>
    </row>
    <row r="351" ht="120" customHeight="1">
      <c r="A351" s="20" t="s">
        <v>2199</v>
      </c>
      <c r="B351" s="20" t="n">
        <v>2023</v>
      </c>
      <c r="C351" s="20" t="n">
        <v>249</v>
      </c>
      <c r="D351" s="20" t="s">
        <v>50</v>
      </c>
      <c r="E351" s="20" t="s">
        <v>2152</v>
      </c>
      <c r="F351" s="20" t="s">
        <v>2200</v>
      </c>
      <c r="G351" s="20" t="s">
        <v>86</v>
      </c>
      <c r="H351" s="20" t="s">
        <v>2154</v>
      </c>
      <c r="I351" s="20"/>
      <c r="J351" s="20" t="s">
        <v>2201</v>
      </c>
      <c r="K351" s="20" t="s">
        <v>853</v>
      </c>
      <c r="L351" s="20" t="s">
        <v>57</v>
      </c>
      <c r="M351" s="20" t="s">
        <v>58</v>
      </c>
      <c r="N351" s="20" t="s">
        <v>59</v>
      </c>
      <c r="O351" s="20" t="s">
        <v>60</v>
      </c>
      <c r="P351" s="20" t="s">
        <v>227</v>
      </c>
      <c r="Q351" s="20" t="s">
        <v>228</v>
      </c>
      <c r="R351" s="20" t="s">
        <v>229</v>
      </c>
      <c r="S351" s="20" t="s">
        <v>230</v>
      </c>
      <c r="T351" s="20" t="s">
        <v>231</v>
      </c>
      <c r="U351" s="20" t="s">
        <v>230</v>
      </c>
      <c r="V351" s="20" t="s">
        <v>854</v>
      </c>
      <c r="W351" s="20" t="s">
        <v>96</v>
      </c>
      <c r="X351" s="20" t="s">
        <v>97</v>
      </c>
      <c r="Y351" s="20" t="s">
        <v>70</v>
      </c>
      <c r="Z351" s="20" t="s">
        <v>98</v>
      </c>
      <c r="AA351" s="20" t="s">
        <v>351</v>
      </c>
      <c r="AB351" s="20" t="s">
        <v>2202</v>
      </c>
      <c r="AC351" s="20" t="s">
        <v>2202</v>
      </c>
      <c r="AD351" s="20" t="s">
        <v>2202</v>
      </c>
      <c r="AE351" s="20"/>
      <c r="AF351" s="9" t="n">
        <v>1</v>
      </c>
      <c r="AG351" s="12" t="n">
        <v>1</v>
      </c>
      <c r="AH351" s="22" t="s">
        <v>235</v>
      </c>
      <c r="AI351" s="12" t="str">
        <f>IF(AH351="","",IFERROR(RIGHT("0000"&amp;AH351,4)&amp;" - "&amp;UPPER(_xlfn.XLOOKUP(RIGHT("0000"&amp;AH351,4),CODEBOOK_CAP!$C$2:$C$212,CODEBOOK_CAP!$D$2:$D$212)),"Código CAP não encontrado"))</f>
        <v>0322 - ESTRUTURAS, HOSPITAIS, CLÍNICAS</v>
      </c>
      <c r="AJ351" s="12" t="str">
        <f>IF(AH351="","",IFERROR(_xlfn.XLOOKUP(RIGHT("0000"&amp;AH351,4),CODEBOOK_CAP!$C$2:$C$212,CODEBOOK_CAP!$E$2:$E$212),"Código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1" s="22" t="s">
        <v>79</v>
      </c>
      <c r="AL351" s="26" t="s">
        <v>2203</v>
      </c>
      <c r="AM351" s="22" t="s">
        <v>77</v>
      </c>
      <c r="AN351" s="22" t="s">
        <v>77</v>
      </c>
      <c r="AO351" s="12"/>
      <c r="AP351" s="22" t="s">
        <v>77</v>
      </c>
      <c r="AQ351" s="12"/>
      <c r="AR351" s="22" t="s">
        <v>77</v>
      </c>
      <c r="AS351" s="10"/>
      <c r="AT351" s="2" t="s">
        <v>1814</v>
      </c>
      <c r="AU351" s="12" t="s">
        <v>83</v>
      </c>
      <c r="AV351" s="3" t="n">
        <v>46220</v>
      </c>
      <c r="AW351" s="21"/>
      <c r="AY351" s="1"/>
      <c r="BA351" s="1"/>
      <c r="BB351" s="1"/>
    </row>
    <row r="352" ht="120" customHeight="1">
      <c r="A352" s="20" t="s">
        <v>2204</v>
      </c>
      <c r="B352" s="20" t="n">
        <v>2023</v>
      </c>
      <c r="C352" s="20" t="n">
        <v>250</v>
      </c>
      <c r="D352" s="20" t="s">
        <v>50</v>
      </c>
      <c r="E352" s="20" t="s">
        <v>2152</v>
      </c>
      <c r="F352" s="20" t="s">
        <v>2205</v>
      </c>
      <c r="G352" s="20" t="s">
        <v>86</v>
      </c>
      <c r="H352" s="20" t="s">
        <v>2154</v>
      </c>
      <c r="I352" s="20"/>
      <c r="J352" s="20" t="s">
        <v>2206</v>
      </c>
      <c r="K352" s="20" t="s">
        <v>865</v>
      </c>
      <c r="L352" s="20" t="s">
        <v>57</v>
      </c>
      <c r="M352" s="20" t="s">
        <v>58</v>
      </c>
      <c r="N352" s="20" t="s">
        <v>59</v>
      </c>
      <c r="O352" s="20" t="s">
        <v>60</v>
      </c>
      <c r="P352" s="20" t="s">
        <v>227</v>
      </c>
      <c r="Q352" s="20" t="s">
        <v>228</v>
      </c>
      <c r="R352" s="20" t="s">
        <v>229</v>
      </c>
      <c r="S352" s="20" t="s">
        <v>230</v>
      </c>
      <c r="T352" s="20" t="s">
        <v>866</v>
      </c>
      <c r="U352" s="20" t="s">
        <v>867</v>
      </c>
      <c r="V352" s="20" t="s">
        <v>868</v>
      </c>
      <c r="W352" s="20" t="s">
        <v>96</v>
      </c>
      <c r="X352" s="20" t="s">
        <v>97</v>
      </c>
      <c r="Y352" s="20" t="s">
        <v>70</v>
      </c>
      <c r="Z352" s="20" t="s">
        <v>98</v>
      </c>
      <c r="AA352" s="20" t="s">
        <v>233</v>
      </c>
      <c r="AB352" s="20" t="s">
        <v>233</v>
      </c>
      <c r="AC352" s="20" t="s">
        <v>233</v>
      </c>
      <c r="AD352" s="20" t="s">
        <v>233</v>
      </c>
      <c r="AE352" s="20"/>
      <c r="AF352" s="9" t="n">
        <v>1</v>
      </c>
      <c r="AG352" s="12" t="n">
        <v>1</v>
      </c>
      <c r="AH352" s="22" t="s">
        <v>235</v>
      </c>
      <c r="AI352" s="12" t="str">
        <f>IF(AH352="","",IFERROR(RIGHT("0000"&amp;AH352,4)&amp;" - "&amp;UPPER(_xlfn.XLOOKUP(RIGHT("0000"&amp;AH352,4),CODEBOOK_CAP!$C$2:$C$212,CODEBOOK_CAP!$D$2:$D$212)),"Código CAP não encontrado"))</f>
        <v>0322 - ESTRUTURAS, HOSPITAIS, CLÍNICAS</v>
      </c>
      <c r="AJ352" s="12" t="str">
        <f>IF(AH352="","",IFERROR(_xlfn.XLOOKUP(RIGHT("0000"&amp;AH352,4),CODEBOOK_CAP!$C$2:$C$212,CODEBOOK_CAP!$E$2:$E$212),"Código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2" s="22" t="s">
        <v>79</v>
      </c>
      <c r="AL352" s="26" t="s">
        <v>2207</v>
      </c>
      <c r="AM352" s="22" t="s">
        <v>77</v>
      </c>
      <c r="AN352" s="22" t="s">
        <v>77</v>
      </c>
      <c r="AO352" s="12"/>
      <c r="AP352" s="22" t="s">
        <v>77</v>
      </c>
      <c r="AQ352" s="12"/>
      <c r="AR352" s="22" t="s">
        <v>77</v>
      </c>
      <c r="AS352" s="10"/>
      <c r="AT352" s="2" t="s">
        <v>1814</v>
      </c>
      <c r="AU352" s="12" t="s">
        <v>83</v>
      </c>
      <c r="AV352" s="3" t="n">
        <v>46220</v>
      </c>
      <c r="AW352" s="21"/>
      <c r="AY352" s="1"/>
      <c r="BA352" s="1"/>
      <c r="BB352" s="1"/>
    </row>
    <row r="353" ht="120" customHeight="1">
      <c r="A353" s="20" t="s">
        <v>2208</v>
      </c>
      <c r="B353" s="20" t="n">
        <v>2023</v>
      </c>
      <c r="C353" s="20" t="n">
        <v>251</v>
      </c>
      <c r="D353" s="20" t="s">
        <v>50</v>
      </c>
      <c r="E353" s="20" t="s">
        <v>2152</v>
      </c>
      <c r="F353" s="20" t="s">
        <v>2209</v>
      </c>
      <c r="G353" s="20" t="s">
        <v>86</v>
      </c>
      <c r="H353" s="20" t="s">
        <v>2154</v>
      </c>
      <c r="I353" s="20"/>
      <c r="J353" s="20" t="s">
        <v>2210</v>
      </c>
      <c r="K353" s="20" t="s">
        <v>122</v>
      </c>
      <c r="L353" s="20" t="s">
        <v>57</v>
      </c>
      <c r="M353" s="20" t="s">
        <v>58</v>
      </c>
      <c r="N353" s="20" t="s">
        <v>59</v>
      </c>
      <c r="O353" s="20" t="s">
        <v>60</v>
      </c>
      <c r="P353" s="20" t="s">
        <v>89</v>
      </c>
      <c r="Q353" s="20" t="s">
        <v>90</v>
      </c>
      <c r="R353" s="20" t="s">
        <v>91</v>
      </c>
      <c r="S353" s="20" t="s">
        <v>92</v>
      </c>
      <c r="T353" s="20" t="s">
        <v>123</v>
      </c>
      <c r="U353" s="20" t="s">
        <v>124</v>
      </c>
      <c r="V353" s="20" t="s">
        <v>95</v>
      </c>
      <c r="W353" s="20" t="s">
        <v>96</v>
      </c>
      <c r="X353" s="20" t="s">
        <v>97</v>
      </c>
      <c r="Y353" s="20" t="s">
        <v>70</v>
      </c>
      <c r="Z353" s="20" t="s">
        <v>98</v>
      </c>
      <c r="AA353" s="20" t="s">
        <v>2211</v>
      </c>
      <c r="AB353" s="20" t="s">
        <v>2211</v>
      </c>
      <c r="AC353" s="20" t="s">
        <v>2211</v>
      </c>
      <c r="AD353" s="20" t="s">
        <v>2211</v>
      </c>
      <c r="AE353" s="20"/>
      <c r="AF353" s="9" t="n">
        <v>1</v>
      </c>
      <c r="AG353" s="12" t="n">
        <v>1</v>
      </c>
      <c r="AH353" s="22" t="s">
        <v>235</v>
      </c>
      <c r="AI353" s="12" t="str">
        <f>IF(AH353="","",IFERROR(RIGHT("0000"&amp;AH353,4)&amp;" - "&amp;UPPER(_xlfn.XLOOKUP(RIGHT("0000"&amp;AH353,4),CODEBOOK_CAP!$C$2:$C$212,CODEBOOK_CAP!$D$2:$D$212)),"Código CAP não encontrado"))</f>
        <v>0322 - ESTRUTURAS, HOSPITAIS, CLÍNICAS</v>
      </c>
      <c r="AJ353" s="12" t="str">
        <f>IF(AH353="","",IFERROR(_xlfn.XLOOKUP(RIGHT("0000"&amp;AH353,4),CODEBOOK_CAP!$C$2:$C$212,CODEBOOK_CAP!$E$2:$E$212),"Código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3" s="22" t="s">
        <v>77</v>
      </c>
      <c r="AL353" s="26"/>
      <c r="AM353" s="22" t="s">
        <v>79</v>
      </c>
      <c r="AN353" s="22" t="s">
        <v>79</v>
      </c>
      <c r="AO353" s="12" t="s">
        <v>2212</v>
      </c>
      <c r="AP353" s="22" t="s">
        <v>77</v>
      </c>
      <c r="AQ353" s="12"/>
      <c r="AR353" s="22" t="s">
        <v>77</v>
      </c>
      <c r="AS353" s="10"/>
      <c r="AT353" s="2" t="s">
        <v>1814</v>
      </c>
      <c r="AU353" s="12" t="s">
        <v>83</v>
      </c>
      <c r="AV353" s="3" t="n">
        <v>46220</v>
      </c>
      <c r="AW353" s="21"/>
      <c r="AY353" s="1"/>
      <c r="BA353" s="1"/>
      <c r="BB353" s="1"/>
    </row>
    <row r="354" ht="120" customHeight="1">
      <c r="A354" s="20" t="s">
        <v>2213</v>
      </c>
      <c r="B354" s="20" t="n">
        <v>2023</v>
      </c>
      <c r="C354" s="20" t="n">
        <v>252</v>
      </c>
      <c r="D354" s="20" t="s">
        <v>50</v>
      </c>
      <c r="E354" s="20" t="s">
        <v>2152</v>
      </c>
      <c r="F354" s="20" t="s">
        <v>2214</v>
      </c>
      <c r="G354" s="20" t="s">
        <v>86</v>
      </c>
      <c r="H354" s="20" t="s">
        <v>2154</v>
      </c>
      <c r="I354" s="20"/>
      <c r="J354" s="20" t="s">
        <v>2215</v>
      </c>
      <c r="K354" s="20" t="s">
        <v>122</v>
      </c>
      <c r="L354" s="20" t="s">
        <v>57</v>
      </c>
      <c r="M354" s="20" t="s">
        <v>58</v>
      </c>
      <c r="N354" s="20" t="s">
        <v>59</v>
      </c>
      <c r="O354" s="20" t="s">
        <v>60</v>
      </c>
      <c r="P354" s="20" t="s">
        <v>89</v>
      </c>
      <c r="Q354" s="20" t="s">
        <v>90</v>
      </c>
      <c r="R354" s="20" t="s">
        <v>91</v>
      </c>
      <c r="S354" s="20" t="s">
        <v>92</v>
      </c>
      <c r="T354" s="20" t="s">
        <v>123</v>
      </c>
      <c r="U354" s="20" t="s">
        <v>124</v>
      </c>
      <c r="V354" s="20" t="s">
        <v>95</v>
      </c>
      <c r="W354" s="20" t="s">
        <v>96</v>
      </c>
      <c r="X354" s="20" t="s">
        <v>97</v>
      </c>
      <c r="Y354" s="20" t="s">
        <v>70</v>
      </c>
      <c r="Z354" s="20" t="s">
        <v>98</v>
      </c>
      <c r="AA354" s="20" t="s">
        <v>2211</v>
      </c>
      <c r="AB354" s="20" t="s">
        <v>2211</v>
      </c>
      <c r="AC354" s="20" t="s">
        <v>2211</v>
      </c>
      <c r="AD354" s="20" t="s">
        <v>2211</v>
      </c>
      <c r="AE354" s="20"/>
      <c r="AF354" s="9" t="n">
        <v>1</v>
      </c>
      <c r="AG354" s="12" t="n">
        <v>1</v>
      </c>
      <c r="AH354" s="22" t="s">
        <v>235</v>
      </c>
      <c r="AI354" s="12" t="str">
        <f>IF(AH354="","",IFERROR(RIGHT("0000"&amp;AH354,4)&amp;" - "&amp;UPPER(_xlfn.XLOOKUP(RIGHT("0000"&amp;AH354,4),CODEBOOK_CAP!$C$2:$C$212,CODEBOOK_CAP!$D$2:$D$212)),"Código CAP não encontrado"))</f>
        <v>0322 - ESTRUTURAS, HOSPITAIS, CLÍNICAS</v>
      </c>
      <c r="AJ354" s="12" t="str">
        <f>IF(AH354="","",IFERROR(_xlfn.XLOOKUP(RIGHT("0000"&amp;AH354,4),CODEBOOK_CAP!$C$2:$C$212,CODEBOOK_CAP!$E$2:$E$212),"Código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4" s="22" t="s">
        <v>77</v>
      </c>
      <c r="AL354" s="26"/>
      <c r="AM354" s="22" t="s">
        <v>79</v>
      </c>
      <c r="AN354" s="22" t="s">
        <v>79</v>
      </c>
      <c r="AO354" s="12" t="s">
        <v>2216</v>
      </c>
      <c r="AP354" s="22" t="s">
        <v>77</v>
      </c>
      <c r="AQ354" s="12"/>
      <c r="AR354" s="22" t="s">
        <v>77</v>
      </c>
      <c r="AS354" s="10"/>
      <c r="AT354" s="2" t="s">
        <v>1814</v>
      </c>
      <c r="AU354" s="12" t="s">
        <v>83</v>
      </c>
      <c r="AV354" s="3" t="n">
        <v>46220</v>
      </c>
      <c r="AW354" s="21"/>
      <c r="AY354" s="1"/>
      <c r="BA354" s="1"/>
      <c r="BB354" s="1"/>
    </row>
    <row r="355" ht="120" customHeight="1">
      <c r="A355" s="20" t="s">
        <v>2217</v>
      </c>
      <c r="B355" s="20" t="n">
        <v>2023</v>
      </c>
      <c r="C355" s="20" t="n">
        <v>253</v>
      </c>
      <c r="D355" s="20" t="s">
        <v>50</v>
      </c>
      <c r="E355" s="20" t="s">
        <v>2152</v>
      </c>
      <c r="F355" s="20" t="s">
        <v>2218</v>
      </c>
      <c r="G355" s="20" t="s">
        <v>86</v>
      </c>
      <c r="H355" s="20" t="s">
        <v>2154</v>
      </c>
      <c r="I355" s="20"/>
      <c r="J355" s="20" t="s">
        <v>2219</v>
      </c>
      <c r="K355" s="20" t="s">
        <v>416</v>
      </c>
      <c r="L355" s="20" t="s">
        <v>57</v>
      </c>
      <c r="M355" s="20" t="s">
        <v>58</v>
      </c>
      <c r="N355" s="20" t="s">
        <v>59</v>
      </c>
      <c r="O355" s="20" t="s">
        <v>60</v>
      </c>
      <c r="P355" s="20" t="s">
        <v>89</v>
      </c>
      <c r="Q355" s="20" t="s">
        <v>90</v>
      </c>
      <c r="R355" s="20" t="s">
        <v>91</v>
      </c>
      <c r="S355" s="20" t="s">
        <v>92</v>
      </c>
      <c r="T355" s="20" t="s">
        <v>123</v>
      </c>
      <c r="U355" s="20" t="s">
        <v>124</v>
      </c>
      <c r="V355" s="20" t="s">
        <v>417</v>
      </c>
      <c r="W355" s="20" t="s">
        <v>96</v>
      </c>
      <c r="X355" s="20" t="s">
        <v>97</v>
      </c>
      <c r="Y355" s="20" t="s">
        <v>70</v>
      </c>
      <c r="Z355" s="20" t="s">
        <v>98</v>
      </c>
      <c r="AA355" s="20" t="s">
        <v>2211</v>
      </c>
      <c r="AB355" s="20" t="s">
        <v>2211</v>
      </c>
      <c r="AC355" s="20" t="s">
        <v>2211</v>
      </c>
      <c r="AD355" s="20" t="s">
        <v>2211</v>
      </c>
      <c r="AE355" s="20"/>
      <c r="AF355" s="9" t="n">
        <v>1</v>
      </c>
      <c r="AG355" s="12" t="n">
        <v>1</v>
      </c>
      <c r="AH355" s="22" t="s">
        <v>235</v>
      </c>
      <c r="AI355" s="12" t="str">
        <f>IF(AH355="","",IFERROR(RIGHT("0000"&amp;AH355,4)&amp;" - "&amp;UPPER(_xlfn.XLOOKUP(RIGHT("0000"&amp;AH355,4),CODEBOOK_CAP!$C$2:$C$212,CODEBOOK_CAP!$D$2:$D$212)),"Código CAP não encontrado"))</f>
        <v>0322 - ESTRUTURAS, HOSPITAIS, CLÍNICAS</v>
      </c>
      <c r="AJ355" s="12" t="str">
        <f>IF(AH355="","",IFERROR(_xlfn.XLOOKUP(RIGHT("0000"&amp;AH355,4),CODEBOOK_CAP!$C$2:$C$212,CODEBOOK_CAP!$E$2:$E$212),"Código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55" s="22" t="s">
        <v>77</v>
      </c>
      <c r="AL355" s="26"/>
      <c r="AM355" s="22" t="s">
        <v>79</v>
      </c>
      <c r="AN355" s="22" t="s">
        <v>79</v>
      </c>
      <c r="AO355" s="12" t="s">
        <v>2220</v>
      </c>
      <c r="AP355" s="22" t="s">
        <v>77</v>
      </c>
      <c r="AQ355" s="12"/>
      <c r="AR355" s="22" t="s">
        <v>77</v>
      </c>
      <c r="AS355" s="10"/>
      <c r="AT355" s="2" t="s">
        <v>1814</v>
      </c>
      <c r="AU355" s="12" t="s">
        <v>83</v>
      </c>
      <c r="AV355" s="3" t="n">
        <v>46220</v>
      </c>
      <c r="AW355" s="21"/>
      <c r="AY355" s="1"/>
      <c r="BA355" s="1"/>
      <c r="BB355" s="1"/>
    </row>
    <row r="356" ht="150" customHeight="1">
      <c r="A356" s="20" t="s">
        <v>2221</v>
      </c>
      <c r="B356" s="20" t="n">
        <v>2023</v>
      </c>
      <c r="C356" s="20" t="n">
        <v>254</v>
      </c>
      <c r="D356" s="20" t="s">
        <v>50</v>
      </c>
      <c r="E356" s="20" t="s">
        <v>2152</v>
      </c>
      <c r="F356" s="20" t="s">
        <v>2222</v>
      </c>
      <c r="G356" s="20" t="s">
        <v>86</v>
      </c>
      <c r="H356" s="20" t="s">
        <v>2154</v>
      </c>
      <c r="I356" s="20"/>
      <c r="J356" s="20" t="s">
        <v>2223</v>
      </c>
      <c r="K356" s="20" t="s">
        <v>122</v>
      </c>
      <c r="L356" s="20" t="s">
        <v>57</v>
      </c>
      <c r="M356" s="20" t="s">
        <v>58</v>
      </c>
      <c r="N356" s="20" t="s">
        <v>59</v>
      </c>
      <c r="O356" s="20" t="s">
        <v>60</v>
      </c>
      <c r="P356" s="20" t="s">
        <v>89</v>
      </c>
      <c r="Q356" s="20" t="s">
        <v>90</v>
      </c>
      <c r="R356" s="20" t="s">
        <v>91</v>
      </c>
      <c r="S356" s="20" t="s">
        <v>92</v>
      </c>
      <c r="T356" s="20" t="s">
        <v>123</v>
      </c>
      <c r="U356" s="20" t="s">
        <v>124</v>
      </c>
      <c r="V356" s="20" t="s">
        <v>95</v>
      </c>
      <c r="W356" s="20" t="s">
        <v>96</v>
      </c>
      <c r="X356" s="20" t="s">
        <v>97</v>
      </c>
      <c r="Y356" s="20" t="s">
        <v>70</v>
      </c>
      <c r="Z356" s="20" t="s">
        <v>98</v>
      </c>
      <c r="AA356" s="20" t="s">
        <v>2211</v>
      </c>
      <c r="AB356" s="20" t="s">
        <v>2211</v>
      </c>
      <c r="AC356" s="20" t="s">
        <v>2211</v>
      </c>
      <c r="AD356" s="20" t="s">
        <v>2211</v>
      </c>
      <c r="AE356" s="20"/>
      <c r="AF356" s="9" t="n">
        <v>1</v>
      </c>
      <c r="AG356" s="12" t="n">
        <v>1</v>
      </c>
      <c r="AH356" s="22" t="s">
        <v>620</v>
      </c>
      <c r="AI356" s="12" t="str">
        <f>IF(AH356="","",IFERROR(RIGHT("0000"&amp;AH356,4)&amp;" - "&amp;UPPER(_xlfn.XLOOKUP(RIGHT("0000"&amp;AH356,4),CODEBOOK_CAP!$C$2:$C$212,CODEBOOK_CAP!$D$2:$D$212)),"Código CAP não encontrado"))</f>
        <v>0332 - SAÚDE INFANTIL, GRAVIDEZ E PRÉ-NATAL</v>
      </c>
      <c r="AJ356" s="12" t="str">
        <f>IF(AH356="","",IFERROR(_xlfn.XLOOKUP(RIGHT("0000"&amp;AH356,4),CODEBOOK_CAP!$C$2:$C$212,CODEBOOK_CAP!$E$2:$E$212),"Código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356" s="22" t="s">
        <v>77</v>
      </c>
      <c r="AL356" s="26"/>
      <c r="AM356" s="22" t="s">
        <v>79</v>
      </c>
      <c r="AN356" s="22" t="s">
        <v>79</v>
      </c>
      <c r="AO356" s="12" t="s">
        <v>2224</v>
      </c>
      <c r="AP356" s="22" t="s">
        <v>79</v>
      </c>
      <c r="AQ356" s="12" t="s">
        <v>622</v>
      </c>
      <c r="AR356" s="22" t="s">
        <v>77</v>
      </c>
      <c r="AS356" s="10"/>
      <c r="AT356" s="2" t="s">
        <v>1814</v>
      </c>
      <c r="AU356" s="12" t="s">
        <v>83</v>
      </c>
      <c r="AV356" s="3" t="n">
        <v>46220</v>
      </c>
      <c r="AW356" s="21"/>
      <c r="AY356" s="1"/>
      <c r="BA356" s="1"/>
      <c r="BB356" s="1"/>
    </row>
    <row r="357" ht="75" customHeight="1">
      <c r="A357" s="20" t="s">
        <v>2225</v>
      </c>
      <c r="B357" s="20" t="n">
        <v>2023</v>
      </c>
      <c r="C357" s="20" t="n">
        <v>709</v>
      </c>
      <c r="D357" s="20" t="s">
        <v>50</v>
      </c>
      <c r="E357" s="20" t="s">
        <v>2152</v>
      </c>
      <c r="F357" s="20" t="s">
        <v>2226</v>
      </c>
      <c r="G357" s="20" t="s">
        <v>53</v>
      </c>
      <c r="H357" s="20" t="s">
        <v>2154</v>
      </c>
      <c r="I357" s="20"/>
      <c r="J357" s="20" t="s">
        <v>2227</v>
      </c>
      <c r="K357" s="20" t="s">
        <v>299</v>
      </c>
      <c r="L357" s="20" t="s">
        <v>208</v>
      </c>
      <c r="M357" s="20" t="s">
        <v>209</v>
      </c>
      <c r="N357" s="20" t="s">
        <v>210</v>
      </c>
      <c r="O357" s="20" t="s">
        <v>211</v>
      </c>
      <c r="P357" s="20" t="s">
        <v>212</v>
      </c>
      <c r="Q357" s="20" t="s">
        <v>213</v>
      </c>
      <c r="R357" s="20" t="s">
        <v>251</v>
      </c>
      <c r="S357" s="20" t="s">
        <v>252</v>
      </c>
      <c r="T357" s="20" t="s">
        <v>300</v>
      </c>
      <c r="U357" s="20" t="s">
        <v>301</v>
      </c>
      <c r="V357" s="20" t="s">
        <v>67</v>
      </c>
      <c r="W357" s="20" t="s">
        <v>68</v>
      </c>
      <c r="X357" s="20" t="s">
        <v>69</v>
      </c>
      <c r="Y357" s="20" t="s">
        <v>70</v>
      </c>
      <c r="Z357" s="20" t="s">
        <v>177</v>
      </c>
      <c r="AA357" s="20" t="s">
        <v>1104</v>
      </c>
      <c r="AB357" s="20" t="s">
        <v>77</v>
      </c>
      <c r="AC357" s="20" t="s">
        <v>77</v>
      </c>
      <c r="AD357" s="20" t="s">
        <v>77</v>
      </c>
      <c r="AE357" s="20"/>
      <c r="AF357" s="9" t="n">
        <v>0</v>
      </c>
      <c r="AG357" s="12" t="n">
        <v>0</v>
      </c>
      <c r="AH357" s="22" t="s">
        <v>304</v>
      </c>
      <c r="AI357" s="12" t="str">
        <f>IF(AH357="","",IFERROR(RIGHT("0000"&amp;AH357,4)&amp;" - "&amp;UPPER(_xlfn.XLOOKUP(RIGHT("0000"&amp;AH357,4),CODEBOOK_CAP!$C$2:$C$212,CODEBOOK_CAP!$D$2:$D$212)),"Código CAP não encontrado"))</f>
        <v>1403 - REABILITAÇÃO URBANA, ECONOMIA URBANA</v>
      </c>
      <c r="AJ357" s="12" t="str">
        <f>IF(AH357="","",IFERROR(_xlfn.XLOOKUP(RIGHT("0000"&amp;AH357,4),CODEBOOK_CAP!$C$2:$C$212,CODEBOOK_CAP!$E$2:$E$212),"Código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357" s="22" t="s">
        <v>79</v>
      </c>
      <c r="AL357" s="26" t="s">
        <v>2228</v>
      </c>
      <c r="AM357" s="22" t="s">
        <v>79</v>
      </c>
      <c r="AN357" s="22" t="s">
        <v>79</v>
      </c>
      <c r="AO357" s="12" t="s">
        <v>2228</v>
      </c>
      <c r="AP357" s="22" t="s">
        <v>77</v>
      </c>
      <c r="AQ357" s="12"/>
      <c r="AR357" s="22" t="s">
        <v>77</v>
      </c>
      <c r="AS357" s="10"/>
      <c r="AT357" s="2" t="s">
        <v>1814</v>
      </c>
      <c r="AU357" s="12" t="s">
        <v>83</v>
      </c>
      <c r="AV357" s="3" t="n">
        <v>46220</v>
      </c>
      <c r="AW357" s="21"/>
      <c r="AY357" s="1"/>
      <c r="BA357" s="1"/>
      <c r="BB357" s="1"/>
    </row>
    <row r="358">
      <c r="A358" s="14" t="s">
        <v>2229</v>
      </c>
      <c r="B358" s="14" t="n">
        <v>2023</v>
      </c>
      <c r="C358" s="14" t="n">
        <v>710</v>
      </c>
      <c r="D358" s="14" t="s">
        <v>50</v>
      </c>
      <c r="E358" s="14" t="s">
        <v>2152</v>
      </c>
      <c r="F358" s="14" t="s">
        <v>2230</v>
      </c>
      <c r="G358" s="14" t="s">
        <v>633</v>
      </c>
      <c r="H358" s="14" t="s">
        <v>2154</v>
      </c>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5"/>
      <c r="AG358" s="15"/>
      <c r="AH358" s="16"/>
      <c r="AI358" s="15" t="str">
        <f>IF(AH358="","",IFERROR(RIGHT("0000"&amp;AH358,4)&amp;" - "&amp;UPPER(_xlfn.XLOOKUP(RIGHT("0000"&amp;AH358,4),CODEBOOK_CAP!$C$2:$C$212,CODEBOOK_CAP!$D$2:$D$212)),"Código CAP não encontrado"))</f>
      </c>
      <c r="AJ358" s="15" t="str">
        <f>IF(AH358="","",IFERROR(_xlfn.XLOOKUP(RIGHT("0000"&amp;AH358,4),CODEBOOK_CAP!$C$2:$C$212,CODEBOOK_CAP!$E$2:$E$212),"Código CAP não encontrado"))</f>
      </c>
      <c r="AK358" s="16"/>
      <c r="AL358" s="17"/>
      <c r="AM358" s="16"/>
      <c r="AN358" s="16"/>
      <c r="AO358" s="15"/>
      <c r="AP358" s="16"/>
      <c r="AQ358" s="15"/>
      <c r="AR358" s="16"/>
      <c r="AS358" s="18"/>
      <c r="AT358" s="2" t="s">
        <v>1814</v>
      </c>
      <c r="AU358" s="12" t="s">
        <v>83</v>
      </c>
      <c r="AV358" s="3" t="n">
        <v>46220</v>
      </c>
    </row>
    <row r="359" ht="75" customHeight="1">
      <c r="A359" s="20" t="s">
        <v>2231</v>
      </c>
      <c r="B359" s="20" t="n">
        <v>2023</v>
      </c>
      <c r="C359" s="20" t="n">
        <v>711</v>
      </c>
      <c r="D359" s="20" t="s">
        <v>50</v>
      </c>
      <c r="E359" s="20" t="s">
        <v>2152</v>
      </c>
      <c r="F359" s="20" t="s">
        <v>2232</v>
      </c>
      <c r="G359" s="20" t="s">
        <v>86</v>
      </c>
      <c r="H359" s="20" t="s">
        <v>2154</v>
      </c>
      <c r="I359" s="20"/>
      <c r="J359" s="20" t="s">
        <v>2233</v>
      </c>
      <c r="K359" s="20" t="s">
        <v>1338</v>
      </c>
      <c r="L359" s="20" t="s">
        <v>133</v>
      </c>
      <c r="M359" s="20" t="s">
        <v>134</v>
      </c>
      <c r="N359" s="20" t="s">
        <v>704</v>
      </c>
      <c r="O359" s="20" t="s">
        <v>705</v>
      </c>
      <c r="P359" s="20" t="s">
        <v>706</v>
      </c>
      <c r="Q359" s="20" t="s">
        <v>707</v>
      </c>
      <c r="R359" s="20" t="s">
        <v>708</v>
      </c>
      <c r="S359" s="20" t="s">
        <v>709</v>
      </c>
      <c r="T359" s="20" t="s">
        <v>710</v>
      </c>
      <c r="U359" s="20" t="s">
        <v>711</v>
      </c>
      <c r="V359" s="20" t="s">
        <v>95</v>
      </c>
      <c r="W359" s="20" t="s">
        <v>96</v>
      </c>
      <c r="X359" s="20" t="s">
        <v>97</v>
      </c>
      <c r="Y359" s="20" t="s">
        <v>70</v>
      </c>
      <c r="Z359" s="20" t="s">
        <v>141</v>
      </c>
      <c r="AA359" s="20" t="s">
        <v>2234</v>
      </c>
      <c r="AB359" s="20" t="s">
        <v>2234</v>
      </c>
      <c r="AC359" s="20" t="s">
        <v>2234</v>
      </c>
      <c r="AD359" s="20" t="s">
        <v>2234</v>
      </c>
      <c r="AE359" s="20"/>
      <c r="AF359" s="9" t="n">
        <v>0</v>
      </c>
      <c r="AG359" s="12" t="n">
        <v>0</v>
      </c>
      <c r="AH359" s="22" t="s">
        <v>143</v>
      </c>
      <c r="AI359" s="12" t="str">
        <f>IF(AH359="","",IFERROR(RIGHT("0000"&amp;AH359,4)&amp;" - "&amp;UPPER(_xlfn.XLOOKUP(RIGHT("0000"&amp;AH359,4),CODEBOOK_CAP!$C$2:$C$212,CODEBOOK_CAP!$D$2:$D$212)),"Código CAP não encontrado"))</f>
        <v>0502 - FORMAÇÃO E DESENVOLVIMENTO PROFISSIONAL</v>
      </c>
      <c r="AJ359" s="12" t="str">
        <f>IF(AH359="","",IFERROR(_xlfn.XLOOKUP(RIGHT("0000"&amp;AH359,4),CODEBOOK_CAP!$C$2:$C$212,CODEBOOK_CAP!$E$2:$E$212),"Código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359" s="22" t="s">
        <v>77</v>
      </c>
      <c r="AL359" s="26"/>
      <c r="AM359" s="22" t="s">
        <v>77</v>
      </c>
      <c r="AN359" s="22" t="s">
        <v>77</v>
      </c>
      <c r="AO359" s="12"/>
      <c r="AP359" s="22" t="s">
        <v>79</v>
      </c>
      <c r="AQ359" s="12" t="s">
        <v>712</v>
      </c>
      <c r="AR359" s="22" t="s">
        <v>77</v>
      </c>
      <c r="AS359" s="10"/>
      <c r="AT359" s="2" t="s">
        <v>1814</v>
      </c>
      <c r="AU359" s="12" t="s">
        <v>83</v>
      </c>
      <c r="AV359" s="3" t="n">
        <v>46220</v>
      </c>
      <c r="AW359" s="21"/>
      <c r="AY359" s="1"/>
      <c r="BA359" s="1"/>
      <c r="BB359" s="1"/>
    </row>
    <row r="360">
      <c r="A360" s="14" t="s">
        <v>2235</v>
      </c>
      <c r="B360" s="14" t="n">
        <v>2023</v>
      </c>
      <c r="C360" s="14" t="n">
        <v>712</v>
      </c>
      <c r="D360" s="14" t="s">
        <v>50</v>
      </c>
      <c r="E360" s="14" t="s">
        <v>2152</v>
      </c>
      <c r="F360" s="14" t="s">
        <v>2236</v>
      </c>
      <c r="G360" s="14" t="s">
        <v>633</v>
      </c>
      <c r="H360" s="14" t="s">
        <v>2154</v>
      </c>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5"/>
      <c r="AG360" s="15"/>
      <c r="AH360" s="16"/>
      <c r="AI360" s="15" t="str">
        <f>IF(AH360="","",IFERROR(RIGHT("0000"&amp;AH360,4)&amp;" - "&amp;UPPER(_xlfn.XLOOKUP(RIGHT("0000"&amp;AH360,4),CODEBOOK_CAP!$C$2:$C$212,CODEBOOK_CAP!$D$2:$D$212)),"Código CAP não encontrado"))</f>
      </c>
      <c r="AJ360" s="15" t="str">
        <f>IF(AH360="","",IFERROR(_xlfn.XLOOKUP(RIGHT("0000"&amp;AH360,4),CODEBOOK_CAP!$C$2:$C$212,CODEBOOK_CAP!$E$2:$E$212),"Código CAP não encontrado"))</f>
      </c>
      <c r="AK360" s="16"/>
      <c r="AL360" s="17"/>
      <c r="AM360" s="16"/>
      <c r="AN360" s="16"/>
      <c r="AO360" s="15"/>
      <c r="AP360" s="16"/>
      <c r="AQ360" s="15"/>
      <c r="AR360" s="16"/>
      <c r="AS360" s="18"/>
      <c r="AT360" s="2" t="s">
        <v>1814</v>
      </c>
      <c r="AU360" s="12" t="s">
        <v>83</v>
      </c>
      <c r="AV360" s="3" t="n">
        <v>46220</v>
      </c>
    </row>
    <row r="361" ht="120" customHeight="1">
      <c r="A361" s="20" t="s">
        <v>2237</v>
      </c>
      <c r="B361" s="20" t="n">
        <v>2023</v>
      </c>
      <c r="C361" s="20" t="n">
        <v>863</v>
      </c>
      <c r="D361" s="20" t="s">
        <v>50</v>
      </c>
      <c r="E361" s="20" t="s">
        <v>2238</v>
      </c>
      <c r="F361" s="20" t="s">
        <v>2239</v>
      </c>
      <c r="G361" s="20" t="s">
        <v>183</v>
      </c>
      <c r="H361" s="20" t="s">
        <v>2240</v>
      </c>
      <c r="I361" s="20"/>
      <c r="J361" s="20" t="s">
        <v>2241</v>
      </c>
      <c r="K361" s="20" t="s">
        <v>56</v>
      </c>
      <c r="L361" s="20" t="s">
        <v>57</v>
      </c>
      <c r="M361" s="20" t="s">
        <v>58</v>
      </c>
      <c r="N361" s="20" t="s">
        <v>59</v>
      </c>
      <c r="O361" s="20" t="s">
        <v>60</v>
      </c>
      <c r="P361" s="20" t="s">
        <v>61</v>
      </c>
      <c r="Q361" s="20" t="s">
        <v>62</v>
      </c>
      <c r="R361" s="20" t="s">
        <v>63</v>
      </c>
      <c r="S361" s="20" t="s">
        <v>64</v>
      </c>
      <c r="T361" s="20" t="s">
        <v>65</v>
      </c>
      <c r="U361" s="20" t="s">
        <v>66</v>
      </c>
      <c r="V361" s="20" t="s">
        <v>67</v>
      </c>
      <c r="W361" s="20" t="s">
        <v>68</v>
      </c>
      <c r="X361" s="20" t="s">
        <v>69</v>
      </c>
      <c r="Y361" s="20" t="s">
        <v>70</v>
      </c>
      <c r="Z361" s="20" t="s">
        <v>71</v>
      </c>
      <c r="AA361" s="20" t="s">
        <v>343</v>
      </c>
      <c r="AB361" s="20" t="s">
        <v>77</v>
      </c>
      <c r="AC361" s="20" t="s">
        <v>77</v>
      </c>
      <c r="AD361" s="20" t="s">
        <v>77</v>
      </c>
      <c r="AE361" s="20"/>
      <c r="AF361" s="9" t="n">
        <v>1</v>
      </c>
      <c r="AG361" s="12" t="n">
        <v>1</v>
      </c>
      <c r="AH361" s="22" t="s">
        <v>235</v>
      </c>
      <c r="AI361" s="12" t="str">
        <f>IF(AH361="","",IFERROR(RIGHT("0000"&amp;AH361,4)&amp;" - "&amp;UPPER(_xlfn.XLOOKUP(RIGHT("0000"&amp;AH361,4),CODEBOOK_CAP!$C$2:$C$212,CODEBOOK_CAP!$D$2:$D$212)),"Código CAP não encontrado"))</f>
        <v>0322 - ESTRUTURAS, HOSPITAIS, CLÍNICAS</v>
      </c>
      <c r="AJ361" s="12" t="str">
        <f>IF(AH361="","",IFERROR(_xlfn.XLOOKUP(RIGHT("0000"&amp;AH361,4),CODEBOOK_CAP!$C$2:$C$212,CODEBOOK_CAP!$E$2:$E$212),"Código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1" s="22" t="s">
        <v>77</v>
      </c>
      <c r="AL361" s="26"/>
      <c r="AM361" s="22" t="s">
        <v>79</v>
      </c>
      <c r="AN361" s="22" t="s">
        <v>79</v>
      </c>
      <c r="AO361" s="12" t="s">
        <v>2242</v>
      </c>
      <c r="AP361" s="22" t="s">
        <v>77</v>
      </c>
      <c r="AQ361" s="12"/>
      <c r="AR361" s="22" t="s">
        <v>77</v>
      </c>
      <c r="AS361" s="10"/>
      <c r="AT361" s="2" t="s">
        <v>1814</v>
      </c>
      <c r="AU361" s="12" t="s">
        <v>83</v>
      </c>
      <c r="AV361" s="3" t="n">
        <v>46220</v>
      </c>
      <c r="AW361" s="21"/>
      <c r="AY361" s="1"/>
      <c r="BA361" s="1"/>
      <c r="BB361" s="1"/>
    </row>
    <row r="362" ht="120" customHeight="1">
      <c r="A362" s="20" t="s">
        <v>2243</v>
      </c>
      <c r="B362" s="20" t="n">
        <v>2023</v>
      </c>
      <c r="C362" s="20" t="n">
        <v>864</v>
      </c>
      <c r="D362" s="20" t="s">
        <v>50</v>
      </c>
      <c r="E362" s="20" t="s">
        <v>2238</v>
      </c>
      <c r="F362" s="20" t="s">
        <v>2244</v>
      </c>
      <c r="G362" s="20" t="s">
        <v>86</v>
      </c>
      <c r="H362" s="20" t="s">
        <v>2240</v>
      </c>
      <c r="I362" s="20"/>
      <c r="J362" s="20" t="s">
        <v>2245</v>
      </c>
      <c r="K362" s="20" t="s">
        <v>56</v>
      </c>
      <c r="L362" s="20" t="s">
        <v>57</v>
      </c>
      <c r="M362" s="20" t="s">
        <v>58</v>
      </c>
      <c r="N362" s="20" t="s">
        <v>59</v>
      </c>
      <c r="O362" s="20" t="s">
        <v>60</v>
      </c>
      <c r="P362" s="20" t="s">
        <v>61</v>
      </c>
      <c r="Q362" s="20" t="s">
        <v>62</v>
      </c>
      <c r="R362" s="20" t="s">
        <v>63</v>
      </c>
      <c r="S362" s="20" t="s">
        <v>64</v>
      </c>
      <c r="T362" s="20" t="s">
        <v>65</v>
      </c>
      <c r="U362" s="20" t="s">
        <v>66</v>
      </c>
      <c r="V362" s="20" t="s">
        <v>67</v>
      </c>
      <c r="W362" s="20" t="s">
        <v>68</v>
      </c>
      <c r="X362" s="20" t="s">
        <v>69</v>
      </c>
      <c r="Y362" s="20" t="s">
        <v>70</v>
      </c>
      <c r="Z362" s="20" t="s">
        <v>71</v>
      </c>
      <c r="AA362" s="20" t="s">
        <v>343</v>
      </c>
      <c r="AB362" s="20" t="s">
        <v>2246</v>
      </c>
      <c r="AC362" s="20" t="s">
        <v>2246</v>
      </c>
      <c r="AD362" s="20" t="s">
        <v>2246</v>
      </c>
      <c r="AE362" s="20"/>
      <c r="AF362" s="9" t="n">
        <v>1</v>
      </c>
      <c r="AG362" s="12" t="n">
        <v>1</v>
      </c>
      <c r="AH362" s="22" t="s">
        <v>235</v>
      </c>
      <c r="AI362" s="12" t="str">
        <f>IF(AH362="","",IFERROR(RIGHT("0000"&amp;AH362,4)&amp;" - "&amp;UPPER(_xlfn.XLOOKUP(RIGHT("0000"&amp;AH362,4),CODEBOOK_CAP!$C$2:$C$212,CODEBOOK_CAP!$D$2:$D$212)),"Código CAP não encontrado"))</f>
        <v>0322 - ESTRUTURAS, HOSPITAIS, CLÍNICAS</v>
      </c>
      <c r="AJ362" s="12" t="str">
        <f>IF(AH362="","",IFERROR(_xlfn.XLOOKUP(RIGHT("0000"&amp;AH362,4),CODEBOOK_CAP!$C$2:$C$212,CODEBOOK_CAP!$E$2:$E$212),"Código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2" s="22" t="s">
        <v>77</v>
      </c>
      <c r="AL362" s="26"/>
      <c r="AM362" s="22" t="s">
        <v>79</v>
      </c>
      <c r="AN362" s="22" t="s">
        <v>79</v>
      </c>
      <c r="AO362" s="12" t="s">
        <v>2247</v>
      </c>
      <c r="AP362" s="22" t="s">
        <v>77</v>
      </c>
      <c r="AQ362" s="12"/>
      <c r="AR362" s="22" t="s">
        <v>77</v>
      </c>
      <c r="AS362" s="10"/>
      <c r="AT362" s="2" t="s">
        <v>1814</v>
      </c>
      <c r="AU362" s="12" t="s">
        <v>83</v>
      </c>
      <c r="AV362" s="3" t="n">
        <v>46220</v>
      </c>
      <c r="AW362" s="21"/>
      <c r="AY362" s="1"/>
      <c r="BA362" s="1"/>
      <c r="BB362" s="1"/>
    </row>
    <row r="363" ht="120" customHeight="1">
      <c r="A363" s="20" t="s">
        <v>2248</v>
      </c>
      <c r="B363" s="20" t="n">
        <v>2023</v>
      </c>
      <c r="C363" s="20" t="n">
        <v>865</v>
      </c>
      <c r="D363" s="20" t="s">
        <v>50</v>
      </c>
      <c r="E363" s="20" t="s">
        <v>2238</v>
      </c>
      <c r="F363" s="20" t="s">
        <v>2249</v>
      </c>
      <c r="G363" s="20" t="s">
        <v>315</v>
      </c>
      <c r="H363" s="20" t="s">
        <v>2240</v>
      </c>
      <c r="I363" s="20"/>
      <c r="J363" s="20" t="s">
        <v>2250</v>
      </c>
      <c r="K363" s="20" t="s">
        <v>309</v>
      </c>
      <c r="L363" s="20" t="s">
        <v>57</v>
      </c>
      <c r="M363" s="20" t="s">
        <v>58</v>
      </c>
      <c r="N363" s="20" t="s">
        <v>59</v>
      </c>
      <c r="O363" s="20" t="s">
        <v>60</v>
      </c>
      <c r="P363" s="20" t="s">
        <v>227</v>
      </c>
      <c r="Q363" s="20" t="s">
        <v>228</v>
      </c>
      <c r="R363" s="20" t="s">
        <v>229</v>
      </c>
      <c r="S363" s="20" t="s">
        <v>230</v>
      </c>
      <c r="T363" s="20" t="s">
        <v>231</v>
      </c>
      <c r="U363" s="20" t="s">
        <v>230</v>
      </c>
      <c r="V363" s="20" t="s">
        <v>196</v>
      </c>
      <c r="W363" s="20" t="s">
        <v>68</v>
      </c>
      <c r="X363" s="20" t="s">
        <v>69</v>
      </c>
      <c r="Y363" s="20" t="s">
        <v>70</v>
      </c>
      <c r="Z363" s="20" t="s">
        <v>98</v>
      </c>
      <c r="AA363" s="20" t="s">
        <v>125</v>
      </c>
      <c r="AB363" s="20" t="s">
        <v>2251</v>
      </c>
      <c r="AC363" s="20" t="s">
        <v>2252</v>
      </c>
      <c r="AD363" s="20" t="s">
        <v>2253</v>
      </c>
      <c r="AE363" s="20" t="s">
        <v>2254</v>
      </c>
      <c r="AF363" s="9" t="n">
        <v>1</v>
      </c>
      <c r="AG363" s="12" t="n">
        <v>1</v>
      </c>
      <c r="AH363" s="22" t="s">
        <v>235</v>
      </c>
      <c r="AI363" s="12" t="str">
        <f>IF(AH363="","",IFERROR(RIGHT("0000"&amp;AH363,4)&amp;" - "&amp;UPPER(_xlfn.XLOOKUP(RIGHT("0000"&amp;AH363,4),CODEBOOK_CAP!$C$2:$C$212,CODEBOOK_CAP!$D$2:$D$212)),"Código CAP não encontrado"))</f>
        <v>0322 - ESTRUTURAS, HOSPITAIS, CLÍNICAS</v>
      </c>
      <c r="AJ363" s="12" t="str">
        <f>IF(AH363="","",IFERROR(_xlfn.XLOOKUP(RIGHT("0000"&amp;AH363,4),CODEBOOK_CAP!$C$2:$C$212,CODEBOOK_CAP!$E$2:$E$212),"Código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63" s="22" t="s">
        <v>77</v>
      </c>
      <c r="AL363" s="26"/>
      <c r="AM363" s="22" t="s">
        <v>79</v>
      </c>
      <c r="AN363" s="22" t="s">
        <v>79</v>
      </c>
      <c r="AO363" s="12" t="s">
        <v>2255</v>
      </c>
      <c r="AP363" s="22" t="s">
        <v>77</v>
      </c>
      <c r="AQ363" s="12"/>
      <c r="AR363" s="22" t="s">
        <v>77</v>
      </c>
      <c r="AS363" s="10"/>
      <c r="AT363" s="2" t="s">
        <v>1814</v>
      </c>
      <c r="AU363" s="12" t="s">
        <v>83</v>
      </c>
      <c r="AV363" s="3" t="n">
        <v>46220</v>
      </c>
      <c r="AW363" s="21"/>
      <c r="AY363" s="1"/>
      <c r="BA363" s="1"/>
      <c r="BB363" s="1"/>
    </row>
    <row r="364" ht="105" customHeight="1">
      <c r="A364" s="20" t="s">
        <v>2256</v>
      </c>
      <c r="B364" s="20" t="n">
        <v>2023</v>
      </c>
      <c r="C364" s="20" t="n">
        <v>642</v>
      </c>
      <c r="D364" s="20" t="s">
        <v>50</v>
      </c>
      <c r="E364" s="20" t="s">
        <v>2238</v>
      </c>
      <c r="F364" s="20" t="s">
        <v>2257</v>
      </c>
      <c r="G364" s="20" t="s">
        <v>53</v>
      </c>
      <c r="H364" s="20" t="s">
        <v>2240</v>
      </c>
      <c r="I364" s="20"/>
      <c r="J364" s="20" t="s">
        <v>2258</v>
      </c>
      <c r="K364" s="20" t="s">
        <v>299</v>
      </c>
      <c r="L364" s="20" t="s">
        <v>208</v>
      </c>
      <c r="M364" s="20" t="s">
        <v>209</v>
      </c>
      <c r="N364" s="20" t="s">
        <v>210</v>
      </c>
      <c r="O364" s="20" t="s">
        <v>211</v>
      </c>
      <c r="P364" s="20" t="s">
        <v>212</v>
      </c>
      <c r="Q364" s="20" t="s">
        <v>213</v>
      </c>
      <c r="R364" s="20" t="s">
        <v>251</v>
      </c>
      <c r="S364" s="20" t="s">
        <v>252</v>
      </c>
      <c r="T364" s="20" t="s">
        <v>300</v>
      </c>
      <c r="U364" s="20" t="s">
        <v>301</v>
      </c>
      <c r="V364" s="20" t="s">
        <v>67</v>
      </c>
      <c r="W364" s="20" t="s">
        <v>68</v>
      </c>
      <c r="X364" s="20" t="s">
        <v>69</v>
      </c>
      <c r="Y364" s="20" t="s">
        <v>70</v>
      </c>
      <c r="Z364" s="20" t="s">
        <v>177</v>
      </c>
      <c r="AA364" s="20" t="s">
        <v>388</v>
      </c>
      <c r="AB364" s="20" t="s">
        <v>2259</v>
      </c>
      <c r="AC364" s="20" t="s">
        <v>77</v>
      </c>
      <c r="AD364" s="20" t="s">
        <v>77</v>
      </c>
      <c r="AE364" s="20"/>
      <c r="AF364" s="9" t="n">
        <v>0</v>
      </c>
      <c r="AG364" s="12" t="n">
        <v>0</v>
      </c>
      <c r="AH364" s="22" t="s">
        <v>161</v>
      </c>
      <c r="AI364" s="12" t="str">
        <f>IF(AH364="","",IFERROR(RIGHT("0000"&amp;AH364,4)&amp;" - "&amp;UPPER(_xlfn.XLOOKUP(RIGHT("0000"&amp;AH364,4),CODEBOOK_CAP!$C$2:$C$212,CODEBOOK_CAP!$D$2:$D$212)),"Código CAP não encontrado"))</f>
        <v>2300 - GERAL</v>
      </c>
      <c r="AJ364" s="12" t="str">
        <f>IF(AH364="","",IFERROR(_xlfn.XLOOKUP(RIGHT("0000"&amp;AH364,4),CODEBOOK_CAP!$C$2:$C$212,CODEBOOK_CAP!$E$2:$E$212),"Código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64" s="22" t="s">
        <v>77</v>
      </c>
      <c r="AL364" s="26"/>
      <c r="AM364" s="22" t="s">
        <v>77</v>
      </c>
      <c r="AN364" s="22" t="s">
        <v>77</v>
      </c>
      <c r="AO364" s="12"/>
      <c r="AP364" s="22" t="s">
        <v>77</v>
      </c>
      <c r="AQ364" s="12"/>
      <c r="AR364" s="22" t="s">
        <v>77</v>
      </c>
      <c r="AS364" s="10"/>
      <c r="AT364" s="2" t="s">
        <v>1814</v>
      </c>
      <c r="AU364" s="12" t="s">
        <v>83</v>
      </c>
      <c r="AV364" s="3" t="n">
        <v>46220</v>
      </c>
      <c r="AW364" s="21"/>
      <c r="AX364" s="1" t="s">
        <v>6956</v>
      </c>
      <c r="AY364" s="1"/>
      <c r="BA364" s="1"/>
      <c r="BB364" s="1"/>
    </row>
    <row r="365" ht="255" customHeight="1">
      <c r="A365" s="20" t="s">
        <v>2260</v>
      </c>
      <c r="B365" s="20" t="n">
        <v>2023</v>
      </c>
      <c r="C365" s="20" t="n">
        <v>643</v>
      </c>
      <c r="D365" s="20" t="s">
        <v>50</v>
      </c>
      <c r="E365" s="20" t="s">
        <v>2238</v>
      </c>
      <c r="F365" s="20" t="s">
        <v>2261</v>
      </c>
      <c r="G365" s="20" t="s">
        <v>86</v>
      </c>
      <c r="H365" s="20" t="s">
        <v>2240</v>
      </c>
      <c r="I365" s="20"/>
      <c r="J365" s="20" t="s">
        <v>2262</v>
      </c>
      <c r="K365" s="20" t="s">
        <v>207</v>
      </c>
      <c r="L365" s="20" t="s">
        <v>208</v>
      </c>
      <c r="M365" s="20" t="s">
        <v>209</v>
      </c>
      <c r="N365" s="20" t="s">
        <v>210</v>
      </c>
      <c r="O365" s="20" t="s">
        <v>211</v>
      </c>
      <c r="P365" s="20" t="s">
        <v>212</v>
      </c>
      <c r="Q365" s="20" t="s">
        <v>213</v>
      </c>
      <c r="R365" s="20" t="s">
        <v>214</v>
      </c>
      <c r="S365" s="20" t="s">
        <v>215</v>
      </c>
      <c r="T365" s="20" t="s">
        <v>216</v>
      </c>
      <c r="U365" s="20" t="s">
        <v>217</v>
      </c>
      <c r="V365" s="20" t="s">
        <v>67</v>
      </c>
      <c r="W365" s="20" t="s">
        <v>68</v>
      </c>
      <c r="X365" s="20" t="s">
        <v>69</v>
      </c>
      <c r="Y365" s="20" t="s">
        <v>70</v>
      </c>
      <c r="Z365" s="20" t="s">
        <v>177</v>
      </c>
      <c r="AA365" s="20" t="s">
        <v>2263</v>
      </c>
      <c r="AB365" s="20" t="s">
        <v>2263</v>
      </c>
      <c r="AC365" s="20" t="s">
        <v>2263</v>
      </c>
      <c r="AD365" s="20" t="s">
        <v>2263</v>
      </c>
      <c r="AE365" s="20"/>
      <c r="AF365" s="9" t="n">
        <v>0</v>
      </c>
      <c r="AG365" s="12" t="n">
        <v>0</v>
      </c>
      <c r="AH365" s="22" t="s">
        <v>219</v>
      </c>
      <c r="AI365" s="12" t="str">
        <f>IF(AH365="","",IFERROR(RIGHT("0000"&amp;AH365,4)&amp;" - "&amp;UPPER(_xlfn.XLOOKUP(RIGHT("0000"&amp;AH365,4),CODEBOOK_CAP!$C$2:$C$212,CODEBOOK_CAP!$D$2:$D$212)),"Código CAP não encontrado"))</f>
        <v>1002 - CARROS, TRÂNSITO, CONSTRUÇÃO E MANUTENÇÃO DE RUAS E ESTRADAS</v>
      </c>
      <c r="AJ365" s="12" t="str">
        <f>IF(AH365="","",IFERROR(_xlfn.XLOOKUP(RIGHT("0000"&amp;AH365,4),CODEBOOK_CAP!$C$2:$C$212,CODEBOOK_CAP!$E$2:$E$212),"Código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65" s="22" t="s">
        <v>79</v>
      </c>
      <c r="AL365" s="26" t="s">
        <v>2264</v>
      </c>
      <c r="AM365" s="22" t="s">
        <v>77</v>
      </c>
      <c r="AN365" s="22" t="s">
        <v>77</v>
      </c>
      <c r="AO365" s="12"/>
      <c r="AP365" s="22" t="s">
        <v>77</v>
      </c>
      <c r="AQ365" s="12"/>
      <c r="AR365" s="22" t="s">
        <v>77</v>
      </c>
      <c r="AS365" s="10"/>
      <c r="AT365" s="2" t="s">
        <v>2265</v>
      </c>
      <c r="AU365" s="12" t="s">
        <v>583</v>
      </c>
      <c r="AV365" s="3" t="n">
        <v>46220</v>
      </c>
      <c r="AW365" s="21"/>
      <c r="AY365" s="1"/>
      <c r="BA365" s="1"/>
      <c r="BB365" s="1"/>
    </row>
    <row r="366" ht="105" customHeight="1">
      <c r="A366" s="20" t="s">
        <v>2266</v>
      </c>
      <c r="B366" s="20" t="n">
        <v>2023</v>
      </c>
      <c r="C366" s="20" t="n">
        <v>644</v>
      </c>
      <c r="D366" s="20" t="s">
        <v>50</v>
      </c>
      <c r="E366" s="20" t="s">
        <v>2238</v>
      </c>
      <c r="F366" s="20" t="s">
        <v>2267</v>
      </c>
      <c r="G366" s="20" t="s">
        <v>86</v>
      </c>
      <c r="H366" s="20" t="s">
        <v>2240</v>
      </c>
      <c r="I366" s="20"/>
      <c r="J366" s="20" t="s">
        <v>2268</v>
      </c>
      <c r="K366" s="20" t="s">
        <v>2269</v>
      </c>
      <c r="L366" s="20" t="s">
        <v>208</v>
      </c>
      <c r="M366" s="20" t="s">
        <v>209</v>
      </c>
      <c r="N366" s="20" t="s">
        <v>168</v>
      </c>
      <c r="O366" s="20" t="s">
        <v>169</v>
      </c>
      <c r="P366" s="20" t="s">
        <v>170</v>
      </c>
      <c r="Q366" s="20" t="s">
        <v>171</v>
      </c>
      <c r="R366" s="20" t="s">
        <v>1868</v>
      </c>
      <c r="S366" s="20" t="s">
        <v>1869</v>
      </c>
      <c r="T366" s="20" t="s">
        <v>1870</v>
      </c>
      <c r="U366" s="20" t="s">
        <v>1871</v>
      </c>
      <c r="V366" s="20" t="s">
        <v>67</v>
      </c>
      <c r="W366" s="20" t="s">
        <v>68</v>
      </c>
      <c r="X366" s="20" t="s">
        <v>69</v>
      </c>
      <c r="Y366" s="20" t="s">
        <v>70</v>
      </c>
      <c r="Z366" s="20" t="s">
        <v>177</v>
      </c>
      <c r="AA366" s="20" t="s">
        <v>198</v>
      </c>
      <c r="AB366" s="20" t="s">
        <v>2270</v>
      </c>
      <c r="AC366" s="20" t="s">
        <v>2270</v>
      </c>
      <c r="AD366" s="20" t="s">
        <v>2270</v>
      </c>
      <c r="AE366" s="20"/>
      <c r="AF366" s="9" t="n">
        <v>0</v>
      </c>
      <c r="AG366" s="12" t="n">
        <v>0</v>
      </c>
      <c r="AH366" s="22" t="s">
        <v>179</v>
      </c>
      <c r="AI366" s="12" t="str">
        <f>IF(AH366="","",IFERROR(RIGHT("0000"&amp;AH366,4)&amp;" - "&amp;UPPER(_xlfn.XLOOKUP(RIGHT("0000"&amp;AH366,4),CODEBOOK_CAP!$C$2:$C$212,CODEBOOK_CAP!$D$2:$D$212)),"Código CAP não encontrado"))</f>
        <v>1406 - POLÍTICAS DE HABITAÇÃO SOCIAL</v>
      </c>
      <c r="AJ366" s="12" t="str">
        <f>IF(AH366="","",IFERROR(_xlfn.XLOOKUP(RIGHT("0000"&amp;AH366,4),CODEBOOK_CAP!$C$2:$C$212,CODEBOOK_CAP!$E$2:$E$212),"Código CAP não encontrado"))</f>
        <v>Políticas de habitação para classes sociais específicas. Minha Casa Minha Vida, Cingapura, COHAB, atuação direta governamental em subsídios ou mesmo em construção de mutirões, doação de casas, prédios não utilizados e cedidos pelos governos. Assuntos relacionados a Favelas, comunidades. Inclui questões relacionadas à habitação para veteranos militares e suas famílias, incluindo</v>
      </c>
      <c r="AK366" s="22" t="s">
        <v>79</v>
      </c>
      <c r="AL366" s="26" t="s">
        <v>2264</v>
      </c>
      <c r="AM366" s="22" t="s">
        <v>77</v>
      </c>
      <c r="AN366" s="22" t="s">
        <v>77</v>
      </c>
      <c r="AO366" s="12"/>
      <c r="AP366" s="22" t="s">
        <v>77</v>
      </c>
      <c r="AQ366" s="12"/>
      <c r="AR366" s="22" t="s">
        <v>77</v>
      </c>
      <c r="AS366" s="10"/>
      <c r="AT366" s="2" t="s">
        <v>2265</v>
      </c>
      <c r="AU366" s="12" t="s">
        <v>583</v>
      </c>
      <c r="AV366" s="3" t="n">
        <v>46220</v>
      </c>
      <c r="AW366" s="21"/>
      <c r="AY366" s="1"/>
      <c r="BA366" s="1"/>
      <c r="BB366" s="1"/>
    </row>
    <row r="367" ht="255" customHeight="1">
      <c r="A367" s="20" t="s">
        <v>2271</v>
      </c>
      <c r="B367" s="20" t="n">
        <v>2023</v>
      </c>
      <c r="C367" s="20" t="n">
        <v>645</v>
      </c>
      <c r="D367" s="20" t="s">
        <v>50</v>
      </c>
      <c r="E367" s="20" t="s">
        <v>2238</v>
      </c>
      <c r="F367" s="20" t="s">
        <v>2272</v>
      </c>
      <c r="G367" s="20" t="s">
        <v>86</v>
      </c>
      <c r="H367" s="20" t="s">
        <v>2240</v>
      </c>
      <c r="I367" s="20"/>
      <c r="J367" s="20" t="s">
        <v>2273</v>
      </c>
      <c r="K367" s="20" t="s">
        <v>2274</v>
      </c>
      <c r="L367" s="20" t="s">
        <v>479</v>
      </c>
      <c r="M367" s="20" t="s">
        <v>480</v>
      </c>
      <c r="N367" s="20" t="s">
        <v>481</v>
      </c>
      <c r="O367" s="20" t="s">
        <v>482</v>
      </c>
      <c r="P367" s="20" t="s">
        <v>483</v>
      </c>
      <c r="Q367" s="20" t="s">
        <v>484</v>
      </c>
      <c r="R367" s="20" t="s">
        <v>485</v>
      </c>
      <c r="S367" s="20" t="s">
        <v>486</v>
      </c>
      <c r="T367" s="20" t="s">
        <v>487</v>
      </c>
      <c r="U367" s="20" t="s">
        <v>488</v>
      </c>
      <c r="V367" s="20" t="s">
        <v>95</v>
      </c>
      <c r="W367" s="20" t="s">
        <v>96</v>
      </c>
      <c r="X367" s="20" t="s">
        <v>97</v>
      </c>
      <c r="Y367" s="20" t="s">
        <v>70</v>
      </c>
      <c r="Z367" s="20" t="s">
        <v>489</v>
      </c>
      <c r="AA367" s="20" t="s">
        <v>255</v>
      </c>
      <c r="AB367" s="20" t="s">
        <v>2275</v>
      </c>
      <c r="AC367" s="20" t="s">
        <v>2275</v>
      </c>
      <c r="AD367" s="20" t="s">
        <v>2275</v>
      </c>
      <c r="AE367" s="20"/>
      <c r="AF367" s="9" t="n">
        <v>0</v>
      </c>
      <c r="AG367" s="12" t="n">
        <v>0</v>
      </c>
      <c r="AH367" s="22" t="s">
        <v>219</v>
      </c>
      <c r="AI367" s="12" t="str">
        <f>IF(AH367="","",IFERROR(RIGHT("0000"&amp;AH367,4)&amp;" - "&amp;UPPER(_xlfn.XLOOKUP(RIGHT("0000"&amp;AH367,4),CODEBOOK_CAP!$C$2:$C$212,CODEBOOK_CAP!$D$2:$D$212)),"Código CAP não encontrado"))</f>
        <v>1002 - CARROS, TRÂNSITO, CONSTRUÇÃO E MANUTENÇÃO DE RUAS E ESTRADAS</v>
      </c>
      <c r="AJ367" s="12" t="str">
        <f>IF(AH367="","",IFERROR(_xlfn.XLOOKUP(RIGHT("0000"&amp;AH367,4),CODEBOOK_CAP!$C$2:$C$212,CODEBOOK_CAP!$E$2:$E$212),"Código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67" s="22" t="s">
        <v>77</v>
      </c>
      <c r="AL367" s="26"/>
      <c r="AM367" s="22" t="s">
        <v>77</v>
      </c>
      <c r="AN367" s="22" t="s">
        <v>77</v>
      </c>
      <c r="AO367" s="12"/>
      <c r="AP367" s="22" t="s">
        <v>77</v>
      </c>
      <c r="AQ367" s="12"/>
      <c r="AR367" s="22" t="s">
        <v>77</v>
      </c>
      <c r="AS367" s="10"/>
      <c r="AT367" s="2" t="s">
        <v>1814</v>
      </c>
      <c r="AU367" s="12" t="s">
        <v>83</v>
      </c>
      <c r="AV367" s="3" t="n">
        <v>46220</v>
      </c>
      <c r="AW367" s="21"/>
      <c r="AY367" s="1"/>
      <c r="BA367" s="1"/>
      <c r="BB367" s="1"/>
    </row>
    <row r="368" ht="105" customHeight="1">
      <c r="A368" s="20" t="s">
        <v>2276</v>
      </c>
      <c r="B368" s="20" t="n">
        <v>2023</v>
      </c>
      <c r="C368" s="20" t="n">
        <v>646</v>
      </c>
      <c r="D368" s="20" t="s">
        <v>50</v>
      </c>
      <c r="E368" s="20" t="s">
        <v>2238</v>
      </c>
      <c r="F368" s="20" t="s">
        <v>2277</v>
      </c>
      <c r="G368" s="20" t="s">
        <v>86</v>
      </c>
      <c r="H368" s="20" t="s">
        <v>2240</v>
      </c>
      <c r="I368" s="20"/>
      <c r="J368" s="20" t="s">
        <v>184</v>
      </c>
      <c r="K368" s="20" t="s">
        <v>241</v>
      </c>
      <c r="L368" s="20" t="s">
        <v>208</v>
      </c>
      <c r="M368" s="20" t="s">
        <v>209</v>
      </c>
      <c r="N368" s="20" t="s">
        <v>188</v>
      </c>
      <c r="O368" s="20" t="s">
        <v>189</v>
      </c>
      <c r="P368" s="20" t="s">
        <v>190</v>
      </c>
      <c r="Q368" s="20" t="s">
        <v>191</v>
      </c>
      <c r="R368" s="20" t="s">
        <v>192</v>
      </c>
      <c r="S368" s="20" t="s">
        <v>193</v>
      </c>
      <c r="T368" s="20" t="s">
        <v>242</v>
      </c>
      <c r="U368" s="20" t="s">
        <v>243</v>
      </c>
      <c r="V368" s="20" t="s">
        <v>67</v>
      </c>
      <c r="W368" s="20" t="s">
        <v>68</v>
      </c>
      <c r="X368" s="20" t="s">
        <v>69</v>
      </c>
      <c r="Y368" s="20" t="s">
        <v>70</v>
      </c>
      <c r="Z368" s="20" t="s">
        <v>177</v>
      </c>
      <c r="AA368" s="20" t="s">
        <v>125</v>
      </c>
      <c r="AB368" s="20" t="s">
        <v>2278</v>
      </c>
      <c r="AC368" s="20" t="s">
        <v>2278</v>
      </c>
      <c r="AD368" s="20" t="s">
        <v>2278</v>
      </c>
      <c r="AE368" s="20"/>
      <c r="AF368" s="9" t="n">
        <v>0</v>
      </c>
      <c r="AG368" s="12" t="n">
        <v>0</v>
      </c>
      <c r="AH368" s="22" t="s">
        <v>161</v>
      </c>
      <c r="AI368" s="12" t="str">
        <f>IF(AH368="","",IFERROR(RIGHT("0000"&amp;AH368,4)&amp;" - "&amp;UPPER(_xlfn.XLOOKUP(RIGHT("0000"&amp;AH368,4),CODEBOOK_CAP!$C$2:$C$212,CODEBOOK_CAP!$D$2:$D$212)),"Código CAP não encontrado"))</f>
        <v>2300 - GERAL</v>
      </c>
      <c r="AJ368" s="12" t="str">
        <f>IF(AH368="","",IFERROR(_xlfn.XLOOKUP(RIGHT("0000"&amp;AH368,4),CODEBOOK_CAP!$C$2:$C$212,CODEBOOK_CAP!$E$2:$E$212),"Código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68" s="22" t="s">
        <v>77</v>
      </c>
      <c r="AL368" s="26"/>
      <c r="AM368" s="22" t="s">
        <v>77</v>
      </c>
      <c r="AN368" s="22" t="s">
        <v>77</v>
      </c>
      <c r="AO368" s="12"/>
      <c r="AP368" s="22" t="s">
        <v>77</v>
      </c>
      <c r="AQ368" s="12"/>
      <c r="AR368" s="22" t="s">
        <v>77</v>
      </c>
      <c r="AS368" s="10"/>
      <c r="AT368" s="2" t="s">
        <v>1814</v>
      </c>
      <c r="AU368" s="12" t="s">
        <v>83</v>
      </c>
      <c r="AV368" s="3" t="n">
        <v>46220</v>
      </c>
      <c r="AW368" s="21"/>
      <c r="AX368" s="1" t="s">
        <v>6956</v>
      </c>
      <c r="AY368" s="1"/>
      <c r="BA368" s="1"/>
      <c r="BB368" s="1"/>
    </row>
    <row r="369">
      <c r="A369" s="14" t="s">
        <v>2279</v>
      </c>
      <c r="B369" s="14" t="n">
        <v>2023</v>
      </c>
      <c r="C369" s="14" t="n">
        <v>647</v>
      </c>
      <c r="D369" s="14" t="s">
        <v>50</v>
      </c>
      <c r="E369" s="14" t="s">
        <v>2238</v>
      </c>
      <c r="F369" s="14" t="s">
        <v>2280</v>
      </c>
      <c r="G369" s="14" t="s">
        <v>633</v>
      </c>
      <c r="H369" s="14" t="s">
        <v>2240</v>
      </c>
      <c r="I369" s="14"/>
      <c r="J369" s="14"/>
      <c r="K369" s="14"/>
      <c r="L369" s="14"/>
      <c r="M369" s="14"/>
      <c r="N369" s="14"/>
      <c r="O369" s="14"/>
      <c r="P369" s="14"/>
      <c r="Q369" s="14"/>
      <c r="R369" s="14"/>
      <c r="S369" s="14"/>
      <c r="T369" s="14"/>
      <c r="U369" s="14"/>
      <c r="V369" s="14"/>
      <c r="W369" s="14"/>
      <c r="X369" s="14"/>
      <c r="Y369" s="14"/>
      <c r="Z369" s="14"/>
      <c r="AA369" s="14"/>
      <c r="AB369" s="14" t="s">
        <v>77</v>
      </c>
      <c r="AC369" s="14" t="s">
        <v>77</v>
      </c>
      <c r="AD369" s="14" t="s">
        <v>77</v>
      </c>
      <c r="AE369" s="14"/>
      <c r="AF369" s="15"/>
      <c r="AG369" s="15"/>
      <c r="AH369" s="16"/>
      <c r="AI369" s="15" t="str">
        <f>IF(AH369="","",IFERROR(RIGHT("0000"&amp;AH369,4)&amp;" - "&amp;UPPER(_xlfn.XLOOKUP(RIGHT("0000"&amp;AH369,4),CODEBOOK_CAP!$C$2:$C$212,CODEBOOK_CAP!$D$2:$D$212)),"Código CAP não encontrado"))</f>
      </c>
      <c r="AJ369" s="15" t="str">
        <f>IF(AH369="","",IFERROR(_xlfn.XLOOKUP(RIGHT("0000"&amp;AH369,4),CODEBOOK_CAP!$C$2:$C$212,CODEBOOK_CAP!$E$2:$E$212),"Código CAP não encontrado"))</f>
      </c>
      <c r="AK369" s="16"/>
      <c r="AL369" s="17"/>
      <c r="AM369" s="16"/>
      <c r="AN369" s="16"/>
      <c r="AO369" s="15"/>
      <c r="AP369" s="16"/>
      <c r="AQ369" s="15"/>
      <c r="AR369" s="16"/>
      <c r="AS369" s="18"/>
      <c r="AT369" s="2" t="s">
        <v>1814</v>
      </c>
      <c r="AU369" s="12" t="s">
        <v>83</v>
      </c>
      <c r="AV369" s="3" t="n">
        <v>46220</v>
      </c>
    </row>
    <row r="370" ht="105" customHeight="1">
      <c r="A370" s="20" t="s">
        <v>2281</v>
      </c>
      <c r="B370" s="20" t="n">
        <v>2023</v>
      </c>
      <c r="C370" s="20" t="n">
        <v>648</v>
      </c>
      <c r="D370" s="20" t="s">
        <v>50</v>
      </c>
      <c r="E370" s="20" t="s">
        <v>2238</v>
      </c>
      <c r="F370" s="20" t="s">
        <v>2282</v>
      </c>
      <c r="G370" s="20" t="s">
        <v>53</v>
      </c>
      <c r="H370" s="20" t="s">
        <v>2240</v>
      </c>
      <c r="I370" s="20"/>
      <c r="J370" s="20" t="s">
        <v>2283</v>
      </c>
      <c r="K370" s="20" t="s">
        <v>241</v>
      </c>
      <c r="L370" s="20" t="s">
        <v>208</v>
      </c>
      <c r="M370" s="20" t="s">
        <v>209</v>
      </c>
      <c r="N370" s="20" t="s">
        <v>188</v>
      </c>
      <c r="O370" s="20" t="s">
        <v>189</v>
      </c>
      <c r="P370" s="20" t="s">
        <v>190</v>
      </c>
      <c r="Q370" s="20" t="s">
        <v>191</v>
      </c>
      <c r="R370" s="20" t="s">
        <v>192</v>
      </c>
      <c r="S370" s="20" t="s">
        <v>193</v>
      </c>
      <c r="T370" s="20" t="s">
        <v>242</v>
      </c>
      <c r="U370" s="20" t="s">
        <v>243</v>
      </c>
      <c r="V370" s="20" t="s">
        <v>67</v>
      </c>
      <c r="W370" s="20" t="s">
        <v>68</v>
      </c>
      <c r="X370" s="20" t="s">
        <v>69</v>
      </c>
      <c r="Y370" s="20" t="s">
        <v>70</v>
      </c>
      <c r="Z370" s="20" t="s">
        <v>177</v>
      </c>
      <c r="AA370" s="20" t="s">
        <v>2284</v>
      </c>
      <c r="AB370" s="20" t="s">
        <v>2285</v>
      </c>
      <c r="AC370" s="20" t="s">
        <v>77</v>
      </c>
      <c r="AD370" s="20" t="s">
        <v>77</v>
      </c>
      <c r="AE370" s="20"/>
      <c r="AF370" s="9" t="n">
        <v>0</v>
      </c>
      <c r="AG370" s="12" t="n">
        <v>0</v>
      </c>
      <c r="AH370" s="22" t="s">
        <v>161</v>
      </c>
      <c r="AI370" s="12" t="str">
        <f>IF(AH370="","",IFERROR(RIGHT("0000"&amp;AH370,4)&amp;" - "&amp;UPPER(_xlfn.XLOOKUP(RIGHT("0000"&amp;AH370,4),CODEBOOK_CAP!$C$2:$C$212,CODEBOOK_CAP!$D$2:$D$212)),"Código CAP não encontrado"))</f>
        <v>2300 - GERAL</v>
      </c>
      <c r="AJ370" s="12" t="str">
        <f>IF(AH370="","",IFERROR(_xlfn.XLOOKUP(RIGHT("0000"&amp;AH370,4),CODEBOOK_CAP!$C$2:$C$212,CODEBOOK_CAP!$E$2:$E$212),"Código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70" s="22" t="s">
        <v>77</v>
      </c>
      <c r="AL370" s="26"/>
      <c r="AM370" s="22" t="s">
        <v>77</v>
      </c>
      <c r="AN370" s="22" t="s">
        <v>77</v>
      </c>
      <c r="AO370" s="12"/>
      <c r="AP370" s="22" t="s">
        <v>77</v>
      </c>
      <c r="AQ370" s="12"/>
      <c r="AR370" s="22" t="s">
        <v>77</v>
      </c>
      <c r="AS370" s="10"/>
      <c r="AT370" s="2" t="s">
        <v>1814</v>
      </c>
      <c r="AU370" s="12" t="s">
        <v>83</v>
      </c>
      <c r="AV370" s="3" t="n">
        <v>46220</v>
      </c>
      <c r="AW370" s="21"/>
      <c r="AX370" s="1" t="s">
        <v>6956</v>
      </c>
      <c r="AY370" s="1"/>
      <c r="BA370" s="1"/>
      <c r="BB370" s="1"/>
    </row>
    <row r="371" ht="120" customHeight="1">
      <c r="A371" s="20" t="s">
        <v>2286</v>
      </c>
      <c r="B371" s="20" t="n">
        <v>2023</v>
      </c>
      <c r="C371" s="20" t="n">
        <v>649</v>
      </c>
      <c r="D371" s="20" t="s">
        <v>50</v>
      </c>
      <c r="E371" s="20" t="s">
        <v>2238</v>
      </c>
      <c r="F371" s="20" t="s">
        <v>2287</v>
      </c>
      <c r="G371" s="20" t="s">
        <v>183</v>
      </c>
      <c r="H371" s="20" t="s">
        <v>2240</v>
      </c>
      <c r="I371" s="20"/>
      <c r="J371" s="20" t="s">
        <v>2288</v>
      </c>
      <c r="K371" s="20" t="s">
        <v>2289</v>
      </c>
      <c r="L371" s="20" t="s">
        <v>57</v>
      </c>
      <c r="M371" s="20" t="s">
        <v>58</v>
      </c>
      <c r="N371" s="20" t="s">
        <v>59</v>
      </c>
      <c r="O371" s="20" t="s">
        <v>60</v>
      </c>
      <c r="P371" s="20" t="s">
        <v>89</v>
      </c>
      <c r="Q371" s="20" t="s">
        <v>90</v>
      </c>
      <c r="R371" s="20" t="s">
        <v>91</v>
      </c>
      <c r="S371" s="20" t="s">
        <v>92</v>
      </c>
      <c r="T371" s="20" t="s">
        <v>341</v>
      </c>
      <c r="U371" s="20" t="s">
        <v>342</v>
      </c>
      <c r="V371" s="20" t="s">
        <v>2290</v>
      </c>
      <c r="W371" s="20" t="s">
        <v>96</v>
      </c>
      <c r="X371" s="20" t="s">
        <v>2291</v>
      </c>
      <c r="Y371" s="20" t="s">
        <v>70</v>
      </c>
      <c r="Z371" s="20" t="s">
        <v>98</v>
      </c>
      <c r="AA371" s="20" t="s">
        <v>462</v>
      </c>
      <c r="AB371" s="20" t="s">
        <v>77</v>
      </c>
      <c r="AC371" s="20" t="s">
        <v>77</v>
      </c>
      <c r="AD371" s="20" t="s">
        <v>77</v>
      </c>
      <c r="AE371" s="20"/>
      <c r="AF371" s="9" t="n">
        <v>1</v>
      </c>
      <c r="AG371" s="12" t="n">
        <v>1</v>
      </c>
      <c r="AH371" s="22" t="s">
        <v>235</v>
      </c>
      <c r="AI371" s="12" t="str">
        <f>IF(AH371="","",IFERROR(RIGHT("0000"&amp;AH371,4)&amp;" - "&amp;UPPER(_xlfn.XLOOKUP(RIGHT("0000"&amp;AH371,4),CODEBOOK_CAP!$C$2:$C$212,CODEBOOK_CAP!$D$2:$D$212)),"Código CAP não encontrado"))</f>
        <v>0322 - ESTRUTURAS, HOSPITAIS, CLÍNICAS</v>
      </c>
      <c r="AJ371" s="12" t="str">
        <f>IF(AH371="","",IFERROR(_xlfn.XLOOKUP(RIGHT("0000"&amp;AH371,4),CODEBOOK_CAP!$C$2:$C$212,CODEBOOK_CAP!$E$2:$E$212),"Código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1" s="22" t="s">
        <v>77</v>
      </c>
      <c r="AL371" s="26"/>
      <c r="AM371" s="22" t="s">
        <v>79</v>
      </c>
      <c r="AN371" s="22" t="s">
        <v>79</v>
      </c>
      <c r="AO371" s="12" t="s">
        <v>2292</v>
      </c>
      <c r="AP371" s="22" t="s">
        <v>77</v>
      </c>
      <c r="AQ371" s="12"/>
      <c r="AR371" s="22" t="s">
        <v>77</v>
      </c>
      <c r="AS371" s="10"/>
      <c r="AT371" s="2" t="s">
        <v>1814</v>
      </c>
      <c r="AU371" s="12" t="s">
        <v>83</v>
      </c>
      <c r="AV371" s="3" t="n">
        <v>46220</v>
      </c>
      <c r="AW371" s="21"/>
      <c r="AY371" s="1"/>
      <c r="BA371" s="1"/>
      <c r="BB371" s="1"/>
    </row>
    <row r="372" ht="120" customHeight="1">
      <c r="A372" s="20" t="s">
        <v>2293</v>
      </c>
      <c r="B372" s="20" t="n">
        <v>2023</v>
      </c>
      <c r="C372" s="20" t="n">
        <v>650</v>
      </c>
      <c r="D372" s="20" t="s">
        <v>50</v>
      </c>
      <c r="E372" s="20" t="s">
        <v>2238</v>
      </c>
      <c r="F372" s="20" t="s">
        <v>2294</v>
      </c>
      <c r="G372" s="20" t="s">
        <v>53</v>
      </c>
      <c r="H372" s="20" t="s">
        <v>2240</v>
      </c>
      <c r="I372" s="20"/>
      <c r="J372" s="20" t="s">
        <v>2295</v>
      </c>
      <c r="K372" s="20" t="s">
        <v>2296</v>
      </c>
      <c r="L372" s="20" t="s">
        <v>208</v>
      </c>
      <c r="M372" s="20" t="s">
        <v>209</v>
      </c>
      <c r="N372" s="20" t="s">
        <v>135</v>
      </c>
      <c r="O372" s="20" t="s">
        <v>136</v>
      </c>
      <c r="P372" s="20" t="s">
        <v>61</v>
      </c>
      <c r="Q372" s="20" t="s">
        <v>62</v>
      </c>
      <c r="R372" s="20" t="s">
        <v>251</v>
      </c>
      <c r="S372" s="20" t="s">
        <v>252</v>
      </c>
      <c r="T372" s="20" t="s">
        <v>253</v>
      </c>
      <c r="U372" s="20" t="s">
        <v>254</v>
      </c>
      <c r="V372" s="20" t="s">
        <v>854</v>
      </c>
      <c r="W372" s="20" t="s">
        <v>96</v>
      </c>
      <c r="X372" s="20" t="s">
        <v>97</v>
      </c>
      <c r="Y372" s="20" t="s">
        <v>70</v>
      </c>
      <c r="Z372" s="20" t="s">
        <v>177</v>
      </c>
      <c r="AA372" s="20" t="s">
        <v>1104</v>
      </c>
      <c r="AB372" s="20" t="s">
        <v>2297</v>
      </c>
      <c r="AC372" s="20" t="s">
        <v>2298</v>
      </c>
      <c r="AD372" s="20" t="s">
        <v>2299</v>
      </c>
      <c r="AE372" s="20" t="s">
        <v>1232</v>
      </c>
      <c r="AF372" s="9" t="n">
        <v>0</v>
      </c>
      <c r="AG372" s="12" t="n">
        <v>1</v>
      </c>
      <c r="AH372" s="22" t="s">
        <v>235</v>
      </c>
      <c r="AI372" s="12" t="str">
        <f>IF(AH372="","",IFERROR(RIGHT("0000"&amp;AH372,4)&amp;" - "&amp;UPPER(_xlfn.XLOOKUP(RIGHT("0000"&amp;AH372,4),CODEBOOK_CAP!$C$2:$C$212,CODEBOOK_CAP!$D$2:$D$212)),"Código CAP não encontrado"))</f>
        <v>0322 - ESTRUTURAS, HOSPITAIS, CLÍNICAS</v>
      </c>
      <c r="AJ372" s="12" t="str">
        <f>IF(AH372="","",IFERROR(_xlfn.XLOOKUP(RIGHT("0000"&amp;AH372,4),CODEBOOK_CAP!$C$2:$C$212,CODEBOOK_CAP!$E$2:$E$212),"Código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2" s="22" t="s">
        <v>77</v>
      </c>
      <c r="AL372" s="26"/>
      <c r="AM372" s="22" t="s">
        <v>77</v>
      </c>
      <c r="AN372" s="22" t="s">
        <v>77</v>
      </c>
      <c r="AO372" s="12"/>
      <c r="AP372" s="22" t="s">
        <v>77</v>
      </c>
      <c r="AQ372" s="12"/>
      <c r="AR372" s="22" t="s">
        <v>79</v>
      </c>
      <c r="AS372" s="10" t="s">
        <v>1232</v>
      </c>
      <c r="AT372" s="2" t="s">
        <v>1814</v>
      </c>
      <c r="AU372" s="12" t="s">
        <v>83</v>
      </c>
      <c r="AV372" s="3" t="n">
        <v>46220</v>
      </c>
      <c r="AW372" s="21"/>
      <c r="AY372" s="1"/>
      <c r="BA372" s="1"/>
      <c r="BB372" s="1"/>
    </row>
    <row r="373" ht="120" customHeight="1">
      <c r="A373" s="20" t="s">
        <v>2300</v>
      </c>
      <c r="B373" s="20" t="n">
        <v>2023</v>
      </c>
      <c r="C373" s="20" t="n">
        <v>651</v>
      </c>
      <c r="D373" s="20" t="s">
        <v>50</v>
      </c>
      <c r="E373" s="20" t="s">
        <v>2238</v>
      </c>
      <c r="F373" s="20" t="s">
        <v>2301</v>
      </c>
      <c r="G373" s="20" t="s">
        <v>86</v>
      </c>
      <c r="H373" s="20" t="s">
        <v>2240</v>
      </c>
      <c r="I373" s="20"/>
      <c r="J373" s="20" t="s">
        <v>1001</v>
      </c>
      <c r="K373" s="20" t="s">
        <v>122</v>
      </c>
      <c r="L373" s="20" t="s">
        <v>57</v>
      </c>
      <c r="M373" s="20" t="s">
        <v>58</v>
      </c>
      <c r="N373" s="20" t="s">
        <v>59</v>
      </c>
      <c r="O373" s="20" t="s">
        <v>60</v>
      </c>
      <c r="P373" s="20" t="s">
        <v>89</v>
      </c>
      <c r="Q373" s="20" t="s">
        <v>90</v>
      </c>
      <c r="R373" s="20" t="s">
        <v>91</v>
      </c>
      <c r="S373" s="20" t="s">
        <v>92</v>
      </c>
      <c r="T373" s="20" t="s">
        <v>123</v>
      </c>
      <c r="U373" s="20" t="s">
        <v>124</v>
      </c>
      <c r="V373" s="20" t="s">
        <v>95</v>
      </c>
      <c r="W373" s="20" t="s">
        <v>96</v>
      </c>
      <c r="X373" s="20" t="s">
        <v>97</v>
      </c>
      <c r="Y373" s="20" t="s">
        <v>70</v>
      </c>
      <c r="Z373" s="20" t="s">
        <v>98</v>
      </c>
      <c r="AA373" s="20" t="s">
        <v>125</v>
      </c>
      <c r="AB373" s="20" t="s">
        <v>125</v>
      </c>
      <c r="AC373" s="20" t="s">
        <v>125</v>
      </c>
      <c r="AD373" s="20" t="s">
        <v>125</v>
      </c>
      <c r="AE373" s="20"/>
      <c r="AF373" s="9" t="n">
        <v>1</v>
      </c>
      <c r="AG373" s="12" t="n">
        <v>1</v>
      </c>
      <c r="AH373" s="22" t="s">
        <v>235</v>
      </c>
      <c r="AI373" s="12" t="str">
        <f>IF(AH373="","",IFERROR(RIGHT("0000"&amp;AH373,4)&amp;" - "&amp;UPPER(_xlfn.XLOOKUP(RIGHT("0000"&amp;AH373,4),CODEBOOK_CAP!$C$2:$C$212,CODEBOOK_CAP!$D$2:$D$212)),"Código CAP não encontrado"))</f>
        <v>0322 - ESTRUTURAS, HOSPITAIS, CLÍNICAS</v>
      </c>
      <c r="AJ373" s="12" t="str">
        <f>IF(AH373="","",IFERROR(_xlfn.XLOOKUP(RIGHT("0000"&amp;AH373,4),CODEBOOK_CAP!$C$2:$C$212,CODEBOOK_CAP!$E$2:$E$212),"Código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3" s="22" t="s">
        <v>77</v>
      </c>
      <c r="AL373" s="26"/>
      <c r="AM373" s="22" t="s">
        <v>79</v>
      </c>
      <c r="AN373" s="22" t="s">
        <v>79</v>
      </c>
      <c r="AO373" s="12" t="s">
        <v>1854</v>
      </c>
      <c r="AP373" s="22" t="s">
        <v>77</v>
      </c>
      <c r="AQ373" s="12"/>
      <c r="AR373" s="22" t="s">
        <v>77</v>
      </c>
      <c r="AS373" s="10"/>
      <c r="AT373" s="2" t="s">
        <v>1814</v>
      </c>
      <c r="AU373" s="12" t="s">
        <v>83</v>
      </c>
      <c r="AV373" s="3" t="n">
        <v>46220</v>
      </c>
      <c r="AW373" s="21"/>
      <c r="AY373" s="1"/>
      <c r="BA373" s="1"/>
      <c r="BB373" s="1"/>
    </row>
    <row r="374">
      <c r="A374" s="14" t="s">
        <v>2302</v>
      </c>
      <c r="B374" s="14" t="n">
        <v>2023</v>
      </c>
      <c r="C374" s="14" t="n">
        <v>652</v>
      </c>
      <c r="D374" s="14" t="s">
        <v>50</v>
      </c>
      <c r="E374" s="14" t="s">
        <v>2238</v>
      </c>
      <c r="F374" s="14" t="s">
        <v>2303</v>
      </c>
      <c r="G374" s="14" t="s">
        <v>633</v>
      </c>
      <c r="H374" s="14" t="s">
        <v>2240</v>
      </c>
      <c r="I374" s="14"/>
      <c r="J374" s="14"/>
      <c r="K374" s="14"/>
      <c r="L374" s="14"/>
      <c r="M374" s="14"/>
      <c r="N374" s="14"/>
      <c r="O374" s="14"/>
      <c r="P374" s="14"/>
      <c r="Q374" s="14"/>
      <c r="R374" s="14"/>
      <c r="S374" s="14"/>
      <c r="T374" s="14"/>
      <c r="U374" s="14"/>
      <c r="V374" s="14"/>
      <c r="W374" s="14"/>
      <c r="X374" s="14"/>
      <c r="Y374" s="14"/>
      <c r="Z374" s="14"/>
      <c r="AA374" s="14"/>
      <c r="AB374" s="14" t="s">
        <v>77</v>
      </c>
      <c r="AC374" s="14" t="s">
        <v>77</v>
      </c>
      <c r="AD374" s="14" t="s">
        <v>77</v>
      </c>
      <c r="AE374" s="14"/>
      <c r="AF374" s="15"/>
      <c r="AG374" s="15"/>
      <c r="AH374" s="16"/>
      <c r="AI374" s="15" t="str">
        <f>IF(AH374="","",IFERROR(RIGHT("0000"&amp;AH374,4)&amp;" - "&amp;UPPER(_xlfn.XLOOKUP(RIGHT("0000"&amp;AH374,4),CODEBOOK_CAP!$C$2:$C$212,CODEBOOK_CAP!$D$2:$D$212)),"Código CAP não encontrado"))</f>
      </c>
      <c r="AJ374" s="15" t="str">
        <f>IF(AH374="","",IFERROR(_xlfn.XLOOKUP(RIGHT("0000"&amp;AH374,4),CODEBOOK_CAP!$C$2:$C$212,CODEBOOK_CAP!$E$2:$E$212),"Código CAP não encontrado"))</f>
      </c>
      <c r="AK374" s="16"/>
      <c r="AL374" s="17"/>
      <c r="AM374" s="16"/>
      <c r="AN374" s="16"/>
      <c r="AO374" s="15"/>
      <c r="AP374" s="16"/>
      <c r="AQ374" s="15"/>
      <c r="AR374" s="16"/>
      <c r="AS374" s="18"/>
      <c r="AT374" s="2" t="s">
        <v>1814</v>
      </c>
      <c r="AU374" s="12" t="s">
        <v>83</v>
      </c>
      <c r="AV374" s="3" t="n">
        <v>46220</v>
      </c>
    </row>
    <row r="375" ht="105" customHeight="1">
      <c r="A375" s="20" t="s">
        <v>2304</v>
      </c>
      <c r="B375" s="20" t="n">
        <v>2023</v>
      </c>
      <c r="C375" s="20" t="n">
        <v>653</v>
      </c>
      <c r="D375" s="20" t="s">
        <v>50</v>
      </c>
      <c r="E375" s="20" t="s">
        <v>2238</v>
      </c>
      <c r="F375" s="20" t="s">
        <v>2305</v>
      </c>
      <c r="G375" s="20" t="s">
        <v>86</v>
      </c>
      <c r="H375" s="20" t="s">
        <v>2240</v>
      </c>
      <c r="I375" s="20"/>
      <c r="J375" s="20" t="s">
        <v>2306</v>
      </c>
      <c r="K375" s="20" t="s">
        <v>88</v>
      </c>
      <c r="L375" s="20" t="s">
        <v>57</v>
      </c>
      <c r="M375" s="20" t="s">
        <v>58</v>
      </c>
      <c r="N375" s="20" t="s">
        <v>59</v>
      </c>
      <c r="O375" s="20" t="s">
        <v>60</v>
      </c>
      <c r="P375" s="20" t="s">
        <v>89</v>
      </c>
      <c r="Q375" s="20" t="s">
        <v>90</v>
      </c>
      <c r="R375" s="20" t="s">
        <v>91</v>
      </c>
      <c r="S375" s="20" t="s">
        <v>92</v>
      </c>
      <c r="T375" s="20" t="s">
        <v>93</v>
      </c>
      <c r="U375" s="20" t="s">
        <v>94</v>
      </c>
      <c r="V375" s="20" t="s">
        <v>95</v>
      </c>
      <c r="W375" s="20" t="s">
        <v>96</v>
      </c>
      <c r="X375" s="20" t="s">
        <v>97</v>
      </c>
      <c r="Y375" s="20" t="s">
        <v>70</v>
      </c>
      <c r="Z375" s="20" t="s">
        <v>98</v>
      </c>
      <c r="AA375" s="20" t="s">
        <v>2307</v>
      </c>
      <c r="AB375" s="20" t="s">
        <v>2307</v>
      </c>
      <c r="AC375" s="20" t="s">
        <v>2307</v>
      </c>
      <c r="AD375" s="20" t="s">
        <v>2307</v>
      </c>
      <c r="AE375" s="20"/>
      <c r="AF375" s="9" t="n">
        <v>1</v>
      </c>
      <c r="AG375" s="12" t="n">
        <v>1</v>
      </c>
      <c r="AH375" s="22" t="s">
        <v>76</v>
      </c>
      <c r="AI375" s="12" t="str">
        <f>IF(AH375="","",IFERROR(RIGHT("0000"&amp;AH375,4)&amp;" - "&amp;UPPER(_xlfn.XLOOKUP(RIGHT("0000"&amp;AH375,4),CODEBOOK_CAP!$C$2:$C$212,CODEBOOK_CAP!$D$2:$D$212)),"Código CAP não encontrado"))</f>
        <v>0333 - SAÚDE MENTAL</v>
      </c>
      <c r="AJ375" s="12" t="str">
        <f>IF(AH375="","",IFERROR(_xlfn.XLOOKUP(RIGHT("0000"&amp;AH375,4),CODEBOOK_CAP!$C$2:$C$212,CODEBOOK_CAP!$E$2:$E$212),"Código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375" s="22" t="s">
        <v>77</v>
      </c>
      <c r="AL375" s="26"/>
      <c r="AM375" s="22" t="s">
        <v>79</v>
      </c>
      <c r="AN375" s="22" t="s">
        <v>79</v>
      </c>
      <c r="AO375" s="12" t="s">
        <v>2308</v>
      </c>
      <c r="AP375" s="22" t="s">
        <v>77</v>
      </c>
      <c r="AQ375" s="12"/>
      <c r="AR375" s="22" t="s">
        <v>77</v>
      </c>
      <c r="AS375" s="10"/>
      <c r="AT375" s="2" t="s">
        <v>1814</v>
      </c>
      <c r="AU375" s="12" t="s">
        <v>83</v>
      </c>
      <c r="AV375" s="3" t="n">
        <v>46220</v>
      </c>
      <c r="AW375" s="21"/>
      <c r="AY375" s="1"/>
      <c r="BA375" s="1"/>
      <c r="BB375" s="1"/>
    </row>
    <row r="376" ht="120" customHeight="1">
      <c r="A376" s="20" t="s">
        <v>2309</v>
      </c>
      <c r="B376" s="20" t="n">
        <v>2023</v>
      </c>
      <c r="C376" s="20" t="n">
        <v>654</v>
      </c>
      <c r="D376" s="20" t="s">
        <v>50</v>
      </c>
      <c r="E376" s="20" t="s">
        <v>2238</v>
      </c>
      <c r="F376" s="20" t="s">
        <v>2310</v>
      </c>
      <c r="G376" s="20" t="s">
        <v>86</v>
      </c>
      <c r="H376" s="20" t="s">
        <v>2240</v>
      </c>
      <c r="I376" s="20"/>
      <c r="J376" s="20" t="s">
        <v>2311</v>
      </c>
      <c r="K376" s="20" t="s">
        <v>122</v>
      </c>
      <c r="L376" s="20" t="s">
        <v>57</v>
      </c>
      <c r="M376" s="20" t="s">
        <v>58</v>
      </c>
      <c r="N376" s="20" t="s">
        <v>59</v>
      </c>
      <c r="O376" s="20" t="s">
        <v>60</v>
      </c>
      <c r="P376" s="20" t="s">
        <v>89</v>
      </c>
      <c r="Q376" s="20" t="s">
        <v>90</v>
      </c>
      <c r="R376" s="20" t="s">
        <v>91</v>
      </c>
      <c r="S376" s="20" t="s">
        <v>92</v>
      </c>
      <c r="T376" s="20" t="s">
        <v>123</v>
      </c>
      <c r="U376" s="20" t="s">
        <v>124</v>
      </c>
      <c r="V376" s="20" t="s">
        <v>95</v>
      </c>
      <c r="W376" s="20" t="s">
        <v>96</v>
      </c>
      <c r="X376" s="20" t="s">
        <v>97</v>
      </c>
      <c r="Y376" s="20" t="s">
        <v>70</v>
      </c>
      <c r="Z376" s="20" t="s">
        <v>98</v>
      </c>
      <c r="AA376" s="20" t="s">
        <v>125</v>
      </c>
      <c r="AB376" s="20" t="s">
        <v>125</v>
      </c>
      <c r="AC376" s="20" t="s">
        <v>125</v>
      </c>
      <c r="AD376" s="20" t="s">
        <v>125</v>
      </c>
      <c r="AE376" s="20"/>
      <c r="AF376" s="9" t="n">
        <v>1</v>
      </c>
      <c r="AG376" s="12" t="n">
        <v>1</v>
      </c>
      <c r="AH376" s="22" t="s">
        <v>235</v>
      </c>
      <c r="AI376" s="12" t="str">
        <f>IF(AH376="","",IFERROR(RIGHT("0000"&amp;AH376,4)&amp;" - "&amp;UPPER(_xlfn.XLOOKUP(RIGHT("0000"&amp;AH376,4),CODEBOOK_CAP!$C$2:$C$212,CODEBOOK_CAP!$D$2:$D$212)),"Código CAP não encontrado"))</f>
        <v>0322 - ESTRUTURAS, HOSPITAIS, CLÍNICAS</v>
      </c>
      <c r="AJ376" s="12" t="str">
        <f>IF(AH376="","",IFERROR(_xlfn.XLOOKUP(RIGHT("0000"&amp;AH376,4),CODEBOOK_CAP!$C$2:$C$212,CODEBOOK_CAP!$E$2:$E$212),"Código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6" s="22" t="s">
        <v>77</v>
      </c>
      <c r="AL376" s="26"/>
      <c r="AM376" s="22" t="s">
        <v>79</v>
      </c>
      <c r="AN376" s="22" t="s">
        <v>79</v>
      </c>
      <c r="AO376" s="12" t="s">
        <v>1906</v>
      </c>
      <c r="AP376" s="22" t="s">
        <v>77</v>
      </c>
      <c r="AQ376" s="12"/>
      <c r="AR376" s="22" t="s">
        <v>77</v>
      </c>
      <c r="AS376" s="10"/>
      <c r="AT376" s="2" t="s">
        <v>1814</v>
      </c>
      <c r="AU376" s="12" t="s">
        <v>83</v>
      </c>
      <c r="AV376" s="3" t="n">
        <v>46220</v>
      </c>
      <c r="AW376" s="21"/>
      <c r="AY376" s="1"/>
      <c r="BA376" s="1"/>
      <c r="BB376" s="1"/>
    </row>
    <row r="377" ht="105" customHeight="1">
      <c r="A377" s="20" t="s">
        <v>2312</v>
      </c>
      <c r="B377" s="20" t="n">
        <v>2023</v>
      </c>
      <c r="C377" s="20" t="n">
        <v>655</v>
      </c>
      <c r="D377" s="20" t="s">
        <v>50</v>
      </c>
      <c r="E377" s="20" t="s">
        <v>2238</v>
      </c>
      <c r="F377" s="20" t="s">
        <v>2313</v>
      </c>
      <c r="G377" s="20" t="s">
        <v>86</v>
      </c>
      <c r="H377" s="20" t="s">
        <v>2240</v>
      </c>
      <c r="I377" s="20"/>
      <c r="J377" s="20" t="s">
        <v>2314</v>
      </c>
      <c r="K377" s="20" t="s">
        <v>2315</v>
      </c>
      <c r="L377" s="20" t="s">
        <v>57</v>
      </c>
      <c r="M377" s="20" t="s">
        <v>58</v>
      </c>
      <c r="N377" s="20" t="s">
        <v>59</v>
      </c>
      <c r="O377" s="20" t="s">
        <v>60</v>
      </c>
      <c r="P377" s="20" t="s">
        <v>89</v>
      </c>
      <c r="Q377" s="20" t="s">
        <v>90</v>
      </c>
      <c r="R377" s="20" t="s">
        <v>63</v>
      </c>
      <c r="S377" s="20" t="s">
        <v>64</v>
      </c>
      <c r="T377" s="20" t="s">
        <v>93</v>
      </c>
      <c r="U377" s="20" t="s">
        <v>94</v>
      </c>
      <c r="V377" s="20" t="s">
        <v>104</v>
      </c>
      <c r="W377" s="20" t="s">
        <v>96</v>
      </c>
      <c r="X377" s="20" t="s">
        <v>97</v>
      </c>
      <c r="Y377" s="20" t="s">
        <v>70</v>
      </c>
      <c r="Z377" s="20" t="s">
        <v>98</v>
      </c>
      <c r="AA377" s="20" t="s">
        <v>2316</v>
      </c>
      <c r="AB377" s="20" t="s">
        <v>2316</v>
      </c>
      <c r="AC377" s="20" t="s">
        <v>2316</v>
      </c>
      <c r="AD377" s="20" t="s">
        <v>2316</v>
      </c>
      <c r="AE377" s="20"/>
      <c r="AF377" s="9" t="n">
        <v>1</v>
      </c>
      <c r="AG377" s="12" t="n">
        <v>1</v>
      </c>
      <c r="AH377" s="22" t="s">
        <v>76</v>
      </c>
      <c r="AI377" s="12" t="str">
        <f>IF(AH377="","",IFERROR(RIGHT("0000"&amp;AH377,4)&amp;" - "&amp;UPPER(_xlfn.XLOOKUP(RIGHT("0000"&amp;AH377,4),CODEBOOK_CAP!$C$2:$C$212,CODEBOOK_CAP!$D$2:$D$212)),"Código CAP não encontrado"))</f>
        <v>0333 - SAÚDE MENTAL</v>
      </c>
      <c r="AJ377" s="12" t="str">
        <f>IF(AH377="","",IFERROR(_xlfn.XLOOKUP(RIGHT("0000"&amp;AH377,4),CODEBOOK_CAP!$C$2:$C$212,CODEBOOK_CAP!$E$2:$E$212),"Código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377" s="22" t="s">
        <v>77</v>
      </c>
      <c r="AL377" s="26"/>
      <c r="AM377" s="22" t="s">
        <v>79</v>
      </c>
      <c r="AN377" s="22" t="s">
        <v>79</v>
      </c>
      <c r="AO377" s="12" t="s">
        <v>2317</v>
      </c>
      <c r="AP377" s="22" t="s">
        <v>79</v>
      </c>
      <c r="AQ377" s="12" t="s">
        <v>901</v>
      </c>
      <c r="AR377" s="22" t="s">
        <v>77</v>
      </c>
      <c r="AS377" s="10"/>
      <c r="AT377" s="2" t="s">
        <v>1814</v>
      </c>
      <c r="AU377" s="12" t="s">
        <v>83</v>
      </c>
      <c r="AV377" s="3" t="n">
        <v>46220</v>
      </c>
      <c r="AW377" s="21"/>
      <c r="AY377" s="1"/>
      <c r="BA377" s="1"/>
      <c r="BB377" s="1"/>
    </row>
    <row r="378" ht="120" customHeight="1">
      <c r="A378" s="20" t="s">
        <v>2318</v>
      </c>
      <c r="B378" s="20" t="n">
        <v>2023</v>
      </c>
      <c r="C378" s="20" t="n">
        <v>656</v>
      </c>
      <c r="D378" s="20" t="s">
        <v>50</v>
      </c>
      <c r="E378" s="20" t="s">
        <v>2238</v>
      </c>
      <c r="F378" s="20" t="s">
        <v>2319</v>
      </c>
      <c r="G378" s="20" t="s">
        <v>86</v>
      </c>
      <c r="H378" s="20" t="s">
        <v>2240</v>
      </c>
      <c r="I378" s="20"/>
      <c r="J378" s="20" t="s">
        <v>1037</v>
      </c>
      <c r="K378" s="20" t="s">
        <v>416</v>
      </c>
      <c r="L378" s="20" t="s">
        <v>57</v>
      </c>
      <c r="M378" s="20" t="s">
        <v>58</v>
      </c>
      <c r="N378" s="20" t="s">
        <v>59</v>
      </c>
      <c r="O378" s="20" t="s">
        <v>60</v>
      </c>
      <c r="P378" s="20" t="s">
        <v>89</v>
      </c>
      <c r="Q378" s="20" t="s">
        <v>90</v>
      </c>
      <c r="R378" s="20" t="s">
        <v>91</v>
      </c>
      <c r="S378" s="20" t="s">
        <v>92</v>
      </c>
      <c r="T378" s="20" t="s">
        <v>123</v>
      </c>
      <c r="U378" s="20" t="s">
        <v>124</v>
      </c>
      <c r="V378" s="20" t="s">
        <v>417</v>
      </c>
      <c r="W378" s="20" t="s">
        <v>96</v>
      </c>
      <c r="X378" s="20" t="s">
        <v>97</v>
      </c>
      <c r="Y378" s="20" t="s">
        <v>70</v>
      </c>
      <c r="Z378" s="20" t="s">
        <v>98</v>
      </c>
      <c r="AA378" s="20" t="s">
        <v>198</v>
      </c>
      <c r="AB378" s="20" t="s">
        <v>198</v>
      </c>
      <c r="AC378" s="20" t="s">
        <v>198</v>
      </c>
      <c r="AD378" s="20" t="s">
        <v>198</v>
      </c>
      <c r="AE378" s="20"/>
      <c r="AF378" s="9" t="n">
        <v>1</v>
      </c>
      <c r="AG378" s="12" t="n">
        <v>1</v>
      </c>
      <c r="AH378" s="22" t="s">
        <v>235</v>
      </c>
      <c r="AI378" s="12" t="str">
        <f>IF(AH378="","",IFERROR(RIGHT("0000"&amp;AH378,4)&amp;" - "&amp;UPPER(_xlfn.XLOOKUP(RIGHT("0000"&amp;AH378,4),CODEBOOK_CAP!$C$2:$C$212,CODEBOOK_CAP!$D$2:$D$212)),"Código CAP não encontrado"))</f>
        <v>0322 - ESTRUTURAS, HOSPITAIS, CLÍNICAS</v>
      </c>
      <c r="AJ378" s="12" t="str">
        <f>IF(AH378="","",IFERROR(_xlfn.XLOOKUP(RIGHT("0000"&amp;AH378,4),CODEBOOK_CAP!$C$2:$C$212,CODEBOOK_CAP!$E$2:$E$212),"Código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78" s="22" t="s">
        <v>77</v>
      </c>
      <c r="AL378" s="26"/>
      <c r="AM378" s="22" t="s">
        <v>79</v>
      </c>
      <c r="AN378" s="22" t="s">
        <v>79</v>
      </c>
      <c r="AO378" s="12" t="s">
        <v>2320</v>
      </c>
      <c r="AP378" s="22" t="s">
        <v>77</v>
      </c>
      <c r="AQ378" s="12"/>
      <c r="AR378" s="22" t="s">
        <v>77</v>
      </c>
      <c r="AS378" s="10"/>
      <c r="AT378" s="2" t="s">
        <v>1814</v>
      </c>
      <c r="AU378" s="12" t="s">
        <v>83</v>
      </c>
      <c r="AV378" s="3" t="n">
        <v>46220</v>
      </c>
      <c r="AW378" s="21"/>
      <c r="AY378" s="1"/>
      <c r="BA378" s="1"/>
      <c r="BB378" s="1"/>
    </row>
    <row r="379" ht="105" customHeight="1">
      <c r="A379" s="20" t="s">
        <v>2321</v>
      </c>
      <c r="B379" s="20" t="n">
        <v>2023</v>
      </c>
      <c r="C379" s="20" t="n">
        <v>849</v>
      </c>
      <c r="D379" s="20" t="s">
        <v>50</v>
      </c>
      <c r="E379" s="20" t="s">
        <v>2322</v>
      </c>
      <c r="F379" s="20" t="s">
        <v>2323</v>
      </c>
      <c r="G379" s="20" t="s">
        <v>315</v>
      </c>
      <c r="H379" s="20" t="s">
        <v>2324</v>
      </c>
      <c r="I379" s="20"/>
      <c r="J379" s="20" t="s">
        <v>2325</v>
      </c>
      <c r="K379" s="20" t="s">
        <v>241</v>
      </c>
      <c r="L379" s="20" t="s">
        <v>208</v>
      </c>
      <c r="M379" s="20" t="s">
        <v>209</v>
      </c>
      <c r="N379" s="20" t="s">
        <v>188</v>
      </c>
      <c r="O379" s="20" t="s">
        <v>189</v>
      </c>
      <c r="P379" s="20" t="s">
        <v>190</v>
      </c>
      <c r="Q379" s="20" t="s">
        <v>191</v>
      </c>
      <c r="R379" s="20" t="s">
        <v>192</v>
      </c>
      <c r="S379" s="20" t="s">
        <v>193</v>
      </c>
      <c r="T379" s="20" t="s">
        <v>242</v>
      </c>
      <c r="U379" s="20" t="s">
        <v>243</v>
      </c>
      <c r="V379" s="20" t="s">
        <v>67</v>
      </c>
      <c r="W379" s="20" t="s">
        <v>68</v>
      </c>
      <c r="X379" s="20" t="s">
        <v>69</v>
      </c>
      <c r="Y379" s="20" t="s">
        <v>70</v>
      </c>
      <c r="Z379" s="20" t="s">
        <v>177</v>
      </c>
      <c r="AA379" s="20" t="s">
        <v>601</v>
      </c>
      <c r="AB379" s="20" t="s">
        <v>77</v>
      </c>
      <c r="AC379" s="20" t="s">
        <v>77</v>
      </c>
      <c r="AD379" s="20" t="s">
        <v>77</v>
      </c>
      <c r="AE379" s="20"/>
      <c r="AF379" s="9" t="n">
        <v>0</v>
      </c>
      <c r="AG379" s="12" t="n">
        <v>0</v>
      </c>
      <c r="AH379" s="22" t="s">
        <v>161</v>
      </c>
      <c r="AI379" s="12" t="str">
        <f>IF(AH379="","",IFERROR(RIGHT("0000"&amp;AH379,4)&amp;" - "&amp;UPPER(_xlfn.XLOOKUP(RIGHT("0000"&amp;AH379,4),CODEBOOK_CAP!$C$2:$C$212,CODEBOOK_CAP!$D$2:$D$212)),"Código CAP não encontrado"))</f>
        <v>2300 - GERAL</v>
      </c>
      <c r="AJ379" s="12" t="str">
        <f>IF(AH379="","",IFERROR(_xlfn.XLOOKUP(RIGHT("0000"&amp;AH379,4),CODEBOOK_CAP!$C$2:$C$212,CODEBOOK_CAP!$E$2:$E$212),"Código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379" s="22" t="s">
        <v>79</v>
      </c>
      <c r="AL379" s="26" t="s">
        <v>2326</v>
      </c>
      <c r="AM379" s="22" t="s">
        <v>79</v>
      </c>
      <c r="AN379" s="22" t="s">
        <v>79</v>
      </c>
      <c r="AO379" s="12" t="s">
        <v>2326</v>
      </c>
      <c r="AP379" s="22" t="s">
        <v>77</v>
      </c>
      <c r="AQ379" s="12"/>
      <c r="AR379" s="22" t="s">
        <v>77</v>
      </c>
      <c r="AS379" s="10"/>
      <c r="AT379" s="2" t="s">
        <v>1814</v>
      </c>
      <c r="AU379" s="12" t="s">
        <v>83</v>
      </c>
      <c r="AV379" s="3" t="n">
        <v>46220</v>
      </c>
      <c r="AW379" s="21"/>
      <c r="AX379" s="1" t="s">
        <v>6956</v>
      </c>
      <c r="AY379" s="1"/>
      <c r="BA379" s="1"/>
      <c r="BB379" s="1"/>
    </row>
    <row r="380" ht="165" customHeight="1">
      <c r="A380" s="20" t="s">
        <v>2327</v>
      </c>
      <c r="B380" s="20" t="n">
        <v>2023</v>
      </c>
      <c r="C380" s="20" t="n">
        <v>215</v>
      </c>
      <c r="D380" s="20" t="s">
        <v>50</v>
      </c>
      <c r="E380" s="20" t="s">
        <v>2322</v>
      </c>
      <c r="F380" s="20" t="s">
        <v>2328</v>
      </c>
      <c r="G380" s="20" t="s">
        <v>315</v>
      </c>
      <c r="H380" s="20" t="s">
        <v>2324</v>
      </c>
      <c r="I380" s="20"/>
      <c r="J380" s="20" t="s">
        <v>2329</v>
      </c>
      <c r="K380" s="20" t="s">
        <v>1267</v>
      </c>
      <c r="L380" s="20" t="s">
        <v>57</v>
      </c>
      <c r="M380" s="20" t="s">
        <v>58</v>
      </c>
      <c r="N380" s="20" t="s">
        <v>59</v>
      </c>
      <c r="O380" s="20" t="s">
        <v>60</v>
      </c>
      <c r="P380" s="20" t="s">
        <v>111</v>
      </c>
      <c r="Q380" s="20" t="s">
        <v>112</v>
      </c>
      <c r="R380" s="20" t="s">
        <v>113</v>
      </c>
      <c r="S380" s="20" t="s">
        <v>114</v>
      </c>
      <c r="T380" s="20" t="s">
        <v>115</v>
      </c>
      <c r="U380" s="20" t="s">
        <v>114</v>
      </c>
      <c r="V380" s="20" t="s">
        <v>854</v>
      </c>
      <c r="W380" s="20" t="s">
        <v>96</v>
      </c>
      <c r="X380" s="20" t="s">
        <v>97</v>
      </c>
      <c r="Y380" s="20" t="s">
        <v>70</v>
      </c>
      <c r="Z380" s="20" t="s">
        <v>98</v>
      </c>
      <c r="AA380" s="20" t="s">
        <v>125</v>
      </c>
      <c r="AB380" s="20" t="s">
        <v>2330</v>
      </c>
      <c r="AC380" s="20" t="s">
        <v>2330</v>
      </c>
      <c r="AD380" s="20" t="s">
        <v>2330</v>
      </c>
      <c r="AE380" s="20"/>
      <c r="AF380" s="9" t="n">
        <v>1</v>
      </c>
      <c r="AG380" s="12" t="n">
        <v>0</v>
      </c>
      <c r="AH380" s="22" t="s">
        <v>1269</v>
      </c>
      <c r="AI380" s="12" t="str">
        <f>IF(AH380="","",IFERROR(RIGHT("0000"&amp;AH380,4)&amp;" - "&amp;UPPER(_xlfn.XLOOKUP(RIGHT("0000"&amp;AH380,4),CODEBOOK_CAP!$C$2:$C$212,CODEBOOK_CAP!$D$2:$D$212)),"Código CAP não encontrado"))</f>
        <v>0405 - CONTROLE DE DOENÇAS ANIMAIS</v>
      </c>
      <c r="AJ380" s="12" t="str">
        <f>IF(AH380="","",IFERROR(_xlfn.XLOOKUP(RIGHT("0000"&amp;AH380,4),CODEBOOK_CAP!$C$2:$C$212,CODEBOOK_CAP!$E$2:$E$212),"Código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380" s="22" t="s">
        <v>77</v>
      </c>
      <c r="AL380" s="26"/>
      <c r="AM380" s="22" t="s">
        <v>77</v>
      </c>
      <c r="AN380" s="22" t="s">
        <v>77</v>
      </c>
      <c r="AO380" s="12"/>
      <c r="AP380" s="22" t="s">
        <v>79</v>
      </c>
      <c r="AQ380" s="12" t="s">
        <v>2331</v>
      </c>
      <c r="AR380" s="22" t="s">
        <v>77</v>
      </c>
      <c r="AS380" s="10"/>
      <c r="AT380" s="2" t="s">
        <v>1814</v>
      </c>
      <c r="AU380" s="12" t="s">
        <v>83</v>
      </c>
      <c r="AV380" s="3" t="n">
        <v>46220</v>
      </c>
      <c r="AW380" s="21"/>
      <c r="AY380" s="1"/>
      <c r="BA380" s="1"/>
      <c r="BB380" s="1"/>
    </row>
    <row r="381" ht="120" customHeight="1">
      <c r="A381" s="20" t="s">
        <v>2332</v>
      </c>
      <c r="B381" s="20" t="n">
        <v>2023</v>
      </c>
      <c r="C381" s="20" t="n">
        <v>216</v>
      </c>
      <c r="D381" s="20" t="s">
        <v>50</v>
      </c>
      <c r="E381" s="20" t="s">
        <v>2322</v>
      </c>
      <c r="F381" s="20" t="s">
        <v>2333</v>
      </c>
      <c r="G381" s="20" t="s">
        <v>86</v>
      </c>
      <c r="H381" s="20" t="s">
        <v>2324</v>
      </c>
      <c r="I381" s="20"/>
      <c r="J381" s="20" t="s">
        <v>2334</v>
      </c>
      <c r="K381" s="20" t="s">
        <v>226</v>
      </c>
      <c r="L381" s="20" t="s">
        <v>57</v>
      </c>
      <c r="M381" s="20" t="s">
        <v>58</v>
      </c>
      <c r="N381" s="20" t="s">
        <v>59</v>
      </c>
      <c r="O381" s="20" t="s">
        <v>60</v>
      </c>
      <c r="P381" s="20" t="s">
        <v>227</v>
      </c>
      <c r="Q381" s="20" t="s">
        <v>228</v>
      </c>
      <c r="R381" s="20" t="s">
        <v>229</v>
      </c>
      <c r="S381" s="20" t="s">
        <v>230</v>
      </c>
      <c r="T381" s="20" t="s">
        <v>231</v>
      </c>
      <c r="U381" s="20" t="s">
        <v>230</v>
      </c>
      <c r="V381" s="20" t="s">
        <v>232</v>
      </c>
      <c r="W381" s="20" t="s">
        <v>96</v>
      </c>
      <c r="X381" s="20" t="s">
        <v>97</v>
      </c>
      <c r="Y381" s="20" t="s">
        <v>70</v>
      </c>
      <c r="Z381" s="20" t="s">
        <v>98</v>
      </c>
      <c r="AA381" s="20" t="s">
        <v>125</v>
      </c>
      <c r="AB381" s="20" t="s">
        <v>125</v>
      </c>
      <c r="AC381" s="20" t="s">
        <v>125</v>
      </c>
      <c r="AD381" s="20" t="s">
        <v>125</v>
      </c>
      <c r="AE381" s="20"/>
      <c r="AF381" s="9" t="n">
        <v>1</v>
      </c>
      <c r="AG381" s="12" t="n">
        <v>1</v>
      </c>
      <c r="AH381" s="22" t="s">
        <v>235</v>
      </c>
      <c r="AI381" s="12" t="str">
        <f>IF(AH381="","",IFERROR(RIGHT("0000"&amp;AH381,4)&amp;" - "&amp;UPPER(_xlfn.XLOOKUP(RIGHT("0000"&amp;AH381,4),CODEBOOK_CAP!$C$2:$C$212,CODEBOOK_CAP!$D$2:$D$212)),"Código CAP não encontrado"))</f>
        <v>0322 - ESTRUTURAS, HOSPITAIS, CLÍNICAS</v>
      </c>
      <c r="AJ381" s="12" t="str">
        <f>IF(AH381="","",IFERROR(_xlfn.XLOOKUP(RIGHT("0000"&amp;AH381,4),CODEBOOK_CAP!$C$2:$C$212,CODEBOOK_CAP!$E$2:$E$212),"Código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1" s="22" t="s">
        <v>79</v>
      </c>
      <c r="AL381" s="26" t="s">
        <v>2335</v>
      </c>
      <c r="AM381" s="22" t="s">
        <v>79</v>
      </c>
      <c r="AN381" s="22" t="s">
        <v>79</v>
      </c>
      <c r="AO381" s="12" t="s">
        <v>2336</v>
      </c>
      <c r="AP381" s="22" t="s">
        <v>77</v>
      </c>
      <c r="AQ381" s="12"/>
      <c r="AR381" s="22" t="s">
        <v>77</v>
      </c>
      <c r="AS381" s="10"/>
      <c r="AT381" s="2" t="s">
        <v>1814</v>
      </c>
      <c r="AU381" s="12" t="s">
        <v>83</v>
      </c>
      <c r="AV381" s="3" t="n">
        <v>46220</v>
      </c>
      <c r="AW381" s="21"/>
      <c r="AY381" s="1"/>
      <c r="BA381" s="1"/>
      <c r="BB381" s="1"/>
    </row>
    <row r="382" ht="120" customHeight="1">
      <c r="A382" s="20" t="s">
        <v>2337</v>
      </c>
      <c r="B382" s="20" t="n">
        <v>2023</v>
      </c>
      <c r="C382" s="20" t="n">
        <v>217</v>
      </c>
      <c r="D382" s="20" t="s">
        <v>50</v>
      </c>
      <c r="E382" s="20" t="s">
        <v>2322</v>
      </c>
      <c r="F382" s="20" t="s">
        <v>2338</v>
      </c>
      <c r="G382" s="20" t="s">
        <v>86</v>
      </c>
      <c r="H382" s="20" t="s">
        <v>2324</v>
      </c>
      <c r="I382" s="20"/>
      <c r="J382" s="20" t="s">
        <v>2339</v>
      </c>
      <c r="K382" s="20" t="s">
        <v>226</v>
      </c>
      <c r="L382" s="20" t="s">
        <v>57</v>
      </c>
      <c r="M382" s="20" t="s">
        <v>58</v>
      </c>
      <c r="N382" s="20" t="s">
        <v>59</v>
      </c>
      <c r="O382" s="20" t="s">
        <v>60</v>
      </c>
      <c r="P382" s="20" t="s">
        <v>227</v>
      </c>
      <c r="Q382" s="20" t="s">
        <v>228</v>
      </c>
      <c r="R382" s="20" t="s">
        <v>229</v>
      </c>
      <c r="S382" s="20" t="s">
        <v>230</v>
      </c>
      <c r="T382" s="20" t="s">
        <v>231</v>
      </c>
      <c r="U382" s="20" t="s">
        <v>230</v>
      </c>
      <c r="V382" s="20" t="s">
        <v>232</v>
      </c>
      <c r="W382" s="20" t="s">
        <v>96</v>
      </c>
      <c r="X382" s="20" t="s">
        <v>97</v>
      </c>
      <c r="Y382" s="20" t="s">
        <v>70</v>
      </c>
      <c r="Z382" s="20" t="s">
        <v>98</v>
      </c>
      <c r="AA382" s="20" t="s">
        <v>125</v>
      </c>
      <c r="AB382" s="20" t="s">
        <v>125</v>
      </c>
      <c r="AC382" s="20" t="s">
        <v>125</v>
      </c>
      <c r="AD382" s="20" t="s">
        <v>125</v>
      </c>
      <c r="AE382" s="20"/>
      <c r="AF382" s="9" t="n">
        <v>1</v>
      </c>
      <c r="AG382" s="12" t="n">
        <v>1</v>
      </c>
      <c r="AH382" s="22" t="s">
        <v>235</v>
      </c>
      <c r="AI382" s="12" t="str">
        <f>IF(AH382="","",IFERROR(RIGHT("0000"&amp;AH382,4)&amp;" - "&amp;UPPER(_xlfn.XLOOKUP(RIGHT("0000"&amp;AH382,4),CODEBOOK_CAP!$C$2:$C$212,CODEBOOK_CAP!$D$2:$D$212)),"Código CAP não encontrado"))</f>
        <v>0322 - ESTRUTURAS, HOSPITAIS, CLÍNICAS</v>
      </c>
      <c r="AJ382" s="12" t="str">
        <f>IF(AH382="","",IFERROR(_xlfn.XLOOKUP(RIGHT("0000"&amp;AH382,4),CODEBOOK_CAP!$C$2:$C$212,CODEBOOK_CAP!$E$2:$E$212),"Código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2" s="22" t="s">
        <v>79</v>
      </c>
      <c r="AL382" s="26" t="s">
        <v>2340</v>
      </c>
      <c r="AM382" s="22" t="s">
        <v>79</v>
      </c>
      <c r="AN382" s="22" t="s">
        <v>79</v>
      </c>
      <c r="AO382" s="12" t="s">
        <v>2341</v>
      </c>
      <c r="AP382" s="22" t="s">
        <v>77</v>
      </c>
      <c r="AQ382" s="12"/>
      <c r="AR382" s="22" t="s">
        <v>77</v>
      </c>
      <c r="AS382" s="10"/>
      <c r="AT382" s="2" t="s">
        <v>1814</v>
      </c>
      <c r="AU382" s="12" t="s">
        <v>83</v>
      </c>
      <c r="AV382" s="3" t="n">
        <v>46220</v>
      </c>
      <c r="AW382" s="21"/>
      <c r="AY382" s="1"/>
      <c r="BA382" s="1"/>
      <c r="BB382" s="1"/>
    </row>
    <row r="383" ht="120" customHeight="1">
      <c r="A383" s="20" t="s">
        <v>2342</v>
      </c>
      <c r="B383" s="20" t="n">
        <v>2023</v>
      </c>
      <c r="C383" s="20" t="n">
        <v>218</v>
      </c>
      <c r="D383" s="20" t="s">
        <v>50</v>
      </c>
      <c r="E383" s="20" t="s">
        <v>2322</v>
      </c>
      <c r="F383" s="20" t="s">
        <v>2343</v>
      </c>
      <c r="G383" s="20" t="s">
        <v>86</v>
      </c>
      <c r="H383" s="20" t="s">
        <v>2324</v>
      </c>
      <c r="I383" s="20"/>
      <c r="J383" s="20" t="s">
        <v>2344</v>
      </c>
      <c r="K383" s="20" t="s">
        <v>226</v>
      </c>
      <c r="L383" s="20" t="s">
        <v>57</v>
      </c>
      <c r="M383" s="20" t="s">
        <v>58</v>
      </c>
      <c r="N383" s="20" t="s">
        <v>59</v>
      </c>
      <c r="O383" s="20" t="s">
        <v>60</v>
      </c>
      <c r="P383" s="20" t="s">
        <v>227</v>
      </c>
      <c r="Q383" s="20" t="s">
        <v>228</v>
      </c>
      <c r="R383" s="20" t="s">
        <v>229</v>
      </c>
      <c r="S383" s="20" t="s">
        <v>230</v>
      </c>
      <c r="T383" s="20" t="s">
        <v>231</v>
      </c>
      <c r="U383" s="20" t="s">
        <v>230</v>
      </c>
      <c r="V383" s="20" t="s">
        <v>232</v>
      </c>
      <c r="W383" s="20" t="s">
        <v>96</v>
      </c>
      <c r="X383" s="20" t="s">
        <v>97</v>
      </c>
      <c r="Y383" s="20" t="s">
        <v>70</v>
      </c>
      <c r="Z383" s="20" t="s">
        <v>98</v>
      </c>
      <c r="AA383" s="20" t="s">
        <v>125</v>
      </c>
      <c r="AB383" s="20" t="s">
        <v>125</v>
      </c>
      <c r="AC383" s="20" t="s">
        <v>125</v>
      </c>
      <c r="AD383" s="20" t="s">
        <v>125</v>
      </c>
      <c r="AE383" s="20"/>
      <c r="AF383" s="9" t="n">
        <v>1</v>
      </c>
      <c r="AG383" s="12" t="n">
        <v>1</v>
      </c>
      <c r="AH383" s="22" t="s">
        <v>235</v>
      </c>
      <c r="AI383" s="12" t="str">
        <f>IF(AH383="","",IFERROR(RIGHT("0000"&amp;AH383,4)&amp;" - "&amp;UPPER(_xlfn.XLOOKUP(RIGHT("0000"&amp;AH383,4),CODEBOOK_CAP!$C$2:$C$212,CODEBOOK_CAP!$D$2:$D$212)),"Código CAP não encontrado"))</f>
        <v>0322 - ESTRUTURAS, HOSPITAIS, CLÍNICAS</v>
      </c>
      <c r="AJ383" s="12" t="str">
        <f>IF(AH383="","",IFERROR(_xlfn.XLOOKUP(RIGHT("0000"&amp;AH383,4),CODEBOOK_CAP!$C$2:$C$212,CODEBOOK_CAP!$E$2:$E$212),"Código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3" s="22" t="s">
        <v>79</v>
      </c>
      <c r="AL383" s="26" t="s">
        <v>2345</v>
      </c>
      <c r="AM383" s="22" t="s">
        <v>79</v>
      </c>
      <c r="AN383" s="22" t="s">
        <v>79</v>
      </c>
      <c r="AO383" s="12" t="s">
        <v>2346</v>
      </c>
      <c r="AP383" s="22" t="s">
        <v>77</v>
      </c>
      <c r="AQ383" s="12"/>
      <c r="AR383" s="22" t="s">
        <v>77</v>
      </c>
      <c r="AS383" s="10"/>
      <c r="AT383" s="2" t="s">
        <v>1814</v>
      </c>
      <c r="AU383" s="12" t="s">
        <v>83</v>
      </c>
      <c r="AV383" s="3" t="n">
        <v>46220</v>
      </c>
      <c r="AW383" s="21"/>
      <c r="AY383" s="1"/>
      <c r="BA383" s="1"/>
      <c r="BB383" s="1"/>
    </row>
    <row r="384" ht="120" customHeight="1">
      <c r="A384" s="20" t="s">
        <v>2347</v>
      </c>
      <c r="B384" s="20" t="n">
        <v>2023</v>
      </c>
      <c r="C384" s="20" t="n">
        <v>219</v>
      </c>
      <c r="D384" s="20" t="s">
        <v>50</v>
      </c>
      <c r="E384" s="20" t="s">
        <v>2322</v>
      </c>
      <c r="F384" s="20" t="s">
        <v>2348</v>
      </c>
      <c r="G384" s="20" t="s">
        <v>86</v>
      </c>
      <c r="H384" s="20" t="s">
        <v>2324</v>
      </c>
      <c r="I384" s="20"/>
      <c r="J384" s="20" t="s">
        <v>2349</v>
      </c>
      <c r="K384" s="20" t="s">
        <v>853</v>
      </c>
      <c r="L384" s="20" t="s">
        <v>57</v>
      </c>
      <c r="M384" s="20" t="s">
        <v>58</v>
      </c>
      <c r="N384" s="20" t="s">
        <v>59</v>
      </c>
      <c r="O384" s="20" t="s">
        <v>60</v>
      </c>
      <c r="P384" s="20" t="s">
        <v>227</v>
      </c>
      <c r="Q384" s="20" t="s">
        <v>228</v>
      </c>
      <c r="R384" s="20" t="s">
        <v>229</v>
      </c>
      <c r="S384" s="20" t="s">
        <v>230</v>
      </c>
      <c r="T384" s="20" t="s">
        <v>231</v>
      </c>
      <c r="U384" s="20" t="s">
        <v>230</v>
      </c>
      <c r="V384" s="20" t="s">
        <v>854</v>
      </c>
      <c r="W384" s="20" t="s">
        <v>96</v>
      </c>
      <c r="X384" s="20" t="s">
        <v>97</v>
      </c>
      <c r="Y384" s="20" t="s">
        <v>70</v>
      </c>
      <c r="Z384" s="20" t="s">
        <v>98</v>
      </c>
      <c r="AA384" s="20" t="s">
        <v>125</v>
      </c>
      <c r="AB384" s="20" t="s">
        <v>2350</v>
      </c>
      <c r="AC384" s="20" t="s">
        <v>2350</v>
      </c>
      <c r="AD384" s="20" t="s">
        <v>2350</v>
      </c>
      <c r="AE384" s="20"/>
      <c r="AF384" s="9" t="n">
        <v>1</v>
      </c>
      <c r="AG384" s="12" t="n">
        <v>1</v>
      </c>
      <c r="AH384" s="22" t="s">
        <v>235</v>
      </c>
      <c r="AI384" s="12" t="str">
        <f>IF(AH384="","",IFERROR(RIGHT("0000"&amp;AH384,4)&amp;" - "&amp;UPPER(_xlfn.XLOOKUP(RIGHT("0000"&amp;AH384,4),CODEBOOK_CAP!$C$2:$C$212,CODEBOOK_CAP!$D$2:$D$212)),"Código CAP não encontrado"))</f>
        <v>0322 - ESTRUTURAS, HOSPITAIS, CLÍNICAS</v>
      </c>
      <c r="AJ384" s="12" t="str">
        <f>IF(AH384="","",IFERROR(_xlfn.XLOOKUP(RIGHT("0000"&amp;AH384,4),CODEBOOK_CAP!$C$2:$C$212,CODEBOOK_CAP!$E$2:$E$212),"Código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4" s="22" t="s">
        <v>79</v>
      </c>
      <c r="AL384" s="26" t="s">
        <v>2351</v>
      </c>
      <c r="AM384" s="22" t="s">
        <v>79</v>
      </c>
      <c r="AN384" s="22" t="s">
        <v>79</v>
      </c>
      <c r="AO384" s="12" t="s">
        <v>2352</v>
      </c>
      <c r="AP384" s="22" t="s">
        <v>77</v>
      </c>
      <c r="AQ384" s="12"/>
      <c r="AR384" s="22" t="s">
        <v>77</v>
      </c>
      <c r="AS384" s="10"/>
      <c r="AT384" s="2" t="s">
        <v>1814</v>
      </c>
      <c r="AU384" s="12" t="s">
        <v>83</v>
      </c>
      <c r="AV384" s="3" t="n">
        <v>46220</v>
      </c>
      <c r="AW384" s="21"/>
      <c r="AY384" s="1"/>
      <c r="BA384" s="1"/>
      <c r="BB384" s="1"/>
    </row>
    <row r="385" ht="120" customHeight="1">
      <c r="A385" s="20" t="s">
        <v>2353</v>
      </c>
      <c r="B385" s="20" t="n">
        <v>2023</v>
      </c>
      <c r="C385" s="20" t="n">
        <v>220</v>
      </c>
      <c r="D385" s="20" t="s">
        <v>50</v>
      </c>
      <c r="E385" s="20" t="s">
        <v>2322</v>
      </c>
      <c r="F385" s="20" t="s">
        <v>2354</v>
      </c>
      <c r="G385" s="20" t="s">
        <v>86</v>
      </c>
      <c r="H385" s="20" t="s">
        <v>2324</v>
      </c>
      <c r="I385" s="20"/>
      <c r="J385" s="20" t="s">
        <v>2355</v>
      </c>
      <c r="K385" s="20" t="s">
        <v>226</v>
      </c>
      <c r="L385" s="20" t="s">
        <v>57</v>
      </c>
      <c r="M385" s="20" t="s">
        <v>58</v>
      </c>
      <c r="N385" s="20" t="s">
        <v>59</v>
      </c>
      <c r="O385" s="20" t="s">
        <v>60</v>
      </c>
      <c r="P385" s="20" t="s">
        <v>227</v>
      </c>
      <c r="Q385" s="20" t="s">
        <v>228</v>
      </c>
      <c r="R385" s="20" t="s">
        <v>229</v>
      </c>
      <c r="S385" s="20" t="s">
        <v>230</v>
      </c>
      <c r="T385" s="20" t="s">
        <v>231</v>
      </c>
      <c r="U385" s="20" t="s">
        <v>230</v>
      </c>
      <c r="V385" s="20" t="s">
        <v>232</v>
      </c>
      <c r="W385" s="20" t="s">
        <v>96</v>
      </c>
      <c r="X385" s="20" t="s">
        <v>97</v>
      </c>
      <c r="Y385" s="20" t="s">
        <v>70</v>
      </c>
      <c r="Z385" s="20" t="s">
        <v>98</v>
      </c>
      <c r="AA385" s="20" t="s">
        <v>125</v>
      </c>
      <c r="AB385" s="20" t="s">
        <v>125</v>
      </c>
      <c r="AC385" s="20" t="s">
        <v>125</v>
      </c>
      <c r="AD385" s="20" t="s">
        <v>125</v>
      </c>
      <c r="AE385" s="20"/>
      <c r="AF385" s="9" t="n">
        <v>1</v>
      </c>
      <c r="AG385" s="12" t="n">
        <v>1</v>
      </c>
      <c r="AH385" s="22" t="s">
        <v>235</v>
      </c>
      <c r="AI385" s="12" t="str">
        <f>IF(AH385="","",IFERROR(RIGHT("0000"&amp;AH385,4)&amp;" - "&amp;UPPER(_xlfn.XLOOKUP(RIGHT("0000"&amp;AH385,4),CODEBOOK_CAP!$C$2:$C$212,CODEBOOK_CAP!$D$2:$D$212)),"Código CAP não encontrado"))</f>
        <v>0322 - ESTRUTURAS, HOSPITAIS, CLÍNICAS</v>
      </c>
      <c r="AJ385" s="12" t="str">
        <f>IF(AH385="","",IFERROR(_xlfn.XLOOKUP(RIGHT("0000"&amp;AH385,4),CODEBOOK_CAP!$C$2:$C$212,CODEBOOK_CAP!$E$2:$E$212),"Código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5" s="22" t="s">
        <v>79</v>
      </c>
      <c r="AL385" s="26" t="s">
        <v>2356</v>
      </c>
      <c r="AM385" s="22" t="s">
        <v>79</v>
      </c>
      <c r="AN385" s="22" t="s">
        <v>79</v>
      </c>
      <c r="AO385" s="12" t="s">
        <v>2357</v>
      </c>
      <c r="AP385" s="22" t="s">
        <v>77</v>
      </c>
      <c r="AQ385" s="12"/>
      <c r="AR385" s="22" t="s">
        <v>77</v>
      </c>
      <c r="AS385" s="10"/>
      <c r="AT385" s="2" t="s">
        <v>1814</v>
      </c>
      <c r="AU385" s="12" t="s">
        <v>83</v>
      </c>
      <c r="AV385" s="3" t="n">
        <v>46220</v>
      </c>
      <c r="AW385" s="21"/>
      <c r="AY385" s="1"/>
      <c r="BA385" s="1"/>
      <c r="BB385" s="1"/>
    </row>
    <row r="386" ht="120" customHeight="1">
      <c r="A386" s="20" t="s">
        <v>2358</v>
      </c>
      <c r="B386" s="20" t="n">
        <v>2023</v>
      </c>
      <c r="C386" s="20" t="n">
        <v>221</v>
      </c>
      <c r="D386" s="20" t="s">
        <v>50</v>
      </c>
      <c r="E386" s="20" t="s">
        <v>2322</v>
      </c>
      <c r="F386" s="20" t="s">
        <v>2359</v>
      </c>
      <c r="G386" s="20" t="s">
        <v>86</v>
      </c>
      <c r="H386" s="20" t="s">
        <v>2324</v>
      </c>
      <c r="I386" s="20"/>
      <c r="J386" s="20" t="s">
        <v>2360</v>
      </c>
      <c r="K386" s="20" t="s">
        <v>853</v>
      </c>
      <c r="L386" s="20" t="s">
        <v>57</v>
      </c>
      <c r="M386" s="20" t="s">
        <v>58</v>
      </c>
      <c r="N386" s="20" t="s">
        <v>59</v>
      </c>
      <c r="O386" s="20" t="s">
        <v>60</v>
      </c>
      <c r="P386" s="20" t="s">
        <v>227</v>
      </c>
      <c r="Q386" s="20" t="s">
        <v>228</v>
      </c>
      <c r="R386" s="20" t="s">
        <v>229</v>
      </c>
      <c r="S386" s="20" t="s">
        <v>230</v>
      </c>
      <c r="T386" s="20" t="s">
        <v>231</v>
      </c>
      <c r="U386" s="20" t="s">
        <v>230</v>
      </c>
      <c r="V386" s="20" t="s">
        <v>854</v>
      </c>
      <c r="W386" s="20" t="s">
        <v>96</v>
      </c>
      <c r="X386" s="20" t="s">
        <v>97</v>
      </c>
      <c r="Y386" s="20" t="s">
        <v>70</v>
      </c>
      <c r="Z386" s="20" t="s">
        <v>98</v>
      </c>
      <c r="AA386" s="20" t="s">
        <v>125</v>
      </c>
      <c r="AB386" s="20" t="s">
        <v>125</v>
      </c>
      <c r="AC386" s="20" t="s">
        <v>125</v>
      </c>
      <c r="AD386" s="20" t="s">
        <v>125</v>
      </c>
      <c r="AE386" s="20"/>
      <c r="AF386" s="9" t="n">
        <v>1</v>
      </c>
      <c r="AG386" s="12" t="n">
        <v>1</v>
      </c>
      <c r="AH386" s="22" t="s">
        <v>235</v>
      </c>
      <c r="AI386" s="12" t="str">
        <f>IF(AH386="","",IFERROR(RIGHT("0000"&amp;AH386,4)&amp;" - "&amp;UPPER(_xlfn.XLOOKUP(RIGHT("0000"&amp;AH386,4),CODEBOOK_CAP!$C$2:$C$212,CODEBOOK_CAP!$D$2:$D$212)),"Código CAP não encontrado"))</f>
        <v>0322 - ESTRUTURAS, HOSPITAIS, CLÍNICAS</v>
      </c>
      <c r="AJ386" s="12" t="str">
        <f>IF(AH386="","",IFERROR(_xlfn.XLOOKUP(RIGHT("0000"&amp;AH386,4),CODEBOOK_CAP!$C$2:$C$212,CODEBOOK_CAP!$E$2:$E$212),"Código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6" s="22" t="s">
        <v>79</v>
      </c>
      <c r="AL386" s="26" t="s">
        <v>2361</v>
      </c>
      <c r="AM386" s="22" t="s">
        <v>79</v>
      </c>
      <c r="AN386" s="22" t="s">
        <v>79</v>
      </c>
      <c r="AO386" s="12" t="s">
        <v>2362</v>
      </c>
      <c r="AP386" s="22" t="s">
        <v>77</v>
      </c>
      <c r="AQ386" s="12"/>
      <c r="AR386" s="22" t="s">
        <v>77</v>
      </c>
      <c r="AS386" s="10"/>
      <c r="AT386" s="2" t="s">
        <v>1814</v>
      </c>
      <c r="AU386" s="12" t="s">
        <v>83</v>
      </c>
      <c r="AV386" s="3" t="n">
        <v>46220</v>
      </c>
      <c r="AW386" s="21"/>
      <c r="AY386" s="1"/>
      <c r="BA386" s="1"/>
      <c r="BB386" s="1"/>
    </row>
    <row r="387" ht="120" customHeight="1">
      <c r="A387" s="20" t="s">
        <v>2363</v>
      </c>
      <c r="B387" s="20" t="n">
        <v>2023</v>
      </c>
      <c r="C387" s="20" t="n">
        <v>222</v>
      </c>
      <c r="D387" s="20" t="s">
        <v>50</v>
      </c>
      <c r="E387" s="20" t="s">
        <v>2322</v>
      </c>
      <c r="F387" s="20" t="s">
        <v>2364</v>
      </c>
      <c r="G387" s="20" t="s">
        <v>86</v>
      </c>
      <c r="H387" s="20" t="s">
        <v>2324</v>
      </c>
      <c r="I387" s="20"/>
      <c r="J387" s="20" t="s">
        <v>2365</v>
      </c>
      <c r="K387" s="20" t="s">
        <v>226</v>
      </c>
      <c r="L387" s="20" t="s">
        <v>57</v>
      </c>
      <c r="M387" s="20" t="s">
        <v>58</v>
      </c>
      <c r="N387" s="20" t="s">
        <v>59</v>
      </c>
      <c r="O387" s="20" t="s">
        <v>60</v>
      </c>
      <c r="P387" s="20" t="s">
        <v>227</v>
      </c>
      <c r="Q387" s="20" t="s">
        <v>228</v>
      </c>
      <c r="R387" s="20" t="s">
        <v>229</v>
      </c>
      <c r="S387" s="20" t="s">
        <v>230</v>
      </c>
      <c r="T387" s="20" t="s">
        <v>231</v>
      </c>
      <c r="U387" s="20" t="s">
        <v>230</v>
      </c>
      <c r="V387" s="20" t="s">
        <v>232</v>
      </c>
      <c r="W387" s="20" t="s">
        <v>96</v>
      </c>
      <c r="X387" s="20" t="s">
        <v>97</v>
      </c>
      <c r="Y387" s="20" t="s">
        <v>70</v>
      </c>
      <c r="Z387" s="20" t="s">
        <v>98</v>
      </c>
      <c r="AA387" s="20" t="s">
        <v>125</v>
      </c>
      <c r="AB387" s="20" t="s">
        <v>125</v>
      </c>
      <c r="AC387" s="20" t="s">
        <v>125</v>
      </c>
      <c r="AD387" s="20" t="s">
        <v>125</v>
      </c>
      <c r="AE387" s="20"/>
      <c r="AF387" s="9" t="n">
        <v>1</v>
      </c>
      <c r="AG387" s="12" t="n">
        <v>1</v>
      </c>
      <c r="AH387" s="22" t="s">
        <v>235</v>
      </c>
      <c r="AI387" s="12" t="str">
        <f>IF(AH387="","",IFERROR(RIGHT("0000"&amp;AH387,4)&amp;" - "&amp;UPPER(_xlfn.XLOOKUP(RIGHT("0000"&amp;AH387,4),CODEBOOK_CAP!$C$2:$C$212,CODEBOOK_CAP!$D$2:$D$212)),"Código CAP não encontrado"))</f>
        <v>0322 - ESTRUTURAS, HOSPITAIS, CLÍNICAS</v>
      </c>
      <c r="AJ387" s="12" t="str">
        <f>IF(AH387="","",IFERROR(_xlfn.XLOOKUP(RIGHT("0000"&amp;AH387,4),CODEBOOK_CAP!$C$2:$C$212,CODEBOOK_CAP!$E$2:$E$212),"Código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7" s="22" t="s">
        <v>79</v>
      </c>
      <c r="AL387" s="26" t="s">
        <v>2366</v>
      </c>
      <c r="AM387" s="22" t="s">
        <v>79</v>
      </c>
      <c r="AN387" s="22" t="s">
        <v>79</v>
      </c>
      <c r="AO387" s="12" t="s">
        <v>2367</v>
      </c>
      <c r="AP387" s="22" t="s">
        <v>77</v>
      </c>
      <c r="AQ387" s="12"/>
      <c r="AR387" s="22" t="s">
        <v>77</v>
      </c>
      <c r="AS387" s="10"/>
      <c r="AT387" s="2" t="s">
        <v>1814</v>
      </c>
      <c r="AU387" s="12" t="s">
        <v>83</v>
      </c>
      <c r="AV387" s="3" t="n">
        <v>46220</v>
      </c>
      <c r="AW387" s="21"/>
      <c r="AY387" s="1"/>
      <c r="BA387" s="1"/>
      <c r="BB387" s="1"/>
    </row>
    <row r="388" ht="120" customHeight="1">
      <c r="A388" s="20" t="s">
        <v>2368</v>
      </c>
      <c r="B388" s="20" t="n">
        <v>2023</v>
      </c>
      <c r="C388" s="20" t="n">
        <v>223</v>
      </c>
      <c r="D388" s="20" t="s">
        <v>50</v>
      </c>
      <c r="E388" s="20" t="s">
        <v>2322</v>
      </c>
      <c r="F388" s="20" t="s">
        <v>2369</v>
      </c>
      <c r="G388" s="20" t="s">
        <v>86</v>
      </c>
      <c r="H388" s="20" t="s">
        <v>2324</v>
      </c>
      <c r="I388" s="20"/>
      <c r="J388" s="20" t="s">
        <v>2370</v>
      </c>
      <c r="K388" s="20" t="s">
        <v>865</v>
      </c>
      <c r="L388" s="20" t="s">
        <v>57</v>
      </c>
      <c r="M388" s="20" t="s">
        <v>58</v>
      </c>
      <c r="N388" s="20" t="s">
        <v>59</v>
      </c>
      <c r="O388" s="20" t="s">
        <v>60</v>
      </c>
      <c r="P388" s="20" t="s">
        <v>227</v>
      </c>
      <c r="Q388" s="20" t="s">
        <v>228</v>
      </c>
      <c r="R388" s="20" t="s">
        <v>229</v>
      </c>
      <c r="S388" s="20" t="s">
        <v>230</v>
      </c>
      <c r="T388" s="20" t="s">
        <v>866</v>
      </c>
      <c r="U388" s="20" t="s">
        <v>867</v>
      </c>
      <c r="V388" s="20" t="s">
        <v>868</v>
      </c>
      <c r="W388" s="20" t="s">
        <v>96</v>
      </c>
      <c r="X388" s="20" t="s">
        <v>97</v>
      </c>
      <c r="Y388" s="20" t="s">
        <v>70</v>
      </c>
      <c r="Z388" s="20" t="s">
        <v>98</v>
      </c>
      <c r="AA388" s="20" t="s">
        <v>125</v>
      </c>
      <c r="AB388" s="20" t="s">
        <v>125</v>
      </c>
      <c r="AC388" s="20" t="s">
        <v>125</v>
      </c>
      <c r="AD388" s="20" t="s">
        <v>125</v>
      </c>
      <c r="AE388" s="20"/>
      <c r="AF388" s="9" t="n">
        <v>1</v>
      </c>
      <c r="AG388" s="12" t="n">
        <v>1</v>
      </c>
      <c r="AH388" s="22" t="s">
        <v>235</v>
      </c>
      <c r="AI388" s="12" t="str">
        <f>IF(AH388="","",IFERROR(RIGHT("0000"&amp;AH388,4)&amp;" - "&amp;UPPER(_xlfn.XLOOKUP(RIGHT("0000"&amp;AH388,4),CODEBOOK_CAP!$C$2:$C$212,CODEBOOK_CAP!$D$2:$D$212)),"Código CAP não encontrado"))</f>
        <v>0322 - ESTRUTURAS, HOSPITAIS, CLÍNICAS</v>
      </c>
      <c r="AJ388" s="12" t="str">
        <f>IF(AH388="","",IFERROR(_xlfn.XLOOKUP(RIGHT("0000"&amp;AH388,4),CODEBOOK_CAP!$C$2:$C$212,CODEBOOK_CAP!$E$2:$E$212),"Código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8" s="22" t="s">
        <v>79</v>
      </c>
      <c r="AL388" s="26" t="s">
        <v>2371</v>
      </c>
      <c r="AM388" s="22" t="s">
        <v>79</v>
      </c>
      <c r="AN388" s="22" t="s">
        <v>79</v>
      </c>
      <c r="AO388" s="12" t="s">
        <v>2372</v>
      </c>
      <c r="AP388" s="22" t="s">
        <v>77</v>
      </c>
      <c r="AQ388" s="12"/>
      <c r="AR388" s="22" t="s">
        <v>77</v>
      </c>
      <c r="AS388" s="10"/>
      <c r="AT388" s="2" t="s">
        <v>1814</v>
      </c>
      <c r="AU388" s="12" t="s">
        <v>83</v>
      </c>
      <c r="AV388" s="3" t="n">
        <v>46220</v>
      </c>
      <c r="AW388" s="21"/>
      <c r="AY388" s="1"/>
      <c r="BA388" s="1"/>
      <c r="BB388" s="1"/>
    </row>
    <row r="389" ht="120" customHeight="1">
      <c r="A389" s="20" t="s">
        <v>2373</v>
      </c>
      <c r="B389" s="20" t="n">
        <v>2023</v>
      </c>
      <c r="C389" s="20" t="n">
        <v>224</v>
      </c>
      <c r="D389" s="20" t="s">
        <v>50</v>
      </c>
      <c r="E389" s="20" t="s">
        <v>2322</v>
      </c>
      <c r="F389" s="20" t="s">
        <v>2374</v>
      </c>
      <c r="G389" s="20" t="s">
        <v>86</v>
      </c>
      <c r="H389" s="20" t="s">
        <v>2324</v>
      </c>
      <c r="I389" s="20"/>
      <c r="J389" s="20" t="s">
        <v>2375</v>
      </c>
      <c r="K389" s="20" t="s">
        <v>865</v>
      </c>
      <c r="L389" s="20" t="s">
        <v>57</v>
      </c>
      <c r="M389" s="20" t="s">
        <v>58</v>
      </c>
      <c r="N389" s="20" t="s">
        <v>59</v>
      </c>
      <c r="O389" s="20" t="s">
        <v>60</v>
      </c>
      <c r="P389" s="20" t="s">
        <v>227</v>
      </c>
      <c r="Q389" s="20" t="s">
        <v>228</v>
      </c>
      <c r="R389" s="20" t="s">
        <v>229</v>
      </c>
      <c r="S389" s="20" t="s">
        <v>230</v>
      </c>
      <c r="T389" s="20" t="s">
        <v>866</v>
      </c>
      <c r="U389" s="20" t="s">
        <v>867</v>
      </c>
      <c r="V389" s="20" t="s">
        <v>868</v>
      </c>
      <c r="W389" s="20" t="s">
        <v>96</v>
      </c>
      <c r="X389" s="20" t="s">
        <v>97</v>
      </c>
      <c r="Y389" s="20" t="s">
        <v>70</v>
      </c>
      <c r="Z389" s="20" t="s">
        <v>98</v>
      </c>
      <c r="AA389" s="20" t="s">
        <v>125</v>
      </c>
      <c r="AB389" s="20" t="s">
        <v>125</v>
      </c>
      <c r="AC389" s="20" t="s">
        <v>125</v>
      </c>
      <c r="AD389" s="20" t="s">
        <v>125</v>
      </c>
      <c r="AE389" s="20"/>
      <c r="AF389" s="9" t="n">
        <v>1</v>
      </c>
      <c r="AG389" s="12" t="n">
        <v>1</v>
      </c>
      <c r="AH389" s="22" t="s">
        <v>235</v>
      </c>
      <c r="AI389" s="12" t="str">
        <f>IF(AH389="","",IFERROR(RIGHT("0000"&amp;AH389,4)&amp;" - "&amp;UPPER(_xlfn.XLOOKUP(RIGHT("0000"&amp;AH389,4),CODEBOOK_CAP!$C$2:$C$212,CODEBOOK_CAP!$D$2:$D$212)),"Código CAP não encontrado"))</f>
        <v>0322 - ESTRUTURAS, HOSPITAIS, CLÍNICAS</v>
      </c>
      <c r="AJ389" s="12" t="str">
        <f>IF(AH389="","",IFERROR(_xlfn.XLOOKUP(RIGHT("0000"&amp;AH389,4),CODEBOOK_CAP!$C$2:$C$212,CODEBOOK_CAP!$E$2:$E$212),"Código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89" s="22" t="s">
        <v>79</v>
      </c>
      <c r="AL389" s="26" t="s">
        <v>2376</v>
      </c>
      <c r="AM389" s="22" t="s">
        <v>79</v>
      </c>
      <c r="AN389" s="22" t="s">
        <v>79</v>
      </c>
      <c r="AO389" s="12" t="s">
        <v>2377</v>
      </c>
      <c r="AP389" s="22" t="s">
        <v>77</v>
      </c>
      <c r="AQ389" s="12"/>
      <c r="AR389" s="22" t="s">
        <v>77</v>
      </c>
      <c r="AS389" s="10"/>
      <c r="AT389" s="2" t="s">
        <v>1814</v>
      </c>
      <c r="AU389" s="12" t="s">
        <v>83</v>
      </c>
      <c r="AV389" s="3" t="n">
        <v>46220</v>
      </c>
      <c r="AW389" s="21"/>
      <c r="AY389" s="1"/>
      <c r="BA389" s="1"/>
      <c r="BB389" s="1"/>
    </row>
    <row r="390" ht="120" customHeight="1">
      <c r="A390" s="20" t="s">
        <v>2378</v>
      </c>
      <c r="B390" s="20" t="n">
        <v>2023</v>
      </c>
      <c r="C390" s="20" t="n">
        <v>225</v>
      </c>
      <c r="D390" s="20" t="s">
        <v>50</v>
      </c>
      <c r="E390" s="20" t="s">
        <v>2322</v>
      </c>
      <c r="F390" s="20" t="s">
        <v>2379</v>
      </c>
      <c r="G390" s="20" t="s">
        <v>86</v>
      </c>
      <c r="H390" s="20" t="s">
        <v>2324</v>
      </c>
      <c r="I390" s="20"/>
      <c r="J390" s="20" t="s">
        <v>2380</v>
      </c>
      <c r="K390" s="20" t="s">
        <v>865</v>
      </c>
      <c r="L390" s="20" t="s">
        <v>57</v>
      </c>
      <c r="M390" s="20" t="s">
        <v>58</v>
      </c>
      <c r="N390" s="20" t="s">
        <v>59</v>
      </c>
      <c r="O390" s="20" t="s">
        <v>60</v>
      </c>
      <c r="P390" s="20" t="s">
        <v>227</v>
      </c>
      <c r="Q390" s="20" t="s">
        <v>228</v>
      </c>
      <c r="R390" s="20" t="s">
        <v>229</v>
      </c>
      <c r="S390" s="20" t="s">
        <v>230</v>
      </c>
      <c r="T390" s="20" t="s">
        <v>866</v>
      </c>
      <c r="U390" s="20" t="s">
        <v>867</v>
      </c>
      <c r="V390" s="20" t="s">
        <v>868</v>
      </c>
      <c r="W390" s="20" t="s">
        <v>96</v>
      </c>
      <c r="X390" s="20" t="s">
        <v>97</v>
      </c>
      <c r="Y390" s="20" t="s">
        <v>70</v>
      </c>
      <c r="Z390" s="20" t="s">
        <v>98</v>
      </c>
      <c r="AA390" s="20" t="s">
        <v>125</v>
      </c>
      <c r="AB390" s="20" t="s">
        <v>125</v>
      </c>
      <c r="AC390" s="20" t="s">
        <v>125</v>
      </c>
      <c r="AD390" s="20" t="s">
        <v>125</v>
      </c>
      <c r="AE390" s="20"/>
      <c r="AF390" s="9" t="n">
        <v>1</v>
      </c>
      <c r="AG390" s="12" t="n">
        <v>1</v>
      </c>
      <c r="AH390" s="22" t="s">
        <v>235</v>
      </c>
      <c r="AI390" s="12" t="str">
        <f>IF(AH390="","",IFERROR(RIGHT("0000"&amp;AH390,4)&amp;" - "&amp;UPPER(_xlfn.XLOOKUP(RIGHT("0000"&amp;AH390,4),CODEBOOK_CAP!$C$2:$C$212,CODEBOOK_CAP!$D$2:$D$212)),"Código CAP não encontrado"))</f>
        <v>0322 - ESTRUTURAS, HOSPITAIS, CLÍNICAS</v>
      </c>
      <c r="AJ390" s="12" t="str">
        <f>IF(AH390="","",IFERROR(_xlfn.XLOOKUP(RIGHT("0000"&amp;AH390,4),CODEBOOK_CAP!$C$2:$C$212,CODEBOOK_CAP!$E$2:$E$212),"Código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90" s="22" t="s">
        <v>79</v>
      </c>
      <c r="AL390" s="26" t="s">
        <v>2381</v>
      </c>
      <c r="AM390" s="22" t="s">
        <v>79</v>
      </c>
      <c r="AN390" s="22" t="s">
        <v>79</v>
      </c>
      <c r="AO390" s="12" t="s">
        <v>2382</v>
      </c>
      <c r="AP390" s="22" t="s">
        <v>77</v>
      </c>
      <c r="AQ390" s="12"/>
      <c r="AR390" s="22" t="s">
        <v>77</v>
      </c>
      <c r="AS390" s="10"/>
      <c r="AT390" s="2" t="s">
        <v>1814</v>
      </c>
      <c r="AU390" s="12" t="s">
        <v>83</v>
      </c>
      <c r="AV390" s="3" t="n">
        <v>46220</v>
      </c>
      <c r="AW390" s="21"/>
      <c r="AY390" s="1"/>
      <c r="BA390" s="1"/>
      <c r="BB390" s="1"/>
    </row>
    <row r="391" ht="120" customHeight="1">
      <c r="A391" s="20" t="s">
        <v>2383</v>
      </c>
      <c r="B391" s="20" t="n">
        <v>2023</v>
      </c>
      <c r="C391" s="20" t="n">
        <v>226</v>
      </c>
      <c r="D391" s="20" t="s">
        <v>50</v>
      </c>
      <c r="E391" s="20" t="s">
        <v>2322</v>
      </c>
      <c r="F391" s="20" t="s">
        <v>1410</v>
      </c>
      <c r="G391" s="20" t="s">
        <v>86</v>
      </c>
      <c r="H391" s="20" t="s">
        <v>2324</v>
      </c>
      <c r="I391" s="20"/>
      <c r="J391" s="20" t="s">
        <v>2384</v>
      </c>
      <c r="K391" s="20" t="s">
        <v>865</v>
      </c>
      <c r="L391" s="20" t="s">
        <v>57</v>
      </c>
      <c r="M391" s="20" t="s">
        <v>58</v>
      </c>
      <c r="N391" s="20" t="s">
        <v>59</v>
      </c>
      <c r="O391" s="20" t="s">
        <v>60</v>
      </c>
      <c r="P391" s="20" t="s">
        <v>227</v>
      </c>
      <c r="Q391" s="20" t="s">
        <v>228</v>
      </c>
      <c r="R391" s="20" t="s">
        <v>229</v>
      </c>
      <c r="S391" s="20" t="s">
        <v>230</v>
      </c>
      <c r="T391" s="20" t="s">
        <v>866</v>
      </c>
      <c r="U391" s="20" t="s">
        <v>867</v>
      </c>
      <c r="V391" s="20" t="s">
        <v>868</v>
      </c>
      <c r="W391" s="20" t="s">
        <v>96</v>
      </c>
      <c r="X391" s="20" t="s">
        <v>97</v>
      </c>
      <c r="Y391" s="20" t="s">
        <v>70</v>
      </c>
      <c r="Z391" s="20" t="s">
        <v>98</v>
      </c>
      <c r="AA391" s="20" t="s">
        <v>125</v>
      </c>
      <c r="AB391" s="20" t="s">
        <v>125</v>
      </c>
      <c r="AC391" s="20" t="s">
        <v>125</v>
      </c>
      <c r="AD391" s="20" t="s">
        <v>125</v>
      </c>
      <c r="AE391" s="20"/>
      <c r="AF391" s="9" t="n">
        <v>1</v>
      </c>
      <c r="AG391" s="12" t="n">
        <v>1</v>
      </c>
      <c r="AH391" s="22" t="s">
        <v>235</v>
      </c>
      <c r="AI391" s="12" t="str">
        <f>IF(AH391="","",IFERROR(RIGHT("0000"&amp;AH391,4)&amp;" - "&amp;UPPER(_xlfn.XLOOKUP(RIGHT("0000"&amp;AH391,4),CODEBOOK_CAP!$C$2:$C$212,CODEBOOK_CAP!$D$2:$D$212)),"Código CAP não encontrado"))</f>
        <v>0322 - ESTRUTURAS, HOSPITAIS, CLÍNICAS</v>
      </c>
      <c r="AJ391" s="12" t="str">
        <f>IF(AH391="","",IFERROR(_xlfn.XLOOKUP(RIGHT("0000"&amp;AH391,4),CODEBOOK_CAP!$C$2:$C$212,CODEBOOK_CAP!$E$2:$E$212),"Código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91" s="22" t="s">
        <v>79</v>
      </c>
      <c r="AL391" s="26" t="s">
        <v>2385</v>
      </c>
      <c r="AM391" s="22" t="s">
        <v>79</v>
      </c>
      <c r="AN391" s="22" t="s">
        <v>79</v>
      </c>
      <c r="AO391" s="12" t="s">
        <v>2386</v>
      </c>
      <c r="AP391" s="22" t="s">
        <v>77</v>
      </c>
      <c r="AQ391" s="12"/>
      <c r="AR391" s="22" t="s">
        <v>77</v>
      </c>
      <c r="AS391" s="10"/>
      <c r="AT391" s="2" t="s">
        <v>1814</v>
      </c>
      <c r="AU391" s="12" t="s">
        <v>83</v>
      </c>
      <c r="AV391" s="3" t="n">
        <v>46220</v>
      </c>
      <c r="AW391" s="21"/>
      <c r="AY391" s="1"/>
      <c r="BA391" s="1"/>
      <c r="BB391" s="1"/>
    </row>
    <row r="392" ht="120" customHeight="1">
      <c r="A392" s="20" t="s">
        <v>2387</v>
      </c>
      <c r="B392" s="20" t="n">
        <v>2023</v>
      </c>
      <c r="C392" s="20" t="n">
        <v>227</v>
      </c>
      <c r="D392" s="20" t="s">
        <v>50</v>
      </c>
      <c r="E392" s="20" t="s">
        <v>2322</v>
      </c>
      <c r="F392" s="20" t="s">
        <v>2388</v>
      </c>
      <c r="G392" s="20" t="s">
        <v>86</v>
      </c>
      <c r="H392" s="20" t="s">
        <v>2324</v>
      </c>
      <c r="I392" s="20"/>
      <c r="J392" s="20" t="s">
        <v>2389</v>
      </c>
      <c r="K392" s="20" t="s">
        <v>226</v>
      </c>
      <c r="L392" s="20" t="s">
        <v>57</v>
      </c>
      <c r="M392" s="20" t="s">
        <v>58</v>
      </c>
      <c r="N392" s="20" t="s">
        <v>59</v>
      </c>
      <c r="O392" s="20" t="s">
        <v>60</v>
      </c>
      <c r="P392" s="20" t="s">
        <v>227</v>
      </c>
      <c r="Q392" s="20" t="s">
        <v>228</v>
      </c>
      <c r="R392" s="20" t="s">
        <v>229</v>
      </c>
      <c r="S392" s="20" t="s">
        <v>230</v>
      </c>
      <c r="T392" s="20" t="s">
        <v>231</v>
      </c>
      <c r="U392" s="20" t="s">
        <v>230</v>
      </c>
      <c r="V392" s="20" t="s">
        <v>232</v>
      </c>
      <c r="W392" s="20" t="s">
        <v>96</v>
      </c>
      <c r="X392" s="20" t="s">
        <v>97</v>
      </c>
      <c r="Y392" s="20" t="s">
        <v>70</v>
      </c>
      <c r="Z392" s="20" t="s">
        <v>98</v>
      </c>
      <c r="AA392" s="20" t="s">
        <v>125</v>
      </c>
      <c r="AB392" s="20" t="s">
        <v>125</v>
      </c>
      <c r="AC392" s="20" t="s">
        <v>125</v>
      </c>
      <c r="AD392" s="20" t="s">
        <v>125</v>
      </c>
      <c r="AE392" s="20"/>
      <c r="AF392" s="9" t="n">
        <v>1</v>
      </c>
      <c r="AG392" s="12" t="n">
        <v>1</v>
      </c>
      <c r="AH392" s="22" t="s">
        <v>235</v>
      </c>
      <c r="AI392" s="12" t="str">
        <f>IF(AH392="","",IFERROR(RIGHT("0000"&amp;AH392,4)&amp;" - "&amp;UPPER(_xlfn.XLOOKUP(RIGHT("0000"&amp;AH392,4),CODEBOOK_CAP!$C$2:$C$212,CODEBOOK_CAP!$D$2:$D$212)),"Código CAP não encontrado"))</f>
        <v>0322 - ESTRUTURAS, HOSPITAIS, CLÍNICAS</v>
      </c>
      <c r="AJ392" s="12" t="str">
        <f>IF(AH392="","",IFERROR(_xlfn.XLOOKUP(RIGHT("0000"&amp;AH392,4),CODEBOOK_CAP!$C$2:$C$212,CODEBOOK_CAP!$E$2:$E$212),"Código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92" s="22" t="s">
        <v>79</v>
      </c>
      <c r="AL392" s="26" t="s">
        <v>2390</v>
      </c>
      <c r="AM392" s="22" t="s">
        <v>79</v>
      </c>
      <c r="AN392" s="22" t="s">
        <v>79</v>
      </c>
      <c r="AO392" s="12" t="s">
        <v>2391</v>
      </c>
      <c r="AP392" s="22" t="s">
        <v>77</v>
      </c>
      <c r="AQ392" s="12"/>
      <c r="AR392" s="22" t="s">
        <v>77</v>
      </c>
      <c r="AS392" s="10"/>
      <c r="AT392" s="2" t="s">
        <v>1814</v>
      </c>
      <c r="AU392" s="12" t="s">
        <v>83</v>
      </c>
      <c r="AV392" s="3" t="n">
        <v>46220</v>
      </c>
      <c r="AW392" s="21"/>
      <c r="AY392" s="1"/>
      <c r="BA392" s="1"/>
      <c r="BB392" s="1"/>
    </row>
    <row r="393" ht="120" customHeight="1">
      <c r="A393" s="20" t="s">
        <v>2392</v>
      </c>
      <c r="B393" s="20" t="n">
        <v>2023</v>
      </c>
      <c r="C393" s="20" t="n">
        <v>228</v>
      </c>
      <c r="D393" s="20" t="s">
        <v>50</v>
      </c>
      <c r="E393" s="20" t="s">
        <v>2322</v>
      </c>
      <c r="F393" s="20" t="s">
        <v>2393</v>
      </c>
      <c r="G393" s="20" t="s">
        <v>86</v>
      </c>
      <c r="H393" s="20" t="s">
        <v>2324</v>
      </c>
      <c r="I393" s="20"/>
      <c r="J393" s="20" t="s">
        <v>2394</v>
      </c>
      <c r="K393" s="20" t="s">
        <v>122</v>
      </c>
      <c r="L393" s="20" t="s">
        <v>57</v>
      </c>
      <c r="M393" s="20" t="s">
        <v>58</v>
      </c>
      <c r="N393" s="20" t="s">
        <v>59</v>
      </c>
      <c r="O393" s="20" t="s">
        <v>60</v>
      </c>
      <c r="P393" s="20" t="s">
        <v>89</v>
      </c>
      <c r="Q393" s="20" t="s">
        <v>90</v>
      </c>
      <c r="R393" s="20" t="s">
        <v>91</v>
      </c>
      <c r="S393" s="20" t="s">
        <v>92</v>
      </c>
      <c r="T393" s="20" t="s">
        <v>123</v>
      </c>
      <c r="U393" s="20" t="s">
        <v>124</v>
      </c>
      <c r="V393" s="20" t="s">
        <v>95</v>
      </c>
      <c r="W393" s="20" t="s">
        <v>96</v>
      </c>
      <c r="X393" s="20" t="s">
        <v>97</v>
      </c>
      <c r="Y393" s="20" t="s">
        <v>70</v>
      </c>
      <c r="Z393" s="20" t="s">
        <v>98</v>
      </c>
      <c r="AA393" s="20" t="s">
        <v>1905</v>
      </c>
      <c r="AB393" s="20" t="s">
        <v>1905</v>
      </c>
      <c r="AC393" s="20" t="s">
        <v>1905</v>
      </c>
      <c r="AD393" s="20" t="s">
        <v>1905</v>
      </c>
      <c r="AE393" s="20"/>
      <c r="AF393" s="9" t="n">
        <v>1</v>
      </c>
      <c r="AG393" s="12" t="n">
        <v>1</v>
      </c>
      <c r="AH393" s="22" t="s">
        <v>235</v>
      </c>
      <c r="AI393" s="12" t="str">
        <f>IF(AH393="","",IFERROR(RIGHT("0000"&amp;AH393,4)&amp;" - "&amp;UPPER(_xlfn.XLOOKUP(RIGHT("0000"&amp;AH393,4),CODEBOOK_CAP!$C$2:$C$212,CODEBOOK_CAP!$D$2:$D$212)),"Código CAP não encontrado"))</f>
        <v>0322 - ESTRUTURAS, HOSPITAIS, CLÍNICAS</v>
      </c>
      <c r="AJ393" s="12" t="str">
        <f>IF(AH393="","",IFERROR(_xlfn.XLOOKUP(RIGHT("0000"&amp;AH393,4),CODEBOOK_CAP!$C$2:$C$212,CODEBOOK_CAP!$E$2:$E$212),"Código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93" s="22" t="s">
        <v>79</v>
      </c>
      <c r="AL393" s="26" t="s">
        <v>2395</v>
      </c>
      <c r="AM393" s="22" t="s">
        <v>79</v>
      </c>
      <c r="AN393" s="22" t="s">
        <v>79</v>
      </c>
      <c r="AO393" s="12" t="s">
        <v>2396</v>
      </c>
      <c r="AP393" s="22" t="s">
        <v>77</v>
      </c>
      <c r="AQ393" s="12"/>
      <c r="AR393" s="22" t="s">
        <v>77</v>
      </c>
      <c r="AS393" s="10"/>
      <c r="AT393" s="2" t="s">
        <v>1814</v>
      </c>
      <c r="AU393" s="12" t="s">
        <v>83</v>
      </c>
      <c r="AV393" s="3" t="n">
        <v>46220</v>
      </c>
      <c r="AW393" s="21"/>
      <c r="AY393" s="1"/>
      <c r="BA393" s="1"/>
      <c r="BB393" s="1"/>
    </row>
    <row r="394" ht="120" customHeight="1">
      <c r="A394" s="20" t="s">
        <v>2397</v>
      </c>
      <c r="B394" s="20" t="n">
        <v>2023</v>
      </c>
      <c r="C394" s="20" t="n">
        <v>229</v>
      </c>
      <c r="D394" s="20" t="s">
        <v>50</v>
      </c>
      <c r="E394" s="20" t="s">
        <v>2322</v>
      </c>
      <c r="F394" s="20" t="s">
        <v>2398</v>
      </c>
      <c r="G394" s="20" t="s">
        <v>86</v>
      </c>
      <c r="H394" s="20" t="s">
        <v>2324</v>
      </c>
      <c r="I394" s="20"/>
      <c r="J394" s="20" t="s">
        <v>2399</v>
      </c>
      <c r="K394" s="20" t="s">
        <v>416</v>
      </c>
      <c r="L394" s="20" t="s">
        <v>57</v>
      </c>
      <c r="M394" s="20" t="s">
        <v>58</v>
      </c>
      <c r="N394" s="20" t="s">
        <v>59</v>
      </c>
      <c r="O394" s="20" t="s">
        <v>60</v>
      </c>
      <c r="P394" s="20" t="s">
        <v>89</v>
      </c>
      <c r="Q394" s="20" t="s">
        <v>90</v>
      </c>
      <c r="R394" s="20" t="s">
        <v>91</v>
      </c>
      <c r="S394" s="20" t="s">
        <v>92</v>
      </c>
      <c r="T394" s="20" t="s">
        <v>123</v>
      </c>
      <c r="U394" s="20" t="s">
        <v>124</v>
      </c>
      <c r="V394" s="20" t="s">
        <v>417</v>
      </c>
      <c r="W394" s="20" t="s">
        <v>96</v>
      </c>
      <c r="X394" s="20" t="s">
        <v>97</v>
      </c>
      <c r="Y394" s="20" t="s">
        <v>70</v>
      </c>
      <c r="Z394" s="20" t="s">
        <v>98</v>
      </c>
      <c r="AA394" s="20" t="s">
        <v>125</v>
      </c>
      <c r="AB394" s="20" t="s">
        <v>125</v>
      </c>
      <c r="AC394" s="20" t="s">
        <v>125</v>
      </c>
      <c r="AD394" s="20" t="s">
        <v>125</v>
      </c>
      <c r="AE394" s="20"/>
      <c r="AF394" s="9" t="n">
        <v>1</v>
      </c>
      <c r="AG394" s="12" t="n">
        <v>1</v>
      </c>
      <c r="AH394" s="22" t="s">
        <v>235</v>
      </c>
      <c r="AI394" s="12" t="str">
        <f>IF(AH394="","",IFERROR(RIGHT("0000"&amp;AH394,4)&amp;" - "&amp;UPPER(_xlfn.XLOOKUP(RIGHT("0000"&amp;AH394,4),CODEBOOK_CAP!$C$2:$C$212,CODEBOOK_CAP!$D$2:$D$212)),"Código CAP não encontrado"))</f>
        <v>0322 - ESTRUTURAS, HOSPITAIS, CLÍNICAS</v>
      </c>
      <c r="AJ394" s="12" t="str">
        <f>IF(AH394="","",IFERROR(_xlfn.XLOOKUP(RIGHT("0000"&amp;AH394,4),CODEBOOK_CAP!$C$2:$C$212,CODEBOOK_CAP!$E$2:$E$212),"Código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94" s="22" t="s">
        <v>79</v>
      </c>
      <c r="AL394" s="26" t="s">
        <v>2400</v>
      </c>
      <c r="AM394" s="22" t="s">
        <v>79</v>
      </c>
      <c r="AN394" s="22" t="s">
        <v>79</v>
      </c>
      <c r="AO394" s="12" t="s">
        <v>1924</v>
      </c>
      <c r="AP394" s="22" t="s">
        <v>77</v>
      </c>
      <c r="AQ394" s="12"/>
      <c r="AR394" s="22" t="s">
        <v>77</v>
      </c>
      <c r="AS394" s="10"/>
      <c r="AT394" s="2" t="s">
        <v>1814</v>
      </c>
      <c r="AU394" s="12" t="s">
        <v>83</v>
      </c>
      <c r="AV394" s="3" t="n">
        <v>46220</v>
      </c>
      <c r="AW394" s="21"/>
      <c r="AY394" s="1"/>
      <c r="BA394" s="1"/>
      <c r="BB394" s="1"/>
    </row>
    <row r="395" ht="120" customHeight="1">
      <c r="A395" s="20" t="s">
        <v>2401</v>
      </c>
      <c r="B395" s="20" t="n">
        <v>2023</v>
      </c>
      <c r="C395" s="20" t="n">
        <v>230</v>
      </c>
      <c r="D395" s="20" t="s">
        <v>50</v>
      </c>
      <c r="E395" s="20" t="s">
        <v>2322</v>
      </c>
      <c r="F395" s="20" t="s">
        <v>2402</v>
      </c>
      <c r="G395" s="20" t="s">
        <v>86</v>
      </c>
      <c r="H395" s="20" t="s">
        <v>2324</v>
      </c>
      <c r="I395" s="20"/>
      <c r="J395" s="20" t="s">
        <v>2403</v>
      </c>
      <c r="K395" s="20" t="s">
        <v>416</v>
      </c>
      <c r="L395" s="20" t="s">
        <v>57</v>
      </c>
      <c r="M395" s="20" t="s">
        <v>58</v>
      </c>
      <c r="N395" s="20" t="s">
        <v>59</v>
      </c>
      <c r="O395" s="20" t="s">
        <v>60</v>
      </c>
      <c r="P395" s="20" t="s">
        <v>89</v>
      </c>
      <c r="Q395" s="20" t="s">
        <v>90</v>
      </c>
      <c r="R395" s="20" t="s">
        <v>91</v>
      </c>
      <c r="S395" s="20" t="s">
        <v>92</v>
      </c>
      <c r="T395" s="20" t="s">
        <v>123</v>
      </c>
      <c r="U395" s="20" t="s">
        <v>124</v>
      </c>
      <c r="V395" s="20" t="s">
        <v>417</v>
      </c>
      <c r="W395" s="20" t="s">
        <v>96</v>
      </c>
      <c r="X395" s="20" t="s">
        <v>97</v>
      </c>
      <c r="Y395" s="20" t="s">
        <v>70</v>
      </c>
      <c r="Z395" s="20" t="s">
        <v>98</v>
      </c>
      <c r="AA395" s="20" t="s">
        <v>125</v>
      </c>
      <c r="AB395" s="20" t="s">
        <v>125</v>
      </c>
      <c r="AC395" s="20" t="s">
        <v>125</v>
      </c>
      <c r="AD395" s="20" t="s">
        <v>125</v>
      </c>
      <c r="AE395" s="20"/>
      <c r="AF395" s="9" t="n">
        <v>1</v>
      </c>
      <c r="AG395" s="12" t="n">
        <v>1</v>
      </c>
      <c r="AH395" s="22" t="s">
        <v>235</v>
      </c>
      <c r="AI395" s="12" t="str">
        <f>IF(AH395="","",IFERROR(RIGHT("0000"&amp;AH395,4)&amp;" - "&amp;UPPER(_xlfn.XLOOKUP(RIGHT("0000"&amp;AH395,4),CODEBOOK_CAP!$C$2:$C$212,CODEBOOK_CAP!$D$2:$D$212)),"Código CAP não encontrado"))</f>
        <v>0322 - ESTRUTURAS, HOSPITAIS, CLÍNICAS</v>
      </c>
      <c r="AJ395" s="12" t="str">
        <f>IF(AH395="","",IFERROR(_xlfn.XLOOKUP(RIGHT("0000"&amp;AH395,4),CODEBOOK_CAP!$C$2:$C$212,CODEBOOK_CAP!$E$2:$E$212),"Código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395" s="22" t="s">
        <v>79</v>
      </c>
      <c r="AL395" s="26" t="s">
        <v>2404</v>
      </c>
      <c r="AM395" s="22" t="s">
        <v>79</v>
      </c>
      <c r="AN395" s="22" t="s">
        <v>79</v>
      </c>
      <c r="AO395" s="12" t="s">
        <v>1890</v>
      </c>
      <c r="AP395" s="22" t="s">
        <v>77</v>
      </c>
      <c r="AQ395" s="12"/>
      <c r="AR395" s="22" t="s">
        <v>77</v>
      </c>
      <c r="AS395" s="10"/>
      <c r="AT395" s="2" t="s">
        <v>1814</v>
      </c>
      <c r="AU395" s="12" t="s">
        <v>83</v>
      </c>
      <c r="AV395" s="3" t="n">
        <v>46220</v>
      </c>
      <c r="AW395" s="21"/>
      <c r="AY395" s="1"/>
      <c r="BA395" s="1"/>
      <c r="BB395" s="1"/>
    </row>
    <row r="396" ht="255" customHeight="1">
      <c r="A396" s="20" t="s">
        <v>2405</v>
      </c>
      <c r="B396" s="20" t="n">
        <v>2023</v>
      </c>
      <c r="C396" s="20" t="n">
        <v>231</v>
      </c>
      <c r="D396" s="20" t="s">
        <v>50</v>
      </c>
      <c r="E396" s="20" t="s">
        <v>2322</v>
      </c>
      <c r="F396" s="20" t="s">
        <v>2406</v>
      </c>
      <c r="G396" s="20" t="s">
        <v>86</v>
      </c>
      <c r="H396" s="20" t="s">
        <v>2324</v>
      </c>
      <c r="I396" s="20"/>
      <c r="J396" s="20" t="s">
        <v>2407</v>
      </c>
      <c r="K396" s="20" t="s">
        <v>1189</v>
      </c>
      <c r="L396" s="20" t="s">
        <v>208</v>
      </c>
      <c r="M396" s="20" t="s">
        <v>209</v>
      </c>
      <c r="N396" s="20" t="s">
        <v>210</v>
      </c>
      <c r="O396" s="20" t="s">
        <v>211</v>
      </c>
      <c r="P396" s="20" t="s">
        <v>212</v>
      </c>
      <c r="Q396" s="20" t="s">
        <v>213</v>
      </c>
      <c r="R396" s="20" t="s">
        <v>251</v>
      </c>
      <c r="S396" s="20" t="s">
        <v>252</v>
      </c>
      <c r="T396" s="20" t="s">
        <v>1190</v>
      </c>
      <c r="U396" s="20" t="s">
        <v>1191</v>
      </c>
      <c r="V396" s="20" t="s">
        <v>67</v>
      </c>
      <c r="W396" s="20" t="s">
        <v>68</v>
      </c>
      <c r="X396" s="20" t="s">
        <v>69</v>
      </c>
      <c r="Y396" s="20" t="s">
        <v>70</v>
      </c>
      <c r="Z396" s="20" t="s">
        <v>177</v>
      </c>
      <c r="AA396" s="20" t="s">
        <v>2408</v>
      </c>
      <c r="AB396" s="20" t="s">
        <v>2408</v>
      </c>
      <c r="AC396" s="20" t="s">
        <v>2408</v>
      </c>
      <c r="AD396" s="20" t="s">
        <v>2408</v>
      </c>
      <c r="AE396" s="20"/>
      <c r="AF396" s="9" t="n">
        <v>0</v>
      </c>
      <c r="AG396" s="12" t="n">
        <v>0</v>
      </c>
      <c r="AH396" s="22" t="s">
        <v>219</v>
      </c>
      <c r="AI396" s="12" t="str">
        <f>IF(AH396="","",IFERROR(RIGHT("0000"&amp;AH396,4)&amp;" - "&amp;UPPER(_xlfn.XLOOKUP(RIGHT("0000"&amp;AH396,4),CODEBOOK_CAP!$C$2:$C$212,CODEBOOK_CAP!$D$2:$D$212)),"Código CAP não encontrado"))</f>
        <v>1002 - CARROS, TRÂNSITO, CONSTRUÇÃO E MANUTENÇÃO DE RUAS E ESTRADAS</v>
      </c>
      <c r="AJ396" s="12" t="str">
        <f>IF(AH396="","",IFERROR(_xlfn.XLOOKUP(RIGHT("0000"&amp;AH396,4),CODEBOOK_CAP!$C$2:$C$212,CODEBOOK_CAP!$E$2:$E$212),"Código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396" s="22" t="s">
        <v>79</v>
      </c>
      <c r="AL396" s="26" t="s">
        <v>2264</v>
      </c>
      <c r="AM396" s="22" t="s">
        <v>77</v>
      </c>
      <c r="AN396" s="22" t="s">
        <v>77</v>
      </c>
      <c r="AO396" s="12"/>
      <c r="AP396" s="22" t="s">
        <v>77</v>
      </c>
      <c r="AQ396" s="12"/>
      <c r="AR396" s="22" t="s">
        <v>77</v>
      </c>
      <c r="AS396" s="10"/>
      <c r="AT396" s="2" t="s">
        <v>1814</v>
      </c>
      <c r="AU396" s="12" t="s">
        <v>83</v>
      </c>
      <c r="AV396" s="3" t="n">
        <v>46220</v>
      </c>
      <c r="AW396" s="21"/>
      <c r="AY396" s="1"/>
      <c r="BA396" s="1"/>
      <c r="BB396" s="1"/>
    </row>
    <row r="397">
      <c r="A397" s="14" t="s">
        <v>2409</v>
      </c>
      <c r="B397" s="14" t="n">
        <v>2023</v>
      </c>
      <c r="C397" s="14" t="n">
        <v>232</v>
      </c>
      <c r="D397" s="14" t="s">
        <v>50</v>
      </c>
      <c r="E397" s="14" t="s">
        <v>2322</v>
      </c>
      <c r="F397" s="14" t="s">
        <v>2410</v>
      </c>
      <c r="G397" s="14" t="s">
        <v>633</v>
      </c>
      <c r="H397" s="14" t="s">
        <v>2324</v>
      </c>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5"/>
      <c r="AG397" s="15"/>
      <c r="AH397" s="16"/>
      <c r="AI397" s="15" t="str">
        <f>IF(AH397="","",IFERROR(RIGHT("0000"&amp;AH397,4)&amp;" - "&amp;UPPER(_xlfn.XLOOKUP(RIGHT("0000"&amp;AH397,4),CODEBOOK_CAP!$C$2:$C$212,CODEBOOK_CAP!$D$2:$D$212)),"Código CAP não encontrado"))</f>
      </c>
      <c r="AJ397" s="15" t="str">
        <f>IF(AH397="","",IFERROR(_xlfn.XLOOKUP(RIGHT("0000"&amp;AH397,4),CODEBOOK_CAP!$C$2:$C$212,CODEBOOK_CAP!$E$2:$E$212),"Código CAP não encontrado"))</f>
      </c>
      <c r="AK397" s="16"/>
      <c r="AL397" s="17"/>
      <c r="AM397" s="16"/>
      <c r="AN397" s="16"/>
      <c r="AO397" s="15"/>
      <c r="AP397" s="16"/>
      <c r="AQ397" s="15"/>
      <c r="AR397" s="16"/>
      <c r="AS397" s="18"/>
      <c r="AT397" s="2" t="s">
        <v>1814</v>
      </c>
      <c r="AU397" s="12" t="s">
        <v>83</v>
      </c>
      <c r="AV397" s="3" t="n">
        <v>46220</v>
      </c>
    </row>
    <row r="398">
      <c r="A398" s="14" t="s">
        <v>2411</v>
      </c>
      <c r="B398" s="14" t="n">
        <v>2023</v>
      </c>
      <c r="C398" s="14" t="n">
        <v>233</v>
      </c>
      <c r="D398" s="14" t="s">
        <v>50</v>
      </c>
      <c r="E398" s="14" t="s">
        <v>2322</v>
      </c>
      <c r="F398" s="14" t="s">
        <v>2412</v>
      </c>
      <c r="G398" s="14" t="s">
        <v>633</v>
      </c>
      <c r="H398" s="14" t="s">
        <v>2324</v>
      </c>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5"/>
      <c r="AG398" s="15"/>
      <c r="AH398" s="16"/>
      <c r="AI398" s="15" t="str">
        <f>IF(AH398="","",IFERROR(RIGHT("0000"&amp;AH398,4)&amp;" - "&amp;UPPER(_xlfn.XLOOKUP(RIGHT("0000"&amp;AH398,4),CODEBOOK_CAP!$C$2:$C$212,CODEBOOK_CAP!$D$2:$D$212)),"Código CAP não encontrado"))</f>
      </c>
      <c r="AJ398" s="15" t="str">
        <f>IF(AH398="","",IFERROR(_xlfn.XLOOKUP(RIGHT("0000"&amp;AH398,4),CODEBOOK_CAP!$C$2:$C$212,CODEBOOK_CAP!$E$2:$E$212),"Código CAP não encontrado"))</f>
      </c>
      <c r="AK398" s="16"/>
      <c r="AL398" s="17"/>
      <c r="AM398" s="16"/>
      <c r="AN398" s="16"/>
      <c r="AO398" s="15"/>
      <c r="AP398" s="16"/>
      <c r="AQ398" s="15"/>
      <c r="AR398" s="16"/>
      <c r="AS398" s="18"/>
      <c r="AT398" s="2" t="s">
        <v>1814</v>
      </c>
      <c r="AU398" s="12" t="s">
        <v>83</v>
      </c>
      <c r="AV398" s="3" t="n">
        <v>46220</v>
      </c>
    </row>
    <row r="399" ht="195" customHeight="1">
      <c r="A399" s="20" t="s">
        <v>2413</v>
      </c>
      <c r="B399" s="20" t="n">
        <v>2023</v>
      </c>
      <c r="C399" s="20" t="n">
        <v>234</v>
      </c>
      <c r="D399" s="20" t="s">
        <v>50</v>
      </c>
      <c r="E399" s="20" t="s">
        <v>2322</v>
      </c>
      <c r="F399" s="20" t="s">
        <v>2414</v>
      </c>
      <c r="G399" s="20" t="s">
        <v>86</v>
      </c>
      <c r="H399" s="20" t="s">
        <v>2324</v>
      </c>
      <c r="I399" s="20"/>
      <c r="J399" s="20" t="s">
        <v>2415</v>
      </c>
      <c r="K399" s="20" t="s">
        <v>289</v>
      </c>
      <c r="L399" s="20" t="s">
        <v>208</v>
      </c>
      <c r="M399" s="20" t="s">
        <v>209</v>
      </c>
      <c r="N399" s="20" t="s">
        <v>210</v>
      </c>
      <c r="O399" s="20" t="s">
        <v>211</v>
      </c>
      <c r="P399" s="20" t="s">
        <v>212</v>
      </c>
      <c r="Q399" s="20" t="s">
        <v>213</v>
      </c>
      <c r="R399" s="20" t="s">
        <v>251</v>
      </c>
      <c r="S399" s="20" t="s">
        <v>252</v>
      </c>
      <c r="T399" s="20" t="s">
        <v>290</v>
      </c>
      <c r="U399" s="20" t="s">
        <v>291</v>
      </c>
      <c r="V399" s="20" t="s">
        <v>67</v>
      </c>
      <c r="W399" s="20" t="s">
        <v>68</v>
      </c>
      <c r="X399" s="20" t="s">
        <v>69</v>
      </c>
      <c r="Y399" s="20" t="s">
        <v>70</v>
      </c>
      <c r="Z399" s="20" t="s">
        <v>177</v>
      </c>
      <c r="AA399" s="20" t="s">
        <v>580</v>
      </c>
      <c r="AB399" s="20" t="s">
        <v>2416</v>
      </c>
      <c r="AC399" s="20" t="s">
        <v>2416</v>
      </c>
      <c r="AD399" s="20" t="s">
        <v>2416</v>
      </c>
      <c r="AE399" s="20"/>
      <c r="AF399" s="9" t="n">
        <v>0</v>
      </c>
      <c r="AG399" s="12" t="n">
        <v>0</v>
      </c>
      <c r="AH399" s="22" t="s">
        <v>294</v>
      </c>
      <c r="AI399" s="12" t="str">
        <f>IF(AH399="","",IFERROR(RIGHT("0000"&amp;AH399,4)&amp;" - "&amp;UPPER(_xlfn.XLOOKUP(RIGHT("0000"&amp;AH399,4),CODEBOOK_CAP!$C$2:$C$212,CODEBOOK_CAP!$D$2:$D$212)),"Código CAP não encontrado"))</f>
        <v>0711 - CONSERVAÇÃO DO SOLO, MAR, RIOS, PRAIAS E COSTAS</v>
      </c>
      <c r="AJ399" s="12" t="str">
        <f>IF(AH399="","",IFERROR(_xlfn.XLOOKUP(RIGHT("0000"&amp;AH399,4),CODEBOOK_CAP!$C$2:$C$212,CODEBOOK_CAP!$E$2:$E$212),"Código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399" s="22" t="s">
        <v>79</v>
      </c>
      <c r="AL399" s="26" t="s">
        <v>2417</v>
      </c>
      <c r="AM399" s="22" t="s">
        <v>79</v>
      </c>
      <c r="AN399" s="22" t="s">
        <v>79</v>
      </c>
      <c r="AO399" s="12" t="s">
        <v>2417</v>
      </c>
      <c r="AP399" s="22" t="s">
        <v>77</v>
      </c>
      <c r="AQ399" s="12"/>
      <c r="AR399" s="22" t="s">
        <v>77</v>
      </c>
      <c r="AS399" s="10"/>
      <c r="AT399" s="2" t="s">
        <v>1814</v>
      </c>
      <c r="AU399" s="12" t="s">
        <v>83</v>
      </c>
      <c r="AV399" s="3" t="n">
        <v>46220</v>
      </c>
      <c r="AW399" s="21"/>
      <c r="AY399" s="1"/>
      <c r="BA399" s="1"/>
      <c r="BB399" s="1"/>
    </row>
    <row r="400" ht="75" customHeight="1">
      <c r="A400" s="20" t="s">
        <v>2418</v>
      </c>
      <c r="B400" s="20" t="n">
        <v>2023</v>
      </c>
      <c r="C400" s="20" t="n">
        <v>235</v>
      </c>
      <c r="D400" s="20" t="s">
        <v>50</v>
      </c>
      <c r="E400" s="20" t="s">
        <v>2322</v>
      </c>
      <c r="F400" s="20" t="s">
        <v>2419</v>
      </c>
      <c r="G400" s="20" t="s">
        <v>315</v>
      </c>
      <c r="H400" s="20" t="s">
        <v>2324</v>
      </c>
      <c r="I400" s="20"/>
      <c r="J400" s="20" t="s">
        <v>2420</v>
      </c>
      <c r="K400" s="20" t="s">
        <v>299</v>
      </c>
      <c r="L400" s="20" t="s">
        <v>208</v>
      </c>
      <c r="M400" s="20" t="s">
        <v>209</v>
      </c>
      <c r="N400" s="20" t="s">
        <v>210</v>
      </c>
      <c r="O400" s="20" t="s">
        <v>211</v>
      </c>
      <c r="P400" s="20" t="s">
        <v>212</v>
      </c>
      <c r="Q400" s="20" t="s">
        <v>213</v>
      </c>
      <c r="R400" s="20" t="s">
        <v>251</v>
      </c>
      <c r="S400" s="20" t="s">
        <v>252</v>
      </c>
      <c r="T400" s="20" t="s">
        <v>300</v>
      </c>
      <c r="U400" s="20" t="s">
        <v>301</v>
      </c>
      <c r="V400" s="20" t="s">
        <v>67</v>
      </c>
      <c r="W400" s="20" t="s">
        <v>68</v>
      </c>
      <c r="X400" s="20" t="s">
        <v>69</v>
      </c>
      <c r="Y400" s="20" t="s">
        <v>70</v>
      </c>
      <c r="Z400" s="20" t="s">
        <v>177</v>
      </c>
      <c r="AA400" s="20" t="s">
        <v>601</v>
      </c>
      <c r="AB400" s="20" t="s">
        <v>2421</v>
      </c>
      <c r="AC400" s="20" t="s">
        <v>2422</v>
      </c>
      <c r="AD400" s="20" t="s">
        <v>2422</v>
      </c>
      <c r="AE400" s="20"/>
      <c r="AF400" s="9" t="n">
        <v>0</v>
      </c>
      <c r="AG400" s="12" t="n">
        <v>0</v>
      </c>
      <c r="AH400" s="22" t="s">
        <v>304</v>
      </c>
      <c r="AI400" s="12" t="str">
        <f>IF(AH400="","",IFERROR(RIGHT("0000"&amp;AH400,4)&amp;" - "&amp;UPPER(_xlfn.XLOOKUP(RIGHT("0000"&amp;AH400,4),CODEBOOK_CAP!$C$2:$C$212,CODEBOOK_CAP!$D$2:$D$212)),"Código CAP não encontrado"))</f>
        <v>1403 - REABILITAÇÃO URBANA, ECONOMIA URBANA</v>
      </c>
      <c r="AJ400" s="12" t="str">
        <f>IF(AH400="","",IFERROR(_xlfn.XLOOKUP(RIGHT("0000"&amp;AH400,4),CODEBOOK_CAP!$C$2:$C$212,CODEBOOK_CAP!$E$2:$E$212),"Código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00" s="22" t="s">
        <v>79</v>
      </c>
      <c r="AL400" s="26" t="s">
        <v>1211</v>
      </c>
      <c r="AM400" s="22" t="s">
        <v>77</v>
      </c>
      <c r="AN400" s="22" t="s">
        <v>77</v>
      </c>
      <c r="AO400" s="12"/>
      <c r="AP400" s="22" t="s">
        <v>77</v>
      </c>
      <c r="AQ400" s="12"/>
      <c r="AR400" s="22" t="s">
        <v>77</v>
      </c>
      <c r="AS400" s="10"/>
      <c r="AT400" s="2" t="s">
        <v>1814</v>
      </c>
      <c r="AU400" s="12" t="s">
        <v>83</v>
      </c>
      <c r="AV400" s="3" t="n">
        <v>46220</v>
      </c>
      <c r="AW400" s="21"/>
      <c r="AY400" s="1"/>
      <c r="BA400" s="1"/>
      <c r="BB400" s="1"/>
    </row>
    <row r="401" ht="75" customHeight="1">
      <c r="A401" s="20" t="s">
        <v>2423</v>
      </c>
      <c r="B401" s="20" t="n">
        <v>2023</v>
      </c>
      <c r="C401" s="20" t="n">
        <v>236</v>
      </c>
      <c r="D401" s="20" t="s">
        <v>50</v>
      </c>
      <c r="E401" s="20" t="s">
        <v>2322</v>
      </c>
      <c r="F401" s="20" t="s">
        <v>2424</v>
      </c>
      <c r="G401" s="20" t="s">
        <v>86</v>
      </c>
      <c r="H401" s="20" t="s">
        <v>2324</v>
      </c>
      <c r="I401" s="20"/>
      <c r="J401" s="20" t="s">
        <v>2425</v>
      </c>
      <c r="K401" s="20" t="s">
        <v>299</v>
      </c>
      <c r="L401" s="20" t="s">
        <v>208</v>
      </c>
      <c r="M401" s="20" t="s">
        <v>209</v>
      </c>
      <c r="N401" s="20" t="s">
        <v>210</v>
      </c>
      <c r="O401" s="20" t="s">
        <v>211</v>
      </c>
      <c r="P401" s="20" t="s">
        <v>212</v>
      </c>
      <c r="Q401" s="20" t="s">
        <v>213</v>
      </c>
      <c r="R401" s="20" t="s">
        <v>251</v>
      </c>
      <c r="S401" s="20" t="s">
        <v>252</v>
      </c>
      <c r="T401" s="20" t="s">
        <v>300</v>
      </c>
      <c r="U401" s="20" t="s">
        <v>301</v>
      </c>
      <c r="V401" s="20" t="s">
        <v>67</v>
      </c>
      <c r="W401" s="20" t="s">
        <v>68</v>
      </c>
      <c r="X401" s="20" t="s">
        <v>69</v>
      </c>
      <c r="Y401" s="20" t="s">
        <v>70</v>
      </c>
      <c r="Z401" s="20" t="s">
        <v>177</v>
      </c>
      <c r="AA401" s="20" t="s">
        <v>125</v>
      </c>
      <c r="AB401" s="20" t="s">
        <v>2426</v>
      </c>
      <c r="AC401" s="20" t="s">
        <v>2426</v>
      </c>
      <c r="AD401" s="20" t="s">
        <v>2426</v>
      </c>
      <c r="AE401" s="20"/>
      <c r="AF401" s="9" t="n">
        <v>0</v>
      </c>
      <c r="AG401" s="12" t="n">
        <v>0</v>
      </c>
      <c r="AH401" s="22" t="s">
        <v>304</v>
      </c>
      <c r="AI401" s="12" t="str">
        <f>IF(AH401="","",IFERROR(RIGHT("0000"&amp;AH401,4)&amp;" - "&amp;UPPER(_xlfn.XLOOKUP(RIGHT("0000"&amp;AH401,4),CODEBOOK_CAP!$C$2:$C$212,CODEBOOK_CAP!$D$2:$D$212)),"Código CAP não encontrado"))</f>
        <v>1403 - REABILITAÇÃO URBANA, ECONOMIA URBANA</v>
      </c>
      <c r="AJ401" s="12" t="str">
        <f>IF(AH401="","",IFERROR(_xlfn.XLOOKUP(RIGHT("0000"&amp;AH401,4),CODEBOOK_CAP!$C$2:$C$212,CODEBOOK_CAP!$E$2:$E$212),"Código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01" s="22" t="s">
        <v>79</v>
      </c>
      <c r="AL401" s="26" t="s">
        <v>2264</v>
      </c>
      <c r="AM401" s="22" t="s">
        <v>77</v>
      </c>
      <c r="AN401" s="22" t="s">
        <v>77</v>
      </c>
      <c r="AO401" s="12"/>
      <c r="AP401" s="22" t="s">
        <v>77</v>
      </c>
      <c r="AQ401" s="12"/>
      <c r="AR401" s="22" t="s">
        <v>77</v>
      </c>
      <c r="AS401" s="10"/>
      <c r="AT401" s="2" t="s">
        <v>1814</v>
      </c>
      <c r="AU401" s="12" t="s">
        <v>83</v>
      </c>
      <c r="AV401" s="3" t="n">
        <v>46220</v>
      </c>
      <c r="AW401" s="21"/>
      <c r="AY401" s="1"/>
      <c r="BA401" s="1"/>
      <c r="BB401" s="1"/>
    </row>
    <row r="402" ht="255" customHeight="1">
      <c r="A402" s="20" t="s">
        <v>2427</v>
      </c>
      <c r="B402" s="20" t="n">
        <v>2023</v>
      </c>
      <c r="C402" s="20" t="n">
        <v>237</v>
      </c>
      <c r="D402" s="20" t="s">
        <v>50</v>
      </c>
      <c r="E402" s="20" t="s">
        <v>2322</v>
      </c>
      <c r="F402" s="20" t="s">
        <v>2428</v>
      </c>
      <c r="G402" s="20" t="s">
        <v>315</v>
      </c>
      <c r="H402" s="20" t="s">
        <v>2324</v>
      </c>
      <c r="I402" s="20"/>
      <c r="J402" s="20" t="s">
        <v>2429</v>
      </c>
      <c r="K402" s="20" t="s">
        <v>289</v>
      </c>
      <c r="L402" s="20" t="s">
        <v>208</v>
      </c>
      <c r="M402" s="20" t="s">
        <v>209</v>
      </c>
      <c r="N402" s="20" t="s">
        <v>210</v>
      </c>
      <c r="O402" s="20" t="s">
        <v>211</v>
      </c>
      <c r="P402" s="20" t="s">
        <v>212</v>
      </c>
      <c r="Q402" s="20" t="s">
        <v>213</v>
      </c>
      <c r="R402" s="20" t="s">
        <v>251</v>
      </c>
      <c r="S402" s="20" t="s">
        <v>252</v>
      </c>
      <c r="T402" s="20" t="s">
        <v>290</v>
      </c>
      <c r="U402" s="20" t="s">
        <v>291</v>
      </c>
      <c r="V402" s="20" t="s">
        <v>67</v>
      </c>
      <c r="W402" s="20" t="s">
        <v>68</v>
      </c>
      <c r="X402" s="20" t="s">
        <v>69</v>
      </c>
      <c r="Y402" s="20" t="s">
        <v>70</v>
      </c>
      <c r="Z402" s="20" t="s">
        <v>177</v>
      </c>
      <c r="AA402" s="20" t="s">
        <v>2263</v>
      </c>
      <c r="AB402" s="20" t="s">
        <v>77</v>
      </c>
      <c r="AC402" s="20" t="s">
        <v>77</v>
      </c>
      <c r="AD402" s="20" t="s">
        <v>77</v>
      </c>
      <c r="AE402" s="20"/>
      <c r="AF402" s="9" t="n">
        <v>0</v>
      </c>
      <c r="AG402" s="12" t="n">
        <v>0</v>
      </c>
      <c r="AH402" s="22" t="s">
        <v>219</v>
      </c>
      <c r="AI402" s="12" t="str">
        <f>IF(AH402="","",IFERROR(RIGHT("0000"&amp;AH402,4)&amp;" - "&amp;UPPER(_xlfn.XLOOKUP(RIGHT("0000"&amp;AH402,4),CODEBOOK_CAP!$C$2:$C$212,CODEBOOK_CAP!$D$2:$D$212)),"Código CAP não encontrado"))</f>
        <v>1002 - CARROS, TRÂNSITO, CONSTRUÇÃO E MANUTENÇÃO DE RUAS E ESTRADAS</v>
      </c>
      <c r="AJ402" s="12" t="str">
        <f>IF(AH402="","",IFERROR(_xlfn.XLOOKUP(RIGHT("0000"&amp;AH402,4),CODEBOOK_CAP!$C$2:$C$212,CODEBOOK_CAP!$E$2:$E$212),"Código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02" s="22" t="s">
        <v>79</v>
      </c>
      <c r="AL402" s="26" t="s">
        <v>2430</v>
      </c>
      <c r="AM402" s="22" t="s">
        <v>79</v>
      </c>
      <c r="AN402" s="22" t="s">
        <v>79</v>
      </c>
      <c r="AO402" s="12" t="s">
        <v>2430</v>
      </c>
      <c r="AP402" s="22" t="s">
        <v>77</v>
      </c>
      <c r="AQ402" s="12"/>
      <c r="AR402" s="22" t="s">
        <v>77</v>
      </c>
      <c r="AS402" s="10"/>
      <c r="AT402" s="2" t="s">
        <v>1814</v>
      </c>
      <c r="AU402" s="12" t="s">
        <v>83</v>
      </c>
      <c r="AV402" s="3" t="n">
        <v>46220</v>
      </c>
      <c r="AW402" s="21"/>
      <c r="AY402" s="1"/>
      <c r="BA402" s="1"/>
      <c r="BB402" s="1"/>
    </row>
    <row r="403" ht="105" customHeight="1">
      <c r="A403" s="20" t="s">
        <v>2431</v>
      </c>
      <c r="B403" s="20" t="n">
        <v>2023</v>
      </c>
      <c r="C403" s="20" t="n">
        <v>238</v>
      </c>
      <c r="D403" s="20" t="s">
        <v>50</v>
      </c>
      <c r="E403" s="20" t="s">
        <v>2322</v>
      </c>
      <c r="F403" s="20" t="s">
        <v>2432</v>
      </c>
      <c r="G403" s="20" t="s">
        <v>315</v>
      </c>
      <c r="H403" s="20" t="s">
        <v>2324</v>
      </c>
      <c r="I403" s="20"/>
      <c r="J403" s="20" t="s">
        <v>2433</v>
      </c>
      <c r="K403" s="20" t="s">
        <v>1587</v>
      </c>
      <c r="L403" s="20" t="s">
        <v>186</v>
      </c>
      <c r="M403" s="20" t="s">
        <v>187</v>
      </c>
      <c r="N403" s="20" t="s">
        <v>188</v>
      </c>
      <c r="O403" s="20" t="s">
        <v>189</v>
      </c>
      <c r="P403" s="20" t="s">
        <v>190</v>
      </c>
      <c r="Q403" s="20" t="s">
        <v>191</v>
      </c>
      <c r="R403" s="20" t="s">
        <v>192</v>
      </c>
      <c r="S403" s="20" t="s">
        <v>193</v>
      </c>
      <c r="T403" s="20" t="s">
        <v>194</v>
      </c>
      <c r="U403" s="20" t="s">
        <v>195</v>
      </c>
      <c r="V403" s="20" t="s">
        <v>196</v>
      </c>
      <c r="W403" s="20" t="s">
        <v>68</v>
      </c>
      <c r="X403" s="20" t="s">
        <v>69</v>
      </c>
      <c r="Y403" s="20" t="s">
        <v>70</v>
      </c>
      <c r="Z403" s="20" t="s">
        <v>197</v>
      </c>
      <c r="AA403" s="20" t="s">
        <v>372</v>
      </c>
      <c r="AB403" s="20" t="s">
        <v>2434</v>
      </c>
      <c r="AC403" s="20" t="s">
        <v>2434</v>
      </c>
      <c r="AD403" s="20" t="s">
        <v>2434</v>
      </c>
      <c r="AE403" s="20"/>
      <c r="AF403" s="9" t="n">
        <v>0</v>
      </c>
      <c r="AG403" s="12" t="n">
        <v>0</v>
      </c>
      <c r="AH403" s="22" t="s">
        <v>161</v>
      </c>
      <c r="AI403" s="12" t="str">
        <f>IF(AH403="","",IFERROR(RIGHT("0000"&amp;AH403,4)&amp;" - "&amp;UPPER(_xlfn.XLOOKUP(RIGHT("0000"&amp;AH403,4),CODEBOOK_CAP!$C$2:$C$212,CODEBOOK_CAP!$D$2:$D$212)),"Código CAP não encontrado"))</f>
        <v>2300 - GERAL</v>
      </c>
      <c r="AJ403" s="12" t="str">
        <f>IF(AH403="","",IFERROR(_xlfn.XLOOKUP(RIGHT("0000"&amp;AH403,4),CODEBOOK_CAP!$C$2:$C$212,CODEBOOK_CAP!$E$2:$E$212),"Código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03" s="22" t="s">
        <v>79</v>
      </c>
      <c r="AL403" s="26" t="s">
        <v>1211</v>
      </c>
      <c r="AM403" s="22" t="s">
        <v>77</v>
      </c>
      <c r="AN403" s="22" t="s">
        <v>77</v>
      </c>
      <c r="AO403" s="12"/>
      <c r="AP403" s="22" t="s">
        <v>77</v>
      </c>
      <c r="AQ403" s="12"/>
      <c r="AR403" s="22" t="s">
        <v>77</v>
      </c>
      <c r="AS403" s="10"/>
      <c r="AT403" s="2" t="s">
        <v>1814</v>
      </c>
      <c r="AU403" s="12" t="s">
        <v>83</v>
      </c>
      <c r="AV403" s="3" t="n">
        <v>46220</v>
      </c>
      <c r="AW403" s="21"/>
      <c r="AX403" s="1" t="s">
        <v>6956</v>
      </c>
      <c r="AY403" s="1"/>
      <c r="BA403" s="1"/>
      <c r="BB403" s="1"/>
    </row>
    <row r="404" ht="105" customHeight="1">
      <c r="A404" s="20" t="s">
        <v>2435</v>
      </c>
      <c r="B404" s="20" t="n">
        <v>2023</v>
      </c>
      <c r="C404" s="20" t="n">
        <v>239</v>
      </c>
      <c r="D404" s="20" t="s">
        <v>50</v>
      </c>
      <c r="E404" s="20" t="s">
        <v>2322</v>
      </c>
      <c r="F404" s="20" t="s">
        <v>2436</v>
      </c>
      <c r="G404" s="20" t="s">
        <v>86</v>
      </c>
      <c r="H404" s="20" t="s">
        <v>2324</v>
      </c>
      <c r="I404" s="20"/>
      <c r="J404" s="20" t="s">
        <v>2437</v>
      </c>
      <c r="K404" s="20" t="s">
        <v>1587</v>
      </c>
      <c r="L404" s="20" t="s">
        <v>186</v>
      </c>
      <c r="M404" s="20" t="s">
        <v>187</v>
      </c>
      <c r="N404" s="20" t="s">
        <v>188</v>
      </c>
      <c r="O404" s="20" t="s">
        <v>189</v>
      </c>
      <c r="P404" s="20" t="s">
        <v>190</v>
      </c>
      <c r="Q404" s="20" t="s">
        <v>191</v>
      </c>
      <c r="R404" s="20" t="s">
        <v>192</v>
      </c>
      <c r="S404" s="20" t="s">
        <v>193</v>
      </c>
      <c r="T404" s="20" t="s">
        <v>194</v>
      </c>
      <c r="U404" s="20" t="s">
        <v>195</v>
      </c>
      <c r="V404" s="20" t="s">
        <v>196</v>
      </c>
      <c r="W404" s="20" t="s">
        <v>68</v>
      </c>
      <c r="X404" s="20" t="s">
        <v>69</v>
      </c>
      <c r="Y404" s="20" t="s">
        <v>70</v>
      </c>
      <c r="Z404" s="20" t="s">
        <v>197</v>
      </c>
      <c r="AA404" s="20" t="s">
        <v>233</v>
      </c>
      <c r="AB404" s="20" t="s">
        <v>2438</v>
      </c>
      <c r="AC404" s="20" t="s">
        <v>2438</v>
      </c>
      <c r="AD404" s="20" t="s">
        <v>2438</v>
      </c>
      <c r="AE404" s="20"/>
      <c r="AF404" s="9" t="n">
        <v>0</v>
      </c>
      <c r="AG404" s="12" t="n">
        <v>0</v>
      </c>
      <c r="AH404" s="22" t="s">
        <v>161</v>
      </c>
      <c r="AI404" s="12" t="str">
        <f>IF(AH404="","",IFERROR(RIGHT("0000"&amp;AH404,4)&amp;" - "&amp;UPPER(_xlfn.XLOOKUP(RIGHT("0000"&amp;AH404,4),CODEBOOK_CAP!$C$2:$C$212,CODEBOOK_CAP!$D$2:$D$212)),"Código CAP não encontrado"))</f>
        <v>2300 - GERAL</v>
      </c>
      <c r="AJ404" s="12" t="str">
        <f>IF(AH404="","",IFERROR(_xlfn.XLOOKUP(RIGHT("0000"&amp;AH404,4),CODEBOOK_CAP!$C$2:$C$212,CODEBOOK_CAP!$E$2:$E$212),"Código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04" s="22" t="s">
        <v>79</v>
      </c>
      <c r="AL404" s="26" t="s">
        <v>2264</v>
      </c>
      <c r="AM404" s="22" t="s">
        <v>77</v>
      </c>
      <c r="AN404" s="22" t="s">
        <v>77</v>
      </c>
      <c r="AO404" s="12"/>
      <c r="AP404" s="22" t="s">
        <v>77</v>
      </c>
      <c r="AQ404" s="12"/>
      <c r="AR404" s="22" t="s">
        <v>77</v>
      </c>
      <c r="AS404" s="10"/>
      <c r="AT404" s="2" t="s">
        <v>1814</v>
      </c>
      <c r="AU404" s="12" t="s">
        <v>83</v>
      </c>
      <c r="AV404" s="3" t="n">
        <v>46220</v>
      </c>
      <c r="AW404" s="21"/>
      <c r="AX404" s="1" t="s">
        <v>6956</v>
      </c>
      <c r="AY404" s="1"/>
      <c r="BA404" s="1"/>
      <c r="BB404" s="1"/>
    </row>
    <row r="405" ht="120" customHeight="1">
      <c r="A405" s="20" t="s">
        <v>2439</v>
      </c>
      <c r="B405" s="20" t="n">
        <v>2023</v>
      </c>
      <c r="C405" s="20" t="n">
        <v>791</v>
      </c>
      <c r="D405" s="20" t="s">
        <v>50</v>
      </c>
      <c r="E405" s="20" t="s">
        <v>2440</v>
      </c>
      <c r="F405" s="20" t="s">
        <v>2441</v>
      </c>
      <c r="G405" s="20" t="s">
        <v>86</v>
      </c>
      <c r="H405" s="20" t="s">
        <v>2442</v>
      </c>
      <c r="I405" s="20"/>
      <c r="J405" s="20" t="s">
        <v>2443</v>
      </c>
      <c r="K405" s="20" t="s">
        <v>122</v>
      </c>
      <c r="L405" s="20" t="s">
        <v>57</v>
      </c>
      <c r="M405" s="20" t="s">
        <v>58</v>
      </c>
      <c r="N405" s="20" t="s">
        <v>59</v>
      </c>
      <c r="O405" s="20" t="s">
        <v>60</v>
      </c>
      <c r="P405" s="20" t="s">
        <v>89</v>
      </c>
      <c r="Q405" s="20" t="s">
        <v>90</v>
      </c>
      <c r="R405" s="20" t="s">
        <v>91</v>
      </c>
      <c r="S405" s="20" t="s">
        <v>92</v>
      </c>
      <c r="T405" s="20" t="s">
        <v>123</v>
      </c>
      <c r="U405" s="20" t="s">
        <v>124</v>
      </c>
      <c r="V405" s="20" t="s">
        <v>95</v>
      </c>
      <c r="W405" s="20" t="s">
        <v>96</v>
      </c>
      <c r="X405" s="20" t="s">
        <v>97</v>
      </c>
      <c r="Y405" s="20" t="s">
        <v>70</v>
      </c>
      <c r="Z405" s="20" t="s">
        <v>98</v>
      </c>
      <c r="AA405" s="20" t="s">
        <v>202</v>
      </c>
      <c r="AB405" s="20" t="s">
        <v>202</v>
      </c>
      <c r="AC405" s="20" t="s">
        <v>202</v>
      </c>
      <c r="AD405" s="20" t="s">
        <v>202</v>
      </c>
      <c r="AE405" s="20"/>
      <c r="AF405" s="9" t="n">
        <v>1</v>
      </c>
      <c r="AG405" s="12" t="n">
        <v>1</v>
      </c>
      <c r="AH405" s="22" t="s">
        <v>235</v>
      </c>
      <c r="AI405" s="12" t="str">
        <f>IF(AH405="","",IFERROR(RIGHT("0000"&amp;AH405,4)&amp;" - "&amp;UPPER(_xlfn.XLOOKUP(RIGHT("0000"&amp;AH405,4),CODEBOOK_CAP!$C$2:$C$212,CODEBOOK_CAP!$D$2:$D$212)),"Código CAP não encontrado"))</f>
        <v>0322 - ESTRUTURAS, HOSPITAIS, CLÍNICAS</v>
      </c>
      <c r="AJ405" s="12" t="str">
        <f>IF(AH405="","",IFERROR(_xlfn.XLOOKUP(RIGHT("0000"&amp;AH405,4),CODEBOOK_CAP!$C$2:$C$212,CODEBOOK_CAP!$E$2:$E$212),"Código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05" s="22" t="s">
        <v>79</v>
      </c>
      <c r="AL405" s="26" t="s">
        <v>2444</v>
      </c>
      <c r="AM405" s="22" t="s">
        <v>79</v>
      </c>
      <c r="AN405" s="22" t="s">
        <v>79</v>
      </c>
      <c r="AO405" s="12" t="s">
        <v>2445</v>
      </c>
      <c r="AP405" s="22" t="s">
        <v>77</v>
      </c>
      <c r="AQ405" s="12"/>
      <c r="AR405" s="22" t="s">
        <v>77</v>
      </c>
      <c r="AS405" s="10"/>
      <c r="AT405" s="2" t="s">
        <v>1814</v>
      </c>
      <c r="AU405" s="12" t="s">
        <v>83</v>
      </c>
      <c r="AV405" s="3" t="n">
        <v>46220</v>
      </c>
      <c r="AW405" s="21"/>
      <c r="AY405" s="1"/>
      <c r="BA405" s="1"/>
      <c r="BB405" s="1"/>
    </row>
    <row r="406" ht="120" customHeight="1">
      <c r="A406" s="20" t="s">
        <v>2446</v>
      </c>
      <c r="B406" s="20" t="n">
        <v>2023</v>
      </c>
      <c r="C406" s="20" t="n">
        <v>793</v>
      </c>
      <c r="D406" s="20" t="s">
        <v>50</v>
      </c>
      <c r="E406" s="20" t="s">
        <v>2440</v>
      </c>
      <c r="F406" s="20" t="s">
        <v>2447</v>
      </c>
      <c r="G406" s="20" t="s">
        <v>86</v>
      </c>
      <c r="H406" s="20" t="s">
        <v>2442</v>
      </c>
      <c r="I406" s="20"/>
      <c r="J406" s="20" t="s">
        <v>2448</v>
      </c>
      <c r="K406" s="20" t="s">
        <v>122</v>
      </c>
      <c r="L406" s="20" t="s">
        <v>57</v>
      </c>
      <c r="M406" s="20" t="s">
        <v>58</v>
      </c>
      <c r="N406" s="20" t="s">
        <v>59</v>
      </c>
      <c r="O406" s="20" t="s">
        <v>60</v>
      </c>
      <c r="P406" s="20" t="s">
        <v>89</v>
      </c>
      <c r="Q406" s="20" t="s">
        <v>90</v>
      </c>
      <c r="R406" s="20" t="s">
        <v>91</v>
      </c>
      <c r="S406" s="20" t="s">
        <v>92</v>
      </c>
      <c r="T406" s="20" t="s">
        <v>123</v>
      </c>
      <c r="U406" s="20" t="s">
        <v>124</v>
      </c>
      <c r="V406" s="20" t="s">
        <v>95</v>
      </c>
      <c r="W406" s="20" t="s">
        <v>96</v>
      </c>
      <c r="X406" s="20" t="s">
        <v>97</v>
      </c>
      <c r="Y406" s="20" t="s">
        <v>70</v>
      </c>
      <c r="Z406" s="20" t="s">
        <v>98</v>
      </c>
      <c r="AA406" s="20" t="s">
        <v>125</v>
      </c>
      <c r="AB406" s="20" t="s">
        <v>125</v>
      </c>
      <c r="AC406" s="20" t="s">
        <v>125</v>
      </c>
      <c r="AD406" s="20" t="s">
        <v>125</v>
      </c>
      <c r="AE406" s="20"/>
      <c r="AF406" s="9" t="n">
        <v>1</v>
      </c>
      <c r="AG406" s="12" t="n">
        <v>1</v>
      </c>
      <c r="AH406" s="22" t="s">
        <v>235</v>
      </c>
      <c r="AI406" s="12" t="str">
        <f>IF(AH406="","",IFERROR(RIGHT("0000"&amp;AH406,4)&amp;" - "&amp;UPPER(_xlfn.XLOOKUP(RIGHT("0000"&amp;AH406,4),CODEBOOK_CAP!$C$2:$C$212,CODEBOOK_CAP!$D$2:$D$212)),"Código CAP não encontrado"))</f>
        <v>0322 - ESTRUTURAS, HOSPITAIS, CLÍNICAS</v>
      </c>
      <c r="AJ406" s="12" t="str">
        <f>IF(AH406="","",IFERROR(_xlfn.XLOOKUP(RIGHT("0000"&amp;AH406,4),CODEBOOK_CAP!$C$2:$C$212,CODEBOOK_CAP!$E$2:$E$212),"Código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06" s="22" t="s">
        <v>77</v>
      </c>
      <c r="AL406" s="26"/>
      <c r="AM406" s="22" t="s">
        <v>79</v>
      </c>
      <c r="AN406" s="22" t="s">
        <v>79</v>
      </c>
      <c r="AO406" s="12" t="s">
        <v>2165</v>
      </c>
      <c r="AP406" s="22" t="s">
        <v>77</v>
      </c>
      <c r="AQ406" s="12"/>
      <c r="AR406" s="22" t="s">
        <v>77</v>
      </c>
      <c r="AS406" s="10"/>
      <c r="AT406" s="2" t="s">
        <v>1814</v>
      </c>
      <c r="AU406" s="12" t="s">
        <v>83</v>
      </c>
      <c r="AV406" s="3" t="n">
        <v>46220</v>
      </c>
      <c r="AW406" s="21"/>
      <c r="AY406" s="1"/>
      <c r="BA406" s="1"/>
      <c r="BB406" s="1"/>
    </row>
    <row r="407" ht="120" customHeight="1">
      <c r="A407" s="20" t="s">
        <v>2449</v>
      </c>
      <c r="B407" s="20" t="n">
        <v>2023</v>
      </c>
      <c r="C407" s="20" t="n">
        <v>794</v>
      </c>
      <c r="D407" s="20" t="s">
        <v>50</v>
      </c>
      <c r="E407" s="20" t="s">
        <v>2440</v>
      </c>
      <c r="F407" s="20" t="s">
        <v>2450</v>
      </c>
      <c r="G407" s="20" t="s">
        <v>315</v>
      </c>
      <c r="H407" s="20" t="s">
        <v>2442</v>
      </c>
      <c r="I407" s="20"/>
      <c r="J407" s="20" t="s">
        <v>2451</v>
      </c>
      <c r="K407" s="20" t="s">
        <v>309</v>
      </c>
      <c r="L407" s="20" t="s">
        <v>57</v>
      </c>
      <c r="M407" s="20" t="s">
        <v>58</v>
      </c>
      <c r="N407" s="20" t="s">
        <v>59</v>
      </c>
      <c r="O407" s="20" t="s">
        <v>60</v>
      </c>
      <c r="P407" s="20" t="s">
        <v>227</v>
      </c>
      <c r="Q407" s="20" t="s">
        <v>228</v>
      </c>
      <c r="R407" s="20" t="s">
        <v>229</v>
      </c>
      <c r="S407" s="20" t="s">
        <v>230</v>
      </c>
      <c r="T407" s="20" t="s">
        <v>231</v>
      </c>
      <c r="U407" s="20" t="s">
        <v>230</v>
      </c>
      <c r="V407" s="20" t="s">
        <v>196</v>
      </c>
      <c r="W407" s="20" t="s">
        <v>68</v>
      </c>
      <c r="X407" s="20" t="s">
        <v>69</v>
      </c>
      <c r="Y407" s="20" t="s">
        <v>70</v>
      </c>
      <c r="Z407" s="20" t="s">
        <v>98</v>
      </c>
      <c r="AA407" s="20" t="s">
        <v>409</v>
      </c>
      <c r="AB407" s="20" t="s">
        <v>2452</v>
      </c>
      <c r="AC407" s="20" t="s">
        <v>2453</v>
      </c>
      <c r="AD407" s="20" t="s">
        <v>2454</v>
      </c>
      <c r="AE407" s="20" t="s">
        <v>2455</v>
      </c>
      <c r="AF407" s="9" t="n">
        <v>1</v>
      </c>
      <c r="AG407" s="12" t="n">
        <v>1</v>
      </c>
      <c r="AH407" s="22" t="s">
        <v>235</v>
      </c>
      <c r="AI407" s="12" t="str">
        <f>IF(AH407="","",IFERROR(RIGHT("0000"&amp;AH407,4)&amp;" - "&amp;UPPER(_xlfn.XLOOKUP(RIGHT("0000"&amp;AH407,4),CODEBOOK_CAP!$C$2:$C$212,CODEBOOK_CAP!$D$2:$D$212)),"Código CAP não encontrado"))</f>
        <v>0322 - ESTRUTURAS, HOSPITAIS, CLÍNICAS</v>
      </c>
      <c r="AJ407" s="12" t="str">
        <f>IF(AH407="","",IFERROR(_xlfn.XLOOKUP(RIGHT("0000"&amp;AH407,4),CODEBOOK_CAP!$C$2:$C$212,CODEBOOK_CAP!$E$2:$E$212),"Código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07" s="22" t="s">
        <v>79</v>
      </c>
      <c r="AL407" s="26" t="s">
        <v>2456</v>
      </c>
      <c r="AM407" s="22" t="s">
        <v>79</v>
      </c>
      <c r="AN407" s="22" t="s">
        <v>79</v>
      </c>
      <c r="AO407" s="12" t="s">
        <v>2457</v>
      </c>
      <c r="AP407" s="22" t="s">
        <v>77</v>
      </c>
      <c r="AQ407" s="12"/>
      <c r="AR407" s="22" t="s">
        <v>79</v>
      </c>
      <c r="AS407" s="10" t="s">
        <v>2455</v>
      </c>
      <c r="AT407" s="2" t="s">
        <v>1814</v>
      </c>
      <c r="AU407" s="12" t="s">
        <v>83</v>
      </c>
      <c r="AV407" s="3" t="n">
        <v>46220</v>
      </c>
      <c r="AW407" s="21"/>
      <c r="AY407" s="1"/>
      <c r="BA407" s="1"/>
      <c r="BB407" s="1"/>
    </row>
    <row r="408" ht="120" customHeight="1">
      <c r="A408" s="20" t="s">
        <v>2458</v>
      </c>
      <c r="B408" s="20" t="n">
        <v>2023</v>
      </c>
      <c r="C408" s="20" t="n">
        <v>795</v>
      </c>
      <c r="D408" s="20" t="s">
        <v>50</v>
      </c>
      <c r="E408" s="20" t="s">
        <v>2440</v>
      </c>
      <c r="F408" s="20" t="s">
        <v>2459</v>
      </c>
      <c r="G408" s="20" t="s">
        <v>86</v>
      </c>
      <c r="H408" s="20" t="s">
        <v>2442</v>
      </c>
      <c r="I408" s="20"/>
      <c r="J408" s="20" t="s">
        <v>2460</v>
      </c>
      <c r="K408" s="20" t="s">
        <v>56</v>
      </c>
      <c r="L408" s="20" t="s">
        <v>57</v>
      </c>
      <c r="M408" s="20" t="s">
        <v>58</v>
      </c>
      <c r="N408" s="20" t="s">
        <v>59</v>
      </c>
      <c r="O408" s="20" t="s">
        <v>60</v>
      </c>
      <c r="P408" s="20" t="s">
        <v>61</v>
      </c>
      <c r="Q408" s="20" t="s">
        <v>62</v>
      </c>
      <c r="R408" s="20" t="s">
        <v>63</v>
      </c>
      <c r="S408" s="20" t="s">
        <v>64</v>
      </c>
      <c r="T408" s="20" t="s">
        <v>65</v>
      </c>
      <c r="U408" s="20" t="s">
        <v>66</v>
      </c>
      <c r="V408" s="20" t="s">
        <v>67</v>
      </c>
      <c r="W408" s="20" t="s">
        <v>68</v>
      </c>
      <c r="X408" s="20" t="s">
        <v>69</v>
      </c>
      <c r="Y408" s="20" t="s">
        <v>70</v>
      </c>
      <c r="Z408" s="20" t="s">
        <v>71</v>
      </c>
      <c r="AA408" s="20" t="s">
        <v>409</v>
      </c>
      <c r="AB408" s="20" t="s">
        <v>2461</v>
      </c>
      <c r="AC408" s="20" t="s">
        <v>2462</v>
      </c>
      <c r="AD408" s="20" t="s">
        <v>2463</v>
      </c>
      <c r="AE408" s="20"/>
      <c r="AF408" s="9" t="n">
        <v>1</v>
      </c>
      <c r="AG408" s="12" t="n">
        <v>1</v>
      </c>
      <c r="AH408" s="22" t="s">
        <v>235</v>
      </c>
      <c r="AI408" s="12" t="str">
        <f>IF(AH408="","",IFERROR(RIGHT("0000"&amp;AH408,4)&amp;" - "&amp;UPPER(_xlfn.XLOOKUP(RIGHT("0000"&amp;AH408,4),CODEBOOK_CAP!$C$2:$C$212,CODEBOOK_CAP!$D$2:$D$212)),"Código CAP não encontrado"))</f>
        <v>0322 - ESTRUTURAS, HOSPITAIS, CLÍNICAS</v>
      </c>
      <c r="AJ408" s="12" t="str">
        <f>IF(AH408="","",IFERROR(_xlfn.XLOOKUP(RIGHT("0000"&amp;AH408,4),CODEBOOK_CAP!$C$2:$C$212,CODEBOOK_CAP!$E$2:$E$212),"Código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08" s="22" t="s">
        <v>79</v>
      </c>
      <c r="AL408" s="26" t="s">
        <v>2464</v>
      </c>
      <c r="AM408" s="22" t="s">
        <v>79</v>
      </c>
      <c r="AN408" s="22" t="s">
        <v>79</v>
      </c>
      <c r="AO408" s="12" t="s">
        <v>2465</v>
      </c>
      <c r="AP408" s="22" t="s">
        <v>77</v>
      </c>
      <c r="AQ408" s="12"/>
      <c r="AR408" s="22" t="s">
        <v>77</v>
      </c>
      <c r="AS408" s="10"/>
      <c r="AT408" s="2" t="s">
        <v>1814</v>
      </c>
      <c r="AU408" s="12" t="s">
        <v>83</v>
      </c>
      <c r="AV408" s="3" t="n">
        <v>46220</v>
      </c>
      <c r="AW408" s="21"/>
      <c r="AY408" s="1"/>
      <c r="BA408" s="1"/>
      <c r="BB408" s="1"/>
    </row>
    <row r="409" ht="195" customHeight="1">
      <c r="A409" s="20" t="s">
        <v>2466</v>
      </c>
      <c r="B409" s="20" t="n">
        <v>2023</v>
      </c>
      <c r="C409" s="20" t="n">
        <v>796</v>
      </c>
      <c r="D409" s="20" t="s">
        <v>50</v>
      </c>
      <c r="E409" s="20" t="s">
        <v>2440</v>
      </c>
      <c r="F409" s="20" t="s">
        <v>2467</v>
      </c>
      <c r="G409" s="20" t="s">
        <v>86</v>
      </c>
      <c r="H409" s="20" t="s">
        <v>2442</v>
      </c>
      <c r="I409" s="20"/>
      <c r="J409" s="20" t="s">
        <v>2468</v>
      </c>
      <c r="K409" s="20" t="s">
        <v>2469</v>
      </c>
      <c r="L409" s="20" t="s">
        <v>208</v>
      </c>
      <c r="M409" s="20" t="s">
        <v>209</v>
      </c>
      <c r="N409" s="20" t="s">
        <v>1726</v>
      </c>
      <c r="O409" s="20" t="s">
        <v>1727</v>
      </c>
      <c r="P409" s="20" t="s">
        <v>1728</v>
      </c>
      <c r="Q409" s="20" t="s">
        <v>1729</v>
      </c>
      <c r="R409" s="20" t="s">
        <v>2470</v>
      </c>
      <c r="S409" s="20" t="s">
        <v>2471</v>
      </c>
      <c r="T409" s="20" t="s">
        <v>2472</v>
      </c>
      <c r="U409" s="20" t="s">
        <v>2473</v>
      </c>
      <c r="V409" s="20" t="s">
        <v>67</v>
      </c>
      <c r="W409" s="20" t="s">
        <v>68</v>
      </c>
      <c r="X409" s="20" t="s">
        <v>69</v>
      </c>
      <c r="Y409" s="20" t="s">
        <v>70</v>
      </c>
      <c r="Z409" s="20" t="s">
        <v>177</v>
      </c>
      <c r="AA409" s="20" t="s">
        <v>1104</v>
      </c>
      <c r="AB409" s="20" t="s">
        <v>2474</v>
      </c>
      <c r="AC409" s="20" t="s">
        <v>2474</v>
      </c>
      <c r="AD409" s="20" t="s">
        <v>2474</v>
      </c>
      <c r="AE409" s="20" t="s">
        <v>2475</v>
      </c>
      <c r="AF409" s="9" t="n">
        <v>0</v>
      </c>
      <c r="AG409" s="12" t="n">
        <v>0</v>
      </c>
      <c r="AH409" s="22" t="s">
        <v>294</v>
      </c>
      <c r="AI409" s="12" t="str">
        <f>IF(AH409="","",IFERROR(RIGHT("0000"&amp;AH409,4)&amp;" - "&amp;UPPER(_xlfn.XLOOKUP(RIGHT("0000"&amp;AH409,4),CODEBOOK_CAP!$C$2:$C$212,CODEBOOK_CAP!$D$2:$D$212)),"Código CAP não encontrado"))</f>
        <v>0711 - CONSERVAÇÃO DO SOLO, MAR, RIOS, PRAIAS E COSTAS</v>
      </c>
      <c r="AJ409" s="12" t="str">
        <f>IF(AH409="","",IFERROR(_xlfn.XLOOKUP(RIGHT("0000"&amp;AH409,4),CODEBOOK_CAP!$C$2:$C$212,CODEBOOK_CAP!$E$2:$E$212),"Código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409" s="22" t="s">
        <v>79</v>
      </c>
      <c r="AL409" s="26" t="s">
        <v>2476</v>
      </c>
      <c r="AM409" s="22" t="s">
        <v>77</v>
      </c>
      <c r="AN409" s="22" t="s">
        <v>77</v>
      </c>
      <c r="AO409" s="12"/>
      <c r="AP409" s="22" t="s">
        <v>77</v>
      </c>
      <c r="AQ409" s="12"/>
      <c r="AR409" s="22" t="s">
        <v>79</v>
      </c>
      <c r="AS409" s="10" t="s">
        <v>2475</v>
      </c>
      <c r="AT409" s="2" t="s">
        <v>1814</v>
      </c>
      <c r="AU409" s="12" t="s">
        <v>83</v>
      </c>
      <c r="AV409" s="3" t="n">
        <v>46220</v>
      </c>
      <c r="AW409" s="21"/>
      <c r="AY409" s="1"/>
      <c r="BA409" s="1"/>
      <c r="BB409" s="1"/>
    </row>
    <row r="410" ht="105" customHeight="1">
      <c r="A410" s="20" t="s">
        <v>2477</v>
      </c>
      <c r="B410" s="20" t="n">
        <v>2023</v>
      </c>
      <c r="C410" s="20" t="n">
        <v>799</v>
      </c>
      <c r="D410" s="20" t="s">
        <v>50</v>
      </c>
      <c r="E410" s="20" t="s">
        <v>2440</v>
      </c>
      <c r="F410" s="20" t="s">
        <v>2478</v>
      </c>
      <c r="G410" s="20" t="s">
        <v>86</v>
      </c>
      <c r="H410" s="20" t="s">
        <v>2442</v>
      </c>
      <c r="I410" s="20"/>
      <c r="J410" s="20" t="s">
        <v>2479</v>
      </c>
      <c r="K410" s="20" t="s">
        <v>241</v>
      </c>
      <c r="L410" s="20" t="s">
        <v>208</v>
      </c>
      <c r="M410" s="20" t="s">
        <v>209</v>
      </c>
      <c r="N410" s="20" t="s">
        <v>188</v>
      </c>
      <c r="O410" s="20" t="s">
        <v>189</v>
      </c>
      <c r="P410" s="20" t="s">
        <v>190</v>
      </c>
      <c r="Q410" s="20" t="s">
        <v>191</v>
      </c>
      <c r="R410" s="20" t="s">
        <v>192</v>
      </c>
      <c r="S410" s="20" t="s">
        <v>193</v>
      </c>
      <c r="T410" s="20" t="s">
        <v>242</v>
      </c>
      <c r="U410" s="20" t="s">
        <v>243</v>
      </c>
      <c r="V410" s="20" t="s">
        <v>67</v>
      </c>
      <c r="W410" s="20" t="s">
        <v>68</v>
      </c>
      <c r="X410" s="20" t="s">
        <v>69</v>
      </c>
      <c r="Y410" s="20" t="s">
        <v>70</v>
      </c>
      <c r="Z410" s="20" t="s">
        <v>177</v>
      </c>
      <c r="AA410" s="20" t="s">
        <v>160</v>
      </c>
      <c r="AB410" s="20" t="s">
        <v>2480</v>
      </c>
      <c r="AC410" s="20" t="s">
        <v>2480</v>
      </c>
      <c r="AD410" s="20" t="s">
        <v>2480</v>
      </c>
      <c r="AE410" s="20"/>
      <c r="AF410" s="9" t="n">
        <v>0</v>
      </c>
      <c r="AG410" s="12" t="n">
        <v>0</v>
      </c>
      <c r="AH410" s="22" t="s">
        <v>161</v>
      </c>
      <c r="AI410" s="12" t="str">
        <f>IF(AH410="","",IFERROR(RIGHT("0000"&amp;AH410,4)&amp;" - "&amp;UPPER(_xlfn.XLOOKUP(RIGHT("0000"&amp;AH410,4),CODEBOOK_CAP!$C$2:$C$212,CODEBOOK_CAP!$D$2:$D$212)),"Código CAP não encontrado"))</f>
        <v>2300 - GERAL</v>
      </c>
      <c r="AJ410" s="12" t="str">
        <f>IF(AH410="","",IFERROR(_xlfn.XLOOKUP(RIGHT("0000"&amp;AH410,4),CODEBOOK_CAP!$C$2:$C$212,CODEBOOK_CAP!$E$2:$E$212),"Código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10" s="22" t="s">
        <v>79</v>
      </c>
      <c r="AL410" s="26" t="s">
        <v>2481</v>
      </c>
      <c r="AM410" s="22" t="s">
        <v>79</v>
      </c>
      <c r="AN410" s="22" t="s">
        <v>79</v>
      </c>
      <c r="AO410" s="12" t="s">
        <v>2482</v>
      </c>
      <c r="AP410" s="22" t="s">
        <v>77</v>
      </c>
      <c r="AQ410" s="12"/>
      <c r="AR410" s="22" t="s">
        <v>77</v>
      </c>
      <c r="AS410" s="10"/>
      <c r="AT410" s="2" t="s">
        <v>1814</v>
      </c>
      <c r="AU410" s="12" t="s">
        <v>83</v>
      </c>
      <c r="AV410" s="3" t="n">
        <v>46220</v>
      </c>
      <c r="AW410" s="21"/>
      <c r="AX410" s="1" t="s">
        <v>6956</v>
      </c>
      <c r="AY410" s="1"/>
      <c r="BA410" s="1"/>
      <c r="BB410" s="1"/>
    </row>
    <row r="411" ht="120" customHeight="1">
      <c r="A411" s="20" t="s">
        <v>2483</v>
      </c>
      <c r="B411" s="20" t="n">
        <v>2023</v>
      </c>
      <c r="C411" s="20" t="n">
        <v>821</v>
      </c>
      <c r="D411" s="20" t="s">
        <v>50</v>
      </c>
      <c r="E411" s="20" t="s">
        <v>2440</v>
      </c>
      <c r="F411" s="20" t="s">
        <v>2484</v>
      </c>
      <c r="G411" s="20" t="s">
        <v>86</v>
      </c>
      <c r="H411" s="20" t="s">
        <v>2442</v>
      </c>
      <c r="I411" s="20"/>
      <c r="J411" s="20" t="s">
        <v>2485</v>
      </c>
      <c r="K411" s="20" t="s">
        <v>56</v>
      </c>
      <c r="L411" s="20" t="s">
        <v>57</v>
      </c>
      <c r="M411" s="20" t="s">
        <v>58</v>
      </c>
      <c r="N411" s="20" t="s">
        <v>59</v>
      </c>
      <c r="O411" s="20" t="s">
        <v>60</v>
      </c>
      <c r="P411" s="20" t="s">
        <v>61</v>
      </c>
      <c r="Q411" s="20" t="s">
        <v>62</v>
      </c>
      <c r="R411" s="20" t="s">
        <v>63</v>
      </c>
      <c r="S411" s="20" t="s">
        <v>64</v>
      </c>
      <c r="T411" s="20" t="s">
        <v>65</v>
      </c>
      <c r="U411" s="20" t="s">
        <v>66</v>
      </c>
      <c r="V411" s="20" t="s">
        <v>67</v>
      </c>
      <c r="W411" s="20" t="s">
        <v>68</v>
      </c>
      <c r="X411" s="20" t="s">
        <v>69</v>
      </c>
      <c r="Y411" s="20" t="s">
        <v>70</v>
      </c>
      <c r="Z411" s="20" t="s">
        <v>71</v>
      </c>
      <c r="AA411" s="20" t="s">
        <v>160</v>
      </c>
      <c r="AB411" s="20" t="s">
        <v>2486</v>
      </c>
      <c r="AC411" s="20" t="s">
        <v>2487</v>
      </c>
      <c r="AD411" s="20" t="s">
        <v>2487</v>
      </c>
      <c r="AE411" s="20"/>
      <c r="AF411" s="9" t="n">
        <v>1</v>
      </c>
      <c r="AG411" s="12" t="n">
        <v>1</v>
      </c>
      <c r="AH411" s="22" t="s">
        <v>235</v>
      </c>
      <c r="AI411" s="12" t="str">
        <f>IF(AH411="","",IFERROR(RIGHT("0000"&amp;AH411,4)&amp;" - "&amp;UPPER(_xlfn.XLOOKUP(RIGHT("0000"&amp;AH411,4),CODEBOOK_CAP!$C$2:$C$212,CODEBOOK_CAP!$D$2:$D$212)),"Código CAP não encontrado"))</f>
        <v>0322 - ESTRUTURAS, HOSPITAIS, CLÍNICAS</v>
      </c>
      <c r="AJ411" s="12" t="str">
        <f>IF(AH411="","",IFERROR(_xlfn.XLOOKUP(RIGHT("0000"&amp;AH411,4),CODEBOOK_CAP!$C$2:$C$212,CODEBOOK_CAP!$E$2:$E$212),"Código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11" s="22" t="s">
        <v>79</v>
      </c>
      <c r="AL411" s="26" t="s">
        <v>2488</v>
      </c>
      <c r="AM411" s="22" t="s">
        <v>79</v>
      </c>
      <c r="AN411" s="22" t="s">
        <v>79</v>
      </c>
      <c r="AO411" s="12" t="s">
        <v>2489</v>
      </c>
      <c r="AP411" s="22" t="s">
        <v>77</v>
      </c>
      <c r="AQ411" s="12"/>
      <c r="AR411" s="22" t="s">
        <v>77</v>
      </c>
      <c r="AS411" s="10"/>
      <c r="AT411" s="2" t="s">
        <v>1814</v>
      </c>
      <c r="AU411" s="12" t="s">
        <v>83</v>
      </c>
      <c r="AV411" s="3" t="n">
        <v>46220</v>
      </c>
      <c r="AW411" s="21"/>
      <c r="AY411" s="1"/>
      <c r="BA411" s="1"/>
      <c r="BB411" s="1"/>
    </row>
    <row r="412" ht="120" customHeight="1">
      <c r="A412" s="20" t="s">
        <v>2490</v>
      </c>
      <c r="B412" s="20" t="n">
        <v>2023</v>
      </c>
      <c r="C412" s="20" t="n">
        <v>822</v>
      </c>
      <c r="D412" s="20" t="s">
        <v>50</v>
      </c>
      <c r="E412" s="20" t="s">
        <v>2440</v>
      </c>
      <c r="F412" s="20" t="s">
        <v>2491</v>
      </c>
      <c r="G412" s="20" t="s">
        <v>86</v>
      </c>
      <c r="H412" s="20" t="s">
        <v>2442</v>
      </c>
      <c r="I412" s="20"/>
      <c r="J412" s="20" t="s">
        <v>2492</v>
      </c>
      <c r="K412" s="20" t="s">
        <v>56</v>
      </c>
      <c r="L412" s="20" t="s">
        <v>57</v>
      </c>
      <c r="M412" s="20" t="s">
        <v>58</v>
      </c>
      <c r="N412" s="20" t="s">
        <v>59</v>
      </c>
      <c r="O412" s="20" t="s">
        <v>60</v>
      </c>
      <c r="P412" s="20" t="s">
        <v>61</v>
      </c>
      <c r="Q412" s="20" t="s">
        <v>62</v>
      </c>
      <c r="R412" s="20" t="s">
        <v>63</v>
      </c>
      <c r="S412" s="20" t="s">
        <v>64</v>
      </c>
      <c r="T412" s="20" t="s">
        <v>65</v>
      </c>
      <c r="U412" s="20" t="s">
        <v>66</v>
      </c>
      <c r="V412" s="20" t="s">
        <v>67</v>
      </c>
      <c r="W412" s="20" t="s">
        <v>68</v>
      </c>
      <c r="X412" s="20" t="s">
        <v>69</v>
      </c>
      <c r="Y412" s="20" t="s">
        <v>70</v>
      </c>
      <c r="Z412" s="20" t="s">
        <v>71</v>
      </c>
      <c r="AA412" s="20" t="s">
        <v>125</v>
      </c>
      <c r="AB412" s="20" t="s">
        <v>2493</v>
      </c>
      <c r="AC412" s="20" t="s">
        <v>2494</v>
      </c>
      <c r="AD412" s="20" t="s">
        <v>2493</v>
      </c>
      <c r="AE412" s="20"/>
      <c r="AF412" s="9" t="n">
        <v>1</v>
      </c>
      <c r="AG412" s="12" t="n">
        <v>1</v>
      </c>
      <c r="AH412" s="22" t="s">
        <v>235</v>
      </c>
      <c r="AI412" s="12" t="str">
        <f>IF(AH412="","",IFERROR(RIGHT("0000"&amp;AH412,4)&amp;" - "&amp;UPPER(_xlfn.XLOOKUP(RIGHT("0000"&amp;AH412,4),CODEBOOK_CAP!$C$2:$C$212,CODEBOOK_CAP!$D$2:$D$212)),"Código CAP não encontrado"))</f>
        <v>0322 - ESTRUTURAS, HOSPITAIS, CLÍNICAS</v>
      </c>
      <c r="AJ412" s="12" t="str">
        <f>IF(AH412="","",IFERROR(_xlfn.XLOOKUP(RIGHT("0000"&amp;AH412,4),CODEBOOK_CAP!$C$2:$C$212,CODEBOOK_CAP!$E$2:$E$212),"Código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12" s="22" t="s">
        <v>79</v>
      </c>
      <c r="AL412" s="26" t="s">
        <v>2495</v>
      </c>
      <c r="AM412" s="22" t="s">
        <v>79</v>
      </c>
      <c r="AN412" s="22" t="s">
        <v>79</v>
      </c>
      <c r="AO412" s="12" t="s">
        <v>2496</v>
      </c>
      <c r="AP412" s="22" t="s">
        <v>77</v>
      </c>
      <c r="AQ412" s="12"/>
      <c r="AR412" s="22" t="s">
        <v>77</v>
      </c>
      <c r="AS412" s="10"/>
      <c r="AT412" s="2" t="s">
        <v>1814</v>
      </c>
      <c r="AU412" s="12" t="s">
        <v>83</v>
      </c>
      <c r="AV412" s="3" t="n">
        <v>46220</v>
      </c>
      <c r="AW412" s="21"/>
      <c r="AY412" s="1"/>
      <c r="BA412" s="1"/>
      <c r="BB412" s="1"/>
    </row>
    <row r="413" ht="120" customHeight="1">
      <c r="A413" s="20" t="s">
        <v>2497</v>
      </c>
      <c r="B413" s="20" t="n">
        <v>2023</v>
      </c>
      <c r="C413" s="20" t="n">
        <v>823</v>
      </c>
      <c r="D413" s="20" t="s">
        <v>50</v>
      </c>
      <c r="E413" s="20" t="s">
        <v>2440</v>
      </c>
      <c r="F413" s="20" t="s">
        <v>2498</v>
      </c>
      <c r="G413" s="20" t="s">
        <v>86</v>
      </c>
      <c r="H413" s="20" t="s">
        <v>2442</v>
      </c>
      <c r="I413" s="20"/>
      <c r="J413" s="20" t="s">
        <v>2499</v>
      </c>
      <c r="K413" s="20" t="s">
        <v>865</v>
      </c>
      <c r="L413" s="20" t="s">
        <v>57</v>
      </c>
      <c r="M413" s="20" t="s">
        <v>58</v>
      </c>
      <c r="N413" s="20" t="s">
        <v>59</v>
      </c>
      <c r="O413" s="20" t="s">
        <v>60</v>
      </c>
      <c r="P413" s="20" t="s">
        <v>227</v>
      </c>
      <c r="Q413" s="20" t="s">
        <v>228</v>
      </c>
      <c r="R413" s="20" t="s">
        <v>229</v>
      </c>
      <c r="S413" s="20" t="s">
        <v>230</v>
      </c>
      <c r="T413" s="20" t="s">
        <v>866</v>
      </c>
      <c r="U413" s="20" t="s">
        <v>867</v>
      </c>
      <c r="V413" s="20" t="s">
        <v>868</v>
      </c>
      <c r="W413" s="20" t="s">
        <v>96</v>
      </c>
      <c r="X413" s="20" t="s">
        <v>97</v>
      </c>
      <c r="Y413" s="20" t="s">
        <v>70</v>
      </c>
      <c r="Z413" s="20" t="s">
        <v>98</v>
      </c>
      <c r="AA413" s="20" t="s">
        <v>125</v>
      </c>
      <c r="AB413" s="20" t="s">
        <v>125</v>
      </c>
      <c r="AC413" s="20" t="s">
        <v>125</v>
      </c>
      <c r="AD413" s="20" t="s">
        <v>125</v>
      </c>
      <c r="AE413" s="20"/>
      <c r="AF413" s="9" t="n">
        <v>1</v>
      </c>
      <c r="AG413" s="12" t="n">
        <v>1</v>
      </c>
      <c r="AH413" s="22" t="s">
        <v>235</v>
      </c>
      <c r="AI413" s="12" t="str">
        <f>IF(AH413="","",IFERROR(RIGHT("0000"&amp;AH413,4)&amp;" - "&amp;UPPER(_xlfn.XLOOKUP(RIGHT("0000"&amp;AH413,4),CODEBOOK_CAP!$C$2:$C$212,CODEBOOK_CAP!$D$2:$D$212)),"Código CAP não encontrado"))</f>
        <v>0322 - ESTRUTURAS, HOSPITAIS, CLÍNICAS</v>
      </c>
      <c r="AJ413" s="12" t="str">
        <f>IF(AH413="","",IFERROR(_xlfn.XLOOKUP(RIGHT("0000"&amp;AH413,4),CODEBOOK_CAP!$C$2:$C$212,CODEBOOK_CAP!$E$2:$E$212),"Código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13" s="22" t="s">
        <v>79</v>
      </c>
      <c r="AL413" s="26" t="s">
        <v>2500</v>
      </c>
      <c r="AM413" s="22" t="s">
        <v>79</v>
      </c>
      <c r="AN413" s="22" t="s">
        <v>79</v>
      </c>
      <c r="AO413" s="12" t="s">
        <v>2501</v>
      </c>
      <c r="AP413" s="22" t="s">
        <v>77</v>
      </c>
      <c r="AQ413" s="12"/>
      <c r="AR413" s="22" t="s">
        <v>77</v>
      </c>
      <c r="AS413" s="10"/>
      <c r="AT413" s="2" t="s">
        <v>1814</v>
      </c>
      <c r="AU413" s="12" t="s">
        <v>83</v>
      </c>
      <c r="AV413" s="3" t="n">
        <v>46220</v>
      </c>
      <c r="AW413" s="21"/>
      <c r="AY413" s="1"/>
      <c r="BA413" s="1"/>
      <c r="BB413" s="1"/>
    </row>
    <row r="414">
      <c r="A414" s="14" t="s">
        <v>2502</v>
      </c>
      <c r="B414" s="14" t="n">
        <v>2023</v>
      </c>
      <c r="C414" s="14" t="n">
        <v>824</v>
      </c>
      <c r="D414" s="14" t="s">
        <v>50</v>
      </c>
      <c r="E414" s="14" t="s">
        <v>2440</v>
      </c>
      <c r="F414" s="14" t="s">
        <v>2503</v>
      </c>
      <c r="G414" s="14" t="s">
        <v>633</v>
      </c>
      <c r="H414" s="14" t="s">
        <v>2442</v>
      </c>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5"/>
      <c r="AG414" s="15"/>
      <c r="AH414" s="16"/>
      <c r="AI414" s="15" t="str">
        <f>IF(AH414="","",IFERROR(RIGHT("0000"&amp;AH414,4)&amp;" - "&amp;UPPER(_xlfn.XLOOKUP(RIGHT("0000"&amp;AH414,4),CODEBOOK_CAP!$C$2:$C$212,CODEBOOK_CAP!$D$2:$D$212)),"Código CAP não encontrado"))</f>
      </c>
      <c r="AJ414" s="15" t="str">
        <f>IF(AH414="","",IFERROR(_xlfn.XLOOKUP(RIGHT("0000"&amp;AH414,4),CODEBOOK_CAP!$C$2:$C$212,CODEBOOK_CAP!$E$2:$E$212),"Código CAP não encontrado"))</f>
      </c>
      <c r="AK414" s="16"/>
      <c r="AL414" s="17"/>
      <c r="AM414" s="16"/>
      <c r="AN414" s="16"/>
      <c r="AO414" s="15"/>
      <c r="AP414" s="16"/>
      <c r="AQ414" s="15"/>
      <c r="AR414" s="16"/>
      <c r="AS414" s="18"/>
      <c r="AT414" s="2" t="s">
        <v>1814</v>
      </c>
      <c r="AU414" s="12" t="s">
        <v>83</v>
      </c>
      <c r="AV414" s="3" t="n">
        <v>46220</v>
      </c>
    </row>
    <row r="415" ht="120" customHeight="1">
      <c r="A415" s="20" t="s">
        <v>2504</v>
      </c>
      <c r="B415" s="20" t="n">
        <v>2023</v>
      </c>
      <c r="C415" s="20" t="n">
        <v>825</v>
      </c>
      <c r="D415" s="20" t="s">
        <v>50</v>
      </c>
      <c r="E415" s="20" t="s">
        <v>2440</v>
      </c>
      <c r="F415" s="20" t="s">
        <v>2505</v>
      </c>
      <c r="G415" s="20" t="s">
        <v>86</v>
      </c>
      <c r="H415" s="20" t="s">
        <v>2442</v>
      </c>
      <c r="I415" s="20"/>
      <c r="J415" s="20" t="s">
        <v>2506</v>
      </c>
      <c r="K415" s="20" t="s">
        <v>56</v>
      </c>
      <c r="L415" s="20" t="s">
        <v>57</v>
      </c>
      <c r="M415" s="20" t="s">
        <v>58</v>
      </c>
      <c r="N415" s="20" t="s">
        <v>59</v>
      </c>
      <c r="O415" s="20" t="s">
        <v>60</v>
      </c>
      <c r="P415" s="20" t="s">
        <v>61</v>
      </c>
      <c r="Q415" s="20" t="s">
        <v>62</v>
      </c>
      <c r="R415" s="20" t="s">
        <v>63</v>
      </c>
      <c r="S415" s="20" t="s">
        <v>64</v>
      </c>
      <c r="T415" s="20" t="s">
        <v>65</v>
      </c>
      <c r="U415" s="20" t="s">
        <v>66</v>
      </c>
      <c r="V415" s="20" t="s">
        <v>67</v>
      </c>
      <c r="W415" s="20" t="s">
        <v>68</v>
      </c>
      <c r="X415" s="20" t="s">
        <v>69</v>
      </c>
      <c r="Y415" s="20" t="s">
        <v>70</v>
      </c>
      <c r="Z415" s="20" t="s">
        <v>71</v>
      </c>
      <c r="AA415" s="20" t="s">
        <v>198</v>
      </c>
      <c r="AB415" s="20" t="s">
        <v>2507</v>
      </c>
      <c r="AC415" s="20" t="s">
        <v>2507</v>
      </c>
      <c r="AD415" s="20" t="s">
        <v>2507</v>
      </c>
      <c r="AE415" s="20"/>
      <c r="AF415" s="9" t="n">
        <v>1</v>
      </c>
      <c r="AG415" s="12" t="n">
        <v>1</v>
      </c>
      <c r="AH415" s="22" t="s">
        <v>235</v>
      </c>
      <c r="AI415" s="12" t="str">
        <f>IF(AH415="","",IFERROR(RIGHT("0000"&amp;AH415,4)&amp;" - "&amp;UPPER(_xlfn.XLOOKUP(RIGHT("0000"&amp;AH415,4),CODEBOOK_CAP!$C$2:$C$212,CODEBOOK_CAP!$D$2:$D$212)),"Código CAP não encontrado"))</f>
        <v>0322 - ESTRUTURAS, HOSPITAIS, CLÍNICAS</v>
      </c>
      <c r="AJ415" s="12" t="str">
        <f>IF(AH415="","",IFERROR(_xlfn.XLOOKUP(RIGHT("0000"&amp;AH415,4),CODEBOOK_CAP!$C$2:$C$212,CODEBOOK_CAP!$E$2:$E$212),"Código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15" s="22" t="s">
        <v>79</v>
      </c>
      <c r="AL415" s="26" t="s">
        <v>2508</v>
      </c>
      <c r="AM415" s="22" t="s">
        <v>79</v>
      </c>
      <c r="AN415" s="22" t="s">
        <v>79</v>
      </c>
      <c r="AO415" s="12" t="s">
        <v>2509</v>
      </c>
      <c r="AP415" s="22" t="s">
        <v>77</v>
      </c>
      <c r="AQ415" s="12"/>
      <c r="AR415" s="22" t="s">
        <v>77</v>
      </c>
      <c r="AS415" s="10"/>
      <c r="AT415" s="2" t="s">
        <v>1814</v>
      </c>
      <c r="AU415" s="12" t="s">
        <v>83</v>
      </c>
      <c r="AV415" s="3" t="n">
        <v>46220</v>
      </c>
      <c r="AW415" s="21"/>
      <c r="AY415" s="1"/>
      <c r="BA415" s="1"/>
      <c r="BB415" s="1"/>
    </row>
    <row r="416">
      <c r="A416" s="14" t="s">
        <v>2510</v>
      </c>
      <c r="B416" s="14" t="n">
        <v>2023</v>
      </c>
      <c r="C416" s="14" t="n">
        <v>826</v>
      </c>
      <c r="D416" s="14" t="s">
        <v>50</v>
      </c>
      <c r="E416" s="14" t="s">
        <v>2440</v>
      </c>
      <c r="F416" s="14" t="s">
        <v>2511</v>
      </c>
      <c r="G416" s="14" t="s">
        <v>633</v>
      </c>
      <c r="H416" s="14" t="s">
        <v>2442</v>
      </c>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5"/>
      <c r="AG416" s="15"/>
      <c r="AH416" s="16"/>
      <c r="AI416" s="15" t="str">
        <f>IF(AH416="","",IFERROR(RIGHT("0000"&amp;AH416,4)&amp;" - "&amp;UPPER(_xlfn.XLOOKUP(RIGHT("0000"&amp;AH416,4),CODEBOOK_CAP!$C$2:$C$212,CODEBOOK_CAP!$D$2:$D$212)),"Código CAP não encontrado"))</f>
      </c>
      <c r="AJ416" s="15" t="str">
        <f>IF(AH416="","",IFERROR(_xlfn.XLOOKUP(RIGHT("0000"&amp;AH416,4),CODEBOOK_CAP!$C$2:$C$212,CODEBOOK_CAP!$E$2:$E$212),"Código CAP não encontrado"))</f>
      </c>
      <c r="AK416" s="16"/>
      <c r="AL416" s="17"/>
      <c r="AM416" s="16"/>
      <c r="AN416" s="16"/>
      <c r="AO416" s="15"/>
      <c r="AP416" s="16"/>
      <c r="AQ416" s="15"/>
      <c r="AR416" s="16"/>
      <c r="AS416" s="18"/>
      <c r="AT416" s="2" t="s">
        <v>1814</v>
      </c>
      <c r="AU416" s="12" t="s">
        <v>83</v>
      </c>
      <c r="AV416" s="3" t="n">
        <v>46220</v>
      </c>
    </row>
    <row r="417" ht="120" customHeight="1">
      <c r="A417" s="20" t="s">
        <v>2512</v>
      </c>
      <c r="B417" s="20" t="n">
        <v>2023</v>
      </c>
      <c r="C417" s="20" t="n">
        <v>837</v>
      </c>
      <c r="D417" s="20" t="s">
        <v>50</v>
      </c>
      <c r="E417" s="20" t="s">
        <v>2440</v>
      </c>
      <c r="F417" s="20" t="s">
        <v>2513</v>
      </c>
      <c r="G417" s="20" t="s">
        <v>86</v>
      </c>
      <c r="H417" s="20" t="s">
        <v>2442</v>
      </c>
      <c r="I417" s="20"/>
      <c r="J417" s="20" t="s">
        <v>2514</v>
      </c>
      <c r="K417" s="20" t="s">
        <v>56</v>
      </c>
      <c r="L417" s="20" t="s">
        <v>57</v>
      </c>
      <c r="M417" s="20" t="s">
        <v>58</v>
      </c>
      <c r="N417" s="20" t="s">
        <v>59</v>
      </c>
      <c r="O417" s="20" t="s">
        <v>60</v>
      </c>
      <c r="P417" s="20" t="s">
        <v>61</v>
      </c>
      <c r="Q417" s="20" t="s">
        <v>62</v>
      </c>
      <c r="R417" s="20" t="s">
        <v>63</v>
      </c>
      <c r="S417" s="20" t="s">
        <v>64</v>
      </c>
      <c r="T417" s="20" t="s">
        <v>65</v>
      </c>
      <c r="U417" s="20" t="s">
        <v>66</v>
      </c>
      <c r="V417" s="20" t="s">
        <v>67</v>
      </c>
      <c r="W417" s="20" t="s">
        <v>68</v>
      </c>
      <c r="X417" s="20" t="s">
        <v>69</v>
      </c>
      <c r="Y417" s="20" t="s">
        <v>70</v>
      </c>
      <c r="Z417" s="20" t="s">
        <v>71</v>
      </c>
      <c r="AA417" s="20" t="s">
        <v>2515</v>
      </c>
      <c r="AB417" s="20" t="s">
        <v>2516</v>
      </c>
      <c r="AC417" s="20" t="s">
        <v>2517</v>
      </c>
      <c r="AD417" s="20" t="s">
        <v>2517</v>
      </c>
      <c r="AE417" s="20" t="s">
        <v>811</v>
      </c>
      <c r="AF417" s="9" t="n">
        <v>1</v>
      </c>
      <c r="AG417" s="12" t="n">
        <v>1</v>
      </c>
      <c r="AH417" s="22" t="s">
        <v>235</v>
      </c>
      <c r="AI417" s="12" t="str">
        <f>IF(AH417="","",IFERROR(RIGHT("0000"&amp;AH417,4)&amp;" - "&amp;UPPER(_xlfn.XLOOKUP(RIGHT("0000"&amp;AH417,4),CODEBOOK_CAP!$C$2:$C$212,CODEBOOK_CAP!$D$2:$D$212)),"Código CAP não encontrado"))</f>
        <v>0322 - ESTRUTURAS, HOSPITAIS, CLÍNICAS</v>
      </c>
      <c r="AJ417" s="12" t="str">
        <f>IF(AH417="","",IFERROR(_xlfn.XLOOKUP(RIGHT("0000"&amp;AH417,4),CODEBOOK_CAP!$C$2:$C$212,CODEBOOK_CAP!$E$2:$E$212),"Código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17" s="22" t="s">
        <v>79</v>
      </c>
      <c r="AL417" s="26" t="s">
        <v>2518</v>
      </c>
      <c r="AM417" s="22" t="s">
        <v>79</v>
      </c>
      <c r="AN417" s="22" t="s">
        <v>79</v>
      </c>
      <c r="AO417" s="12" t="s">
        <v>2519</v>
      </c>
      <c r="AP417" s="22" t="s">
        <v>77</v>
      </c>
      <c r="AQ417" s="12"/>
      <c r="AR417" s="22" t="s">
        <v>77</v>
      </c>
      <c r="AS417" s="10"/>
      <c r="AT417" s="2" t="s">
        <v>1814</v>
      </c>
      <c r="AU417" s="12" t="s">
        <v>83</v>
      </c>
      <c r="AV417" s="3" t="n">
        <v>46220</v>
      </c>
      <c r="AW417" s="21"/>
      <c r="AY417" s="1"/>
      <c r="BA417" s="1"/>
      <c r="BB417" s="1"/>
    </row>
    <row r="418" ht="105" customHeight="1">
      <c r="A418" s="20" t="s">
        <v>2520</v>
      </c>
      <c r="B418" s="20" t="n">
        <v>2023</v>
      </c>
      <c r="C418" s="20" t="n">
        <v>844</v>
      </c>
      <c r="D418" s="20" t="s">
        <v>50</v>
      </c>
      <c r="E418" s="20" t="s">
        <v>2521</v>
      </c>
      <c r="F418" s="20" t="s">
        <v>2522</v>
      </c>
      <c r="G418" s="20" t="s">
        <v>86</v>
      </c>
      <c r="H418" s="20" t="s">
        <v>2523</v>
      </c>
      <c r="I418" s="20"/>
      <c r="J418" s="20" t="s">
        <v>2524</v>
      </c>
      <c r="K418" s="20" t="s">
        <v>2525</v>
      </c>
      <c r="L418" s="20" t="s">
        <v>1275</v>
      </c>
      <c r="M418" s="20" t="s">
        <v>1276</v>
      </c>
      <c r="N418" s="20" t="s">
        <v>1307</v>
      </c>
      <c r="O418" s="20" t="s">
        <v>1308</v>
      </c>
      <c r="P418" s="20" t="s">
        <v>2526</v>
      </c>
      <c r="Q418" s="20" t="s">
        <v>2527</v>
      </c>
      <c r="R418" s="20" t="s">
        <v>2528</v>
      </c>
      <c r="S418" s="20" t="s">
        <v>2529</v>
      </c>
      <c r="T418" s="20" t="s">
        <v>2530</v>
      </c>
      <c r="U418" s="20" t="s">
        <v>2531</v>
      </c>
      <c r="V418" s="20" t="s">
        <v>196</v>
      </c>
      <c r="W418" s="20" t="s">
        <v>68</v>
      </c>
      <c r="X418" s="20" t="s">
        <v>69</v>
      </c>
      <c r="Y418" s="20" t="s">
        <v>70</v>
      </c>
      <c r="Z418" s="20" t="s">
        <v>1285</v>
      </c>
      <c r="AA418" s="20" t="s">
        <v>2532</v>
      </c>
      <c r="AB418" s="20" t="s">
        <v>2533</v>
      </c>
      <c r="AC418" s="20" t="s">
        <v>2533</v>
      </c>
      <c r="AD418" s="20" t="s">
        <v>2533</v>
      </c>
      <c r="AE418" s="20"/>
      <c r="AF418" s="9" t="n">
        <v>0</v>
      </c>
      <c r="AG418" s="12" t="n">
        <v>0</v>
      </c>
      <c r="AH418" s="22" t="s">
        <v>2534</v>
      </c>
      <c r="AI418" s="12" t="str">
        <f>IF(AH418="","",IFERROR(RIGHT("0000"&amp;AH418,4)&amp;" - "&amp;UPPER(_xlfn.XLOOKUP(RIGHT("0000"&amp;AH418,4),CODEBOOK_CAP!$C$2:$C$212,CODEBOOK_CAP!$D$2:$D$212)),"Código CAP não encontrado"))</f>
        <v>1301 - ASSISTÊNCIA ALIMENTAR</v>
      </c>
      <c r="AJ418" s="12" t="str">
        <f>IF(AH418="","",IFERROR(_xlfn.XLOOKUP(RIGHT("0000"&amp;AH418,4),CODEBOOK_CAP!$C$2:$C$212,CODEBOOK_CAP!$E$2:$E$212),"Código CAP não encontrado"))</f>
        <v>Políticas de combate a fome, políticas de educação alimentar, políticas de alimentos, incentivos a alimentos não industrializados, apoios a necessidades de alimentação, subnutrição, fome, desnutrição, somente políticas cujo foco principal seja a questão alimentar e o combate a fome. Fome Zero, Leve Leite, políticas de merenda escolar, alimentação nas escolas, creches.</v>
      </c>
      <c r="AK418" s="22" t="s">
        <v>77</v>
      </c>
      <c r="AL418" s="26"/>
      <c r="AM418" s="22" t="s">
        <v>77</v>
      </c>
      <c r="AN418" s="22" t="s">
        <v>77</v>
      </c>
      <c r="AO418" s="12"/>
      <c r="AP418" s="22" t="s">
        <v>77</v>
      </c>
      <c r="AQ418" s="12"/>
      <c r="AR418" s="22" t="s">
        <v>77</v>
      </c>
      <c r="AS418" s="10"/>
      <c r="AT418" s="2" t="s">
        <v>1814</v>
      </c>
      <c r="AU418" s="12" t="s">
        <v>83</v>
      </c>
      <c r="AV418" s="3" t="n">
        <v>46221</v>
      </c>
      <c r="AW418" s="21"/>
      <c r="AY418" s="1"/>
      <c r="BA418" s="1"/>
      <c r="BB418" s="1"/>
    </row>
    <row r="419" ht="105" customHeight="1">
      <c r="A419" s="20" t="s">
        <v>2535</v>
      </c>
      <c r="B419" s="20" t="n">
        <v>2023</v>
      </c>
      <c r="C419" s="20" t="n">
        <v>269</v>
      </c>
      <c r="D419" s="20" t="s">
        <v>50</v>
      </c>
      <c r="E419" s="20" t="s">
        <v>2521</v>
      </c>
      <c r="F419" s="20" t="s">
        <v>2536</v>
      </c>
      <c r="G419" s="20" t="s">
        <v>86</v>
      </c>
      <c r="H419" s="20" t="s">
        <v>2523</v>
      </c>
      <c r="I419" s="20"/>
      <c r="J419" s="20" t="s">
        <v>2537</v>
      </c>
      <c r="K419" s="20" t="s">
        <v>759</v>
      </c>
      <c r="L419" s="20" t="s">
        <v>760</v>
      </c>
      <c r="M419" s="20" t="s">
        <v>761</v>
      </c>
      <c r="N419" s="20" t="s">
        <v>150</v>
      </c>
      <c r="O419" s="20" t="s">
        <v>151</v>
      </c>
      <c r="P419" s="20" t="s">
        <v>152</v>
      </c>
      <c r="Q419" s="20" t="s">
        <v>153</v>
      </c>
      <c r="R419" s="20" t="s">
        <v>154</v>
      </c>
      <c r="S419" s="20" t="s">
        <v>155</v>
      </c>
      <c r="T419" s="20" t="s">
        <v>762</v>
      </c>
      <c r="U419" s="20" t="s">
        <v>763</v>
      </c>
      <c r="V419" s="20" t="s">
        <v>95</v>
      </c>
      <c r="W419" s="20" t="s">
        <v>96</v>
      </c>
      <c r="X419" s="20" t="s">
        <v>97</v>
      </c>
      <c r="Y419" s="20" t="s">
        <v>70</v>
      </c>
      <c r="Z419" s="20" t="s">
        <v>764</v>
      </c>
      <c r="AA419" s="20" t="s">
        <v>409</v>
      </c>
      <c r="AB419" s="20" t="s">
        <v>409</v>
      </c>
      <c r="AC419" s="20" t="s">
        <v>409</v>
      </c>
      <c r="AD419" s="20" t="s">
        <v>409</v>
      </c>
      <c r="AE419" s="20"/>
      <c r="AF419" s="9" t="n">
        <v>0</v>
      </c>
      <c r="AG419" s="12" t="n">
        <v>0</v>
      </c>
      <c r="AH419" s="22" t="s">
        <v>161</v>
      </c>
      <c r="AI419" s="12" t="str">
        <f>IF(AH419="","",IFERROR(RIGHT("0000"&amp;AH419,4)&amp;" - "&amp;UPPER(_xlfn.XLOOKUP(RIGHT("0000"&amp;AH419,4),CODEBOOK_CAP!$C$2:$C$212,CODEBOOK_CAP!$D$2:$D$212)),"Código CAP não encontrado"))</f>
        <v>2300 - GERAL</v>
      </c>
      <c r="AJ419" s="12" t="str">
        <f>IF(AH419="","",IFERROR(_xlfn.XLOOKUP(RIGHT("0000"&amp;AH419,4),CODEBOOK_CAP!$C$2:$C$212,CODEBOOK_CAP!$E$2:$E$212),"Código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19" s="22" t="s">
        <v>77</v>
      </c>
      <c r="AL419" s="26"/>
      <c r="AM419" s="22" t="s">
        <v>77</v>
      </c>
      <c r="AN419" s="22" t="s">
        <v>77</v>
      </c>
      <c r="AO419" s="12"/>
      <c r="AP419" s="22" t="s">
        <v>77</v>
      </c>
      <c r="AQ419" s="12"/>
      <c r="AR419" s="22" t="s">
        <v>77</v>
      </c>
      <c r="AS419" s="10"/>
      <c r="AT419" s="2" t="s">
        <v>1814</v>
      </c>
      <c r="AU419" s="12" t="s">
        <v>83</v>
      </c>
      <c r="AV419" s="3" t="n">
        <v>46221</v>
      </c>
      <c r="AW419" s="21"/>
      <c r="AX419" s="1" t="s">
        <v>6955</v>
      </c>
      <c r="AY419" s="1"/>
      <c r="BA419" s="1"/>
      <c r="BB419" s="1"/>
    </row>
    <row r="420" ht="75" customHeight="1">
      <c r="A420" s="20" t="s">
        <v>2538</v>
      </c>
      <c r="B420" s="20" t="n">
        <v>2023</v>
      </c>
      <c r="C420" s="20" t="n">
        <v>270</v>
      </c>
      <c r="D420" s="20" t="s">
        <v>50</v>
      </c>
      <c r="E420" s="20" t="s">
        <v>2521</v>
      </c>
      <c r="F420" s="20" t="s">
        <v>2539</v>
      </c>
      <c r="G420" s="20" t="s">
        <v>86</v>
      </c>
      <c r="H420" s="20" t="s">
        <v>2523</v>
      </c>
      <c r="I420" s="20"/>
      <c r="J420" s="20" t="s">
        <v>2540</v>
      </c>
      <c r="K420" s="20" t="s">
        <v>1405</v>
      </c>
      <c r="L420" s="20" t="s">
        <v>1406</v>
      </c>
      <c r="M420" s="20" t="s">
        <v>1407</v>
      </c>
      <c r="N420" s="20" t="s">
        <v>1408</v>
      </c>
      <c r="O420" s="20" t="s">
        <v>1409</v>
      </c>
      <c r="P420" s="20" t="s">
        <v>1410</v>
      </c>
      <c r="Q420" s="20" t="s">
        <v>1411</v>
      </c>
      <c r="R420" s="20" t="s">
        <v>1412</v>
      </c>
      <c r="S420" s="20" t="s">
        <v>1413</v>
      </c>
      <c r="T420" s="20" t="s">
        <v>1414</v>
      </c>
      <c r="U420" s="20" t="s">
        <v>1415</v>
      </c>
      <c r="V420" s="20" t="s">
        <v>95</v>
      </c>
      <c r="W420" s="20" t="s">
        <v>96</v>
      </c>
      <c r="X420" s="20" t="s">
        <v>97</v>
      </c>
      <c r="Y420" s="20" t="s">
        <v>70</v>
      </c>
      <c r="Z420" s="20" t="s">
        <v>284</v>
      </c>
      <c r="AA420" s="20" t="s">
        <v>1416</v>
      </c>
      <c r="AB420" s="20" t="s">
        <v>1416</v>
      </c>
      <c r="AC420" s="20" t="s">
        <v>1416</v>
      </c>
      <c r="AD420" s="20" t="s">
        <v>1416</v>
      </c>
      <c r="AE420" s="20"/>
      <c r="AF420" s="9" t="n">
        <v>0</v>
      </c>
      <c r="AG420" s="12" t="n">
        <v>0</v>
      </c>
      <c r="AH420" s="22" t="s">
        <v>1417</v>
      </c>
      <c r="AI420" s="12" t="str">
        <f>IF(AH420="","",IFERROR(RIGHT("0000"&amp;AH420,4)&amp;" - "&amp;UPPER(_xlfn.XLOOKUP(RIGHT("0000"&amp;AH420,4),CODEBOOK_CAP!$C$2:$C$212,CODEBOOK_CAP!$D$2:$D$212)),"Código CAP não encontrado"))</f>
        <v>0900 - GERAL</v>
      </c>
      <c r="AJ420" s="12" t="str">
        <f>IF(AH420="","",IFERROR(_xlfn.XLOOKUP(RIGHT("0000"&amp;AH420,4),CODEBOOK_CAP!$C$2:$C$212,CODEBOOK_CAP!$E$2:$E$212),"Código CAP não encontrado"))</f>
        <v>Observações relacionadas com o numero de refugiados ou imigrantes, residência e permissão de permanência no país. Todas as questões sobre imigrantes, asilo, ajuda. Não confundir com visto de turismo (1504). Qualquer questão sobre TRABALHO FORMAL de imigrante no 529.</v>
      </c>
      <c r="AK420" s="22" t="s">
        <v>77</v>
      </c>
      <c r="AL420" s="26"/>
      <c r="AM420" s="22" t="s">
        <v>77</v>
      </c>
      <c r="AN420" s="22" t="s">
        <v>77</v>
      </c>
      <c r="AO420" s="12"/>
      <c r="AP420" s="22" t="s">
        <v>79</v>
      </c>
      <c r="AQ420" s="12" t="s">
        <v>1418</v>
      </c>
      <c r="AR420" s="22" t="s">
        <v>77</v>
      </c>
      <c r="AS420" s="10"/>
      <c r="AT420" s="2" t="s">
        <v>1814</v>
      </c>
      <c r="AU420" s="12" t="s">
        <v>83</v>
      </c>
      <c r="AV420" s="3" t="n">
        <v>46221</v>
      </c>
      <c r="AW420" s="21"/>
      <c r="AY420" s="1"/>
      <c r="BA420" s="1"/>
      <c r="BB420" s="1"/>
    </row>
    <row r="421" ht="105" customHeight="1">
      <c r="A421" s="20" t="s">
        <v>2541</v>
      </c>
      <c r="B421" s="20" t="n">
        <v>2023</v>
      </c>
      <c r="C421" s="20" t="n">
        <v>271</v>
      </c>
      <c r="D421" s="20" t="s">
        <v>50</v>
      </c>
      <c r="E421" s="20" t="s">
        <v>2521</v>
      </c>
      <c r="F421" s="20" t="s">
        <v>2542</v>
      </c>
      <c r="G421" s="20" t="s">
        <v>86</v>
      </c>
      <c r="H421" s="20" t="s">
        <v>2523</v>
      </c>
      <c r="I421" s="20"/>
      <c r="J421" s="20" t="s">
        <v>2543</v>
      </c>
      <c r="K421" s="20" t="s">
        <v>2544</v>
      </c>
      <c r="L421" s="20" t="s">
        <v>186</v>
      </c>
      <c r="M421" s="20" t="s">
        <v>187</v>
      </c>
      <c r="N421" s="20" t="s">
        <v>188</v>
      </c>
      <c r="O421" s="20" t="s">
        <v>189</v>
      </c>
      <c r="P421" s="20" t="s">
        <v>190</v>
      </c>
      <c r="Q421" s="20" t="s">
        <v>191</v>
      </c>
      <c r="R421" s="20" t="s">
        <v>192</v>
      </c>
      <c r="S421" s="20" t="s">
        <v>193</v>
      </c>
      <c r="T421" s="20" t="s">
        <v>2545</v>
      </c>
      <c r="U421" s="20"/>
      <c r="V421" s="20" t="s">
        <v>854</v>
      </c>
      <c r="W421" s="20" t="s">
        <v>96</v>
      </c>
      <c r="X421" s="20" t="s">
        <v>97</v>
      </c>
      <c r="Y421" s="20" t="s">
        <v>70</v>
      </c>
      <c r="Z421" s="20" t="s">
        <v>197</v>
      </c>
      <c r="AA421" s="20" t="s">
        <v>2546</v>
      </c>
      <c r="AB421" s="20" t="s">
        <v>2547</v>
      </c>
      <c r="AC421" s="20" t="s">
        <v>2548</v>
      </c>
      <c r="AD421" s="20" t="s">
        <v>2547</v>
      </c>
      <c r="AE421" s="20"/>
      <c r="AF421" s="9" t="n">
        <v>0</v>
      </c>
      <c r="AG421" s="12" t="n">
        <v>0</v>
      </c>
      <c r="AH421" s="22" t="s">
        <v>161</v>
      </c>
      <c r="AI421" s="12" t="str">
        <f>IF(AH421="","",IFERROR(RIGHT("0000"&amp;AH421,4)&amp;" - "&amp;UPPER(_xlfn.XLOOKUP(RIGHT("0000"&amp;AH421,4),CODEBOOK_CAP!$C$2:$C$212,CODEBOOK_CAP!$D$2:$D$212)),"Código CAP não encontrado"))</f>
        <v>2300 - GERAL</v>
      </c>
      <c r="AJ421" s="12" t="str">
        <f>IF(AH421="","",IFERROR(_xlfn.XLOOKUP(RIGHT("0000"&amp;AH421,4),CODEBOOK_CAP!$C$2:$C$212,CODEBOOK_CAP!$E$2:$E$212),"Código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21" s="22" t="s">
        <v>77</v>
      </c>
      <c r="AL421" s="26"/>
      <c r="AM421" s="22" t="s">
        <v>77</v>
      </c>
      <c r="AN421" s="22" t="s">
        <v>77</v>
      </c>
      <c r="AO421" s="12"/>
      <c r="AP421" s="22" t="s">
        <v>79</v>
      </c>
      <c r="AQ421" s="12" t="s">
        <v>824</v>
      </c>
      <c r="AR421" s="22" t="s">
        <v>77</v>
      </c>
      <c r="AS421" s="10"/>
      <c r="AT421" s="2" t="s">
        <v>1814</v>
      </c>
      <c r="AU421" s="12" t="s">
        <v>83</v>
      </c>
      <c r="AV421" s="3" t="n">
        <v>46221</v>
      </c>
      <c r="AW421" s="21"/>
      <c r="AX421" s="1" t="s">
        <v>6956</v>
      </c>
      <c r="AY421" s="1"/>
      <c r="BA421" s="1"/>
      <c r="BB421" s="1"/>
    </row>
    <row r="422" ht="180" customHeight="1">
      <c r="A422" s="20" t="s">
        <v>2549</v>
      </c>
      <c r="B422" s="20" t="n">
        <v>2023</v>
      </c>
      <c r="C422" s="20" t="n">
        <v>272</v>
      </c>
      <c r="D422" s="20" t="s">
        <v>50</v>
      </c>
      <c r="E422" s="20" t="s">
        <v>2521</v>
      </c>
      <c r="F422" s="20" t="s">
        <v>2550</v>
      </c>
      <c r="G422" s="20" t="s">
        <v>86</v>
      </c>
      <c r="H422" s="20" t="s">
        <v>2523</v>
      </c>
      <c r="I422" s="20"/>
      <c r="J422" s="20" t="s">
        <v>2551</v>
      </c>
      <c r="K422" s="20" t="s">
        <v>2552</v>
      </c>
      <c r="L422" s="20" t="s">
        <v>722</v>
      </c>
      <c r="M422" s="20" t="s">
        <v>723</v>
      </c>
      <c r="N422" s="20" t="s">
        <v>724</v>
      </c>
      <c r="O422" s="20" t="s">
        <v>725</v>
      </c>
      <c r="P422" s="20" t="s">
        <v>61</v>
      </c>
      <c r="Q422" s="20" t="s">
        <v>62</v>
      </c>
      <c r="R422" s="20" t="s">
        <v>726</v>
      </c>
      <c r="S422" s="20" t="s">
        <v>727</v>
      </c>
      <c r="T422" s="20" t="s">
        <v>2553</v>
      </c>
      <c r="U422" s="20" t="s">
        <v>2554</v>
      </c>
      <c r="V422" s="20" t="s">
        <v>196</v>
      </c>
      <c r="W422" s="20" t="s">
        <v>68</v>
      </c>
      <c r="X422" s="20" t="s">
        <v>69</v>
      </c>
      <c r="Y422" s="20" t="s">
        <v>70</v>
      </c>
      <c r="Z422" s="20" t="s">
        <v>730</v>
      </c>
      <c r="AA422" s="20" t="s">
        <v>233</v>
      </c>
      <c r="AB422" s="20" t="s">
        <v>2555</v>
      </c>
      <c r="AC422" s="20" t="s">
        <v>2555</v>
      </c>
      <c r="AD422" s="20" t="s">
        <v>2555</v>
      </c>
      <c r="AE422" s="20"/>
      <c r="AF422" s="9" t="n">
        <v>0</v>
      </c>
      <c r="AG422" s="12" t="n">
        <v>0</v>
      </c>
      <c r="AH422" s="22" t="s">
        <v>1030</v>
      </c>
      <c r="AI422" s="12" t="str">
        <f>IF(AH422="","",IFERROR(RIGHT("0000"&amp;AH422,4)&amp;" - "&amp;UPPER(_xlfn.XLOOKUP(RIGHT("0000"&amp;AH422,4),CODEBOOK_CAP!$C$2:$C$212,CODEBOOK_CAP!$D$2:$D$212)),"Código CAP não encontrado"))</f>
        <v>1201 - POLÍCIA, AGENCIAS E INSTITUIÇÕES - LEI E CRIMES</v>
      </c>
      <c r="AJ422" s="12" t="str">
        <f>IF(AH422="","",IFERROR(_xlfn.XLOOKUP(RIGHT("0000"&amp;AH422,4),CODEBOOK_CAP!$C$2:$C$212,CODEBOOK_CAP!$E$2:$E$212),"Código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422" s="22" t="s">
        <v>77</v>
      </c>
      <c r="AL422" s="26"/>
      <c r="AM422" s="22" t="s">
        <v>77</v>
      </c>
      <c r="AN422" s="22" t="s">
        <v>77</v>
      </c>
      <c r="AO422" s="12"/>
      <c r="AP422" s="22" t="s">
        <v>77</v>
      </c>
      <c r="AQ422" s="12"/>
      <c r="AR422" s="22" t="s">
        <v>77</v>
      </c>
      <c r="AS422" s="10"/>
      <c r="AT422" s="2" t="s">
        <v>1814</v>
      </c>
      <c r="AU422" s="12" t="s">
        <v>83</v>
      </c>
      <c r="AV422" s="3" t="n">
        <v>46221</v>
      </c>
      <c r="AW422" s="21"/>
      <c r="AY422" s="1"/>
      <c r="BA422" s="1"/>
      <c r="BB422" s="1"/>
    </row>
    <row r="423" ht="120" customHeight="1">
      <c r="A423" s="20" t="s">
        <v>2556</v>
      </c>
      <c r="B423" s="20" t="n">
        <v>2023</v>
      </c>
      <c r="C423" s="20" t="n">
        <v>327</v>
      </c>
      <c r="D423" s="20" t="s">
        <v>50</v>
      </c>
      <c r="E423" s="20" t="s">
        <v>2521</v>
      </c>
      <c r="F423" s="20" t="s">
        <v>2557</v>
      </c>
      <c r="G423" s="20" t="s">
        <v>86</v>
      </c>
      <c r="H423" s="20" t="s">
        <v>2523</v>
      </c>
      <c r="I423" s="20"/>
      <c r="J423" s="20" t="s">
        <v>2558</v>
      </c>
      <c r="K423" s="20" t="s">
        <v>122</v>
      </c>
      <c r="L423" s="20" t="s">
        <v>57</v>
      </c>
      <c r="M423" s="20" t="s">
        <v>58</v>
      </c>
      <c r="N423" s="20" t="s">
        <v>59</v>
      </c>
      <c r="O423" s="20" t="s">
        <v>60</v>
      </c>
      <c r="P423" s="20" t="s">
        <v>89</v>
      </c>
      <c r="Q423" s="20" t="s">
        <v>90</v>
      </c>
      <c r="R423" s="20" t="s">
        <v>91</v>
      </c>
      <c r="S423" s="20" t="s">
        <v>92</v>
      </c>
      <c r="T423" s="20" t="s">
        <v>123</v>
      </c>
      <c r="U423" s="20" t="s">
        <v>124</v>
      </c>
      <c r="V423" s="20" t="s">
        <v>95</v>
      </c>
      <c r="W423" s="20" t="s">
        <v>96</v>
      </c>
      <c r="X423" s="20" t="s">
        <v>97</v>
      </c>
      <c r="Y423" s="20" t="s">
        <v>70</v>
      </c>
      <c r="Z423" s="20" t="s">
        <v>98</v>
      </c>
      <c r="AA423" s="20" t="s">
        <v>580</v>
      </c>
      <c r="AB423" s="20" t="s">
        <v>580</v>
      </c>
      <c r="AC423" s="20" t="s">
        <v>580</v>
      </c>
      <c r="AD423" s="20" t="s">
        <v>580</v>
      </c>
      <c r="AE423" s="20"/>
      <c r="AF423" s="9" t="n">
        <v>1</v>
      </c>
      <c r="AG423" s="12" t="n">
        <v>1</v>
      </c>
      <c r="AH423" s="22" t="s">
        <v>235</v>
      </c>
      <c r="AI423" s="12" t="str">
        <f>IF(AH423="","",IFERROR(RIGHT("0000"&amp;AH423,4)&amp;" - "&amp;UPPER(_xlfn.XLOOKUP(RIGHT("0000"&amp;AH423,4),CODEBOOK_CAP!$C$2:$C$212,CODEBOOK_CAP!$D$2:$D$212)),"Código CAP não encontrado"))</f>
        <v>0322 - ESTRUTURAS, HOSPITAIS, CLÍNICAS</v>
      </c>
      <c r="AJ423" s="12" t="str">
        <f>IF(AH423="","",IFERROR(_xlfn.XLOOKUP(RIGHT("0000"&amp;AH423,4),CODEBOOK_CAP!$C$2:$C$212,CODEBOOK_CAP!$E$2:$E$212),"Código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3" s="22" t="s">
        <v>77</v>
      </c>
      <c r="AL423" s="26"/>
      <c r="AM423" s="22" t="s">
        <v>79</v>
      </c>
      <c r="AN423" s="22" t="s">
        <v>79</v>
      </c>
      <c r="AO423" s="12" t="s">
        <v>2559</v>
      </c>
      <c r="AP423" s="22" t="s">
        <v>77</v>
      </c>
      <c r="AQ423" s="12"/>
      <c r="AR423" s="22" t="s">
        <v>77</v>
      </c>
      <c r="AS423" s="10"/>
      <c r="AT423" s="2" t="s">
        <v>1814</v>
      </c>
      <c r="AU423" s="12" t="s">
        <v>83</v>
      </c>
      <c r="AV423" s="3" t="n">
        <v>46221</v>
      </c>
      <c r="AW423" s="21"/>
      <c r="AY423" s="1"/>
      <c r="BA423" s="1"/>
      <c r="BB423" s="1"/>
    </row>
    <row r="424" ht="150" customHeight="1">
      <c r="A424" s="20" t="s">
        <v>2560</v>
      </c>
      <c r="B424" s="20" t="n">
        <v>2023</v>
      </c>
      <c r="C424" s="20" t="n">
        <v>328</v>
      </c>
      <c r="D424" s="20" t="s">
        <v>50</v>
      </c>
      <c r="E424" s="20" t="s">
        <v>2521</v>
      </c>
      <c r="F424" s="20" t="s">
        <v>2561</v>
      </c>
      <c r="G424" s="20" t="s">
        <v>86</v>
      </c>
      <c r="H424" s="20" t="s">
        <v>2523</v>
      </c>
      <c r="I424" s="20"/>
      <c r="J424" s="20" t="s">
        <v>2562</v>
      </c>
      <c r="K424" s="20" t="s">
        <v>122</v>
      </c>
      <c r="L424" s="20" t="s">
        <v>57</v>
      </c>
      <c r="M424" s="20" t="s">
        <v>58</v>
      </c>
      <c r="N424" s="20" t="s">
        <v>59</v>
      </c>
      <c r="O424" s="20" t="s">
        <v>60</v>
      </c>
      <c r="P424" s="20" t="s">
        <v>89</v>
      </c>
      <c r="Q424" s="20" t="s">
        <v>90</v>
      </c>
      <c r="R424" s="20" t="s">
        <v>91</v>
      </c>
      <c r="S424" s="20" t="s">
        <v>92</v>
      </c>
      <c r="T424" s="20" t="s">
        <v>123</v>
      </c>
      <c r="U424" s="20" t="s">
        <v>124</v>
      </c>
      <c r="V424" s="20" t="s">
        <v>95</v>
      </c>
      <c r="W424" s="20" t="s">
        <v>96</v>
      </c>
      <c r="X424" s="20" t="s">
        <v>97</v>
      </c>
      <c r="Y424" s="20" t="s">
        <v>70</v>
      </c>
      <c r="Z424" s="20" t="s">
        <v>98</v>
      </c>
      <c r="AA424" s="20" t="s">
        <v>580</v>
      </c>
      <c r="AB424" s="20" t="s">
        <v>580</v>
      </c>
      <c r="AC424" s="20" t="s">
        <v>580</v>
      </c>
      <c r="AD424" s="20" t="s">
        <v>580</v>
      </c>
      <c r="AE424" s="20"/>
      <c r="AF424" s="9" t="n">
        <v>1</v>
      </c>
      <c r="AG424" s="12" t="n">
        <v>1</v>
      </c>
      <c r="AH424" s="22" t="s">
        <v>620</v>
      </c>
      <c r="AI424" s="12" t="str">
        <f>IF(AH424="","",IFERROR(RIGHT("0000"&amp;AH424,4)&amp;" - "&amp;UPPER(_xlfn.XLOOKUP(RIGHT("0000"&amp;AH424,4),CODEBOOK_CAP!$C$2:$C$212,CODEBOOK_CAP!$D$2:$D$212)),"Código CAP não encontrado"))</f>
        <v>0332 - SAÚDE INFANTIL, GRAVIDEZ E PRÉ-NATAL</v>
      </c>
      <c r="AJ424" s="12" t="str">
        <f>IF(AH424="","",IFERROR(_xlfn.XLOOKUP(RIGHT("0000"&amp;AH424,4),CODEBOOK_CAP!$C$2:$C$212,CODEBOOK_CAP!$E$2:$E$212),"Código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424" s="22" t="s">
        <v>77</v>
      </c>
      <c r="AL424" s="26"/>
      <c r="AM424" s="22" t="s">
        <v>79</v>
      </c>
      <c r="AN424" s="22" t="s">
        <v>79</v>
      </c>
      <c r="AO424" s="12" t="s">
        <v>1901</v>
      </c>
      <c r="AP424" s="22" t="s">
        <v>79</v>
      </c>
      <c r="AQ424" s="12" t="s">
        <v>622</v>
      </c>
      <c r="AR424" s="22" t="s">
        <v>77</v>
      </c>
      <c r="AS424" s="10"/>
      <c r="AT424" s="2" t="s">
        <v>1814</v>
      </c>
      <c r="AU424" s="12" t="s">
        <v>83</v>
      </c>
      <c r="AV424" s="3" t="n">
        <v>46221</v>
      </c>
      <c r="AW424" s="21"/>
      <c r="AY424" s="1"/>
      <c r="BA424" s="1"/>
      <c r="BB424" s="1"/>
    </row>
    <row r="425" ht="120" customHeight="1">
      <c r="A425" s="20" t="s">
        <v>2563</v>
      </c>
      <c r="B425" s="20" t="n">
        <v>2023</v>
      </c>
      <c r="C425" s="20" t="n">
        <v>329</v>
      </c>
      <c r="D425" s="20" t="s">
        <v>50</v>
      </c>
      <c r="E425" s="20" t="s">
        <v>2521</v>
      </c>
      <c r="F425" s="20" t="s">
        <v>2564</v>
      </c>
      <c r="G425" s="20" t="s">
        <v>86</v>
      </c>
      <c r="H425" s="20" t="s">
        <v>2523</v>
      </c>
      <c r="I425" s="20"/>
      <c r="J425" s="20" t="s">
        <v>2565</v>
      </c>
      <c r="K425" s="20" t="s">
        <v>122</v>
      </c>
      <c r="L425" s="20" t="s">
        <v>57</v>
      </c>
      <c r="M425" s="20" t="s">
        <v>58</v>
      </c>
      <c r="N425" s="20" t="s">
        <v>59</v>
      </c>
      <c r="O425" s="20" t="s">
        <v>60</v>
      </c>
      <c r="P425" s="20" t="s">
        <v>89</v>
      </c>
      <c r="Q425" s="20" t="s">
        <v>90</v>
      </c>
      <c r="R425" s="20" t="s">
        <v>91</v>
      </c>
      <c r="S425" s="20" t="s">
        <v>92</v>
      </c>
      <c r="T425" s="20" t="s">
        <v>123</v>
      </c>
      <c r="U425" s="20" t="s">
        <v>124</v>
      </c>
      <c r="V425" s="20" t="s">
        <v>95</v>
      </c>
      <c r="W425" s="20" t="s">
        <v>96</v>
      </c>
      <c r="X425" s="20" t="s">
        <v>97</v>
      </c>
      <c r="Y425" s="20" t="s">
        <v>70</v>
      </c>
      <c r="Z425" s="20" t="s">
        <v>98</v>
      </c>
      <c r="AA425" s="20" t="s">
        <v>2532</v>
      </c>
      <c r="AB425" s="20" t="s">
        <v>2532</v>
      </c>
      <c r="AC425" s="20" t="s">
        <v>2532</v>
      </c>
      <c r="AD425" s="20" t="s">
        <v>2532</v>
      </c>
      <c r="AE425" s="20"/>
      <c r="AF425" s="9" t="n">
        <v>1</v>
      </c>
      <c r="AG425" s="12" t="n">
        <v>1</v>
      </c>
      <c r="AH425" s="22" t="s">
        <v>235</v>
      </c>
      <c r="AI425" s="12" t="str">
        <f>IF(AH425="","",IFERROR(RIGHT("0000"&amp;AH425,4)&amp;" - "&amp;UPPER(_xlfn.XLOOKUP(RIGHT("0000"&amp;AH425,4),CODEBOOK_CAP!$C$2:$C$212,CODEBOOK_CAP!$D$2:$D$212)),"Código CAP não encontrado"))</f>
        <v>0322 - ESTRUTURAS, HOSPITAIS, CLÍNICAS</v>
      </c>
      <c r="AJ425" s="12" t="str">
        <f>IF(AH425="","",IFERROR(_xlfn.XLOOKUP(RIGHT("0000"&amp;AH425,4),CODEBOOK_CAP!$C$2:$C$212,CODEBOOK_CAP!$E$2:$E$212),"Código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5" s="22" t="s">
        <v>77</v>
      </c>
      <c r="AL425" s="26"/>
      <c r="AM425" s="22" t="s">
        <v>79</v>
      </c>
      <c r="AN425" s="22" t="s">
        <v>79</v>
      </c>
      <c r="AO425" s="12" t="s">
        <v>1854</v>
      </c>
      <c r="AP425" s="22" t="s">
        <v>77</v>
      </c>
      <c r="AQ425" s="12"/>
      <c r="AR425" s="22" t="s">
        <v>77</v>
      </c>
      <c r="AS425" s="10"/>
      <c r="AT425" s="2" t="s">
        <v>1814</v>
      </c>
      <c r="AU425" s="12" t="s">
        <v>83</v>
      </c>
      <c r="AV425" s="3" t="n">
        <v>46221</v>
      </c>
      <c r="AW425" s="21"/>
      <c r="AY425" s="1"/>
      <c r="BA425" s="1"/>
      <c r="BB425" s="1"/>
    </row>
    <row r="426" ht="120" customHeight="1">
      <c r="A426" s="20" t="s">
        <v>2566</v>
      </c>
      <c r="B426" s="20" t="n">
        <v>2023</v>
      </c>
      <c r="C426" s="20" t="n">
        <v>330</v>
      </c>
      <c r="D426" s="20" t="s">
        <v>50</v>
      </c>
      <c r="E426" s="20" t="s">
        <v>2521</v>
      </c>
      <c r="F426" s="20" t="s">
        <v>2567</v>
      </c>
      <c r="G426" s="20" t="s">
        <v>86</v>
      </c>
      <c r="H426" s="20" t="s">
        <v>2523</v>
      </c>
      <c r="I426" s="20"/>
      <c r="J426" s="20" t="s">
        <v>2568</v>
      </c>
      <c r="K426" s="20" t="s">
        <v>122</v>
      </c>
      <c r="L426" s="20" t="s">
        <v>57</v>
      </c>
      <c r="M426" s="20" t="s">
        <v>58</v>
      </c>
      <c r="N426" s="20" t="s">
        <v>59</v>
      </c>
      <c r="O426" s="20" t="s">
        <v>60</v>
      </c>
      <c r="P426" s="20" t="s">
        <v>89</v>
      </c>
      <c r="Q426" s="20" t="s">
        <v>90</v>
      </c>
      <c r="R426" s="20" t="s">
        <v>91</v>
      </c>
      <c r="S426" s="20" t="s">
        <v>92</v>
      </c>
      <c r="T426" s="20" t="s">
        <v>123</v>
      </c>
      <c r="U426" s="20" t="s">
        <v>124</v>
      </c>
      <c r="V426" s="20" t="s">
        <v>95</v>
      </c>
      <c r="W426" s="20" t="s">
        <v>96</v>
      </c>
      <c r="X426" s="20" t="s">
        <v>97</v>
      </c>
      <c r="Y426" s="20" t="s">
        <v>70</v>
      </c>
      <c r="Z426" s="20" t="s">
        <v>98</v>
      </c>
      <c r="AA426" s="20" t="s">
        <v>388</v>
      </c>
      <c r="AB426" s="20" t="s">
        <v>388</v>
      </c>
      <c r="AC426" s="20" t="s">
        <v>388</v>
      </c>
      <c r="AD426" s="20" t="s">
        <v>388</v>
      </c>
      <c r="AE426" s="20"/>
      <c r="AF426" s="9" t="n">
        <v>1</v>
      </c>
      <c r="AG426" s="12" t="n">
        <v>1</v>
      </c>
      <c r="AH426" s="22" t="s">
        <v>235</v>
      </c>
      <c r="AI426" s="12" t="str">
        <f>IF(AH426="","",IFERROR(RIGHT("0000"&amp;AH426,4)&amp;" - "&amp;UPPER(_xlfn.XLOOKUP(RIGHT("0000"&amp;AH426,4),CODEBOOK_CAP!$C$2:$C$212,CODEBOOK_CAP!$D$2:$D$212)),"Código CAP não encontrado"))</f>
        <v>0322 - ESTRUTURAS, HOSPITAIS, CLÍNICAS</v>
      </c>
      <c r="AJ426" s="12" t="str">
        <f>IF(AH426="","",IFERROR(_xlfn.XLOOKUP(RIGHT("0000"&amp;AH426,4),CODEBOOK_CAP!$C$2:$C$212,CODEBOOK_CAP!$E$2:$E$212),"Código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6" s="22" t="s">
        <v>77</v>
      </c>
      <c r="AL426" s="26"/>
      <c r="AM426" s="22" t="s">
        <v>79</v>
      </c>
      <c r="AN426" s="22" t="s">
        <v>79</v>
      </c>
      <c r="AO426" s="12" t="s">
        <v>1894</v>
      </c>
      <c r="AP426" s="22" t="s">
        <v>77</v>
      </c>
      <c r="AQ426" s="12"/>
      <c r="AR426" s="22" t="s">
        <v>77</v>
      </c>
      <c r="AS426" s="10"/>
      <c r="AT426" s="2" t="s">
        <v>1814</v>
      </c>
      <c r="AU426" s="12" t="s">
        <v>83</v>
      </c>
      <c r="AV426" s="3" t="n">
        <v>46221</v>
      </c>
      <c r="AW426" s="21"/>
      <c r="AY426" s="1"/>
      <c r="BA426" s="1"/>
      <c r="BB426" s="1"/>
    </row>
    <row r="427" ht="120" customHeight="1">
      <c r="A427" s="20" t="s">
        <v>2569</v>
      </c>
      <c r="B427" s="20" t="n">
        <v>2023</v>
      </c>
      <c r="C427" s="20" t="n">
        <v>331</v>
      </c>
      <c r="D427" s="20" t="s">
        <v>50</v>
      </c>
      <c r="E427" s="20" t="s">
        <v>2521</v>
      </c>
      <c r="F427" s="20" t="s">
        <v>2570</v>
      </c>
      <c r="G427" s="20" t="s">
        <v>86</v>
      </c>
      <c r="H427" s="20" t="s">
        <v>2523</v>
      </c>
      <c r="I427" s="20"/>
      <c r="J427" s="20" t="s">
        <v>2571</v>
      </c>
      <c r="K427" s="20" t="s">
        <v>122</v>
      </c>
      <c r="L427" s="20" t="s">
        <v>57</v>
      </c>
      <c r="M427" s="20" t="s">
        <v>58</v>
      </c>
      <c r="N427" s="20" t="s">
        <v>59</v>
      </c>
      <c r="O427" s="20" t="s">
        <v>60</v>
      </c>
      <c r="P427" s="20" t="s">
        <v>89</v>
      </c>
      <c r="Q427" s="20" t="s">
        <v>90</v>
      </c>
      <c r="R427" s="20" t="s">
        <v>91</v>
      </c>
      <c r="S427" s="20" t="s">
        <v>92</v>
      </c>
      <c r="T427" s="20" t="s">
        <v>123</v>
      </c>
      <c r="U427" s="20" t="s">
        <v>124</v>
      </c>
      <c r="V427" s="20" t="s">
        <v>95</v>
      </c>
      <c r="W427" s="20" t="s">
        <v>96</v>
      </c>
      <c r="X427" s="20" t="s">
        <v>97</v>
      </c>
      <c r="Y427" s="20" t="s">
        <v>70</v>
      </c>
      <c r="Z427" s="20" t="s">
        <v>98</v>
      </c>
      <c r="AA427" s="20" t="s">
        <v>388</v>
      </c>
      <c r="AB427" s="20" t="s">
        <v>388</v>
      </c>
      <c r="AC427" s="20" t="s">
        <v>388</v>
      </c>
      <c r="AD427" s="20" t="s">
        <v>388</v>
      </c>
      <c r="AE427" s="20"/>
      <c r="AF427" s="9" t="n">
        <v>1</v>
      </c>
      <c r="AG427" s="12" t="n">
        <v>1</v>
      </c>
      <c r="AH427" s="22" t="s">
        <v>235</v>
      </c>
      <c r="AI427" s="12" t="str">
        <f>IF(AH427="","",IFERROR(RIGHT("0000"&amp;AH427,4)&amp;" - "&amp;UPPER(_xlfn.XLOOKUP(RIGHT("0000"&amp;AH427,4),CODEBOOK_CAP!$C$2:$C$212,CODEBOOK_CAP!$D$2:$D$212)),"Código CAP não encontrado"))</f>
        <v>0322 - ESTRUTURAS, HOSPITAIS, CLÍNICAS</v>
      </c>
      <c r="AJ427" s="12" t="str">
        <f>IF(AH427="","",IFERROR(_xlfn.XLOOKUP(RIGHT("0000"&amp;AH427,4),CODEBOOK_CAP!$C$2:$C$212,CODEBOOK_CAP!$E$2:$E$212),"Código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7" s="22" t="s">
        <v>77</v>
      </c>
      <c r="AL427" s="26"/>
      <c r="AM427" s="22" t="s">
        <v>79</v>
      </c>
      <c r="AN427" s="22" t="s">
        <v>79</v>
      </c>
      <c r="AO427" s="12" t="s">
        <v>998</v>
      </c>
      <c r="AP427" s="22" t="s">
        <v>77</v>
      </c>
      <c r="AQ427" s="12"/>
      <c r="AR427" s="22" t="s">
        <v>77</v>
      </c>
      <c r="AS427" s="10"/>
      <c r="AT427" s="2" t="s">
        <v>1814</v>
      </c>
      <c r="AU427" s="12" t="s">
        <v>83</v>
      </c>
      <c r="AV427" s="3" t="n">
        <v>46221</v>
      </c>
      <c r="AW427" s="21"/>
      <c r="AY427" s="1"/>
      <c r="BA427" s="1"/>
      <c r="BB427" s="1"/>
    </row>
    <row r="428" ht="120" customHeight="1">
      <c r="A428" s="20" t="s">
        <v>2572</v>
      </c>
      <c r="B428" s="20" t="n">
        <v>2023</v>
      </c>
      <c r="C428" s="20" t="n">
        <v>332</v>
      </c>
      <c r="D428" s="20" t="s">
        <v>50</v>
      </c>
      <c r="E428" s="20" t="s">
        <v>2521</v>
      </c>
      <c r="F428" s="20" t="s">
        <v>2573</v>
      </c>
      <c r="G428" s="20" t="s">
        <v>86</v>
      </c>
      <c r="H428" s="20" t="s">
        <v>2523</v>
      </c>
      <c r="I428" s="20"/>
      <c r="J428" s="20" t="s">
        <v>2574</v>
      </c>
      <c r="K428" s="20" t="s">
        <v>122</v>
      </c>
      <c r="L428" s="20" t="s">
        <v>57</v>
      </c>
      <c r="M428" s="20" t="s">
        <v>58</v>
      </c>
      <c r="N428" s="20" t="s">
        <v>59</v>
      </c>
      <c r="O428" s="20" t="s">
        <v>60</v>
      </c>
      <c r="P428" s="20" t="s">
        <v>89</v>
      </c>
      <c r="Q428" s="20" t="s">
        <v>90</v>
      </c>
      <c r="R428" s="20" t="s">
        <v>91</v>
      </c>
      <c r="S428" s="20" t="s">
        <v>92</v>
      </c>
      <c r="T428" s="20" t="s">
        <v>123</v>
      </c>
      <c r="U428" s="20" t="s">
        <v>124</v>
      </c>
      <c r="V428" s="20" t="s">
        <v>95</v>
      </c>
      <c r="W428" s="20" t="s">
        <v>96</v>
      </c>
      <c r="X428" s="20" t="s">
        <v>97</v>
      </c>
      <c r="Y428" s="20" t="s">
        <v>70</v>
      </c>
      <c r="Z428" s="20" t="s">
        <v>98</v>
      </c>
      <c r="AA428" s="20" t="s">
        <v>388</v>
      </c>
      <c r="AB428" s="20" t="s">
        <v>388</v>
      </c>
      <c r="AC428" s="20" t="s">
        <v>388</v>
      </c>
      <c r="AD428" s="20" t="s">
        <v>388</v>
      </c>
      <c r="AE428" s="20"/>
      <c r="AF428" s="9" t="n">
        <v>1</v>
      </c>
      <c r="AG428" s="12" t="n">
        <v>1</v>
      </c>
      <c r="AH428" s="22" t="s">
        <v>235</v>
      </c>
      <c r="AI428" s="12" t="str">
        <f>IF(AH428="","",IFERROR(RIGHT("0000"&amp;AH428,4)&amp;" - "&amp;UPPER(_xlfn.XLOOKUP(RIGHT("0000"&amp;AH428,4),CODEBOOK_CAP!$C$2:$C$212,CODEBOOK_CAP!$D$2:$D$212)),"Código CAP não encontrado"))</f>
        <v>0322 - ESTRUTURAS, HOSPITAIS, CLÍNICAS</v>
      </c>
      <c r="AJ428" s="12" t="str">
        <f>IF(AH428="","",IFERROR(_xlfn.XLOOKUP(RIGHT("0000"&amp;AH428,4),CODEBOOK_CAP!$C$2:$C$212,CODEBOOK_CAP!$E$2:$E$212),"Código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8" s="22" t="s">
        <v>77</v>
      </c>
      <c r="AL428" s="26"/>
      <c r="AM428" s="22" t="s">
        <v>79</v>
      </c>
      <c r="AN428" s="22" t="s">
        <v>79</v>
      </c>
      <c r="AO428" s="12" t="s">
        <v>840</v>
      </c>
      <c r="AP428" s="22" t="s">
        <v>77</v>
      </c>
      <c r="AQ428" s="12"/>
      <c r="AR428" s="22" t="s">
        <v>77</v>
      </c>
      <c r="AS428" s="10"/>
      <c r="AT428" s="2" t="s">
        <v>1814</v>
      </c>
      <c r="AU428" s="12" t="s">
        <v>83</v>
      </c>
      <c r="AV428" s="3" t="n">
        <v>46221</v>
      </c>
      <c r="AW428" s="21"/>
      <c r="AY428" s="1"/>
      <c r="BA428" s="1"/>
      <c r="BB428" s="1"/>
    </row>
    <row r="429" ht="120" customHeight="1">
      <c r="A429" s="20" t="s">
        <v>2575</v>
      </c>
      <c r="B429" s="20" t="n">
        <v>2023</v>
      </c>
      <c r="C429" s="20" t="n">
        <v>333</v>
      </c>
      <c r="D429" s="20" t="s">
        <v>50</v>
      </c>
      <c r="E429" s="20" t="s">
        <v>2521</v>
      </c>
      <c r="F429" s="20" t="s">
        <v>2576</v>
      </c>
      <c r="G429" s="20" t="s">
        <v>86</v>
      </c>
      <c r="H429" s="20" t="s">
        <v>2523</v>
      </c>
      <c r="I429" s="20"/>
      <c r="J429" s="20" t="s">
        <v>2577</v>
      </c>
      <c r="K429" s="20" t="s">
        <v>122</v>
      </c>
      <c r="L429" s="20" t="s">
        <v>57</v>
      </c>
      <c r="M429" s="20" t="s">
        <v>58</v>
      </c>
      <c r="N429" s="20" t="s">
        <v>59</v>
      </c>
      <c r="O429" s="20" t="s">
        <v>60</v>
      </c>
      <c r="P429" s="20" t="s">
        <v>89</v>
      </c>
      <c r="Q429" s="20" t="s">
        <v>90</v>
      </c>
      <c r="R429" s="20" t="s">
        <v>91</v>
      </c>
      <c r="S429" s="20" t="s">
        <v>92</v>
      </c>
      <c r="T429" s="20" t="s">
        <v>123</v>
      </c>
      <c r="U429" s="20" t="s">
        <v>124</v>
      </c>
      <c r="V429" s="20" t="s">
        <v>95</v>
      </c>
      <c r="W429" s="20" t="s">
        <v>96</v>
      </c>
      <c r="X429" s="20" t="s">
        <v>97</v>
      </c>
      <c r="Y429" s="20" t="s">
        <v>70</v>
      </c>
      <c r="Z429" s="20" t="s">
        <v>98</v>
      </c>
      <c r="AA429" s="20" t="s">
        <v>363</v>
      </c>
      <c r="AB429" s="20" t="s">
        <v>363</v>
      </c>
      <c r="AC429" s="20" t="s">
        <v>363</v>
      </c>
      <c r="AD429" s="20" t="s">
        <v>363</v>
      </c>
      <c r="AE429" s="20"/>
      <c r="AF429" s="9" t="n">
        <v>1</v>
      </c>
      <c r="AG429" s="12" t="n">
        <v>1</v>
      </c>
      <c r="AH429" s="22" t="s">
        <v>235</v>
      </c>
      <c r="AI429" s="12" t="str">
        <f>IF(AH429="","",IFERROR(RIGHT("0000"&amp;AH429,4)&amp;" - "&amp;UPPER(_xlfn.XLOOKUP(RIGHT("0000"&amp;AH429,4),CODEBOOK_CAP!$C$2:$C$212,CODEBOOK_CAP!$D$2:$D$212)),"Código CAP não encontrado"))</f>
        <v>0322 - ESTRUTURAS, HOSPITAIS, CLÍNICAS</v>
      </c>
      <c r="AJ429" s="12" t="str">
        <f>IF(AH429="","",IFERROR(_xlfn.XLOOKUP(RIGHT("0000"&amp;AH429,4),CODEBOOK_CAP!$C$2:$C$212,CODEBOOK_CAP!$E$2:$E$212),"Código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29" s="22" t="s">
        <v>77</v>
      </c>
      <c r="AL429" s="26"/>
      <c r="AM429" s="22" t="s">
        <v>79</v>
      </c>
      <c r="AN429" s="22" t="s">
        <v>79</v>
      </c>
      <c r="AO429" s="12" t="s">
        <v>981</v>
      </c>
      <c r="AP429" s="22" t="s">
        <v>77</v>
      </c>
      <c r="AQ429" s="12"/>
      <c r="AR429" s="22" t="s">
        <v>77</v>
      </c>
      <c r="AS429" s="10"/>
      <c r="AT429" s="2" t="s">
        <v>1814</v>
      </c>
      <c r="AU429" s="12" t="s">
        <v>83</v>
      </c>
      <c r="AV429" s="3" t="n">
        <v>46221</v>
      </c>
      <c r="AW429" s="21"/>
      <c r="AY429" s="1"/>
      <c r="BA429" s="1"/>
      <c r="BB429" s="1"/>
    </row>
    <row r="430" ht="150" customHeight="1">
      <c r="A430" s="20" t="s">
        <v>2578</v>
      </c>
      <c r="B430" s="20" t="n">
        <v>2023</v>
      </c>
      <c r="C430" s="20" t="n">
        <v>334</v>
      </c>
      <c r="D430" s="20" t="s">
        <v>50</v>
      </c>
      <c r="E430" s="20" t="s">
        <v>2521</v>
      </c>
      <c r="F430" s="20" t="s">
        <v>662</v>
      </c>
      <c r="G430" s="20" t="s">
        <v>86</v>
      </c>
      <c r="H430" s="20" t="s">
        <v>2523</v>
      </c>
      <c r="I430" s="20"/>
      <c r="J430" s="20" t="s">
        <v>2579</v>
      </c>
      <c r="K430" s="20" t="s">
        <v>88</v>
      </c>
      <c r="L430" s="20" t="s">
        <v>57</v>
      </c>
      <c r="M430" s="20" t="s">
        <v>58</v>
      </c>
      <c r="N430" s="20" t="s">
        <v>59</v>
      </c>
      <c r="O430" s="20" t="s">
        <v>60</v>
      </c>
      <c r="P430" s="20" t="s">
        <v>89</v>
      </c>
      <c r="Q430" s="20" t="s">
        <v>90</v>
      </c>
      <c r="R430" s="20" t="s">
        <v>91</v>
      </c>
      <c r="S430" s="20" t="s">
        <v>92</v>
      </c>
      <c r="T430" s="20" t="s">
        <v>93</v>
      </c>
      <c r="U430" s="20" t="s">
        <v>94</v>
      </c>
      <c r="V430" s="20" t="s">
        <v>95</v>
      </c>
      <c r="W430" s="20" t="s">
        <v>96</v>
      </c>
      <c r="X430" s="20" t="s">
        <v>97</v>
      </c>
      <c r="Y430" s="20" t="s">
        <v>70</v>
      </c>
      <c r="Z430" s="20" t="s">
        <v>98</v>
      </c>
      <c r="AA430" s="20" t="s">
        <v>343</v>
      </c>
      <c r="AB430" s="20" t="s">
        <v>343</v>
      </c>
      <c r="AC430" s="20" t="s">
        <v>343</v>
      </c>
      <c r="AD430" s="20" t="s">
        <v>343</v>
      </c>
      <c r="AE430" s="20"/>
      <c r="AF430" s="9" t="n">
        <v>1</v>
      </c>
      <c r="AG430" s="12" t="n">
        <v>1</v>
      </c>
      <c r="AH430" s="22" t="s">
        <v>620</v>
      </c>
      <c r="AI430" s="12" t="str">
        <f>IF(AH430="","",IFERROR(RIGHT("0000"&amp;AH430,4)&amp;" - "&amp;UPPER(_xlfn.XLOOKUP(RIGHT("0000"&amp;AH430,4),CODEBOOK_CAP!$C$2:$C$212,CODEBOOK_CAP!$D$2:$D$212)),"Código CAP não encontrado"))</f>
        <v>0332 - SAÚDE INFANTIL, GRAVIDEZ E PRÉ-NATAL</v>
      </c>
      <c r="AJ430" s="12" t="str">
        <f>IF(AH430="","",IFERROR(_xlfn.XLOOKUP(RIGHT("0000"&amp;AH430,4),CODEBOOK_CAP!$C$2:$C$212,CODEBOOK_CAP!$E$2:$E$212),"Código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430" s="22" t="s">
        <v>77</v>
      </c>
      <c r="AL430" s="26"/>
      <c r="AM430" s="22" t="s">
        <v>79</v>
      </c>
      <c r="AN430" s="22" t="s">
        <v>79</v>
      </c>
      <c r="AO430" s="12" t="s">
        <v>2580</v>
      </c>
      <c r="AP430" s="22" t="s">
        <v>79</v>
      </c>
      <c r="AQ430" s="12" t="s">
        <v>2581</v>
      </c>
      <c r="AR430" s="22" t="s">
        <v>77</v>
      </c>
      <c r="AS430" s="10"/>
      <c r="AT430" s="2" t="s">
        <v>1814</v>
      </c>
      <c r="AU430" s="12" t="s">
        <v>83</v>
      </c>
      <c r="AV430" s="3" t="n">
        <v>46221</v>
      </c>
      <c r="AW430" s="21"/>
      <c r="AY430" s="1"/>
      <c r="BA430" s="1"/>
      <c r="BB430" s="1"/>
    </row>
    <row r="431" ht="105" customHeight="1">
      <c r="A431" s="20" t="s">
        <v>2582</v>
      </c>
      <c r="B431" s="20" t="n">
        <v>2023</v>
      </c>
      <c r="C431" s="20" t="n">
        <v>335</v>
      </c>
      <c r="D431" s="20" t="s">
        <v>50</v>
      </c>
      <c r="E431" s="20" t="s">
        <v>2521</v>
      </c>
      <c r="F431" s="20" t="s">
        <v>2138</v>
      </c>
      <c r="G431" s="20" t="s">
        <v>86</v>
      </c>
      <c r="H431" s="20" t="s">
        <v>2523</v>
      </c>
      <c r="I431" s="20"/>
      <c r="J431" s="20" t="s">
        <v>2583</v>
      </c>
      <c r="K431" s="20" t="s">
        <v>88</v>
      </c>
      <c r="L431" s="20" t="s">
        <v>57</v>
      </c>
      <c r="M431" s="20" t="s">
        <v>58</v>
      </c>
      <c r="N431" s="20" t="s">
        <v>59</v>
      </c>
      <c r="O431" s="20" t="s">
        <v>60</v>
      </c>
      <c r="P431" s="20" t="s">
        <v>89</v>
      </c>
      <c r="Q431" s="20" t="s">
        <v>90</v>
      </c>
      <c r="R431" s="20" t="s">
        <v>91</v>
      </c>
      <c r="S431" s="20" t="s">
        <v>92</v>
      </c>
      <c r="T431" s="20" t="s">
        <v>93</v>
      </c>
      <c r="U431" s="20" t="s">
        <v>94</v>
      </c>
      <c r="V431" s="20" t="s">
        <v>95</v>
      </c>
      <c r="W431" s="20" t="s">
        <v>96</v>
      </c>
      <c r="X431" s="20" t="s">
        <v>97</v>
      </c>
      <c r="Y431" s="20" t="s">
        <v>70</v>
      </c>
      <c r="Z431" s="20" t="s">
        <v>98</v>
      </c>
      <c r="AA431" s="20" t="s">
        <v>255</v>
      </c>
      <c r="AB431" s="20" t="s">
        <v>255</v>
      </c>
      <c r="AC431" s="20" t="s">
        <v>255</v>
      </c>
      <c r="AD431" s="20" t="s">
        <v>255</v>
      </c>
      <c r="AE431" s="20"/>
      <c r="AF431" s="9" t="n">
        <v>1</v>
      </c>
      <c r="AG431" s="12" t="n">
        <v>1</v>
      </c>
      <c r="AH431" s="22" t="s">
        <v>76</v>
      </c>
      <c r="AI431" s="12" t="str">
        <f>IF(AH431="","",IFERROR(RIGHT("0000"&amp;AH431,4)&amp;" - "&amp;UPPER(_xlfn.XLOOKUP(RIGHT("0000"&amp;AH431,4),CODEBOOK_CAP!$C$2:$C$212,CODEBOOK_CAP!$D$2:$D$212)),"Código CAP não encontrado"))</f>
        <v>0333 - SAÚDE MENTAL</v>
      </c>
      <c r="AJ431" s="12" t="str">
        <f>IF(AH431="","",IFERROR(_xlfn.XLOOKUP(RIGHT("0000"&amp;AH431,4),CODEBOOK_CAP!$C$2:$C$212,CODEBOOK_CAP!$E$2:$E$212),"Código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431" s="22" t="s">
        <v>77</v>
      </c>
      <c r="AL431" s="26"/>
      <c r="AM431" s="22" t="s">
        <v>77</v>
      </c>
      <c r="AN431" s="22" t="s">
        <v>77</v>
      </c>
      <c r="AO431" s="12"/>
      <c r="AP431" s="22" t="s">
        <v>79</v>
      </c>
      <c r="AQ431" s="12" t="s">
        <v>901</v>
      </c>
      <c r="AR431" s="22" t="s">
        <v>77</v>
      </c>
      <c r="AS431" s="10"/>
      <c r="AT431" s="2" t="s">
        <v>1814</v>
      </c>
      <c r="AU431" s="12" t="s">
        <v>83</v>
      </c>
      <c r="AV431" s="3" t="n">
        <v>46221</v>
      </c>
      <c r="AW431" s="21"/>
      <c r="AY431" s="1"/>
      <c r="BA431" s="1"/>
      <c r="BB431" s="1"/>
    </row>
    <row r="432" ht="105" customHeight="1">
      <c r="A432" s="20" t="s">
        <v>2584</v>
      </c>
      <c r="B432" s="20" t="n">
        <v>2023</v>
      </c>
      <c r="C432" s="20" t="n">
        <v>336</v>
      </c>
      <c r="D432" s="20" t="s">
        <v>50</v>
      </c>
      <c r="E432" s="20" t="s">
        <v>2521</v>
      </c>
      <c r="F432" s="20" t="s">
        <v>2585</v>
      </c>
      <c r="G432" s="20" t="s">
        <v>86</v>
      </c>
      <c r="H432" s="20" t="s">
        <v>2523</v>
      </c>
      <c r="I432" s="20"/>
      <c r="J432" s="20" t="s">
        <v>2586</v>
      </c>
      <c r="K432" s="20" t="s">
        <v>88</v>
      </c>
      <c r="L432" s="20" t="s">
        <v>57</v>
      </c>
      <c r="M432" s="20" t="s">
        <v>58</v>
      </c>
      <c r="N432" s="20" t="s">
        <v>59</v>
      </c>
      <c r="O432" s="20" t="s">
        <v>60</v>
      </c>
      <c r="P432" s="20" t="s">
        <v>89</v>
      </c>
      <c r="Q432" s="20" t="s">
        <v>90</v>
      </c>
      <c r="R432" s="20" t="s">
        <v>91</v>
      </c>
      <c r="S432" s="20" t="s">
        <v>92</v>
      </c>
      <c r="T432" s="20" t="s">
        <v>93</v>
      </c>
      <c r="U432" s="20" t="s">
        <v>94</v>
      </c>
      <c r="V432" s="20" t="s">
        <v>95</v>
      </c>
      <c r="W432" s="20" t="s">
        <v>96</v>
      </c>
      <c r="X432" s="20" t="s">
        <v>97</v>
      </c>
      <c r="Y432" s="20" t="s">
        <v>70</v>
      </c>
      <c r="Z432" s="20" t="s">
        <v>98</v>
      </c>
      <c r="AA432" s="20" t="s">
        <v>202</v>
      </c>
      <c r="AB432" s="20" t="s">
        <v>202</v>
      </c>
      <c r="AC432" s="20" t="s">
        <v>202</v>
      </c>
      <c r="AD432" s="20" t="s">
        <v>202</v>
      </c>
      <c r="AE432" s="20"/>
      <c r="AF432" s="9" t="n">
        <v>1</v>
      </c>
      <c r="AG432" s="12" t="n">
        <v>1</v>
      </c>
      <c r="AH432" s="22" t="s">
        <v>76</v>
      </c>
      <c r="AI432" s="12" t="str">
        <f>IF(AH432="","",IFERROR(RIGHT("0000"&amp;AH432,4)&amp;" - "&amp;UPPER(_xlfn.XLOOKUP(RIGHT("0000"&amp;AH432,4),CODEBOOK_CAP!$C$2:$C$212,CODEBOOK_CAP!$D$2:$D$212)),"Código CAP não encontrado"))</f>
        <v>0333 - SAÚDE MENTAL</v>
      </c>
      <c r="AJ432" s="12" t="str">
        <f>IF(AH432="","",IFERROR(_xlfn.XLOOKUP(RIGHT("0000"&amp;AH432,4),CODEBOOK_CAP!$C$2:$C$212,CODEBOOK_CAP!$E$2:$E$212),"Código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432" s="22" t="s">
        <v>79</v>
      </c>
      <c r="AL432" s="26" t="s">
        <v>2587</v>
      </c>
      <c r="AM432" s="22" t="s">
        <v>79</v>
      </c>
      <c r="AN432" s="22" t="s">
        <v>79</v>
      </c>
      <c r="AO432" s="12" t="s">
        <v>2588</v>
      </c>
      <c r="AP432" s="22" t="s">
        <v>79</v>
      </c>
      <c r="AQ432" s="12" t="s">
        <v>901</v>
      </c>
      <c r="AR432" s="22" t="s">
        <v>77</v>
      </c>
      <c r="AS432" s="10"/>
      <c r="AT432" s="2" t="s">
        <v>1814</v>
      </c>
      <c r="AU432" s="12" t="s">
        <v>83</v>
      </c>
      <c r="AV432" s="3" t="n">
        <v>46221</v>
      </c>
      <c r="AW432" s="21"/>
      <c r="AY432" s="1"/>
      <c r="BA432" s="1"/>
      <c r="BB432" s="1"/>
    </row>
    <row r="433" ht="105" customHeight="1">
      <c r="A433" s="20" t="s">
        <v>2589</v>
      </c>
      <c r="B433" s="20" t="n">
        <v>2023</v>
      </c>
      <c r="C433" s="20" t="n">
        <v>337</v>
      </c>
      <c r="D433" s="20" t="s">
        <v>50</v>
      </c>
      <c r="E433" s="20" t="s">
        <v>2521</v>
      </c>
      <c r="F433" s="20" t="s">
        <v>2590</v>
      </c>
      <c r="G433" s="20" t="s">
        <v>86</v>
      </c>
      <c r="H433" s="20" t="s">
        <v>2523</v>
      </c>
      <c r="I433" s="20"/>
      <c r="J433" s="20" t="s">
        <v>2591</v>
      </c>
      <c r="K433" s="20" t="s">
        <v>88</v>
      </c>
      <c r="L433" s="20" t="s">
        <v>57</v>
      </c>
      <c r="M433" s="20" t="s">
        <v>58</v>
      </c>
      <c r="N433" s="20" t="s">
        <v>59</v>
      </c>
      <c r="O433" s="20" t="s">
        <v>60</v>
      </c>
      <c r="P433" s="20" t="s">
        <v>89</v>
      </c>
      <c r="Q433" s="20" t="s">
        <v>90</v>
      </c>
      <c r="R433" s="20" t="s">
        <v>91</v>
      </c>
      <c r="S433" s="20" t="s">
        <v>92</v>
      </c>
      <c r="T433" s="20" t="s">
        <v>93</v>
      </c>
      <c r="U433" s="20" t="s">
        <v>94</v>
      </c>
      <c r="V433" s="20" t="s">
        <v>95</v>
      </c>
      <c r="W433" s="20" t="s">
        <v>96</v>
      </c>
      <c r="X433" s="20" t="s">
        <v>97</v>
      </c>
      <c r="Y433" s="20" t="s">
        <v>70</v>
      </c>
      <c r="Z433" s="20" t="s">
        <v>98</v>
      </c>
      <c r="AA433" s="20" t="s">
        <v>202</v>
      </c>
      <c r="AB433" s="20" t="s">
        <v>202</v>
      </c>
      <c r="AC433" s="20" t="s">
        <v>202</v>
      </c>
      <c r="AD433" s="20" t="s">
        <v>202</v>
      </c>
      <c r="AE433" s="20"/>
      <c r="AF433" s="9" t="n">
        <v>1</v>
      </c>
      <c r="AG433" s="12" t="n">
        <v>1</v>
      </c>
      <c r="AH433" s="22" t="s">
        <v>76</v>
      </c>
      <c r="AI433" s="12" t="str">
        <f>IF(AH433="","",IFERROR(RIGHT("0000"&amp;AH433,4)&amp;" - "&amp;UPPER(_xlfn.XLOOKUP(RIGHT("0000"&amp;AH433,4),CODEBOOK_CAP!$C$2:$C$212,CODEBOOK_CAP!$D$2:$D$212)),"Código CAP não encontrado"))</f>
        <v>0333 - SAÚDE MENTAL</v>
      </c>
      <c r="AJ433" s="12" t="str">
        <f>IF(AH433="","",IFERROR(_xlfn.XLOOKUP(RIGHT("0000"&amp;AH433,4),CODEBOOK_CAP!$C$2:$C$212,CODEBOOK_CAP!$E$2:$E$212),"Código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433" s="22" t="s">
        <v>79</v>
      </c>
      <c r="AL433" s="26" t="s">
        <v>2592</v>
      </c>
      <c r="AM433" s="22" t="s">
        <v>79</v>
      </c>
      <c r="AN433" s="22" t="s">
        <v>79</v>
      </c>
      <c r="AO433" s="12" t="s">
        <v>2593</v>
      </c>
      <c r="AP433" s="22" t="s">
        <v>79</v>
      </c>
      <c r="AQ433" s="12" t="s">
        <v>901</v>
      </c>
      <c r="AR433" s="22" t="s">
        <v>77</v>
      </c>
      <c r="AS433" s="10"/>
      <c r="AT433" s="2" t="s">
        <v>1814</v>
      </c>
      <c r="AU433" s="12" t="s">
        <v>83</v>
      </c>
      <c r="AV433" s="3" t="n">
        <v>46221</v>
      </c>
      <c r="AW433" s="21"/>
      <c r="AY433" s="1"/>
      <c r="BA433" s="1"/>
      <c r="BB433" s="1"/>
    </row>
    <row r="434" ht="120" customHeight="1">
      <c r="A434" s="20" t="s">
        <v>2594</v>
      </c>
      <c r="B434" s="20" t="n">
        <v>2023</v>
      </c>
      <c r="C434" s="20" t="n">
        <v>338</v>
      </c>
      <c r="D434" s="20" t="s">
        <v>50</v>
      </c>
      <c r="E434" s="20" t="s">
        <v>2521</v>
      </c>
      <c r="F434" s="20" t="s">
        <v>2595</v>
      </c>
      <c r="G434" s="20" t="s">
        <v>86</v>
      </c>
      <c r="H434" s="20" t="s">
        <v>2523</v>
      </c>
      <c r="I434" s="20"/>
      <c r="J434" s="20" t="s">
        <v>2596</v>
      </c>
      <c r="K434" s="20" t="s">
        <v>226</v>
      </c>
      <c r="L434" s="20" t="s">
        <v>57</v>
      </c>
      <c r="M434" s="20" t="s">
        <v>58</v>
      </c>
      <c r="N434" s="20" t="s">
        <v>59</v>
      </c>
      <c r="O434" s="20" t="s">
        <v>60</v>
      </c>
      <c r="P434" s="20" t="s">
        <v>227</v>
      </c>
      <c r="Q434" s="20" t="s">
        <v>228</v>
      </c>
      <c r="R434" s="20" t="s">
        <v>229</v>
      </c>
      <c r="S434" s="20" t="s">
        <v>230</v>
      </c>
      <c r="T434" s="20" t="s">
        <v>231</v>
      </c>
      <c r="U434" s="20" t="s">
        <v>230</v>
      </c>
      <c r="V434" s="20" t="s">
        <v>232</v>
      </c>
      <c r="W434" s="20" t="s">
        <v>96</v>
      </c>
      <c r="X434" s="20" t="s">
        <v>97</v>
      </c>
      <c r="Y434" s="20" t="s">
        <v>70</v>
      </c>
      <c r="Z434" s="20" t="s">
        <v>98</v>
      </c>
      <c r="AA434" s="20" t="s">
        <v>325</v>
      </c>
      <c r="AB434" s="20" t="s">
        <v>325</v>
      </c>
      <c r="AC434" s="20" t="s">
        <v>325</v>
      </c>
      <c r="AD434" s="20" t="s">
        <v>325</v>
      </c>
      <c r="AE434" s="20"/>
      <c r="AF434" s="9" t="n">
        <v>1</v>
      </c>
      <c r="AG434" s="12" t="n">
        <v>1</v>
      </c>
      <c r="AH434" s="22" t="s">
        <v>235</v>
      </c>
      <c r="AI434" s="12" t="str">
        <f>IF(AH434="","",IFERROR(RIGHT("0000"&amp;AH434,4)&amp;" - "&amp;UPPER(_xlfn.XLOOKUP(RIGHT("0000"&amp;AH434,4),CODEBOOK_CAP!$C$2:$C$212,CODEBOOK_CAP!$D$2:$D$212)),"Código CAP não encontrado"))</f>
        <v>0322 - ESTRUTURAS, HOSPITAIS, CLÍNICAS</v>
      </c>
      <c r="AJ434" s="12" t="str">
        <f>IF(AH434="","",IFERROR(_xlfn.XLOOKUP(RIGHT("0000"&amp;AH434,4),CODEBOOK_CAP!$C$2:$C$212,CODEBOOK_CAP!$E$2:$E$212),"Código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34" s="22" t="s">
        <v>77</v>
      </c>
      <c r="AL434" s="26"/>
      <c r="AM434" s="22" t="s">
        <v>79</v>
      </c>
      <c r="AN434" s="22" t="s">
        <v>79</v>
      </c>
      <c r="AO434" s="12" t="s">
        <v>2597</v>
      </c>
      <c r="AP434" s="22" t="s">
        <v>77</v>
      </c>
      <c r="AQ434" s="12"/>
      <c r="AR434" s="22" t="s">
        <v>77</v>
      </c>
      <c r="AS434" s="10"/>
      <c r="AT434" s="2" t="s">
        <v>1814</v>
      </c>
      <c r="AU434" s="12" t="s">
        <v>83</v>
      </c>
      <c r="AV434" s="3" t="n">
        <v>46221</v>
      </c>
      <c r="AW434" s="21"/>
      <c r="AY434" s="1"/>
      <c r="BA434" s="1"/>
      <c r="BB434" s="1"/>
    </row>
    <row r="435" ht="120" customHeight="1">
      <c r="A435" s="20" t="s">
        <v>2598</v>
      </c>
      <c r="B435" s="20" t="n">
        <v>2023</v>
      </c>
      <c r="C435" s="20" t="n">
        <v>339</v>
      </c>
      <c r="D435" s="20" t="s">
        <v>50</v>
      </c>
      <c r="E435" s="20" t="s">
        <v>2521</v>
      </c>
      <c r="F435" s="20" t="s">
        <v>2599</v>
      </c>
      <c r="G435" s="20" t="s">
        <v>86</v>
      </c>
      <c r="H435" s="20" t="s">
        <v>2523</v>
      </c>
      <c r="I435" s="20"/>
      <c r="J435" s="20" t="s">
        <v>2600</v>
      </c>
      <c r="K435" s="20" t="s">
        <v>226</v>
      </c>
      <c r="L435" s="20" t="s">
        <v>57</v>
      </c>
      <c r="M435" s="20" t="s">
        <v>58</v>
      </c>
      <c r="N435" s="20" t="s">
        <v>59</v>
      </c>
      <c r="O435" s="20" t="s">
        <v>60</v>
      </c>
      <c r="P435" s="20" t="s">
        <v>227</v>
      </c>
      <c r="Q435" s="20" t="s">
        <v>228</v>
      </c>
      <c r="R435" s="20" t="s">
        <v>229</v>
      </c>
      <c r="S435" s="20" t="s">
        <v>230</v>
      </c>
      <c r="T435" s="20" t="s">
        <v>231</v>
      </c>
      <c r="U435" s="20" t="s">
        <v>230</v>
      </c>
      <c r="V435" s="20" t="s">
        <v>232</v>
      </c>
      <c r="W435" s="20" t="s">
        <v>96</v>
      </c>
      <c r="X435" s="20" t="s">
        <v>97</v>
      </c>
      <c r="Y435" s="20" t="s">
        <v>70</v>
      </c>
      <c r="Z435" s="20" t="s">
        <v>98</v>
      </c>
      <c r="AA435" s="20" t="s">
        <v>125</v>
      </c>
      <c r="AB435" s="20" t="s">
        <v>125</v>
      </c>
      <c r="AC435" s="20" t="s">
        <v>125</v>
      </c>
      <c r="AD435" s="20" t="s">
        <v>125</v>
      </c>
      <c r="AE435" s="20"/>
      <c r="AF435" s="9" t="n">
        <v>1</v>
      </c>
      <c r="AG435" s="12" t="n">
        <v>1</v>
      </c>
      <c r="AH435" s="22" t="s">
        <v>235</v>
      </c>
      <c r="AI435" s="12" t="str">
        <f>IF(AH435="","",IFERROR(RIGHT("0000"&amp;AH435,4)&amp;" - "&amp;UPPER(_xlfn.XLOOKUP(RIGHT("0000"&amp;AH435,4),CODEBOOK_CAP!$C$2:$C$212,CODEBOOK_CAP!$D$2:$D$212)),"Código CAP não encontrado"))</f>
        <v>0322 - ESTRUTURAS, HOSPITAIS, CLÍNICAS</v>
      </c>
      <c r="AJ435" s="12" t="str">
        <f>IF(AH435="","",IFERROR(_xlfn.XLOOKUP(RIGHT("0000"&amp;AH435,4),CODEBOOK_CAP!$C$2:$C$212,CODEBOOK_CAP!$E$2:$E$212),"Código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35" s="22" t="s">
        <v>79</v>
      </c>
      <c r="AL435" s="26" t="s">
        <v>2601</v>
      </c>
      <c r="AM435" s="22" t="s">
        <v>79</v>
      </c>
      <c r="AN435" s="22" t="s">
        <v>79</v>
      </c>
      <c r="AO435" s="12" t="s">
        <v>2602</v>
      </c>
      <c r="AP435" s="22" t="s">
        <v>77</v>
      </c>
      <c r="AQ435" s="12"/>
      <c r="AR435" s="22" t="s">
        <v>77</v>
      </c>
      <c r="AS435" s="10"/>
      <c r="AT435" s="2" t="s">
        <v>1814</v>
      </c>
      <c r="AU435" s="12" t="s">
        <v>83</v>
      </c>
      <c r="AV435" s="3" t="n">
        <v>46221</v>
      </c>
      <c r="AW435" s="21"/>
      <c r="AY435" s="1"/>
      <c r="BA435" s="1"/>
      <c r="BB435" s="1"/>
    </row>
    <row r="436" ht="120" customHeight="1">
      <c r="A436" s="20" t="s">
        <v>2603</v>
      </c>
      <c r="B436" s="20" t="n">
        <v>2023</v>
      </c>
      <c r="C436" s="20" t="n">
        <v>340</v>
      </c>
      <c r="D436" s="20" t="s">
        <v>50</v>
      </c>
      <c r="E436" s="20" t="s">
        <v>2521</v>
      </c>
      <c r="F436" s="20" t="s">
        <v>2604</v>
      </c>
      <c r="G436" s="20" t="s">
        <v>86</v>
      </c>
      <c r="H436" s="20" t="s">
        <v>2523</v>
      </c>
      <c r="I436" s="20"/>
      <c r="J436" s="20" t="s">
        <v>2605</v>
      </c>
      <c r="K436" s="20" t="s">
        <v>441</v>
      </c>
      <c r="L436" s="20" t="s">
        <v>57</v>
      </c>
      <c r="M436" s="20" t="s">
        <v>58</v>
      </c>
      <c r="N436" s="20" t="s">
        <v>59</v>
      </c>
      <c r="O436" s="20" t="s">
        <v>60</v>
      </c>
      <c r="P436" s="20" t="s">
        <v>89</v>
      </c>
      <c r="Q436" s="20" t="s">
        <v>90</v>
      </c>
      <c r="R436" s="20" t="s">
        <v>91</v>
      </c>
      <c r="S436" s="20" t="s">
        <v>92</v>
      </c>
      <c r="T436" s="20" t="s">
        <v>341</v>
      </c>
      <c r="U436" s="20" t="s">
        <v>342</v>
      </c>
      <c r="V436" s="20" t="s">
        <v>95</v>
      </c>
      <c r="W436" s="20" t="s">
        <v>96</v>
      </c>
      <c r="X436" s="20" t="s">
        <v>97</v>
      </c>
      <c r="Y436" s="20" t="s">
        <v>70</v>
      </c>
      <c r="Z436" s="20" t="s">
        <v>98</v>
      </c>
      <c r="AA436" s="20" t="s">
        <v>351</v>
      </c>
      <c r="AB436" s="20" t="s">
        <v>2606</v>
      </c>
      <c r="AC436" s="20" t="s">
        <v>2606</v>
      </c>
      <c r="AD436" s="20" t="s">
        <v>2606</v>
      </c>
      <c r="AE436" s="20"/>
      <c r="AF436" s="9" t="n">
        <v>1</v>
      </c>
      <c r="AG436" s="12" t="n">
        <v>1</v>
      </c>
      <c r="AH436" s="22" t="s">
        <v>235</v>
      </c>
      <c r="AI436" s="12" t="str">
        <f>IF(AH436="","",IFERROR(RIGHT("0000"&amp;AH436,4)&amp;" - "&amp;UPPER(_xlfn.XLOOKUP(RIGHT("0000"&amp;AH436,4),CODEBOOK_CAP!$C$2:$C$212,CODEBOOK_CAP!$D$2:$D$212)),"Código CAP não encontrado"))</f>
        <v>0322 - ESTRUTURAS, HOSPITAIS, CLÍNICAS</v>
      </c>
      <c r="AJ436" s="12" t="str">
        <f>IF(AH436="","",IFERROR(_xlfn.XLOOKUP(RIGHT("0000"&amp;AH436,4),CODEBOOK_CAP!$C$2:$C$212,CODEBOOK_CAP!$E$2:$E$212),"Código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36" s="22" t="s">
        <v>77</v>
      </c>
      <c r="AL436" s="26"/>
      <c r="AM436" s="22" t="s">
        <v>79</v>
      </c>
      <c r="AN436" s="22" t="s">
        <v>79</v>
      </c>
      <c r="AO436" s="12" t="s">
        <v>1920</v>
      </c>
      <c r="AP436" s="22" t="s">
        <v>77</v>
      </c>
      <c r="AQ436" s="12"/>
      <c r="AR436" s="22" t="s">
        <v>77</v>
      </c>
      <c r="AS436" s="10"/>
      <c r="AT436" s="2" t="s">
        <v>1814</v>
      </c>
      <c r="AU436" s="12" t="s">
        <v>83</v>
      </c>
      <c r="AV436" s="3" t="n">
        <v>46221</v>
      </c>
      <c r="AW436" s="21"/>
      <c r="AY436" s="1"/>
      <c r="BA436" s="1"/>
      <c r="BB436" s="1"/>
    </row>
    <row r="437" ht="120" customHeight="1">
      <c r="A437" s="20" t="s">
        <v>2607</v>
      </c>
      <c r="B437" s="20" t="n">
        <v>2023</v>
      </c>
      <c r="C437" s="20" t="n">
        <v>341</v>
      </c>
      <c r="D437" s="20" t="s">
        <v>50</v>
      </c>
      <c r="E437" s="20" t="s">
        <v>2521</v>
      </c>
      <c r="F437" s="20" t="s">
        <v>2608</v>
      </c>
      <c r="G437" s="20" t="s">
        <v>86</v>
      </c>
      <c r="H437" s="20" t="s">
        <v>2523</v>
      </c>
      <c r="I437" s="20"/>
      <c r="J437" s="20" t="s">
        <v>2609</v>
      </c>
      <c r="K437" s="20" t="s">
        <v>441</v>
      </c>
      <c r="L437" s="20" t="s">
        <v>57</v>
      </c>
      <c r="M437" s="20" t="s">
        <v>58</v>
      </c>
      <c r="N437" s="20" t="s">
        <v>59</v>
      </c>
      <c r="O437" s="20" t="s">
        <v>60</v>
      </c>
      <c r="P437" s="20" t="s">
        <v>89</v>
      </c>
      <c r="Q437" s="20" t="s">
        <v>90</v>
      </c>
      <c r="R437" s="20" t="s">
        <v>91</v>
      </c>
      <c r="S437" s="20" t="s">
        <v>92</v>
      </c>
      <c r="T437" s="20" t="s">
        <v>341</v>
      </c>
      <c r="U437" s="20" t="s">
        <v>342</v>
      </c>
      <c r="V437" s="20" t="s">
        <v>95</v>
      </c>
      <c r="W437" s="20" t="s">
        <v>96</v>
      </c>
      <c r="X437" s="20" t="s">
        <v>97</v>
      </c>
      <c r="Y437" s="20" t="s">
        <v>70</v>
      </c>
      <c r="Z437" s="20" t="s">
        <v>98</v>
      </c>
      <c r="AA437" s="20" t="s">
        <v>351</v>
      </c>
      <c r="AB437" s="20" t="s">
        <v>351</v>
      </c>
      <c r="AC437" s="20" t="s">
        <v>351</v>
      </c>
      <c r="AD437" s="20" t="s">
        <v>351</v>
      </c>
      <c r="AE437" s="20"/>
      <c r="AF437" s="9" t="n">
        <v>1</v>
      </c>
      <c r="AG437" s="12" t="n">
        <v>1</v>
      </c>
      <c r="AH437" s="22" t="s">
        <v>235</v>
      </c>
      <c r="AI437" s="12" t="str">
        <f>IF(AH437="","",IFERROR(RIGHT("0000"&amp;AH437,4)&amp;" - "&amp;UPPER(_xlfn.XLOOKUP(RIGHT("0000"&amp;AH437,4),CODEBOOK_CAP!$C$2:$C$212,CODEBOOK_CAP!$D$2:$D$212)),"Código CAP não encontrado"))</f>
        <v>0322 - ESTRUTURAS, HOSPITAIS, CLÍNICAS</v>
      </c>
      <c r="AJ437" s="12" t="str">
        <f>IF(AH437="","",IFERROR(_xlfn.XLOOKUP(RIGHT("0000"&amp;AH437,4),CODEBOOK_CAP!$C$2:$C$212,CODEBOOK_CAP!$E$2:$E$212),"Código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37" s="22" t="s">
        <v>77</v>
      </c>
      <c r="AL437" s="26"/>
      <c r="AM437" s="22" t="s">
        <v>79</v>
      </c>
      <c r="AN437" s="22" t="s">
        <v>79</v>
      </c>
      <c r="AO437" s="12" t="s">
        <v>1767</v>
      </c>
      <c r="AP437" s="22" t="s">
        <v>77</v>
      </c>
      <c r="AQ437" s="12"/>
      <c r="AR437" s="22" t="s">
        <v>77</v>
      </c>
      <c r="AS437" s="10"/>
      <c r="AT437" s="2" t="s">
        <v>1814</v>
      </c>
      <c r="AU437" s="12" t="s">
        <v>83</v>
      </c>
      <c r="AV437" s="3" t="n">
        <v>46221</v>
      </c>
      <c r="AW437" s="21"/>
      <c r="AY437" s="1"/>
      <c r="BA437" s="1"/>
      <c r="BB437" s="1"/>
    </row>
    <row r="438" ht="120" customHeight="1">
      <c r="A438" s="20" t="s">
        <v>2610</v>
      </c>
      <c r="B438" s="20" t="n">
        <v>2023</v>
      </c>
      <c r="C438" s="20" t="n">
        <v>342</v>
      </c>
      <c r="D438" s="20" t="s">
        <v>50</v>
      </c>
      <c r="E438" s="20" t="s">
        <v>2521</v>
      </c>
      <c r="F438" s="20" t="s">
        <v>2611</v>
      </c>
      <c r="G438" s="20" t="s">
        <v>86</v>
      </c>
      <c r="H438" s="20" t="s">
        <v>2523</v>
      </c>
      <c r="I438" s="20"/>
      <c r="J438" s="20" t="s">
        <v>2612</v>
      </c>
      <c r="K438" s="20" t="s">
        <v>441</v>
      </c>
      <c r="L438" s="20" t="s">
        <v>57</v>
      </c>
      <c r="M438" s="20" t="s">
        <v>58</v>
      </c>
      <c r="N438" s="20" t="s">
        <v>59</v>
      </c>
      <c r="O438" s="20" t="s">
        <v>60</v>
      </c>
      <c r="P438" s="20" t="s">
        <v>89</v>
      </c>
      <c r="Q438" s="20" t="s">
        <v>90</v>
      </c>
      <c r="R438" s="20" t="s">
        <v>91</v>
      </c>
      <c r="S438" s="20" t="s">
        <v>92</v>
      </c>
      <c r="T438" s="20" t="s">
        <v>341</v>
      </c>
      <c r="U438" s="20" t="s">
        <v>342</v>
      </c>
      <c r="V438" s="20" t="s">
        <v>95</v>
      </c>
      <c r="W438" s="20" t="s">
        <v>96</v>
      </c>
      <c r="X438" s="20" t="s">
        <v>97</v>
      </c>
      <c r="Y438" s="20" t="s">
        <v>70</v>
      </c>
      <c r="Z438" s="20" t="s">
        <v>98</v>
      </c>
      <c r="AA438" s="20" t="s">
        <v>351</v>
      </c>
      <c r="AB438" s="20" t="s">
        <v>351</v>
      </c>
      <c r="AC438" s="20" t="s">
        <v>351</v>
      </c>
      <c r="AD438" s="20" t="s">
        <v>351</v>
      </c>
      <c r="AE438" s="20"/>
      <c r="AF438" s="9" t="n">
        <v>1</v>
      </c>
      <c r="AG438" s="12" t="n">
        <v>1</v>
      </c>
      <c r="AH438" s="22" t="s">
        <v>235</v>
      </c>
      <c r="AI438" s="12" t="str">
        <f>IF(AH438="","",IFERROR(RIGHT("0000"&amp;AH438,4)&amp;" - "&amp;UPPER(_xlfn.XLOOKUP(RIGHT("0000"&amp;AH438,4),CODEBOOK_CAP!$C$2:$C$212,CODEBOOK_CAP!$D$2:$D$212)),"Código CAP não encontrado"))</f>
        <v>0322 - ESTRUTURAS, HOSPITAIS, CLÍNICAS</v>
      </c>
      <c r="AJ438" s="12" t="str">
        <f>IF(AH438="","",IFERROR(_xlfn.XLOOKUP(RIGHT("0000"&amp;AH438,4),CODEBOOK_CAP!$C$2:$C$212,CODEBOOK_CAP!$E$2:$E$212),"Código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38" s="22" t="s">
        <v>77</v>
      </c>
      <c r="AL438" s="26"/>
      <c r="AM438" s="22" t="s">
        <v>79</v>
      </c>
      <c r="AN438" s="22" t="s">
        <v>79</v>
      </c>
      <c r="AO438" s="12" t="s">
        <v>2613</v>
      </c>
      <c r="AP438" s="22" t="s">
        <v>77</v>
      </c>
      <c r="AQ438" s="12"/>
      <c r="AR438" s="22" t="s">
        <v>77</v>
      </c>
      <c r="AS438" s="10"/>
      <c r="AT438" s="2" t="s">
        <v>1814</v>
      </c>
      <c r="AU438" s="12" t="s">
        <v>83</v>
      </c>
      <c r="AV438" s="3" t="n">
        <v>46221</v>
      </c>
      <c r="AW438" s="21"/>
      <c r="AY438" s="1"/>
      <c r="BA438" s="1"/>
      <c r="BB438" s="1"/>
    </row>
    <row r="439" ht="105" customHeight="1">
      <c r="A439" s="20" t="s">
        <v>2614</v>
      </c>
      <c r="B439" s="20" t="n">
        <v>2023</v>
      </c>
      <c r="C439" s="20" t="n">
        <v>343</v>
      </c>
      <c r="D439" s="20" t="s">
        <v>50</v>
      </c>
      <c r="E439" s="20" t="s">
        <v>2521</v>
      </c>
      <c r="F439" s="20" t="s">
        <v>2615</v>
      </c>
      <c r="G439" s="20" t="s">
        <v>86</v>
      </c>
      <c r="H439" s="20" t="s">
        <v>2523</v>
      </c>
      <c r="I439" s="20"/>
      <c r="J439" s="20" t="s">
        <v>2616</v>
      </c>
      <c r="K439" s="20" t="s">
        <v>1388</v>
      </c>
      <c r="L439" s="20" t="s">
        <v>760</v>
      </c>
      <c r="M439" s="20" t="s">
        <v>761</v>
      </c>
      <c r="N439" s="20" t="s">
        <v>150</v>
      </c>
      <c r="O439" s="20" t="s">
        <v>151</v>
      </c>
      <c r="P439" s="20" t="s">
        <v>1389</v>
      </c>
      <c r="Q439" s="20" t="s">
        <v>1390</v>
      </c>
      <c r="R439" s="20" t="s">
        <v>1391</v>
      </c>
      <c r="S439" s="20" t="s">
        <v>1392</v>
      </c>
      <c r="T439" s="20" t="s">
        <v>1393</v>
      </c>
      <c r="U439" s="20" t="s">
        <v>1394</v>
      </c>
      <c r="V439" s="20" t="s">
        <v>95</v>
      </c>
      <c r="W439" s="20" t="s">
        <v>96</v>
      </c>
      <c r="X439" s="20" t="s">
        <v>97</v>
      </c>
      <c r="Y439" s="20" t="s">
        <v>70</v>
      </c>
      <c r="Z439" s="20" t="s">
        <v>764</v>
      </c>
      <c r="AA439" s="20" t="s">
        <v>2617</v>
      </c>
      <c r="AB439" s="20" t="s">
        <v>2618</v>
      </c>
      <c r="AC439" s="20" t="s">
        <v>2618</v>
      </c>
      <c r="AD439" s="20" t="s">
        <v>2618</v>
      </c>
      <c r="AE439" s="20"/>
      <c r="AF439" s="9" t="n">
        <v>0</v>
      </c>
      <c r="AG439" s="12" t="n">
        <v>0</v>
      </c>
      <c r="AH439" s="22" t="s">
        <v>161</v>
      </c>
      <c r="AI439" s="12" t="str">
        <f>IF(AH439="","",IFERROR(RIGHT("0000"&amp;AH439,4)&amp;" - "&amp;UPPER(_xlfn.XLOOKUP(RIGHT("0000"&amp;AH439,4),CODEBOOK_CAP!$C$2:$C$212,CODEBOOK_CAP!$D$2:$D$212)),"Código CAP não encontrado"))</f>
        <v>2300 - GERAL</v>
      </c>
      <c r="AJ439" s="12" t="str">
        <f>IF(AH439="","",IFERROR(_xlfn.XLOOKUP(RIGHT("0000"&amp;AH439,4),CODEBOOK_CAP!$C$2:$C$212,CODEBOOK_CAP!$E$2:$E$212),"Código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39" s="22" t="s">
        <v>77</v>
      </c>
      <c r="AL439" s="26"/>
      <c r="AM439" s="22" t="s">
        <v>77</v>
      </c>
      <c r="AN439" s="22" t="s">
        <v>77</v>
      </c>
      <c r="AO439" s="12"/>
      <c r="AP439" s="22" t="s">
        <v>79</v>
      </c>
      <c r="AQ439" s="12" t="s">
        <v>2619</v>
      </c>
      <c r="AR439" s="22" t="s">
        <v>77</v>
      </c>
      <c r="AS439" s="10"/>
      <c r="AT439" s="2" t="s">
        <v>1814</v>
      </c>
      <c r="AU439" s="12" t="s">
        <v>83</v>
      </c>
      <c r="AV439" s="3" t="n">
        <v>46221</v>
      </c>
      <c r="AW439" s="21"/>
      <c r="AX439" s="1" t="s">
        <v>6955</v>
      </c>
      <c r="AY439" s="1"/>
      <c r="BA439" s="1"/>
      <c r="BB439" s="1"/>
    </row>
    <row r="440" ht="105" customHeight="1">
      <c r="A440" s="20" t="s">
        <v>2620</v>
      </c>
      <c r="B440" s="20" t="n">
        <v>2023</v>
      </c>
      <c r="C440" s="20" t="n">
        <v>344</v>
      </c>
      <c r="D440" s="20" t="s">
        <v>50</v>
      </c>
      <c r="E440" s="20" t="s">
        <v>2521</v>
      </c>
      <c r="F440" s="20" t="s">
        <v>2621</v>
      </c>
      <c r="G440" s="20" t="s">
        <v>86</v>
      </c>
      <c r="H440" s="20" t="s">
        <v>2523</v>
      </c>
      <c r="I440" s="20"/>
      <c r="J440" s="20" t="s">
        <v>2622</v>
      </c>
      <c r="K440" s="20" t="s">
        <v>1388</v>
      </c>
      <c r="L440" s="20" t="s">
        <v>760</v>
      </c>
      <c r="M440" s="20" t="s">
        <v>761</v>
      </c>
      <c r="N440" s="20" t="s">
        <v>150</v>
      </c>
      <c r="O440" s="20" t="s">
        <v>151</v>
      </c>
      <c r="P440" s="20" t="s">
        <v>1389</v>
      </c>
      <c r="Q440" s="20" t="s">
        <v>1390</v>
      </c>
      <c r="R440" s="20" t="s">
        <v>1391</v>
      </c>
      <c r="S440" s="20" t="s">
        <v>1392</v>
      </c>
      <c r="T440" s="20" t="s">
        <v>1393</v>
      </c>
      <c r="U440" s="20" t="s">
        <v>1394</v>
      </c>
      <c r="V440" s="20" t="s">
        <v>95</v>
      </c>
      <c r="W440" s="20" t="s">
        <v>96</v>
      </c>
      <c r="X440" s="20" t="s">
        <v>97</v>
      </c>
      <c r="Y440" s="20" t="s">
        <v>70</v>
      </c>
      <c r="Z440" s="20" t="s">
        <v>764</v>
      </c>
      <c r="AA440" s="20" t="s">
        <v>580</v>
      </c>
      <c r="AB440" s="20" t="s">
        <v>580</v>
      </c>
      <c r="AC440" s="20" t="s">
        <v>580</v>
      </c>
      <c r="AD440" s="20" t="s">
        <v>580</v>
      </c>
      <c r="AE440" s="20"/>
      <c r="AF440" s="9" t="n">
        <v>0</v>
      </c>
      <c r="AG440" s="12" t="n">
        <v>0</v>
      </c>
      <c r="AH440" s="22" t="s">
        <v>161</v>
      </c>
      <c r="AI440" s="12" t="str">
        <f>IF(AH440="","",IFERROR(RIGHT("0000"&amp;AH440,4)&amp;" - "&amp;UPPER(_xlfn.XLOOKUP(RIGHT("0000"&amp;AH440,4),CODEBOOK_CAP!$C$2:$C$212,CODEBOOK_CAP!$D$2:$D$212)),"Código CAP não encontrado"))</f>
        <v>2300 - GERAL</v>
      </c>
      <c r="AJ440" s="12" t="str">
        <f>IF(AH440="","",IFERROR(_xlfn.XLOOKUP(RIGHT("0000"&amp;AH440,4),CODEBOOK_CAP!$C$2:$C$212,CODEBOOK_CAP!$E$2:$E$212),"Código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40" s="22" t="s">
        <v>77</v>
      </c>
      <c r="AL440" s="26"/>
      <c r="AM440" s="22" t="s">
        <v>77</v>
      </c>
      <c r="AN440" s="22" t="s">
        <v>77</v>
      </c>
      <c r="AO440" s="12"/>
      <c r="AP440" s="22" t="s">
        <v>77</v>
      </c>
      <c r="AQ440" s="12"/>
      <c r="AR440" s="22" t="s">
        <v>77</v>
      </c>
      <c r="AS440" s="10"/>
      <c r="AT440" s="2" t="s">
        <v>1814</v>
      </c>
      <c r="AU440" s="12" t="s">
        <v>83</v>
      </c>
      <c r="AV440" s="3" t="n">
        <v>46221</v>
      </c>
      <c r="AW440" s="21"/>
      <c r="AX440" s="1" t="s">
        <v>6955</v>
      </c>
      <c r="AY440" s="1"/>
      <c r="BA440" s="1"/>
      <c r="BB440" s="1"/>
    </row>
    <row r="441" ht="105" customHeight="1">
      <c r="A441" s="20" t="s">
        <v>2623</v>
      </c>
      <c r="B441" s="20" t="n">
        <v>2023</v>
      </c>
      <c r="C441" s="20" t="n">
        <v>345</v>
      </c>
      <c r="D441" s="20" t="s">
        <v>50</v>
      </c>
      <c r="E441" s="20" t="s">
        <v>2521</v>
      </c>
      <c r="F441" s="20" t="s">
        <v>2624</v>
      </c>
      <c r="G441" s="20" t="s">
        <v>86</v>
      </c>
      <c r="H441" s="20" t="s">
        <v>2523</v>
      </c>
      <c r="I441" s="20"/>
      <c r="J441" s="20" t="s">
        <v>2625</v>
      </c>
      <c r="K441" s="20" t="s">
        <v>759</v>
      </c>
      <c r="L441" s="20" t="s">
        <v>760</v>
      </c>
      <c r="M441" s="20" t="s">
        <v>761</v>
      </c>
      <c r="N441" s="20" t="s">
        <v>150</v>
      </c>
      <c r="O441" s="20" t="s">
        <v>151</v>
      </c>
      <c r="P441" s="20" t="s">
        <v>152</v>
      </c>
      <c r="Q441" s="20" t="s">
        <v>153</v>
      </c>
      <c r="R441" s="20" t="s">
        <v>154</v>
      </c>
      <c r="S441" s="20" t="s">
        <v>155</v>
      </c>
      <c r="T441" s="20" t="s">
        <v>762</v>
      </c>
      <c r="U441" s="20" t="s">
        <v>763</v>
      </c>
      <c r="V441" s="20" t="s">
        <v>95</v>
      </c>
      <c r="W441" s="20" t="s">
        <v>96</v>
      </c>
      <c r="X441" s="20" t="s">
        <v>97</v>
      </c>
      <c r="Y441" s="20" t="s">
        <v>70</v>
      </c>
      <c r="Z441" s="20" t="s">
        <v>764</v>
      </c>
      <c r="AA441" s="20" t="s">
        <v>580</v>
      </c>
      <c r="AB441" s="20" t="s">
        <v>580</v>
      </c>
      <c r="AC441" s="20" t="s">
        <v>580</v>
      </c>
      <c r="AD441" s="20" t="s">
        <v>580</v>
      </c>
      <c r="AE441" s="20"/>
      <c r="AF441" s="9" t="n">
        <v>0</v>
      </c>
      <c r="AG441" s="12" t="n">
        <v>0</v>
      </c>
      <c r="AH441" s="22" t="s">
        <v>161</v>
      </c>
      <c r="AI441" s="12" t="str">
        <f>IF(AH441="","",IFERROR(RIGHT("0000"&amp;AH441,4)&amp;" - "&amp;UPPER(_xlfn.XLOOKUP(RIGHT("0000"&amp;AH441,4),CODEBOOK_CAP!$C$2:$C$212,CODEBOOK_CAP!$D$2:$D$212)),"Código CAP não encontrado"))</f>
        <v>2300 - GERAL</v>
      </c>
      <c r="AJ441" s="12" t="str">
        <f>IF(AH441="","",IFERROR(_xlfn.XLOOKUP(RIGHT("0000"&amp;AH441,4),CODEBOOK_CAP!$C$2:$C$212,CODEBOOK_CAP!$E$2:$E$212),"Código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41" s="22" t="s">
        <v>77</v>
      </c>
      <c r="AL441" s="26"/>
      <c r="AM441" s="22" t="s">
        <v>77</v>
      </c>
      <c r="AN441" s="22" t="s">
        <v>77</v>
      </c>
      <c r="AO441" s="12"/>
      <c r="AP441" s="22" t="s">
        <v>79</v>
      </c>
      <c r="AQ441" s="12" t="s">
        <v>2626</v>
      </c>
      <c r="AR441" s="22" t="s">
        <v>77</v>
      </c>
      <c r="AS441" s="10"/>
      <c r="AT441" s="2" t="s">
        <v>1814</v>
      </c>
      <c r="AU441" s="12" t="s">
        <v>83</v>
      </c>
      <c r="AV441" s="3" t="n">
        <v>46221</v>
      </c>
      <c r="AW441" s="21"/>
      <c r="AX441" s="1" t="s">
        <v>6955</v>
      </c>
      <c r="AY441" s="1"/>
      <c r="BA441" s="1"/>
      <c r="BB441" s="1"/>
    </row>
    <row r="442" ht="45" customHeight="1">
      <c r="A442" s="20" t="s">
        <v>2627</v>
      </c>
      <c r="B442" s="20" t="n">
        <v>2023</v>
      </c>
      <c r="C442" s="20" t="n">
        <v>346</v>
      </c>
      <c r="D442" s="20" t="s">
        <v>50</v>
      </c>
      <c r="E442" s="20" t="s">
        <v>2521</v>
      </c>
      <c r="F442" s="20" t="s">
        <v>2628</v>
      </c>
      <c r="G442" s="20" t="s">
        <v>315</v>
      </c>
      <c r="H442" s="20" t="s">
        <v>2523</v>
      </c>
      <c r="I442" s="20"/>
      <c r="J442" s="20" t="s">
        <v>2629</v>
      </c>
      <c r="K442" s="20" t="s">
        <v>2102</v>
      </c>
      <c r="L442" s="20" t="s">
        <v>1406</v>
      </c>
      <c r="M442" s="20" t="s">
        <v>1407</v>
      </c>
      <c r="N442" s="20" t="s">
        <v>1408</v>
      </c>
      <c r="O442" s="20" t="s">
        <v>1409</v>
      </c>
      <c r="P442" s="20" t="s">
        <v>1410</v>
      </c>
      <c r="Q442" s="20" t="s">
        <v>1411</v>
      </c>
      <c r="R442" s="20" t="s">
        <v>1412</v>
      </c>
      <c r="S442" s="20" t="s">
        <v>1413</v>
      </c>
      <c r="T442" s="20" t="s">
        <v>2103</v>
      </c>
      <c r="U442" s="20" t="s">
        <v>2104</v>
      </c>
      <c r="V442" s="20" t="s">
        <v>95</v>
      </c>
      <c r="W442" s="20" t="s">
        <v>96</v>
      </c>
      <c r="X442" s="20" t="s">
        <v>97</v>
      </c>
      <c r="Y442" s="20" t="s">
        <v>70</v>
      </c>
      <c r="Z442" s="20" t="s">
        <v>284</v>
      </c>
      <c r="AA442" s="20" t="s">
        <v>125</v>
      </c>
      <c r="AB442" s="20" t="s">
        <v>125</v>
      </c>
      <c r="AC442" s="20" t="s">
        <v>2630</v>
      </c>
      <c r="AD442" s="20" t="s">
        <v>2630</v>
      </c>
      <c r="AE442" s="20" t="s">
        <v>2631</v>
      </c>
      <c r="AF442" s="9" t="n">
        <v>0</v>
      </c>
      <c r="AG442" s="12" t="n">
        <v>0</v>
      </c>
      <c r="AH442" s="22" t="s">
        <v>2107</v>
      </c>
      <c r="AI442" s="12" t="str">
        <f>IF(AH442="","",IFERROR(RIGHT("0000"&amp;AH442,4)&amp;" - "&amp;UPPER(_xlfn.XLOOKUP(RIGHT("0000"&amp;AH442,4),CODEBOOK_CAP!$C$2:$C$212,CODEBOOK_CAP!$D$2:$D$212)),"Código CAP não encontrado"))</f>
        <v>0299 - OUTROS</v>
      </c>
      <c r="AJ442" s="12" t="str">
        <f>IF(AH442="","",IFERROR(_xlfn.XLOOKUP(RIGHT("0000"&amp;AH442,4),CODEBOOK_CAP!$C$2:$C$212,CODEBOOK_CAP!$E$2:$E$212),"Código CAP não encontrado"))</f>
        <v>Observações que versam sobre a direitos civis e liberdades, mas que não se enquadram em nenhum dos itens acima.</v>
      </c>
      <c r="AK442" s="22" t="s">
        <v>77</v>
      </c>
      <c r="AL442" s="26"/>
      <c r="AM442" s="22" t="s">
        <v>77</v>
      </c>
      <c r="AN442" s="22" t="s">
        <v>77</v>
      </c>
      <c r="AO442" s="12"/>
      <c r="AP442" s="22" t="s">
        <v>79</v>
      </c>
      <c r="AQ442" s="12" t="s">
        <v>2109</v>
      </c>
      <c r="AR442" s="22" t="s">
        <v>79</v>
      </c>
      <c r="AS442" s="10" t="s">
        <v>2631</v>
      </c>
      <c r="AT442" s="2" t="s">
        <v>1814</v>
      </c>
      <c r="AU442" s="12" t="s">
        <v>83</v>
      </c>
      <c r="AV442" s="3" t="n">
        <v>46221</v>
      </c>
      <c r="AW442" s="21"/>
      <c r="AY442" s="1"/>
      <c r="BA442" s="1"/>
      <c r="BB442" s="1"/>
    </row>
    <row r="443" ht="135" customHeight="1">
      <c r="A443" s="20" t="s">
        <v>2632</v>
      </c>
      <c r="B443" s="20" t="n">
        <v>2023</v>
      </c>
      <c r="C443" s="20" t="n">
        <v>347</v>
      </c>
      <c r="D443" s="20" t="s">
        <v>50</v>
      </c>
      <c r="E443" s="20" t="s">
        <v>2521</v>
      </c>
      <c r="F443" s="20" t="s">
        <v>2633</v>
      </c>
      <c r="G443" s="20" t="s">
        <v>86</v>
      </c>
      <c r="H443" s="20" t="s">
        <v>2523</v>
      </c>
      <c r="I443" s="20"/>
      <c r="J443" s="20" t="s">
        <v>2634</v>
      </c>
      <c r="K443" s="20" t="s">
        <v>1375</v>
      </c>
      <c r="L443" s="20" t="s">
        <v>1376</v>
      </c>
      <c r="M443" s="20" t="s">
        <v>1377</v>
      </c>
      <c r="N443" s="20" t="s">
        <v>660</v>
      </c>
      <c r="O443" s="20" t="s">
        <v>661</v>
      </c>
      <c r="P443" s="20" t="s">
        <v>662</v>
      </c>
      <c r="Q443" s="20" t="s">
        <v>663</v>
      </c>
      <c r="R443" s="20" t="s">
        <v>1378</v>
      </c>
      <c r="S443" s="20" t="s">
        <v>1379</v>
      </c>
      <c r="T443" s="20" t="s">
        <v>1380</v>
      </c>
      <c r="U443" s="20" t="s">
        <v>1381</v>
      </c>
      <c r="V443" s="20" t="s">
        <v>854</v>
      </c>
      <c r="W443" s="20" t="s">
        <v>96</v>
      </c>
      <c r="X443" s="20" t="s">
        <v>97</v>
      </c>
      <c r="Y443" s="20" t="s">
        <v>70</v>
      </c>
      <c r="Z443" s="20" t="s">
        <v>1382</v>
      </c>
      <c r="AA443" s="20" t="s">
        <v>395</v>
      </c>
      <c r="AB443" s="20" t="s">
        <v>2635</v>
      </c>
      <c r="AC443" s="20" t="s">
        <v>2635</v>
      </c>
      <c r="AD443" s="20" t="s">
        <v>2635</v>
      </c>
      <c r="AE443" s="20"/>
      <c r="AF443" s="9" t="n">
        <v>0</v>
      </c>
      <c r="AG443" s="12" t="n">
        <v>0</v>
      </c>
      <c r="AH443" s="22" t="s">
        <v>1425</v>
      </c>
      <c r="AI443" s="12" t="str">
        <f>IF(AH443="","",IFERROR(RIGHT("0000"&amp;AH443,4)&amp;" - "&amp;UPPER(_xlfn.XLOOKUP(RIGHT("0000"&amp;AH443,4),CODEBOOK_CAP!$C$2:$C$212,CODEBOOK_CAP!$D$2:$D$212)),"Código CAP não encontrado"))</f>
        <v>0709 - PROTEÇÃO DE ESPÉCIES, FAUNA, FLORA E FLORESTAS</v>
      </c>
      <c r="AJ443" s="12" t="str">
        <f>IF(AH443="","",IFERROR(_xlfn.XLOOKUP(RIGHT("0000"&amp;AH443,4),CODEBOOK_CAP!$C$2:$C$212,CODEBOOK_CAP!$E$2:$E$212),"Código CAP não encontrado"))</f>
        <v>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v>
      </c>
      <c r="AK443" s="22" t="s">
        <v>77</v>
      </c>
      <c r="AL443" s="26"/>
      <c r="AM443" s="22" t="s">
        <v>77</v>
      </c>
      <c r="AN443" s="22" t="s">
        <v>77</v>
      </c>
      <c r="AO443" s="12"/>
      <c r="AP443" s="22" t="s">
        <v>77</v>
      </c>
      <c r="AQ443" s="12"/>
      <c r="AR443" s="22" t="s">
        <v>77</v>
      </c>
      <c r="AS443" s="10"/>
      <c r="AT443" s="2" t="s">
        <v>1814</v>
      </c>
      <c r="AU443" s="12" t="s">
        <v>83</v>
      </c>
      <c r="AV443" s="3" t="n">
        <v>46221</v>
      </c>
      <c r="AW443" s="21"/>
      <c r="AY443" s="1"/>
      <c r="BA443" s="1"/>
      <c r="BB443" s="1"/>
    </row>
    <row r="444" ht="135" customHeight="1">
      <c r="A444" s="20" t="s">
        <v>2636</v>
      </c>
      <c r="B444" s="20" t="n">
        <v>2023</v>
      </c>
      <c r="C444" s="20" t="n">
        <v>348</v>
      </c>
      <c r="D444" s="20" t="s">
        <v>50</v>
      </c>
      <c r="E444" s="20" t="s">
        <v>2521</v>
      </c>
      <c r="F444" s="20" t="s">
        <v>2637</v>
      </c>
      <c r="G444" s="20" t="s">
        <v>86</v>
      </c>
      <c r="H444" s="20" t="s">
        <v>2523</v>
      </c>
      <c r="I444" s="20"/>
      <c r="J444" s="20" t="s">
        <v>2638</v>
      </c>
      <c r="K444" s="20" t="s">
        <v>2639</v>
      </c>
      <c r="L444" s="20" t="s">
        <v>1376</v>
      </c>
      <c r="M444" s="20" t="s">
        <v>1377</v>
      </c>
      <c r="N444" s="20" t="s">
        <v>660</v>
      </c>
      <c r="O444" s="20" t="s">
        <v>661</v>
      </c>
      <c r="P444" s="20" t="s">
        <v>662</v>
      </c>
      <c r="Q444" s="20" t="s">
        <v>663</v>
      </c>
      <c r="R444" s="20" t="s">
        <v>1378</v>
      </c>
      <c r="S444" s="20" t="s">
        <v>1379</v>
      </c>
      <c r="T444" s="20" t="s">
        <v>1380</v>
      </c>
      <c r="U444" s="20" t="s">
        <v>1381</v>
      </c>
      <c r="V444" s="20" t="s">
        <v>232</v>
      </c>
      <c r="W444" s="20" t="s">
        <v>96</v>
      </c>
      <c r="X444" s="20" t="s">
        <v>97</v>
      </c>
      <c r="Y444" s="20" t="s">
        <v>70</v>
      </c>
      <c r="Z444" s="20" t="s">
        <v>1382</v>
      </c>
      <c r="AA444" s="20" t="s">
        <v>292</v>
      </c>
      <c r="AB444" s="20" t="s">
        <v>292</v>
      </c>
      <c r="AC444" s="20" t="s">
        <v>292</v>
      </c>
      <c r="AD444" s="20" t="s">
        <v>292</v>
      </c>
      <c r="AE444" s="20"/>
      <c r="AF444" s="9" t="n">
        <v>0</v>
      </c>
      <c r="AG444" s="12" t="n">
        <v>0</v>
      </c>
      <c r="AH444" s="22" t="s">
        <v>1425</v>
      </c>
      <c r="AI444" s="12" t="str">
        <f>IF(AH444="","",IFERROR(RIGHT("0000"&amp;AH444,4)&amp;" - "&amp;UPPER(_xlfn.XLOOKUP(RIGHT("0000"&amp;AH444,4),CODEBOOK_CAP!$C$2:$C$212,CODEBOOK_CAP!$D$2:$D$212)),"Código CAP não encontrado"))</f>
        <v>0709 - PROTEÇÃO DE ESPÉCIES, FAUNA, FLORA E FLORESTAS</v>
      </c>
      <c r="AJ444" s="12" t="str">
        <f>IF(AH444="","",IFERROR(_xlfn.XLOOKUP(RIGHT("0000"&amp;AH444,4),CODEBOOK_CAP!$C$2:$C$212,CODEBOOK_CAP!$E$2:$E$212),"Código CAP não encontrado"))</f>
        <v>Proteção de espécies em extinção, preservação do ecossistema, comércio ilegal de animais, regulações do IBAMA, comércio de plantas, proteção de florestas. regulamentação de caça de animais silvestres, lista de espécies protegidas e ameaçadas de extinção. Assuntos relacioandos a preservação de espécies e florestas que não impliquem criação ou manutenção de reservas. Quando o tema for vinculado ao território, craiação e manutenção de espaços públicos, codificar no 2101.</v>
      </c>
      <c r="AK444" s="22" t="s">
        <v>77</v>
      </c>
      <c r="AL444" s="26"/>
      <c r="AM444" s="22" t="s">
        <v>77</v>
      </c>
      <c r="AN444" s="22" t="s">
        <v>77</v>
      </c>
      <c r="AO444" s="12"/>
      <c r="AP444" s="22" t="s">
        <v>77</v>
      </c>
      <c r="AQ444" s="12"/>
      <c r="AR444" s="22" t="s">
        <v>77</v>
      </c>
      <c r="AS444" s="10"/>
      <c r="AT444" s="2" t="s">
        <v>1814</v>
      </c>
      <c r="AU444" s="12" t="s">
        <v>83</v>
      </c>
      <c r="AV444" s="3" t="n">
        <v>46221</v>
      </c>
      <c r="AW444" s="21"/>
      <c r="AY444" s="1"/>
      <c r="BA444" s="1"/>
      <c r="BB444" s="1"/>
    </row>
    <row r="445" ht="120" customHeight="1">
      <c r="A445" s="20" t="s">
        <v>2640</v>
      </c>
      <c r="B445" s="20" t="n">
        <v>2023</v>
      </c>
      <c r="C445" s="20" t="n">
        <v>349</v>
      </c>
      <c r="D445" s="20" t="s">
        <v>50</v>
      </c>
      <c r="E445" s="20" t="s">
        <v>2521</v>
      </c>
      <c r="F445" s="20" t="s">
        <v>2641</v>
      </c>
      <c r="G445" s="20" t="s">
        <v>86</v>
      </c>
      <c r="H445" s="20" t="s">
        <v>2523</v>
      </c>
      <c r="I445" s="20"/>
      <c r="J445" s="20" t="s">
        <v>2642</v>
      </c>
      <c r="K445" s="20" t="s">
        <v>2643</v>
      </c>
      <c r="L445" s="20" t="s">
        <v>785</v>
      </c>
      <c r="M445" s="20" t="s">
        <v>786</v>
      </c>
      <c r="N445" s="20" t="s">
        <v>787</v>
      </c>
      <c r="O445" s="20" t="s">
        <v>788</v>
      </c>
      <c r="P445" s="20" t="s">
        <v>541</v>
      </c>
      <c r="Q445" s="20" t="s">
        <v>789</v>
      </c>
      <c r="R445" s="20" t="s">
        <v>1988</v>
      </c>
      <c r="S445" s="20" t="s">
        <v>1989</v>
      </c>
      <c r="T445" s="20" t="s">
        <v>2644</v>
      </c>
      <c r="U445" s="20" t="s">
        <v>2645</v>
      </c>
      <c r="V445" s="20" t="s">
        <v>854</v>
      </c>
      <c r="W445" s="20" t="s">
        <v>96</v>
      </c>
      <c r="X445" s="20" t="s">
        <v>97</v>
      </c>
      <c r="Y445" s="20" t="s">
        <v>70</v>
      </c>
      <c r="Z445" s="20" t="s">
        <v>794</v>
      </c>
      <c r="AA445" s="20" t="s">
        <v>2646</v>
      </c>
      <c r="AB445" s="20" t="s">
        <v>2647</v>
      </c>
      <c r="AC445" s="20" t="s">
        <v>2647</v>
      </c>
      <c r="AD445" s="20" t="s">
        <v>2647</v>
      </c>
      <c r="AE445" s="20"/>
      <c r="AF445" s="9" t="n">
        <v>0</v>
      </c>
      <c r="AG445" s="12" t="n">
        <v>0</v>
      </c>
      <c r="AH445" s="22" t="s">
        <v>1333</v>
      </c>
      <c r="AI445" s="12" t="str">
        <f>IF(AH445="","",IFERROR(RIGHT("0000"&amp;AH445,4)&amp;" - "&amp;UPPER(_xlfn.XLOOKUP(RIGHT("0000"&amp;AH445,4),CODEBOOK_CAP!$C$2:$C$212,CODEBOOK_CAP!$D$2:$D$212)),"Código CAP não encontrado"))</f>
        <v>0607 - PROMOCAO DA QUALIDADE, ESTRUTURA E AÇÕES</v>
      </c>
      <c r="AJ445" s="12" t="str">
        <f>IF(AH445="","",IFERROR(_xlfn.XLOOKUP(RIGHT("0000"&amp;AH445,4),CODEBOOK_CAP!$C$2:$C$212,CODEBOOK_CAP!$E$2:$E$212),"Código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445" s="22" t="s">
        <v>77</v>
      </c>
      <c r="AL445" s="26"/>
      <c r="AM445" s="22" t="s">
        <v>77</v>
      </c>
      <c r="AN445" s="22" t="s">
        <v>77</v>
      </c>
      <c r="AO445" s="12"/>
      <c r="AP445" s="22" t="s">
        <v>79</v>
      </c>
      <c r="AQ445" s="12" t="s">
        <v>1094</v>
      </c>
      <c r="AR445" s="22" t="s">
        <v>77</v>
      </c>
      <c r="AS445" s="10"/>
      <c r="AT445" s="2" t="s">
        <v>1814</v>
      </c>
      <c r="AU445" s="12" t="s">
        <v>83</v>
      </c>
      <c r="AV445" s="3" t="n">
        <v>46221</v>
      </c>
      <c r="AW445" s="21"/>
      <c r="AY445" s="1"/>
      <c r="BA445" s="1"/>
      <c r="BB445" s="1"/>
    </row>
    <row r="446" ht="180" customHeight="1">
      <c r="A446" s="20" t="s">
        <v>2648</v>
      </c>
      <c r="B446" s="20" t="n">
        <v>2023</v>
      </c>
      <c r="C446" s="20" t="n">
        <v>350</v>
      </c>
      <c r="D446" s="20" t="s">
        <v>50</v>
      </c>
      <c r="E446" s="20" t="s">
        <v>2521</v>
      </c>
      <c r="F446" s="20" t="s">
        <v>2649</v>
      </c>
      <c r="G446" s="20" t="s">
        <v>86</v>
      </c>
      <c r="H446" s="20" t="s">
        <v>2523</v>
      </c>
      <c r="I446" s="20"/>
      <c r="J446" s="20" t="s">
        <v>2650</v>
      </c>
      <c r="K446" s="20" t="s">
        <v>2651</v>
      </c>
      <c r="L446" s="20" t="s">
        <v>785</v>
      </c>
      <c r="M446" s="20" t="s">
        <v>786</v>
      </c>
      <c r="N446" s="20" t="s">
        <v>787</v>
      </c>
      <c r="O446" s="20" t="s">
        <v>788</v>
      </c>
      <c r="P446" s="20" t="s">
        <v>517</v>
      </c>
      <c r="Q446" s="20" t="s">
        <v>893</v>
      </c>
      <c r="R446" s="20" t="s">
        <v>894</v>
      </c>
      <c r="S446" s="20" t="s">
        <v>895</v>
      </c>
      <c r="T446" s="20" t="s">
        <v>792</v>
      </c>
      <c r="U446" s="20" t="s">
        <v>793</v>
      </c>
      <c r="V446" s="20" t="s">
        <v>95</v>
      </c>
      <c r="W446" s="20" t="s">
        <v>96</v>
      </c>
      <c r="X446" s="20" t="s">
        <v>97</v>
      </c>
      <c r="Y446" s="20" t="s">
        <v>70</v>
      </c>
      <c r="Z446" s="20" t="s">
        <v>794</v>
      </c>
      <c r="AA446" s="20" t="s">
        <v>372</v>
      </c>
      <c r="AB446" s="20" t="s">
        <v>372</v>
      </c>
      <c r="AC446" s="20" t="s">
        <v>372</v>
      </c>
      <c r="AD446" s="20" t="s">
        <v>372</v>
      </c>
      <c r="AE446" s="20"/>
      <c r="AF446" s="9" t="n">
        <v>0</v>
      </c>
      <c r="AG446" s="12" t="n">
        <v>0</v>
      </c>
      <c r="AH446" s="22" t="s">
        <v>1346</v>
      </c>
      <c r="AI446" s="12" t="str">
        <f>IF(AH446="","",IFERROR(RIGHT("0000"&amp;AH446,4)&amp;" - "&amp;UPPER(_xlfn.XLOOKUP(RIGHT("0000"&amp;AH446,4),CODEBOOK_CAP!$C$2:$C$212,CODEBOOK_CAP!$D$2:$D$212)),"Código CAP não encontrado"))</f>
        <v>0201 - DISCRIMINAÇÃO POR QUESTÕES ÉTNICO-RACIAIS</v>
      </c>
      <c r="AJ446" s="12" t="str">
        <f>IF(AH446="","",IFERROR(_xlfn.XLOOKUP(RIGHT("0000"&amp;AH446,4),CODEBOOK_CAP!$C$2:$C$212,CODEBOOK_CAP!$E$2:$E$212),"Código CAP não encontrado"))</f>
        <v>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v>
      </c>
      <c r="AK446" s="22" t="s">
        <v>77</v>
      </c>
      <c r="AL446" s="26"/>
      <c r="AM446" s="22" t="s">
        <v>79</v>
      </c>
      <c r="AN446" s="22" t="s">
        <v>79</v>
      </c>
      <c r="AO446" s="12" t="s">
        <v>2652</v>
      </c>
      <c r="AP446" s="22" t="s">
        <v>79</v>
      </c>
      <c r="AQ446" s="12" t="s">
        <v>2653</v>
      </c>
      <c r="AR446" s="22" t="s">
        <v>77</v>
      </c>
      <c r="AS446" s="10"/>
      <c r="AT446" s="2" t="s">
        <v>1814</v>
      </c>
      <c r="AU446" s="12" t="s">
        <v>83</v>
      </c>
      <c r="AV446" s="3" t="n">
        <v>46221</v>
      </c>
      <c r="AW446" s="21"/>
      <c r="AY446" s="1"/>
      <c r="BA446" s="1"/>
      <c r="BB446" s="1"/>
    </row>
    <row r="447" ht="120" customHeight="1">
      <c r="A447" s="20" t="s">
        <v>2654</v>
      </c>
      <c r="B447" s="20" t="n">
        <v>2023</v>
      </c>
      <c r="C447" s="20" t="n">
        <v>369</v>
      </c>
      <c r="D447" s="20" t="s">
        <v>50</v>
      </c>
      <c r="E447" s="20" t="s">
        <v>2521</v>
      </c>
      <c r="F447" s="20" t="s">
        <v>2655</v>
      </c>
      <c r="G447" s="20" t="s">
        <v>86</v>
      </c>
      <c r="H447" s="20" t="s">
        <v>2523</v>
      </c>
      <c r="I447" s="20"/>
      <c r="J447" s="20" t="s">
        <v>1037</v>
      </c>
      <c r="K447" s="20" t="s">
        <v>416</v>
      </c>
      <c r="L447" s="20" t="s">
        <v>57</v>
      </c>
      <c r="M447" s="20" t="s">
        <v>58</v>
      </c>
      <c r="N447" s="20" t="s">
        <v>59</v>
      </c>
      <c r="O447" s="20" t="s">
        <v>60</v>
      </c>
      <c r="P447" s="20" t="s">
        <v>89</v>
      </c>
      <c r="Q447" s="20" t="s">
        <v>90</v>
      </c>
      <c r="R447" s="20" t="s">
        <v>91</v>
      </c>
      <c r="S447" s="20" t="s">
        <v>92</v>
      </c>
      <c r="T447" s="20" t="s">
        <v>123</v>
      </c>
      <c r="U447" s="20" t="s">
        <v>124</v>
      </c>
      <c r="V447" s="20" t="s">
        <v>417</v>
      </c>
      <c r="W447" s="20" t="s">
        <v>96</v>
      </c>
      <c r="X447" s="20" t="s">
        <v>97</v>
      </c>
      <c r="Y447" s="20" t="s">
        <v>70</v>
      </c>
      <c r="Z447" s="20" t="s">
        <v>98</v>
      </c>
      <c r="AA447" s="20" t="s">
        <v>372</v>
      </c>
      <c r="AB447" s="20" t="s">
        <v>372</v>
      </c>
      <c r="AC447" s="20" t="s">
        <v>372</v>
      </c>
      <c r="AD447" s="20" t="s">
        <v>372</v>
      </c>
      <c r="AE447" s="20"/>
      <c r="AF447" s="9" t="n">
        <v>1</v>
      </c>
      <c r="AG447" s="12" t="n">
        <v>1</v>
      </c>
      <c r="AH447" s="22" t="s">
        <v>235</v>
      </c>
      <c r="AI447" s="12" t="str">
        <f>IF(AH447="","",IFERROR(RIGHT("0000"&amp;AH447,4)&amp;" - "&amp;UPPER(_xlfn.XLOOKUP(RIGHT("0000"&amp;AH447,4),CODEBOOK_CAP!$C$2:$C$212,CODEBOOK_CAP!$D$2:$D$212)),"Código CAP não encontrado"))</f>
        <v>0322 - ESTRUTURAS, HOSPITAIS, CLÍNICAS</v>
      </c>
      <c r="AJ447" s="12" t="str">
        <f>IF(AH447="","",IFERROR(_xlfn.XLOOKUP(RIGHT("0000"&amp;AH447,4),CODEBOOK_CAP!$C$2:$C$212,CODEBOOK_CAP!$E$2:$E$212),"Código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7" s="22" t="s">
        <v>77</v>
      </c>
      <c r="AL447" s="26"/>
      <c r="AM447" s="22" t="s">
        <v>79</v>
      </c>
      <c r="AN447" s="22" t="s">
        <v>79</v>
      </c>
      <c r="AO447" s="12" t="s">
        <v>1890</v>
      </c>
      <c r="AP447" s="22" t="s">
        <v>77</v>
      </c>
      <c r="AQ447" s="12"/>
      <c r="AR447" s="22" t="s">
        <v>77</v>
      </c>
      <c r="AS447" s="10"/>
      <c r="AT447" s="2" t="s">
        <v>1814</v>
      </c>
      <c r="AU447" s="12" t="s">
        <v>83</v>
      </c>
      <c r="AV447" s="3" t="n">
        <v>46221</v>
      </c>
      <c r="AW447" s="21"/>
      <c r="AY447" s="1"/>
      <c r="BA447" s="1"/>
      <c r="BB447" s="1"/>
    </row>
    <row r="448" ht="120" customHeight="1">
      <c r="A448" s="20" t="s">
        <v>2656</v>
      </c>
      <c r="B448" s="20" t="n">
        <v>2023</v>
      </c>
      <c r="C448" s="20" t="n">
        <v>873</v>
      </c>
      <c r="D448" s="20" t="s">
        <v>50</v>
      </c>
      <c r="E448" s="20" t="s">
        <v>2657</v>
      </c>
      <c r="F448" s="20" t="s">
        <v>2658</v>
      </c>
      <c r="G448" s="20" t="s">
        <v>86</v>
      </c>
      <c r="H448" s="20" t="s">
        <v>2659</v>
      </c>
      <c r="I448" s="20"/>
      <c r="J448" s="20" t="s">
        <v>2660</v>
      </c>
      <c r="K448" s="20" t="s">
        <v>2661</v>
      </c>
      <c r="L448" s="20" t="s">
        <v>57</v>
      </c>
      <c r="M448" s="20" t="s">
        <v>58</v>
      </c>
      <c r="N448" s="20" t="s">
        <v>59</v>
      </c>
      <c r="O448" s="20" t="s">
        <v>60</v>
      </c>
      <c r="P448" s="20" t="s">
        <v>61</v>
      </c>
      <c r="Q448" s="20" t="s">
        <v>62</v>
      </c>
      <c r="R448" s="20" t="s">
        <v>63</v>
      </c>
      <c r="S448" s="20" t="s">
        <v>64</v>
      </c>
      <c r="T448" s="20" t="s">
        <v>65</v>
      </c>
      <c r="U448" s="20" t="s">
        <v>66</v>
      </c>
      <c r="V448" s="20" t="s">
        <v>67</v>
      </c>
      <c r="W448" s="20" t="s">
        <v>68</v>
      </c>
      <c r="X448" s="20" t="s">
        <v>69</v>
      </c>
      <c r="Y448" s="20" t="s">
        <v>70</v>
      </c>
      <c r="Z448" s="20" t="s">
        <v>71</v>
      </c>
      <c r="AA448" s="20" t="s">
        <v>343</v>
      </c>
      <c r="AB448" s="20" t="s">
        <v>2662</v>
      </c>
      <c r="AC448" s="20" t="s">
        <v>2663</v>
      </c>
      <c r="AD448" s="20" t="s">
        <v>2664</v>
      </c>
      <c r="AE448" s="20" t="s">
        <v>811</v>
      </c>
      <c r="AF448" s="9" t="n">
        <v>1</v>
      </c>
      <c r="AG448" s="12" t="n">
        <v>1</v>
      </c>
      <c r="AH448" s="22" t="s">
        <v>235</v>
      </c>
      <c r="AI448" s="12" t="str">
        <f>IF(AH448="","",IFERROR(RIGHT("0000"&amp;AH448,4)&amp;" - "&amp;UPPER(_xlfn.XLOOKUP(RIGHT("0000"&amp;AH448,4),CODEBOOK_CAP!$C$2:$C$212,CODEBOOK_CAP!$D$2:$D$212)),"Código CAP não encontrado"))</f>
        <v>0322 - ESTRUTURAS, HOSPITAIS, CLÍNICAS</v>
      </c>
      <c r="AJ448" s="12" t="str">
        <f>IF(AH448="","",IFERROR(_xlfn.XLOOKUP(RIGHT("0000"&amp;AH448,4),CODEBOOK_CAP!$C$2:$C$212,CODEBOOK_CAP!$E$2:$E$212),"Código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48" s="22" t="s">
        <v>77</v>
      </c>
      <c r="AL448" s="26"/>
      <c r="AM448" s="22" t="s">
        <v>77</v>
      </c>
      <c r="AN448" s="22" t="s">
        <v>77</v>
      </c>
      <c r="AO448" s="12"/>
      <c r="AP448" s="22" t="s">
        <v>77</v>
      </c>
      <c r="AQ448" s="12"/>
      <c r="AR448" s="22" t="s">
        <v>79</v>
      </c>
      <c r="AS448" s="10" t="s">
        <v>811</v>
      </c>
      <c r="AT448" s="2" t="s">
        <v>1814</v>
      </c>
      <c r="AU448" s="12" t="s">
        <v>83</v>
      </c>
      <c r="AV448" s="3" t="n">
        <v>46221</v>
      </c>
      <c r="AW448" s="21"/>
      <c r="AY448" s="1"/>
      <c r="BA448" s="1"/>
      <c r="BB448" s="1"/>
    </row>
    <row r="449" ht="75" customHeight="1">
      <c r="A449" s="20" t="s">
        <v>2665</v>
      </c>
      <c r="B449" s="20" t="n">
        <v>2023</v>
      </c>
      <c r="C449" s="20" t="n">
        <v>446</v>
      </c>
      <c r="D449" s="20" t="s">
        <v>50</v>
      </c>
      <c r="E449" s="20" t="s">
        <v>2657</v>
      </c>
      <c r="F449" s="20" t="s">
        <v>2666</v>
      </c>
      <c r="G449" s="20" t="s">
        <v>53</v>
      </c>
      <c r="H449" s="20" t="s">
        <v>2659</v>
      </c>
      <c r="I449" s="20"/>
      <c r="J449" s="20" t="s">
        <v>2667</v>
      </c>
      <c r="K449" s="20" t="s">
        <v>2668</v>
      </c>
      <c r="L449" s="20" t="s">
        <v>208</v>
      </c>
      <c r="M449" s="20" t="s">
        <v>209</v>
      </c>
      <c r="N449" s="20" t="s">
        <v>660</v>
      </c>
      <c r="O449" s="20" t="s">
        <v>661</v>
      </c>
      <c r="P449" s="20" t="s">
        <v>662</v>
      </c>
      <c r="Q449" s="20" t="s">
        <v>663</v>
      </c>
      <c r="R449" s="20" t="s">
        <v>1378</v>
      </c>
      <c r="S449" s="20" t="s">
        <v>1379</v>
      </c>
      <c r="T449" s="20" t="s">
        <v>300</v>
      </c>
      <c r="U449" s="20" t="s">
        <v>301</v>
      </c>
      <c r="V449" s="20" t="s">
        <v>2669</v>
      </c>
      <c r="W449" s="20" t="s">
        <v>68</v>
      </c>
      <c r="X449" s="20" t="s">
        <v>69</v>
      </c>
      <c r="Y449" s="20" t="s">
        <v>70</v>
      </c>
      <c r="Z449" s="20" t="s">
        <v>177</v>
      </c>
      <c r="AA449" s="20" t="s">
        <v>198</v>
      </c>
      <c r="AB449" s="20" t="s">
        <v>77</v>
      </c>
      <c r="AC449" s="20" t="s">
        <v>77</v>
      </c>
      <c r="AD449" s="20" t="s">
        <v>77</v>
      </c>
      <c r="AE449" s="20"/>
      <c r="AF449" s="9" t="n">
        <v>0</v>
      </c>
      <c r="AG449" s="12" t="n">
        <v>0</v>
      </c>
      <c r="AH449" s="22" t="s">
        <v>464</v>
      </c>
      <c r="AI449" s="12" t="str">
        <f>IF(AH449="","",IFERROR(RIGHT("0000"&amp;AH449,4)&amp;" - "&amp;UPPER(_xlfn.XLOOKUP(RIGHT("0000"&amp;AH449,4),CODEBOOK_CAP!$C$2:$C$212,CODEBOOK_CAP!$D$2:$D$212)),"Código CAP não encontrado"))</f>
        <v>2101 - PARQUES PÚBLICOS E RESERVAS DE PRESERVAÇÃO</v>
      </c>
      <c r="AJ449" s="12" t="str">
        <f>IF(AH449="","",IFERROR(_xlfn.XLOOKUP(RIGHT("0000"&amp;AH449,4),CODEBOOK_CAP!$C$2:$C$212,CODEBOOK_CAP!$E$2:$E$212),"Código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449" s="22" t="s">
        <v>77</v>
      </c>
      <c r="AL449" s="26"/>
      <c r="AM449" s="22" t="s">
        <v>79</v>
      </c>
      <c r="AN449" s="22" t="s">
        <v>79</v>
      </c>
      <c r="AO449" s="12" t="s">
        <v>2670</v>
      </c>
      <c r="AP449" s="22" t="s">
        <v>77</v>
      </c>
      <c r="AQ449" s="12"/>
      <c r="AR449" s="22" t="s">
        <v>77</v>
      </c>
      <c r="AS449" s="10"/>
      <c r="AT449" s="2" t="s">
        <v>1814</v>
      </c>
      <c r="AU449" s="12" t="s">
        <v>83</v>
      </c>
      <c r="AV449" s="3" t="n">
        <v>46221</v>
      </c>
      <c r="AW449" s="21"/>
      <c r="AY449" s="1"/>
      <c r="BA449" s="1"/>
      <c r="BB449" s="1"/>
    </row>
    <row r="450" ht="195" customHeight="1">
      <c r="A450" s="20" t="s">
        <v>2671</v>
      </c>
      <c r="B450" s="20" t="n">
        <v>2023</v>
      </c>
      <c r="C450" s="20" t="n">
        <v>449</v>
      </c>
      <c r="D450" s="20" t="s">
        <v>50</v>
      </c>
      <c r="E450" s="20" t="s">
        <v>2657</v>
      </c>
      <c r="F450" s="20" t="s">
        <v>2672</v>
      </c>
      <c r="G450" s="20" t="s">
        <v>86</v>
      </c>
      <c r="H450" s="20" t="s">
        <v>2659</v>
      </c>
      <c r="I450" s="20"/>
      <c r="J450" s="20" t="s">
        <v>2673</v>
      </c>
      <c r="K450" s="20" t="s">
        <v>289</v>
      </c>
      <c r="L450" s="20" t="s">
        <v>208</v>
      </c>
      <c r="M450" s="20" t="s">
        <v>209</v>
      </c>
      <c r="N450" s="20" t="s">
        <v>210</v>
      </c>
      <c r="O450" s="20" t="s">
        <v>211</v>
      </c>
      <c r="P450" s="20" t="s">
        <v>212</v>
      </c>
      <c r="Q450" s="20" t="s">
        <v>213</v>
      </c>
      <c r="R450" s="20" t="s">
        <v>251</v>
      </c>
      <c r="S450" s="20" t="s">
        <v>252</v>
      </c>
      <c r="T450" s="20" t="s">
        <v>290</v>
      </c>
      <c r="U450" s="20" t="s">
        <v>291</v>
      </c>
      <c r="V450" s="20" t="s">
        <v>67</v>
      </c>
      <c r="W450" s="20" t="s">
        <v>68</v>
      </c>
      <c r="X450" s="20" t="s">
        <v>69</v>
      </c>
      <c r="Y450" s="20" t="s">
        <v>70</v>
      </c>
      <c r="Z450" s="20" t="s">
        <v>177</v>
      </c>
      <c r="AA450" s="20" t="s">
        <v>233</v>
      </c>
      <c r="AB450" s="20" t="s">
        <v>2674</v>
      </c>
      <c r="AC450" s="20" t="s">
        <v>2674</v>
      </c>
      <c r="AD450" s="20" t="s">
        <v>2674</v>
      </c>
      <c r="AE450" s="20"/>
      <c r="AF450" s="9" t="n">
        <v>0</v>
      </c>
      <c r="AG450" s="12" t="n">
        <v>0</v>
      </c>
      <c r="AH450" s="22" t="s">
        <v>294</v>
      </c>
      <c r="AI450" s="12" t="str">
        <f>IF(AH450="","",IFERROR(RIGHT("0000"&amp;AH450,4)&amp;" - "&amp;UPPER(_xlfn.XLOOKUP(RIGHT("0000"&amp;AH450,4),CODEBOOK_CAP!$C$2:$C$212,CODEBOOK_CAP!$D$2:$D$212)),"Código CAP não encontrado"))</f>
        <v>0711 - CONSERVAÇÃO DO SOLO, MAR, RIOS, PRAIAS E COSTAS</v>
      </c>
      <c r="AJ450" s="12" t="str">
        <f>IF(AH450="","",IFERROR(_xlfn.XLOOKUP(RIGHT("0000"&amp;AH450,4),CODEBOOK_CAP!$C$2:$C$212,CODEBOOK_CAP!$E$2:$E$212),"Código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450" s="22" t="s">
        <v>79</v>
      </c>
      <c r="AL450" s="26" t="s">
        <v>2675</v>
      </c>
      <c r="AM450" s="22" t="s">
        <v>79</v>
      </c>
      <c r="AN450" s="22" t="s">
        <v>79</v>
      </c>
      <c r="AO450" s="12" t="s">
        <v>2676</v>
      </c>
      <c r="AP450" s="22" t="s">
        <v>77</v>
      </c>
      <c r="AQ450" s="12"/>
      <c r="AR450" s="22" t="s">
        <v>77</v>
      </c>
      <c r="AS450" s="10"/>
      <c r="AT450" s="2" t="s">
        <v>1814</v>
      </c>
      <c r="AU450" s="12" t="s">
        <v>83</v>
      </c>
      <c r="AV450" s="3" t="n">
        <v>46221</v>
      </c>
      <c r="AW450" s="21"/>
      <c r="AY450" s="1"/>
      <c r="BA450" s="1"/>
      <c r="BB450" s="1"/>
    </row>
    <row r="451" ht="75" customHeight="1">
      <c r="A451" s="20" t="s">
        <v>2677</v>
      </c>
      <c r="B451" s="20" t="n">
        <v>2023</v>
      </c>
      <c r="C451" s="20" t="n">
        <v>482</v>
      </c>
      <c r="D451" s="20" t="s">
        <v>50</v>
      </c>
      <c r="E451" s="20" t="s">
        <v>2657</v>
      </c>
      <c r="F451" s="20" t="s">
        <v>2678</v>
      </c>
      <c r="G451" s="20" t="s">
        <v>86</v>
      </c>
      <c r="H451" s="20" t="s">
        <v>2659</v>
      </c>
      <c r="I451" s="20"/>
      <c r="J451" s="20" t="s">
        <v>2679</v>
      </c>
      <c r="K451" s="20" t="s">
        <v>701</v>
      </c>
      <c r="L451" s="20" t="s">
        <v>702</v>
      </c>
      <c r="M451" s="20" t="s">
        <v>703</v>
      </c>
      <c r="N451" s="20" t="s">
        <v>704</v>
      </c>
      <c r="O451" s="20" t="s">
        <v>705</v>
      </c>
      <c r="P451" s="20" t="s">
        <v>706</v>
      </c>
      <c r="Q451" s="20" t="s">
        <v>707</v>
      </c>
      <c r="R451" s="20" t="s">
        <v>708</v>
      </c>
      <c r="S451" s="20" t="s">
        <v>709</v>
      </c>
      <c r="T451" s="20" t="s">
        <v>710</v>
      </c>
      <c r="U451" s="20" t="s">
        <v>711</v>
      </c>
      <c r="V451" s="20" t="s">
        <v>95</v>
      </c>
      <c r="W451" s="20" t="s">
        <v>96</v>
      </c>
      <c r="X451" s="20" t="s">
        <v>97</v>
      </c>
      <c r="Y451" s="20" t="s">
        <v>70</v>
      </c>
      <c r="Z451" s="20" t="s">
        <v>141</v>
      </c>
      <c r="AA451" s="20" t="s">
        <v>198</v>
      </c>
      <c r="AB451" s="20" t="s">
        <v>198</v>
      </c>
      <c r="AC451" s="20" t="s">
        <v>198</v>
      </c>
      <c r="AD451" s="20" t="s">
        <v>198</v>
      </c>
      <c r="AE451" s="20"/>
      <c r="AF451" s="9" t="n">
        <v>0</v>
      </c>
      <c r="AG451" s="12" t="n">
        <v>0</v>
      </c>
      <c r="AH451" s="22" t="s">
        <v>143</v>
      </c>
      <c r="AI451" s="12" t="str">
        <f>IF(AH451="","",IFERROR(RIGHT("0000"&amp;AH451,4)&amp;" - "&amp;UPPER(_xlfn.XLOOKUP(RIGHT("0000"&amp;AH451,4),CODEBOOK_CAP!$C$2:$C$212,CODEBOOK_CAP!$D$2:$D$212)),"Código CAP não encontrado"))</f>
        <v>0502 - FORMAÇÃO E DESENVOLVIMENTO PROFISSIONAL</v>
      </c>
      <c r="AJ451" s="12" t="str">
        <f>IF(AH451="","",IFERROR(_xlfn.XLOOKUP(RIGHT("0000"&amp;AH451,4),CODEBOOK_CAP!$C$2:$C$212,CODEBOOK_CAP!$E$2:$E$212),"Código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451" s="22" t="s">
        <v>77</v>
      </c>
      <c r="AL451" s="26"/>
      <c r="AM451" s="22" t="s">
        <v>77</v>
      </c>
      <c r="AN451" s="22" t="s">
        <v>77</v>
      </c>
      <c r="AO451" s="12"/>
      <c r="AP451" s="22" t="s">
        <v>79</v>
      </c>
      <c r="AQ451" s="12" t="s">
        <v>712</v>
      </c>
      <c r="AR451" s="22" t="s">
        <v>77</v>
      </c>
      <c r="AS451" s="10"/>
      <c r="AT451" s="2" t="s">
        <v>1814</v>
      </c>
      <c r="AU451" s="12" t="s">
        <v>83</v>
      </c>
      <c r="AV451" s="3" t="n">
        <v>46221</v>
      </c>
      <c r="AW451" s="21"/>
      <c r="AY451" s="1"/>
      <c r="BA451" s="1"/>
      <c r="BB451" s="1"/>
    </row>
    <row r="452" ht="105" customHeight="1">
      <c r="A452" s="20" t="s">
        <v>2680</v>
      </c>
      <c r="B452" s="20" t="n">
        <v>2023</v>
      </c>
      <c r="C452" s="20" t="n">
        <v>483</v>
      </c>
      <c r="D452" s="20" t="s">
        <v>50</v>
      </c>
      <c r="E452" s="20" t="s">
        <v>2657</v>
      </c>
      <c r="F452" s="20" t="s">
        <v>1309</v>
      </c>
      <c r="G452" s="20" t="s">
        <v>53</v>
      </c>
      <c r="H452" s="20" t="s">
        <v>2659</v>
      </c>
      <c r="I452" s="20"/>
      <c r="J452" s="20" t="s">
        <v>2681</v>
      </c>
      <c r="K452" s="20" t="s">
        <v>299</v>
      </c>
      <c r="L452" s="20" t="s">
        <v>208</v>
      </c>
      <c r="M452" s="20" t="s">
        <v>209</v>
      </c>
      <c r="N452" s="20" t="s">
        <v>210</v>
      </c>
      <c r="O452" s="20" t="s">
        <v>211</v>
      </c>
      <c r="P452" s="20" t="s">
        <v>212</v>
      </c>
      <c r="Q452" s="20" t="s">
        <v>213</v>
      </c>
      <c r="R452" s="20" t="s">
        <v>251</v>
      </c>
      <c r="S452" s="20" t="s">
        <v>252</v>
      </c>
      <c r="T452" s="20" t="s">
        <v>300</v>
      </c>
      <c r="U452" s="20" t="s">
        <v>301</v>
      </c>
      <c r="V452" s="20" t="s">
        <v>67</v>
      </c>
      <c r="W452" s="20" t="s">
        <v>68</v>
      </c>
      <c r="X452" s="20" t="s">
        <v>69</v>
      </c>
      <c r="Y452" s="20" t="s">
        <v>70</v>
      </c>
      <c r="Z452" s="20" t="s">
        <v>177</v>
      </c>
      <c r="AA452" s="20" t="s">
        <v>2532</v>
      </c>
      <c r="AB452" s="20" t="s">
        <v>77</v>
      </c>
      <c r="AC452" s="20" t="s">
        <v>77</v>
      </c>
      <c r="AD452" s="20" t="s">
        <v>77</v>
      </c>
      <c r="AE452" s="20"/>
      <c r="AF452" s="9" t="n">
        <v>0</v>
      </c>
      <c r="AG452" s="12" t="n">
        <v>0</v>
      </c>
      <c r="AH452" s="22" t="s">
        <v>161</v>
      </c>
      <c r="AI452" s="12" t="str">
        <f>IF(AH452="","",IFERROR(RIGHT("0000"&amp;AH452,4)&amp;" - "&amp;UPPER(_xlfn.XLOOKUP(RIGHT("0000"&amp;AH452,4),CODEBOOK_CAP!$C$2:$C$212,CODEBOOK_CAP!$D$2:$D$212)),"Código CAP não encontrado"))</f>
        <v>2300 - GERAL</v>
      </c>
      <c r="AJ452" s="12" t="str">
        <f>IF(AH452="","",IFERROR(_xlfn.XLOOKUP(RIGHT("0000"&amp;AH452,4),CODEBOOK_CAP!$C$2:$C$212,CODEBOOK_CAP!$E$2:$E$212),"Código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52" s="22" t="s">
        <v>79</v>
      </c>
      <c r="AL452" s="26" t="s">
        <v>2682</v>
      </c>
      <c r="AM452" s="22" t="s">
        <v>79</v>
      </c>
      <c r="AN452" s="22" t="s">
        <v>79</v>
      </c>
      <c r="AO452" s="12" t="s">
        <v>2682</v>
      </c>
      <c r="AP452" s="22" t="s">
        <v>77</v>
      </c>
      <c r="AQ452" s="12"/>
      <c r="AR452" s="22" t="s">
        <v>77</v>
      </c>
      <c r="AS452" s="10"/>
      <c r="AT452" s="2" t="s">
        <v>1814</v>
      </c>
      <c r="AU452" s="12" t="s">
        <v>83</v>
      </c>
      <c r="AV452" s="3" t="n">
        <v>46221</v>
      </c>
      <c r="AW452" s="21"/>
      <c r="AX452" s="1" t="s">
        <v>6956</v>
      </c>
      <c r="AY452" s="1"/>
      <c r="BA452" s="1"/>
      <c r="BB452" s="1"/>
    </row>
    <row r="453" ht="75" customHeight="1">
      <c r="A453" s="20" t="s">
        <v>2683</v>
      </c>
      <c r="B453" s="20" t="n">
        <v>2023</v>
      </c>
      <c r="C453" s="20" t="n">
        <v>484</v>
      </c>
      <c r="D453" s="20" t="s">
        <v>50</v>
      </c>
      <c r="E453" s="20" t="s">
        <v>2657</v>
      </c>
      <c r="F453" s="20" t="s">
        <v>2684</v>
      </c>
      <c r="G453" s="20" t="s">
        <v>86</v>
      </c>
      <c r="H453" s="20" t="s">
        <v>2659</v>
      </c>
      <c r="I453" s="20"/>
      <c r="J453" s="20" t="s">
        <v>2685</v>
      </c>
      <c r="K453" s="20" t="s">
        <v>2686</v>
      </c>
      <c r="L453" s="20" t="s">
        <v>1305</v>
      </c>
      <c r="M453" s="20" t="s">
        <v>1306</v>
      </c>
      <c r="N453" s="20" t="s">
        <v>1307</v>
      </c>
      <c r="O453" s="20" t="s">
        <v>1308</v>
      </c>
      <c r="P453" s="20" t="s">
        <v>1309</v>
      </c>
      <c r="Q453" s="20" t="s">
        <v>1310</v>
      </c>
      <c r="R453" s="20" t="s">
        <v>1311</v>
      </c>
      <c r="S453" s="20" t="s">
        <v>1312</v>
      </c>
      <c r="T453" s="20" t="s">
        <v>2687</v>
      </c>
      <c r="U453" s="20" t="s">
        <v>2688</v>
      </c>
      <c r="V453" s="20" t="s">
        <v>95</v>
      </c>
      <c r="W453" s="20" t="s">
        <v>96</v>
      </c>
      <c r="X453" s="20" t="s">
        <v>97</v>
      </c>
      <c r="Y453" s="20" t="s">
        <v>70</v>
      </c>
      <c r="Z453" s="20" t="s">
        <v>1315</v>
      </c>
      <c r="AA453" s="20" t="s">
        <v>198</v>
      </c>
      <c r="AB453" s="20" t="s">
        <v>198</v>
      </c>
      <c r="AC453" s="20" t="s">
        <v>198</v>
      </c>
      <c r="AD453" s="20" t="s">
        <v>198</v>
      </c>
      <c r="AE453" s="20"/>
      <c r="AF453" s="9" t="n">
        <v>0</v>
      </c>
      <c r="AG453" s="12" t="n">
        <v>0</v>
      </c>
      <c r="AH453" s="22" t="s">
        <v>2689</v>
      </c>
      <c r="AI453" s="12" t="str">
        <f>IF(AH453="","",IFERROR(RIGHT("0000"&amp;AH453,4)&amp;" - "&amp;UPPER(_xlfn.XLOOKUP(RIGHT("0000"&amp;AH453,4),CODEBOOK_CAP!$C$2:$C$212,CODEBOOK_CAP!$D$2:$D$212)),"Código CAP não encontrado"))</f>
        <v>1524 - TURISMO</v>
      </c>
      <c r="AJ453" s="12" t="str">
        <f>IF(AH453="","",IFERROR(_xlfn.XLOOKUP(RIGHT("0000"&amp;AH453,4),CODEBOOK_CAP!$C$2:$C$212,CODEBOOK_CAP!$E$2:$E$212),"Código CAP não encontrado"))</f>
        <v>Assuntos que se relacionam com a política de desenvolvimento de turismo, cidades turisticas, obras turisticas, assuntos relacioandos a incentismo aos turismo, apoios setoriais para promocao de turismo, visto de turismo, promoção do turismo brasileiro.</v>
      </c>
      <c r="AK453" s="22" t="s">
        <v>77</v>
      </c>
      <c r="AL453" s="26"/>
      <c r="AM453" s="22" t="s">
        <v>77</v>
      </c>
      <c r="AN453" s="22" t="s">
        <v>77</v>
      </c>
      <c r="AO453" s="12"/>
      <c r="AP453" s="22" t="s">
        <v>77</v>
      </c>
      <c r="AQ453" s="12"/>
      <c r="AR453" s="22" t="s">
        <v>77</v>
      </c>
      <c r="AS453" s="10"/>
      <c r="AT453" s="2" t="s">
        <v>1814</v>
      </c>
      <c r="AU453" s="12" t="s">
        <v>83</v>
      </c>
      <c r="AV453" s="3" t="n">
        <v>46221</v>
      </c>
      <c r="AW453" s="21"/>
      <c r="AY453" s="1"/>
      <c r="BA453" s="1"/>
      <c r="BB453" s="1"/>
    </row>
    <row r="454" ht="75" customHeight="1">
      <c r="A454" s="20" t="s">
        <v>2690</v>
      </c>
      <c r="B454" s="20" t="n">
        <v>2023</v>
      </c>
      <c r="C454" s="20" t="n">
        <v>485</v>
      </c>
      <c r="D454" s="20" t="s">
        <v>50</v>
      </c>
      <c r="E454" s="20" t="s">
        <v>2657</v>
      </c>
      <c r="F454" s="20" t="s">
        <v>2691</v>
      </c>
      <c r="G454" s="20" t="s">
        <v>53</v>
      </c>
      <c r="H454" s="20" t="s">
        <v>2659</v>
      </c>
      <c r="I454" s="20"/>
      <c r="J454" s="20" t="s">
        <v>2692</v>
      </c>
      <c r="K454" s="20" t="s">
        <v>299</v>
      </c>
      <c r="L454" s="20" t="s">
        <v>208</v>
      </c>
      <c r="M454" s="20" t="s">
        <v>209</v>
      </c>
      <c r="N454" s="20" t="s">
        <v>210</v>
      </c>
      <c r="O454" s="20" t="s">
        <v>211</v>
      </c>
      <c r="P454" s="20" t="s">
        <v>212</v>
      </c>
      <c r="Q454" s="20" t="s">
        <v>213</v>
      </c>
      <c r="R454" s="20" t="s">
        <v>251</v>
      </c>
      <c r="S454" s="20" t="s">
        <v>252</v>
      </c>
      <c r="T454" s="20" t="s">
        <v>300</v>
      </c>
      <c r="U454" s="20" t="s">
        <v>301</v>
      </c>
      <c r="V454" s="20" t="s">
        <v>67</v>
      </c>
      <c r="W454" s="20" t="s">
        <v>68</v>
      </c>
      <c r="X454" s="20" t="s">
        <v>69</v>
      </c>
      <c r="Y454" s="20" t="s">
        <v>70</v>
      </c>
      <c r="Z454" s="20" t="s">
        <v>177</v>
      </c>
      <c r="AA454" s="20" t="s">
        <v>198</v>
      </c>
      <c r="AB454" s="20" t="s">
        <v>77</v>
      </c>
      <c r="AC454" s="20" t="s">
        <v>77</v>
      </c>
      <c r="AD454" s="20" t="s">
        <v>77</v>
      </c>
      <c r="AE454" s="20"/>
      <c r="AF454" s="9" t="n">
        <v>0</v>
      </c>
      <c r="AG454" s="12" t="n">
        <v>0</v>
      </c>
      <c r="AH454" s="22" t="s">
        <v>304</v>
      </c>
      <c r="AI454" s="12" t="str">
        <f>IF(AH454="","",IFERROR(RIGHT("0000"&amp;AH454,4)&amp;" - "&amp;UPPER(_xlfn.XLOOKUP(RIGHT("0000"&amp;AH454,4),CODEBOOK_CAP!$C$2:$C$212,CODEBOOK_CAP!$D$2:$D$212)),"Código CAP não encontrado"))</f>
        <v>1403 - REABILITAÇÃO URBANA, ECONOMIA URBANA</v>
      </c>
      <c r="AJ454" s="12" t="str">
        <f>IF(AH454="","",IFERROR(_xlfn.XLOOKUP(RIGHT("0000"&amp;AH454,4),CODEBOOK_CAP!$C$2:$C$212,CODEBOOK_CAP!$E$2:$E$212),"Código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54" s="22" t="s">
        <v>79</v>
      </c>
      <c r="AL454" s="26" t="s">
        <v>2693</v>
      </c>
      <c r="AM454" s="22" t="s">
        <v>79</v>
      </c>
      <c r="AN454" s="22" t="s">
        <v>79</v>
      </c>
      <c r="AO454" s="12" t="s">
        <v>2693</v>
      </c>
      <c r="AP454" s="22" t="s">
        <v>77</v>
      </c>
      <c r="AQ454" s="12"/>
      <c r="AR454" s="22" t="s">
        <v>77</v>
      </c>
      <c r="AS454" s="10"/>
      <c r="AT454" s="2" t="s">
        <v>1814</v>
      </c>
      <c r="AU454" s="12" t="s">
        <v>83</v>
      </c>
      <c r="AV454" s="3" t="n">
        <v>46221</v>
      </c>
      <c r="AW454" s="21"/>
      <c r="AY454" s="1"/>
      <c r="BA454" s="1"/>
      <c r="BB454" s="1"/>
    </row>
    <row r="455" ht="75" customHeight="1">
      <c r="A455" s="20" t="s">
        <v>2694</v>
      </c>
      <c r="B455" s="20" t="n">
        <v>2023</v>
      </c>
      <c r="C455" s="20" t="n">
        <v>486</v>
      </c>
      <c r="D455" s="20" t="s">
        <v>50</v>
      </c>
      <c r="E455" s="20" t="s">
        <v>2657</v>
      </c>
      <c r="F455" s="20" t="s">
        <v>2695</v>
      </c>
      <c r="G455" s="20" t="s">
        <v>86</v>
      </c>
      <c r="H455" s="20" t="s">
        <v>2659</v>
      </c>
      <c r="I455" s="20"/>
      <c r="J455" s="20" t="s">
        <v>2696</v>
      </c>
      <c r="K455" s="20" t="s">
        <v>299</v>
      </c>
      <c r="L455" s="20" t="s">
        <v>208</v>
      </c>
      <c r="M455" s="20" t="s">
        <v>209</v>
      </c>
      <c r="N455" s="20" t="s">
        <v>210</v>
      </c>
      <c r="O455" s="20" t="s">
        <v>211</v>
      </c>
      <c r="P455" s="20" t="s">
        <v>212</v>
      </c>
      <c r="Q455" s="20" t="s">
        <v>213</v>
      </c>
      <c r="R455" s="20" t="s">
        <v>251</v>
      </c>
      <c r="S455" s="20" t="s">
        <v>252</v>
      </c>
      <c r="T455" s="20" t="s">
        <v>300</v>
      </c>
      <c r="U455" s="20" t="s">
        <v>301</v>
      </c>
      <c r="V455" s="20" t="s">
        <v>67</v>
      </c>
      <c r="W455" s="20" t="s">
        <v>68</v>
      </c>
      <c r="X455" s="20" t="s">
        <v>69</v>
      </c>
      <c r="Y455" s="20" t="s">
        <v>70</v>
      </c>
      <c r="Z455" s="20" t="s">
        <v>177</v>
      </c>
      <c r="AA455" s="20" t="s">
        <v>409</v>
      </c>
      <c r="AB455" s="20" t="s">
        <v>409</v>
      </c>
      <c r="AC455" s="20" t="s">
        <v>409</v>
      </c>
      <c r="AD455" s="20" t="s">
        <v>409</v>
      </c>
      <c r="AE455" s="20"/>
      <c r="AF455" s="9" t="n">
        <v>0</v>
      </c>
      <c r="AG455" s="12" t="n">
        <v>0</v>
      </c>
      <c r="AH455" s="22" t="s">
        <v>304</v>
      </c>
      <c r="AI455" s="12" t="str">
        <f>IF(AH455="","",IFERROR(RIGHT("0000"&amp;AH455,4)&amp;" - "&amp;UPPER(_xlfn.XLOOKUP(RIGHT("0000"&amp;AH455,4),CODEBOOK_CAP!$C$2:$C$212,CODEBOOK_CAP!$D$2:$D$212)),"Código CAP não encontrado"))</f>
        <v>1403 - REABILITAÇÃO URBANA, ECONOMIA URBANA</v>
      </c>
      <c r="AJ455" s="12" t="str">
        <f>IF(AH455="","",IFERROR(_xlfn.XLOOKUP(RIGHT("0000"&amp;AH455,4),CODEBOOK_CAP!$C$2:$C$212,CODEBOOK_CAP!$E$2:$E$212),"Código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55" s="22" t="s">
        <v>79</v>
      </c>
      <c r="AL455" s="26" t="s">
        <v>2697</v>
      </c>
      <c r="AM455" s="22" t="s">
        <v>79</v>
      </c>
      <c r="AN455" s="22" t="s">
        <v>79</v>
      </c>
      <c r="AO455" s="12" t="s">
        <v>2697</v>
      </c>
      <c r="AP455" s="22" t="s">
        <v>77</v>
      </c>
      <c r="AQ455" s="12"/>
      <c r="AR455" s="22" t="s">
        <v>77</v>
      </c>
      <c r="AS455" s="10"/>
      <c r="AT455" s="2" t="s">
        <v>1814</v>
      </c>
      <c r="AU455" s="12" t="s">
        <v>83</v>
      </c>
      <c r="AV455" s="3" t="n">
        <v>46221</v>
      </c>
      <c r="AW455" s="21"/>
      <c r="AY455" s="1"/>
      <c r="BA455" s="1"/>
      <c r="BB455" s="1"/>
    </row>
    <row r="456" ht="75" customHeight="1">
      <c r="A456" s="20" t="s">
        <v>2698</v>
      </c>
      <c r="B456" s="20" t="n">
        <v>2023</v>
      </c>
      <c r="C456" s="20" t="n">
        <v>487</v>
      </c>
      <c r="D456" s="20" t="s">
        <v>50</v>
      </c>
      <c r="E456" s="20" t="s">
        <v>2657</v>
      </c>
      <c r="F456" s="20" t="s">
        <v>536</v>
      </c>
      <c r="G456" s="20" t="s">
        <v>86</v>
      </c>
      <c r="H456" s="20" t="s">
        <v>2659</v>
      </c>
      <c r="I456" s="20"/>
      <c r="J456" s="20" t="s">
        <v>2699</v>
      </c>
      <c r="K456" s="20" t="s">
        <v>2700</v>
      </c>
      <c r="L456" s="20" t="s">
        <v>722</v>
      </c>
      <c r="M456" s="20" t="s">
        <v>723</v>
      </c>
      <c r="N456" s="20" t="s">
        <v>724</v>
      </c>
      <c r="O456" s="20" t="s">
        <v>725</v>
      </c>
      <c r="P456" s="20" t="s">
        <v>61</v>
      </c>
      <c r="Q456" s="20" t="s">
        <v>62</v>
      </c>
      <c r="R456" s="20" t="s">
        <v>726</v>
      </c>
      <c r="S456" s="20" t="s">
        <v>727</v>
      </c>
      <c r="T456" s="20" t="s">
        <v>2553</v>
      </c>
      <c r="U456" s="20" t="s">
        <v>2554</v>
      </c>
      <c r="V456" s="20" t="s">
        <v>95</v>
      </c>
      <c r="W456" s="20" t="s">
        <v>96</v>
      </c>
      <c r="X456" s="20" t="s">
        <v>97</v>
      </c>
      <c r="Y456" s="20" t="s">
        <v>70</v>
      </c>
      <c r="Z456" s="20" t="s">
        <v>730</v>
      </c>
      <c r="AA456" s="20" t="s">
        <v>462</v>
      </c>
      <c r="AB456" s="20" t="s">
        <v>2701</v>
      </c>
      <c r="AC456" s="20" t="s">
        <v>2701</v>
      </c>
      <c r="AD456" s="20" t="s">
        <v>2701</v>
      </c>
      <c r="AE456" s="20"/>
      <c r="AF456" s="9" t="n">
        <v>0</v>
      </c>
      <c r="AG456" s="12" t="n">
        <v>0</v>
      </c>
      <c r="AH456" s="22" t="s">
        <v>732</v>
      </c>
      <c r="AI456" s="12" t="str">
        <f>IF(AH456="","",IFERROR(RIGHT("0000"&amp;AH456,4)&amp;" - "&amp;UPPER(_xlfn.XLOOKUP(RIGHT("0000"&amp;AH456,4),CODEBOOK_CAP!$C$2:$C$212,CODEBOOK_CAP!$D$2:$D$212)),"Código CAP não encontrado"))</f>
        <v>1211 - CRIME COMUM , VIOLÊNCIA E PREVENÇÃO</v>
      </c>
      <c r="AJ456" s="12" t="str">
        <f>IF(AH456="","",IFERROR(_xlfn.XLOOKUP(RIGHT("0000"&amp;AH456,4),CODEBOOK_CAP!$C$2:$C$212,CODEBOOK_CAP!$E$2:$E$212),"Código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456" s="22" t="s">
        <v>77</v>
      </c>
      <c r="AL456" s="26"/>
      <c r="AM456" s="22" t="s">
        <v>77</v>
      </c>
      <c r="AN456" s="22" t="s">
        <v>77</v>
      </c>
      <c r="AO456" s="12"/>
      <c r="AP456" s="22" t="s">
        <v>77</v>
      </c>
      <c r="AQ456" s="12"/>
      <c r="AR456" s="22" t="s">
        <v>77</v>
      </c>
      <c r="AS456" s="10"/>
      <c r="AT456" s="2" t="s">
        <v>1814</v>
      </c>
      <c r="AU456" s="12" t="s">
        <v>83</v>
      </c>
      <c r="AV456" s="3" t="n">
        <v>46221</v>
      </c>
      <c r="AW456" s="21"/>
      <c r="AY456" s="1"/>
      <c r="BA456" s="1"/>
      <c r="BB456" s="1"/>
    </row>
    <row r="457" ht="105" customHeight="1">
      <c r="A457" s="20" t="s">
        <v>2702</v>
      </c>
      <c r="B457" s="20" t="n">
        <v>2023</v>
      </c>
      <c r="C457" s="20" t="n">
        <v>488</v>
      </c>
      <c r="D457" s="20" t="s">
        <v>50</v>
      </c>
      <c r="E457" s="20" t="s">
        <v>2657</v>
      </c>
      <c r="F457" s="20" t="s">
        <v>2703</v>
      </c>
      <c r="G457" s="20" t="s">
        <v>86</v>
      </c>
      <c r="H457" s="20" t="s">
        <v>2659</v>
      </c>
      <c r="I457" s="20"/>
      <c r="J457" s="20" t="s">
        <v>2704</v>
      </c>
      <c r="K457" s="20" t="s">
        <v>2296</v>
      </c>
      <c r="L457" s="20" t="s">
        <v>208</v>
      </c>
      <c r="M457" s="20" t="s">
        <v>209</v>
      </c>
      <c r="N457" s="20" t="s">
        <v>135</v>
      </c>
      <c r="O457" s="20" t="s">
        <v>136</v>
      </c>
      <c r="P457" s="20" t="s">
        <v>61</v>
      </c>
      <c r="Q457" s="20" t="s">
        <v>62</v>
      </c>
      <c r="R457" s="20" t="s">
        <v>251</v>
      </c>
      <c r="S457" s="20" t="s">
        <v>252</v>
      </c>
      <c r="T457" s="20" t="s">
        <v>253</v>
      </c>
      <c r="U457" s="20" t="s">
        <v>254</v>
      </c>
      <c r="V457" s="20" t="s">
        <v>854</v>
      </c>
      <c r="W457" s="20" t="s">
        <v>96</v>
      </c>
      <c r="X457" s="20" t="s">
        <v>97</v>
      </c>
      <c r="Y457" s="20" t="s">
        <v>70</v>
      </c>
      <c r="Z457" s="20" t="s">
        <v>177</v>
      </c>
      <c r="AA457" s="20" t="s">
        <v>233</v>
      </c>
      <c r="AB457" s="20" t="s">
        <v>2705</v>
      </c>
      <c r="AC457" s="20" t="s">
        <v>2706</v>
      </c>
      <c r="AD457" s="20" t="s">
        <v>2705</v>
      </c>
      <c r="AE457" s="20"/>
      <c r="AF457" s="9" t="n">
        <v>0</v>
      </c>
      <c r="AG457" s="12" t="n">
        <v>0</v>
      </c>
      <c r="AH457" s="22" t="s">
        <v>161</v>
      </c>
      <c r="AI457" s="12" t="str">
        <f>IF(AH457="","",IFERROR(RIGHT("0000"&amp;AH457,4)&amp;" - "&amp;UPPER(_xlfn.XLOOKUP(RIGHT("0000"&amp;AH457,4),CODEBOOK_CAP!$C$2:$C$212,CODEBOOK_CAP!$D$2:$D$212)),"Código CAP não encontrado"))</f>
        <v>2300 - GERAL</v>
      </c>
      <c r="AJ457" s="12" t="str">
        <f>IF(AH457="","",IFERROR(_xlfn.XLOOKUP(RIGHT("0000"&amp;AH457,4),CODEBOOK_CAP!$C$2:$C$212,CODEBOOK_CAP!$E$2:$E$212),"Código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57" s="22" t="s">
        <v>79</v>
      </c>
      <c r="AL457" s="26" t="s">
        <v>2707</v>
      </c>
      <c r="AM457" s="22" t="s">
        <v>79</v>
      </c>
      <c r="AN457" s="22" t="s">
        <v>79</v>
      </c>
      <c r="AO457" s="12" t="s">
        <v>2708</v>
      </c>
      <c r="AP457" s="22" t="s">
        <v>77</v>
      </c>
      <c r="AQ457" s="12"/>
      <c r="AR457" s="22" t="s">
        <v>77</v>
      </c>
      <c r="AS457" s="10"/>
      <c r="AT457" s="2" t="s">
        <v>1814</v>
      </c>
      <c r="AU457" s="12" t="s">
        <v>83</v>
      </c>
      <c r="AV457" s="3" t="n">
        <v>46221</v>
      </c>
      <c r="AW457" s="21"/>
      <c r="AX457" s="1" t="s">
        <v>6956</v>
      </c>
      <c r="AY457" s="1"/>
      <c r="BA457" s="1"/>
      <c r="BB457" s="1"/>
    </row>
    <row r="458" ht="120" customHeight="1">
      <c r="A458" s="20" t="s">
        <v>2709</v>
      </c>
      <c r="B458" s="20" t="n">
        <v>2023</v>
      </c>
      <c r="C458" s="20" t="n">
        <v>531</v>
      </c>
      <c r="D458" s="20" t="s">
        <v>50</v>
      </c>
      <c r="E458" s="20" t="s">
        <v>2657</v>
      </c>
      <c r="F458" s="20" t="s">
        <v>2710</v>
      </c>
      <c r="G458" s="20" t="s">
        <v>315</v>
      </c>
      <c r="H458" s="20" t="s">
        <v>2659</v>
      </c>
      <c r="I458" s="20"/>
      <c r="J458" s="20" t="s">
        <v>2711</v>
      </c>
      <c r="K458" s="20" t="s">
        <v>309</v>
      </c>
      <c r="L458" s="20" t="s">
        <v>57</v>
      </c>
      <c r="M458" s="20" t="s">
        <v>58</v>
      </c>
      <c r="N458" s="20" t="s">
        <v>59</v>
      </c>
      <c r="O458" s="20" t="s">
        <v>60</v>
      </c>
      <c r="P458" s="20" t="s">
        <v>227</v>
      </c>
      <c r="Q458" s="20" t="s">
        <v>228</v>
      </c>
      <c r="R458" s="20" t="s">
        <v>229</v>
      </c>
      <c r="S458" s="20" t="s">
        <v>230</v>
      </c>
      <c r="T458" s="20" t="s">
        <v>231</v>
      </c>
      <c r="U458" s="20" t="s">
        <v>230</v>
      </c>
      <c r="V458" s="20" t="s">
        <v>196</v>
      </c>
      <c r="W458" s="20" t="s">
        <v>68</v>
      </c>
      <c r="X458" s="20" t="s">
        <v>69</v>
      </c>
      <c r="Y458" s="20" t="s">
        <v>70</v>
      </c>
      <c r="Z458" s="20" t="s">
        <v>98</v>
      </c>
      <c r="AA458" s="20" t="s">
        <v>198</v>
      </c>
      <c r="AB458" s="20" t="s">
        <v>2712</v>
      </c>
      <c r="AC458" s="20" t="s">
        <v>2713</v>
      </c>
      <c r="AD458" s="20" t="s">
        <v>2714</v>
      </c>
      <c r="AE458" s="20" t="s">
        <v>2715</v>
      </c>
      <c r="AF458" s="9" t="n">
        <v>1</v>
      </c>
      <c r="AG458" s="12" t="n">
        <v>1</v>
      </c>
      <c r="AH458" s="22" t="s">
        <v>235</v>
      </c>
      <c r="AI458" s="12" t="str">
        <f>IF(AH458="","",IFERROR(RIGHT("0000"&amp;AH458,4)&amp;" - "&amp;UPPER(_xlfn.XLOOKUP(RIGHT("0000"&amp;AH458,4),CODEBOOK_CAP!$C$2:$C$212,CODEBOOK_CAP!$D$2:$D$212)),"Código CAP não encontrado"))</f>
        <v>0322 - ESTRUTURAS, HOSPITAIS, CLÍNICAS</v>
      </c>
      <c r="AJ458" s="12" t="str">
        <f>IF(AH458="","",IFERROR(_xlfn.XLOOKUP(RIGHT("0000"&amp;AH458,4),CODEBOOK_CAP!$C$2:$C$212,CODEBOOK_CAP!$E$2:$E$212),"Código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8" s="22" t="s">
        <v>77</v>
      </c>
      <c r="AL458" s="26"/>
      <c r="AM458" s="22" t="s">
        <v>77</v>
      </c>
      <c r="AN458" s="22" t="s">
        <v>77</v>
      </c>
      <c r="AO458" s="12"/>
      <c r="AP458" s="22" t="s">
        <v>77</v>
      </c>
      <c r="AQ458" s="12"/>
      <c r="AR458" s="22" t="s">
        <v>79</v>
      </c>
      <c r="AS458" s="10" t="s">
        <v>2715</v>
      </c>
      <c r="AT458" s="2" t="s">
        <v>1814</v>
      </c>
      <c r="AU458" s="12" t="s">
        <v>83</v>
      </c>
      <c r="AV458" s="3" t="n">
        <v>46221</v>
      </c>
      <c r="AW458" s="21"/>
      <c r="AY458" s="1"/>
      <c r="BA458" s="1"/>
      <c r="BB458" s="1"/>
    </row>
    <row r="459" ht="120" customHeight="1">
      <c r="A459" s="20" t="s">
        <v>2716</v>
      </c>
      <c r="B459" s="20" t="n">
        <v>2023</v>
      </c>
      <c r="C459" s="20" t="n">
        <v>532</v>
      </c>
      <c r="D459" s="20" t="s">
        <v>50</v>
      </c>
      <c r="E459" s="20" t="s">
        <v>2657</v>
      </c>
      <c r="F459" s="20" t="s">
        <v>2717</v>
      </c>
      <c r="G459" s="20" t="s">
        <v>86</v>
      </c>
      <c r="H459" s="20" t="s">
        <v>2659</v>
      </c>
      <c r="I459" s="20"/>
      <c r="J459" s="20" t="s">
        <v>2718</v>
      </c>
      <c r="K459" s="20" t="s">
        <v>122</v>
      </c>
      <c r="L459" s="20" t="s">
        <v>57</v>
      </c>
      <c r="M459" s="20" t="s">
        <v>58</v>
      </c>
      <c r="N459" s="20" t="s">
        <v>59</v>
      </c>
      <c r="O459" s="20" t="s">
        <v>60</v>
      </c>
      <c r="P459" s="20" t="s">
        <v>89</v>
      </c>
      <c r="Q459" s="20" t="s">
        <v>90</v>
      </c>
      <c r="R459" s="20" t="s">
        <v>91</v>
      </c>
      <c r="S459" s="20" t="s">
        <v>92</v>
      </c>
      <c r="T459" s="20" t="s">
        <v>123</v>
      </c>
      <c r="U459" s="20" t="s">
        <v>124</v>
      </c>
      <c r="V459" s="20" t="s">
        <v>95</v>
      </c>
      <c r="W459" s="20" t="s">
        <v>96</v>
      </c>
      <c r="X459" s="20" t="s">
        <v>97</v>
      </c>
      <c r="Y459" s="20" t="s">
        <v>70</v>
      </c>
      <c r="Z459" s="20" t="s">
        <v>98</v>
      </c>
      <c r="AA459" s="20" t="s">
        <v>343</v>
      </c>
      <c r="AB459" s="20" t="s">
        <v>343</v>
      </c>
      <c r="AC459" s="20" t="s">
        <v>343</v>
      </c>
      <c r="AD459" s="20" t="s">
        <v>343</v>
      </c>
      <c r="AE459" s="20"/>
      <c r="AF459" s="9" t="n">
        <v>1</v>
      </c>
      <c r="AG459" s="12" t="n">
        <v>1</v>
      </c>
      <c r="AH459" s="22" t="s">
        <v>235</v>
      </c>
      <c r="AI459" s="12" t="str">
        <f>IF(AH459="","",IFERROR(RIGHT("0000"&amp;AH459,4)&amp;" - "&amp;UPPER(_xlfn.XLOOKUP(RIGHT("0000"&amp;AH459,4),CODEBOOK_CAP!$C$2:$C$212,CODEBOOK_CAP!$D$2:$D$212)),"Código CAP não encontrado"))</f>
        <v>0322 - ESTRUTURAS, HOSPITAIS, CLÍNICAS</v>
      </c>
      <c r="AJ459" s="12" t="str">
        <f>IF(AH459="","",IFERROR(_xlfn.XLOOKUP(RIGHT("0000"&amp;AH459,4),CODEBOOK_CAP!$C$2:$C$212,CODEBOOK_CAP!$E$2:$E$212),"Código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59" s="22" t="s">
        <v>77</v>
      </c>
      <c r="AL459" s="26"/>
      <c r="AM459" s="22" t="s">
        <v>79</v>
      </c>
      <c r="AN459" s="22" t="s">
        <v>79</v>
      </c>
      <c r="AO459" s="12" t="s">
        <v>2719</v>
      </c>
      <c r="AP459" s="22" t="s">
        <v>77</v>
      </c>
      <c r="AQ459" s="12"/>
      <c r="AR459" s="22" t="s">
        <v>77</v>
      </c>
      <c r="AS459" s="10"/>
      <c r="AT459" s="2" t="s">
        <v>1814</v>
      </c>
      <c r="AU459" s="12" t="s">
        <v>83</v>
      </c>
      <c r="AV459" s="3" t="n">
        <v>46221</v>
      </c>
      <c r="AW459" s="21"/>
      <c r="AY459" s="1"/>
      <c r="BA459" s="1"/>
      <c r="BB459" s="1"/>
    </row>
    <row r="460" ht="120" customHeight="1">
      <c r="A460" s="20" t="s">
        <v>2720</v>
      </c>
      <c r="B460" s="20" t="n">
        <v>2023</v>
      </c>
      <c r="C460" s="20" t="n">
        <v>533</v>
      </c>
      <c r="D460" s="20" t="s">
        <v>50</v>
      </c>
      <c r="E460" s="20" t="s">
        <v>2657</v>
      </c>
      <c r="F460" s="20" t="s">
        <v>2721</v>
      </c>
      <c r="G460" s="20" t="s">
        <v>86</v>
      </c>
      <c r="H460" s="20" t="s">
        <v>2659</v>
      </c>
      <c r="I460" s="20"/>
      <c r="J460" s="20" t="s">
        <v>2722</v>
      </c>
      <c r="K460" s="20" t="s">
        <v>122</v>
      </c>
      <c r="L460" s="20" t="s">
        <v>57</v>
      </c>
      <c r="M460" s="20" t="s">
        <v>58</v>
      </c>
      <c r="N460" s="20" t="s">
        <v>59</v>
      </c>
      <c r="O460" s="20" t="s">
        <v>60</v>
      </c>
      <c r="P460" s="20" t="s">
        <v>89</v>
      </c>
      <c r="Q460" s="20" t="s">
        <v>90</v>
      </c>
      <c r="R460" s="20" t="s">
        <v>91</v>
      </c>
      <c r="S460" s="20" t="s">
        <v>92</v>
      </c>
      <c r="T460" s="20" t="s">
        <v>123</v>
      </c>
      <c r="U460" s="20" t="s">
        <v>124</v>
      </c>
      <c r="V460" s="20" t="s">
        <v>95</v>
      </c>
      <c r="W460" s="20" t="s">
        <v>96</v>
      </c>
      <c r="X460" s="20" t="s">
        <v>97</v>
      </c>
      <c r="Y460" s="20" t="s">
        <v>70</v>
      </c>
      <c r="Z460" s="20" t="s">
        <v>98</v>
      </c>
      <c r="AA460" s="20" t="s">
        <v>2723</v>
      </c>
      <c r="AB460" s="20" t="s">
        <v>2723</v>
      </c>
      <c r="AC460" s="20" t="s">
        <v>2723</v>
      </c>
      <c r="AD460" s="20" t="s">
        <v>2723</v>
      </c>
      <c r="AE460" s="20"/>
      <c r="AF460" s="9" t="n">
        <v>1</v>
      </c>
      <c r="AG460" s="12" t="n">
        <v>1</v>
      </c>
      <c r="AH460" s="22" t="s">
        <v>235</v>
      </c>
      <c r="AI460" s="12" t="str">
        <f>IF(AH460="","",IFERROR(RIGHT("0000"&amp;AH460,4)&amp;" - "&amp;UPPER(_xlfn.XLOOKUP(RIGHT("0000"&amp;AH460,4),CODEBOOK_CAP!$C$2:$C$212,CODEBOOK_CAP!$D$2:$D$212)),"Código CAP não encontrado"))</f>
        <v>0322 - ESTRUTURAS, HOSPITAIS, CLÍNICAS</v>
      </c>
      <c r="AJ460" s="12" t="str">
        <f>IF(AH460="","",IFERROR(_xlfn.XLOOKUP(RIGHT("0000"&amp;AH460,4),CODEBOOK_CAP!$C$2:$C$212,CODEBOOK_CAP!$E$2:$E$212),"Código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60" s="22" t="s">
        <v>77</v>
      </c>
      <c r="AL460" s="26"/>
      <c r="AM460" s="22" t="s">
        <v>79</v>
      </c>
      <c r="AN460" s="22" t="s">
        <v>79</v>
      </c>
      <c r="AO460" s="12" t="s">
        <v>2724</v>
      </c>
      <c r="AP460" s="22" t="s">
        <v>77</v>
      </c>
      <c r="AQ460" s="12"/>
      <c r="AR460" s="22" t="s">
        <v>77</v>
      </c>
      <c r="AS460" s="10"/>
      <c r="AT460" s="2" t="s">
        <v>1814</v>
      </c>
      <c r="AU460" s="12" t="s">
        <v>83</v>
      </c>
      <c r="AV460" s="3" t="n">
        <v>46221</v>
      </c>
      <c r="AW460" s="21"/>
      <c r="AY460" s="1"/>
      <c r="BA460" s="1"/>
      <c r="BB460" s="1"/>
    </row>
    <row r="461" ht="150" customHeight="1">
      <c r="A461" s="20" t="s">
        <v>2725</v>
      </c>
      <c r="B461" s="20" t="n">
        <v>2023</v>
      </c>
      <c r="C461" s="20" t="n">
        <v>534</v>
      </c>
      <c r="D461" s="20" t="s">
        <v>50</v>
      </c>
      <c r="E461" s="20" t="s">
        <v>2657</v>
      </c>
      <c r="F461" s="20" t="s">
        <v>2726</v>
      </c>
      <c r="G461" s="20" t="s">
        <v>86</v>
      </c>
      <c r="H461" s="20" t="s">
        <v>2659</v>
      </c>
      <c r="I461" s="20"/>
      <c r="J461" s="20" t="s">
        <v>2727</v>
      </c>
      <c r="K461" s="20" t="s">
        <v>122</v>
      </c>
      <c r="L461" s="20" t="s">
        <v>57</v>
      </c>
      <c r="M461" s="20" t="s">
        <v>58</v>
      </c>
      <c r="N461" s="20" t="s">
        <v>59</v>
      </c>
      <c r="O461" s="20" t="s">
        <v>60</v>
      </c>
      <c r="P461" s="20" t="s">
        <v>89</v>
      </c>
      <c r="Q461" s="20" t="s">
        <v>90</v>
      </c>
      <c r="R461" s="20" t="s">
        <v>91</v>
      </c>
      <c r="S461" s="20" t="s">
        <v>92</v>
      </c>
      <c r="T461" s="20" t="s">
        <v>123</v>
      </c>
      <c r="U461" s="20" t="s">
        <v>124</v>
      </c>
      <c r="V461" s="20" t="s">
        <v>95</v>
      </c>
      <c r="W461" s="20" t="s">
        <v>96</v>
      </c>
      <c r="X461" s="20" t="s">
        <v>97</v>
      </c>
      <c r="Y461" s="20" t="s">
        <v>70</v>
      </c>
      <c r="Z461" s="20" t="s">
        <v>98</v>
      </c>
      <c r="AA461" s="20" t="s">
        <v>409</v>
      </c>
      <c r="AB461" s="20" t="s">
        <v>409</v>
      </c>
      <c r="AC461" s="20" t="s">
        <v>409</v>
      </c>
      <c r="AD461" s="20" t="s">
        <v>409</v>
      </c>
      <c r="AE461" s="20"/>
      <c r="AF461" s="9" t="n">
        <v>1</v>
      </c>
      <c r="AG461" s="12" t="n">
        <v>1</v>
      </c>
      <c r="AH461" s="22" t="s">
        <v>620</v>
      </c>
      <c r="AI461" s="12" t="str">
        <f>IF(AH461="","",IFERROR(RIGHT("0000"&amp;AH461,4)&amp;" - "&amp;UPPER(_xlfn.XLOOKUP(RIGHT("0000"&amp;AH461,4),CODEBOOK_CAP!$C$2:$C$212,CODEBOOK_CAP!$D$2:$D$212)),"Código CAP não encontrado"))</f>
        <v>0332 - SAÚDE INFANTIL, GRAVIDEZ E PRÉ-NATAL</v>
      </c>
      <c r="AJ461" s="12" t="str">
        <f>IF(AH461="","",IFERROR(_xlfn.XLOOKUP(RIGHT("0000"&amp;AH461,4),CODEBOOK_CAP!$C$2:$C$212,CODEBOOK_CAP!$E$2:$E$212),"Código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461" s="22" t="s">
        <v>77</v>
      </c>
      <c r="AL461" s="26"/>
      <c r="AM461" s="22" t="s">
        <v>79</v>
      </c>
      <c r="AN461" s="22" t="s">
        <v>79</v>
      </c>
      <c r="AO461" s="12" t="s">
        <v>2728</v>
      </c>
      <c r="AP461" s="22" t="s">
        <v>79</v>
      </c>
      <c r="AQ461" s="12" t="s">
        <v>622</v>
      </c>
      <c r="AR461" s="22" t="s">
        <v>77</v>
      </c>
      <c r="AS461" s="10"/>
      <c r="AT461" s="2" t="s">
        <v>1814</v>
      </c>
      <c r="AU461" s="12" t="s">
        <v>83</v>
      </c>
      <c r="AV461" s="3" t="n">
        <v>46221</v>
      </c>
      <c r="AW461" s="21"/>
      <c r="AY461" s="1"/>
      <c r="BA461" s="1"/>
      <c r="BB461" s="1"/>
    </row>
    <row r="462" ht="120" customHeight="1">
      <c r="A462" s="20" t="s">
        <v>2729</v>
      </c>
      <c r="B462" s="20" t="n">
        <v>2023</v>
      </c>
      <c r="C462" s="20" t="n">
        <v>535</v>
      </c>
      <c r="D462" s="20" t="s">
        <v>50</v>
      </c>
      <c r="E462" s="20" t="s">
        <v>2657</v>
      </c>
      <c r="F462" s="20" t="s">
        <v>2730</v>
      </c>
      <c r="G462" s="20" t="s">
        <v>86</v>
      </c>
      <c r="H462" s="20" t="s">
        <v>2659</v>
      </c>
      <c r="I462" s="20"/>
      <c r="J462" s="20" t="s">
        <v>2731</v>
      </c>
      <c r="K462" s="20" t="s">
        <v>88</v>
      </c>
      <c r="L462" s="20" t="s">
        <v>57</v>
      </c>
      <c r="M462" s="20" t="s">
        <v>58</v>
      </c>
      <c r="N462" s="20" t="s">
        <v>59</v>
      </c>
      <c r="O462" s="20" t="s">
        <v>60</v>
      </c>
      <c r="P462" s="20" t="s">
        <v>89</v>
      </c>
      <c r="Q462" s="20" t="s">
        <v>90</v>
      </c>
      <c r="R462" s="20" t="s">
        <v>91</v>
      </c>
      <c r="S462" s="20" t="s">
        <v>92</v>
      </c>
      <c r="T462" s="20" t="s">
        <v>93</v>
      </c>
      <c r="U462" s="20" t="s">
        <v>94</v>
      </c>
      <c r="V462" s="20" t="s">
        <v>95</v>
      </c>
      <c r="W462" s="20" t="s">
        <v>96</v>
      </c>
      <c r="X462" s="20" t="s">
        <v>97</v>
      </c>
      <c r="Y462" s="20" t="s">
        <v>70</v>
      </c>
      <c r="Z462" s="20" t="s">
        <v>98</v>
      </c>
      <c r="AA462" s="20" t="s">
        <v>1147</v>
      </c>
      <c r="AB462" s="20" t="s">
        <v>1147</v>
      </c>
      <c r="AC462" s="20" t="s">
        <v>1147</v>
      </c>
      <c r="AD462" s="20" t="s">
        <v>1147</v>
      </c>
      <c r="AE462" s="20"/>
      <c r="AF462" s="9" t="n">
        <v>1</v>
      </c>
      <c r="AG462" s="12" t="n">
        <v>1</v>
      </c>
      <c r="AH462" s="22" t="s">
        <v>235</v>
      </c>
      <c r="AI462" s="12" t="str">
        <f>IF(AH462="","",IFERROR(RIGHT("0000"&amp;AH462,4)&amp;" - "&amp;UPPER(_xlfn.XLOOKUP(RIGHT("0000"&amp;AH462,4),CODEBOOK_CAP!$C$2:$C$212,CODEBOOK_CAP!$D$2:$D$212)),"Código CAP não encontrado"))</f>
        <v>0322 - ESTRUTURAS, HOSPITAIS, CLÍNICAS</v>
      </c>
      <c r="AJ462" s="12" t="str">
        <f>IF(AH462="","",IFERROR(_xlfn.XLOOKUP(RIGHT("0000"&amp;AH462,4),CODEBOOK_CAP!$C$2:$C$212,CODEBOOK_CAP!$E$2:$E$212),"Código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62" s="22" t="s">
        <v>77</v>
      </c>
      <c r="AL462" s="26"/>
      <c r="AM462" s="22" t="s">
        <v>79</v>
      </c>
      <c r="AN462" s="22" t="s">
        <v>79</v>
      </c>
      <c r="AO462" s="12" t="s">
        <v>2732</v>
      </c>
      <c r="AP462" s="22" t="s">
        <v>77</v>
      </c>
      <c r="AQ462" s="12"/>
      <c r="AR462" s="22" t="s">
        <v>77</v>
      </c>
      <c r="AS462" s="10"/>
      <c r="AT462" s="2" t="s">
        <v>1814</v>
      </c>
      <c r="AU462" s="12" t="s">
        <v>83</v>
      </c>
      <c r="AV462" s="3" t="n">
        <v>46221</v>
      </c>
      <c r="AW462" s="21"/>
      <c r="AY462" s="1"/>
      <c r="BA462" s="1"/>
      <c r="BB462" s="1"/>
    </row>
    <row r="463" ht="150" customHeight="1">
      <c r="A463" s="20" t="s">
        <v>2733</v>
      </c>
      <c r="B463" s="20" t="n">
        <v>2023</v>
      </c>
      <c r="C463" s="20" t="n">
        <v>536</v>
      </c>
      <c r="D463" s="20" t="s">
        <v>50</v>
      </c>
      <c r="E463" s="20" t="s">
        <v>2657</v>
      </c>
      <c r="F463" s="20" t="s">
        <v>2734</v>
      </c>
      <c r="G463" s="20" t="s">
        <v>86</v>
      </c>
      <c r="H463" s="20" t="s">
        <v>2659</v>
      </c>
      <c r="I463" s="20"/>
      <c r="J463" s="20" t="s">
        <v>2735</v>
      </c>
      <c r="K463" s="20" t="s">
        <v>122</v>
      </c>
      <c r="L463" s="20" t="s">
        <v>57</v>
      </c>
      <c r="M463" s="20" t="s">
        <v>58</v>
      </c>
      <c r="N463" s="20" t="s">
        <v>59</v>
      </c>
      <c r="O463" s="20" t="s">
        <v>60</v>
      </c>
      <c r="P463" s="20" t="s">
        <v>89</v>
      </c>
      <c r="Q463" s="20" t="s">
        <v>90</v>
      </c>
      <c r="R463" s="20" t="s">
        <v>91</v>
      </c>
      <c r="S463" s="20" t="s">
        <v>92</v>
      </c>
      <c r="T463" s="20" t="s">
        <v>123</v>
      </c>
      <c r="U463" s="20" t="s">
        <v>124</v>
      </c>
      <c r="V463" s="20" t="s">
        <v>95</v>
      </c>
      <c r="W463" s="20" t="s">
        <v>96</v>
      </c>
      <c r="X463" s="20" t="s">
        <v>97</v>
      </c>
      <c r="Y463" s="20" t="s">
        <v>70</v>
      </c>
      <c r="Z463" s="20" t="s">
        <v>98</v>
      </c>
      <c r="AA463" s="20" t="s">
        <v>409</v>
      </c>
      <c r="AB463" s="20" t="s">
        <v>409</v>
      </c>
      <c r="AC463" s="20" t="s">
        <v>409</v>
      </c>
      <c r="AD463" s="20" t="s">
        <v>409</v>
      </c>
      <c r="AE463" s="20"/>
      <c r="AF463" s="9" t="n">
        <v>1</v>
      </c>
      <c r="AG463" s="12" t="n">
        <v>1</v>
      </c>
      <c r="AH463" s="22" t="s">
        <v>620</v>
      </c>
      <c r="AI463" s="12" t="str">
        <f>IF(AH463="","",IFERROR(RIGHT("0000"&amp;AH463,4)&amp;" - "&amp;UPPER(_xlfn.XLOOKUP(RIGHT("0000"&amp;AH463,4),CODEBOOK_CAP!$C$2:$C$212,CODEBOOK_CAP!$D$2:$D$212)),"Código CAP não encontrado"))</f>
        <v>0332 - SAÚDE INFANTIL, GRAVIDEZ E PRÉ-NATAL</v>
      </c>
      <c r="AJ463" s="12" t="str">
        <f>IF(AH463="","",IFERROR(_xlfn.XLOOKUP(RIGHT("0000"&amp;AH463,4),CODEBOOK_CAP!$C$2:$C$212,CODEBOOK_CAP!$E$2:$E$212),"Código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463" s="22" t="s">
        <v>77</v>
      </c>
      <c r="AL463" s="26"/>
      <c r="AM463" s="22" t="s">
        <v>79</v>
      </c>
      <c r="AN463" s="22" t="s">
        <v>79</v>
      </c>
      <c r="AO463" s="12" t="s">
        <v>2736</v>
      </c>
      <c r="AP463" s="22" t="s">
        <v>79</v>
      </c>
      <c r="AQ463" s="12" t="s">
        <v>622</v>
      </c>
      <c r="AR463" s="22" t="s">
        <v>77</v>
      </c>
      <c r="AS463" s="10"/>
      <c r="AT463" s="2" t="s">
        <v>1814</v>
      </c>
      <c r="AU463" s="12" t="s">
        <v>83</v>
      </c>
      <c r="AV463" s="3" t="n">
        <v>46221</v>
      </c>
      <c r="AW463" s="21"/>
      <c r="AY463" s="1"/>
      <c r="BA463" s="1"/>
      <c r="BB463" s="1"/>
    </row>
    <row r="464" ht="120" customHeight="1">
      <c r="A464" s="20" t="s">
        <v>2737</v>
      </c>
      <c r="B464" s="20" t="n">
        <v>2023</v>
      </c>
      <c r="C464" s="20" t="n">
        <v>537</v>
      </c>
      <c r="D464" s="20" t="s">
        <v>50</v>
      </c>
      <c r="E464" s="20" t="s">
        <v>2657</v>
      </c>
      <c r="F464" s="20" t="s">
        <v>2738</v>
      </c>
      <c r="G464" s="20" t="s">
        <v>86</v>
      </c>
      <c r="H464" s="20" t="s">
        <v>2659</v>
      </c>
      <c r="I464" s="20"/>
      <c r="J464" s="20" t="s">
        <v>2739</v>
      </c>
      <c r="K464" s="20" t="s">
        <v>122</v>
      </c>
      <c r="L464" s="20" t="s">
        <v>57</v>
      </c>
      <c r="M464" s="20" t="s">
        <v>58</v>
      </c>
      <c r="N464" s="20" t="s">
        <v>59</v>
      </c>
      <c r="O464" s="20" t="s">
        <v>60</v>
      </c>
      <c r="P464" s="20" t="s">
        <v>89</v>
      </c>
      <c r="Q464" s="20" t="s">
        <v>90</v>
      </c>
      <c r="R464" s="20" t="s">
        <v>91</v>
      </c>
      <c r="S464" s="20" t="s">
        <v>92</v>
      </c>
      <c r="T464" s="20" t="s">
        <v>123</v>
      </c>
      <c r="U464" s="20" t="s">
        <v>124</v>
      </c>
      <c r="V464" s="20" t="s">
        <v>95</v>
      </c>
      <c r="W464" s="20" t="s">
        <v>96</v>
      </c>
      <c r="X464" s="20" t="s">
        <v>97</v>
      </c>
      <c r="Y464" s="20" t="s">
        <v>70</v>
      </c>
      <c r="Z464" s="20" t="s">
        <v>98</v>
      </c>
      <c r="AA464" s="20" t="s">
        <v>409</v>
      </c>
      <c r="AB464" s="20" t="s">
        <v>409</v>
      </c>
      <c r="AC464" s="20" t="s">
        <v>409</v>
      </c>
      <c r="AD464" s="20" t="s">
        <v>409</v>
      </c>
      <c r="AE464" s="20"/>
      <c r="AF464" s="9" t="n">
        <v>1</v>
      </c>
      <c r="AG464" s="12" t="n">
        <v>1</v>
      </c>
      <c r="AH464" s="22" t="s">
        <v>235</v>
      </c>
      <c r="AI464" s="12" t="str">
        <f>IF(AH464="","",IFERROR(RIGHT("0000"&amp;AH464,4)&amp;" - "&amp;UPPER(_xlfn.XLOOKUP(RIGHT("0000"&amp;AH464,4),CODEBOOK_CAP!$C$2:$C$212,CODEBOOK_CAP!$D$2:$D$212)),"Código CAP não encontrado"))</f>
        <v>0322 - ESTRUTURAS, HOSPITAIS, CLÍNICAS</v>
      </c>
      <c r="AJ464" s="12" t="str">
        <f>IF(AH464="","",IFERROR(_xlfn.XLOOKUP(RIGHT("0000"&amp;AH464,4),CODEBOOK_CAP!$C$2:$C$212,CODEBOOK_CAP!$E$2:$E$212),"Código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64" s="22" t="s">
        <v>77</v>
      </c>
      <c r="AL464" s="26"/>
      <c r="AM464" s="22" t="s">
        <v>79</v>
      </c>
      <c r="AN464" s="22" t="s">
        <v>79</v>
      </c>
      <c r="AO464" s="12" t="s">
        <v>2740</v>
      </c>
      <c r="AP464" s="22" t="s">
        <v>77</v>
      </c>
      <c r="AQ464" s="12"/>
      <c r="AR464" s="22" t="s">
        <v>77</v>
      </c>
      <c r="AS464" s="10"/>
      <c r="AT464" s="2" t="s">
        <v>1814</v>
      </c>
      <c r="AU464" s="12" t="s">
        <v>83</v>
      </c>
      <c r="AV464" s="3" t="n">
        <v>46221</v>
      </c>
      <c r="AW464" s="21"/>
      <c r="AY464" s="1"/>
      <c r="BA464" s="1"/>
      <c r="BB464" s="1"/>
    </row>
    <row r="465" ht="255" customHeight="1">
      <c r="A465" s="20" t="s">
        <v>2741</v>
      </c>
      <c r="B465" s="20" t="n">
        <v>2023</v>
      </c>
      <c r="C465" s="20" t="n">
        <v>756</v>
      </c>
      <c r="D465" s="20" t="s">
        <v>50</v>
      </c>
      <c r="E465" s="20" t="s">
        <v>2657</v>
      </c>
      <c r="F465" s="20" t="s">
        <v>2742</v>
      </c>
      <c r="G465" s="20" t="s">
        <v>86</v>
      </c>
      <c r="H465" s="20" t="s">
        <v>2659</v>
      </c>
      <c r="I465" s="20"/>
      <c r="J465" s="20" t="s">
        <v>2743</v>
      </c>
      <c r="K465" s="20" t="s">
        <v>207</v>
      </c>
      <c r="L465" s="20" t="s">
        <v>208</v>
      </c>
      <c r="M465" s="20" t="s">
        <v>209</v>
      </c>
      <c r="N465" s="20" t="s">
        <v>210</v>
      </c>
      <c r="O465" s="20" t="s">
        <v>211</v>
      </c>
      <c r="P465" s="20" t="s">
        <v>212</v>
      </c>
      <c r="Q465" s="20" t="s">
        <v>213</v>
      </c>
      <c r="R465" s="20" t="s">
        <v>214</v>
      </c>
      <c r="S465" s="20" t="s">
        <v>215</v>
      </c>
      <c r="T465" s="20" t="s">
        <v>216</v>
      </c>
      <c r="U465" s="20" t="s">
        <v>217</v>
      </c>
      <c r="V465" s="20" t="s">
        <v>67</v>
      </c>
      <c r="W465" s="20" t="s">
        <v>68</v>
      </c>
      <c r="X465" s="20" t="s">
        <v>69</v>
      </c>
      <c r="Y465" s="20" t="s">
        <v>70</v>
      </c>
      <c r="Z465" s="20" t="s">
        <v>177</v>
      </c>
      <c r="AA465" s="20" t="s">
        <v>2744</v>
      </c>
      <c r="AB465" s="20" t="s">
        <v>2745</v>
      </c>
      <c r="AC465" s="20" t="s">
        <v>2745</v>
      </c>
      <c r="AD465" s="20" t="s">
        <v>2745</v>
      </c>
      <c r="AE465" s="20"/>
      <c r="AF465" s="9" t="n">
        <v>0</v>
      </c>
      <c r="AG465" s="12" t="n">
        <v>0</v>
      </c>
      <c r="AH465" s="22" t="s">
        <v>219</v>
      </c>
      <c r="AI465" s="12" t="str">
        <f>IF(AH465="","",IFERROR(RIGHT("0000"&amp;AH465,4)&amp;" - "&amp;UPPER(_xlfn.XLOOKUP(RIGHT("0000"&amp;AH465,4),CODEBOOK_CAP!$C$2:$C$212,CODEBOOK_CAP!$D$2:$D$212)),"Código CAP não encontrado"))</f>
        <v>1002 - CARROS, TRÂNSITO, CONSTRUÇÃO E MANUTENÇÃO DE RUAS E ESTRADAS</v>
      </c>
      <c r="AJ465" s="12" t="str">
        <f>IF(AH465="","",IFERROR(_xlfn.XLOOKUP(RIGHT("0000"&amp;AH465,4),CODEBOOK_CAP!$C$2:$C$212,CODEBOOK_CAP!$E$2:$E$212),"Código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465" s="22" t="s">
        <v>79</v>
      </c>
      <c r="AL465" s="26" t="s">
        <v>1715</v>
      </c>
      <c r="AM465" s="22" t="s">
        <v>77</v>
      </c>
      <c r="AN465" s="22" t="s">
        <v>77</v>
      </c>
      <c r="AO465" s="12"/>
      <c r="AP465" s="22" t="s">
        <v>77</v>
      </c>
      <c r="AQ465" s="12"/>
      <c r="AR465" s="22" t="s">
        <v>77</v>
      </c>
      <c r="AS465" s="10"/>
      <c r="AT465" s="2" t="s">
        <v>1814</v>
      </c>
      <c r="AU465" s="12" t="s">
        <v>83</v>
      </c>
      <c r="AV465" s="3" t="n">
        <v>46221</v>
      </c>
      <c r="AW465" s="21"/>
      <c r="AY465" s="1"/>
      <c r="BA465" s="1"/>
      <c r="BB465" s="1"/>
    </row>
    <row r="466" ht="90" customHeight="1">
      <c r="A466" s="20" t="s">
        <v>2746</v>
      </c>
      <c r="B466" s="20" t="n">
        <v>2023</v>
      </c>
      <c r="C466" s="20" t="n">
        <v>790</v>
      </c>
      <c r="D466" s="20" t="s">
        <v>50</v>
      </c>
      <c r="E466" s="20" t="s">
        <v>2747</v>
      </c>
      <c r="F466" s="20" t="s">
        <v>2748</v>
      </c>
      <c r="G466" s="20" t="s">
        <v>315</v>
      </c>
      <c r="H466" s="20" t="s">
        <v>2749</v>
      </c>
      <c r="I466" s="20"/>
      <c r="J466" s="20" t="s">
        <v>2750</v>
      </c>
      <c r="K466" s="20" t="s">
        <v>273</v>
      </c>
      <c r="L466" s="20" t="s">
        <v>274</v>
      </c>
      <c r="M466" s="20" t="s">
        <v>275</v>
      </c>
      <c r="N466" s="20" t="s">
        <v>276</v>
      </c>
      <c r="O466" s="20" t="s">
        <v>277</v>
      </c>
      <c r="P466" s="20" t="s">
        <v>278</v>
      </c>
      <c r="Q466" s="20" t="s">
        <v>279</v>
      </c>
      <c r="R466" s="20" t="s">
        <v>280</v>
      </c>
      <c r="S466" s="20" t="s">
        <v>281</v>
      </c>
      <c r="T466" s="20" t="s">
        <v>282</v>
      </c>
      <c r="U466" s="20" t="s">
        <v>283</v>
      </c>
      <c r="V466" s="20" t="s">
        <v>95</v>
      </c>
      <c r="W466" s="20" t="s">
        <v>96</v>
      </c>
      <c r="X466" s="20" t="s">
        <v>97</v>
      </c>
      <c r="Y466" s="20" t="s">
        <v>70</v>
      </c>
      <c r="Z466" s="20" t="s">
        <v>284</v>
      </c>
      <c r="AA466" s="20" t="s">
        <v>2751</v>
      </c>
      <c r="AB466" s="20" t="s">
        <v>2751</v>
      </c>
      <c r="AC466" s="20" t="s">
        <v>2751</v>
      </c>
      <c r="AD466" s="20" t="s">
        <v>2751</v>
      </c>
      <c r="AE466" s="20"/>
      <c r="AF466" s="9" t="n">
        <v>0</v>
      </c>
      <c r="AG466" s="12" t="n">
        <v>0</v>
      </c>
      <c r="AH466" s="22" t="s">
        <v>2043</v>
      </c>
      <c r="AI466" s="12" t="str">
        <f>IF(AH466="","",IFERROR(RIGHT("0000"&amp;AH466,4)&amp;" - "&amp;UPPER(_xlfn.XLOOKUP(RIGHT("0000"&amp;AH466,4),CODEBOOK_CAP!$C$2:$C$212,CODEBOOK_CAP!$D$2:$D$212)),"Código CAP não encontrado"))</f>
        <v>1303 - POLÍTICAS SOCIAIS DE ASSISTÊNCIA PARA IDOSOS</v>
      </c>
      <c r="AJ466" s="12" t="str">
        <f>IF(AH466="","",IFERROR(_xlfn.XLOOKUP(RIGHT("0000"&amp;AH466,4),CODEBOOK_CAP!$C$2:$C$212,CODEBOOK_CAP!$E$2:$E$212),"Código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466" s="22" t="s">
        <v>77</v>
      </c>
      <c r="AL466" s="26"/>
      <c r="AM466" s="22" t="s">
        <v>77</v>
      </c>
      <c r="AN466" s="22" t="s">
        <v>77</v>
      </c>
      <c r="AO466" s="12"/>
      <c r="AP466" s="22" t="s">
        <v>79</v>
      </c>
      <c r="AQ466" s="12" t="s">
        <v>2044</v>
      </c>
      <c r="AR466" s="22" t="s">
        <v>77</v>
      </c>
      <c r="AS466" s="10"/>
      <c r="AT466" s="2" t="s">
        <v>1814</v>
      </c>
      <c r="AU466" s="12" t="s">
        <v>83</v>
      </c>
      <c r="AV466" s="3" t="n">
        <v>46221</v>
      </c>
      <c r="AW466" s="21"/>
      <c r="AY466" s="1"/>
      <c r="BA466" s="1"/>
      <c r="BB466" s="1"/>
    </row>
    <row r="467" ht="120" customHeight="1">
      <c r="A467" s="20" t="s">
        <v>2752</v>
      </c>
      <c r="B467" s="20" t="n">
        <v>2023</v>
      </c>
      <c r="C467" s="20" t="n">
        <v>792</v>
      </c>
      <c r="D467" s="20" t="s">
        <v>50</v>
      </c>
      <c r="E467" s="20" t="s">
        <v>2747</v>
      </c>
      <c r="F467" s="20" t="s">
        <v>2753</v>
      </c>
      <c r="G467" s="20" t="s">
        <v>86</v>
      </c>
      <c r="H467" s="20" t="s">
        <v>2749</v>
      </c>
      <c r="I467" s="20"/>
      <c r="J467" s="20" t="s">
        <v>2754</v>
      </c>
      <c r="K467" s="20" t="s">
        <v>88</v>
      </c>
      <c r="L467" s="20" t="s">
        <v>57</v>
      </c>
      <c r="M467" s="20" t="s">
        <v>58</v>
      </c>
      <c r="N467" s="20" t="s">
        <v>59</v>
      </c>
      <c r="O467" s="20" t="s">
        <v>60</v>
      </c>
      <c r="P467" s="20" t="s">
        <v>89</v>
      </c>
      <c r="Q467" s="20" t="s">
        <v>90</v>
      </c>
      <c r="R467" s="20" t="s">
        <v>91</v>
      </c>
      <c r="S467" s="20" t="s">
        <v>92</v>
      </c>
      <c r="T467" s="20" t="s">
        <v>93</v>
      </c>
      <c r="U467" s="20" t="s">
        <v>94</v>
      </c>
      <c r="V467" s="20" t="s">
        <v>95</v>
      </c>
      <c r="W467" s="20" t="s">
        <v>96</v>
      </c>
      <c r="X467" s="20" t="s">
        <v>97</v>
      </c>
      <c r="Y467" s="20" t="s">
        <v>70</v>
      </c>
      <c r="Z467" s="20" t="s">
        <v>98</v>
      </c>
      <c r="AA467" s="20" t="s">
        <v>125</v>
      </c>
      <c r="AB467" s="20" t="s">
        <v>125</v>
      </c>
      <c r="AC467" s="20" t="s">
        <v>125</v>
      </c>
      <c r="AD467" s="20" t="s">
        <v>125</v>
      </c>
      <c r="AE467" s="20"/>
      <c r="AF467" s="9" t="n">
        <v>1</v>
      </c>
      <c r="AG467" s="12" t="n">
        <v>1</v>
      </c>
      <c r="AH467" s="22" t="s">
        <v>800</v>
      </c>
      <c r="AI467" s="12" t="str">
        <f>IF(AH467="","",IFERROR(RIGHT("0000"&amp;AH467,4)&amp;" - "&amp;UPPER(_xlfn.XLOOKUP(RIGHT("0000"&amp;AH467,4),CODEBOOK_CAP!$C$2:$C$212,CODEBOOK_CAP!$D$2:$D$212)),"Código CAP não encontrado"))</f>
        <v>0334 - TRATAMENTOS, CIRUGIAS, ATENDIMENTOS, DOENÇAS E REABILITAÇÃO</v>
      </c>
      <c r="AJ467" s="12" t="str">
        <f>IF(AH467="","",IFERROR(_xlfn.XLOOKUP(RIGHT("0000"&amp;AH467,4),CODEBOOK_CAP!$C$2:$C$212,CODEBOOK_CAP!$E$2:$E$212),"Código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467" s="22" t="s">
        <v>77</v>
      </c>
      <c r="AL467" s="26"/>
      <c r="AM467" s="22" t="s">
        <v>77</v>
      </c>
      <c r="AN467" s="22" t="s">
        <v>77</v>
      </c>
      <c r="AO467" s="12"/>
      <c r="AP467" s="22" t="s">
        <v>79</v>
      </c>
      <c r="AQ467" s="12" t="s">
        <v>824</v>
      </c>
      <c r="AR467" s="22" t="s">
        <v>77</v>
      </c>
      <c r="AS467" s="10"/>
      <c r="AT467" s="2" t="s">
        <v>1814</v>
      </c>
      <c r="AU467" s="12" t="s">
        <v>83</v>
      </c>
      <c r="AV467" s="3" t="n">
        <v>46221</v>
      </c>
      <c r="AW467" s="21"/>
      <c r="AY467" s="1"/>
      <c r="BA467" s="1"/>
      <c r="BB467" s="1"/>
    </row>
    <row r="468" ht="120" customHeight="1">
      <c r="A468" s="20" t="s">
        <v>2755</v>
      </c>
      <c r="B468" s="20" t="n">
        <v>2023</v>
      </c>
      <c r="C468" s="20" t="n">
        <v>797</v>
      </c>
      <c r="D468" s="20" t="s">
        <v>50</v>
      </c>
      <c r="E468" s="20" t="s">
        <v>2747</v>
      </c>
      <c r="F468" s="20" t="s">
        <v>2756</v>
      </c>
      <c r="G468" s="20" t="s">
        <v>86</v>
      </c>
      <c r="H468" s="20" t="s">
        <v>2749</v>
      </c>
      <c r="I468" s="20"/>
      <c r="J468" s="20" t="s">
        <v>2757</v>
      </c>
      <c r="K468" s="20" t="s">
        <v>1141</v>
      </c>
      <c r="L468" s="20" t="s">
        <v>57</v>
      </c>
      <c r="M468" s="20" t="s">
        <v>58</v>
      </c>
      <c r="N468" s="20" t="s">
        <v>59</v>
      </c>
      <c r="O468" s="20" t="s">
        <v>60</v>
      </c>
      <c r="P468" s="20" t="s">
        <v>89</v>
      </c>
      <c r="Q468" s="20" t="s">
        <v>90</v>
      </c>
      <c r="R468" s="20" t="s">
        <v>91</v>
      </c>
      <c r="S468" s="20" t="s">
        <v>92</v>
      </c>
      <c r="T468" s="20" t="s">
        <v>341</v>
      </c>
      <c r="U468" s="20" t="s">
        <v>342</v>
      </c>
      <c r="V468" s="20" t="s">
        <v>854</v>
      </c>
      <c r="W468" s="20" t="s">
        <v>96</v>
      </c>
      <c r="X468" s="20" t="s">
        <v>97</v>
      </c>
      <c r="Y468" s="20" t="s">
        <v>70</v>
      </c>
      <c r="Z468" s="20" t="s">
        <v>98</v>
      </c>
      <c r="AA468" s="20" t="s">
        <v>2758</v>
      </c>
      <c r="AB468" s="20" t="s">
        <v>2759</v>
      </c>
      <c r="AC468" s="20" t="s">
        <v>2759</v>
      </c>
      <c r="AD468" s="20" t="s">
        <v>2759</v>
      </c>
      <c r="AE468" s="20"/>
      <c r="AF468" s="9" t="n">
        <v>1</v>
      </c>
      <c r="AG468" s="12" t="n">
        <v>1</v>
      </c>
      <c r="AH468" s="22" t="s">
        <v>235</v>
      </c>
      <c r="AI468" s="12" t="str">
        <f>IF(AH468="","",IFERROR(RIGHT("0000"&amp;AH468,4)&amp;" - "&amp;UPPER(_xlfn.XLOOKUP(RIGHT("0000"&amp;AH468,4),CODEBOOK_CAP!$C$2:$C$212,CODEBOOK_CAP!$D$2:$D$212)),"Código CAP não encontrado"))</f>
        <v>0322 - ESTRUTURAS, HOSPITAIS, CLÍNICAS</v>
      </c>
      <c r="AJ468" s="12" t="str">
        <f>IF(AH468="","",IFERROR(_xlfn.XLOOKUP(RIGHT("0000"&amp;AH468,4),CODEBOOK_CAP!$C$2:$C$212,CODEBOOK_CAP!$E$2:$E$212),"Código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68" s="22" t="s">
        <v>77</v>
      </c>
      <c r="AL468" s="26"/>
      <c r="AM468" s="22" t="s">
        <v>79</v>
      </c>
      <c r="AN468" s="22" t="s">
        <v>79</v>
      </c>
      <c r="AO468" s="12" t="s">
        <v>1767</v>
      </c>
      <c r="AP468" s="22" t="s">
        <v>77</v>
      </c>
      <c r="AQ468" s="12"/>
      <c r="AR468" s="22" t="s">
        <v>77</v>
      </c>
      <c r="AS468" s="10"/>
      <c r="AT468" s="2" t="s">
        <v>1814</v>
      </c>
      <c r="AU468" s="12" t="s">
        <v>83</v>
      </c>
      <c r="AV468" s="3" t="n">
        <v>46221</v>
      </c>
      <c r="AW468" s="21"/>
      <c r="AY468" s="1"/>
      <c r="BA468" s="1"/>
      <c r="BB468" s="1"/>
    </row>
    <row r="469" ht="120" customHeight="1">
      <c r="A469" s="20" t="s">
        <v>2760</v>
      </c>
      <c r="B469" s="20" t="n">
        <v>2023</v>
      </c>
      <c r="C469" s="20" t="n">
        <v>291</v>
      </c>
      <c r="D469" s="20" t="s">
        <v>50</v>
      </c>
      <c r="E469" s="20" t="s">
        <v>2747</v>
      </c>
      <c r="F469" s="20" t="s">
        <v>2761</v>
      </c>
      <c r="G469" s="20" t="s">
        <v>86</v>
      </c>
      <c r="H469" s="20" t="s">
        <v>2749</v>
      </c>
      <c r="I469" s="20"/>
      <c r="J469" s="20" t="s">
        <v>994</v>
      </c>
      <c r="K469" s="20" t="s">
        <v>122</v>
      </c>
      <c r="L469" s="20" t="s">
        <v>57</v>
      </c>
      <c r="M469" s="20" t="s">
        <v>58</v>
      </c>
      <c r="N469" s="20" t="s">
        <v>59</v>
      </c>
      <c r="O469" s="20" t="s">
        <v>60</v>
      </c>
      <c r="P469" s="20" t="s">
        <v>89</v>
      </c>
      <c r="Q469" s="20" t="s">
        <v>90</v>
      </c>
      <c r="R469" s="20" t="s">
        <v>91</v>
      </c>
      <c r="S469" s="20" t="s">
        <v>92</v>
      </c>
      <c r="T469" s="20" t="s">
        <v>123</v>
      </c>
      <c r="U469" s="20" t="s">
        <v>124</v>
      </c>
      <c r="V469" s="20" t="s">
        <v>95</v>
      </c>
      <c r="W469" s="20" t="s">
        <v>96</v>
      </c>
      <c r="X469" s="20" t="s">
        <v>97</v>
      </c>
      <c r="Y469" s="20" t="s">
        <v>70</v>
      </c>
      <c r="Z469" s="20" t="s">
        <v>98</v>
      </c>
      <c r="AA469" s="20" t="s">
        <v>198</v>
      </c>
      <c r="AB469" s="20" t="s">
        <v>198</v>
      </c>
      <c r="AC469" s="20" t="s">
        <v>198</v>
      </c>
      <c r="AD469" s="20" t="s">
        <v>198</v>
      </c>
      <c r="AE469" s="20"/>
      <c r="AF469" s="9" t="n">
        <v>1</v>
      </c>
      <c r="AG469" s="12" t="n">
        <v>1</v>
      </c>
      <c r="AH469" s="22" t="s">
        <v>235</v>
      </c>
      <c r="AI469" s="12" t="str">
        <f>IF(AH469="","",IFERROR(RIGHT("0000"&amp;AH469,4)&amp;" - "&amp;UPPER(_xlfn.XLOOKUP(RIGHT("0000"&amp;AH469,4),CODEBOOK_CAP!$C$2:$C$212,CODEBOOK_CAP!$D$2:$D$212)),"Código CAP não encontrado"))</f>
        <v>0322 - ESTRUTURAS, HOSPITAIS, CLÍNICAS</v>
      </c>
      <c r="AJ469" s="12" t="str">
        <f>IF(AH469="","",IFERROR(_xlfn.XLOOKUP(RIGHT("0000"&amp;AH469,4),CODEBOOK_CAP!$C$2:$C$212,CODEBOOK_CAP!$E$2:$E$212),"Código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69" s="22" t="s">
        <v>77</v>
      </c>
      <c r="AL469" s="26"/>
      <c r="AM469" s="22" t="s">
        <v>79</v>
      </c>
      <c r="AN469" s="22" t="s">
        <v>79</v>
      </c>
      <c r="AO469" s="12" t="s">
        <v>840</v>
      </c>
      <c r="AP469" s="22" t="s">
        <v>77</v>
      </c>
      <c r="AQ469" s="12"/>
      <c r="AR469" s="22" t="s">
        <v>77</v>
      </c>
      <c r="AS469" s="10"/>
      <c r="AT469" s="2" t="s">
        <v>1814</v>
      </c>
      <c r="AU469" s="12" t="s">
        <v>83</v>
      </c>
      <c r="AV469" s="3" t="n">
        <v>46221</v>
      </c>
      <c r="AW469" s="21"/>
      <c r="AY469" s="1"/>
      <c r="BA469" s="1"/>
      <c r="BB469" s="1"/>
    </row>
    <row r="470" ht="120" customHeight="1">
      <c r="A470" s="20" t="s">
        <v>2762</v>
      </c>
      <c r="B470" s="20" t="n">
        <v>2023</v>
      </c>
      <c r="C470" s="20" t="n">
        <v>293</v>
      </c>
      <c r="D470" s="20" t="s">
        <v>50</v>
      </c>
      <c r="E470" s="20" t="s">
        <v>2747</v>
      </c>
      <c r="F470" s="20" t="s">
        <v>2763</v>
      </c>
      <c r="G470" s="20" t="s">
        <v>86</v>
      </c>
      <c r="H470" s="20" t="s">
        <v>2749</v>
      </c>
      <c r="I470" s="20"/>
      <c r="J470" s="20" t="s">
        <v>1001</v>
      </c>
      <c r="K470" s="20" t="s">
        <v>122</v>
      </c>
      <c r="L470" s="20" t="s">
        <v>57</v>
      </c>
      <c r="M470" s="20" t="s">
        <v>58</v>
      </c>
      <c r="N470" s="20" t="s">
        <v>59</v>
      </c>
      <c r="O470" s="20" t="s">
        <v>60</v>
      </c>
      <c r="P470" s="20" t="s">
        <v>89</v>
      </c>
      <c r="Q470" s="20" t="s">
        <v>90</v>
      </c>
      <c r="R470" s="20" t="s">
        <v>91</v>
      </c>
      <c r="S470" s="20" t="s">
        <v>92</v>
      </c>
      <c r="T470" s="20" t="s">
        <v>123</v>
      </c>
      <c r="U470" s="20" t="s">
        <v>124</v>
      </c>
      <c r="V470" s="20" t="s">
        <v>95</v>
      </c>
      <c r="W470" s="20" t="s">
        <v>96</v>
      </c>
      <c r="X470" s="20" t="s">
        <v>97</v>
      </c>
      <c r="Y470" s="20" t="s">
        <v>70</v>
      </c>
      <c r="Z470" s="20" t="s">
        <v>98</v>
      </c>
      <c r="AA470" s="20" t="s">
        <v>125</v>
      </c>
      <c r="AB470" s="20" t="s">
        <v>125</v>
      </c>
      <c r="AC470" s="20" t="s">
        <v>125</v>
      </c>
      <c r="AD470" s="20" t="s">
        <v>125</v>
      </c>
      <c r="AE470" s="20"/>
      <c r="AF470" s="9" t="n">
        <v>1</v>
      </c>
      <c r="AG470" s="12" t="n">
        <v>1</v>
      </c>
      <c r="AH470" s="22" t="s">
        <v>235</v>
      </c>
      <c r="AI470" s="12" t="str">
        <f>IF(AH470="","",IFERROR(RIGHT("0000"&amp;AH470,4)&amp;" - "&amp;UPPER(_xlfn.XLOOKUP(RIGHT("0000"&amp;AH470,4),CODEBOOK_CAP!$C$2:$C$212,CODEBOOK_CAP!$D$2:$D$212)),"Código CAP não encontrado"))</f>
        <v>0322 - ESTRUTURAS, HOSPITAIS, CLÍNICAS</v>
      </c>
      <c r="AJ470" s="12" t="str">
        <f>IF(AH470="","",IFERROR(_xlfn.XLOOKUP(RIGHT("0000"&amp;AH470,4),CODEBOOK_CAP!$C$2:$C$212,CODEBOOK_CAP!$E$2:$E$212),"Código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70" s="22" t="s">
        <v>77</v>
      </c>
      <c r="AL470" s="26"/>
      <c r="AM470" s="22" t="s">
        <v>79</v>
      </c>
      <c r="AN470" s="22" t="s">
        <v>79</v>
      </c>
      <c r="AO470" s="12" t="s">
        <v>1854</v>
      </c>
      <c r="AP470" s="22" t="s">
        <v>77</v>
      </c>
      <c r="AQ470" s="12"/>
      <c r="AR470" s="22" t="s">
        <v>77</v>
      </c>
      <c r="AS470" s="10"/>
      <c r="AT470" s="2" t="s">
        <v>1814</v>
      </c>
      <c r="AU470" s="12" t="s">
        <v>83</v>
      </c>
      <c r="AV470" s="3" t="n">
        <v>46221</v>
      </c>
      <c r="AW470" s="21"/>
      <c r="AY470" s="1"/>
      <c r="BA470" s="1"/>
      <c r="BB470" s="1"/>
    </row>
    <row r="471" ht="105" customHeight="1">
      <c r="A471" s="20" t="s">
        <v>2764</v>
      </c>
      <c r="B471" s="20" t="n">
        <v>2023</v>
      </c>
      <c r="C471" s="20" t="n">
        <v>351</v>
      </c>
      <c r="D471" s="20" t="s">
        <v>50</v>
      </c>
      <c r="E471" s="20" t="s">
        <v>2747</v>
      </c>
      <c r="F471" s="20" t="s">
        <v>2765</v>
      </c>
      <c r="G471" s="20" t="s">
        <v>86</v>
      </c>
      <c r="H471" s="20" t="s">
        <v>2749</v>
      </c>
      <c r="I471" s="20"/>
      <c r="J471" s="20" t="s">
        <v>2766</v>
      </c>
      <c r="K471" s="20" t="s">
        <v>682</v>
      </c>
      <c r="L471" s="20" t="s">
        <v>186</v>
      </c>
      <c r="M471" s="20" t="s">
        <v>187</v>
      </c>
      <c r="N471" s="20" t="s">
        <v>188</v>
      </c>
      <c r="O471" s="20" t="s">
        <v>189</v>
      </c>
      <c r="P471" s="20" t="s">
        <v>338</v>
      </c>
      <c r="Q471" s="20" t="s">
        <v>683</v>
      </c>
      <c r="R471" s="20" t="s">
        <v>192</v>
      </c>
      <c r="S471" s="20" t="s">
        <v>193</v>
      </c>
      <c r="T471" s="20" t="s">
        <v>684</v>
      </c>
      <c r="U471" s="20" t="s">
        <v>685</v>
      </c>
      <c r="V471" s="20" t="s">
        <v>95</v>
      </c>
      <c r="W471" s="20" t="s">
        <v>96</v>
      </c>
      <c r="X471" s="20" t="s">
        <v>97</v>
      </c>
      <c r="Y471" s="20" t="s">
        <v>70</v>
      </c>
      <c r="Z471" s="20" t="s">
        <v>197</v>
      </c>
      <c r="AA471" s="20" t="s">
        <v>395</v>
      </c>
      <c r="AB471" s="20" t="s">
        <v>2767</v>
      </c>
      <c r="AC471" s="20" t="s">
        <v>2768</v>
      </c>
      <c r="AD471" s="20" t="s">
        <v>2767</v>
      </c>
      <c r="AE471" s="20"/>
      <c r="AF471" s="9" t="n">
        <v>0</v>
      </c>
      <c r="AG471" s="12" t="n">
        <v>0</v>
      </c>
      <c r="AH471" s="22" t="s">
        <v>161</v>
      </c>
      <c r="AI471" s="12" t="str">
        <f>IF(AH471="","",IFERROR(RIGHT("0000"&amp;AH471,4)&amp;" - "&amp;UPPER(_xlfn.XLOOKUP(RIGHT("0000"&amp;AH471,4),CODEBOOK_CAP!$C$2:$C$212,CODEBOOK_CAP!$D$2:$D$212)),"Código CAP não encontrado"))</f>
        <v>2300 - GERAL</v>
      </c>
      <c r="AJ471" s="12" t="str">
        <f>IF(AH471="","",IFERROR(_xlfn.XLOOKUP(RIGHT("0000"&amp;AH471,4),CODEBOOK_CAP!$C$2:$C$212,CODEBOOK_CAP!$E$2:$E$212),"Código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71" s="22" t="s">
        <v>79</v>
      </c>
      <c r="AL471" s="26" t="s">
        <v>2769</v>
      </c>
      <c r="AM471" s="22" t="s">
        <v>79</v>
      </c>
      <c r="AN471" s="22" t="s">
        <v>77</v>
      </c>
      <c r="AO471" s="12"/>
      <c r="AP471" s="22" t="s">
        <v>77</v>
      </c>
      <c r="AQ471" s="12"/>
      <c r="AR471" s="22" t="s">
        <v>77</v>
      </c>
      <c r="AS471" s="10"/>
      <c r="AT471" s="2" t="s">
        <v>1814</v>
      </c>
      <c r="AU471" s="12" t="s">
        <v>83</v>
      </c>
      <c r="AV471" s="3" t="n">
        <v>46221</v>
      </c>
      <c r="AW471" s="21"/>
      <c r="AX471" s="1" t="s">
        <v>6956</v>
      </c>
      <c r="AY471" s="1"/>
      <c r="BA471" s="1"/>
      <c r="BB471" s="1"/>
    </row>
    <row r="472" ht="105" customHeight="1">
      <c r="A472" s="20" t="s">
        <v>2770</v>
      </c>
      <c r="B472" s="20" t="n">
        <v>2023</v>
      </c>
      <c r="C472" s="20" t="n">
        <v>352</v>
      </c>
      <c r="D472" s="20" t="s">
        <v>50</v>
      </c>
      <c r="E472" s="20" t="s">
        <v>2747</v>
      </c>
      <c r="F472" s="20" t="s">
        <v>2771</v>
      </c>
      <c r="G472" s="20" t="s">
        <v>86</v>
      </c>
      <c r="H472" s="20" t="s">
        <v>2749</v>
      </c>
      <c r="I472" s="20"/>
      <c r="J472" s="20" t="s">
        <v>2772</v>
      </c>
      <c r="K472" s="20" t="s">
        <v>1587</v>
      </c>
      <c r="L472" s="20" t="s">
        <v>186</v>
      </c>
      <c r="M472" s="20" t="s">
        <v>187</v>
      </c>
      <c r="N472" s="20" t="s">
        <v>188</v>
      </c>
      <c r="O472" s="20" t="s">
        <v>189</v>
      </c>
      <c r="P472" s="20" t="s">
        <v>190</v>
      </c>
      <c r="Q472" s="20" t="s">
        <v>191</v>
      </c>
      <c r="R472" s="20" t="s">
        <v>192</v>
      </c>
      <c r="S472" s="20" t="s">
        <v>193</v>
      </c>
      <c r="T472" s="20" t="s">
        <v>194</v>
      </c>
      <c r="U472" s="20" t="s">
        <v>195</v>
      </c>
      <c r="V472" s="20" t="s">
        <v>196</v>
      </c>
      <c r="W472" s="20" t="s">
        <v>68</v>
      </c>
      <c r="X472" s="20" t="s">
        <v>69</v>
      </c>
      <c r="Y472" s="20" t="s">
        <v>70</v>
      </c>
      <c r="Z472" s="20" t="s">
        <v>197</v>
      </c>
      <c r="AA472" s="20" t="s">
        <v>292</v>
      </c>
      <c r="AB472" s="20" t="s">
        <v>2773</v>
      </c>
      <c r="AC472" s="20" t="s">
        <v>2773</v>
      </c>
      <c r="AD472" s="20" t="s">
        <v>2773</v>
      </c>
      <c r="AE472" s="20"/>
      <c r="AF472" s="9" t="n">
        <v>0</v>
      </c>
      <c r="AG472" s="12" t="n">
        <v>0</v>
      </c>
      <c r="AH472" s="22" t="s">
        <v>161</v>
      </c>
      <c r="AI472" s="12" t="str">
        <f>IF(AH472="","",IFERROR(RIGHT("0000"&amp;AH472,4)&amp;" - "&amp;UPPER(_xlfn.XLOOKUP(RIGHT("0000"&amp;AH472,4),CODEBOOK_CAP!$C$2:$C$212,CODEBOOK_CAP!$D$2:$D$212)),"Código CAP não encontrado"))</f>
        <v>2300 - GERAL</v>
      </c>
      <c r="AJ472" s="12" t="str">
        <f>IF(AH472="","",IFERROR(_xlfn.XLOOKUP(RIGHT("0000"&amp;AH472,4),CODEBOOK_CAP!$C$2:$C$212,CODEBOOK_CAP!$E$2:$E$212),"Código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72" s="22" t="s">
        <v>79</v>
      </c>
      <c r="AL472" s="26" t="s">
        <v>2774</v>
      </c>
      <c r="AM472" s="22" t="s">
        <v>79</v>
      </c>
      <c r="AN472" s="22" t="s">
        <v>79</v>
      </c>
      <c r="AO472" s="12" t="s">
        <v>2774</v>
      </c>
      <c r="AP472" s="22" t="s">
        <v>77</v>
      </c>
      <c r="AQ472" s="12"/>
      <c r="AR472" s="22" t="s">
        <v>77</v>
      </c>
      <c r="AS472" s="10"/>
      <c r="AT472" s="2" t="s">
        <v>1814</v>
      </c>
      <c r="AU472" s="12" t="s">
        <v>83</v>
      </c>
      <c r="AV472" s="3" t="n">
        <v>46221</v>
      </c>
      <c r="AW472" s="21"/>
      <c r="AX472" s="1" t="s">
        <v>6956</v>
      </c>
      <c r="AY472" s="1"/>
      <c r="BA472" s="1"/>
      <c r="BB472" s="1"/>
    </row>
    <row r="473" ht="105" customHeight="1">
      <c r="A473" s="20" t="s">
        <v>2775</v>
      </c>
      <c r="B473" s="20" t="n">
        <v>2023</v>
      </c>
      <c r="C473" s="20" t="n">
        <v>354</v>
      </c>
      <c r="D473" s="20" t="s">
        <v>50</v>
      </c>
      <c r="E473" s="20" t="s">
        <v>2747</v>
      </c>
      <c r="F473" s="20" t="s">
        <v>2776</v>
      </c>
      <c r="G473" s="20" t="s">
        <v>86</v>
      </c>
      <c r="H473" s="20" t="s">
        <v>2749</v>
      </c>
      <c r="I473" s="20"/>
      <c r="J473" s="20" t="s">
        <v>2777</v>
      </c>
      <c r="K473" s="20" t="s">
        <v>2469</v>
      </c>
      <c r="L473" s="20" t="s">
        <v>208</v>
      </c>
      <c r="M473" s="20" t="s">
        <v>209</v>
      </c>
      <c r="N473" s="20" t="s">
        <v>1726</v>
      </c>
      <c r="O473" s="20" t="s">
        <v>1727</v>
      </c>
      <c r="P473" s="20" t="s">
        <v>1728</v>
      </c>
      <c r="Q473" s="20" t="s">
        <v>1729</v>
      </c>
      <c r="R473" s="20" t="s">
        <v>2470</v>
      </c>
      <c r="S473" s="20" t="s">
        <v>2471</v>
      </c>
      <c r="T473" s="20" t="s">
        <v>2472</v>
      </c>
      <c r="U473" s="20" t="s">
        <v>2473</v>
      </c>
      <c r="V473" s="20" t="s">
        <v>67</v>
      </c>
      <c r="W473" s="20" t="s">
        <v>68</v>
      </c>
      <c r="X473" s="20" t="s">
        <v>69</v>
      </c>
      <c r="Y473" s="20" t="s">
        <v>70</v>
      </c>
      <c r="Z473" s="20" t="s">
        <v>177</v>
      </c>
      <c r="AA473" s="20" t="s">
        <v>198</v>
      </c>
      <c r="AB473" s="20" t="s">
        <v>2778</v>
      </c>
      <c r="AC473" s="20" t="s">
        <v>2778</v>
      </c>
      <c r="AD473" s="20" t="s">
        <v>2778</v>
      </c>
      <c r="AE473" s="20" t="s">
        <v>1288</v>
      </c>
      <c r="AF473" s="9" t="n">
        <v>0</v>
      </c>
      <c r="AG473" s="12" t="n">
        <v>0</v>
      </c>
      <c r="AH473" s="22" t="s">
        <v>161</v>
      </c>
      <c r="AI473" s="12" t="str">
        <f>IF(AH473="","",IFERROR(RIGHT("0000"&amp;AH473,4)&amp;" - "&amp;UPPER(_xlfn.XLOOKUP(RIGHT("0000"&amp;AH473,4),CODEBOOK_CAP!$C$2:$C$212,CODEBOOK_CAP!$D$2:$D$212)),"Código CAP não encontrado"))</f>
        <v>2300 - GERAL</v>
      </c>
      <c r="AJ473" s="12" t="str">
        <f>IF(AH473="","",IFERROR(_xlfn.XLOOKUP(RIGHT("0000"&amp;AH473,4),CODEBOOK_CAP!$C$2:$C$212,CODEBOOK_CAP!$E$2:$E$212),"Código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73" s="22" t="s">
        <v>79</v>
      </c>
      <c r="AL473" s="26" t="s">
        <v>2779</v>
      </c>
      <c r="AM473" s="22" t="s">
        <v>77</v>
      </c>
      <c r="AN473" s="22" t="s">
        <v>77</v>
      </c>
      <c r="AO473" s="12"/>
      <c r="AP473" s="22" t="s">
        <v>77</v>
      </c>
      <c r="AQ473" s="12"/>
      <c r="AR473" s="22" t="s">
        <v>79</v>
      </c>
      <c r="AS473" s="10" t="s">
        <v>1288</v>
      </c>
      <c r="AT473" s="2" t="s">
        <v>1814</v>
      </c>
      <c r="AU473" s="12" t="s">
        <v>83</v>
      </c>
      <c r="AV473" s="3" t="n">
        <v>46221</v>
      </c>
      <c r="AW473" s="21"/>
      <c r="AX473" s="1" t="s">
        <v>6956</v>
      </c>
      <c r="AY473" s="1"/>
      <c r="BA473" s="1"/>
      <c r="BB473" s="1"/>
    </row>
    <row r="474" ht="165" customHeight="1">
      <c r="A474" s="20" t="s">
        <v>2780</v>
      </c>
      <c r="B474" s="20" t="n">
        <v>2023</v>
      </c>
      <c r="C474" s="20" t="n">
        <v>481</v>
      </c>
      <c r="D474" s="20" t="s">
        <v>50</v>
      </c>
      <c r="E474" s="20" t="s">
        <v>2747</v>
      </c>
      <c r="F474" s="20" t="s">
        <v>2781</v>
      </c>
      <c r="G474" s="20" t="s">
        <v>315</v>
      </c>
      <c r="H474" s="20" t="s">
        <v>2749</v>
      </c>
      <c r="I474" s="20"/>
      <c r="J474" s="20" t="s">
        <v>2782</v>
      </c>
      <c r="K474" s="20" t="s">
        <v>1267</v>
      </c>
      <c r="L474" s="20" t="s">
        <v>57</v>
      </c>
      <c r="M474" s="20" t="s">
        <v>58</v>
      </c>
      <c r="N474" s="20" t="s">
        <v>59</v>
      </c>
      <c r="O474" s="20" t="s">
        <v>60</v>
      </c>
      <c r="P474" s="20" t="s">
        <v>111</v>
      </c>
      <c r="Q474" s="20" t="s">
        <v>112</v>
      </c>
      <c r="R474" s="20" t="s">
        <v>113</v>
      </c>
      <c r="S474" s="20" t="s">
        <v>114</v>
      </c>
      <c r="T474" s="20" t="s">
        <v>115</v>
      </c>
      <c r="U474" s="20" t="s">
        <v>114</v>
      </c>
      <c r="V474" s="20" t="s">
        <v>854</v>
      </c>
      <c r="W474" s="20" t="s">
        <v>96</v>
      </c>
      <c r="X474" s="20" t="s">
        <v>97</v>
      </c>
      <c r="Y474" s="20" t="s">
        <v>70</v>
      </c>
      <c r="Z474" s="20" t="s">
        <v>98</v>
      </c>
      <c r="AA474" s="20" t="s">
        <v>580</v>
      </c>
      <c r="AB474" s="20" t="s">
        <v>2783</v>
      </c>
      <c r="AC474" s="20" t="s">
        <v>2784</v>
      </c>
      <c r="AD474" s="20" t="s">
        <v>2784</v>
      </c>
      <c r="AE474" s="20" t="s">
        <v>2785</v>
      </c>
      <c r="AF474" s="9" t="n">
        <v>1</v>
      </c>
      <c r="AG474" s="12" t="n">
        <v>0</v>
      </c>
      <c r="AH474" s="22" t="s">
        <v>1269</v>
      </c>
      <c r="AI474" s="12" t="str">
        <f>IF(AH474="","",IFERROR(RIGHT("0000"&amp;AH474,4)&amp;" - "&amp;UPPER(_xlfn.XLOOKUP(RIGHT("0000"&amp;AH474,4),CODEBOOK_CAP!$C$2:$C$212,CODEBOOK_CAP!$D$2:$D$212)),"Código CAP não encontrado"))</f>
        <v>0405 - CONTROLE DE DOENÇAS ANIMAIS</v>
      </c>
      <c r="AJ474" s="12" t="str">
        <f>IF(AH474="","",IFERROR(_xlfn.XLOOKUP(RIGHT("0000"&amp;AH474,4),CODEBOOK_CAP!$C$2:$C$212,CODEBOOK_CAP!$E$2:$E$212),"Código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474" s="22" t="n">
        <v>1</v>
      </c>
      <c r="AL474" s="26" t="s">
        <v>10094</v>
      </c>
      <c r="AM474" s="22" t="n">
        <v>1</v>
      </c>
      <c r="AN474" s="22" t="n">
        <v>1</v>
      </c>
      <c r="AO474" s="12" t="s">
        <v>10095</v>
      </c>
      <c r="AP474" s="22" t="s">
        <v>79</v>
      </c>
      <c r="AQ474" s="12" t="s">
        <v>1270</v>
      </c>
      <c r="AR474" s="22" t="s">
        <v>79</v>
      </c>
      <c r="AS474" s="10" t="s">
        <v>2785</v>
      </c>
      <c r="AT474" s="2" t="s">
        <v>1814</v>
      </c>
      <c r="AU474" s="12" t="s">
        <v>83</v>
      </c>
      <c r="AV474" s="3" t="n">
        <v>46221</v>
      </c>
      <c r="AW474" s="21"/>
      <c r="AY474" s="1"/>
      <c r="BA474" s="1"/>
      <c r="BB474" s="1"/>
    </row>
    <row r="475" ht="165" customHeight="1">
      <c r="A475" s="20" t="s">
        <v>2786</v>
      </c>
      <c r="B475" s="20" t="n">
        <v>2023</v>
      </c>
      <c r="C475" s="20" t="n">
        <v>500</v>
      </c>
      <c r="D475" s="20" t="s">
        <v>50</v>
      </c>
      <c r="E475" s="20" t="s">
        <v>2747</v>
      </c>
      <c r="F475" s="20" t="s">
        <v>2787</v>
      </c>
      <c r="G475" s="20" t="s">
        <v>315</v>
      </c>
      <c r="H475" s="20" t="s">
        <v>2749</v>
      </c>
      <c r="I475" s="20"/>
      <c r="J475" s="20" t="s">
        <v>2788</v>
      </c>
      <c r="K475" s="20" t="s">
        <v>2789</v>
      </c>
      <c r="L475" s="20" t="s">
        <v>57</v>
      </c>
      <c r="M475" s="20" t="s">
        <v>58</v>
      </c>
      <c r="N475" s="20" t="s">
        <v>59</v>
      </c>
      <c r="O475" s="20" t="s">
        <v>60</v>
      </c>
      <c r="P475" s="20" t="s">
        <v>111</v>
      </c>
      <c r="Q475" s="20" t="s">
        <v>112</v>
      </c>
      <c r="R475" s="20" t="s">
        <v>113</v>
      </c>
      <c r="S475" s="20" t="s">
        <v>114</v>
      </c>
      <c r="T475" s="20" t="s">
        <v>115</v>
      </c>
      <c r="U475" s="20" t="s">
        <v>114</v>
      </c>
      <c r="V475" s="20" t="s">
        <v>196</v>
      </c>
      <c r="W475" s="20" t="s">
        <v>68</v>
      </c>
      <c r="X475" s="20" t="s">
        <v>69</v>
      </c>
      <c r="Y475" s="20" t="s">
        <v>70</v>
      </c>
      <c r="Z475" s="20" t="s">
        <v>98</v>
      </c>
      <c r="AA475" s="20" t="s">
        <v>409</v>
      </c>
      <c r="AB475" s="20" t="s">
        <v>2790</v>
      </c>
      <c r="AC475" s="20" t="s">
        <v>2790</v>
      </c>
      <c r="AD475" s="20" t="s">
        <v>2790</v>
      </c>
      <c r="AE475" s="20"/>
      <c r="AF475" s="9" t="n">
        <v>1</v>
      </c>
      <c r="AG475" s="12" t="n">
        <v>0</v>
      </c>
      <c r="AH475" s="22" t="s">
        <v>1269</v>
      </c>
      <c r="AI475" s="12" t="str">
        <f>IF(AH475="","",IFERROR(RIGHT("0000"&amp;AH475,4)&amp;" - "&amp;UPPER(_xlfn.XLOOKUP(RIGHT("0000"&amp;AH475,4),CODEBOOK_CAP!$C$2:$C$212,CODEBOOK_CAP!$D$2:$D$212)),"Código CAP não encontrado"))</f>
        <v>0405 - CONTROLE DE DOENÇAS ANIMAIS</v>
      </c>
      <c r="AJ475" s="12" t="str">
        <f>IF(AH475="","",IFERROR(_xlfn.XLOOKUP(RIGHT("0000"&amp;AH475,4),CODEBOOK_CAP!$C$2:$C$212,CODEBOOK_CAP!$E$2:$E$212),"Código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475" s="22" t="s">
        <v>79</v>
      </c>
      <c r="AL475" s="26" t="s">
        <v>2791</v>
      </c>
      <c r="AM475" s="22" t="s">
        <v>77</v>
      </c>
      <c r="AN475" s="22" t="s">
        <v>77</v>
      </c>
      <c r="AO475" s="12"/>
      <c r="AP475" s="22" t="s">
        <v>79</v>
      </c>
      <c r="AQ475" s="12" t="s">
        <v>2150</v>
      </c>
      <c r="AR475" s="22" t="s">
        <v>77</v>
      </c>
      <c r="AS475" s="10"/>
      <c r="AT475" s="2" t="s">
        <v>1814</v>
      </c>
      <c r="AU475" s="12" t="s">
        <v>83</v>
      </c>
      <c r="AV475" s="3" t="n">
        <v>46221</v>
      </c>
      <c r="AW475" s="21"/>
      <c r="AY475" s="1"/>
      <c r="BA475" s="1"/>
      <c r="BB475" s="1"/>
    </row>
    <row r="476" ht="120" customHeight="1">
      <c r="A476" s="20" t="s">
        <v>2792</v>
      </c>
      <c r="B476" s="20" t="n">
        <v>2023</v>
      </c>
      <c r="C476" s="20" t="n">
        <v>529</v>
      </c>
      <c r="D476" s="20" t="s">
        <v>50</v>
      </c>
      <c r="E476" s="20" t="s">
        <v>2747</v>
      </c>
      <c r="F476" s="20" t="s">
        <v>2793</v>
      </c>
      <c r="G476" s="20" t="s">
        <v>86</v>
      </c>
      <c r="H476" s="20" t="s">
        <v>2749</v>
      </c>
      <c r="I476" s="20"/>
      <c r="J476" s="20" t="s">
        <v>2794</v>
      </c>
      <c r="K476" s="20" t="s">
        <v>56</v>
      </c>
      <c r="L476" s="20" t="s">
        <v>57</v>
      </c>
      <c r="M476" s="20" t="s">
        <v>58</v>
      </c>
      <c r="N476" s="20" t="s">
        <v>59</v>
      </c>
      <c r="O476" s="20" t="s">
        <v>60</v>
      </c>
      <c r="P476" s="20" t="s">
        <v>61</v>
      </c>
      <c r="Q476" s="20" t="s">
        <v>62</v>
      </c>
      <c r="R476" s="20" t="s">
        <v>63</v>
      </c>
      <c r="S476" s="20" t="s">
        <v>64</v>
      </c>
      <c r="T476" s="20" t="s">
        <v>65</v>
      </c>
      <c r="U476" s="20" t="s">
        <v>66</v>
      </c>
      <c r="V476" s="20" t="s">
        <v>67</v>
      </c>
      <c r="W476" s="20" t="s">
        <v>68</v>
      </c>
      <c r="X476" s="20" t="s">
        <v>69</v>
      </c>
      <c r="Y476" s="20" t="s">
        <v>70</v>
      </c>
      <c r="Z476" s="20" t="s">
        <v>71</v>
      </c>
      <c r="AA476" s="20" t="s">
        <v>343</v>
      </c>
      <c r="AB476" s="20" t="s">
        <v>2795</v>
      </c>
      <c r="AC476" s="20" t="s">
        <v>2795</v>
      </c>
      <c r="AD476" s="20" t="s">
        <v>2795</v>
      </c>
      <c r="AE476" s="20" t="s">
        <v>811</v>
      </c>
      <c r="AF476" s="9" t="n">
        <v>1</v>
      </c>
      <c r="AG476" s="12" t="n">
        <v>1</v>
      </c>
      <c r="AH476" s="22" t="s">
        <v>235</v>
      </c>
      <c r="AI476" s="12" t="str">
        <f>IF(AH476="","",IFERROR(RIGHT("0000"&amp;AH476,4)&amp;" - "&amp;UPPER(_xlfn.XLOOKUP(RIGHT("0000"&amp;AH476,4),CODEBOOK_CAP!$C$2:$C$212,CODEBOOK_CAP!$D$2:$D$212)),"Código CAP não encontrado"))</f>
        <v>0322 - ESTRUTURAS, HOSPITAIS, CLÍNICAS</v>
      </c>
      <c r="AJ476" s="12" t="str">
        <f>IF(AH476="","",IFERROR(_xlfn.XLOOKUP(RIGHT("0000"&amp;AH476,4),CODEBOOK_CAP!$C$2:$C$212,CODEBOOK_CAP!$E$2:$E$212),"Código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76" s="22" t="s">
        <v>79</v>
      </c>
      <c r="AL476" s="26" t="s">
        <v>2791</v>
      </c>
      <c r="AM476" s="22" t="s">
        <v>79</v>
      </c>
      <c r="AN476" s="22" t="s">
        <v>79</v>
      </c>
      <c r="AO476" s="12" t="s">
        <v>1226</v>
      </c>
      <c r="AP476" s="22" t="s">
        <v>77</v>
      </c>
      <c r="AQ476" s="12"/>
      <c r="AR476" s="22" t="s">
        <v>79</v>
      </c>
      <c r="AS476" s="10" t="s">
        <v>811</v>
      </c>
      <c r="AT476" s="2" t="s">
        <v>1814</v>
      </c>
      <c r="AU476" s="12" t="s">
        <v>83</v>
      </c>
      <c r="AV476" s="3" t="n">
        <v>46221</v>
      </c>
      <c r="AW476" s="21"/>
      <c r="AY476" s="1"/>
      <c r="BA476" s="1"/>
      <c r="BB476" s="1"/>
    </row>
    <row r="477" ht="120" customHeight="1">
      <c r="A477" s="20" t="s">
        <v>2796</v>
      </c>
      <c r="B477" s="20" t="n">
        <v>2023</v>
      </c>
      <c r="C477" s="20" t="n">
        <v>581</v>
      </c>
      <c r="D477" s="20" t="s">
        <v>50</v>
      </c>
      <c r="E477" s="20" t="s">
        <v>2747</v>
      </c>
      <c r="F477" s="20" t="s">
        <v>2797</v>
      </c>
      <c r="G477" s="20" t="s">
        <v>315</v>
      </c>
      <c r="H477" s="20" t="s">
        <v>2749</v>
      </c>
      <c r="I477" s="20"/>
      <c r="J477" s="20" t="s">
        <v>2798</v>
      </c>
      <c r="K477" s="20" t="s">
        <v>309</v>
      </c>
      <c r="L477" s="20" t="s">
        <v>57</v>
      </c>
      <c r="M477" s="20" t="s">
        <v>58</v>
      </c>
      <c r="N477" s="20" t="s">
        <v>59</v>
      </c>
      <c r="O477" s="20" t="s">
        <v>60</v>
      </c>
      <c r="P477" s="20" t="s">
        <v>227</v>
      </c>
      <c r="Q477" s="20" t="s">
        <v>228</v>
      </c>
      <c r="R477" s="20" t="s">
        <v>229</v>
      </c>
      <c r="S477" s="20" t="s">
        <v>230</v>
      </c>
      <c r="T477" s="20" t="s">
        <v>231</v>
      </c>
      <c r="U477" s="20" t="s">
        <v>230</v>
      </c>
      <c r="V477" s="20" t="s">
        <v>196</v>
      </c>
      <c r="W477" s="20" t="s">
        <v>68</v>
      </c>
      <c r="X477" s="20" t="s">
        <v>69</v>
      </c>
      <c r="Y477" s="20" t="s">
        <v>70</v>
      </c>
      <c r="Z477" s="20" t="s">
        <v>98</v>
      </c>
      <c r="AA477" s="20" t="s">
        <v>409</v>
      </c>
      <c r="AB477" s="20" t="s">
        <v>2799</v>
      </c>
      <c r="AC477" s="20" t="s">
        <v>2800</v>
      </c>
      <c r="AD477" s="20" t="s">
        <v>2800</v>
      </c>
      <c r="AE477" s="20" t="s">
        <v>2801</v>
      </c>
      <c r="AF477" s="9" t="n">
        <v>1</v>
      </c>
      <c r="AG477" s="12" t="n">
        <v>1</v>
      </c>
      <c r="AH477" s="22" t="s">
        <v>235</v>
      </c>
      <c r="AI477" s="12" t="str">
        <f>IF(AH477="","",IFERROR(RIGHT("0000"&amp;AH477,4)&amp;" - "&amp;UPPER(_xlfn.XLOOKUP(RIGHT("0000"&amp;AH477,4),CODEBOOK_CAP!$C$2:$C$212,CODEBOOK_CAP!$D$2:$D$212)),"Código CAP não encontrado"))</f>
        <v>0322 - ESTRUTURAS, HOSPITAIS, CLÍNICAS</v>
      </c>
      <c r="AJ477" s="12" t="str">
        <f>IF(AH477="","",IFERROR(_xlfn.XLOOKUP(RIGHT("0000"&amp;AH477,4),CODEBOOK_CAP!$C$2:$C$212,CODEBOOK_CAP!$E$2:$E$212),"Código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77" s="22" t="s">
        <v>79</v>
      </c>
      <c r="AL477" s="26" t="s">
        <v>1825</v>
      </c>
      <c r="AM477" s="22" t="s">
        <v>79</v>
      </c>
      <c r="AN477" s="22" t="s">
        <v>79</v>
      </c>
      <c r="AO477" s="12" t="s">
        <v>773</v>
      </c>
      <c r="AP477" s="22" t="s">
        <v>77</v>
      </c>
      <c r="AQ477" s="12"/>
      <c r="AR477" s="22" t="s">
        <v>79</v>
      </c>
      <c r="AS477" s="10" t="s">
        <v>2801</v>
      </c>
      <c r="AT477" s="2" t="s">
        <v>1814</v>
      </c>
      <c r="AU477" s="12" t="s">
        <v>83</v>
      </c>
      <c r="AV477" s="3" t="n">
        <v>46221</v>
      </c>
      <c r="AW477" s="21"/>
      <c r="AY477" s="1"/>
      <c r="BA477" s="1"/>
      <c r="BB477" s="1"/>
    </row>
    <row r="478" ht="120" customHeight="1">
      <c r="A478" s="20" t="s">
        <v>2802</v>
      </c>
      <c r="B478" s="20" t="n">
        <v>2023</v>
      </c>
      <c r="C478" s="20" t="n">
        <v>600</v>
      </c>
      <c r="D478" s="20" t="s">
        <v>50</v>
      </c>
      <c r="E478" s="20" t="s">
        <v>2747</v>
      </c>
      <c r="F478" s="20" t="s">
        <v>2803</v>
      </c>
      <c r="G478" s="20" t="s">
        <v>86</v>
      </c>
      <c r="H478" s="20" t="s">
        <v>2749</v>
      </c>
      <c r="I478" s="20"/>
      <c r="J478" s="20" t="s">
        <v>2804</v>
      </c>
      <c r="K478" s="20" t="s">
        <v>865</v>
      </c>
      <c r="L478" s="20" t="s">
        <v>57</v>
      </c>
      <c r="M478" s="20" t="s">
        <v>58</v>
      </c>
      <c r="N478" s="20" t="s">
        <v>59</v>
      </c>
      <c r="O478" s="20" t="s">
        <v>60</v>
      </c>
      <c r="P478" s="20" t="s">
        <v>227</v>
      </c>
      <c r="Q478" s="20" t="s">
        <v>228</v>
      </c>
      <c r="R478" s="20" t="s">
        <v>229</v>
      </c>
      <c r="S478" s="20" t="s">
        <v>230</v>
      </c>
      <c r="T478" s="20" t="s">
        <v>866</v>
      </c>
      <c r="U478" s="20" t="s">
        <v>867</v>
      </c>
      <c r="V478" s="20" t="s">
        <v>868</v>
      </c>
      <c r="W478" s="20" t="s">
        <v>96</v>
      </c>
      <c r="X478" s="20" t="s">
        <v>97</v>
      </c>
      <c r="Y478" s="20" t="s">
        <v>70</v>
      </c>
      <c r="Z478" s="20" t="s">
        <v>98</v>
      </c>
      <c r="AA478" s="20" t="s">
        <v>409</v>
      </c>
      <c r="AB478" s="20" t="s">
        <v>1237</v>
      </c>
      <c r="AC478" s="20" t="s">
        <v>1237</v>
      </c>
      <c r="AD478" s="20" t="s">
        <v>1237</v>
      </c>
      <c r="AE478" s="20"/>
      <c r="AF478" s="9" t="n">
        <v>1</v>
      </c>
      <c r="AG478" s="12" t="n">
        <v>1</v>
      </c>
      <c r="AH478" s="22" t="s">
        <v>235</v>
      </c>
      <c r="AI478" s="12" t="str">
        <f>IF(AH478="","",IFERROR(RIGHT("0000"&amp;AH478,4)&amp;" - "&amp;UPPER(_xlfn.XLOOKUP(RIGHT("0000"&amp;AH478,4),CODEBOOK_CAP!$C$2:$C$212,CODEBOOK_CAP!$D$2:$D$212)),"Código CAP não encontrado"))</f>
        <v>0322 - ESTRUTURAS, HOSPITAIS, CLÍNICAS</v>
      </c>
      <c r="AJ478" s="12" t="str">
        <f>IF(AH478="","",IFERROR(_xlfn.XLOOKUP(RIGHT("0000"&amp;AH478,4),CODEBOOK_CAP!$C$2:$C$212,CODEBOOK_CAP!$E$2:$E$212),"Código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78" s="22" t="s">
        <v>79</v>
      </c>
      <c r="AL478" s="26" t="s">
        <v>1843</v>
      </c>
      <c r="AM478" s="22" t="s">
        <v>79</v>
      </c>
      <c r="AN478" s="22" t="s">
        <v>79</v>
      </c>
      <c r="AO478" s="12" t="s">
        <v>2805</v>
      </c>
      <c r="AP478" s="22" t="s">
        <v>77</v>
      </c>
      <c r="AQ478" s="12"/>
      <c r="AR478" s="22" t="s">
        <v>77</v>
      </c>
      <c r="AS478" s="10"/>
      <c r="AT478" s="2" t="s">
        <v>1814</v>
      </c>
      <c r="AU478" s="12" t="s">
        <v>83</v>
      </c>
      <c r="AV478" s="3" t="n">
        <v>46221</v>
      </c>
      <c r="AW478" s="21"/>
      <c r="AY478" s="1"/>
      <c r="BA478" s="1"/>
      <c r="BB478" s="1"/>
    </row>
    <row r="479" ht="75" customHeight="1">
      <c r="A479" s="20" t="s">
        <v>2806</v>
      </c>
      <c r="B479" s="20" t="n">
        <v>2023</v>
      </c>
      <c r="C479" s="20" t="n">
        <v>636</v>
      </c>
      <c r="D479" s="20" t="s">
        <v>50</v>
      </c>
      <c r="E479" s="20" t="s">
        <v>2747</v>
      </c>
      <c r="F479" s="20" t="s">
        <v>2807</v>
      </c>
      <c r="G479" s="20" t="s">
        <v>315</v>
      </c>
      <c r="H479" s="20" t="s">
        <v>2749</v>
      </c>
      <c r="I479" s="20"/>
      <c r="J479" s="20" t="s">
        <v>2808</v>
      </c>
      <c r="K479" s="20" t="s">
        <v>2469</v>
      </c>
      <c r="L479" s="20" t="s">
        <v>208</v>
      </c>
      <c r="M479" s="20" t="s">
        <v>209</v>
      </c>
      <c r="N479" s="20" t="s">
        <v>1726</v>
      </c>
      <c r="O479" s="20" t="s">
        <v>1727</v>
      </c>
      <c r="P479" s="20" t="s">
        <v>1728</v>
      </c>
      <c r="Q479" s="20" t="s">
        <v>1729</v>
      </c>
      <c r="R479" s="20" t="s">
        <v>2470</v>
      </c>
      <c r="S479" s="20" t="s">
        <v>2471</v>
      </c>
      <c r="T479" s="20" t="s">
        <v>2472</v>
      </c>
      <c r="U479" s="20" t="s">
        <v>2473</v>
      </c>
      <c r="V479" s="20" t="s">
        <v>67</v>
      </c>
      <c r="W479" s="20" t="s">
        <v>68</v>
      </c>
      <c r="X479" s="20" t="s">
        <v>69</v>
      </c>
      <c r="Y479" s="20" t="s">
        <v>70</v>
      </c>
      <c r="Z479" s="20" t="s">
        <v>177</v>
      </c>
      <c r="AA479" s="20" t="s">
        <v>2809</v>
      </c>
      <c r="AB479" s="20" t="s">
        <v>2810</v>
      </c>
      <c r="AC479" s="20" t="s">
        <v>2811</v>
      </c>
      <c r="AD479" s="20" t="s">
        <v>2811</v>
      </c>
      <c r="AE479" s="20" t="s">
        <v>2812</v>
      </c>
      <c r="AF479" s="9" t="n">
        <v>0</v>
      </c>
      <c r="AG479" s="12" t="n">
        <v>0</v>
      </c>
      <c r="AH479" s="22" t="s">
        <v>304</v>
      </c>
      <c r="AI479" s="12" t="str">
        <f>IF(AH479="","",IFERROR(RIGHT("0000"&amp;AH479,4)&amp;" - "&amp;UPPER(_xlfn.XLOOKUP(RIGHT("0000"&amp;AH479,4),CODEBOOK_CAP!$C$2:$C$212,CODEBOOK_CAP!$D$2:$D$212)),"Código CAP não encontrado"))</f>
        <v>1403 - REABILITAÇÃO URBANA, ECONOMIA URBANA</v>
      </c>
      <c r="AJ479" s="12" t="str">
        <f>IF(AH479="","",IFERROR(_xlfn.XLOOKUP(RIGHT("0000"&amp;AH479,4),CODEBOOK_CAP!$C$2:$C$212,CODEBOOK_CAP!$E$2:$E$212),"Código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79" s="22" t="s">
        <v>79</v>
      </c>
      <c r="AL479" s="26" t="s">
        <v>2813</v>
      </c>
      <c r="AM479" s="22" t="s">
        <v>79</v>
      </c>
      <c r="AN479" s="22" t="s">
        <v>79</v>
      </c>
      <c r="AO479" s="12" t="s">
        <v>2813</v>
      </c>
      <c r="AP479" s="22" t="s">
        <v>77</v>
      </c>
      <c r="AQ479" s="12"/>
      <c r="AR479" s="22" t="s">
        <v>79</v>
      </c>
      <c r="AS479" s="10" t="s">
        <v>2812</v>
      </c>
      <c r="AT479" s="2" t="s">
        <v>1814</v>
      </c>
      <c r="AU479" s="12" t="s">
        <v>83</v>
      </c>
      <c r="AV479" s="3" t="n">
        <v>46221</v>
      </c>
      <c r="AW479" s="21"/>
      <c r="AY479" s="1"/>
      <c r="BA479" s="1"/>
      <c r="BB479" s="1"/>
    </row>
    <row r="480" ht="195" customHeight="1">
      <c r="A480" s="20" t="s">
        <v>2814</v>
      </c>
      <c r="B480" s="20" t="n">
        <v>2023</v>
      </c>
      <c r="C480" s="20" t="n">
        <v>755</v>
      </c>
      <c r="D480" s="20" t="s">
        <v>50</v>
      </c>
      <c r="E480" s="20" t="s">
        <v>2747</v>
      </c>
      <c r="F480" s="20" t="s">
        <v>2815</v>
      </c>
      <c r="G480" s="20" t="s">
        <v>315</v>
      </c>
      <c r="H480" s="20" t="s">
        <v>2749</v>
      </c>
      <c r="I480" s="20"/>
      <c r="J480" s="20" t="s">
        <v>2816</v>
      </c>
      <c r="K480" s="20" t="s">
        <v>2469</v>
      </c>
      <c r="L480" s="20" t="s">
        <v>208</v>
      </c>
      <c r="M480" s="20" t="s">
        <v>209</v>
      </c>
      <c r="N480" s="20" t="s">
        <v>1726</v>
      </c>
      <c r="O480" s="20" t="s">
        <v>1727</v>
      </c>
      <c r="P480" s="20" t="s">
        <v>1728</v>
      </c>
      <c r="Q480" s="20" t="s">
        <v>1729</v>
      </c>
      <c r="R480" s="20" t="s">
        <v>2470</v>
      </c>
      <c r="S480" s="20" t="s">
        <v>2471</v>
      </c>
      <c r="T480" s="20" t="s">
        <v>2472</v>
      </c>
      <c r="U480" s="20" t="s">
        <v>2473</v>
      </c>
      <c r="V480" s="20" t="s">
        <v>67</v>
      </c>
      <c r="W480" s="20" t="s">
        <v>68</v>
      </c>
      <c r="X480" s="20" t="s">
        <v>69</v>
      </c>
      <c r="Y480" s="20" t="s">
        <v>70</v>
      </c>
      <c r="Z480" s="20" t="s">
        <v>177</v>
      </c>
      <c r="AA480" s="20" t="s">
        <v>2809</v>
      </c>
      <c r="AB480" s="20" t="s">
        <v>2817</v>
      </c>
      <c r="AC480" s="20" t="s">
        <v>2818</v>
      </c>
      <c r="AD480" s="20" t="s">
        <v>2818</v>
      </c>
      <c r="AE480" s="20" t="s">
        <v>2812</v>
      </c>
      <c r="AF480" s="9" t="n">
        <v>0</v>
      </c>
      <c r="AG480" s="12" t="n">
        <v>0</v>
      </c>
      <c r="AH480" s="22" t="s">
        <v>294</v>
      </c>
      <c r="AI480" s="12" t="str">
        <f>IF(AH480="","",IFERROR(RIGHT("0000"&amp;AH480,4)&amp;" - "&amp;UPPER(_xlfn.XLOOKUP(RIGHT("0000"&amp;AH480,4),CODEBOOK_CAP!$C$2:$C$212,CODEBOOK_CAP!$D$2:$D$212)),"Código CAP não encontrado"))</f>
        <v>0711 - CONSERVAÇÃO DO SOLO, MAR, RIOS, PRAIAS E COSTAS</v>
      </c>
      <c r="AJ480" s="12" t="str">
        <f>IF(AH480="","",IFERROR(_xlfn.XLOOKUP(RIGHT("0000"&amp;AH480,4),CODEBOOK_CAP!$C$2:$C$212,CODEBOOK_CAP!$E$2:$E$212),"Código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480" s="22" t="s">
        <v>79</v>
      </c>
      <c r="AL480" s="26" t="s">
        <v>2819</v>
      </c>
      <c r="AM480" s="22" t="s">
        <v>77</v>
      </c>
      <c r="AN480" s="22" t="s">
        <v>77</v>
      </c>
      <c r="AO480" s="12"/>
      <c r="AP480" s="22" t="s">
        <v>77</v>
      </c>
      <c r="AQ480" s="12"/>
      <c r="AR480" s="22" t="s">
        <v>79</v>
      </c>
      <c r="AS480" s="10" t="s">
        <v>2812</v>
      </c>
      <c r="AT480" s="2" t="s">
        <v>1814</v>
      </c>
      <c r="AU480" s="12" t="s">
        <v>83</v>
      </c>
      <c r="AV480" s="3" t="n">
        <v>46221</v>
      </c>
      <c r="AW480" s="21"/>
      <c r="AY480" s="1"/>
      <c r="BA480" s="1"/>
      <c r="BB480" s="1"/>
    </row>
    <row r="481" ht="210" customHeight="1">
      <c r="A481" s="20" t="s">
        <v>2820</v>
      </c>
      <c r="B481" s="20" t="n">
        <v>2023</v>
      </c>
      <c r="C481" s="20" t="n">
        <v>757</v>
      </c>
      <c r="D481" s="20" t="s">
        <v>50</v>
      </c>
      <c r="E481" s="20" t="s">
        <v>2747</v>
      </c>
      <c r="F481" s="20" t="s">
        <v>2821</v>
      </c>
      <c r="G481" s="20" t="s">
        <v>86</v>
      </c>
      <c r="H481" s="20" t="s">
        <v>2749</v>
      </c>
      <c r="I481" s="20"/>
      <c r="J481" s="20" t="s">
        <v>2822</v>
      </c>
      <c r="K481" s="20" t="s">
        <v>2040</v>
      </c>
      <c r="L481" s="20" t="s">
        <v>274</v>
      </c>
      <c r="M481" s="20" t="s">
        <v>275</v>
      </c>
      <c r="N481" s="20" t="s">
        <v>276</v>
      </c>
      <c r="O481" s="20" t="s">
        <v>277</v>
      </c>
      <c r="P481" s="20" t="s">
        <v>2041</v>
      </c>
      <c r="Q481" s="20" t="s">
        <v>2042</v>
      </c>
      <c r="R481" s="20" t="s">
        <v>1118</v>
      </c>
      <c r="S481" s="20" t="s">
        <v>1119</v>
      </c>
      <c r="T481" s="20" t="s">
        <v>1120</v>
      </c>
      <c r="U481" s="20" t="s">
        <v>1121</v>
      </c>
      <c r="V481" s="20" t="s">
        <v>95</v>
      </c>
      <c r="W481" s="20" t="s">
        <v>96</v>
      </c>
      <c r="X481" s="20" t="s">
        <v>97</v>
      </c>
      <c r="Y481" s="20" t="s">
        <v>70</v>
      </c>
      <c r="Z481" s="20" t="s">
        <v>284</v>
      </c>
      <c r="AA481" s="20" t="s">
        <v>409</v>
      </c>
      <c r="AB481" s="20" t="s">
        <v>409</v>
      </c>
      <c r="AC481" s="20" t="s">
        <v>409</v>
      </c>
      <c r="AD481" s="20" t="s">
        <v>409</v>
      </c>
      <c r="AE481" s="20"/>
      <c r="AF481" s="9" t="n">
        <v>0</v>
      </c>
      <c r="AG481" s="12" t="n">
        <v>0</v>
      </c>
      <c r="AH481" s="22" t="s">
        <v>607</v>
      </c>
      <c r="AI481" s="12" t="str">
        <f>IF(AH481="","",IFERROR(RIGHT("0000"&amp;AH481,4)&amp;" - "&amp;UPPER(_xlfn.XLOOKUP(RIGHT("0000"&amp;AH481,4),CODEBOOK_CAP!$C$2:$C$212,CODEBOOK_CAP!$D$2:$D$212)),"Código CAP não encontrado"))</f>
        <v>1300 - GERAL</v>
      </c>
      <c r="AJ481" s="12" t="str">
        <f>IF(AH481="","",IFERROR(_xlfn.XLOOKUP(RIGHT("0000"&amp;AH481,4),CODEBOOK_CAP!$C$2:$C$212,CODEBOOK_CAP!$E$2:$E$212),"Código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481" s="22" t="s">
        <v>77</v>
      </c>
      <c r="AL481" s="26"/>
      <c r="AM481" s="22" t="s">
        <v>77</v>
      </c>
      <c r="AN481" s="22" t="s">
        <v>77</v>
      </c>
      <c r="AO481" s="12"/>
      <c r="AP481" s="22" t="s">
        <v>77</v>
      </c>
      <c r="AQ481" s="12"/>
      <c r="AR481" s="22" t="s">
        <v>77</v>
      </c>
      <c r="AS481" s="10"/>
      <c r="AT481" s="2" t="s">
        <v>1814</v>
      </c>
      <c r="AU481" s="12" t="s">
        <v>83</v>
      </c>
      <c r="AV481" s="3" t="n">
        <v>46221</v>
      </c>
      <c r="AW481" s="21"/>
      <c r="AY481" s="1"/>
      <c r="BA481" s="1"/>
      <c r="BB481" s="1"/>
    </row>
    <row r="482" ht="120" customHeight="1">
      <c r="A482" s="20" t="s">
        <v>2823</v>
      </c>
      <c r="B482" s="20" t="n">
        <v>2023</v>
      </c>
      <c r="C482" s="20" t="n">
        <v>304</v>
      </c>
      <c r="D482" s="20" t="s">
        <v>50</v>
      </c>
      <c r="E482" s="20" t="s">
        <v>2824</v>
      </c>
      <c r="F482" s="20" t="s">
        <v>2825</v>
      </c>
      <c r="G482" s="20" t="s">
        <v>315</v>
      </c>
      <c r="H482" s="20" t="s">
        <v>2826</v>
      </c>
      <c r="I482" s="20"/>
      <c r="J482" s="20" t="s">
        <v>2827</v>
      </c>
      <c r="K482" s="20" t="s">
        <v>340</v>
      </c>
      <c r="L482" s="20" t="s">
        <v>57</v>
      </c>
      <c r="M482" s="20" t="s">
        <v>58</v>
      </c>
      <c r="N482" s="20" t="s">
        <v>59</v>
      </c>
      <c r="O482" s="20" t="s">
        <v>60</v>
      </c>
      <c r="P482" s="20" t="s">
        <v>89</v>
      </c>
      <c r="Q482" s="20" t="s">
        <v>90</v>
      </c>
      <c r="R482" s="20" t="s">
        <v>91</v>
      </c>
      <c r="S482" s="20" t="s">
        <v>92</v>
      </c>
      <c r="T482" s="20" t="s">
        <v>341</v>
      </c>
      <c r="U482" s="20" t="s">
        <v>342</v>
      </c>
      <c r="V482" s="20" t="s">
        <v>196</v>
      </c>
      <c r="W482" s="20" t="s">
        <v>68</v>
      </c>
      <c r="X482" s="20" t="s">
        <v>69</v>
      </c>
      <c r="Y482" s="20" t="s">
        <v>70</v>
      </c>
      <c r="Z482" s="20" t="s">
        <v>98</v>
      </c>
      <c r="AA482" s="20" t="s">
        <v>198</v>
      </c>
      <c r="AB482" s="20" t="s">
        <v>2828</v>
      </c>
      <c r="AC482" s="20" t="s">
        <v>2829</v>
      </c>
      <c r="AD482" s="20" t="s">
        <v>2829</v>
      </c>
      <c r="AE482" s="20" t="s">
        <v>2830</v>
      </c>
      <c r="AF482" s="9" t="n">
        <v>1</v>
      </c>
      <c r="AG482" s="12" t="n">
        <v>1</v>
      </c>
      <c r="AH482" s="22" t="s">
        <v>235</v>
      </c>
      <c r="AI482" s="12" t="str">
        <f>IF(AH482="","",IFERROR(RIGHT("0000"&amp;AH482,4)&amp;" - "&amp;UPPER(_xlfn.XLOOKUP(RIGHT("0000"&amp;AH482,4),CODEBOOK_CAP!$C$2:$C$212,CODEBOOK_CAP!$D$2:$D$212)),"Código CAP não encontrado"))</f>
        <v>0322 - ESTRUTURAS, HOSPITAIS, CLÍNICAS</v>
      </c>
      <c r="AJ482" s="12" t="str">
        <f>IF(AH482="","",IFERROR(_xlfn.XLOOKUP(RIGHT("0000"&amp;AH482,4),CODEBOOK_CAP!$C$2:$C$212,CODEBOOK_CAP!$E$2:$E$212),"Código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82" s="22" t="s">
        <v>77</v>
      </c>
      <c r="AL482" s="26"/>
      <c r="AM482" s="22" t="s">
        <v>77</v>
      </c>
      <c r="AN482" s="22" t="s">
        <v>77</v>
      </c>
      <c r="AO482" s="12"/>
      <c r="AP482" s="22" t="s">
        <v>77</v>
      </c>
      <c r="AQ482" s="12"/>
      <c r="AR482" s="22" t="s">
        <v>79</v>
      </c>
      <c r="AS482" s="10" t="s">
        <v>2830</v>
      </c>
      <c r="AT482" s="2" t="s">
        <v>1814</v>
      </c>
      <c r="AU482" s="12" t="s">
        <v>83</v>
      </c>
      <c r="AV482" s="3" t="n">
        <v>46221</v>
      </c>
      <c r="AW482" s="21"/>
      <c r="AY482" s="1"/>
      <c r="BA482" s="1"/>
      <c r="BB482" s="1"/>
    </row>
    <row r="483" ht="105" customHeight="1">
      <c r="A483" s="20" t="s">
        <v>2831</v>
      </c>
      <c r="B483" s="20" t="n">
        <v>2023</v>
      </c>
      <c r="C483" s="20" t="n">
        <v>305</v>
      </c>
      <c r="D483" s="20" t="s">
        <v>50</v>
      </c>
      <c r="E483" s="20" t="s">
        <v>2824</v>
      </c>
      <c r="F483" s="20" t="s">
        <v>2832</v>
      </c>
      <c r="G483" s="20" t="s">
        <v>86</v>
      </c>
      <c r="H483" s="20" t="s">
        <v>2826</v>
      </c>
      <c r="I483" s="20"/>
      <c r="J483" s="20" t="s">
        <v>2833</v>
      </c>
      <c r="K483" s="20" t="s">
        <v>682</v>
      </c>
      <c r="L483" s="20" t="s">
        <v>186</v>
      </c>
      <c r="M483" s="20" t="s">
        <v>187</v>
      </c>
      <c r="N483" s="20" t="s">
        <v>188</v>
      </c>
      <c r="O483" s="20" t="s">
        <v>189</v>
      </c>
      <c r="P483" s="20" t="s">
        <v>338</v>
      </c>
      <c r="Q483" s="20" t="s">
        <v>683</v>
      </c>
      <c r="R483" s="20" t="s">
        <v>192</v>
      </c>
      <c r="S483" s="20" t="s">
        <v>193</v>
      </c>
      <c r="T483" s="20" t="s">
        <v>684</v>
      </c>
      <c r="U483" s="20" t="s">
        <v>685</v>
      </c>
      <c r="V483" s="20" t="s">
        <v>95</v>
      </c>
      <c r="W483" s="20" t="s">
        <v>96</v>
      </c>
      <c r="X483" s="20" t="s">
        <v>97</v>
      </c>
      <c r="Y483" s="20" t="s">
        <v>70</v>
      </c>
      <c r="Z483" s="20" t="s">
        <v>197</v>
      </c>
      <c r="AA483" s="20" t="s">
        <v>2834</v>
      </c>
      <c r="AB483" s="20" t="s">
        <v>2835</v>
      </c>
      <c r="AC483" s="20" t="s">
        <v>2835</v>
      </c>
      <c r="AD483" s="20" t="s">
        <v>2835</v>
      </c>
      <c r="AE483" s="20"/>
      <c r="AF483" s="9" t="n">
        <v>0</v>
      </c>
      <c r="AG483" s="12" t="n">
        <v>0</v>
      </c>
      <c r="AH483" s="22" t="s">
        <v>161</v>
      </c>
      <c r="AI483" s="12" t="str">
        <f>IF(AH483="","",IFERROR(RIGHT("0000"&amp;AH483,4)&amp;" - "&amp;UPPER(_xlfn.XLOOKUP(RIGHT("0000"&amp;AH483,4),CODEBOOK_CAP!$C$2:$C$212,CODEBOOK_CAP!$D$2:$D$212)),"Código CAP não encontrado"))</f>
        <v>2300 - GERAL</v>
      </c>
      <c r="AJ483" s="12" t="str">
        <f>IF(AH483="","",IFERROR(_xlfn.XLOOKUP(RIGHT("0000"&amp;AH483,4),CODEBOOK_CAP!$C$2:$C$212,CODEBOOK_CAP!$E$2:$E$212),"Código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83" s="22" t="s">
        <v>77</v>
      </c>
      <c r="AL483" s="26"/>
      <c r="AM483" s="22" t="s">
        <v>77</v>
      </c>
      <c r="AN483" s="22" t="s">
        <v>77</v>
      </c>
      <c r="AO483" s="12"/>
      <c r="AP483" s="22" t="s">
        <v>77</v>
      </c>
      <c r="AQ483" s="12"/>
      <c r="AR483" s="22" t="s">
        <v>77</v>
      </c>
      <c r="AS483" s="10"/>
      <c r="AT483" s="2" t="s">
        <v>1814</v>
      </c>
      <c r="AU483" s="12" t="s">
        <v>83</v>
      </c>
      <c r="AV483" s="3" t="n">
        <v>46221</v>
      </c>
      <c r="AW483" s="21"/>
      <c r="AX483" s="1" t="s">
        <v>6956</v>
      </c>
      <c r="AY483" s="1"/>
      <c r="BA483" s="1"/>
      <c r="BB483" s="1"/>
    </row>
    <row r="484" ht="75" customHeight="1">
      <c r="A484" s="20" t="s">
        <v>2836</v>
      </c>
      <c r="B484" s="20" t="n">
        <v>2023</v>
      </c>
      <c r="C484" s="20" t="n">
        <v>306</v>
      </c>
      <c r="D484" s="20" t="s">
        <v>50</v>
      </c>
      <c r="E484" s="20" t="s">
        <v>2824</v>
      </c>
      <c r="F484" s="20" t="s">
        <v>2837</v>
      </c>
      <c r="G484" s="20" t="s">
        <v>86</v>
      </c>
      <c r="H484" s="20" t="s">
        <v>2826</v>
      </c>
      <c r="I484" s="20"/>
      <c r="J484" s="20" t="s">
        <v>2838</v>
      </c>
      <c r="K484" s="20" t="s">
        <v>132</v>
      </c>
      <c r="L484" s="20" t="s">
        <v>133</v>
      </c>
      <c r="M484" s="20" t="s">
        <v>134</v>
      </c>
      <c r="N484" s="20" t="s">
        <v>135</v>
      </c>
      <c r="O484" s="20" t="s">
        <v>136</v>
      </c>
      <c r="P484" s="20" t="s">
        <v>61</v>
      </c>
      <c r="Q484" s="20" t="s">
        <v>62</v>
      </c>
      <c r="R484" s="20" t="s">
        <v>137</v>
      </c>
      <c r="S484" s="20" t="s">
        <v>138</v>
      </c>
      <c r="T484" s="20" t="s">
        <v>139</v>
      </c>
      <c r="U484" s="20" t="s">
        <v>140</v>
      </c>
      <c r="V484" s="20" t="s">
        <v>95</v>
      </c>
      <c r="W484" s="20" t="s">
        <v>96</v>
      </c>
      <c r="X484" s="20" t="s">
        <v>97</v>
      </c>
      <c r="Y484" s="20" t="s">
        <v>70</v>
      </c>
      <c r="Z484" s="20" t="s">
        <v>141</v>
      </c>
      <c r="AA484" s="20" t="s">
        <v>388</v>
      </c>
      <c r="AB484" s="20" t="s">
        <v>388</v>
      </c>
      <c r="AC484" s="20" t="s">
        <v>388</v>
      </c>
      <c r="AD484" s="20" t="s">
        <v>388</v>
      </c>
      <c r="AE484" s="20"/>
      <c r="AF484" s="9" t="n">
        <v>0</v>
      </c>
      <c r="AG484" s="12" t="n">
        <v>0</v>
      </c>
      <c r="AH484" s="22" t="s">
        <v>143</v>
      </c>
      <c r="AI484" s="12" t="str">
        <f>IF(AH484="","",IFERROR(RIGHT("0000"&amp;AH484,4)&amp;" - "&amp;UPPER(_xlfn.XLOOKUP(RIGHT("0000"&amp;AH484,4),CODEBOOK_CAP!$C$2:$C$212,CODEBOOK_CAP!$D$2:$D$212)),"Código CAP não encontrado"))</f>
        <v>0502 - FORMAÇÃO E DESENVOLVIMENTO PROFISSIONAL</v>
      </c>
      <c r="AJ484" s="12" t="str">
        <f>IF(AH484="","",IFERROR(_xlfn.XLOOKUP(RIGHT("0000"&amp;AH484,4),CODEBOOK_CAP!$C$2:$C$212,CODEBOOK_CAP!$E$2:$E$212),"Código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484" s="22" t="s">
        <v>77</v>
      </c>
      <c r="AL484" s="26"/>
      <c r="AM484" s="22" t="s">
        <v>77</v>
      </c>
      <c r="AN484" s="22" t="s">
        <v>77</v>
      </c>
      <c r="AO484" s="12"/>
      <c r="AP484" s="22" t="s">
        <v>77</v>
      </c>
      <c r="AQ484" s="12"/>
      <c r="AR484" s="22" t="s">
        <v>77</v>
      </c>
      <c r="AS484" s="10"/>
      <c r="AT484" s="2" t="s">
        <v>1814</v>
      </c>
      <c r="AU484" s="12" t="s">
        <v>83</v>
      </c>
      <c r="AV484" s="3" t="n">
        <v>46221</v>
      </c>
      <c r="AW484" s="21"/>
      <c r="AY484" s="1"/>
      <c r="BA484" s="1"/>
      <c r="BB484" s="1"/>
    </row>
    <row r="485" ht="105" customHeight="1">
      <c r="A485" s="20" t="s">
        <v>2839</v>
      </c>
      <c r="B485" s="20" t="n">
        <v>2023</v>
      </c>
      <c r="C485" s="20" t="n">
        <v>307</v>
      </c>
      <c r="D485" s="20" t="s">
        <v>50</v>
      </c>
      <c r="E485" s="20" t="s">
        <v>2824</v>
      </c>
      <c r="F485" s="20" t="s">
        <v>2840</v>
      </c>
      <c r="G485" s="20" t="s">
        <v>86</v>
      </c>
      <c r="H485" s="20" t="s">
        <v>2826</v>
      </c>
      <c r="I485" s="20"/>
      <c r="J485" s="20" t="s">
        <v>2841</v>
      </c>
      <c r="K485" s="20" t="s">
        <v>132</v>
      </c>
      <c r="L485" s="20" t="s">
        <v>133</v>
      </c>
      <c r="M485" s="20" t="s">
        <v>134</v>
      </c>
      <c r="N485" s="20" t="s">
        <v>135</v>
      </c>
      <c r="O485" s="20" t="s">
        <v>136</v>
      </c>
      <c r="P485" s="20" t="s">
        <v>61</v>
      </c>
      <c r="Q485" s="20" t="s">
        <v>62</v>
      </c>
      <c r="R485" s="20" t="s">
        <v>137</v>
      </c>
      <c r="S485" s="20" t="s">
        <v>138</v>
      </c>
      <c r="T485" s="20" t="s">
        <v>139</v>
      </c>
      <c r="U485" s="20" t="s">
        <v>140</v>
      </c>
      <c r="V485" s="20" t="s">
        <v>95</v>
      </c>
      <c r="W485" s="20" t="s">
        <v>96</v>
      </c>
      <c r="X485" s="20" t="s">
        <v>97</v>
      </c>
      <c r="Y485" s="20" t="s">
        <v>70</v>
      </c>
      <c r="Z485" s="20" t="s">
        <v>141</v>
      </c>
      <c r="AA485" s="20" t="s">
        <v>580</v>
      </c>
      <c r="AB485" s="20" t="s">
        <v>580</v>
      </c>
      <c r="AC485" s="20" t="s">
        <v>580</v>
      </c>
      <c r="AD485" s="20" t="s">
        <v>580</v>
      </c>
      <c r="AE485" s="20"/>
      <c r="AF485" s="9" t="n">
        <v>0</v>
      </c>
      <c r="AG485" s="12" t="n">
        <v>0</v>
      </c>
      <c r="AH485" s="22" t="s">
        <v>2842</v>
      </c>
      <c r="AI485" s="12" t="str">
        <f>IF(AH485="","",IFERROR(RIGHT("0000"&amp;AH485,4)&amp;" - "&amp;UPPER(_xlfn.XLOOKUP(RIGHT("0000"&amp;AH485,4),CODEBOOK_CAP!$C$2:$C$212,CODEBOOK_CAP!$D$2:$D$212)),"Código CAP não encontrado"))</f>
        <v>1706 - TELEFONIA E INTERNET</v>
      </c>
      <c r="AJ485" s="12" t="str">
        <f>IF(AH485="","",IFERROR(_xlfn.XLOOKUP(RIGHT("0000"&amp;AH485,4),CODEBOOK_CAP!$C$2:$C$212,CODEBOOK_CAP!$E$2:$E$212),"Código CAP não encontrado"))</f>
        <v>Questões relacionadas ao sistema de comunicação telefonico. Privatizações, estatizações, competição de telefonia móvel e fixa, DDD, DDI, Serviços telefônico, Alocação de empresas nacionais e internacionais na oferta de serviõs de telefonia fixa e móvel. oferta de internet, internet discada, internet radio, internet a cabo, internet fibra,</v>
      </c>
      <c r="AK485" s="22" t="s">
        <v>77</v>
      </c>
      <c r="AL485" s="26"/>
      <c r="AM485" s="22" t="s">
        <v>77</v>
      </c>
      <c r="AN485" s="22" t="s">
        <v>77</v>
      </c>
      <c r="AO485" s="12"/>
      <c r="AP485" s="22" t="s">
        <v>77</v>
      </c>
      <c r="AQ485" s="12"/>
      <c r="AR485" s="22" t="s">
        <v>77</v>
      </c>
      <c r="AS485" s="10"/>
      <c r="AT485" s="2" t="s">
        <v>1814</v>
      </c>
      <c r="AU485" s="12" t="s">
        <v>83</v>
      </c>
      <c r="AV485" s="3" t="n">
        <v>46221</v>
      </c>
      <c r="AW485" s="21"/>
      <c r="AY485" s="1"/>
      <c r="BA485" s="1"/>
      <c r="BB485" s="1"/>
    </row>
    <row r="486" ht="105" customHeight="1">
      <c r="A486" s="20" t="s">
        <v>2843</v>
      </c>
      <c r="B486" s="20" t="n">
        <v>2023</v>
      </c>
      <c r="C486" s="20" t="n">
        <v>308</v>
      </c>
      <c r="D486" s="20" t="s">
        <v>50</v>
      </c>
      <c r="E486" s="20" t="s">
        <v>2824</v>
      </c>
      <c r="F486" s="20" t="s">
        <v>2844</v>
      </c>
      <c r="G486" s="20" t="s">
        <v>86</v>
      </c>
      <c r="H486" s="20" t="s">
        <v>2826</v>
      </c>
      <c r="I486" s="20"/>
      <c r="J486" s="20" t="s">
        <v>2845</v>
      </c>
      <c r="K486" s="20" t="s">
        <v>1587</v>
      </c>
      <c r="L486" s="20" t="s">
        <v>186</v>
      </c>
      <c r="M486" s="20" t="s">
        <v>187</v>
      </c>
      <c r="N486" s="20" t="s">
        <v>188</v>
      </c>
      <c r="O486" s="20" t="s">
        <v>189</v>
      </c>
      <c r="P486" s="20" t="s">
        <v>190</v>
      </c>
      <c r="Q486" s="20" t="s">
        <v>191</v>
      </c>
      <c r="R486" s="20" t="s">
        <v>192</v>
      </c>
      <c r="S486" s="20" t="s">
        <v>193</v>
      </c>
      <c r="T486" s="20" t="s">
        <v>194</v>
      </c>
      <c r="U486" s="20" t="s">
        <v>195</v>
      </c>
      <c r="V486" s="20" t="s">
        <v>196</v>
      </c>
      <c r="W486" s="20" t="s">
        <v>68</v>
      </c>
      <c r="X486" s="20" t="s">
        <v>69</v>
      </c>
      <c r="Y486" s="20" t="s">
        <v>70</v>
      </c>
      <c r="Z486" s="20" t="s">
        <v>197</v>
      </c>
      <c r="AA486" s="20" t="s">
        <v>1981</v>
      </c>
      <c r="AB486" s="20" t="s">
        <v>2846</v>
      </c>
      <c r="AC486" s="20" t="s">
        <v>2846</v>
      </c>
      <c r="AD486" s="20" t="s">
        <v>2846</v>
      </c>
      <c r="AE486" s="20"/>
      <c r="AF486" s="9" t="n">
        <v>0</v>
      </c>
      <c r="AG486" s="12" t="n">
        <v>0</v>
      </c>
      <c r="AH486" s="22" t="s">
        <v>161</v>
      </c>
      <c r="AI486" s="12" t="str">
        <f>IF(AH486="","",IFERROR(RIGHT("0000"&amp;AH486,4)&amp;" - "&amp;UPPER(_xlfn.XLOOKUP(RIGHT("0000"&amp;AH486,4),CODEBOOK_CAP!$C$2:$C$212,CODEBOOK_CAP!$D$2:$D$212)),"Código CAP não encontrado"))</f>
        <v>2300 - GERAL</v>
      </c>
      <c r="AJ486" s="12" t="str">
        <f>IF(AH486="","",IFERROR(_xlfn.XLOOKUP(RIGHT("0000"&amp;AH486,4),CODEBOOK_CAP!$C$2:$C$212,CODEBOOK_CAP!$E$2:$E$212),"Código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86" s="22" t="s">
        <v>77</v>
      </c>
      <c r="AL486" s="26"/>
      <c r="AM486" s="22" t="s">
        <v>77</v>
      </c>
      <c r="AN486" s="22" t="s">
        <v>77</v>
      </c>
      <c r="AO486" s="12"/>
      <c r="AP486" s="22" t="s">
        <v>77</v>
      </c>
      <c r="AQ486" s="12"/>
      <c r="AR486" s="22" t="s">
        <v>77</v>
      </c>
      <c r="AS486" s="10"/>
      <c r="AT486" s="2" t="s">
        <v>1814</v>
      </c>
      <c r="AU486" s="12" t="s">
        <v>83</v>
      </c>
      <c r="AV486" s="3" t="n">
        <v>46221</v>
      </c>
      <c r="AW486" s="21"/>
      <c r="AX486" s="1" t="s">
        <v>6956</v>
      </c>
      <c r="AY486" s="1"/>
      <c r="BA486" s="1"/>
      <c r="BB486" s="1"/>
    </row>
    <row r="487" ht="75" customHeight="1">
      <c r="A487" s="20" t="s">
        <v>2847</v>
      </c>
      <c r="B487" s="20" t="n">
        <v>2023</v>
      </c>
      <c r="C487" s="20" t="n">
        <v>309</v>
      </c>
      <c r="D487" s="20" t="s">
        <v>50</v>
      </c>
      <c r="E487" s="20" t="s">
        <v>2824</v>
      </c>
      <c r="F487" s="20" t="s">
        <v>2848</v>
      </c>
      <c r="G487" s="20" t="s">
        <v>86</v>
      </c>
      <c r="H487" s="20" t="s">
        <v>2826</v>
      </c>
      <c r="I487" s="20"/>
      <c r="J487" s="20" t="s">
        <v>2849</v>
      </c>
      <c r="K487" s="20" t="s">
        <v>2700</v>
      </c>
      <c r="L487" s="20" t="s">
        <v>722</v>
      </c>
      <c r="M487" s="20" t="s">
        <v>723</v>
      </c>
      <c r="N487" s="20" t="s">
        <v>724</v>
      </c>
      <c r="O487" s="20" t="s">
        <v>725</v>
      </c>
      <c r="P487" s="20" t="s">
        <v>61</v>
      </c>
      <c r="Q487" s="20" t="s">
        <v>62</v>
      </c>
      <c r="R487" s="20" t="s">
        <v>726</v>
      </c>
      <c r="S487" s="20" t="s">
        <v>727</v>
      </c>
      <c r="T487" s="20" t="s">
        <v>2553</v>
      </c>
      <c r="U487" s="20" t="s">
        <v>2554</v>
      </c>
      <c r="V487" s="20" t="s">
        <v>95</v>
      </c>
      <c r="W487" s="20" t="s">
        <v>96</v>
      </c>
      <c r="X487" s="20" t="s">
        <v>97</v>
      </c>
      <c r="Y487" s="20" t="s">
        <v>70</v>
      </c>
      <c r="Z487" s="20" t="s">
        <v>730</v>
      </c>
      <c r="AA487" s="20" t="s">
        <v>409</v>
      </c>
      <c r="AB487" s="20" t="s">
        <v>2850</v>
      </c>
      <c r="AC487" s="20" t="s">
        <v>2850</v>
      </c>
      <c r="AD487" s="20" t="s">
        <v>2850</v>
      </c>
      <c r="AE487" s="20"/>
      <c r="AF487" s="9" t="n">
        <v>0</v>
      </c>
      <c r="AG487" s="12" t="n">
        <v>0</v>
      </c>
      <c r="AH487" s="22" t="s">
        <v>732</v>
      </c>
      <c r="AI487" s="12" t="str">
        <f>IF(AH487="","",IFERROR(RIGHT("0000"&amp;AH487,4)&amp;" - "&amp;UPPER(_xlfn.XLOOKUP(RIGHT("0000"&amp;AH487,4),CODEBOOK_CAP!$C$2:$C$212,CODEBOOK_CAP!$D$2:$D$212)),"Código CAP não encontrado"))</f>
        <v>1211 - CRIME COMUM , VIOLÊNCIA E PREVENÇÃO</v>
      </c>
      <c r="AJ487" s="12" t="str">
        <f>IF(AH487="","",IFERROR(_xlfn.XLOOKUP(RIGHT("0000"&amp;AH487,4),CODEBOOK_CAP!$C$2:$C$212,CODEBOOK_CAP!$E$2:$E$212),"Código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487" s="22" t="s">
        <v>77</v>
      </c>
      <c r="AL487" s="26"/>
      <c r="AM487" s="22" t="s">
        <v>77</v>
      </c>
      <c r="AN487" s="22" t="s">
        <v>77</v>
      </c>
      <c r="AO487" s="12"/>
      <c r="AP487" s="22" t="s">
        <v>77</v>
      </c>
      <c r="AQ487" s="12"/>
      <c r="AR487" s="22" t="s">
        <v>77</v>
      </c>
      <c r="AS487" s="10"/>
      <c r="AT487" s="2" t="s">
        <v>1814</v>
      </c>
      <c r="AU487" s="12" t="s">
        <v>83</v>
      </c>
      <c r="AV487" s="3" t="n">
        <v>46221</v>
      </c>
      <c r="AW487" s="21"/>
      <c r="AY487" s="1"/>
      <c r="BA487" s="1"/>
      <c r="BB487" s="1"/>
    </row>
    <row r="488" ht="105" customHeight="1">
      <c r="A488" s="20" t="s">
        <v>2851</v>
      </c>
      <c r="B488" s="20" t="n">
        <v>2023</v>
      </c>
      <c r="C488" s="20" t="n">
        <v>310</v>
      </c>
      <c r="D488" s="20" t="s">
        <v>50</v>
      </c>
      <c r="E488" s="20" t="s">
        <v>2824</v>
      </c>
      <c r="F488" s="20" t="s">
        <v>2852</v>
      </c>
      <c r="G488" s="20" t="s">
        <v>86</v>
      </c>
      <c r="H488" s="20" t="s">
        <v>2826</v>
      </c>
      <c r="I488" s="20"/>
      <c r="J488" s="20" t="s">
        <v>2853</v>
      </c>
      <c r="K488" s="20" t="s">
        <v>2854</v>
      </c>
      <c r="L488" s="20" t="s">
        <v>722</v>
      </c>
      <c r="M488" s="20" t="s">
        <v>723</v>
      </c>
      <c r="N488" s="20" t="s">
        <v>724</v>
      </c>
      <c r="O488" s="20" t="s">
        <v>725</v>
      </c>
      <c r="P488" s="20" t="s">
        <v>61</v>
      </c>
      <c r="Q488" s="20" t="s">
        <v>62</v>
      </c>
      <c r="R488" s="20" t="s">
        <v>1352</v>
      </c>
      <c r="S488" s="20" t="s">
        <v>1353</v>
      </c>
      <c r="T488" s="20" t="s">
        <v>1354</v>
      </c>
      <c r="U488" s="20" t="s">
        <v>1355</v>
      </c>
      <c r="V488" s="20" t="s">
        <v>95</v>
      </c>
      <c r="W488" s="20" t="s">
        <v>96</v>
      </c>
      <c r="X488" s="20" t="s">
        <v>97</v>
      </c>
      <c r="Y488" s="20" t="s">
        <v>70</v>
      </c>
      <c r="Z488" s="20" t="s">
        <v>730</v>
      </c>
      <c r="AA488" s="20" t="s">
        <v>255</v>
      </c>
      <c r="AB488" s="20" t="s">
        <v>255</v>
      </c>
      <c r="AC488" s="20" t="s">
        <v>255</v>
      </c>
      <c r="AD488" s="20" t="s">
        <v>255</v>
      </c>
      <c r="AE488" s="20"/>
      <c r="AF488" s="9" t="n">
        <v>0</v>
      </c>
      <c r="AG488" s="12" t="n">
        <v>0</v>
      </c>
      <c r="AH488" s="22" t="s">
        <v>1190</v>
      </c>
      <c r="AI488" s="12" t="str">
        <f>IF(AH488="","",IFERROR(RIGHT("0000"&amp;AH488,4)&amp;" - "&amp;UPPER(_xlfn.XLOOKUP(RIGHT("0000"&amp;AH488,4),CODEBOOK_CAP!$C$2:$C$212,CODEBOOK_CAP!$D$2:$D$212)),"Código CAP não encontrado"))</f>
        <v>1208 - VIOLÊNCIA DOMÉSTICA E FAMILIAR</v>
      </c>
      <c r="AJ488" s="12" t="str">
        <f>IF(AH488="","",IFERROR(_xlfn.XLOOKUP(RIGHT("0000"&amp;AH488,4),CODEBOOK_CAP!$C$2:$C$212,CODEBOOK_CAP!$E$2:$E$212),"Código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K488" s="22" t="s">
        <v>77</v>
      </c>
      <c r="AL488" s="26"/>
      <c r="AM488" s="22" t="s">
        <v>77</v>
      </c>
      <c r="AN488" s="22" t="s">
        <v>77</v>
      </c>
      <c r="AO488" s="12"/>
      <c r="AP488" s="22" t="s">
        <v>77</v>
      </c>
      <c r="AQ488" s="12"/>
      <c r="AR488" s="22" t="s">
        <v>77</v>
      </c>
      <c r="AS488" s="10"/>
      <c r="AT488" s="2" t="s">
        <v>1814</v>
      </c>
      <c r="AU488" s="12" t="s">
        <v>83</v>
      </c>
      <c r="AV488" s="3" t="n">
        <v>46221</v>
      </c>
      <c r="AW488" s="21"/>
      <c r="AY488" s="1"/>
      <c r="BA488" s="1"/>
      <c r="BB488" s="1"/>
    </row>
    <row r="489" ht="90" customHeight="1">
      <c r="A489" s="20" t="s">
        <v>2855</v>
      </c>
      <c r="B489" s="20" t="n">
        <v>2023</v>
      </c>
      <c r="C489" s="20" t="n">
        <v>311</v>
      </c>
      <c r="D489" s="20" t="s">
        <v>50</v>
      </c>
      <c r="E489" s="20" t="s">
        <v>2824</v>
      </c>
      <c r="F489" s="20" t="s">
        <v>2856</v>
      </c>
      <c r="G489" s="20" t="s">
        <v>315</v>
      </c>
      <c r="H489" s="20" t="s">
        <v>2826</v>
      </c>
      <c r="I489" s="20"/>
      <c r="J489" s="20" t="s">
        <v>2857</v>
      </c>
      <c r="K489" s="20" t="s">
        <v>2858</v>
      </c>
      <c r="L489" s="20" t="s">
        <v>1406</v>
      </c>
      <c r="M489" s="20" t="s">
        <v>1407</v>
      </c>
      <c r="N489" s="20" t="s">
        <v>1408</v>
      </c>
      <c r="O489" s="20" t="s">
        <v>1409</v>
      </c>
      <c r="P489" s="20" t="s">
        <v>750</v>
      </c>
      <c r="Q489" s="20" t="s">
        <v>751</v>
      </c>
      <c r="R489" s="20" t="s">
        <v>1412</v>
      </c>
      <c r="S489" s="20" t="s">
        <v>1413</v>
      </c>
      <c r="T489" s="20" t="s">
        <v>2859</v>
      </c>
      <c r="U489" s="20" t="s">
        <v>2860</v>
      </c>
      <c r="V489" s="20" t="s">
        <v>196</v>
      </c>
      <c r="W489" s="20" t="s">
        <v>68</v>
      </c>
      <c r="X489" s="20" t="s">
        <v>69</v>
      </c>
      <c r="Y489" s="20" t="s">
        <v>70</v>
      </c>
      <c r="Z489" s="20" t="s">
        <v>284</v>
      </c>
      <c r="AA489" s="20" t="s">
        <v>160</v>
      </c>
      <c r="AB489" s="20" t="s">
        <v>2861</v>
      </c>
      <c r="AC489" s="20" t="s">
        <v>2861</v>
      </c>
      <c r="AD489" s="20" t="s">
        <v>2861</v>
      </c>
      <c r="AE489" s="20" t="s">
        <v>2862</v>
      </c>
      <c r="AF489" s="9" t="n">
        <v>0</v>
      </c>
      <c r="AG489" s="12" t="n">
        <v>0</v>
      </c>
      <c r="AH489" s="22" t="s">
        <v>941</v>
      </c>
      <c r="AI489" s="12" t="str">
        <f>IF(AH489="","",IFERROR(RIGHT("0000"&amp;AH489,4)&amp;" - "&amp;UPPER(_xlfn.XLOOKUP(RIGHT("0000"&amp;AH489,4),CODEBOOK_CAP!$C$2:$C$212,CODEBOOK_CAP!$D$2:$D$212)),"Código CAP não encontrado"))</f>
        <v>1308 - POLÍTICAS SOCIAIS PARA FAMÍLIAS E INFÂNCIA</v>
      </c>
      <c r="AJ489" s="12" t="str">
        <f>IF(AH489="","",IFERROR(_xlfn.XLOOKUP(RIGHT("0000"&amp;AH489,4),CODEBOOK_CAP!$C$2:$C$212,CODEBOOK_CAP!$E$2:$E$212),"Código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89" s="22" t="s">
        <v>77</v>
      </c>
      <c r="AL489" s="26"/>
      <c r="AM489" s="22" t="s">
        <v>77</v>
      </c>
      <c r="AN489" s="22" t="s">
        <v>77</v>
      </c>
      <c r="AO489" s="12"/>
      <c r="AP489" s="22" t="s">
        <v>79</v>
      </c>
      <c r="AQ489" s="12" t="s">
        <v>901</v>
      </c>
      <c r="AR489" s="22" t="s">
        <v>79</v>
      </c>
      <c r="AS489" s="10" t="s">
        <v>2862</v>
      </c>
      <c r="AT489" s="2" t="s">
        <v>1814</v>
      </c>
      <c r="AU489" s="12" t="s">
        <v>83</v>
      </c>
      <c r="AV489" s="3" t="n">
        <v>46221</v>
      </c>
      <c r="AW489" s="21"/>
      <c r="AY489" s="1"/>
      <c r="BA489" s="1"/>
      <c r="BB489" s="1"/>
    </row>
    <row r="490" ht="75" customHeight="1">
      <c r="A490" s="20" t="s">
        <v>2863</v>
      </c>
      <c r="B490" s="20" t="n">
        <v>2023</v>
      </c>
      <c r="C490" s="20" t="n">
        <v>312</v>
      </c>
      <c r="D490" s="20" t="s">
        <v>50</v>
      </c>
      <c r="E490" s="20" t="s">
        <v>2824</v>
      </c>
      <c r="F490" s="20" t="s">
        <v>2864</v>
      </c>
      <c r="G490" s="20" t="s">
        <v>86</v>
      </c>
      <c r="H490" s="20" t="s">
        <v>2826</v>
      </c>
      <c r="I490" s="20"/>
      <c r="J490" s="20" t="s">
        <v>2865</v>
      </c>
      <c r="K490" s="20" t="s">
        <v>299</v>
      </c>
      <c r="L490" s="20" t="s">
        <v>208</v>
      </c>
      <c r="M490" s="20" t="s">
        <v>209</v>
      </c>
      <c r="N490" s="20" t="s">
        <v>210</v>
      </c>
      <c r="O490" s="20" t="s">
        <v>211</v>
      </c>
      <c r="P490" s="20" t="s">
        <v>212</v>
      </c>
      <c r="Q490" s="20" t="s">
        <v>213</v>
      </c>
      <c r="R490" s="20" t="s">
        <v>251</v>
      </c>
      <c r="S490" s="20" t="s">
        <v>252</v>
      </c>
      <c r="T490" s="20" t="s">
        <v>300</v>
      </c>
      <c r="U490" s="20" t="s">
        <v>301</v>
      </c>
      <c r="V490" s="20" t="s">
        <v>67</v>
      </c>
      <c r="W490" s="20" t="s">
        <v>68</v>
      </c>
      <c r="X490" s="20" t="s">
        <v>69</v>
      </c>
      <c r="Y490" s="20" t="s">
        <v>70</v>
      </c>
      <c r="Z490" s="20" t="s">
        <v>177</v>
      </c>
      <c r="AA490" s="20" t="s">
        <v>125</v>
      </c>
      <c r="AB490" s="20" t="s">
        <v>2866</v>
      </c>
      <c r="AC490" s="20" t="s">
        <v>2866</v>
      </c>
      <c r="AD490" s="20" t="s">
        <v>2866</v>
      </c>
      <c r="AE490" s="20"/>
      <c r="AF490" s="9" t="n">
        <v>0</v>
      </c>
      <c r="AG490" s="12" t="n">
        <v>0</v>
      </c>
      <c r="AH490" s="22" t="s">
        <v>304</v>
      </c>
      <c r="AI490" s="12" t="str">
        <f>IF(AH490="","",IFERROR(RIGHT("0000"&amp;AH490,4)&amp;" - "&amp;UPPER(_xlfn.XLOOKUP(RIGHT("0000"&amp;AH490,4),CODEBOOK_CAP!$C$2:$C$212,CODEBOOK_CAP!$D$2:$D$212)),"Código CAP não encontrado"))</f>
        <v>1403 - REABILITAÇÃO URBANA, ECONOMIA URBANA</v>
      </c>
      <c r="AJ490" s="12" t="str">
        <f>IF(AH490="","",IFERROR(_xlfn.XLOOKUP(RIGHT("0000"&amp;AH490,4),CODEBOOK_CAP!$C$2:$C$212,CODEBOOK_CAP!$E$2:$E$212),"Código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490" s="22" t="s">
        <v>79</v>
      </c>
      <c r="AL490" s="26" t="s">
        <v>2867</v>
      </c>
      <c r="AM490" s="22" t="s">
        <v>79</v>
      </c>
      <c r="AN490" s="22" t="s">
        <v>79</v>
      </c>
      <c r="AO490" s="12" t="s">
        <v>2867</v>
      </c>
      <c r="AP490" s="22" t="s">
        <v>77</v>
      </c>
      <c r="AQ490" s="12"/>
      <c r="AR490" s="22" t="s">
        <v>77</v>
      </c>
      <c r="AS490" s="10"/>
      <c r="AT490" s="2" t="s">
        <v>1814</v>
      </c>
      <c r="AU490" s="12" t="s">
        <v>83</v>
      </c>
      <c r="AV490" s="3" t="n">
        <v>46221</v>
      </c>
      <c r="AW490" s="21"/>
      <c r="AY490" s="1"/>
      <c r="BA490" s="1"/>
      <c r="BB490" s="1"/>
    </row>
    <row r="491" ht="120" customHeight="1">
      <c r="A491" s="20" t="s">
        <v>2868</v>
      </c>
      <c r="B491" s="20" t="n">
        <v>2023</v>
      </c>
      <c r="C491" s="20" t="n">
        <v>313</v>
      </c>
      <c r="D491" s="20" t="s">
        <v>50</v>
      </c>
      <c r="E491" s="20" t="s">
        <v>2824</v>
      </c>
      <c r="F491" s="20" t="s">
        <v>1728</v>
      </c>
      <c r="G491" s="20" t="s">
        <v>86</v>
      </c>
      <c r="H491" s="20" t="s">
        <v>2826</v>
      </c>
      <c r="I491" s="20"/>
      <c r="J491" s="20" t="s">
        <v>2869</v>
      </c>
      <c r="K491" s="20" t="s">
        <v>122</v>
      </c>
      <c r="L491" s="20" t="s">
        <v>57</v>
      </c>
      <c r="M491" s="20" t="s">
        <v>58</v>
      </c>
      <c r="N491" s="20" t="s">
        <v>59</v>
      </c>
      <c r="O491" s="20" t="s">
        <v>60</v>
      </c>
      <c r="P491" s="20" t="s">
        <v>89</v>
      </c>
      <c r="Q491" s="20" t="s">
        <v>90</v>
      </c>
      <c r="R491" s="20" t="s">
        <v>91</v>
      </c>
      <c r="S491" s="20" t="s">
        <v>92</v>
      </c>
      <c r="T491" s="20" t="s">
        <v>123</v>
      </c>
      <c r="U491" s="20" t="s">
        <v>124</v>
      </c>
      <c r="V491" s="20" t="s">
        <v>95</v>
      </c>
      <c r="W491" s="20" t="s">
        <v>96</v>
      </c>
      <c r="X491" s="20" t="s">
        <v>97</v>
      </c>
      <c r="Y491" s="20" t="s">
        <v>70</v>
      </c>
      <c r="Z491" s="20" t="s">
        <v>98</v>
      </c>
      <c r="AA491" s="20" t="s">
        <v>409</v>
      </c>
      <c r="AB491" s="20" t="s">
        <v>409</v>
      </c>
      <c r="AC491" s="20" t="s">
        <v>409</v>
      </c>
      <c r="AD491" s="20" t="s">
        <v>409</v>
      </c>
      <c r="AE491" s="20"/>
      <c r="AF491" s="9" t="n">
        <v>1</v>
      </c>
      <c r="AG491" s="12" t="n">
        <v>1</v>
      </c>
      <c r="AH491" s="22" t="s">
        <v>235</v>
      </c>
      <c r="AI491" s="12" t="str">
        <f>IF(AH491="","",IFERROR(RIGHT("0000"&amp;AH491,4)&amp;" - "&amp;UPPER(_xlfn.XLOOKUP(RIGHT("0000"&amp;AH491,4),CODEBOOK_CAP!$C$2:$C$212,CODEBOOK_CAP!$D$2:$D$212)),"Código CAP não encontrado"))</f>
        <v>0322 - ESTRUTURAS, HOSPITAIS, CLÍNICAS</v>
      </c>
      <c r="AJ491" s="12" t="str">
        <f>IF(AH491="","",IFERROR(_xlfn.XLOOKUP(RIGHT("0000"&amp;AH491,4),CODEBOOK_CAP!$C$2:$C$212,CODEBOOK_CAP!$E$2:$E$212),"Código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91" s="22" t="s">
        <v>77</v>
      </c>
      <c r="AL491" s="26"/>
      <c r="AM491" s="22" t="s">
        <v>79</v>
      </c>
      <c r="AN491" s="22" t="s">
        <v>79</v>
      </c>
      <c r="AO491" s="12" t="s">
        <v>2870</v>
      </c>
      <c r="AP491" s="22" t="s">
        <v>77</v>
      </c>
      <c r="AQ491" s="12"/>
      <c r="AR491" s="22" t="s">
        <v>77</v>
      </c>
      <c r="AS491" s="10"/>
      <c r="AT491" s="2" t="s">
        <v>1814</v>
      </c>
      <c r="AU491" s="12" t="s">
        <v>83</v>
      </c>
      <c r="AV491" s="3" t="n">
        <v>46221</v>
      </c>
      <c r="AW491" s="21"/>
      <c r="AY491" s="1"/>
      <c r="BA491" s="1"/>
      <c r="BB491" s="1"/>
    </row>
    <row r="492" ht="120" customHeight="1">
      <c r="A492" s="20" t="s">
        <v>2871</v>
      </c>
      <c r="B492" s="20" t="n">
        <v>2023</v>
      </c>
      <c r="C492" s="20" t="n">
        <v>314</v>
      </c>
      <c r="D492" s="20" t="s">
        <v>50</v>
      </c>
      <c r="E492" s="20" t="s">
        <v>2824</v>
      </c>
      <c r="F492" s="20" t="s">
        <v>2872</v>
      </c>
      <c r="G492" s="20" t="s">
        <v>86</v>
      </c>
      <c r="H492" s="20" t="s">
        <v>2826</v>
      </c>
      <c r="I492" s="20"/>
      <c r="J492" s="20" t="s">
        <v>2873</v>
      </c>
      <c r="K492" s="20" t="s">
        <v>122</v>
      </c>
      <c r="L492" s="20" t="s">
        <v>57</v>
      </c>
      <c r="M492" s="20" t="s">
        <v>58</v>
      </c>
      <c r="N492" s="20" t="s">
        <v>59</v>
      </c>
      <c r="O492" s="20" t="s">
        <v>60</v>
      </c>
      <c r="P492" s="20" t="s">
        <v>89</v>
      </c>
      <c r="Q492" s="20" t="s">
        <v>90</v>
      </c>
      <c r="R492" s="20" t="s">
        <v>91</v>
      </c>
      <c r="S492" s="20" t="s">
        <v>92</v>
      </c>
      <c r="T492" s="20" t="s">
        <v>123</v>
      </c>
      <c r="U492" s="20" t="s">
        <v>124</v>
      </c>
      <c r="V492" s="20" t="s">
        <v>95</v>
      </c>
      <c r="W492" s="20" t="s">
        <v>96</v>
      </c>
      <c r="X492" s="20" t="s">
        <v>97</v>
      </c>
      <c r="Y492" s="20" t="s">
        <v>70</v>
      </c>
      <c r="Z492" s="20" t="s">
        <v>98</v>
      </c>
      <c r="AA492" s="20" t="s">
        <v>198</v>
      </c>
      <c r="AB492" s="20" t="s">
        <v>198</v>
      </c>
      <c r="AC492" s="20" t="s">
        <v>198</v>
      </c>
      <c r="AD492" s="20" t="s">
        <v>198</v>
      </c>
      <c r="AE492" s="20"/>
      <c r="AF492" s="9" t="n">
        <v>1</v>
      </c>
      <c r="AG492" s="12" t="n">
        <v>1</v>
      </c>
      <c r="AH492" s="22" t="s">
        <v>235</v>
      </c>
      <c r="AI492" s="12" t="str">
        <f>IF(AH492="","",IFERROR(RIGHT("0000"&amp;AH492,4)&amp;" - "&amp;UPPER(_xlfn.XLOOKUP(RIGHT("0000"&amp;AH492,4),CODEBOOK_CAP!$C$2:$C$212,CODEBOOK_CAP!$D$2:$D$212)),"Código CAP não encontrado"))</f>
        <v>0322 - ESTRUTURAS, HOSPITAIS, CLÍNICAS</v>
      </c>
      <c r="AJ492" s="12" t="str">
        <f>IF(AH492="","",IFERROR(_xlfn.XLOOKUP(RIGHT("0000"&amp;AH492,4),CODEBOOK_CAP!$C$2:$C$212,CODEBOOK_CAP!$E$2:$E$212),"Código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92" s="22" t="s">
        <v>77</v>
      </c>
      <c r="AL492" s="26"/>
      <c r="AM492" s="22" t="s">
        <v>79</v>
      </c>
      <c r="AN492" s="22" t="s">
        <v>79</v>
      </c>
      <c r="AO492" s="12" t="s">
        <v>2874</v>
      </c>
      <c r="AP492" s="22" t="s">
        <v>77</v>
      </c>
      <c r="AQ492" s="12"/>
      <c r="AR492" s="22" t="s">
        <v>77</v>
      </c>
      <c r="AS492" s="10"/>
      <c r="AT492" s="2" t="s">
        <v>1814</v>
      </c>
      <c r="AU492" s="12" t="s">
        <v>83</v>
      </c>
      <c r="AV492" s="3" t="n">
        <v>46221</v>
      </c>
      <c r="AW492" s="21"/>
      <c r="AY492" s="1"/>
      <c r="BA492" s="1"/>
      <c r="BB492" s="1"/>
    </row>
    <row r="493" ht="120" customHeight="1">
      <c r="A493" s="20" t="s">
        <v>2875</v>
      </c>
      <c r="B493" s="20" t="n">
        <v>2023</v>
      </c>
      <c r="C493" s="20" t="n">
        <v>315</v>
      </c>
      <c r="D493" s="20" t="s">
        <v>50</v>
      </c>
      <c r="E493" s="20" t="s">
        <v>2824</v>
      </c>
      <c r="F493" s="20" t="s">
        <v>2876</v>
      </c>
      <c r="G493" s="20" t="s">
        <v>86</v>
      </c>
      <c r="H493" s="20" t="s">
        <v>2826</v>
      </c>
      <c r="I493" s="20"/>
      <c r="J493" s="20" t="s">
        <v>2877</v>
      </c>
      <c r="K493" s="20" t="s">
        <v>122</v>
      </c>
      <c r="L493" s="20" t="s">
        <v>57</v>
      </c>
      <c r="M493" s="20" t="s">
        <v>58</v>
      </c>
      <c r="N493" s="20" t="s">
        <v>59</v>
      </c>
      <c r="O493" s="20" t="s">
        <v>60</v>
      </c>
      <c r="P493" s="20" t="s">
        <v>89</v>
      </c>
      <c r="Q493" s="20" t="s">
        <v>90</v>
      </c>
      <c r="R493" s="20" t="s">
        <v>91</v>
      </c>
      <c r="S493" s="20" t="s">
        <v>92</v>
      </c>
      <c r="T493" s="20" t="s">
        <v>123</v>
      </c>
      <c r="U493" s="20" t="s">
        <v>124</v>
      </c>
      <c r="V493" s="20" t="s">
        <v>95</v>
      </c>
      <c r="W493" s="20" t="s">
        <v>96</v>
      </c>
      <c r="X493" s="20" t="s">
        <v>97</v>
      </c>
      <c r="Y493" s="20" t="s">
        <v>70</v>
      </c>
      <c r="Z493" s="20" t="s">
        <v>98</v>
      </c>
      <c r="AA493" s="20" t="s">
        <v>125</v>
      </c>
      <c r="AB493" s="20" t="s">
        <v>125</v>
      </c>
      <c r="AC493" s="20" t="s">
        <v>125</v>
      </c>
      <c r="AD493" s="20" t="s">
        <v>125</v>
      </c>
      <c r="AE493" s="20"/>
      <c r="AF493" s="9" t="n">
        <v>1</v>
      </c>
      <c r="AG493" s="12" t="n">
        <v>1</v>
      </c>
      <c r="AH493" s="22" t="s">
        <v>235</v>
      </c>
      <c r="AI493" s="12" t="str">
        <f>IF(AH493="","",IFERROR(RIGHT("0000"&amp;AH493,4)&amp;" - "&amp;UPPER(_xlfn.XLOOKUP(RIGHT("0000"&amp;AH493,4),CODEBOOK_CAP!$C$2:$C$212,CODEBOOK_CAP!$D$2:$D$212)),"Código CAP não encontrado"))</f>
        <v>0322 - ESTRUTURAS, HOSPITAIS, CLÍNICAS</v>
      </c>
      <c r="AJ493" s="12" t="str">
        <f>IF(AH493="","",IFERROR(_xlfn.XLOOKUP(RIGHT("0000"&amp;AH493,4),CODEBOOK_CAP!$C$2:$C$212,CODEBOOK_CAP!$E$2:$E$212),"Código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493" s="22" t="s">
        <v>77</v>
      </c>
      <c r="AL493" s="26"/>
      <c r="AM493" s="22" t="s">
        <v>79</v>
      </c>
      <c r="AN493" s="22" t="s">
        <v>79</v>
      </c>
      <c r="AO493" s="12" t="s">
        <v>2878</v>
      </c>
      <c r="AP493" s="22" t="s">
        <v>77</v>
      </c>
      <c r="AQ493" s="12"/>
      <c r="AR493" s="22" t="s">
        <v>77</v>
      </c>
      <c r="AS493" s="10"/>
      <c r="AT493" s="2" t="s">
        <v>1814</v>
      </c>
      <c r="AU493" s="12" t="s">
        <v>83</v>
      </c>
      <c r="AV493" s="3" t="n">
        <v>46221</v>
      </c>
      <c r="AW493" s="21"/>
      <c r="AY493" s="1"/>
      <c r="BA493" s="1"/>
      <c r="BB493" s="1"/>
    </row>
    <row r="494" ht="90" customHeight="1">
      <c r="A494" s="20" t="s">
        <v>2879</v>
      </c>
      <c r="B494" s="20" t="n">
        <v>2023</v>
      </c>
      <c r="C494" s="20" t="n">
        <v>316</v>
      </c>
      <c r="D494" s="20" t="s">
        <v>50</v>
      </c>
      <c r="E494" s="20" t="s">
        <v>2824</v>
      </c>
      <c r="F494" s="20" t="s">
        <v>2880</v>
      </c>
      <c r="G494" s="20" t="s">
        <v>315</v>
      </c>
      <c r="H494" s="20" t="s">
        <v>2826</v>
      </c>
      <c r="I494" s="20"/>
      <c r="J494" s="20" t="s">
        <v>2881</v>
      </c>
      <c r="K494" s="20" t="s">
        <v>1551</v>
      </c>
      <c r="L494" s="20" t="s">
        <v>274</v>
      </c>
      <c r="M494" s="20" t="s">
        <v>275</v>
      </c>
      <c r="N494" s="20" t="s">
        <v>276</v>
      </c>
      <c r="O494" s="20" t="s">
        <v>277</v>
      </c>
      <c r="P494" s="20" t="s">
        <v>278</v>
      </c>
      <c r="Q494" s="20" t="s">
        <v>279</v>
      </c>
      <c r="R494" s="20" t="s">
        <v>280</v>
      </c>
      <c r="S494" s="20" t="s">
        <v>281</v>
      </c>
      <c r="T494" s="20" t="s">
        <v>1552</v>
      </c>
      <c r="U494" s="20" t="s">
        <v>1553</v>
      </c>
      <c r="V494" s="20" t="s">
        <v>95</v>
      </c>
      <c r="W494" s="20" t="s">
        <v>96</v>
      </c>
      <c r="X494" s="20" t="s">
        <v>97</v>
      </c>
      <c r="Y494" s="20" t="s">
        <v>70</v>
      </c>
      <c r="Z494" s="20" t="s">
        <v>284</v>
      </c>
      <c r="AA494" s="20" t="s">
        <v>388</v>
      </c>
      <c r="AB494" s="20" t="s">
        <v>388</v>
      </c>
      <c r="AC494" s="20" t="s">
        <v>388</v>
      </c>
      <c r="AD494" s="20" t="s">
        <v>388</v>
      </c>
      <c r="AE494" s="20"/>
      <c r="AF494" s="9" t="n">
        <v>0</v>
      </c>
      <c r="AG494" s="12" t="n">
        <v>0</v>
      </c>
      <c r="AH494" s="22" t="s">
        <v>941</v>
      </c>
      <c r="AI494" s="12" t="str">
        <f>IF(AH494="","",IFERROR(RIGHT("0000"&amp;AH494,4)&amp;" - "&amp;UPPER(_xlfn.XLOOKUP(RIGHT("0000"&amp;AH494,4),CODEBOOK_CAP!$C$2:$C$212,CODEBOOK_CAP!$D$2:$D$212)),"Código CAP não encontrado"))</f>
        <v>1308 - POLÍTICAS SOCIAIS PARA FAMÍLIAS E INFÂNCIA</v>
      </c>
      <c r="AJ494" s="12" t="str">
        <f>IF(AH494="","",IFERROR(_xlfn.XLOOKUP(RIGHT("0000"&amp;AH494,4),CODEBOOK_CAP!$C$2:$C$212,CODEBOOK_CAP!$E$2:$E$212),"Código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94" s="22" t="s">
        <v>77</v>
      </c>
      <c r="AL494" s="26"/>
      <c r="AM494" s="22" t="s">
        <v>77</v>
      </c>
      <c r="AN494" s="22" t="s">
        <v>77</v>
      </c>
      <c r="AO494" s="12"/>
      <c r="AP494" s="22" t="s">
        <v>79</v>
      </c>
      <c r="AQ494" s="12" t="s">
        <v>901</v>
      </c>
      <c r="AR494" s="22" t="s">
        <v>77</v>
      </c>
      <c r="AS494" s="10"/>
      <c r="AT494" s="2" t="s">
        <v>1814</v>
      </c>
      <c r="AU494" s="12" t="s">
        <v>83</v>
      </c>
      <c r="AV494" s="3" t="n">
        <v>46221</v>
      </c>
      <c r="AW494" s="21"/>
      <c r="AY494" s="1"/>
      <c r="BA494" s="1"/>
      <c r="BB494" s="1"/>
    </row>
    <row r="495" ht="105" customHeight="1">
      <c r="A495" s="20" t="s">
        <v>2882</v>
      </c>
      <c r="B495" s="20" t="n">
        <v>2023</v>
      </c>
      <c r="C495" s="20" t="n">
        <v>317</v>
      </c>
      <c r="D495" s="20" t="s">
        <v>50</v>
      </c>
      <c r="E495" s="20" t="s">
        <v>2824</v>
      </c>
      <c r="F495" s="20" t="s">
        <v>2883</v>
      </c>
      <c r="G495" s="20" t="s">
        <v>315</v>
      </c>
      <c r="H495" s="20" t="s">
        <v>2826</v>
      </c>
      <c r="I495" s="20"/>
      <c r="J495" s="20" t="s">
        <v>2884</v>
      </c>
      <c r="K495" s="20" t="s">
        <v>1551</v>
      </c>
      <c r="L495" s="20" t="s">
        <v>274</v>
      </c>
      <c r="M495" s="20" t="s">
        <v>275</v>
      </c>
      <c r="N495" s="20" t="s">
        <v>276</v>
      </c>
      <c r="O495" s="20" t="s">
        <v>277</v>
      </c>
      <c r="P495" s="20" t="s">
        <v>278</v>
      </c>
      <c r="Q495" s="20" t="s">
        <v>279</v>
      </c>
      <c r="R495" s="20" t="s">
        <v>280</v>
      </c>
      <c r="S495" s="20" t="s">
        <v>281</v>
      </c>
      <c r="T495" s="20" t="s">
        <v>1552</v>
      </c>
      <c r="U495" s="20" t="s">
        <v>1553</v>
      </c>
      <c r="V495" s="20" t="s">
        <v>95</v>
      </c>
      <c r="W495" s="20" t="s">
        <v>96</v>
      </c>
      <c r="X495" s="20" t="s">
        <v>97</v>
      </c>
      <c r="Y495" s="20" t="s">
        <v>70</v>
      </c>
      <c r="Z495" s="20" t="s">
        <v>284</v>
      </c>
      <c r="AA495" s="20" t="s">
        <v>198</v>
      </c>
      <c r="AB495" s="20" t="s">
        <v>198</v>
      </c>
      <c r="AC495" s="20" t="s">
        <v>198</v>
      </c>
      <c r="AD495" s="20" t="s">
        <v>198</v>
      </c>
      <c r="AE495" s="20"/>
      <c r="AF495" s="9" t="n">
        <v>0</v>
      </c>
      <c r="AG495" s="12" t="n">
        <v>0</v>
      </c>
      <c r="AH495" s="22" t="s">
        <v>941</v>
      </c>
      <c r="AI495" s="12" t="str">
        <f>IF(AH495="","",IFERROR(RIGHT("0000"&amp;AH495,4)&amp;" - "&amp;UPPER(_xlfn.XLOOKUP(RIGHT("0000"&amp;AH495,4),CODEBOOK_CAP!$C$2:$C$212,CODEBOOK_CAP!$D$2:$D$212)),"Código CAP não encontrado"))</f>
        <v>1308 - POLÍTICAS SOCIAIS PARA FAMÍLIAS E INFÂNCIA</v>
      </c>
      <c r="AJ495" s="12" t="str">
        <f>IF(AH495="","",IFERROR(_xlfn.XLOOKUP(RIGHT("0000"&amp;AH495,4),CODEBOOK_CAP!$C$2:$C$212,CODEBOOK_CAP!$E$2:$E$212),"Código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95" s="22" t="s">
        <v>77</v>
      </c>
      <c r="AL495" s="26"/>
      <c r="AM495" s="22" t="s">
        <v>77</v>
      </c>
      <c r="AN495" s="22" t="s">
        <v>77</v>
      </c>
      <c r="AO495" s="12"/>
      <c r="AP495" s="22" t="s">
        <v>79</v>
      </c>
      <c r="AQ495" s="12" t="s">
        <v>622</v>
      </c>
      <c r="AR495" s="22" t="s">
        <v>77</v>
      </c>
      <c r="AS495" s="10"/>
      <c r="AT495" s="2" t="s">
        <v>1814</v>
      </c>
      <c r="AU495" s="12" t="s">
        <v>83</v>
      </c>
      <c r="AV495" s="3" t="n">
        <v>46221</v>
      </c>
      <c r="AW495" s="21"/>
      <c r="AY495" s="1"/>
      <c r="BA495" s="1"/>
      <c r="BB495" s="1"/>
    </row>
    <row r="496" ht="120" customHeight="1">
      <c r="A496" s="20" t="s">
        <v>2885</v>
      </c>
      <c r="B496" s="20" t="n">
        <v>2023</v>
      </c>
      <c r="C496" s="20" t="n">
        <v>318</v>
      </c>
      <c r="D496" s="20" t="s">
        <v>50</v>
      </c>
      <c r="E496" s="20" t="s">
        <v>2824</v>
      </c>
      <c r="F496" s="20" t="s">
        <v>2886</v>
      </c>
      <c r="G496" s="20" t="s">
        <v>315</v>
      </c>
      <c r="H496" s="20" t="s">
        <v>2826</v>
      </c>
      <c r="I496" s="20"/>
      <c r="J496" s="20" t="s">
        <v>2887</v>
      </c>
      <c r="K496" s="20" t="s">
        <v>1551</v>
      </c>
      <c r="L496" s="20" t="s">
        <v>274</v>
      </c>
      <c r="M496" s="20" t="s">
        <v>275</v>
      </c>
      <c r="N496" s="20" t="s">
        <v>276</v>
      </c>
      <c r="O496" s="20" t="s">
        <v>277</v>
      </c>
      <c r="P496" s="20" t="s">
        <v>278</v>
      </c>
      <c r="Q496" s="20" t="s">
        <v>279</v>
      </c>
      <c r="R496" s="20" t="s">
        <v>280</v>
      </c>
      <c r="S496" s="20" t="s">
        <v>281</v>
      </c>
      <c r="T496" s="20" t="s">
        <v>1552</v>
      </c>
      <c r="U496" s="20" t="s">
        <v>1553</v>
      </c>
      <c r="V496" s="20" t="s">
        <v>95</v>
      </c>
      <c r="W496" s="20" t="s">
        <v>96</v>
      </c>
      <c r="X496" s="20" t="s">
        <v>97</v>
      </c>
      <c r="Y496" s="20" t="s">
        <v>70</v>
      </c>
      <c r="Z496" s="20" t="s">
        <v>284</v>
      </c>
      <c r="AA496" s="20" t="s">
        <v>198</v>
      </c>
      <c r="AB496" s="20" t="s">
        <v>198</v>
      </c>
      <c r="AC496" s="20" t="s">
        <v>198</v>
      </c>
      <c r="AD496" s="20" t="s">
        <v>198</v>
      </c>
      <c r="AE496" s="20"/>
      <c r="AF496" s="9" t="n">
        <v>0</v>
      </c>
      <c r="AG496" s="12" t="n">
        <v>0</v>
      </c>
      <c r="AH496" s="22" t="s">
        <v>2043</v>
      </c>
      <c r="AI496" s="12" t="str">
        <f>IF(AH496="","",IFERROR(RIGHT("0000"&amp;AH496,4)&amp;" - "&amp;UPPER(_xlfn.XLOOKUP(RIGHT("0000"&amp;AH496,4),CODEBOOK_CAP!$C$2:$C$212,CODEBOOK_CAP!$D$2:$D$212)),"Código CAP não encontrado"))</f>
        <v>1303 - POLÍTICAS SOCIAIS DE ASSISTÊNCIA PARA IDOSOS</v>
      </c>
      <c r="AJ496" s="12" t="str">
        <f>IF(AH496="","",IFERROR(_xlfn.XLOOKUP(RIGHT("0000"&amp;AH496,4),CODEBOOK_CAP!$C$2:$C$212,CODEBOOK_CAP!$E$2:$E$212),"Código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496" s="22" t="s">
        <v>77</v>
      </c>
      <c r="AL496" s="26"/>
      <c r="AM496" s="22" t="s">
        <v>77</v>
      </c>
      <c r="AN496" s="22" t="s">
        <v>77</v>
      </c>
      <c r="AO496" s="12"/>
      <c r="AP496" s="22" t="s">
        <v>79</v>
      </c>
      <c r="AQ496" s="12" t="s">
        <v>2044</v>
      </c>
      <c r="AR496" s="22" t="s">
        <v>77</v>
      </c>
      <c r="AS496" s="10"/>
      <c r="AT496" s="2" t="s">
        <v>1814</v>
      </c>
      <c r="AU496" s="12" t="s">
        <v>83</v>
      </c>
      <c r="AV496" s="3" t="n">
        <v>46221</v>
      </c>
      <c r="AW496" s="21"/>
      <c r="AY496" s="1"/>
      <c r="BA496" s="1"/>
      <c r="BB496" s="1"/>
    </row>
    <row r="497" ht="120" customHeight="1">
      <c r="A497" s="20" t="s">
        <v>2888</v>
      </c>
      <c r="B497" s="20" t="n">
        <v>2023</v>
      </c>
      <c r="C497" s="20" t="n">
        <v>319</v>
      </c>
      <c r="D497" s="20" t="s">
        <v>50</v>
      </c>
      <c r="E497" s="20" t="s">
        <v>2824</v>
      </c>
      <c r="F497" s="20" t="s">
        <v>2889</v>
      </c>
      <c r="G497" s="20" t="s">
        <v>86</v>
      </c>
      <c r="H497" s="20" t="s">
        <v>2826</v>
      </c>
      <c r="I497" s="20"/>
      <c r="J497" s="20" t="s">
        <v>2890</v>
      </c>
      <c r="K497" s="20" t="s">
        <v>441</v>
      </c>
      <c r="L497" s="20" t="s">
        <v>57</v>
      </c>
      <c r="M497" s="20" t="s">
        <v>58</v>
      </c>
      <c r="N497" s="20" t="s">
        <v>59</v>
      </c>
      <c r="O497" s="20" t="s">
        <v>60</v>
      </c>
      <c r="P497" s="20" t="s">
        <v>89</v>
      </c>
      <c r="Q497" s="20" t="s">
        <v>90</v>
      </c>
      <c r="R497" s="20" t="s">
        <v>91</v>
      </c>
      <c r="S497" s="20" t="s">
        <v>92</v>
      </c>
      <c r="T497" s="20" t="s">
        <v>341</v>
      </c>
      <c r="U497" s="20" t="s">
        <v>342</v>
      </c>
      <c r="V497" s="20" t="s">
        <v>95</v>
      </c>
      <c r="W497" s="20" t="s">
        <v>96</v>
      </c>
      <c r="X497" s="20" t="s">
        <v>97</v>
      </c>
      <c r="Y497" s="20" t="s">
        <v>70</v>
      </c>
      <c r="Z497" s="20" t="s">
        <v>98</v>
      </c>
      <c r="AA497" s="20" t="s">
        <v>2891</v>
      </c>
      <c r="AB497" s="20" t="s">
        <v>2891</v>
      </c>
      <c r="AC497" s="20" t="s">
        <v>2891</v>
      </c>
      <c r="AD497" s="20" t="s">
        <v>2891</v>
      </c>
      <c r="AE497" s="20"/>
      <c r="AF497" s="9" t="n">
        <v>1</v>
      </c>
      <c r="AG497" s="12" t="n">
        <v>1</v>
      </c>
      <c r="AH497" s="22" t="s">
        <v>800</v>
      </c>
      <c r="AI497" s="12" t="str">
        <f>IF(AH497="","",IFERROR(RIGHT("0000"&amp;AH497,4)&amp;" - "&amp;UPPER(_xlfn.XLOOKUP(RIGHT("0000"&amp;AH497,4),CODEBOOK_CAP!$C$2:$C$212,CODEBOOK_CAP!$D$2:$D$212)),"Código CAP não encontrado"))</f>
        <v>0334 - TRATAMENTOS, CIRUGIAS, ATENDIMENTOS, DOENÇAS E REABILITAÇÃO</v>
      </c>
      <c r="AJ497" s="12" t="str">
        <f>IF(AH497="","",IFERROR(_xlfn.XLOOKUP(RIGHT("0000"&amp;AH497,4),CODEBOOK_CAP!$C$2:$C$212,CODEBOOK_CAP!$E$2:$E$212),"Código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497" s="22" t="s">
        <v>77</v>
      </c>
      <c r="AL497" s="26"/>
      <c r="AM497" s="22" t="s">
        <v>77</v>
      </c>
      <c r="AN497" s="22" t="s">
        <v>77</v>
      </c>
      <c r="AO497" s="12"/>
      <c r="AP497" s="22" t="s">
        <v>77</v>
      </c>
      <c r="AQ497" s="12"/>
      <c r="AR497" s="22" t="s">
        <v>77</v>
      </c>
      <c r="AS497" s="10"/>
      <c r="AT497" s="2" t="s">
        <v>1814</v>
      </c>
      <c r="AU497" s="12" t="s">
        <v>83</v>
      </c>
      <c r="AV497" s="3" t="n">
        <v>46221</v>
      </c>
      <c r="AW497" s="21"/>
      <c r="AY497" s="1"/>
      <c r="BA497" s="1"/>
      <c r="BB497" s="1"/>
    </row>
    <row r="498" ht="105" customHeight="1">
      <c r="A498" s="20" t="s">
        <v>2892</v>
      </c>
      <c r="B498" s="20" t="n">
        <v>2023</v>
      </c>
      <c r="C498" s="20" t="n">
        <v>320</v>
      </c>
      <c r="D498" s="20" t="s">
        <v>50</v>
      </c>
      <c r="E498" s="20" t="s">
        <v>2824</v>
      </c>
      <c r="F498" s="20" t="s">
        <v>2893</v>
      </c>
      <c r="G498" s="20" t="s">
        <v>86</v>
      </c>
      <c r="H498" s="20" t="s">
        <v>2826</v>
      </c>
      <c r="I498" s="20"/>
      <c r="J498" s="20" t="s">
        <v>2894</v>
      </c>
      <c r="K498" s="20" t="s">
        <v>682</v>
      </c>
      <c r="L498" s="20" t="s">
        <v>186</v>
      </c>
      <c r="M498" s="20" t="s">
        <v>187</v>
      </c>
      <c r="N498" s="20" t="s">
        <v>188</v>
      </c>
      <c r="O498" s="20" t="s">
        <v>189</v>
      </c>
      <c r="P498" s="20" t="s">
        <v>338</v>
      </c>
      <c r="Q498" s="20" t="s">
        <v>683</v>
      </c>
      <c r="R498" s="20" t="s">
        <v>192</v>
      </c>
      <c r="S498" s="20" t="s">
        <v>193</v>
      </c>
      <c r="T498" s="20" t="s">
        <v>684</v>
      </c>
      <c r="U498" s="20" t="s">
        <v>685</v>
      </c>
      <c r="V498" s="20" t="s">
        <v>95</v>
      </c>
      <c r="W498" s="20" t="s">
        <v>96</v>
      </c>
      <c r="X498" s="20" t="s">
        <v>97</v>
      </c>
      <c r="Y498" s="20" t="s">
        <v>70</v>
      </c>
      <c r="Z498" s="20" t="s">
        <v>197</v>
      </c>
      <c r="AA498" s="20" t="s">
        <v>198</v>
      </c>
      <c r="AB498" s="20" t="s">
        <v>2895</v>
      </c>
      <c r="AC498" s="20" t="s">
        <v>2895</v>
      </c>
      <c r="AD498" s="20" t="s">
        <v>2895</v>
      </c>
      <c r="AE498" s="20"/>
      <c r="AF498" s="9" t="n">
        <v>0</v>
      </c>
      <c r="AG498" s="12" t="n">
        <v>0</v>
      </c>
      <c r="AH498" s="22" t="s">
        <v>161</v>
      </c>
      <c r="AI498" s="12" t="str">
        <f>IF(AH498="","",IFERROR(RIGHT("0000"&amp;AH498,4)&amp;" - "&amp;UPPER(_xlfn.XLOOKUP(RIGHT("0000"&amp;AH498,4),CODEBOOK_CAP!$C$2:$C$212,CODEBOOK_CAP!$D$2:$D$212)),"Código CAP não encontrado"))</f>
        <v>2300 - GERAL</v>
      </c>
      <c r="AJ498" s="12" t="str">
        <f>IF(AH498="","",IFERROR(_xlfn.XLOOKUP(RIGHT("0000"&amp;AH498,4),CODEBOOK_CAP!$C$2:$C$212,CODEBOOK_CAP!$E$2:$E$212),"Código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498" s="22" t="s">
        <v>77</v>
      </c>
      <c r="AL498" s="26"/>
      <c r="AM498" s="22" t="s">
        <v>77</v>
      </c>
      <c r="AN498" s="22" t="s">
        <v>77</v>
      </c>
      <c r="AO498" s="12"/>
      <c r="AP498" s="22" t="s">
        <v>77</v>
      </c>
      <c r="AQ498" s="12"/>
      <c r="AR498" s="22" t="s">
        <v>77</v>
      </c>
      <c r="AS498" s="10"/>
      <c r="AT498" s="2" t="s">
        <v>1814</v>
      </c>
      <c r="AU498" s="12" t="s">
        <v>83</v>
      </c>
      <c r="AV498" s="3" t="n">
        <v>46221</v>
      </c>
      <c r="AW498" s="21"/>
      <c r="AX498" s="1" t="s">
        <v>6956</v>
      </c>
      <c r="AY498" s="1"/>
      <c r="BA498" s="1"/>
      <c r="BB498" s="1"/>
    </row>
    <row r="499" ht="120" customHeight="1">
      <c r="A499" s="20" t="s">
        <v>2896</v>
      </c>
      <c r="B499" s="20" t="n">
        <v>2023</v>
      </c>
      <c r="C499" s="20" t="n">
        <v>450</v>
      </c>
      <c r="D499" s="20" t="s">
        <v>50</v>
      </c>
      <c r="E499" s="20" t="s">
        <v>2897</v>
      </c>
      <c r="F499" s="20" t="s">
        <v>2898</v>
      </c>
      <c r="G499" s="20" t="s">
        <v>183</v>
      </c>
      <c r="H499" s="20" t="s">
        <v>2899</v>
      </c>
      <c r="I499" s="20"/>
      <c r="J499" s="20" t="s">
        <v>2900</v>
      </c>
      <c r="K499" s="20" t="s">
        <v>2901</v>
      </c>
      <c r="L499" s="20" t="s">
        <v>274</v>
      </c>
      <c r="M499" s="20" t="s">
        <v>275</v>
      </c>
      <c r="N499" s="20" t="s">
        <v>276</v>
      </c>
      <c r="O499" s="20" t="s">
        <v>277</v>
      </c>
      <c r="P499" s="20" t="s">
        <v>278</v>
      </c>
      <c r="Q499" s="20" t="s">
        <v>279</v>
      </c>
      <c r="R499" s="20" t="s">
        <v>1118</v>
      </c>
      <c r="S499" s="20" t="s">
        <v>1119</v>
      </c>
      <c r="T499" s="20" t="s">
        <v>2902</v>
      </c>
      <c r="U499" s="20" t="s">
        <v>2903</v>
      </c>
      <c r="V499" s="20" t="s">
        <v>95</v>
      </c>
      <c r="W499" s="20" t="s">
        <v>96</v>
      </c>
      <c r="X499" s="20" t="s">
        <v>97</v>
      </c>
      <c r="Y499" s="20" t="s">
        <v>70</v>
      </c>
      <c r="Z499" s="20" t="s">
        <v>284</v>
      </c>
      <c r="AA499" s="20" t="s">
        <v>160</v>
      </c>
      <c r="AB499" s="20" t="s">
        <v>77</v>
      </c>
      <c r="AC499" s="20" t="s">
        <v>77</v>
      </c>
      <c r="AD499" s="20" t="s">
        <v>77</v>
      </c>
      <c r="AE499" s="20"/>
      <c r="AF499" s="9" t="n">
        <v>0</v>
      </c>
      <c r="AG499" s="12" t="n">
        <v>0</v>
      </c>
      <c r="AH499" s="22" t="s">
        <v>941</v>
      </c>
      <c r="AI499" s="12" t="str">
        <f>IF(AH499="","",IFERROR(RIGHT("0000"&amp;AH499,4)&amp;" - "&amp;UPPER(_xlfn.XLOOKUP(RIGHT("0000"&amp;AH499,4),CODEBOOK_CAP!$C$2:$C$212,CODEBOOK_CAP!$D$2:$D$212)),"Código CAP não encontrado"))</f>
        <v>1308 - POLÍTICAS SOCIAIS PARA FAMÍLIAS E INFÂNCIA</v>
      </c>
      <c r="AJ499" s="12" t="str">
        <f>IF(AH499="","",IFERROR(_xlfn.XLOOKUP(RIGHT("0000"&amp;AH499,4),CODEBOOK_CAP!$C$2:$C$212,CODEBOOK_CAP!$E$2:$E$212),"Código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499" s="22" t="s">
        <v>77</v>
      </c>
      <c r="AL499" s="26"/>
      <c r="AM499" s="22" t="s">
        <v>77</v>
      </c>
      <c r="AN499" s="22" t="s">
        <v>77</v>
      </c>
      <c r="AO499" s="12"/>
      <c r="AP499" s="22" t="s">
        <v>79</v>
      </c>
      <c r="AQ499" s="12" t="s">
        <v>901</v>
      </c>
      <c r="AR499" s="22" t="s">
        <v>77</v>
      </c>
      <c r="AS499" s="10"/>
      <c r="AT499" s="2" t="s">
        <v>1814</v>
      </c>
      <c r="AU499" s="12" t="s">
        <v>83</v>
      </c>
      <c r="AV499" s="3" t="n">
        <v>46221</v>
      </c>
      <c r="AW499" s="21"/>
      <c r="AY499" s="1"/>
      <c r="BA499" s="1"/>
      <c r="BB499" s="1"/>
    </row>
    <row r="500" ht="120" customHeight="1">
      <c r="A500" s="20" t="s">
        <v>2904</v>
      </c>
      <c r="B500" s="20" t="n">
        <v>2023</v>
      </c>
      <c r="C500" s="20" t="n">
        <v>451</v>
      </c>
      <c r="D500" s="20" t="s">
        <v>50</v>
      </c>
      <c r="E500" s="20" t="s">
        <v>2897</v>
      </c>
      <c r="F500" s="20" t="s">
        <v>2905</v>
      </c>
      <c r="G500" s="20" t="s">
        <v>86</v>
      </c>
      <c r="H500" s="20" t="s">
        <v>2899</v>
      </c>
      <c r="I500" s="20"/>
      <c r="J500" s="20" t="s">
        <v>2906</v>
      </c>
      <c r="K500" s="20" t="s">
        <v>2901</v>
      </c>
      <c r="L500" s="20" t="s">
        <v>274</v>
      </c>
      <c r="M500" s="20" t="s">
        <v>275</v>
      </c>
      <c r="N500" s="20" t="s">
        <v>276</v>
      </c>
      <c r="O500" s="20" t="s">
        <v>277</v>
      </c>
      <c r="P500" s="20" t="s">
        <v>278</v>
      </c>
      <c r="Q500" s="20" t="s">
        <v>279</v>
      </c>
      <c r="R500" s="20" t="s">
        <v>1118</v>
      </c>
      <c r="S500" s="20" t="s">
        <v>1119</v>
      </c>
      <c r="T500" s="20" t="s">
        <v>2902</v>
      </c>
      <c r="U500" s="20" t="s">
        <v>2903</v>
      </c>
      <c r="V500" s="20" t="s">
        <v>95</v>
      </c>
      <c r="W500" s="20" t="s">
        <v>96</v>
      </c>
      <c r="X500" s="20" t="s">
        <v>97</v>
      </c>
      <c r="Y500" s="20" t="s">
        <v>70</v>
      </c>
      <c r="Z500" s="20" t="s">
        <v>284</v>
      </c>
      <c r="AA500" s="20" t="s">
        <v>388</v>
      </c>
      <c r="AB500" s="20" t="s">
        <v>388</v>
      </c>
      <c r="AC500" s="20" t="s">
        <v>388</v>
      </c>
      <c r="AD500" s="20" t="s">
        <v>388</v>
      </c>
      <c r="AE500" s="20"/>
      <c r="AF500" s="9" t="n">
        <v>0</v>
      </c>
      <c r="AG500" s="12" t="n">
        <v>0</v>
      </c>
      <c r="AH500" s="22" t="s">
        <v>941</v>
      </c>
      <c r="AI500" s="12" t="str">
        <f>IF(AH500="","",IFERROR(RIGHT("0000"&amp;AH500,4)&amp;" - "&amp;UPPER(_xlfn.XLOOKUP(RIGHT("0000"&amp;AH500,4),CODEBOOK_CAP!$C$2:$C$212,CODEBOOK_CAP!$D$2:$D$212)),"Código CAP não encontrado"))</f>
        <v>1308 - POLÍTICAS SOCIAIS PARA FAMÍLIAS E INFÂNCIA</v>
      </c>
      <c r="AJ500" s="12" t="str">
        <f>IF(AH500="","",IFERROR(_xlfn.XLOOKUP(RIGHT("0000"&amp;AH500,4),CODEBOOK_CAP!$C$2:$C$212,CODEBOOK_CAP!$E$2:$E$212),"Código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00" s="22" t="s">
        <v>77</v>
      </c>
      <c r="AL500" s="26"/>
      <c r="AM500" s="22" t="s">
        <v>77</v>
      </c>
      <c r="AN500" s="22" t="s">
        <v>77</v>
      </c>
      <c r="AO500" s="12"/>
      <c r="AP500" s="22" t="s">
        <v>79</v>
      </c>
      <c r="AQ500" s="12" t="s">
        <v>901</v>
      </c>
      <c r="AR500" s="22" t="s">
        <v>77</v>
      </c>
      <c r="AS500" s="10"/>
      <c r="AT500" s="2" t="s">
        <v>1814</v>
      </c>
      <c r="AU500" s="12" t="s">
        <v>83</v>
      </c>
      <c r="AV500" s="3" t="n">
        <v>46221</v>
      </c>
      <c r="AW500" s="21"/>
      <c r="AY500" s="1"/>
      <c r="BA500" s="1"/>
      <c r="BB500" s="1"/>
    </row>
    <row r="501" ht="210" customHeight="1">
      <c r="A501" s="20" t="s">
        <v>2907</v>
      </c>
      <c r="B501" s="20" t="n">
        <v>2023</v>
      </c>
      <c r="C501" s="20" t="n">
        <v>452</v>
      </c>
      <c r="D501" s="20" t="s">
        <v>50</v>
      </c>
      <c r="E501" s="20" t="s">
        <v>2897</v>
      </c>
      <c r="F501" s="20" t="s">
        <v>2908</v>
      </c>
      <c r="G501" s="20" t="s">
        <v>86</v>
      </c>
      <c r="H501" s="20" t="s">
        <v>2899</v>
      </c>
      <c r="I501" s="20"/>
      <c r="J501" s="20" t="s">
        <v>2909</v>
      </c>
      <c r="K501" s="20" t="s">
        <v>1117</v>
      </c>
      <c r="L501" s="20" t="s">
        <v>274</v>
      </c>
      <c r="M501" s="20" t="s">
        <v>275</v>
      </c>
      <c r="N501" s="20" t="s">
        <v>276</v>
      </c>
      <c r="O501" s="20" t="s">
        <v>277</v>
      </c>
      <c r="P501" s="20" t="s">
        <v>278</v>
      </c>
      <c r="Q501" s="20" t="s">
        <v>279</v>
      </c>
      <c r="R501" s="20" t="s">
        <v>1118</v>
      </c>
      <c r="S501" s="20" t="s">
        <v>1119</v>
      </c>
      <c r="T501" s="20" t="s">
        <v>1120</v>
      </c>
      <c r="U501" s="20" t="s">
        <v>1121</v>
      </c>
      <c r="V501" s="20" t="s">
        <v>95</v>
      </c>
      <c r="W501" s="20" t="s">
        <v>96</v>
      </c>
      <c r="X501" s="20" t="s">
        <v>97</v>
      </c>
      <c r="Y501" s="20" t="s">
        <v>70</v>
      </c>
      <c r="Z501" s="20" t="s">
        <v>284</v>
      </c>
      <c r="AA501" s="20" t="s">
        <v>388</v>
      </c>
      <c r="AB501" s="20" t="s">
        <v>388</v>
      </c>
      <c r="AC501" s="20" t="s">
        <v>388</v>
      </c>
      <c r="AD501" s="20" t="s">
        <v>388</v>
      </c>
      <c r="AE501" s="20"/>
      <c r="AF501" s="9" t="n">
        <v>0</v>
      </c>
      <c r="AG501" s="12" t="n">
        <v>0</v>
      </c>
      <c r="AH501" s="22" t="s">
        <v>607</v>
      </c>
      <c r="AI501" s="12" t="str">
        <f>IF(AH501="","",IFERROR(RIGHT("0000"&amp;AH501,4)&amp;" - "&amp;UPPER(_xlfn.XLOOKUP(RIGHT("0000"&amp;AH501,4),CODEBOOK_CAP!$C$2:$C$212,CODEBOOK_CAP!$D$2:$D$212)),"Código CAP não encontrado"))</f>
        <v>1300 - GERAL</v>
      </c>
      <c r="AJ501" s="12" t="str">
        <f>IF(AH501="","",IFERROR(_xlfn.XLOOKUP(RIGHT("0000"&amp;AH501,4),CODEBOOK_CAP!$C$2:$C$212,CODEBOOK_CAP!$E$2:$E$212),"Código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01" s="22" t="s">
        <v>77</v>
      </c>
      <c r="AL501" s="26"/>
      <c r="AM501" s="22" t="s">
        <v>77</v>
      </c>
      <c r="AN501" s="22" t="s">
        <v>77</v>
      </c>
      <c r="AO501" s="12"/>
      <c r="AP501" s="22" t="s">
        <v>77</v>
      </c>
      <c r="AQ501" s="12"/>
      <c r="AR501" s="22" t="s">
        <v>77</v>
      </c>
      <c r="AS501" s="10"/>
      <c r="AT501" s="2" t="s">
        <v>1814</v>
      </c>
      <c r="AU501" s="12" t="s">
        <v>83</v>
      </c>
      <c r="AV501" s="3" t="n">
        <v>46221</v>
      </c>
      <c r="AW501" s="21"/>
      <c r="AY501" s="1"/>
      <c r="BA501" s="1"/>
      <c r="BB501" s="1"/>
    </row>
    <row r="502" ht="120" customHeight="1">
      <c r="A502" s="20" t="s">
        <v>2910</v>
      </c>
      <c r="B502" s="20" t="n">
        <v>2023</v>
      </c>
      <c r="C502" s="20" t="n">
        <v>453</v>
      </c>
      <c r="D502" s="20" t="s">
        <v>50</v>
      </c>
      <c r="E502" s="20" t="s">
        <v>2897</v>
      </c>
      <c r="F502" s="20" t="s">
        <v>2911</v>
      </c>
      <c r="G502" s="20" t="s">
        <v>86</v>
      </c>
      <c r="H502" s="20" t="s">
        <v>2899</v>
      </c>
      <c r="I502" s="20"/>
      <c r="J502" s="20" t="s">
        <v>2912</v>
      </c>
      <c r="K502" s="20" t="s">
        <v>2901</v>
      </c>
      <c r="L502" s="20" t="s">
        <v>274</v>
      </c>
      <c r="M502" s="20" t="s">
        <v>275</v>
      </c>
      <c r="N502" s="20" t="s">
        <v>276</v>
      </c>
      <c r="O502" s="20" t="s">
        <v>277</v>
      </c>
      <c r="P502" s="20" t="s">
        <v>278</v>
      </c>
      <c r="Q502" s="20" t="s">
        <v>279</v>
      </c>
      <c r="R502" s="20" t="s">
        <v>1118</v>
      </c>
      <c r="S502" s="20" t="s">
        <v>1119</v>
      </c>
      <c r="T502" s="20" t="s">
        <v>2902</v>
      </c>
      <c r="U502" s="20" t="s">
        <v>2903</v>
      </c>
      <c r="V502" s="20" t="s">
        <v>95</v>
      </c>
      <c r="W502" s="20" t="s">
        <v>96</v>
      </c>
      <c r="X502" s="20" t="s">
        <v>97</v>
      </c>
      <c r="Y502" s="20" t="s">
        <v>70</v>
      </c>
      <c r="Z502" s="20" t="s">
        <v>284</v>
      </c>
      <c r="AA502" s="20" t="s">
        <v>388</v>
      </c>
      <c r="AB502" s="20" t="s">
        <v>388</v>
      </c>
      <c r="AC502" s="20" t="s">
        <v>388</v>
      </c>
      <c r="AD502" s="20" t="s">
        <v>388</v>
      </c>
      <c r="AE502" s="20"/>
      <c r="AF502" s="9" t="n">
        <v>0</v>
      </c>
      <c r="AG502" s="12" t="n">
        <v>0</v>
      </c>
      <c r="AH502" s="22" t="s">
        <v>821</v>
      </c>
      <c r="AI502" s="12" t="str">
        <f>IF(AH502="","",IFERROR(RIGHT("0000"&amp;AH502,4)&amp;" - "&amp;UPPER(_xlfn.XLOOKUP(RIGHT("0000"&amp;AH502,4),CODEBOOK_CAP!$C$2:$C$212,CODEBOOK_CAP!$D$2:$D$212)),"Código CAP não encontrado"))</f>
        <v>1304 - POLÍTICAS SOCIAIS DE ASSISTÊNCIA PARA PESSOAS COM DEFICIÊNCIAS</v>
      </c>
      <c r="AJ502" s="12" t="str">
        <f>IF(AH502="","",IFERROR(_xlfn.XLOOKUP(RIGHT("0000"&amp;AH502,4),CODEBOOK_CAP!$C$2:$C$212,CODEBOOK_CAP!$E$2:$E$212),"Código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502" s="22" t="s">
        <v>77</v>
      </c>
      <c r="AL502" s="26"/>
      <c r="AM502" s="22" t="s">
        <v>77</v>
      </c>
      <c r="AN502" s="22" t="s">
        <v>77</v>
      </c>
      <c r="AO502" s="12"/>
      <c r="AP502" s="22" t="s">
        <v>79</v>
      </c>
      <c r="AQ502" s="12" t="s">
        <v>824</v>
      </c>
      <c r="AR502" s="22" t="s">
        <v>77</v>
      </c>
      <c r="AS502" s="10"/>
      <c r="AT502" s="2" t="s">
        <v>1814</v>
      </c>
      <c r="AU502" s="12" t="s">
        <v>83</v>
      </c>
      <c r="AV502" s="3" t="n">
        <v>46221</v>
      </c>
      <c r="AW502" s="21"/>
      <c r="AY502" s="1"/>
      <c r="BA502" s="1"/>
      <c r="BB502" s="1"/>
    </row>
    <row r="503" ht="195" customHeight="1">
      <c r="A503" s="20" t="s">
        <v>2913</v>
      </c>
      <c r="B503" s="20" t="n">
        <v>2023</v>
      </c>
      <c r="C503" s="20" t="n">
        <v>454</v>
      </c>
      <c r="D503" s="20" t="s">
        <v>50</v>
      </c>
      <c r="E503" s="20" t="s">
        <v>2897</v>
      </c>
      <c r="F503" s="20" t="s">
        <v>2914</v>
      </c>
      <c r="G503" s="20" t="s">
        <v>315</v>
      </c>
      <c r="H503" s="20" t="s">
        <v>2899</v>
      </c>
      <c r="I503" s="20"/>
      <c r="J503" s="20" t="s">
        <v>2915</v>
      </c>
      <c r="K503" s="20" t="s">
        <v>2916</v>
      </c>
      <c r="L503" s="20" t="s">
        <v>1376</v>
      </c>
      <c r="M503" s="20" t="s">
        <v>1377</v>
      </c>
      <c r="N503" s="20" t="s">
        <v>660</v>
      </c>
      <c r="O503" s="20" t="s">
        <v>661</v>
      </c>
      <c r="P503" s="20" t="s">
        <v>662</v>
      </c>
      <c r="Q503" s="20" t="s">
        <v>663</v>
      </c>
      <c r="R503" s="20" t="s">
        <v>1378</v>
      </c>
      <c r="S503" s="20" t="s">
        <v>1379</v>
      </c>
      <c r="T503" s="20" t="s">
        <v>2917</v>
      </c>
      <c r="U503" s="20" t="s">
        <v>2918</v>
      </c>
      <c r="V503" s="20" t="s">
        <v>95</v>
      </c>
      <c r="W503" s="20" t="s">
        <v>96</v>
      </c>
      <c r="X503" s="20" t="s">
        <v>97</v>
      </c>
      <c r="Y503" s="20" t="s">
        <v>70</v>
      </c>
      <c r="Z503" s="20" t="s">
        <v>1382</v>
      </c>
      <c r="AA503" s="20" t="s">
        <v>255</v>
      </c>
      <c r="AB503" s="20" t="s">
        <v>2919</v>
      </c>
      <c r="AC503" s="20" t="s">
        <v>2919</v>
      </c>
      <c r="AD503" s="20" t="s">
        <v>2919</v>
      </c>
      <c r="AE503" s="20"/>
      <c r="AF503" s="9" t="n">
        <v>0</v>
      </c>
      <c r="AG503" s="12" t="n">
        <v>0</v>
      </c>
      <c r="AH503" s="22" t="s">
        <v>1317</v>
      </c>
      <c r="AI503" s="12" t="str">
        <f>IF(AH503="","",IFERROR(RIGHT("0000"&amp;AH503,4)&amp;" - "&amp;UPPER(_xlfn.XLOOKUP(RIGHT("0000"&amp;AH503,4),CODEBOOK_CAP!$C$2:$C$212,CODEBOOK_CAP!$D$2:$D$212)),"Código CAP não encontrado"))</f>
        <v>0700 - GERAL</v>
      </c>
      <c r="AJ503" s="12" t="str">
        <f>IF(AH503="","",IFERROR(_xlfn.XLOOKUP(RIGHT("0000"&amp;AH503,4),CODEBOOK_CAP!$C$2:$C$212,CODEBOOK_CAP!$E$2:$E$212),"Código CAP não encontrado"))</f>
        <v>Quando há combinação de diversos assuntos relacionados as políticas de MEIO-AMBIENTE. Saneamento básico geral (quando aparecer o termo solto, sem definição específica)Tópicos relacionados as políticas gerais de meio ambiente e proteção ambiental gerais, controle ambiental, gestão ambiental, engenharia ambiental, estatísticas gerais. Desastres, catástrofes, Mariana, Brumadinho, ruptura de barragens de mineração. Multas e sanções envolvendo meio ambiente. Nao confundir com questões de agricultura, legislações ambientais gerais, responsabilidade ambiental (código 4) e Nao confundir com questões relacionadas a território e recursos naturais (código 21)</v>
      </c>
      <c r="AK503" s="22" t="s">
        <v>77</v>
      </c>
      <c r="AL503" s="26"/>
      <c r="AM503" s="22" t="s">
        <v>77</v>
      </c>
      <c r="AN503" s="22" t="s">
        <v>77</v>
      </c>
      <c r="AO503" s="12"/>
      <c r="AP503" s="22" t="s">
        <v>77</v>
      </c>
      <c r="AQ503" s="12"/>
      <c r="AR503" s="22" t="s">
        <v>77</v>
      </c>
      <c r="AS503" s="10"/>
      <c r="AT503" s="2" t="s">
        <v>1814</v>
      </c>
      <c r="AU503" s="12" t="s">
        <v>83</v>
      </c>
      <c r="AV503" s="3" t="n">
        <v>46221</v>
      </c>
      <c r="AW503" s="21"/>
      <c r="AY503" s="1"/>
      <c r="BA503" s="1"/>
      <c r="BB503" s="1"/>
    </row>
    <row r="504" ht="165" customHeight="1">
      <c r="A504" s="20" t="s">
        <v>2920</v>
      </c>
      <c r="B504" s="20" t="n">
        <v>2023</v>
      </c>
      <c r="C504" s="20" t="n">
        <v>455</v>
      </c>
      <c r="D504" s="20" t="s">
        <v>50</v>
      </c>
      <c r="E504" s="20" t="s">
        <v>2897</v>
      </c>
      <c r="F504" s="20" t="s">
        <v>2921</v>
      </c>
      <c r="G504" s="20" t="s">
        <v>86</v>
      </c>
      <c r="H504" s="20" t="s">
        <v>2899</v>
      </c>
      <c r="I504" s="20"/>
      <c r="J504" s="20" t="s">
        <v>2922</v>
      </c>
      <c r="K504" s="20" t="s">
        <v>2137</v>
      </c>
      <c r="L504" s="20" t="s">
        <v>1254</v>
      </c>
      <c r="M504" s="20" t="s">
        <v>1255</v>
      </c>
      <c r="N504" s="20" t="s">
        <v>660</v>
      </c>
      <c r="O504" s="20" t="s">
        <v>661</v>
      </c>
      <c r="P504" s="20" t="s">
        <v>2138</v>
      </c>
      <c r="Q504" s="20" t="s">
        <v>2139</v>
      </c>
      <c r="R504" s="20" t="s">
        <v>2140</v>
      </c>
      <c r="S504" s="20" t="s">
        <v>2141</v>
      </c>
      <c r="T504" s="20" t="s">
        <v>2142</v>
      </c>
      <c r="U504" s="20" t="s">
        <v>2143</v>
      </c>
      <c r="V504" s="20" t="s">
        <v>95</v>
      </c>
      <c r="W504" s="20" t="s">
        <v>96</v>
      </c>
      <c r="X504" s="20" t="s">
        <v>97</v>
      </c>
      <c r="Y504" s="20" t="s">
        <v>70</v>
      </c>
      <c r="Z504" s="20" t="s">
        <v>1260</v>
      </c>
      <c r="AA504" s="20" t="s">
        <v>1104</v>
      </c>
      <c r="AB504" s="20" t="s">
        <v>1104</v>
      </c>
      <c r="AC504" s="20" t="s">
        <v>1104</v>
      </c>
      <c r="AD504" s="20" t="s">
        <v>1104</v>
      </c>
      <c r="AE504" s="20"/>
      <c r="AF504" s="9" t="n">
        <v>0</v>
      </c>
      <c r="AG504" s="12" t="n">
        <v>0</v>
      </c>
      <c r="AH504" s="22" t="s">
        <v>1269</v>
      </c>
      <c r="AI504" s="12" t="str">
        <f>IF(AH504="","",IFERROR(RIGHT("0000"&amp;AH504,4)&amp;" - "&amp;UPPER(_xlfn.XLOOKUP(RIGHT("0000"&amp;AH504,4),CODEBOOK_CAP!$C$2:$C$212,CODEBOOK_CAP!$D$2:$D$212)),"Código CAP não encontrado"))</f>
        <v>0405 - CONTROLE DE DOENÇAS ANIMAIS</v>
      </c>
      <c r="AJ504" s="12" t="str">
        <f>IF(AH504="","",IFERROR(_xlfn.XLOOKUP(RIGHT("0000"&amp;AH504,4),CODEBOOK_CAP!$C$2:$C$212,CODEBOOK_CAP!$E$2:$E$212),"Código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504" s="22" t="n">
        <v>1</v>
      </c>
      <c r="AL504" s="26" t="s">
        <v>10100</v>
      </c>
      <c r="AM504" s="22" t="n">
        <v>1</v>
      </c>
      <c r="AN504" s="22" t="n">
        <v>1</v>
      </c>
      <c r="AO504" s="12" t="s">
        <v>10101</v>
      </c>
      <c r="AP504" s="22" t="s">
        <v>79</v>
      </c>
      <c r="AQ504" s="12" t="s">
        <v>1270</v>
      </c>
      <c r="AR504" s="22" t="s">
        <v>77</v>
      </c>
      <c r="AS504" s="10"/>
      <c r="AT504" s="2" t="s">
        <v>1814</v>
      </c>
      <c r="AU504" s="12" t="s">
        <v>83</v>
      </c>
      <c r="AV504" s="3" t="n">
        <v>46221</v>
      </c>
      <c r="AW504" s="21"/>
      <c r="AY504" s="1"/>
      <c r="BA504" s="1"/>
      <c r="BB504" s="1"/>
    </row>
    <row r="505" ht="165" customHeight="1">
      <c r="A505" s="20" t="s">
        <v>2923</v>
      </c>
      <c r="B505" s="20" t="n">
        <v>2023</v>
      </c>
      <c r="C505" s="20" t="n">
        <v>456</v>
      </c>
      <c r="D505" s="20" t="s">
        <v>50</v>
      </c>
      <c r="E505" s="20" t="s">
        <v>2897</v>
      </c>
      <c r="F505" s="20" t="s">
        <v>2924</v>
      </c>
      <c r="G505" s="20" t="s">
        <v>86</v>
      </c>
      <c r="H505" s="20" t="s">
        <v>2899</v>
      </c>
      <c r="I505" s="20"/>
      <c r="J505" s="20" t="s">
        <v>2925</v>
      </c>
      <c r="K505" s="20" t="s">
        <v>2137</v>
      </c>
      <c r="L505" s="20" t="s">
        <v>1254</v>
      </c>
      <c r="M505" s="20" t="s">
        <v>1255</v>
      </c>
      <c r="N505" s="20" t="s">
        <v>660</v>
      </c>
      <c r="O505" s="20" t="s">
        <v>661</v>
      </c>
      <c r="P505" s="20" t="s">
        <v>2138</v>
      </c>
      <c r="Q505" s="20" t="s">
        <v>2139</v>
      </c>
      <c r="R505" s="20" t="s">
        <v>2140</v>
      </c>
      <c r="S505" s="20" t="s">
        <v>2141</v>
      </c>
      <c r="T505" s="20" t="s">
        <v>2142</v>
      </c>
      <c r="U505" s="20" t="s">
        <v>2143</v>
      </c>
      <c r="V505" s="20" t="s">
        <v>95</v>
      </c>
      <c r="W505" s="20" t="s">
        <v>96</v>
      </c>
      <c r="X505" s="20" t="s">
        <v>97</v>
      </c>
      <c r="Y505" s="20" t="s">
        <v>70</v>
      </c>
      <c r="Z505" s="20" t="s">
        <v>1260</v>
      </c>
      <c r="AA505" s="20" t="s">
        <v>409</v>
      </c>
      <c r="AB505" s="20" t="s">
        <v>409</v>
      </c>
      <c r="AC505" s="20" t="s">
        <v>409</v>
      </c>
      <c r="AD505" s="20" t="s">
        <v>409</v>
      </c>
      <c r="AE505" s="20"/>
      <c r="AF505" s="9" t="n">
        <v>0</v>
      </c>
      <c r="AG505" s="12" t="n">
        <v>0</v>
      </c>
      <c r="AH505" s="22" t="s">
        <v>1269</v>
      </c>
      <c r="AI505" s="12" t="str">
        <f>IF(AH505="","",IFERROR(RIGHT("0000"&amp;AH505,4)&amp;" - "&amp;UPPER(_xlfn.XLOOKUP(RIGHT("0000"&amp;AH505,4),CODEBOOK_CAP!$C$2:$C$212,CODEBOOK_CAP!$D$2:$D$212)),"Código CAP não encontrado"))</f>
        <v>0405 - CONTROLE DE DOENÇAS ANIMAIS</v>
      </c>
      <c r="AJ505" s="12" t="str">
        <f>IF(AH505="","",IFERROR(_xlfn.XLOOKUP(RIGHT("0000"&amp;AH505,4),CODEBOOK_CAP!$C$2:$C$212,CODEBOOK_CAP!$E$2:$E$212),"Código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505" s="22" t="s">
        <v>77</v>
      </c>
      <c r="AL505" s="26"/>
      <c r="AM505" s="22" t="s">
        <v>77</v>
      </c>
      <c r="AN505" s="22" t="s">
        <v>77</v>
      </c>
      <c r="AO505" s="12"/>
      <c r="AP505" s="22" t="s">
        <v>77</v>
      </c>
      <c r="AQ505" s="12"/>
      <c r="AR505" s="22" t="s">
        <v>77</v>
      </c>
      <c r="AS505" s="10"/>
      <c r="AT505" s="2" t="s">
        <v>1814</v>
      </c>
      <c r="AU505" s="12" t="s">
        <v>83</v>
      </c>
      <c r="AV505" s="3" t="n">
        <v>46221</v>
      </c>
      <c r="AW505" s="21"/>
      <c r="AY505" s="1"/>
      <c r="BA505" s="1"/>
      <c r="BB505" s="1"/>
    </row>
    <row r="506" ht="105" customHeight="1">
      <c r="A506" s="20" t="s">
        <v>2926</v>
      </c>
      <c r="B506" s="20" t="n">
        <v>2023</v>
      </c>
      <c r="C506" s="20" t="n">
        <v>457</v>
      </c>
      <c r="D506" s="20" t="s">
        <v>50</v>
      </c>
      <c r="E506" s="20" t="s">
        <v>2897</v>
      </c>
      <c r="F506" s="20" t="s">
        <v>2927</v>
      </c>
      <c r="G506" s="20" t="s">
        <v>86</v>
      </c>
      <c r="H506" s="20" t="s">
        <v>2899</v>
      </c>
      <c r="I506" s="20"/>
      <c r="J506" s="20" t="s">
        <v>2928</v>
      </c>
      <c r="K506" s="20" t="s">
        <v>682</v>
      </c>
      <c r="L506" s="20" t="s">
        <v>186</v>
      </c>
      <c r="M506" s="20" t="s">
        <v>187</v>
      </c>
      <c r="N506" s="20" t="s">
        <v>188</v>
      </c>
      <c r="O506" s="20" t="s">
        <v>189</v>
      </c>
      <c r="P506" s="20" t="s">
        <v>338</v>
      </c>
      <c r="Q506" s="20" t="s">
        <v>683</v>
      </c>
      <c r="R506" s="20" t="s">
        <v>192</v>
      </c>
      <c r="S506" s="20" t="s">
        <v>193</v>
      </c>
      <c r="T506" s="20" t="s">
        <v>684</v>
      </c>
      <c r="U506" s="20" t="s">
        <v>685</v>
      </c>
      <c r="V506" s="20" t="s">
        <v>95</v>
      </c>
      <c r="W506" s="20" t="s">
        <v>96</v>
      </c>
      <c r="X506" s="20" t="s">
        <v>97</v>
      </c>
      <c r="Y506" s="20" t="s">
        <v>70</v>
      </c>
      <c r="Z506" s="20" t="s">
        <v>197</v>
      </c>
      <c r="AA506" s="20" t="s">
        <v>395</v>
      </c>
      <c r="AB506" s="20" t="s">
        <v>2767</v>
      </c>
      <c r="AC506" s="20" t="s">
        <v>2768</v>
      </c>
      <c r="AD506" s="20" t="s">
        <v>2767</v>
      </c>
      <c r="AE506" s="20"/>
      <c r="AF506" s="9" t="n">
        <v>0</v>
      </c>
      <c r="AG506" s="12" t="n">
        <v>0</v>
      </c>
      <c r="AH506" s="22" t="s">
        <v>161</v>
      </c>
      <c r="AI506" s="12" t="str">
        <f>IF(AH506="","",IFERROR(RIGHT("0000"&amp;AH506,4)&amp;" - "&amp;UPPER(_xlfn.XLOOKUP(RIGHT("0000"&amp;AH506,4),CODEBOOK_CAP!$C$2:$C$212,CODEBOOK_CAP!$D$2:$D$212)),"Código CAP não encontrado"))</f>
        <v>2300 - GERAL</v>
      </c>
      <c r="AJ506" s="12" t="str">
        <f>IF(AH506="","",IFERROR(_xlfn.XLOOKUP(RIGHT("0000"&amp;AH506,4),CODEBOOK_CAP!$C$2:$C$212,CODEBOOK_CAP!$E$2:$E$212),"Código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06" s="22" t="s">
        <v>77</v>
      </c>
      <c r="AL506" s="26"/>
      <c r="AM506" s="22" t="s">
        <v>77</v>
      </c>
      <c r="AN506" s="22" t="s">
        <v>77</v>
      </c>
      <c r="AO506" s="12"/>
      <c r="AP506" s="22" t="s">
        <v>77</v>
      </c>
      <c r="AQ506" s="12"/>
      <c r="AR506" s="22" t="s">
        <v>77</v>
      </c>
      <c r="AS506" s="10"/>
      <c r="AT506" s="2" t="s">
        <v>1814</v>
      </c>
      <c r="AU506" s="12" t="s">
        <v>83</v>
      </c>
      <c r="AV506" s="3" t="n">
        <v>46221</v>
      </c>
      <c r="AW506" s="21"/>
      <c r="AX506" s="1" t="s">
        <v>6956</v>
      </c>
      <c r="AY506" s="1"/>
      <c r="BA506" s="1"/>
      <c r="BB506" s="1"/>
    </row>
    <row r="507" ht="120" customHeight="1">
      <c r="A507" s="20" t="s">
        <v>2929</v>
      </c>
      <c r="B507" s="20" t="n">
        <v>2023</v>
      </c>
      <c r="C507" s="20" t="n">
        <v>458</v>
      </c>
      <c r="D507" s="20" t="s">
        <v>50</v>
      </c>
      <c r="E507" s="20" t="s">
        <v>2897</v>
      </c>
      <c r="F507" s="20" t="s">
        <v>2930</v>
      </c>
      <c r="G507" s="20" t="s">
        <v>86</v>
      </c>
      <c r="H507" s="20" t="s">
        <v>2899</v>
      </c>
      <c r="I507" s="20"/>
      <c r="J507" s="20" t="s">
        <v>2931</v>
      </c>
      <c r="K507" s="20" t="s">
        <v>122</v>
      </c>
      <c r="L507" s="20" t="s">
        <v>57</v>
      </c>
      <c r="M507" s="20" t="s">
        <v>58</v>
      </c>
      <c r="N507" s="20" t="s">
        <v>59</v>
      </c>
      <c r="O507" s="20" t="s">
        <v>60</v>
      </c>
      <c r="P507" s="20" t="s">
        <v>89</v>
      </c>
      <c r="Q507" s="20" t="s">
        <v>90</v>
      </c>
      <c r="R507" s="20" t="s">
        <v>91</v>
      </c>
      <c r="S507" s="20" t="s">
        <v>92</v>
      </c>
      <c r="T507" s="20" t="s">
        <v>123</v>
      </c>
      <c r="U507" s="20" t="s">
        <v>124</v>
      </c>
      <c r="V507" s="20" t="s">
        <v>95</v>
      </c>
      <c r="W507" s="20" t="s">
        <v>96</v>
      </c>
      <c r="X507" s="20" t="s">
        <v>97</v>
      </c>
      <c r="Y507" s="20" t="s">
        <v>70</v>
      </c>
      <c r="Z507" s="20" t="s">
        <v>98</v>
      </c>
      <c r="AA507" s="20" t="s">
        <v>2932</v>
      </c>
      <c r="AB507" s="20" t="s">
        <v>2932</v>
      </c>
      <c r="AC507" s="20" t="s">
        <v>2932</v>
      </c>
      <c r="AD507" s="20" t="s">
        <v>2932</v>
      </c>
      <c r="AE507" s="20"/>
      <c r="AF507" s="9" t="n">
        <v>1</v>
      </c>
      <c r="AG507" s="12" t="n">
        <v>1</v>
      </c>
      <c r="AH507" s="22" t="s">
        <v>235</v>
      </c>
      <c r="AI507" s="12" t="str">
        <f>IF(AH507="","",IFERROR(RIGHT("0000"&amp;AH507,4)&amp;" - "&amp;UPPER(_xlfn.XLOOKUP(RIGHT("0000"&amp;AH507,4),CODEBOOK_CAP!$C$2:$C$212,CODEBOOK_CAP!$D$2:$D$212)),"Código CAP não encontrado"))</f>
        <v>0322 - ESTRUTURAS, HOSPITAIS, CLÍNICAS</v>
      </c>
      <c r="AJ507" s="12" t="str">
        <f>IF(AH507="","",IFERROR(_xlfn.XLOOKUP(RIGHT("0000"&amp;AH507,4),CODEBOOK_CAP!$C$2:$C$212,CODEBOOK_CAP!$E$2:$E$212),"Código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7" s="22" t="s">
        <v>77</v>
      </c>
      <c r="AL507" s="26"/>
      <c r="AM507" s="22" t="s">
        <v>79</v>
      </c>
      <c r="AN507" s="22" t="s">
        <v>79</v>
      </c>
      <c r="AO507" s="12" t="s">
        <v>840</v>
      </c>
      <c r="AP507" s="22" t="s">
        <v>77</v>
      </c>
      <c r="AQ507" s="12"/>
      <c r="AR507" s="22" t="s">
        <v>77</v>
      </c>
      <c r="AS507" s="10"/>
      <c r="AT507" s="2" t="s">
        <v>1814</v>
      </c>
      <c r="AU507" s="12" t="s">
        <v>83</v>
      </c>
      <c r="AV507" s="3" t="n">
        <v>46221</v>
      </c>
      <c r="AW507" s="21"/>
      <c r="AY507" s="1"/>
      <c r="BA507" s="1"/>
      <c r="BB507" s="1"/>
    </row>
    <row r="508" ht="120" customHeight="1">
      <c r="A508" s="20" t="s">
        <v>2933</v>
      </c>
      <c r="B508" s="20" t="n">
        <v>2023</v>
      </c>
      <c r="C508" s="20" t="n">
        <v>459</v>
      </c>
      <c r="D508" s="20" t="s">
        <v>50</v>
      </c>
      <c r="E508" s="20" t="s">
        <v>2897</v>
      </c>
      <c r="F508" s="20" t="s">
        <v>2934</v>
      </c>
      <c r="G508" s="20" t="s">
        <v>86</v>
      </c>
      <c r="H508" s="20" t="s">
        <v>2899</v>
      </c>
      <c r="I508" s="20"/>
      <c r="J508" s="20" t="s">
        <v>2935</v>
      </c>
      <c r="K508" s="20" t="s">
        <v>122</v>
      </c>
      <c r="L508" s="20" t="s">
        <v>57</v>
      </c>
      <c r="M508" s="20" t="s">
        <v>58</v>
      </c>
      <c r="N508" s="20" t="s">
        <v>59</v>
      </c>
      <c r="O508" s="20" t="s">
        <v>60</v>
      </c>
      <c r="P508" s="20" t="s">
        <v>89</v>
      </c>
      <c r="Q508" s="20" t="s">
        <v>90</v>
      </c>
      <c r="R508" s="20" t="s">
        <v>91</v>
      </c>
      <c r="S508" s="20" t="s">
        <v>92</v>
      </c>
      <c r="T508" s="20" t="s">
        <v>123</v>
      </c>
      <c r="U508" s="20" t="s">
        <v>124</v>
      </c>
      <c r="V508" s="20" t="s">
        <v>95</v>
      </c>
      <c r="W508" s="20" t="s">
        <v>96</v>
      </c>
      <c r="X508" s="20" t="s">
        <v>97</v>
      </c>
      <c r="Y508" s="20" t="s">
        <v>70</v>
      </c>
      <c r="Z508" s="20" t="s">
        <v>98</v>
      </c>
      <c r="AA508" s="20" t="s">
        <v>2936</v>
      </c>
      <c r="AB508" s="20" t="s">
        <v>2936</v>
      </c>
      <c r="AC508" s="20" t="s">
        <v>2936</v>
      </c>
      <c r="AD508" s="20" t="s">
        <v>2936</v>
      </c>
      <c r="AE508" s="20"/>
      <c r="AF508" s="9" t="n">
        <v>1</v>
      </c>
      <c r="AG508" s="12" t="n">
        <v>1</v>
      </c>
      <c r="AH508" s="22" t="s">
        <v>235</v>
      </c>
      <c r="AI508" s="12" t="str">
        <f>IF(AH508="","",IFERROR(RIGHT("0000"&amp;AH508,4)&amp;" - "&amp;UPPER(_xlfn.XLOOKUP(RIGHT("0000"&amp;AH508,4),CODEBOOK_CAP!$C$2:$C$212,CODEBOOK_CAP!$D$2:$D$212)),"Código CAP não encontrado"))</f>
        <v>0322 - ESTRUTURAS, HOSPITAIS, CLÍNICAS</v>
      </c>
      <c r="AJ508" s="12" t="str">
        <f>IF(AH508="","",IFERROR(_xlfn.XLOOKUP(RIGHT("0000"&amp;AH508,4),CODEBOOK_CAP!$C$2:$C$212,CODEBOOK_CAP!$E$2:$E$212),"Código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8" s="22" t="s">
        <v>77</v>
      </c>
      <c r="AL508" s="26"/>
      <c r="AM508" s="22" t="s">
        <v>79</v>
      </c>
      <c r="AN508" s="22" t="s">
        <v>79</v>
      </c>
      <c r="AO508" s="12" t="s">
        <v>2937</v>
      </c>
      <c r="AP508" s="22" t="s">
        <v>77</v>
      </c>
      <c r="AQ508" s="12"/>
      <c r="AR508" s="22" t="s">
        <v>77</v>
      </c>
      <c r="AS508" s="10"/>
      <c r="AT508" s="2" t="s">
        <v>1814</v>
      </c>
      <c r="AU508" s="12" t="s">
        <v>83</v>
      </c>
      <c r="AV508" s="3" t="n">
        <v>46221</v>
      </c>
      <c r="AW508" s="21"/>
      <c r="AY508" s="1"/>
      <c r="BA508" s="1"/>
      <c r="BB508" s="1"/>
    </row>
    <row r="509" ht="120" customHeight="1">
      <c r="A509" s="20" t="s">
        <v>2938</v>
      </c>
      <c r="B509" s="20" t="n">
        <v>2023</v>
      </c>
      <c r="C509" s="20" t="n">
        <v>460</v>
      </c>
      <c r="D509" s="20" t="s">
        <v>50</v>
      </c>
      <c r="E509" s="20" t="s">
        <v>2897</v>
      </c>
      <c r="F509" s="20" t="s">
        <v>2939</v>
      </c>
      <c r="G509" s="20" t="s">
        <v>86</v>
      </c>
      <c r="H509" s="20" t="s">
        <v>2899</v>
      </c>
      <c r="I509" s="20"/>
      <c r="J509" s="20" t="s">
        <v>2940</v>
      </c>
      <c r="K509" s="20" t="s">
        <v>122</v>
      </c>
      <c r="L509" s="20" t="s">
        <v>57</v>
      </c>
      <c r="M509" s="20" t="s">
        <v>58</v>
      </c>
      <c r="N509" s="20" t="s">
        <v>59</v>
      </c>
      <c r="O509" s="20" t="s">
        <v>60</v>
      </c>
      <c r="P509" s="20" t="s">
        <v>89</v>
      </c>
      <c r="Q509" s="20" t="s">
        <v>90</v>
      </c>
      <c r="R509" s="20" t="s">
        <v>91</v>
      </c>
      <c r="S509" s="20" t="s">
        <v>92</v>
      </c>
      <c r="T509" s="20" t="s">
        <v>123</v>
      </c>
      <c r="U509" s="20" t="s">
        <v>124</v>
      </c>
      <c r="V509" s="20" t="s">
        <v>95</v>
      </c>
      <c r="W509" s="20" t="s">
        <v>96</v>
      </c>
      <c r="X509" s="20" t="s">
        <v>97</v>
      </c>
      <c r="Y509" s="20" t="s">
        <v>70</v>
      </c>
      <c r="Z509" s="20" t="s">
        <v>98</v>
      </c>
      <c r="AA509" s="20" t="s">
        <v>2936</v>
      </c>
      <c r="AB509" s="20" t="s">
        <v>2936</v>
      </c>
      <c r="AC509" s="20" t="s">
        <v>2936</v>
      </c>
      <c r="AD509" s="20" t="s">
        <v>2936</v>
      </c>
      <c r="AE509" s="20"/>
      <c r="AF509" s="9" t="n">
        <v>1</v>
      </c>
      <c r="AG509" s="12" t="n">
        <v>1</v>
      </c>
      <c r="AH509" s="22" t="s">
        <v>235</v>
      </c>
      <c r="AI509" s="12" t="str">
        <f>IF(AH509="","",IFERROR(RIGHT("0000"&amp;AH509,4)&amp;" - "&amp;UPPER(_xlfn.XLOOKUP(RIGHT("0000"&amp;AH509,4),CODEBOOK_CAP!$C$2:$C$212,CODEBOOK_CAP!$D$2:$D$212)),"Código CAP não encontrado"))</f>
        <v>0322 - ESTRUTURAS, HOSPITAIS, CLÍNICAS</v>
      </c>
      <c r="AJ509" s="12" t="str">
        <f>IF(AH509="","",IFERROR(_xlfn.XLOOKUP(RIGHT("0000"&amp;AH509,4),CODEBOOK_CAP!$C$2:$C$212,CODEBOOK_CAP!$E$2:$E$212),"Código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09" s="22" t="s">
        <v>77</v>
      </c>
      <c r="AL509" s="26"/>
      <c r="AM509" s="22" t="s">
        <v>79</v>
      </c>
      <c r="AN509" s="22" t="s">
        <v>79</v>
      </c>
      <c r="AO509" s="12" t="s">
        <v>1854</v>
      </c>
      <c r="AP509" s="22" t="s">
        <v>77</v>
      </c>
      <c r="AQ509" s="12"/>
      <c r="AR509" s="22" t="s">
        <v>77</v>
      </c>
      <c r="AS509" s="10"/>
      <c r="AT509" s="2" t="s">
        <v>1814</v>
      </c>
      <c r="AU509" s="12" t="s">
        <v>83</v>
      </c>
      <c r="AV509" s="3" t="n">
        <v>46221</v>
      </c>
      <c r="AW509" s="21"/>
      <c r="AY509" s="1"/>
      <c r="BA509" s="1"/>
      <c r="BB509" s="1"/>
    </row>
    <row r="510" ht="120" customHeight="1">
      <c r="A510" s="20" t="s">
        <v>2941</v>
      </c>
      <c r="B510" s="20" t="n">
        <v>2023</v>
      </c>
      <c r="C510" s="20" t="n">
        <v>461</v>
      </c>
      <c r="D510" s="20" t="s">
        <v>50</v>
      </c>
      <c r="E510" s="20" t="s">
        <v>2897</v>
      </c>
      <c r="F510" s="20" t="s">
        <v>2942</v>
      </c>
      <c r="G510" s="20" t="s">
        <v>86</v>
      </c>
      <c r="H510" s="20" t="s">
        <v>2899</v>
      </c>
      <c r="I510" s="20"/>
      <c r="J510" s="20" t="s">
        <v>2943</v>
      </c>
      <c r="K510" s="20" t="s">
        <v>122</v>
      </c>
      <c r="L510" s="20" t="s">
        <v>57</v>
      </c>
      <c r="M510" s="20" t="s">
        <v>58</v>
      </c>
      <c r="N510" s="20" t="s">
        <v>59</v>
      </c>
      <c r="O510" s="20" t="s">
        <v>60</v>
      </c>
      <c r="P510" s="20" t="s">
        <v>89</v>
      </c>
      <c r="Q510" s="20" t="s">
        <v>90</v>
      </c>
      <c r="R510" s="20" t="s">
        <v>91</v>
      </c>
      <c r="S510" s="20" t="s">
        <v>92</v>
      </c>
      <c r="T510" s="20" t="s">
        <v>123</v>
      </c>
      <c r="U510" s="20" t="s">
        <v>124</v>
      </c>
      <c r="V510" s="20" t="s">
        <v>95</v>
      </c>
      <c r="W510" s="20" t="s">
        <v>96</v>
      </c>
      <c r="X510" s="20" t="s">
        <v>97</v>
      </c>
      <c r="Y510" s="20" t="s">
        <v>70</v>
      </c>
      <c r="Z510" s="20" t="s">
        <v>98</v>
      </c>
      <c r="AA510" s="20" t="s">
        <v>2936</v>
      </c>
      <c r="AB510" s="20" t="s">
        <v>2936</v>
      </c>
      <c r="AC510" s="20" t="s">
        <v>2936</v>
      </c>
      <c r="AD510" s="20" t="s">
        <v>2936</v>
      </c>
      <c r="AE510" s="20"/>
      <c r="AF510" s="9" t="n">
        <v>1</v>
      </c>
      <c r="AG510" s="12" t="n">
        <v>1</v>
      </c>
      <c r="AH510" s="22" t="s">
        <v>235</v>
      </c>
      <c r="AI510" s="12" t="str">
        <f>IF(AH510="","",IFERROR(RIGHT("0000"&amp;AH510,4)&amp;" - "&amp;UPPER(_xlfn.XLOOKUP(RIGHT("0000"&amp;AH510,4),CODEBOOK_CAP!$C$2:$C$212,CODEBOOK_CAP!$D$2:$D$212)),"Código CAP não encontrado"))</f>
        <v>0322 - ESTRUTURAS, HOSPITAIS, CLÍNICAS</v>
      </c>
      <c r="AJ510" s="12" t="str">
        <f>IF(AH510="","",IFERROR(_xlfn.XLOOKUP(RIGHT("0000"&amp;AH510,4),CODEBOOK_CAP!$C$2:$C$212,CODEBOOK_CAP!$E$2:$E$212),"Código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10" s="22" t="s">
        <v>77</v>
      </c>
      <c r="AL510" s="26"/>
      <c r="AM510" s="22" t="s">
        <v>79</v>
      </c>
      <c r="AN510" s="22" t="s">
        <v>79</v>
      </c>
      <c r="AO510" s="12" t="s">
        <v>2944</v>
      </c>
      <c r="AP510" s="22" t="s">
        <v>77</v>
      </c>
      <c r="AQ510" s="12"/>
      <c r="AR510" s="22" t="s">
        <v>77</v>
      </c>
      <c r="AS510" s="10"/>
      <c r="AT510" s="2" t="s">
        <v>1814</v>
      </c>
      <c r="AU510" s="12" t="s">
        <v>83</v>
      </c>
      <c r="AV510" s="3" t="n">
        <v>46221</v>
      </c>
      <c r="AW510" s="21"/>
      <c r="AY510" s="1"/>
      <c r="BA510" s="1"/>
      <c r="BB510" s="1"/>
    </row>
    <row r="511" ht="150" customHeight="1">
      <c r="A511" s="20" t="s">
        <v>2945</v>
      </c>
      <c r="B511" s="20" t="n">
        <v>2023</v>
      </c>
      <c r="C511" s="20" t="n">
        <v>462</v>
      </c>
      <c r="D511" s="20" t="s">
        <v>50</v>
      </c>
      <c r="E511" s="20" t="s">
        <v>2897</v>
      </c>
      <c r="F511" s="20" t="s">
        <v>2946</v>
      </c>
      <c r="G511" s="20" t="s">
        <v>86</v>
      </c>
      <c r="H511" s="20" t="s">
        <v>2899</v>
      </c>
      <c r="I511" s="20"/>
      <c r="J511" s="20" t="s">
        <v>2947</v>
      </c>
      <c r="K511" s="20" t="s">
        <v>122</v>
      </c>
      <c r="L511" s="20" t="s">
        <v>57</v>
      </c>
      <c r="M511" s="20" t="s">
        <v>58</v>
      </c>
      <c r="N511" s="20" t="s">
        <v>59</v>
      </c>
      <c r="O511" s="20" t="s">
        <v>60</v>
      </c>
      <c r="P511" s="20" t="s">
        <v>89</v>
      </c>
      <c r="Q511" s="20" t="s">
        <v>90</v>
      </c>
      <c r="R511" s="20" t="s">
        <v>91</v>
      </c>
      <c r="S511" s="20" t="s">
        <v>92</v>
      </c>
      <c r="T511" s="20" t="s">
        <v>123</v>
      </c>
      <c r="U511" s="20" t="s">
        <v>124</v>
      </c>
      <c r="V511" s="20" t="s">
        <v>95</v>
      </c>
      <c r="W511" s="20" t="s">
        <v>96</v>
      </c>
      <c r="X511" s="20" t="s">
        <v>97</v>
      </c>
      <c r="Y511" s="20" t="s">
        <v>70</v>
      </c>
      <c r="Z511" s="20" t="s">
        <v>98</v>
      </c>
      <c r="AA511" s="20" t="s">
        <v>2936</v>
      </c>
      <c r="AB511" s="20" t="s">
        <v>2936</v>
      </c>
      <c r="AC511" s="20" t="s">
        <v>2936</v>
      </c>
      <c r="AD511" s="20" t="s">
        <v>2936</v>
      </c>
      <c r="AE511" s="20"/>
      <c r="AF511" s="9" t="n">
        <v>1</v>
      </c>
      <c r="AG511" s="12" t="n">
        <v>1</v>
      </c>
      <c r="AH511" s="22" t="s">
        <v>620</v>
      </c>
      <c r="AI511" s="12" t="str">
        <f>IF(AH511="","",IFERROR(RIGHT("0000"&amp;AH511,4)&amp;" - "&amp;UPPER(_xlfn.XLOOKUP(RIGHT("0000"&amp;AH511,4),CODEBOOK_CAP!$C$2:$C$212,CODEBOOK_CAP!$D$2:$D$212)),"Código CAP não encontrado"))</f>
        <v>0332 - SAÚDE INFANTIL, GRAVIDEZ E PRÉ-NATAL</v>
      </c>
      <c r="AJ511" s="12" t="str">
        <f>IF(AH511="","",IFERROR(_xlfn.XLOOKUP(RIGHT("0000"&amp;AH511,4),CODEBOOK_CAP!$C$2:$C$212,CODEBOOK_CAP!$E$2:$E$212),"Código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511" s="22" t="s">
        <v>77</v>
      </c>
      <c r="AL511" s="26"/>
      <c r="AM511" s="22" t="s">
        <v>79</v>
      </c>
      <c r="AN511" s="22" t="s">
        <v>79</v>
      </c>
      <c r="AO511" s="12" t="s">
        <v>1541</v>
      </c>
      <c r="AP511" s="22" t="s">
        <v>79</v>
      </c>
      <c r="AQ511" s="12" t="s">
        <v>1094</v>
      </c>
      <c r="AR511" s="22" t="s">
        <v>77</v>
      </c>
      <c r="AS511" s="10"/>
      <c r="AT511" s="2" t="s">
        <v>1814</v>
      </c>
      <c r="AU511" s="12" t="s">
        <v>83</v>
      </c>
      <c r="AV511" s="3" t="n">
        <v>46221</v>
      </c>
      <c r="AW511" s="21"/>
      <c r="AY511" s="1"/>
      <c r="BA511" s="1"/>
      <c r="BB511" s="1"/>
    </row>
    <row r="512" ht="105" customHeight="1">
      <c r="A512" s="20" t="s">
        <v>2948</v>
      </c>
      <c r="B512" s="20" t="n">
        <v>2023</v>
      </c>
      <c r="C512" s="20" t="n">
        <v>463</v>
      </c>
      <c r="D512" s="20" t="s">
        <v>50</v>
      </c>
      <c r="E512" s="20" t="s">
        <v>2897</v>
      </c>
      <c r="F512" s="20" t="s">
        <v>2949</v>
      </c>
      <c r="G512" s="20" t="s">
        <v>315</v>
      </c>
      <c r="H512" s="20" t="s">
        <v>2899</v>
      </c>
      <c r="I512" s="20"/>
      <c r="J512" s="20" t="s">
        <v>2950</v>
      </c>
      <c r="K512" s="20" t="s">
        <v>185</v>
      </c>
      <c r="L512" s="20" t="s">
        <v>186</v>
      </c>
      <c r="M512" s="20" t="s">
        <v>187</v>
      </c>
      <c r="N512" s="20" t="s">
        <v>188</v>
      </c>
      <c r="O512" s="20" t="s">
        <v>189</v>
      </c>
      <c r="P512" s="20" t="s">
        <v>190</v>
      </c>
      <c r="Q512" s="20" t="s">
        <v>191</v>
      </c>
      <c r="R512" s="20" t="s">
        <v>192</v>
      </c>
      <c r="S512" s="20" t="s">
        <v>193</v>
      </c>
      <c r="T512" s="20" t="s">
        <v>194</v>
      </c>
      <c r="U512" s="20" t="s">
        <v>195</v>
      </c>
      <c r="V512" s="20" t="s">
        <v>196</v>
      </c>
      <c r="W512" s="20" t="s">
        <v>68</v>
      </c>
      <c r="X512" s="20" t="s">
        <v>69</v>
      </c>
      <c r="Y512" s="20" t="s">
        <v>70</v>
      </c>
      <c r="Z512" s="20" t="s">
        <v>197</v>
      </c>
      <c r="AA512" s="20" t="s">
        <v>363</v>
      </c>
      <c r="AB512" s="20" t="s">
        <v>1432</v>
      </c>
      <c r="AC512" s="20" t="s">
        <v>1432</v>
      </c>
      <c r="AD512" s="20" t="s">
        <v>1432</v>
      </c>
      <c r="AE512" s="20"/>
      <c r="AF512" s="9" t="n">
        <v>0</v>
      </c>
      <c r="AG512" s="12" t="n">
        <v>0</v>
      </c>
      <c r="AH512" s="22" t="s">
        <v>161</v>
      </c>
      <c r="AI512" s="12" t="str">
        <f>IF(AH512="","",IFERROR(RIGHT("0000"&amp;AH512,4)&amp;" - "&amp;UPPER(_xlfn.XLOOKUP(RIGHT("0000"&amp;AH512,4),CODEBOOK_CAP!$C$2:$C$212,CODEBOOK_CAP!$D$2:$D$212)),"Código CAP não encontrado"))</f>
        <v>2300 - GERAL</v>
      </c>
      <c r="AJ512" s="12" t="str">
        <f>IF(AH512="","",IFERROR(_xlfn.XLOOKUP(RIGHT("0000"&amp;AH512,4),CODEBOOK_CAP!$C$2:$C$212,CODEBOOK_CAP!$E$2:$E$212),"Código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12" s="22" t="s">
        <v>79</v>
      </c>
      <c r="AL512" s="26" t="s">
        <v>2951</v>
      </c>
      <c r="AM512" s="22" t="s">
        <v>79</v>
      </c>
      <c r="AN512" s="22" t="s">
        <v>79</v>
      </c>
      <c r="AO512" s="12" t="s">
        <v>2951</v>
      </c>
      <c r="AP512" s="22" t="s">
        <v>77</v>
      </c>
      <c r="AQ512" s="12"/>
      <c r="AR512" s="22" t="s">
        <v>77</v>
      </c>
      <c r="AS512" s="10"/>
      <c r="AT512" s="2" t="s">
        <v>1814</v>
      </c>
      <c r="AU512" s="12" t="s">
        <v>83</v>
      </c>
      <c r="AV512" s="3" t="n">
        <v>46221</v>
      </c>
      <c r="AW512" s="21"/>
      <c r="AX512" s="1" t="s">
        <v>6956</v>
      </c>
      <c r="AY512" s="1"/>
      <c r="BA512" s="1"/>
      <c r="BB512" s="1"/>
    </row>
    <row r="513" ht="105" customHeight="1">
      <c r="A513" s="20" t="s">
        <v>2952</v>
      </c>
      <c r="B513" s="20" t="n">
        <v>2023</v>
      </c>
      <c r="C513" s="20" t="n">
        <v>464</v>
      </c>
      <c r="D513" s="20" t="s">
        <v>50</v>
      </c>
      <c r="E513" s="20" t="s">
        <v>2897</v>
      </c>
      <c r="F513" s="20" t="s">
        <v>2953</v>
      </c>
      <c r="G513" s="20" t="s">
        <v>86</v>
      </c>
      <c r="H513" s="20" t="s">
        <v>2899</v>
      </c>
      <c r="I513" s="20"/>
      <c r="J513" s="20" t="s">
        <v>2954</v>
      </c>
      <c r="K513" s="20" t="s">
        <v>185</v>
      </c>
      <c r="L513" s="20" t="s">
        <v>186</v>
      </c>
      <c r="M513" s="20" t="s">
        <v>187</v>
      </c>
      <c r="N513" s="20" t="s">
        <v>188</v>
      </c>
      <c r="O513" s="20" t="s">
        <v>189</v>
      </c>
      <c r="P513" s="20" t="s">
        <v>190</v>
      </c>
      <c r="Q513" s="20" t="s">
        <v>191</v>
      </c>
      <c r="R513" s="20" t="s">
        <v>192</v>
      </c>
      <c r="S513" s="20" t="s">
        <v>193</v>
      </c>
      <c r="T513" s="20" t="s">
        <v>194</v>
      </c>
      <c r="U513" s="20" t="s">
        <v>195</v>
      </c>
      <c r="V513" s="20" t="s">
        <v>196</v>
      </c>
      <c r="W513" s="20" t="s">
        <v>68</v>
      </c>
      <c r="X513" s="20" t="s">
        <v>69</v>
      </c>
      <c r="Y513" s="20" t="s">
        <v>70</v>
      </c>
      <c r="Z513" s="20" t="s">
        <v>197</v>
      </c>
      <c r="AA513" s="20" t="s">
        <v>363</v>
      </c>
      <c r="AB513" s="20" t="s">
        <v>2955</v>
      </c>
      <c r="AC513" s="20" t="s">
        <v>2955</v>
      </c>
      <c r="AD513" s="20" t="s">
        <v>2955</v>
      </c>
      <c r="AE513" s="20"/>
      <c r="AF513" s="9" t="n">
        <v>0</v>
      </c>
      <c r="AG513" s="12" t="n">
        <v>0</v>
      </c>
      <c r="AH513" s="22" t="s">
        <v>161</v>
      </c>
      <c r="AI513" s="12" t="str">
        <f>IF(AH513="","",IFERROR(RIGHT("0000"&amp;AH513,4)&amp;" - "&amp;UPPER(_xlfn.XLOOKUP(RIGHT("0000"&amp;AH513,4),CODEBOOK_CAP!$C$2:$C$212,CODEBOOK_CAP!$D$2:$D$212)),"Código CAP não encontrado"))</f>
        <v>2300 - GERAL</v>
      </c>
      <c r="AJ513" s="12" t="str">
        <f>IF(AH513="","",IFERROR(_xlfn.XLOOKUP(RIGHT("0000"&amp;AH513,4),CODEBOOK_CAP!$C$2:$C$212,CODEBOOK_CAP!$E$2:$E$212),"Código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13" s="22" t="s">
        <v>79</v>
      </c>
      <c r="AL513" s="26" t="s">
        <v>2956</v>
      </c>
      <c r="AM513" s="22" t="s">
        <v>79</v>
      </c>
      <c r="AN513" s="22" t="s">
        <v>79</v>
      </c>
      <c r="AO513" s="12" t="s">
        <v>2956</v>
      </c>
      <c r="AP513" s="22" t="s">
        <v>77</v>
      </c>
      <c r="AQ513" s="12"/>
      <c r="AR513" s="22" t="s">
        <v>77</v>
      </c>
      <c r="AS513" s="10"/>
      <c r="AT513" s="2" t="s">
        <v>1814</v>
      </c>
      <c r="AU513" s="12" t="s">
        <v>83</v>
      </c>
      <c r="AV513" s="3" t="n">
        <v>46221</v>
      </c>
      <c r="AW513" s="21"/>
      <c r="AX513" s="1" t="s">
        <v>6956</v>
      </c>
      <c r="AY513" s="1"/>
      <c r="BA513" s="1"/>
      <c r="BB513" s="1"/>
    </row>
    <row r="514" ht="75" customHeight="1">
      <c r="A514" s="20" t="s">
        <v>2957</v>
      </c>
      <c r="B514" s="20" t="n">
        <v>2023</v>
      </c>
      <c r="C514" s="20" t="n">
        <v>465</v>
      </c>
      <c r="D514" s="20" t="s">
        <v>50</v>
      </c>
      <c r="E514" s="20" t="s">
        <v>2897</v>
      </c>
      <c r="F514" s="20" t="s">
        <v>2958</v>
      </c>
      <c r="G514" s="20" t="s">
        <v>53</v>
      </c>
      <c r="H514" s="20" t="s">
        <v>2899</v>
      </c>
      <c r="I514" s="20"/>
      <c r="J514" s="20" t="s">
        <v>2959</v>
      </c>
      <c r="K514" s="20" t="s">
        <v>2960</v>
      </c>
      <c r="L514" s="20" t="s">
        <v>208</v>
      </c>
      <c r="M514" s="20" t="s">
        <v>209</v>
      </c>
      <c r="N514" s="20" t="s">
        <v>660</v>
      </c>
      <c r="O514" s="20" t="s">
        <v>661</v>
      </c>
      <c r="P514" s="20" t="s">
        <v>662</v>
      </c>
      <c r="Q514" s="20" t="s">
        <v>663</v>
      </c>
      <c r="R514" s="20" t="s">
        <v>251</v>
      </c>
      <c r="S514" s="20" t="s">
        <v>252</v>
      </c>
      <c r="T514" s="20" t="s">
        <v>664</v>
      </c>
      <c r="U514" s="20" t="s">
        <v>665</v>
      </c>
      <c r="V514" s="20" t="s">
        <v>95</v>
      </c>
      <c r="W514" s="20" t="s">
        <v>96</v>
      </c>
      <c r="X514" s="20" t="s">
        <v>97</v>
      </c>
      <c r="Y514" s="20" t="s">
        <v>70</v>
      </c>
      <c r="Z514" s="20" t="s">
        <v>177</v>
      </c>
      <c r="AA514" s="20" t="s">
        <v>2961</v>
      </c>
      <c r="AB514" s="20" t="s">
        <v>77</v>
      </c>
      <c r="AC514" s="20" t="s">
        <v>77</v>
      </c>
      <c r="AD514" s="20" t="s">
        <v>77</v>
      </c>
      <c r="AE514" s="20"/>
      <c r="AF514" s="9" t="n">
        <v>0</v>
      </c>
      <c r="AG514" s="12" t="n">
        <v>0</v>
      </c>
      <c r="AH514" s="22" t="s">
        <v>304</v>
      </c>
      <c r="AI514" s="12" t="str">
        <f>IF(AH514="","",IFERROR(RIGHT("0000"&amp;AH514,4)&amp;" - "&amp;UPPER(_xlfn.XLOOKUP(RIGHT("0000"&amp;AH514,4),CODEBOOK_CAP!$C$2:$C$212,CODEBOOK_CAP!$D$2:$D$212)),"Código CAP não encontrado"))</f>
        <v>1403 - REABILITAÇÃO URBANA, ECONOMIA URBANA</v>
      </c>
      <c r="AJ514" s="12" t="str">
        <f>IF(AH514="","",IFERROR(_xlfn.XLOOKUP(RIGHT("0000"&amp;AH514,4),CODEBOOK_CAP!$C$2:$C$212,CODEBOOK_CAP!$E$2:$E$212),"Código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514" s="22" t="s">
        <v>79</v>
      </c>
      <c r="AL514" s="26" t="s">
        <v>2962</v>
      </c>
      <c r="AM514" s="22" t="s">
        <v>79</v>
      </c>
      <c r="AN514" s="22" t="s">
        <v>79</v>
      </c>
      <c r="AO514" s="12" t="s">
        <v>2962</v>
      </c>
      <c r="AP514" s="22" t="s">
        <v>77</v>
      </c>
      <c r="AQ514" s="12"/>
      <c r="AR514" s="22" t="s">
        <v>77</v>
      </c>
      <c r="AS514" s="10"/>
      <c r="AT514" s="2" t="s">
        <v>1814</v>
      </c>
      <c r="AU514" s="12" t="s">
        <v>83</v>
      </c>
      <c r="AV514" s="3" t="n">
        <v>46221</v>
      </c>
      <c r="AW514" s="21"/>
      <c r="AY514" s="1"/>
      <c r="BA514" s="1"/>
      <c r="BB514" s="1"/>
    </row>
    <row r="515" ht="75" customHeight="1">
      <c r="A515" s="20" t="s">
        <v>2963</v>
      </c>
      <c r="B515" s="20" t="n">
        <v>2023</v>
      </c>
      <c r="C515" s="20" t="n">
        <v>466</v>
      </c>
      <c r="D515" s="20" t="s">
        <v>50</v>
      </c>
      <c r="E515" s="20" t="s">
        <v>2897</v>
      </c>
      <c r="F515" s="20" t="s">
        <v>2964</v>
      </c>
      <c r="G515" s="20" t="s">
        <v>86</v>
      </c>
      <c r="H515" s="20" t="s">
        <v>2899</v>
      </c>
      <c r="I515" s="20"/>
      <c r="J515" s="20" t="s">
        <v>2965</v>
      </c>
      <c r="K515" s="20" t="s">
        <v>2960</v>
      </c>
      <c r="L515" s="20" t="s">
        <v>208</v>
      </c>
      <c r="M515" s="20" t="s">
        <v>209</v>
      </c>
      <c r="N515" s="20" t="s">
        <v>660</v>
      </c>
      <c r="O515" s="20" t="s">
        <v>661</v>
      </c>
      <c r="P515" s="20" t="s">
        <v>662</v>
      </c>
      <c r="Q515" s="20" t="s">
        <v>663</v>
      </c>
      <c r="R515" s="20" t="s">
        <v>251</v>
      </c>
      <c r="S515" s="20" t="s">
        <v>252</v>
      </c>
      <c r="T515" s="20" t="s">
        <v>664</v>
      </c>
      <c r="U515" s="20" t="s">
        <v>665</v>
      </c>
      <c r="V515" s="20" t="s">
        <v>95</v>
      </c>
      <c r="W515" s="20" t="s">
        <v>96</v>
      </c>
      <c r="X515" s="20" t="s">
        <v>97</v>
      </c>
      <c r="Y515" s="20" t="s">
        <v>70</v>
      </c>
      <c r="Z515" s="20" t="s">
        <v>177</v>
      </c>
      <c r="AA515" s="20" t="s">
        <v>2961</v>
      </c>
      <c r="AB515" s="20" t="s">
        <v>2966</v>
      </c>
      <c r="AC515" s="20" t="s">
        <v>2966</v>
      </c>
      <c r="AD515" s="20" t="s">
        <v>2966</v>
      </c>
      <c r="AE515" s="20"/>
      <c r="AF515" s="9" t="n">
        <v>0</v>
      </c>
      <c r="AG515" s="12" t="n">
        <v>0</v>
      </c>
      <c r="AH515" s="22" t="s">
        <v>304</v>
      </c>
      <c r="AI515" s="12" t="str">
        <f>IF(AH515="","",IFERROR(RIGHT("0000"&amp;AH515,4)&amp;" - "&amp;UPPER(_xlfn.XLOOKUP(RIGHT("0000"&amp;AH515,4),CODEBOOK_CAP!$C$2:$C$212,CODEBOOK_CAP!$D$2:$D$212)),"Código CAP não encontrado"))</f>
        <v>1403 - REABILITAÇÃO URBANA, ECONOMIA URBANA</v>
      </c>
      <c r="AJ515" s="12" t="str">
        <f>IF(AH515="","",IFERROR(_xlfn.XLOOKUP(RIGHT("0000"&amp;AH515,4),CODEBOOK_CAP!$C$2:$C$212,CODEBOOK_CAP!$E$2:$E$212),"Código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515" s="22" t="s">
        <v>79</v>
      </c>
      <c r="AL515" s="26" t="s">
        <v>2956</v>
      </c>
      <c r="AM515" s="22" t="s">
        <v>79</v>
      </c>
      <c r="AN515" s="22" t="s">
        <v>79</v>
      </c>
      <c r="AO515" s="12" t="s">
        <v>2956</v>
      </c>
      <c r="AP515" s="22" t="s">
        <v>77</v>
      </c>
      <c r="AQ515" s="12"/>
      <c r="AR515" s="22" t="s">
        <v>77</v>
      </c>
      <c r="AS515" s="10"/>
      <c r="AT515" s="2" t="s">
        <v>1814</v>
      </c>
      <c r="AU515" s="12" t="s">
        <v>83</v>
      </c>
      <c r="AV515" s="3" t="n">
        <v>46221</v>
      </c>
      <c r="AW515" s="21"/>
      <c r="AY515" s="1"/>
      <c r="BA515" s="1"/>
      <c r="BB515" s="1"/>
    </row>
    <row r="516" ht="165" customHeight="1">
      <c r="A516" s="20" t="s">
        <v>2967</v>
      </c>
      <c r="B516" s="20" t="n">
        <v>2023</v>
      </c>
      <c r="C516" s="20" t="n">
        <v>467</v>
      </c>
      <c r="D516" s="20" t="s">
        <v>50</v>
      </c>
      <c r="E516" s="20" t="s">
        <v>2897</v>
      </c>
      <c r="F516" s="20" t="s">
        <v>2968</v>
      </c>
      <c r="G516" s="20" t="s">
        <v>86</v>
      </c>
      <c r="H516" s="20" t="s">
        <v>2899</v>
      </c>
      <c r="I516" s="20"/>
      <c r="J516" s="20" t="s">
        <v>2969</v>
      </c>
      <c r="K516" s="20" t="s">
        <v>56</v>
      </c>
      <c r="L516" s="20" t="s">
        <v>57</v>
      </c>
      <c r="M516" s="20" t="s">
        <v>58</v>
      </c>
      <c r="N516" s="20" t="s">
        <v>59</v>
      </c>
      <c r="O516" s="20" t="s">
        <v>60</v>
      </c>
      <c r="P516" s="20" t="s">
        <v>61</v>
      </c>
      <c r="Q516" s="20" t="s">
        <v>62</v>
      </c>
      <c r="R516" s="20" t="s">
        <v>63</v>
      </c>
      <c r="S516" s="20" t="s">
        <v>64</v>
      </c>
      <c r="T516" s="20" t="s">
        <v>65</v>
      </c>
      <c r="U516" s="20" t="s">
        <v>66</v>
      </c>
      <c r="V516" s="20" t="s">
        <v>67</v>
      </c>
      <c r="W516" s="20" t="s">
        <v>68</v>
      </c>
      <c r="X516" s="20" t="s">
        <v>69</v>
      </c>
      <c r="Y516" s="20" t="s">
        <v>70</v>
      </c>
      <c r="Z516" s="20" t="s">
        <v>71</v>
      </c>
      <c r="AA516" s="20" t="s">
        <v>1104</v>
      </c>
      <c r="AB516" s="20" t="s">
        <v>2970</v>
      </c>
      <c r="AC516" s="20" t="s">
        <v>2970</v>
      </c>
      <c r="AD516" s="20" t="s">
        <v>2970</v>
      </c>
      <c r="AE516" s="20"/>
      <c r="AF516" s="9" t="n">
        <v>1</v>
      </c>
      <c r="AG516" s="12" t="n">
        <v>0</v>
      </c>
      <c r="AH516" s="22" t="s">
        <v>1269</v>
      </c>
      <c r="AI516" s="12" t="str">
        <f>IF(AH516="","",IFERROR(RIGHT("0000"&amp;AH516,4)&amp;" - "&amp;UPPER(_xlfn.XLOOKUP(RIGHT("0000"&amp;AH516,4),CODEBOOK_CAP!$C$2:$C$212,CODEBOOK_CAP!$D$2:$D$212)),"Código CAP não encontrado"))</f>
        <v>0405 - CONTROLE DE DOENÇAS ANIMAIS</v>
      </c>
      <c r="AJ516" s="12" t="str">
        <f>IF(AH516="","",IFERROR(_xlfn.XLOOKUP(RIGHT("0000"&amp;AH516,4),CODEBOOK_CAP!$C$2:$C$212,CODEBOOK_CAP!$E$2:$E$212),"Código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516" s="22" t="s">
        <v>77</v>
      </c>
      <c r="AL516" s="26"/>
      <c r="AM516" s="22" t="s">
        <v>77</v>
      </c>
      <c r="AN516" s="22" t="s">
        <v>77</v>
      </c>
      <c r="AO516" s="12"/>
      <c r="AP516" s="22" t="s">
        <v>79</v>
      </c>
      <c r="AQ516" s="12" t="s">
        <v>1270</v>
      </c>
      <c r="AR516" s="22" t="s">
        <v>77</v>
      </c>
      <c r="AS516" s="10"/>
      <c r="AT516" s="2" t="s">
        <v>1814</v>
      </c>
      <c r="AU516" s="12" t="s">
        <v>83</v>
      </c>
      <c r="AV516" s="3" t="n">
        <v>46221</v>
      </c>
      <c r="AW516" s="21"/>
      <c r="AY516" s="1"/>
      <c r="BA516" s="1"/>
      <c r="BB516" s="1"/>
    </row>
    <row r="517" ht="165" customHeight="1">
      <c r="A517" s="20" t="s">
        <v>2971</v>
      </c>
      <c r="B517" s="20" t="n">
        <v>2023</v>
      </c>
      <c r="C517" s="20" t="n">
        <v>468</v>
      </c>
      <c r="D517" s="20" t="s">
        <v>50</v>
      </c>
      <c r="E517" s="20" t="s">
        <v>2897</v>
      </c>
      <c r="F517" s="20" t="s">
        <v>2972</v>
      </c>
      <c r="G517" s="20" t="s">
        <v>315</v>
      </c>
      <c r="H517" s="20" t="s">
        <v>2899</v>
      </c>
      <c r="I517" s="20"/>
      <c r="J517" s="20" t="s">
        <v>2973</v>
      </c>
      <c r="K517" s="20" t="s">
        <v>2789</v>
      </c>
      <c r="L517" s="20" t="s">
        <v>57</v>
      </c>
      <c r="M517" s="20" t="s">
        <v>58</v>
      </c>
      <c r="N517" s="20" t="s">
        <v>59</v>
      </c>
      <c r="O517" s="20" t="s">
        <v>60</v>
      </c>
      <c r="P517" s="20" t="s">
        <v>111</v>
      </c>
      <c r="Q517" s="20" t="s">
        <v>112</v>
      </c>
      <c r="R517" s="20" t="s">
        <v>113</v>
      </c>
      <c r="S517" s="20" t="s">
        <v>114</v>
      </c>
      <c r="T517" s="20" t="s">
        <v>115</v>
      </c>
      <c r="U517" s="20" t="s">
        <v>114</v>
      </c>
      <c r="V517" s="20" t="s">
        <v>196</v>
      </c>
      <c r="W517" s="20" t="s">
        <v>68</v>
      </c>
      <c r="X517" s="20" t="s">
        <v>69</v>
      </c>
      <c r="Y517" s="20" t="s">
        <v>70</v>
      </c>
      <c r="Z517" s="20" t="s">
        <v>98</v>
      </c>
      <c r="AA517" s="20" t="s">
        <v>255</v>
      </c>
      <c r="AB517" s="20" t="s">
        <v>2974</v>
      </c>
      <c r="AC517" s="20" t="s">
        <v>2974</v>
      </c>
      <c r="AD517" s="20" t="s">
        <v>2974</v>
      </c>
      <c r="AE517" s="20" t="s">
        <v>2975</v>
      </c>
      <c r="AF517" s="9" t="n">
        <v>1</v>
      </c>
      <c r="AG517" s="12" t="n">
        <v>0</v>
      </c>
      <c r="AH517" s="22" t="s">
        <v>1269</v>
      </c>
      <c r="AI517" s="12" t="str">
        <f>IF(AH517="","",IFERROR(RIGHT("0000"&amp;AH517,4)&amp;" - "&amp;UPPER(_xlfn.XLOOKUP(RIGHT("0000"&amp;AH517,4),CODEBOOK_CAP!$C$2:$C$212,CODEBOOK_CAP!$D$2:$D$212)),"Código CAP não encontrado"))</f>
        <v>0405 - CONTROLE DE DOENÇAS ANIMAIS</v>
      </c>
      <c r="AJ517" s="12" t="str">
        <f>IF(AH517="","",IFERROR(_xlfn.XLOOKUP(RIGHT("0000"&amp;AH517,4),CODEBOOK_CAP!$C$2:$C$212,CODEBOOK_CAP!$E$2:$E$212),"Código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517" s="22" t="n">
        <v>1</v>
      </c>
      <c r="AL517" s="26" t="s">
        <v>10094</v>
      </c>
      <c r="AM517" s="22" t="n">
        <v>1</v>
      </c>
      <c r="AN517" s="22" t="n">
        <v>1</v>
      </c>
      <c r="AO517" s="12" t="s">
        <v>10095</v>
      </c>
      <c r="AP517" s="22" t="s">
        <v>79</v>
      </c>
      <c r="AQ517" s="12" t="s">
        <v>2150</v>
      </c>
      <c r="AR517" s="22" t="s">
        <v>79</v>
      </c>
      <c r="AS517" s="10" t="s">
        <v>2975</v>
      </c>
      <c r="AT517" s="2" t="s">
        <v>1814</v>
      </c>
      <c r="AU517" s="12" t="s">
        <v>83</v>
      </c>
      <c r="AV517" s="3" t="n">
        <v>46221</v>
      </c>
      <c r="AW517" s="21"/>
      <c r="AY517" s="1"/>
      <c r="BA517" s="1"/>
      <c r="BB517" s="1"/>
    </row>
    <row r="518" ht="165" customHeight="1">
      <c r="A518" s="20" t="s">
        <v>2976</v>
      </c>
      <c r="B518" s="20" t="n">
        <v>2023</v>
      </c>
      <c r="C518" s="20" t="n">
        <v>469</v>
      </c>
      <c r="D518" s="20" t="s">
        <v>50</v>
      </c>
      <c r="E518" s="20" t="s">
        <v>2897</v>
      </c>
      <c r="F518" s="20" t="s">
        <v>2977</v>
      </c>
      <c r="G518" s="20" t="s">
        <v>86</v>
      </c>
      <c r="H518" s="20" t="s">
        <v>2899</v>
      </c>
      <c r="I518" s="20"/>
      <c r="J518" s="20" t="s">
        <v>2978</v>
      </c>
      <c r="K518" s="20" t="s">
        <v>1267</v>
      </c>
      <c r="L518" s="20" t="s">
        <v>57</v>
      </c>
      <c r="M518" s="20" t="s">
        <v>58</v>
      </c>
      <c r="N518" s="20" t="s">
        <v>59</v>
      </c>
      <c r="O518" s="20" t="s">
        <v>60</v>
      </c>
      <c r="P518" s="20" t="s">
        <v>111</v>
      </c>
      <c r="Q518" s="20" t="s">
        <v>112</v>
      </c>
      <c r="R518" s="20" t="s">
        <v>113</v>
      </c>
      <c r="S518" s="20" t="s">
        <v>114</v>
      </c>
      <c r="T518" s="20" t="s">
        <v>115</v>
      </c>
      <c r="U518" s="20" t="s">
        <v>114</v>
      </c>
      <c r="V518" s="20" t="s">
        <v>854</v>
      </c>
      <c r="W518" s="20" t="s">
        <v>96</v>
      </c>
      <c r="X518" s="20" t="s">
        <v>97</v>
      </c>
      <c r="Y518" s="20" t="s">
        <v>70</v>
      </c>
      <c r="Z518" s="20" t="s">
        <v>98</v>
      </c>
      <c r="AA518" s="20" t="s">
        <v>125</v>
      </c>
      <c r="AB518" s="20" t="s">
        <v>77</v>
      </c>
      <c r="AC518" s="20" t="s">
        <v>77</v>
      </c>
      <c r="AD518" s="20" t="s">
        <v>77</v>
      </c>
      <c r="AE518" s="20"/>
      <c r="AF518" s="9" t="n">
        <v>1</v>
      </c>
      <c r="AG518" s="12" t="n">
        <v>0</v>
      </c>
      <c r="AH518" s="22" t="s">
        <v>1269</v>
      </c>
      <c r="AI518" s="12" t="str">
        <f>IF(AH518="","",IFERROR(RIGHT("0000"&amp;AH518,4)&amp;" - "&amp;UPPER(_xlfn.XLOOKUP(RIGHT("0000"&amp;AH518,4),CODEBOOK_CAP!$C$2:$C$212,CODEBOOK_CAP!$D$2:$D$212)),"Código CAP não encontrado"))</f>
        <v>0405 - CONTROLE DE DOENÇAS ANIMAIS</v>
      </c>
      <c r="AJ518" s="12" t="str">
        <f>IF(AH518="","",IFERROR(_xlfn.XLOOKUP(RIGHT("0000"&amp;AH518,4),CODEBOOK_CAP!$C$2:$C$212,CODEBOOK_CAP!$E$2:$E$212),"Código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518" s="22" t="s">
        <v>77</v>
      </c>
      <c r="AL518" s="26"/>
      <c r="AM518" s="22" t="s">
        <v>77</v>
      </c>
      <c r="AN518" s="22" t="s">
        <v>77</v>
      </c>
      <c r="AO518" s="12"/>
      <c r="AP518" s="22" t="s">
        <v>79</v>
      </c>
      <c r="AQ518" s="12" t="s">
        <v>712</v>
      </c>
      <c r="AR518" s="22" t="s">
        <v>77</v>
      </c>
      <c r="AS518" s="10"/>
      <c r="AT518" s="2" t="s">
        <v>1814</v>
      </c>
      <c r="AU518" s="12" t="s">
        <v>83</v>
      </c>
      <c r="AV518" s="3" t="n">
        <v>46221</v>
      </c>
      <c r="AW518" s="21"/>
      <c r="AY518" s="1"/>
      <c r="BA518" s="1"/>
      <c r="BB518" s="1"/>
    </row>
    <row r="519" ht="165" customHeight="1">
      <c r="A519" s="20" t="s">
        <v>2979</v>
      </c>
      <c r="B519" s="20" t="n">
        <v>2023</v>
      </c>
      <c r="C519" s="20" t="n">
        <v>470</v>
      </c>
      <c r="D519" s="20" t="s">
        <v>50</v>
      </c>
      <c r="E519" s="20" t="s">
        <v>2897</v>
      </c>
      <c r="F519" s="20" t="s">
        <v>2980</v>
      </c>
      <c r="G519" s="20" t="s">
        <v>86</v>
      </c>
      <c r="H519" s="20" t="s">
        <v>2899</v>
      </c>
      <c r="I519" s="20"/>
      <c r="J519" s="20" t="s">
        <v>2981</v>
      </c>
      <c r="K519" s="20" t="s">
        <v>1267</v>
      </c>
      <c r="L519" s="20" t="s">
        <v>57</v>
      </c>
      <c r="M519" s="20" t="s">
        <v>58</v>
      </c>
      <c r="N519" s="20" t="s">
        <v>59</v>
      </c>
      <c r="O519" s="20" t="s">
        <v>60</v>
      </c>
      <c r="P519" s="20" t="s">
        <v>111</v>
      </c>
      <c r="Q519" s="20" t="s">
        <v>112</v>
      </c>
      <c r="R519" s="20" t="s">
        <v>113</v>
      </c>
      <c r="S519" s="20" t="s">
        <v>114</v>
      </c>
      <c r="T519" s="20" t="s">
        <v>115</v>
      </c>
      <c r="U519" s="20" t="s">
        <v>114</v>
      </c>
      <c r="V519" s="20" t="s">
        <v>854</v>
      </c>
      <c r="W519" s="20" t="s">
        <v>96</v>
      </c>
      <c r="X519" s="20" t="s">
        <v>97</v>
      </c>
      <c r="Y519" s="20" t="s">
        <v>70</v>
      </c>
      <c r="Z519" s="20" t="s">
        <v>98</v>
      </c>
      <c r="AA519" s="20" t="s">
        <v>233</v>
      </c>
      <c r="AB519" s="20" t="s">
        <v>2982</v>
      </c>
      <c r="AC519" s="20" t="s">
        <v>2982</v>
      </c>
      <c r="AD519" s="20" t="s">
        <v>2982</v>
      </c>
      <c r="AE519" s="20" t="s">
        <v>1800</v>
      </c>
      <c r="AF519" s="9" t="n">
        <v>1</v>
      </c>
      <c r="AG519" s="12" t="n">
        <v>0</v>
      </c>
      <c r="AH519" s="22" t="s">
        <v>1269</v>
      </c>
      <c r="AI519" s="12" t="str">
        <f>IF(AH519="","",IFERROR(RIGHT("0000"&amp;AH519,4)&amp;" - "&amp;UPPER(_xlfn.XLOOKUP(RIGHT("0000"&amp;AH519,4),CODEBOOK_CAP!$C$2:$C$212,CODEBOOK_CAP!$D$2:$D$212)),"Código CAP não encontrado"))</f>
        <v>0405 - CONTROLE DE DOENÇAS ANIMAIS</v>
      </c>
      <c r="AJ519" s="12" t="str">
        <f>IF(AH519="","",IFERROR(_xlfn.XLOOKUP(RIGHT("0000"&amp;AH519,4),CODEBOOK_CAP!$C$2:$C$212,CODEBOOK_CAP!$E$2:$E$212),"Código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519" s="22" t="n">
        <v>1</v>
      </c>
      <c r="AL519" s="26" t="s">
        <v>10094</v>
      </c>
      <c r="AM519" s="22" t="n">
        <v>1</v>
      </c>
      <c r="AN519" s="22" t="n">
        <v>1</v>
      </c>
      <c r="AO519" s="12" t="s">
        <v>10095</v>
      </c>
      <c r="AP519" s="22" t="s">
        <v>79</v>
      </c>
      <c r="AQ519" s="12" t="s">
        <v>1270</v>
      </c>
      <c r="AR519" s="22" t="s">
        <v>79</v>
      </c>
      <c r="AS519" s="10" t="s">
        <v>1800</v>
      </c>
      <c r="AT519" s="2" t="s">
        <v>1814</v>
      </c>
      <c r="AU519" s="12" t="s">
        <v>83</v>
      </c>
      <c r="AV519" s="3" t="n">
        <v>46221</v>
      </c>
      <c r="AW519" s="21"/>
      <c r="AY519" s="1"/>
      <c r="BA519" s="1"/>
      <c r="BB519" s="1"/>
    </row>
    <row r="520" ht="120" customHeight="1">
      <c r="A520" s="20" t="s">
        <v>2983</v>
      </c>
      <c r="B520" s="20" t="n">
        <v>2023</v>
      </c>
      <c r="C520" s="20" t="n">
        <v>471</v>
      </c>
      <c r="D520" s="20" t="s">
        <v>50</v>
      </c>
      <c r="E520" s="20" t="s">
        <v>2897</v>
      </c>
      <c r="F520" s="20" t="s">
        <v>2984</v>
      </c>
      <c r="G520" s="20" t="s">
        <v>86</v>
      </c>
      <c r="H520" s="20" t="s">
        <v>2899</v>
      </c>
      <c r="I520" s="20"/>
      <c r="J520" s="20" t="s">
        <v>2985</v>
      </c>
      <c r="K520" s="20" t="s">
        <v>865</v>
      </c>
      <c r="L520" s="20" t="s">
        <v>57</v>
      </c>
      <c r="M520" s="20" t="s">
        <v>58</v>
      </c>
      <c r="N520" s="20" t="s">
        <v>59</v>
      </c>
      <c r="O520" s="20" t="s">
        <v>60</v>
      </c>
      <c r="P520" s="20" t="s">
        <v>227</v>
      </c>
      <c r="Q520" s="20" t="s">
        <v>228</v>
      </c>
      <c r="R520" s="20" t="s">
        <v>229</v>
      </c>
      <c r="S520" s="20" t="s">
        <v>230</v>
      </c>
      <c r="T520" s="20" t="s">
        <v>866</v>
      </c>
      <c r="U520" s="20" t="s">
        <v>867</v>
      </c>
      <c r="V520" s="20" t="s">
        <v>868</v>
      </c>
      <c r="W520" s="20" t="s">
        <v>96</v>
      </c>
      <c r="X520" s="20" t="s">
        <v>97</v>
      </c>
      <c r="Y520" s="20" t="s">
        <v>70</v>
      </c>
      <c r="Z520" s="20" t="s">
        <v>98</v>
      </c>
      <c r="AA520" s="20" t="s">
        <v>388</v>
      </c>
      <c r="AB520" s="20" t="s">
        <v>388</v>
      </c>
      <c r="AC520" s="20" t="s">
        <v>388</v>
      </c>
      <c r="AD520" s="20" t="s">
        <v>388</v>
      </c>
      <c r="AE520" s="20"/>
      <c r="AF520" s="9" t="n">
        <v>1</v>
      </c>
      <c r="AG520" s="12" t="n">
        <v>1</v>
      </c>
      <c r="AH520" s="22" t="s">
        <v>235</v>
      </c>
      <c r="AI520" s="12" t="str">
        <f>IF(AH520="","",IFERROR(RIGHT("0000"&amp;AH520,4)&amp;" - "&amp;UPPER(_xlfn.XLOOKUP(RIGHT("0000"&amp;AH520,4),CODEBOOK_CAP!$C$2:$C$212,CODEBOOK_CAP!$D$2:$D$212)),"Código CAP não encontrado"))</f>
        <v>0322 - ESTRUTURAS, HOSPITAIS, CLÍNICAS</v>
      </c>
      <c r="AJ520" s="12" t="str">
        <f>IF(AH520="","",IFERROR(_xlfn.XLOOKUP(RIGHT("0000"&amp;AH520,4),CODEBOOK_CAP!$C$2:$C$212,CODEBOOK_CAP!$E$2:$E$212),"Código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0" s="22" t="s">
        <v>77</v>
      </c>
      <c r="AL520" s="26"/>
      <c r="AM520" s="22" t="s">
        <v>79</v>
      </c>
      <c r="AN520" s="22" t="s">
        <v>79</v>
      </c>
      <c r="AO520" s="12" t="s">
        <v>2986</v>
      </c>
      <c r="AP520" s="22" t="s">
        <v>77</v>
      </c>
      <c r="AQ520" s="12"/>
      <c r="AR520" s="22" t="s">
        <v>77</v>
      </c>
      <c r="AS520" s="10"/>
      <c r="AT520" s="2" t="s">
        <v>1814</v>
      </c>
      <c r="AU520" s="12" t="s">
        <v>83</v>
      </c>
      <c r="AV520" s="3" t="n">
        <v>46221</v>
      </c>
      <c r="AW520" s="21"/>
      <c r="AY520" s="1"/>
      <c r="BA520" s="1"/>
      <c r="BB520" s="1"/>
    </row>
    <row r="521" ht="120" customHeight="1">
      <c r="A521" s="20" t="s">
        <v>2987</v>
      </c>
      <c r="B521" s="20" t="n">
        <v>2023</v>
      </c>
      <c r="C521" s="20" t="n">
        <v>472</v>
      </c>
      <c r="D521" s="20" t="s">
        <v>50</v>
      </c>
      <c r="E521" s="20" t="s">
        <v>2897</v>
      </c>
      <c r="F521" s="20" t="s">
        <v>2988</v>
      </c>
      <c r="G521" s="20" t="s">
        <v>86</v>
      </c>
      <c r="H521" s="20" t="s">
        <v>2899</v>
      </c>
      <c r="I521" s="20"/>
      <c r="J521" s="20" t="s">
        <v>2989</v>
      </c>
      <c r="K521" s="20" t="s">
        <v>226</v>
      </c>
      <c r="L521" s="20" t="s">
        <v>57</v>
      </c>
      <c r="M521" s="20" t="s">
        <v>58</v>
      </c>
      <c r="N521" s="20" t="s">
        <v>59</v>
      </c>
      <c r="O521" s="20" t="s">
        <v>60</v>
      </c>
      <c r="P521" s="20" t="s">
        <v>227</v>
      </c>
      <c r="Q521" s="20" t="s">
        <v>228</v>
      </c>
      <c r="R521" s="20" t="s">
        <v>229</v>
      </c>
      <c r="S521" s="20" t="s">
        <v>230</v>
      </c>
      <c r="T521" s="20" t="s">
        <v>231</v>
      </c>
      <c r="U521" s="20" t="s">
        <v>230</v>
      </c>
      <c r="V521" s="20" t="s">
        <v>232</v>
      </c>
      <c r="W521" s="20" t="s">
        <v>96</v>
      </c>
      <c r="X521" s="20" t="s">
        <v>97</v>
      </c>
      <c r="Y521" s="20" t="s">
        <v>70</v>
      </c>
      <c r="Z521" s="20" t="s">
        <v>98</v>
      </c>
      <c r="AA521" s="20" t="s">
        <v>388</v>
      </c>
      <c r="AB521" s="20" t="s">
        <v>388</v>
      </c>
      <c r="AC521" s="20" t="s">
        <v>388</v>
      </c>
      <c r="AD521" s="20" t="s">
        <v>388</v>
      </c>
      <c r="AE521" s="20"/>
      <c r="AF521" s="9" t="n">
        <v>1</v>
      </c>
      <c r="AG521" s="12" t="n">
        <v>1</v>
      </c>
      <c r="AH521" s="22" t="s">
        <v>235</v>
      </c>
      <c r="AI521" s="12" t="str">
        <f>IF(AH521="","",IFERROR(RIGHT("0000"&amp;AH521,4)&amp;" - "&amp;UPPER(_xlfn.XLOOKUP(RIGHT("0000"&amp;AH521,4),CODEBOOK_CAP!$C$2:$C$212,CODEBOOK_CAP!$D$2:$D$212)),"Código CAP não encontrado"))</f>
        <v>0322 - ESTRUTURAS, HOSPITAIS, CLÍNICAS</v>
      </c>
      <c r="AJ521" s="12" t="str">
        <f>IF(AH521="","",IFERROR(_xlfn.XLOOKUP(RIGHT("0000"&amp;AH521,4),CODEBOOK_CAP!$C$2:$C$212,CODEBOOK_CAP!$E$2:$E$212),"Código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1" s="22" t="s">
        <v>77</v>
      </c>
      <c r="AL521" s="26"/>
      <c r="AM521" s="22" t="s">
        <v>79</v>
      </c>
      <c r="AN521" s="22" t="s">
        <v>79</v>
      </c>
      <c r="AO521" s="12" t="s">
        <v>2990</v>
      </c>
      <c r="AP521" s="22" t="s">
        <v>77</v>
      </c>
      <c r="AQ521" s="12"/>
      <c r="AR521" s="22" t="s">
        <v>77</v>
      </c>
      <c r="AS521" s="10"/>
      <c r="AT521" s="2" t="s">
        <v>1814</v>
      </c>
      <c r="AU521" s="12" t="s">
        <v>83</v>
      </c>
      <c r="AV521" s="3" t="n">
        <v>46221</v>
      </c>
      <c r="AW521" s="21"/>
      <c r="AY521" s="1"/>
      <c r="BA521" s="1"/>
      <c r="BB521" s="1"/>
    </row>
    <row r="522" ht="120" customHeight="1">
      <c r="A522" s="20" t="s">
        <v>2991</v>
      </c>
      <c r="B522" s="20" t="n">
        <v>2023</v>
      </c>
      <c r="C522" s="20" t="n">
        <v>473</v>
      </c>
      <c r="D522" s="20" t="s">
        <v>50</v>
      </c>
      <c r="E522" s="20" t="s">
        <v>2897</v>
      </c>
      <c r="F522" s="20" t="s">
        <v>2992</v>
      </c>
      <c r="G522" s="20" t="s">
        <v>86</v>
      </c>
      <c r="H522" s="20" t="s">
        <v>2899</v>
      </c>
      <c r="I522" s="20"/>
      <c r="J522" s="20" t="s">
        <v>2993</v>
      </c>
      <c r="K522" s="20" t="s">
        <v>226</v>
      </c>
      <c r="L522" s="20" t="s">
        <v>57</v>
      </c>
      <c r="M522" s="20" t="s">
        <v>58</v>
      </c>
      <c r="N522" s="20" t="s">
        <v>59</v>
      </c>
      <c r="O522" s="20" t="s">
        <v>60</v>
      </c>
      <c r="P522" s="20" t="s">
        <v>227</v>
      </c>
      <c r="Q522" s="20" t="s">
        <v>228</v>
      </c>
      <c r="R522" s="20" t="s">
        <v>229</v>
      </c>
      <c r="S522" s="20" t="s">
        <v>230</v>
      </c>
      <c r="T522" s="20" t="s">
        <v>231</v>
      </c>
      <c r="U522" s="20" t="s">
        <v>230</v>
      </c>
      <c r="V522" s="20" t="s">
        <v>232</v>
      </c>
      <c r="W522" s="20" t="s">
        <v>96</v>
      </c>
      <c r="X522" s="20" t="s">
        <v>97</v>
      </c>
      <c r="Y522" s="20" t="s">
        <v>70</v>
      </c>
      <c r="Z522" s="20" t="s">
        <v>98</v>
      </c>
      <c r="AA522" s="20" t="s">
        <v>388</v>
      </c>
      <c r="AB522" s="20" t="s">
        <v>388</v>
      </c>
      <c r="AC522" s="20" t="s">
        <v>388</v>
      </c>
      <c r="AD522" s="20" t="s">
        <v>388</v>
      </c>
      <c r="AE522" s="20"/>
      <c r="AF522" s="9" t="n">
        <v>1</v>
      </c>
      <c r="AG522" s="12" t="n">
        <v>1</v>
      </c>
      <c r="AH522" s="22" t="s">
        <v>235</v>
      </c>
      <c r="AI522" s="12" t="str">
        <f>IF(AH522="","",IFERROR(RIGHT("0000"&amp;AH522,4)&amp;" - "&amp;UPPER(_xlfn.XLOOKUP(RIGHT("0000"&amp;AH522,4),CODEBOOK_CAP!$C$2:$C$212,CODEBOOK_CAP!$D$2:$D$212)),"Código CAP não encontrado"))</f>
        <v>0322 - ESTRUTURAS, HOSPITAIS, CLÍNICAS</v>
      </c>
      <c r="AJ522" s="12" t="str">
        <f>IF(AH522="","",IFERROR(_xlfn.XLOOKUP(RIGHT("0000"&amp;AH522,4),CODEBOOK_CAP!$C$2:$C$212,CODEBOOK_CAP!$E$2:$E$212),"Código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2" s="22" t="s">
        <v>77</v>
      </c>
      <c r="AL522" s="26"/>
      <c r="AM522" s="22" t="s">
        <v>79</v>
      </c>
      <c r="AN522" s="22" t="s">
        <v>79</v>
      </c>
      <c r="AO522" s="12" t="s">
        <v>2994</v>
      </c>
      <c r="AP522" s="22" t="s">
        <v>77</v>
      </c>
      <c r="AQ522" s="12"/>
      <c r="AR522" s="22" t="s">
        <v>77</v>
      </c>
      <c r="AS522" s="10"/>
      <c r="AT522" s="2" t="s">
        <v>1814</v>
      </c>
      <c r="AU522" s="12" t="s">
        <v>83</v>
      </c>
      <c r="AV522" s="3" t="n">
        <v>46221</v>
      </c>
      <c r="AW522" s="21"/>
      <c r="AY522" s="1"/>
      <c r="BA522" s="1"/>
      <c r="BB522" s="1"/>
    </row>
    <row r="523" ht="120" customHeight="1">
      <c r="A523" s="20" t="s">
        <v>2995</v>
      </c>
      <c r="B523" s="20" t="n">
        <v>2023</v>
      </c>
      <c r="C523" s="20" t="n">
        <v>474</v>
      </c>
      <c r="D523" s="20" t="s">
        <v>50</v>
      </c>
      <c r="E523" s="20" t="s">
        <v>2897</v>
      </c>
      <c r="F523" s="20" t="s">
        <v>2996</v>
      </c>
      <c r="G523" s="20" t="s">
        <v>86</v>
      </c>
      <c r="H523" s="20" t="s">
        <v>2899</v>
      </c>
      <c r="I523" s="20"/>
      <c r="J523" s="20" t="s">
        <v>2997</v>
      </c>
      <c r="K523" s="20" t="s">
        <v>226</v>
      </c>
      <c r="L523" s="20" t="s">
        <v>57</v>
      </c>
      <c r="M523" s="20" t="s">
        <v>58</v>
      </c>
      <c r="N523" s="20" t="s">
        <v>59</v>
      </c>
      <c r="O523" s="20" t="s">
        <v>60</v>
      </c>
      <c r="P523" s="20" t="s">
        <v>227</v>
      </c>
      <c r="Q523" s="20" t="s">
        <v>228</v>
      </c>
      <c r="R523" s="20" t="s">
        <v>229</v>
      </c>
      <c r="S523" s="20" t="s">
        <v>230</v>
      </c>
      <c r="T523" s="20" t="s">
        <v>231</v>
      </c>
      <c r="U523" s="20" t="s">
        <v>230</v>
      </c>
      <c r="V523" s="20" t="s">
        <v>232</v>
      </c>
      <c r="W523" s="20" t="s">
        <v>96</v>
      </c>
      <c r="X523" s="20" t="s">
        <v>97</v>
      </c>
      <c r="Y523" s="20" t="s">
        <v>70</v>
      </c>
      <c r="Z523" s="20" t="s">
        <v>98</v>
      </c>
      <c r="AA523" s="20" t="s">
        <v>388</v>
      </c>
      <c r="AB523" s="20" t="s">
        <v>388</v>
      </c>
      <c r="AC523" s="20" t="s">
        <v>388</v>
      </c>
      <c r="AD523" s="20" t="s">
        <v>388</v>
      </c>
      <c r="AE523" s="20"/>
      <c r="AF523" s="9" t="n">
        <v>1</v>
      </c>
      <c r="AG523" s="12" t="n">
        <v>1</v>
      </c>
      <c r="AH523" s="22" t="s">
        <v>235</v>
      </c>
      <c r="AI523" s="12" t="str">
        <f>IF(AH523="","",IFERROR(RIGHT("0000"&amp;AH523,4)&amp;" - "&amp;UPPER(_xlfn.XLOOKUP(RIGHT("0000"&amp;AH523,4),CODEBOOK_CAP!$C$2:$C$212,CODEBOOK_CAP!$D$2:$D$212)),"Código CAP não encontrado"))</f>
        <v>0322 - ESTRUTURAS, HOSPITAIS, CLÍNICAS</v>
      </c>
      <c r="AJ523" s="12" t="str">
        <f>IF(AH523="","",IFERROR(_xlfn.XLOOKUP(RIGHT("0000"&amp;AH523,4),CODEBOOK_CAP!$C$2:$C$212,CODEBOOK_CAP!$E$2:$E$212),"Código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3" s="22" t="s">
        <v>77</v>
      </c>
      <c r="AL523" s="26"/>
      <c r="AM523" s="22" t="s">
        <v>79</v>
      </c>
      <c r="AN523" s="22" t="s">
        <v>79</v>
      </c>
      <c r="AO523" s="12" t="s">
        <v>2998</v>
      </c>
      <c r="AP523" s="22" t="s">
        <v>77</v>
      </c>
      <c r="AQ523" s="12"/>
      <c r="AR523" s="22" t="s">
        <v>77</v>
      </c>
      <c r="AS523" s="10"/>
      <c r="AT523" s="2" t="s">
        <v>1814</v>
      </c>
      <c r="AU523" s="12" t="s">
        <v>83</v>
      </c>
      <c r="AV523" s="3" t="n">
        <v>46221</v>
      </c>
      <c r="AW523" s="21"/>
      <c r="AY523" s="1"/>
      <c r="BA523" s="1"/>
      <c r="BB523" s="1"/>
    </row>
    <row r="524" ht="120" customHeight="1">
      <c r="A524" s="20" t="s">
        <v>2999</v>
      </c>
      <c r="B524" s="20" t="n">
        <v>2023</v>
      </c>
      <c r="C524" s="20" t="n">
        <v>475</v>
      </c>
      <c r="D524" s="20" t="s">
        <v>50</v>
      </c>
      <c r="E524" s="20" t="s">
        <v>2897</v>
      </c>
      <c r="F524" s="20" t="s">
        <v>3000</v>
      </c>
      <c r="G524" s="20" t="s">
        <v>86</v>
      </c>
      <c r="H524" s="20" t="s">
        <v>2899</v>
      </c>
      <c r="I524" s="20"/>
      <c r="J524" s="20" t="s">
        <v>3001</v>
      </c>
      <c r="K524" s="20" t="s">
        <v>3002</v>
      </c>
      <c r="L524" s="20" t="s">
        <v>57</v>
      </c>
      <c r="M524" s="20" t="s">
        <v>58</v>
      </c>
      <c r="N524" s="20" t="s">
        <v>59</v>
      </c>
      <c r="O524" s="20" t="s">
        <v>60</v>
      </c>
      <c r="P524" s="20" t="s">
        <v>227</v>
      </c>
      <c r="Q524" s="20" t="s">
        <v>228</v>
      </c>
      <c r="R524" s="20" t="s">
        <v>229</v>
      </c>
      <c r="S524" s="20" t="s">
        <v>230</v>
      </c>
      <c r="T524" s="20" t="s">
        <v>231</v>
      </c>
      <c r="U524" s="20" t="s">
        <v>230</v>
      </c>
      <c r="V524" s="20" t="s">
        <v>95</v>
      </c>
      <c r="W524" s="20" t="s">
        <v>96</v>
      </c>
      <c r="X524" s="20" t="s">
        <v>97</v>
      </c>
      <c r="Y524" s="20" t="s">
        <v>70</v>
      </c>
      <c r="Z524" s="20" t="s">
        <v>98</v>
      </c>
      <c r="AA524" s="20" t="s">
        <v>388</v>
      </c>
      <c r="AB524" s="20" t="s">
        <v>388</v>
      </c>
      <c r="AC524" s="20" t="s">
        <v>388</v>
      </c>
      <c r="AD524" s="20" t="s">
        <v>388</v>
      </c>
      <c r="AE524" s="20"/>
      <c r="AF524" s="9" t="n">
        <v>1</v>
      </c>
      <c r="AG524" s="12" t="n">
        <v>1</v>
      </c>
      <c r="AH524" s="22" t="s">
        <v>235</v>
      </c>
      <c r="AI524" s="12" t="str">
        <f>IF(AH524="","",IFERROR(RIGHT("0000"&amp;AH524,4)&amp;" - "&amp;UPPER(_xlfn.XLOOKUP(RIGHT("0000"&amp;AH524,4),CODEBOOK_CAP!$C$2:$C$212,CODEBOOK_CAP!$D$2:$D$212)),"Código CAP não encontrado"))</f>
        <v>0322 - ESTRUTURAS, HOSPITAIS, CLÍNICAS</v>
      </c>
      <c r="AJ524" s="12" t="str">
        <f>IF(AH524="","",IFERROR(_xlfn.XLOOKUP(RIGHT("0000"&amp;AH524,4),CODEBOOK_CAP!$C$2:$C$212,CODEBOOK_CAP!$E$2:$E$212),"Código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4" s="22" t="s">
        <v>77</v>
      </c>
      <c r="AL524" s="26"/>
      <c r="AM524" s="22" t="s">
        <v>79</v>
      </c>
      <c r="AN524" s="22" t="s">
        <v>79</v>
      </c>
      <c r="AO524" s="12" t="s">
        <v>3003</v>
      </c>
      <c r="AP524" s="22" t="s">
        <v>77</v>
      </c>
      <c r="AQ524" s="12"/>
      <c r="AR524" s="22" t="s">
        <v>77</v>
      </c>
      <c r="AS524" s="10"/>
      <c r="AT524" s="2" t="s">
        <v>1814</v>
      </c>
      <c r="AU524" s="12" t="s">
        <v>83</v>
      </c>
      <c r="AV524" s="3" t="n">
        <v>46221</v>
      </c>
      <c r="AW524" s="21"/>
      <c r="AY524" s="1"/>
      <c r="BA524" s="1"/>
      <c r="BB524" s="1"/>
    </row>
    <row r="525" ht="120" customHeight="1">
      <c r="A525" s="20" t="s">
        <v>3004</v>
      </c>
      <c r="B525" s="20" t="n">
        <v>2023</v>
      </c>
      <c r="C525" s="20" t="n">
        <v>476</v>
      </c>
      <c r="D525" s="20" t="s">
        <v>50</v>
      </c>
      <c r="E525" s="20" t="s">
        <v>2897</v>
      </c>
      <c r="F525" s="20" t="s">
        <v>3005</v>
      </c>
      <c r="G525" s="20" t="s">
        <v>86</v>
      </c>
      <c r="H525" s="20" t="s">
        <v>2899</v>
      </c>
      <c r="I525" s="20"/>
      <c r="J525" s="20" t="s">
        <v>3006</v>
      </c>
      <c r="K525" s="20" t="s">
        <v>226</v>
      </c>
      <c r="L525" s="20" t="s">
        <v>57</v>
      </c>
      <c r="M525" s="20" t="s">
        <v>58</v>
      </c>
      <c r="N525" s="20" t="s">
        <v>59</v>
      </c>
      <c r="O525" s="20" t="s">
        <v>60</v>
      </c>
      <c r="P525" s="20" t="s">
        <v>227</v>
      </c>
      <c r="Q525" s="20" t="s">
        <v>228</v>
      </c>
      <c r="R525" s="20" t="s">
        <v>229</v>
      </c>
      <c r="S525" s="20" t="s">
        <v>230</v>
      </c>
      <c r="T525" s="20" t="s">
        <v>231</v>
      </c>
      <c r="U525" s="20" t="s">
        <v>230</v>
      </c>
      <c r="V525" s="20" t="s">
        <v>232</v>
      </c>
      <c r="W525" s="20" t="s">
        <v>96</v>
      </c>
      <c r="X525" s="20" t="s">
        <v>97</v>
      </c>
      <c r="Y525" s="20" t="s">
        <v>70</v>
      </c>
      <c r="Z525" s="20" t="s">
        <v>98</v>
      </c>
      <c r="AA525" s="20" t="s">
        <v>388</v>
      </c>
      <c r="AB525" s="20" t="s">
        <v>388</v>
      </c>
      <c r="AC525" s="20" t="s">
        <v>388</v>
      </c>
      <c r="AD525" s="20" t="s">
        <v>388</v>
      </c>
      <c r="AE525" s="20"/>
      <c r="AF525" s="9" t="n">
        <v>1</v>
      </c>
      <c r="AG525" s="12" t="n">
        <v>1</v>
      </c>
      <c r="AH525" s="22" t="s">
        <v>235</v>
      </c>
      <c r="AI525" s="12" t="str">
        <f>IF(AH525="","",IFERROR(RIGHT("0000"&amp;AH525,4)&amp;" - "&amp;UPPER(_xlfn.XLOOKUP(RIGHT("0000"&amp;AH525,4),CODEBOOK_CAP!$C$2:$C$212,CODEBOOK_CAP!$D$2:$D$212)),"Código CAP não encontrado"))</f>
        <v>0322 - ESTRUTURAS, HOSPITAIS, CLÍNICAS</v>
      </c>
      <c r="AJ525" s="12" t="str">
        <f>IF(AH525="","",IFERROR(_xlfn.XLOOKUP(RIGHT("0000"&amp;AH525,4),CODEBOOK_CAP!$C$2:$C$212,CODEBOOK_CAP!$E$2:$E$212),"Código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5" s="22" t="s">
        <v>77</v>
      </c>
      <c r="AL525" s="26"/>
      <c r="AM525" s="22" t="s">
        <v>79</v>
      </c>
      <c r="AN525" s="22" t="s">
        <v>79</v>
      </c>
      <c r="AO525" s="12" t="s">
        <v>3007</v>
      </c>
      <c r="AP525" s="22" t="s">
        <v>77</v>
      </c>
      <c r="AQ525" s="12"/>
      <c r="AR525" s="22" t="s">
        <v>77</v>
      </c>
      <c r="AS525" s="10"/>
      <c r="AT525" s="2" t="s">
        <v>1814</v>
      </c>
      <c r="AU525" s="12" t="s">
        <v>83</v>
      </c>
      <c r="AV525" s="3" t="n">
        <v>46221</v>
      </c>
      <c r="AW525" s="21"/>
      <c r="AY525" s="1"/>
      <c r="BA525" s="1"/>
      <c r="BB525" s="1"/>
    </row>
    <row r="526" ht="120" customHeight="1">
      <c r="A526" s="20" t="s">
        <v>3008</v>
      </c>
      <c r="B526" s="20" t="n">
        <v>2023</v>
      </c>
      <c r="C526" s="20" t="n">
        <v>477</v>
      </c>
      <c r="D526" s="20" t="s">
        <v>50</v>
      </c>
      <c r="E526" s="20" t="s">
        <v>2897</v>
      </c>
      <c r="F526" s="20" t="s">
        <v>3009</v>
      </c>
      <c r="G526" s="20" t="s">
        <v>86</v>
      </c>
      <c r="H526" s="20" t="s">
        <v>2899</v>
      </c>
      <c r="I526" s="20"/>
      <c r="J526" s="20" t="s">
        <v>3010</v>
      </c>
      <c r="K526" s="20" t="s">
        <v>226</v>
      </c>
      <c r="L526" s="20" t="s">
        <v>57</v>
      </c>
      <c r="M526" s="20" t="s">
        <v>58</v>
      </c>
      <c r="N526" s="20" t="s">
        <v>59</v>
      </c>
      <c r="O526" s="20" t="s">
        <v>60</v>
      </c>
      <c r="P526" s="20" t="s">
        <v>227</v>
      </c>
      <c r="Q526" s="20" t="s">
        <v>228</v>
      </c>
      <c r="R526" s="20" t="s">
        <v>229</v>
      </c>
      <c r="S526" s="20" t="s">
        <v>230</v>
      </c>
      <c r="T526" s="20" t="s">
        <v>231</v>
      </c>
      <c r="U526" s="20" t="s">
        <v>230</v>
      </c>
      <c r="V526" s="20" t="s">
        <v>232</v>
      </c>
      <c r="W526" s="20" t="s">
        <v>96</v>
      </c>
      <c r="X526" s="20" t="s">
        <v>97</v>
      </c>
      <c r="Y526" s="20" t="s">
        <v>70</v>
      </c>
      <c r="Z526" s="20" t="s">
        <v>98</v>
      </c>
      <c r="AA526" s="20" t="s">
        <v>388</v>
      </c>
      <c r="AB526" s="20" t="s">
        <v>388</v>
      </c>
      <c r="AC526" s="20" t="s">
        <v>388</v>
      </c>
      <c r="AD526" s="20" t="s">
        <v>388</v>
      </c>
      <c r="AE526" s="20"/>
      <c r="AF526" s="9" t="n">
        <v>1</v>
      </c>
      <c r="AG526" s="12" t="n">
        <v>1</v>
      </c>
      <c r="AH526" s="22" t="s">
        <v>235</v>
      </c>
      <c r="AI526" s="12" t="str">
        <f>IF(AH526="","",IFERROR(RIGHT("0000"&amp;AH526,4)&amp;" - "&amp;UPPER(_xlfn.XLOOKUP(RIGHT("0000"&amp;AH526,4),CODEBOOK_CAP!$C$2:$C$212,CODEBOOK_CAP!$D$2:$D$212)),"Código CAP não encontrado"))</f>
        <v>0322 - ESTRUTURAS, HOSPITAIS, CLÍNICAS</v>
      </c>
      <c r="AJ526" s="12" t="str">
        <f>IF(AH526="","",IFERROR(_xlfn.XLOOKUP(RIGHT("0000"&amp;AH526,4),CODEBOOK_CAP!$C$2:$C$212,CODEBOOK_CAP!$E$2:$E$212),"Código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6" s="22" t="s">
        <v>77</v>
      </c>
      <c r="AL526" s="26"/>
      <c r="AM526" s="22" t="s">
        <v>79</v>
      </c>
      <c r="AN526" s="22" t="s">
        <v>79</v>
      </c>
      <c r="AO526" s="12" t="s">
        <v>3011</v>
      </c>
      <c r="AP526" s="22" t="s">
        <v>77</v>
      </c>
      <c r="AQ526" s="12"/>
      <c r="AR526" s="22" t="s">
        <v>77</v>
      </c>
      <c r="AS526" s="10"/>
      <c r="AT526" s="2" t="s">
        <v>1814</v>
      </c>
      <c r="AU526" s="12" t="s">
        <v>83</v>
      </c>
      <c r="AV526" s="3" t="n">
        <v>46221</v>
      </c>
      <c r="AW526" s="21"/>
      <c r="AY526" s="1"/>
      <c r="BA526" s="1"/>
      <c r="BB526" s="1"/>
    </row>
    <row r="527" ht="120" customHeight="1">
      <c r="A527" s="20" t="s">
        <v>3012</v>
      </c>
      <c r="B527" s="20" t="n">
        <v>2023</v>
      </c>
      <c r="C527" s="20" t="n">
        <v>478</v>
      </c>
      <c r="D527" s="20" t="s">
        <v>50</v>
      </c>
      <c r="E527" s="20" t="s">
        <v>2897</v>
      </c>
      <c r="F527" s="20" t="s">
        <v>3013</v>
      </c>
      <c r="G527" s="20" t="s">
        <v>86</v>
      </c>
      <c r="H527" s="20" t="s">
        <v>2899</v>
      </c>
      <c r="I527" s="20"/>
      <c r="J527" s="20" t="s">
        <v>3014</v>
      </c>
      <c r="K527" s="20" t="s">
        <v>865</v>
      </c>
      <c r="L527" s="20" t="s">
        <v>57</v>
      </c>
      <c r="M527" s="20" t="s">
        <v>58</v>
      </c>
      <c r="N527" s="20" t="s">
        <v>59</v>
      </c>
      <c r="O527" s="20" t="s">
        <v>60</v>
      </c>
      <c r="P527" s="20" t="s">
        <v>227</v>
      </c>
      <c r="Q527" s="20" t="s">
        <v>228</v>
      </c>
      <c r="R527" s="20" t="s">
        <v>229</v>
      </c>
      <c r="S527" s="20" t="s">
        <v>230</v>
      </c>
      <c r="T527" s="20" t="s">
        <v>866</v>
      </c>
      <c r="U527" s="20" t="s">
        <v>867</v>
      </c>
      <c r="V527" s="20" t="s">
        <v>868</v>
      </c>
      <c r="W527" s="20" t="s">
        <v>96</v>
      </c>
      <c r="X527" s="20" t="s">
        <v>97</v>
      </c>
      <c r="Y527" s="20" t="s">
        <v>70</v>
      </c>
      <c r="Z527" s="20" t="s">
        <v>98</v>
      </c>
      <c r="AA527" s="20" t="s">
        <v>388</v>
      </c>
      <c r="AB527" s="20" t="s">
        <v>388</v>
      </c>
      <c r="AC527" s="20" t="s">
        <v>388</v>
      </c>
      <c r="AD527" s="20" t="s">
        <v>388</v>
      </c>
      <c r="AE527" s="20"/>
      <c r="AF527" s="9" t="n">
        <v>1</v>
      </c>
      <c r="AG527" s="12" t="n">
        <v>1</v>
      </c>
      <c r="AH527" s="22" t="s">
        <v>235</v>
      </c>
      <c r="AI527" s="12" t="str">
        <f>IF(AH527="","",IFERROR(RIGHT("0000"&amp;AH527,4)&amp;" - "&amp;UPPER(_xlfn.XLOOKUP(RIGHT("0000"&amp;AH527,4),CODEBOOK_CAP!$C$2:$C$212,CODEBOOK_CAP!$D$2:$D$212)),"Código CAP não encontrado"))</f>
        <v>0322 - ESTRUTURAS, HOSPITAIS, CLÍNICAS</v>
      </c>
      <c r="AJ527" s="12" t="str">
        <f>IF(AH527="","",IFERROR(_xlfn.XLOOKUP(RIGHT("0000"&amp;AH527,4),CODEBOOK_CAP!$C$2:$C$212,CODEBOOK_CAP!$E$2:$E$212),"Código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7" s="22" t="s">
        <v>77</v>
      </c>
      <c r="AL527" s="26"/>
      <c r="AM527" s="22" t="s">
        <v>79</v>
      </c>
      <c r="AN527" s="22" t="s">
        <v>79</v>
      </c>
      <c r="AO527" s="12" t="s">
        <v>3015</v>
      </c>
      <c r="AP527" s="22" t="s">
        <v>77</v>
      </c>
      <c r="AQ527" s="12"/>
      <c r="AR527" s="22" t="s">
        <v>77</v>
      </c>
      <c r="AS527" s="10"/>
      <c r="AT527" s="2" t="s">
        <v>1814</v>
      </c>
      <c r="AU527" s="12" t="s">
        <v>83</v>
      </c>
      <c r="AV527" s="3" t="n">
        <v>46221</v>
      </c>
      <c r="AW527" s="21"/>
      <c r="AY527" s="1"/>
      <c r="BA527" s="1"/>
      <c r="BB527" s="1"/>
    </row>
    <row r="528" ht="120" customHeight="1">
      <c r="A528" s="20" t="s">
        <v>3016</v>
      </c>
      <c r="B528" s="20" t="n">
        <v>2023</v>
      </c>
      <c r="C528" s="20" t="n">
        <v>479</v>
      </c>
      <c r="D528" s="20" t="s">
        <v>50</v>
      </c>
      <c r="E528" s="20" t="s">
        <v>2897</v>
      </c>
      <c r="F528" s="20" t="s">
        <v>3017</v>
      </c>
      <c r="G528" s="20" t="s">
        <v>86</v>
      </c>
      <c r="H528" s="20" t="s">
        <v>2899</v>
      </c>
      <c r="I528" s="20"/>
      <c r="J528" s="20" t="s">
        <v>3018</v>
      </c>
      <c r="K528" s="20" t="s">
        <v>441</v>
      </c>
      <c r="L528" s="20" t="s">
        <v>57</v>
      </c>
      <c r="M528" s="20" t="s">
        <v>58</v>
      </c>
      <c r="N528" s="20" t="s">
        <v>59</v>
      </c>
      <c r="O528" s="20" t="s">
        <v>60</v>
      </c>
      <c r="P528" s="20" t="s">
        <v>89</v>
      </c>
      <c r="Q528" s="20" t="s">
        <v>90</v>
      </c>
      <c r="R528" s="20" t="s">
        <v>91</v>
      </c>
      <c r="S528" s="20" t="s">
        <v>92</v>
      </c>
      <c r="T528" s="20" t="s">
        <v>341</v>
      </c>
      <c r="U528" s="20" t="s">
        <v>342</v>
      </c>
      <c r="V528" s="20" t="s">
        <v>95</v>
      </c>
      <c r="W528" s="20" t="s">
        <v>96</v>
      </c>
      <c r="X528" s="20" t="s">
        <v>97</v>
      </c>
      <c r="Y528" s="20" t="s">
        <v>70</v>
      </c>
      <c r="Z528" s="20" t="s">
        <v>98</v>
      </c>
      <c r="AA528" s="20" t="s">
        <v>388</v>
      </c>
      <c r="AB528" s="20" t="s">
        <v>388</v>
      </c>
      <c r="AC528" s="20" t="s">
        <v>388</v>
      </c>
      <c r="AD528" s="20" t="s">
        <v>388</v>
      </c>
      <c r="AE528" s="20"/>
      <c r="AF528" s="9" t="n">
        <v>1</v>
      </c>
      <c r="AG528" s="12" t="n">
        <v>1</v>
      </c>
      <c r="AH528" s="22" t="s">
        <v>235</v>
      </c>
      <c r="AI528" s="12" t="str">
        <f>IF(AH528="","",IFERROR(RIGHT("0000"&amp;AH528,4)&amp;" - "&amp;UPPER(_xlfn.XLOOKUP(RIGHT("0000"&amp;AH528,4),CODEBOOK_CAP!$C$2:$C$212,CODEBOOK_CAP!$D$2:$D$212)),"Código CAP não encontrado"))</f>
        <v>0322 - ESTRUTURAS, HOSPITAIS, CLÍNICAS</v>
      </c>
      <c r="AJ528" s="12" t="str">
        <f>IF(AH528="","",IFERROR(_xlfn.XLOOKUP(RIGHT("0000"&amp;AH528,4),CODEBOOK_CAP!$C$2:$C$212,CODEBOOK_CAP!$E$2:$E$212),"Código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28" s="22" t="s">
        <v>77</v>
      </c>
      <c r="AL528" s="26"/>
      <c r="AM528" s="22" t="s">
        <v>79</v>
      </c>
      <c r="AN528" s="22" t="s">
        <v>79</v>
      </c>
      <c r="AO528" s="12" t="s">
        <v>3019</v>
      </c>
      <c r="AP528" s="22" t="s">
        <v>77</v>
      </c>
      <c r="AQ528" s="12"/>
      <c r="AR528" s="22" t="s">
        <v>77</v>
      </c>
      <c r="AS528" s="10"/>
      <c r="AT528" s="2" t="s">
        <v>1814</v>
      </c>
      <c r="AU528" s="12" t="s">
        <v>83</v>
      </c>
      <c r="AV528" s="3" t="n">
        <v>46221</v>
      </c>
      <c r="AW528" s="21"/>
      <c r="AY528" s="1"/>
      <c r="BA528" s="1"/>
      <c r="BB528" s="1"/>
    </row>
    <row r="529" ht="210" customHeight="1">
      <c r="A529" s="20" t="s">
        <v>3020</v>
      </c>
      <c r="B529" s="20" t="n">
        <v>2023</v>
      </c>
      <c r="C529" s="20" t="n">
        <v>480</v>
      </c>
      <c r="D529" s="20" t="s">
        <v>50</v>
      </c>
      <c r="E529" s="20" t="s">
        <v>2897</v>
      </c>
      <c r="F529" s="20" t="s">
        <v>2526</v>
      </c>
      <c r="G529" s="20" t="s">
        <v>86</v>
      </c>
      <c r="H529" s="20" t="s">
        <v>2899</v>
      </c>
      <c r="I529" s="20"/>
      <c r="J529" s="20" t="s">
        <v>3021</v>
      </c>
      <c r="K529" s="20" t="s">
        <v>3022</v>
      </c>
      <c r="L529" s="20" t="s">
        <v>785</v>
      </c>
      <c r="M529" s="20" t="s">
        <v>786</v>
      </c>
      <c r="N529" s="20" t="s">
        <v>787</v>
      </c>
      <c r="O529" s="20" t="s">
        <v>788</v>
      </c>
      <c r="P529" s="20" t="s">
        <v>517</v>
      </c>
      <c r="Q529" s="20" t="s">
        <v>893</v>
      </c>
      <c r="R529" s="20" t="s">
        <v>894</v>
      </c>
      <c r="S529" s="20" t="s">
        <v>895</v>
      </c>
      <c r="T529" s="20" t="s">
        <v>792</v>
      </c>
      <c r="U529" s="20" t="s">
        <v>793</v>
      </c>
      <c r="V529" s="20" t="s">
        <v>95</v>
      </c>
      <c r="W529" s="20" t="s">
        <v>96</v>
      </c>
      <c r="X529" s="20" t="s">
        <v>97</v>
      </c>
      <c r="Y529" s="20" t="s">
        <v>70</v>
      </c>
      <c r="Z529" s="20" t="s">
        <v>794</v>
      </c>
      <c r="AA529" s="20" t="s">
        <v>388</v>
      </c>
      <c r="AB529" s="20" t="s">
        <v>388</v>
      </c>
      <c r="AC529" s="20" t="s">
        <v>125</v>
      </c>
      <c r="AD529" s="20" t="s">
        <v>388</v>
      </c>
      <c r="AE529" s="20"/>
      <c r="AF529" s="9" t="n">
        <v>0</v>
      </c>
      <c r="AG529" s="12" t="n">
        <v>0</v>
      </c>
      <c r="AH529" s="22" t="s">
        <v>899</v>
      </c>
      <c r="AI529" s="12" t="str">
        <f>IF(AH529="","",IFERROR(RIGHT("0000"&amp;AH529,4)&amp;" - "&amp;UPPER(_xlfn.XLOOKUP(RIGHT("0000"&amp;AH529,4),CODEBOOK_CAP!$C$2:$C$212,CODEBOOK_CAP!$D$2:$D$212)),"Código CAP não encontrado"))</f>
        <v>0602 - ENSINO BÁSICO, FUNDAMENTAL E MÉDIO</v>
      </c>
      <c r="AJ529" s="12" t="str">
        <f>IF(AH529="","",IFERROR(_xlfn.XLOOKUP(RIGHT("0000"&amp;AH529,4),CODEBOOK_CAP!$C$2:$C$212,CODEBOOK_CAP!$E$2:$E$212),"Código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529" s="22" t="s">
        <v>77</v>
      </c>
      <c r="AL529" s="26"/>
      <c r="AM529" s="22" t="s">
        <v>79</v>
      </c>
      <c r="AN529" s="22" t="s">
        <v>79</v>
      </c>
      <c r="AO529" s="12" t="s">
        <v>3023</v>
      </c>
      <c r="AP529" s="22" t="s">
        <v>79</v>
      </c>
      <c r="AQ529" s="12" t="s">
        <v>901</v>
      </c>
      <c r="AR529" s="22" t="s">
        <v>77</v>
      </c>
      <c r="AS529" s="10"/>
      <c r="AT529" s="2" t="s">
        <v>1814</v>
      </c>
      <c r="AU529" s="12" t="s">
        <v>83</v>
      </c>
      <c r="AV529" s="3" t="n">
        <v>46221</v>
      </c>
      <c r="AW529" s="21"/>
      <c r="AY529" s="1"/>
      <c r="BA529" s="1"/>
      <c r="BB529" s="1"/>
    </row>
    <row r="530" ht="105" customHeight="1">
      <c r="A530" s="20" t="s">
        <v>3024</v>
      </c>
      <c r="B530" s="20" t="n">
        <v>2023</v>
      </c>
      <c r="C530" s="20" t="n">
        <v>92</v>
      </c>
      <c r="D530" s="20" t="s">
        <v>50</v>
      </c>
      <c r="E530" s="20" t="s">
        <v>3025</v>
      </c>
      <c r="F530" s="20" t="s">
        <v>3026</v>
      </c>
      <c r="G530" s="20" t="s">
        <v>315</v>
      </c>
      <c r="H530" s="20" t="s">
        <v>3027</v>
      </c>
      <c r="I530" s="20"/>
      <c r="J530" s="20" t="s">
        <v>3028</v>
      </c>
      <c r="K530" s="20" t="s">
        <v>1710</v>
      </c>
      <c r="L530" s="20" t="s">
        <v>274</v>
      </c>
      <c r="M530" s="20" t="s">
        <v>275</v>
      </c>
      <c r="N530" s="20" t="s">
        <v>276</v>
      </c>
      <c r="O530" s="20" t="s">
        <v>277</v>
      </c>
      <c r="P530" s="20" t="s">
        <v>278</v>
      </c>
      <c r="Q530" s="20" t="s">
        <v>279</v>
      </c>
      <c r="R530" s="20" t="s">
        <v>280</v>
      </c>
      <c r="S530" s="20" t="s">
        <v>281</v>
      </c>
      <c r="T530" s="20" t="s">
        <v>752</v>
      </c>
      <c r="U530" s="20" t="s">
        <v>753</v>
      </c>
      <c r="V530" s="20" t="s">
        <v>95</v>
      </c>
      <c r="W530" s="20" t="s">
        <v>96</v>
      </c>
      <c r="X530" s="20" t="s">
        <v>97</v>
      </c>
      <c r="Y530" s="20" t="s">
        <v>70</v>
      </c>
      <c r="Z530" s="20" t="s">
        <v>284</v>
      </c>
      <c r="AA530" s="20" t="s">
        <v>580</v>
      </c>
      <c r="AB530" s="20" t="s">
        <v>580</v>
      </c>
      <c r="AC530" s="20" t="s">
        <v>580</v>
      </c>
      <c r="AD530" s="20" t="s">
        <v>580</v>
      </c>
      <c r="AE530" s="20"/>
      <c r="AF530" s="9" t="n">
        <v>0</v>
      </c>
      <c r="AG530" s="12" t="n">
        <v>0</v>
      </c>
      <c r="AH530" s="22" t="s">
        <v>143</v>
      </c>
      <c r="AI530" s="12" t="str">
        <f>IF(AH530="","",IFERROR(RIGHT("0000"&amp;AH530,4)&amp;" - "&amp;UPPER(_xlfn.XLOOKUP(RIGHT("0000"&amp;AH530,4),CODEBOOK_CAP!$C$2:$C$212,CODEBOOK_CAP!$D$2:$D$212)),"Código CAP não encontrado"))</f>
        <v>0502 - FORMAÇÃO E DESENVOLVIMENTO PROFISSIONAL</v>
      </c>
      <c r="AJ530" s="12" t="str">
        <f>IF(AH530="","",IFERROR(_xlfn.XLOOKUP(RIGHT("0000"&amp;AH530,4),CODEBOOK_CAP!$C$2:$C$212,CODEBOOK_CAP!$E$2:$E$212),"Código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530" s="22" t="s">
        <v>77</v>
      </c>
      <c r="AL530" s="26"/>
      <c r="AM530" s="22" t="s">
        <v>77</v>
      </c>
      <c r="AN530" s="22" t="s">
        <v>77</v>
      </c>
      <c r="AO530" s="12"/>
      <c r="AP530" s="22" t="s">
        <v>77</v>
      </c>
      <c r="AQ530" s="12"/>
      <c r="AR530" s="22" t="s">
        <v>77</v>
      </c>
      <c r="AS530" s="10"/>
      <c r="AT530" s="2" t="s">
        <v>1814</v>
      </c>
      <c r="AU530" s="12" t="s">
        <v>83</v>
      </c>
      <c r="AV530" s="3" t="n">
        <v>46221</v>
      </c>
      <c r="AW530" s="21"/>
      <c r="AY530" s="1"/>
      <c r="BA530" s="1"/>
      <c r="BB530" s="1"/>
    </row>
    <row r="531" ht="120" customHeight="1">
      <c r="A531" s="20" t="s">
        <v>3029</v>
      </c>
      <c r="B531" s="20" t="n">
        <v>2023</v>
      </c>
      <c r="C531" s="20" t="n">
        <v>93</v>
      </c>
      <c r="D531" s="20" t="s">
        <v>50</v>
      </c>
      <c r="E531" s="20" t="s">
        <v>3025</v>
      </c>
      <c r="F531" s="20" t="s">
        <v>3030</v>
      </c>
      <c r="G531" s="20" t="s">
        <v>86</v>
      </c>
      <c r="H531" s="20" t="s">
        <v>3027</v>
      </c>
      <c r="I531" s="20"/>
      <c r="J531" s="20" t="s">
        <v>3031</v>
      </c>
      <c r="K531" s="20" t="s">
        <v>1117</v>
      </c>
      <c r="L531" s="20" t="s">
        <v>274</v>
      </c>
      <c r="M531" s="20" t="s">
        <v>275</v>
      </c>
      <c r="N531" s="20" t="s">
        <v>276</v>
      </c>
      <c r="O531" s="20" t="s">
        <v>277</v>
      </c>
      <c r="P531" s="20" t="s">
        <v>278</v>
      </c>
      <c r="Q531" s="20" t="s">
        <v>279</v>
      </c>
      <c r="R531" s="20" t="s">
        <v>1118</v>
      </c>
      <c r="S531" s="20" t="s">
        <v>1119</v>
      </c>
      <c r="T531" s="20" t="s">
        <v>1120</v>
      </c>
      <c r="U531" s="20" t="s">
        <v>1121</v>
      </c>
      <c r="V531" s="20" t="s">
        <v>95</v>
      </c>
      <c r="W531" s="20" t="s">
        <v>96</v>
      </c>
      <c r="X531" s="20" t="s">
        <v>97</v>
      </c>
      <c r="Y531" s="20" t="s">
        <v>70</v>
      </c>
      <c r="Z531" s="20" t="s">
        <v>284</v>
      </c>
      <c r="AA531" s="20" t="s">
        <v>388</v>
      </c>
      <c r="AB531" s="20" t="s">
        <v>388</v>
      </c>
      <c r="AC531" s="20" t="s">
        <v>388</v>
      </c>
      <c r="AD531" s="20" t="s">
        <v>388</v>
      </c>
      <c r="AE531" s="20"/>
      <c r="AF531" s="9" t="n">
        <v>0</v>
      </c>
      <c r="AG531" s="12" t="n">
        <v>0</v>
      </c>
      <c r="AH531" s="22" t="s">
        <v>941</v>
      </c>
      <c r="AI531" s="12" t="str">
        <f>IF(AH531="","",IFERROR(RIGHT("0000"&amp;AH531,4)&amp;" - "&amp;UPPER(_xlfn.XLOOKUP(RIGHT("0000"&amp;AH531,4),CODEBOOK_CAP!$C$2:$C$212,CODEBOOK_CAP!$D$2:$D$212)),"Código CAP não encontrado"))</f>
        <v>1308 - POLÍTICAS SOCIAIS PARA FAMÍLIAS E INFÂNCIA</v>
      </c>
      <c r="AJ531" s="12" t="str">
        <f>IF(AH531="","",IFERROR(_xlfn.XLOOKUP(RIGHT("0000"&amp;AH531,4),CODEBOOK_CAP!$C$2:$C$212,CODEBOOK_CAP!$E$2:$E$212),"Código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31" s="22" t="s">
        <v>77</v>
      </c>
      <c r="AL531" s="26"/>
      <c r="AM531" s="22" t="s">
        <v>77</v>
      </c>
      <c r="AN531" s="22" t="s">
        <v>77</v>
      </c>
      <c r="AO531" s="12"/>
      <c r="AP531" s="22" t="s">
        <v>79</v>
      </c>
      <c r="AQ531" s="12" t="s">
        <v>901</v>
      </c>
      <c r="AR531" s="22" t="s">
        <v>77</v>
      </c>
      <c r="AS531" s="10"/>
      <c r="AT531" s="2" t="s">
        <v>1814</v>
      </c>
      <c r="AU531" s="12" t="s">
        <v>83</v>
      </c>
      <c r="AV531" s="3" t="n">
        <v>46221</v>
      </c>
      <c r="AW531" s="21"/>
      <c r="AY531" s="1"/>
      <c r="BA531" s="1"/>
      <c r="BB531" s="1"/>
    </row>
    <row r="532" ht="105" customHeight="1">
      <c r="A532" s="20" t="s">
        <v>3032</v>
      </c>
      <c r="B532" s="20" t="n">
        <v>2023</v>
      </c>
      <c r="C532" s="20" t="n">
        <v>94</v>
      </c>
      <c r="D532" s="20" t="s">
        <v>50</v>
      </c>
      <c r="E532" s="20" t="s">
        <v>3025</v>
      </c>
      <c r="F532" s="20" t="s">
        <v>3033</v>
      </c>
      <c r="G532" s="20" t="s">
        <v>86</v>
      </c>
      <c r="H532" s="20" t="s">
        <v>3027</v>
      </c>
      <c r="I532" s="20"/>
      <c r="J532" s="20" t="s">
        <v>3034</v>
      </c>
      <c r="K532" s="20" t="s">
        <v>3035</v>
      </c>
      <c r="L532" s="20" t="s">
        <v>274</v>
      </c>
      <c r="M532" s="20" t="s">
        <v>275</v>
      </c>
      <c r="N532" s="20" t="s">
        <v>276</v>
      </c>
      <c r="O532" s="20" t="s">
        <v>277</v>
      </c>
      <c r="P532" s="20" t="s">
        <v>750</v>
      </c>
      <c r="Q532" s="20" t="s">
        <v>751</v>
      </c>
      <c r="R532" s="20" t="s">
        <v>1118</v>
      </c>
      <c r="S532" s="20" t="s">
        <v>1119</v>
      </c>
      <c r="T532" s="20" t="s">
        <v>1120</v>
      </c>
      <c r="U532" s="20" t="s">
        <v>1121</v>
      </c>
      <c r="V532" s="20" t="s">
        <v>95</v>
      </c>
      <c r="W532" s="20" t="s">
        <v>96</v>
      </c>
      <c r="X532" s="20" t="s">
        <v>97</v>
      </c>
      <c r="Y532" s="20" t="s">
        <v>70</v>
      </c>
      <c r="Z532" s="20" t="s">
        <v>284</v>
      </c>
      <c r="AA532" s="20" t="s">
        <v>202</v>
      </c>
      <c r="AB532" s="20" t="s">
        <v>202</v>
      </c>
      <c r="AC532" s="20" t="s">
        <v>202</v>
      </c>
      <c r="AD532" s="20" t="s">
        <v>202</v>
      </c>
      <c r="AE532" s="20"/>
      <c r="AF532" s="9" t="n">
        <v>0</v>
      </c>
      <c r="AG532" s="12" t="n">
        <v>0</v>
      </c>
      <c r="AH532" s="22" t="s">
        <v>941</v>
      </c>
      <c r="AI532" s="12" t="str">
        <f>IF(AH532="","",IFERROR(RIGHT("0000"&amp;AH532,4)&amp;" - "&amp;UPPER(_xlfn.XLOOKUP(RIGHT("0000"&amp;AH532,4),CODEBOOK_CAP!$C$2:$C$212,CODEBOOK_CAP!$D$2:$D$212)),"Código CAP não encontrado"))</f>
        <v>1308 - POLÍTICAS SOCIAIS PARA FAMÍLIAS E INFÂNCIA</v>
      </c>
      <c r="AJ532" s="12" t="str">
        <f>IF(AH532="","",IFERROR(_xlfn.XLOOKUP(RIGHT("0000"&amp;AH532,4),CODEBOOK_CAP!$C$2:$C$212,CODEBOOK_CAP!$E$2:$E$212),"Código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32" s="22" t="s">
        <v>77</v>
      </c>
      <c r="AL532" s="26"/>
      <c r="AM532" s="22" t="s">
        <v>77</v>
      </c>
      <c r="AN532" s="22" t="s">
        <v>77</v>
      </c>
      <c r="AO532" s="12"/>
      <c r="AP532" s="22" t="s">
        <v>79</v>
      </c>
      <c r="AQ532" s="12" t="s">
        <v>901</v>
      </c>
      <c r="AR532" s="22" t="s">
        <v>77</v>
      </c>
      <c r="AS532" s="10"/>
      <c r="AT532" s="2" t="s">
        <v>1814</v>
      </c>
      <c r="AU532" s="12" t="s">
        <v>83</v>
      </c>
      <c r="AV532" s="3" t="n">
        <v>46221</v>
      </c>
      <c r="AW532" s="21"/>
      <c r="AY532" s="1"/>
      <c r="BA532" s="1"/>
      <c r="BB532" s="1"/>
    </row>
    <row r="533" ht="120" customHeight="1">
      <c r="A533" s="20" t="s">
        <v>3036</v>
      </c>
      <c r="B533" s="20" t="n">
        <v>2023</v>
      </c>
      <c r="C533" s="20" t="n">
        <v>95</v>
      </c>
      <c r="D533" s="20" t="s">
        <v>50</v>
      </c>
      <c r="E533" s="20" t="s">
        <v>3025</v>
      </c>
      <c r="F533" s="20" t="s">
        <v>3037</v>
      </c>
      <c r="G533" s="20" t="s">
        <v>315</v>
      </c>
      <c r="H533" s="20" t="s">
        <v>3027</v>
      </c>
      <c r="I533" s="20"/>
      <c r="J533" s="20" t="s">
        <v>3038</v>
      </c>
      <c r="K533" s="20" t="s">
        <v>273</v>
      </c>
      <c r="L533" s="20" t="s">
        <v>274</v>
      </c>
      <c r="M533" s="20" t="s">
        <v>275</v>
      </c>
      <c r="N533" s="20" t="s">
        <v>276</v>
      </c>
      <c r="O533" s="20" t="s">
        <v>277</v>
      </c>
      <c r="P533" s="20" t="s">
        <v>278</v>
      </c>
      <c r="Q533" s="20" t="s">
        <v>279</v>
      </c>
      <c r="R533" s="20" t="s">
        <v>280</v>
      </c>
      <c r="S533" s="20" t="s">
        <v>281</v>
      </c>
      <c r="T533" s="20" t="s">
        <v>282</v>
      </c>
      <c r="U533" s="20" t="s">
        <v>283</v>
      </c>
      <c r="V533" s="20" t="s">
        <v>95</v>
      </c>
      <c r="W533" s="20" t="s">
        <v>96</v>
      </c>
      <c r="X533" s="20" t="s">
        <v>97</v>
      </c>
      <c r="Y533" s="20" t="s">
        <v>70</v>
      </c>
      <c r="Z533" s="20" t="s">
        <v>284</v>
      </c>
      <c r="AA533" s="20" t="s">
        <v>3039</v>
      </c>
      <c r="AB533" s="20" t="s">
        <v>3039</v>
      </c>
      <c r="AC533" s="20" t="s">
        <v>3039</v>
      </c>
      <c r="AD533" s="20" t="s">
        <v>3039</v>
      </c>
      <c r="AE533" s="20"/>
      <c r="AF533" s="9" t="n">
        <v>0</v>
      </c>
      <c r="AG533" s="12" t="n">
        <v>0</v>
      </c>
      <c r="AH533" s="22" t="s">
        <v>941</v>
      </c>
      <c r="AI533" s="12" t="str">
        <f>IF(AH533="","",IFERROR(RIGHT("0000"&amp;AH533,4)&amp;" - "&amp;UPPER(_xlfn.XLOOKUP(RIGHT("0000"&amp;AH533,4),CODEBOOK_CAP!$C$2:$C$212,CODEBOOK_CAP!$D$2:$D$212)),"Código CAP não encontrado"))</f>
        <v>1308 - POLÍTICAS SOCIAIS PARA FAMÍLIAS E INFÂNCIA</v>
      </c>
      <c r="AJ533" s="12" t="str">
        <f>IF(AH533="","",IFERROR(_xlfn.XLOOKUP(RIGHT("0000"&amp;AH533,4),CODEBOOK_CAP!$C$2:$C$212,CODEBOOK_CAP!$E$2:$E$212),"Código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33" s="22" t="s">
        <v>77</v>
      </c>
      <c r="AL533" s="26"/>
      <c r="AM533" s="22" t="s">
        <v>79</v>
      </c>
      <c r="AN533" s="22" t="s">
        <v>79</v>
      </c>
      <c r="AO533" s="12" t="s">
        <v>3040</v>
      </c>
      <c r="AP533" s="22" t="s">
        <v>79</v>
      </c>
      <c r="AQ533" s="12" t="s">
        <v>1094</v>
      </c>
      <c r="AR533" s="22" t="s">
        <v>77</v>
      </c>
      <c r="AS533" s="10"/>
      <c r="AT533" s="2" t="s">
        <v>1814</v>
      </c>
      <c r="AU533" s="12" t="s">
        <v>83</v>
      </c>
      <c r="AV533" s="3" t="n">
        <v>46221</v>
      </c>
      <c r="AW533" s="21"/>
      <c r="AY533" s="1"/>
      <c r="BA533" s="1"/>
      <c r="BB533" s="1"/>
    </row>
    <row r="534" ht="105" customHeight="1">
      <c r="A534" s="20" t="s">
        <v>3041</v>
      </c>
      <c r="B534" s="20" t="n">
        <v>2023</v>
      </c>
      <c r="C534" s="20" t="n">
        <v>96</v>
      </c>
      <c r="D534" s="20" t="s">
        <v>50</v>
      </c>
      <c r="E534" s="20" t="s">
        <v>3025</v>
      </c>
      <c r="F534" s="20" t="s">
        <v>3042</v>
      </c>
      <c r="G534" s="20" t="s">
        <v>86</v>
      </c>
      <c r="H534" s="20" t="s">
        <v>3027</v>
      </c>
      <c r="I534" s="20"/>
      <c r="J534" s="20" t="s">
        <v>3043</v>
      </c>
      <c r="K534" s="20" t="s">
        <v>241</v>
      </c>
      <c r="L534" s="20" t="s">
        <v>208</v>
      </c>
      <c r="M534" s="20" t="s">
        <v>209</v>
      </c>
      <c r="N534" s="20" t="s">
        <v>188</v>
      </c>
      <c r="O534" s="20" t="s">
        <v>189</v>
      </c>
      <c r="P534" s="20" t="s">
        <v>190</v>
      </c>
      <c r="Q534" s="20" t="s">
        <v>191</v>
      </c>
      <c r="R534" s="20" t="s">
        <v>192</v>
      </c>
      <c r="S534" s="20" t="s">
        <v>193</v>
      </c>
      <c r="T534" s="20" t="s">
        <v>242</v>
      </c>
      <c r="U534" s="20" t="s">
        <v>243</v>
      </c>
      <c r="V534" s="20" t="s">
        <v>67</v>
      </c>
      <c r="W534" s="20" t="s">
        <v>68</v>
      </c>
      <c r="X534" s="20" t="s">
        <v>69</v>
      </c>
      <c r="Y534" s="20" t="s">
        <v>70</v>
      </c>
      <c r="Z534" s="20" t="s">
        <v>177</v>
      </c>
      <c r="AA534" s="20" t="s">
        <v>198</v>
      </c>
      <c r="AB534" s="20" t="s">
        <v>3044</v>
      </c>
      <c r="AC534" s="20" t="s">
        <v>3044</v>
      </c>
      <c r="AD534" s="20" t="s">
        <v>3044</v>
      </c>
      <c r="AE534" s="20"/>
      <c r="AF534" s="9" t="n">
        <v>0</v>
      </c>
      <c r="AG534" s="12" t="n">
        <v>0</v>
      </c>
      <c r="AH534" s="22" t="s">
        <v>161</v>
      </c>
      <c r="AI534" s="12" t="str">
        <f>IF(AH534="","",IFERROR(RIGHT("0000"&amp;AH534,4)&amp;" - "&amp;UPPER(_xlfn.XLOOKUP(RIGHT("0000"&amp;AH534,4),CODEBOOK_CAP!$C$2:$C$212,CODEBOOK_CAP!$D$2:$D$212)),"Código CAP não encontrado"))</f>
        <v>2300 - GERAL</v>
      </c>
      <c r="AJ534" s="12" t="str">
        <f>IF(AH534="","",IFERROR(_xlfn.XLOOKUP(RIGHT("0000"&amp;AH534,4),CODEBOOK_CAP!$C$2:$C$212,CODEBOOK_CAP!$E$2:$E$212),"Código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34" s="22" t="s">
        <v>79</v>
      </c>
      <c r="AL534" s="26" t="s">
        <v>3045</v>
      </c>
      <c r="AM534" s="22" t="s">
        <v>79</v>
      </c>
      <c r="AN534" s="22" t="s">
        <v>79</v>
      </c>
      <c r="AO534" s="12" t="s">
        <v>3045</v>
      </c>
      <c r="AP534" s="22" t="s">
        <v>77</v>
      </c>
      <c r="AQ534" s="12"/>
      <c r="AR534" s="22" t="s">
        <v>77</v>
      </c>
      <c r="AS534" s="10"/>
      <c r="AT534" s="2" t="s">
        <v>1814</v>
      </c>
      <c r="AU534" s="12" t="s">
        <v>83</v>
      </c>
      <c r="AV534" s="3" t="n">
        <v>46221</v>
      </c>
      <c r="AW534" s="21"/>
      <c r="AX534" s="1" t="s">
        <v>6956</v>
      </c>
      <c r="AY534" s="1"/>
      <c r="BA534" s="1"/>
      <c r="BB534" s="1"/>
    </row>
    <row r="535" ht="105" customHeight="1">
      <c r="A535" s="20" t="s">
        <v>3046</v>
      </c>
      <c r="B535" s="20" t="n">
        <v>2023</v>
      </c>
      <c r="C535" s="20" t="n">
        <v>97</v>
      </c>
      <c r="D535" s="20" t="s">
        <v>50</v>
      </c>
      <c r="E535" s="20" t="s">
        <v>3025</v>
      </c>
      <c r="F535" s="20" t="s">
        <v>3047</v>
      </c>
      <c r="G535" s="20" t="s">
        <v>86</v>
      </c>
      <c r="H535" s="20" t="s">
        <v>3027</v>
      </c>
      <c r="I535" s="20"/>
      <c r="J535" s="20" t="s">
        <v>3048</v>
      </c>
      <c r="K535" s="20" t="s">
        <v>241</v>
      </c>
      <c r="L535" s="20" t="s">
        <v>208</v>
      </c>
      <c r="M535" s="20" t="s">
        <v>209</v>
      </c>
      <c r="N535" s="20" t="s">
        <v>188</v>
      </c>
      <c r="O535" s="20" t="s">
        <v>189</v>
      </c>
      <c r="P535" s="20" t="s">
        <v>190</v>
      </c>
      <c r="Q535" s="20" t="s">
        <v>191</v>
      </c>
      <c r="R535" s="20" t="s">
        <v>192</v>
      </c>
      <c r="S535" s="20" t="s">
        <v>193</v>
      </c>
      <c r="T535" s="20" t="s">
        <v>242</v>
      </c>
      <c r="U535" s="20" t="s">
        <v>243</v>
      </c>
      <c r="V535" s="20" t="s">
        <v>67</v>
      </c>
      <c r="W535" s="20" t="s">
        <v>68</v>
      </c>
      <c r="X535" s="20" t="s">
        <v>69</v>
      </c>
      <c r="Y535" s="20" t="s">
        <v>70</v>
      </c>
      <c r="Z535" s="20" t="s">
        <v>177</v>
      </c>
      <c r="AA535" s="20" t="s">
        <v>142</v>
      </c>
      <c r="AB535" s="20" t="s">
        <v>3049</v>
      </c>
      <c r="AC535" s="20" t="s">
        <v>3049</v>
      </c>
      <c r="AD535" s="20" t="s">
        <v>3049</v>
      </c>
      <c r="AE535" s="20" t="s">
        <v>3050</v>
      </c>
      <c r="AF535" s="9" t="n">
        <v>0</v>
      </c>
      <c r="AG535" s="12" t="n">
        <v>0</v>
      </c>
      <c r="AH535" s="22" t="s">
        <v>161</v>
      </c>
      <c r="AI535" s="12" t="str">
        <f>IF(AH535="","",IFERROR(RIGHT("0000"&amp;AH535,4)&amp;" - "&amp;UPPER(_xlfn.XLOOKUP(RIGHT("0000"&amp;AH535,4),CODEBOOK_CAP!$C$2:$C$212,CODEBOOK_CAP!$D$2:$D$212)),"Código CAP não encontrado"))</f>
        <v>2300 - GERAL</v>
      </c>
      <c r="AJ535" s="12" t="str">
        <f>IF(AH535="","",IFERROR(_xlfn.XLOOKUP(RIGHT("0000"&amp;AH535,4),CODEBOOK_CAP!$C$2:$C$212,CODEBOOK_CAP!$E$2:$E$212),"Código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35" s="22" t="s">
        <v>79</v>
      </c>
      <c r="AL535" s="26" t="s">
        <v>3051</v>
      </c>
      <c r="AM535" s="22" t="s">
        <v>79</v>
      </c>
      <c r="AN535" s="22" t="s">
        <v>79</v>
      </c>
      <c r="AO535" s="12" t="s">
        <v>3051</v>
      </c>
      <c r="AP535" s="22" t="s">
        <v>77</v>
      </c>
      <c r="AQ535" s="12"/>
      <c r="AR535" s="22" t="s">
        <v>79</v>
      </c>
      <c r="AS535" s="10" t="s">
        <v>3050</v>
      </c>
      <c r="AT535" s="2" t="s">
        <v>1814</v>
      </c>
      <c r="AU535" s="12" t="s">
        <v>83</v>
      </c>
      <c r="AV535" s="3" t="n">
        <v>46221</v>
      </c>
      <c r="AW535" s="21"/>
      <c r="AX535" s="1" t="s">
        <v>6956</v>
      </c>
      <c r="AY535" s="1"/>
      <c r="BA535" s="1"/>
      <c r="BB535" s="1"/>
    </row>
    <row r="536" ht="210" customHeight="1">
      <c r="A536" s="20" t="s">
        <v>3052</v>
      </c>
      <c r="B536" s="20" t="n">
        <v>2023</v>
      </c>
      <c r="C536" s="20" t="n">
        <v>98</v>
      </c>
      <c r="D536" s="20" t="s">
        <v>50</v>
      </c>
      <c r="E536" s="20" t="s">
        <v>3025</v>
      </c>
      <c r="F536" s="20" t="s">
        <v>3053</v>
      </c>
      <c r="G536" s="20" t="s">
        <v>86</v>
      </c>
      <c r="H536" s="20" t="s">
        <v>3027</v>
      </c>
      <c r="I536" s="20"/>
      <c r="J536" s="20" t="s">
        <v>3054</v>
      </c>
      <c r="K536" s="20" t="s">
        <v>3055</v>
      </c>
      <c r="L536" s="20" t="s">
        <v>274</v>
      </c>
      <c r="M536" s="20" t="s">
        <v>275</v>
      </c>
      <c r="N536" s="20" t="s">
        <v>276</v>
      </c>
      <c r="O536" s="20" t="s">
        <v>277</v>
      </c>
      <c r="P536" s="20" t="s">
        <v>278</v>
      </c>
      <c r="Q536" s="20" t="s">
        <v>279</v>
      </c>
      <c r="R536" s="20" t="s">
        <v>280</v>
      </c>
      <c r="S536" s="20" t="s">
        <v>281</v>
      </c>
      <c r="T536" s="20" t="s">
        <v>282</v>
      </c>
      <c r="U536" s="20" t="s">
        <v>283</v>
      </c>
      <c r="V536" s="20" t="s">
        <v>196</v>
      </c>
      <c r="W536" s="20" t="s">
        <v>68</v>
      </c>
      <c r="X536" s="20" t="s">
        <v>69</v>
      </c>
      <c r="Y536" s="20" t="s">
        <v>70</v>
      </c>
      <c r="Z536" s="20" t="s">
        <v>284</v>
      </c>
      <c r="AA536" s="20" t="s">
        <v>292</v>
      </c>
      <c r="AB536" s="20" t="s">
        <v>3056</v>
      </c>
      <c r="AC536" s="20" t="s">
        <v>3056</v>
      </c>
      <c r="AD536" s="20" t="s">
        <v>3056</v>
      </c>
      <c r="AE536" s="20" t="s">
        <v>3057</v>
      </c>
      <c r="AF536" s="9" t="n">
        <v>0</v>
      </c>
      <c r="AG536" s="12" t="n">
        <v>0</v>
      </c>
      <c r="AH536" s="22" t="s">
        <v>607</v>
      </c>
      <c r="AI536" s="12" t="str">
        <f>IF(AH536="","",IFERROR(RIGHT("0000"&amp;AH536,4)&amp;" - "&amp;UPPER(_xlfn.XLOOKUP(RIGHT("0000"&amp;AH536,4),CODEBOOK_CAP!$C$2:$C$212,CODEBOOK_CAP!$D$2:$D$212)),"Código CAP não encontrado"))</f>
        <v>1300 - GERAL</v>
      </c>
      <c r="AJ536" s="12" t="str">
        <f>IF(AH536="","",IFERROR(_xlfn.XLOOKUP(RIGHT("0000"&amp;AH536,4),CODEBOOK_CAP!$C$2:$C$212,CODEBOOK_CAP!$E$2:$E$212),"Código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36" s="22" t="s">
        <v>77</v>
      </c>
      <c r="AL536" s="26"/>
      <c r="AM536" s="22" t="s">
        <v>79</v>
      </c>
      <c r="AN536" s="22" t="s">
        <v>79</v>
      </c>
      <c r="AO536" s="12" t="s">
        <v>3058</v>
      </c>
      <c r="AP536" s="22" t="s">
        <v>77</v>
      </c>
      <c r="AQ536" s="12"/>
      <c r="AR536" s="22" t="s">
        <v>79</v>
      </c>
      <c r="AS536" s="10" t="s">
        <v>3057</v>
      </c>
      <c r="AT536" s="2" t="s">
        <v>1814</v>
      </c>
      <c r="AU536" s="12" t="s">
        <v>83</v>
      </c>
      <c r="AV536" s="3" t="n">
        <v>46221</v>
      </c>
      <c r="AW536" s="21"/>
      <c r="AY536" s="1"/>
      <c r="BA536" s="1"/>
      <c r="BB536" s="1"/>
    </row>
    <row r="537" ht="195" customHeight="1">
      <c r="A537" s="20" t="s">
        <v>3059</v>
      </c>
      <c r="B537" s="20" t="n">
        <v>2023</v>
      </c>
      <c r="C537" s="20" t="n">
        <v>99</v>
      </c>
      <c r="D537" s="20" t="s">
        <v>50</v>
      </c>
      <c r="E537" s="20" t="s">
        <v>3025</v>
      </c>
      <c r="F537" s="20" t="s">
        <v>3060</v>
      </c>
      <c r="G537" s="20" t="s">
        <v>86</v>
      </c>
      <c r="H537" s="20" t="s">
        <v>3027</v>
      </c>
      <c r="I537" s="20"/>
      <c r="J537" s="20" t="s">
        <v>3061</v>
      </c>
      <c r="K537" s="20" t="s">
        <v>289</v>
      </c>
      <c r="L537" s="20" t="s">
        <v>208</v>
      </c>
      <c r="M537" s="20" t="s">
        <v>209</v>
      </c>
      <c r="N537" s="20" t="s">
        <v>210</v>
      </c>
      <c r="O537" s="20" t="s">
        <v>211</v>
      </c>
      <c r="P537" s="20" t="s">
        <v>212</v>
      </c>
      <c r="Q537" s="20" t="s">
        <v>213</v>
      </c>
      <c r="R537" s="20" t="s">
        <v>251</v>
      </c>
      <c r="S537" s="20" t="s">
        <v>252</v>
      </c>
      <c r="T537" s="20" t="s">
        <v>290</v>
      </c>
      <c r="U537" s="20" t="s">
        <v>291</v>
      </c>
      <c r="V537" s="20" t="s">
        <v>67</v>
      </c>
      <c r="W537" s="20" t="s">
        <v>68</v>
      </c>
      <c r="X537" s="20" t="s">
        <v>69</v>
      </c>
      <c r="Y537" s="20" t="s">
        <v>70</v>
      </c>
      <c r="Z537" s="20" t="s">
        <v>177</v>
      </c>
      <c r="AA537" s="20" t="s">
        <v>409</v>
      </c>
      <c r="AB537" s="20" t="s">
        <v>3062</v>
      </c>
      <c r="AC537" s="20" t="s">
        <v>3062</v>
      </c>
      <c r="AD537" s="20" t="s">
        <v>3062</v>
      </c>
      <c r="AE537" s="20"/>
      <c r="AF537" s="9" t="n">
        <v>0</v>
      </c>
      <c r="AG537" s="12" t="n">
        <v>0</v>
      </c>
      <c r="AH537" s="22" t="s">
        <v>294</v>
      </c>
      <c r="AI537" s="12" t="str">
        <f>IF(AH537="","",IFERROR(RIGHT("0000"&amp;AH537,4)&amp;" - "&amp;UPPER(_xlfn.XLOOKUP(RIGHT("0000"&amp;AH537,4),CODEBOOK_CAP!$C$2:$C$212,CODEBOOK_CAP!$D$2:$D$212)),"Código CAP não encontrado"))</f>
        <v>0711 - CONSERVAÇÃO DO SOLO, MAR, RIOS, PRAIAS E COSTAS</v>
      </c>
      <c r="AJ537" s="12" t="str">
        <f>IF(AH537="","",IFERROR(_xlfn.XLOOKUP(RIGHT("0000"&amp;AH537,4),CODEBOOK_CAP!$C$2:$C$212,CODEBOOK_CAP!$E$2:$E$212),"Código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537" s="22" t="s">
        <v>79</v>
      </c>
      <c r="AL537" s="26" t="s">
        <v>3063</v>
      </c>
      <c r="AM537" s="22" t="s">
        <v>79</v>
      </c>
      <c r="AN537" s="22" t="s">
        <v>79</v>
      </c>
      <c r="AO537" s="12" t="s">
        <v>3063</v>
      </c>
      <c r="AP537" s="22" t="s">
        <v>77</v>
      </c>
      <c r="AQ537" s="12"/>
      <c r="AR537" s="22" t="s">
        <v>77</v>
      </c>
      <c r="AS537" s="10"/>
      <c r="AT537" s="2" t="s">
        <v>1814</v>
      </c>
      <c r="AU537" s="12" t="s">
        <v>83</v>
      </c>
      <c r="AV537" s="3" t="n">
        <v>46221</v>
      </c>
      <c r="AW537" s="21"/>
      <c r="AY537" s="1"/>
      <c r="BA537" s="1"/>
      <c r="BB537" s="1"/>
    </row>
    <row r="538" ht="105" customHeight="1">
      <c r="A538" s="20" t="s">
        <v>3064</v>
      </c>
      <c r="B538" s="20" t="n">
        <v>2023</v>
      </c>
      <c r="C538" s="20" t="n">
        <v>100</v>
      </c>
      <c r="D538" s="20" t="s">
        <v>50</v>
      </c>
      <c r="E538" s="20" t="s">
        <v>3025</v>
      </c>
      <c r="F538" s="20" t="s">
        <v>3065</v>
      </c>
      <c r="G538" s="20" t="s">
        <v>86</v>
      </c>
      <c r="H538" s="20" t="s">
        <v>3027</v>
      </c>
      <c r="I538" s="20"/>
      <c r="J538" s="20" t="s">
        <v>3066</v>
      </c>
      <c r="K538" s="20" t="s">
        <v>682</v>
      </c>
      <c r="L538" s="20" t="s">
        <v>186</v>
      </c>
      <c r="M538" s="20" t="s">
        <v>187</v>
      </c>
      <c r="N538" s="20" t="s">
        <v>188</v>
      </c>
      <c r="O538" s="20" t="s">
        <v>189</v>
      </c>
      <c r="P538" s="20" t="s">
        <v>338</v>
      </c>
      <c r="Q538" s="20" t="s">
        <v>683</v>
      </c>
      <c r="R538" s="20" t="s">
        <v>192</v>
      </c>
      <c r="S538" s="20" t="s">
        <v>193</v>
      </c>
      <c r="T538" s="20" t="s">
        <v>684</v>
      </c>
      <c r="U538" s="20" t="s">
        <v>685</v>
      </c>
      <c r="V538" s="20" t="s">
        <v>95</v>
      </c>
      <c r="W538" s="20" t="s">
        <v>96</v>
      </c>
      <c r="X538" s="20" t="s">
        <v>97</v>
      </c>
      <c r="Y538" s="20" t="s">
        <v>70</v>
      </c>
      <c r="Z538" s="20" t="s">
        <v>197</v>
      </c>
      <c r="AA538" s="20" t="s">
        <v>395</v>
      </c>
      <c r="AB538" s="20" t="s">
        <v>3067</v>
      </c>
      <c r="AC538" s="20" t="s">
        <v>3068</v>
      </c>
      <c r="AD538" s="20" t="s">
        <v>3067</v>
      </c>
      <c r="AE538" s="20"/>
      <c r="AF538" s="9" t="n">
        <v>0</v>
      </c>
      <c r="AG538" s="12" t="n">
        <v>0</v>
      </c>
      <c r="AH538" s="22" t="s">
        <v>161</v>
      </c>
      <c r="AI538" s="12" t="str">
        <f>IF(AH538="","",IFERROR(RIGHT("0000"&amp;AH538,4)&amp;" - "&amp;UPPER(_xlfn.XLOOKUP(RIGHT("0000"&amp;AH538,4),CODEBOOK_CAP!$C$2:$C$212,CODEBOOK_CAP!$D$2:$D$212)),"Código CAP não encontrado"))</f>
        <v>2300 - GERAL</v>
      </c>
      <c r="AJ538" s="12" t="str">
        <f>IF(AH538="","",IFERROR(_xlfn.XLOOKUP(RIGHT("0000"&amp;AH538,4),CODEBOOK_CAP!$C$2:$C$212,CODEBOOK_CAP!$E$2:$E$212),"Código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38" s="22" t="s">
        <v>79</v>
      </c>
      <c r="AL538" s="26" t="s">
        <v>3069</v>
      </c>
      <c r="AM538" s="22" t="s">
        <v>79</v>
      </c>
      <c r="AN538" s="22" t="s">
        <v>77</v>
      </c>
      <c r="AO538" s="12"/>
      <c r="AP538" s="22" t="s">
        <v>77</v>
      </c>
      <c r="AQ538" s="12"/>
      <c r="AR538" s="22" t="s">
        <v>77</v>
      </c>
      <c r="AS538" s="10"/>
      <c r="AT538" s="2" t="s">
        <v>1814</v>
      </c>
      <c r="AU538" s="12" t="s">
        <v>83</v>
      </c>
      <c r="AV538" s="3" t="n">
        <v>46221</v>
      </c>
      <c r="AW538" s="21"/>
      <c r="AX538" s="1" t="s">
        <v>6956</v>
      </c>
      <c r="AY538" s="1"/>
      <c r="BA538" s="1"/>
      <c r="BB538" s="1"/>
    </row>
    <row r="539" ht="120" customHeight="1">
      <c r="A539" s="20" t="s">
        <v>3070</v>
      </c>
      <c r="B539" s="20" t="n">
        <v>2023</v>
      </c>
      <c r="C539" s="20" t="n">
        <v>101</v>
      </c>
      <c r="D539" s="20" t="s">
        <v>50</v>
      </c>
      <c r="E539" s="20" t="s">
        <v>3025</v>
      </c>
      <c r="F539" s="20" t="s">
        <v>3071</v>
      </c>
      <c r="G539" s="20" t="s">
        <v>315</v>
      </c>
      <c r="H539" s="20" t="s">
        <v>3027</v>
      </c>
      <c r="I539" s="20"/>
      <c r="J539" s="20" t="s">
        <v>3072</v>
      </c>
      <c r="K539" s="20" t="s">
        <v>273</v>
      </c>
      <c r="L539" s="20" t="s">
        <v>274</v>
      </c>
      <c r="M539" s="20" t="s">
        <v>275</v>
      </c>
      <c r="N539" s="20" t="s">
        <v>276</v>
      </c>
      <c r="O539" s="20" t="s">
        <v>277</v>
      </c>
      <c r="P539" s="20" t="s">
        <v>278</v>
      </c>
      <c r="Q539" s="20" t="s">
        <v>279</v>
      </c>
      <c r="R539" s="20" t="s">
        <v>280</v>
      </c>
      <c r="S539" s="20" t="s">
        <v>281</v>
      </c>
      <c r="T539" s="20" t="s">
        <v>282</v>
      </c>
      <c r="U539" s="20" t="s">
        <v>283</v>
      </c>
      <c r="V539" s="20" t="s">
        <v>95</v>
      </c>
      <c r="W539" s="20" t="s">
        <v>96</v>
      </c>
      <c r="X539" s="20" t="s">
        <v>97</v>
      </c>
      <c r="Y539" s="20" t="s">
        <v>70</v>
      </c>
      <c r="Z539" s="20" t="s">
        <v>284</v>
      </c>
      <c r="AA539" s="20" t="s">
        <v>580</v>
      </c>
      <c r="AB539" s="20" t="s">
        <v>580</v>
      </c>
      <c r="AC539" s="20" t="s">
        <v>601</v>
      </c>
      <c r="AD539" s="20" t="s">
        <v>580</v>
      </c>
      <c r="AE539" s="20"/>
      <c r="AF539" s="9" t="n">
        <v>0</v>
      </c>
      <c r="AG539" s="12" t="n">
        <v>0</v>
      </c>
      <c r="AH539" s="22" t="s">
        <v>2043</v>
      </c>
      <c r="AI539" s="12" t="str">
        <f>IF(AH539="","",IFERROR(RIGHT("0000"&amp;AH539,4)&amp;" - "&amp;UPPER(_xlfn.XLOOKUP(RIGHT("0000"&amp;AH539,4),CODEBOOK_CAP!$C$2:$C$212,CODEBOOK_CAP!$D$2:$D$212)),"Código CAP não encontrado"))</f>
        <v>1303 - POLÍTICAS SOCIAIS DE ASSISTÊNCIA PARA IDOSOS</v>
      </c>
      <c r="AJ539" s="12" t="str">
        <f>IF(AH539="","",IFERROR(_xlfn.XLOOKUP(RIGHT("0000"&amp;AH539,4),CODEBOOK_CAP!$C$2:$C$212,CODEBOOK_CAP!$E$2:$E$212),"Código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539" s="22" t="s">
        <v>77</v>
      </c>
      <c r="AL539" s="26"/>
      <c r="AM539" s="22" t="s">
        <v>77</v>
      </c>
      <c r="AN539" s="22" t="s">
        <v>77</v>
      </c>
      <c r="AO539" s="12"/>
      <c r="AP539" s="22" t="s">
        <v>79</v>
      </c>
      <c r="AQ539" s="12" t="s">
        <v>2044</v>
      </c>
      <c r="AR539" s="22" t="s">
        <v>77</v>
      </c>
      <c r="AS539" s="10"/>
      <c r="AT539" s="2" t="s">
        <v>1814</v>
      </c>
      <c r="AU539" s="12" t="s">
        <v>83</v>
      </c>
      <c r="AV539" s="3" t="n">
        <v>46221</v>
      </c>
      <c r="AW539" s="21"/>
      <c r="AY539" s="1"/>
      <c r="BA539" s="1"/>
      <c r="BB539" s="1"/>
    </row>
    <row r="540" ht="105" customHeight="1">
      <c r="A540" s="20" t="s">
        <v>3073</v>
      </c>
      <c r="B540" s="20" t="n">
        <v>2023</v>
      </c>
      <c r="C540" s="20" t="n">
        <v>102</v>
      </c>
      <c r="D540" s="20" t="s">
        <v>50</v>
      </c>
      <c r="E540" s="20" t="s">
        <v>3025</v>
      </c>
      <c r="F540" s="20" t="s">
        <v>3074</v>
      </c>
      <c r="G540" s="20" t="s">
        <v>86</v>
      </c>
      <c r="H540" s="20" t="s">
        <v>3027</v>
      </c>
      <c r="I540" s="20"/>
      <c r="J540" s="20" t="s">
        <v>3075</v>
      </c>
      <c r="K540" s="20" t="s">
        <v>3035</v>
      </c>
      <c r="L540" s="20" t="s">
        <v>274</v>
      </c>
      <c r="M540" s="20" t="s">
        <v>275</v>
      </c>
      <c r="N540" s="20" t="s">
        <v>276</v>
      </c>
      <c r="O540" s="20" t="s">
        <v>277</v>
      </c>
      <c r="P540" s="20" t="s">
        <v>750</v>
      </c>
      <c r="Q540" s="20" t="s">
        <v>751</v>
      </c>
      <c r="R540" s="20" t="s">
        <v>1118</v>
      </c>
      <c r="S540" s="20" t="s">
        <v>1119</v>
      </c>
      <c r="T540" s="20" t="s">
        <v>1120</v>
      </c>
      <c r="U540" s="20" t="s">
        <v>1121</v>
      </c>
      <c r="V540" s="20" t="s">
        <v>95</v>
      </c>
      <c r="W540" s="20" t="s">
        <v>96</v>
      </c>
      <c r="X540" s="20" t="s">
        <v>97</v>
      </c>
      <c r="Y540" s="20" t="s">
        <v>70</v>
      </c>
      <c r="Z540" s="20" t="s">
        <v>284</v>
      </c>
      <c r="AA540" s="20" t="s">
        <v>292</v>
      </c>
      <c r="AB540" s="20" t="s">
        <v>292</v>
      </c>
      <c r="AC540" s="20" t="s">
        <v>292</v>
      </c>
      <c r="AD540" s="20" t="s">
        <v>292</v>
      </c>
      <c r="AE540" s="20"/>
      <c r="AF540" s="9" t="n">
        <v>0</v>
      </c>
      <c r="AG540" s="12" t="n">
        <v>0</v>
      </c>
      <c r="AH540" s="22" t="s">
        <v>941</v>
      </c>
      <c r="AI540" s="12" t="str">
        <f>IF(AH540="","",IFERROR(RIGHT("0000"&amp;AH540,4)&amp;" - "&amp;UPPER(_xlfn.XLOOKUP(RIGHT("0000"&amp;AH540,4),CODEBOOK_CAP!$C$2:$C$212,CODEBOOK_CAP!$D$2:$D$212)),"Código CAP não encontrado"))</f>
        <v>1308 - POLÍTICAS SOCIAIS PARA FAMÍLIAS E INFÂNCIA</v>
      </c>
      <c r="AJ540" s="12" t="str">
        <f>IF(AH540="","",IFERROR(_xlfn.XLOOKUP(RIGHT("0000"&amp;AH540,4),CODEBOOK_CAP!$C$2:$C$212,CODEBOOK_CAP!$E$2:$E$212),"Código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40" s="22" t="s">
        <v>77</v>
      </c>
      <c r="AL540" s="26"/>
      <c r="AM540" s="22" t="s">
        <v>79</v>
      </c>
      <c r="AN540" s="22" t="s">
        <v>79</v>
      </c>
      <c r="AO540" s="12" t="s">
        <v>3076</v>
      </c>
      <c r="AP540" s="22" t="s">
        <v>79</v>
      </c>
      <c r="AQ540" s="12" t="s">
        <v>901</v>
      </c>
      <c r="AR540" s="22" t="s">
        <v>77</v>
      </c>
      <c r="AS540" s="10"/>
      <c r="AT540" s="2" t="s">
        <v>1814</v>
      </c>
      <c r="AU540" s="12" t="s">
        <v>83</v>
      </c>
      <c r="AV540" s="3" t="n">
        <v>46221</v>
      </c>
      <c r="AW540" s="21"/>
      <c r="AY540" s="1"/>
      <c r="BA540" s="1"/>
      <c r="BB540" s="1"/>
    </row>
    <row r="541" ht="120" customHeight="1">
      <c r="A541" s="20" t="s">
        <v>3077</v>
      </c>
      <c r="B541" s="20" t="n">
        <v>2023</v>
      </c>
      <c r="C541" s="20" t="n">
        <v>103</v>
      </c>
      <c r="D541" s="20" t="s">
        <v>50</v>
      </c>
      <c r="E541" s="20" t="s">
        <v>3025</v>
      </c>
      <c r="F541" s="20" t="s">
        <v>3078</v>
      </c>
      <c r="G541" s="20" t="s">
        <v>86</v>
      </c>
      <c r="H541" s="20" t="s">
        <v>3027</v>
      </c>
      <c r="I541" s="20"/>
      <c r="J541" s="20" t="s">
        <v>1037</v>
      </c>
      <c r="K541" s="20" t="s">
        <v>416</v>
      </c>
      <c r="L541" s="20" t="s">
        <v>57</v>
      </c>
      <c r="M541" s="20" t="s">
        <v>58</v>
      </c>
      <c r="N541" s="20" t="s">
        <v>59</v>
      </c>
      <c r="O541" s="20" t="s">
        <v>60</v>
      </c>
      <c r="P541" s="20" t="s">
        <v>89</v>
      </c>
      <c r="Q541" s="20" t="s">
        <v>90</v>
      </c>
      <c r="R541" s="20" t="s">
        <v>91</v>
      </c>
      <c r="S541" s="20" t="s">
        <v>92</v>
      </c>
      <c r="T541" s="20" t="s">
        <v>123</v>
      </c>
      <c r="U541" s="20" t="s">
        <v>124</v>
      </c>
      <c r="V541" s="20" t="s">
        <v>417</v>
      </c>
      <c r="W541" s="20" t="s">
        <v>96</v>
      </c>
      <c r="X541" s="20" t="s">
        <v>97</v>
      </c>
      <c r="Y541" s="20" t="s">
        <v>70</v>
      </c>
      <c r="Z541" s="20" t="s">
        <v>98</v>
      </c>
      <c r="AA541" s="20" t="s">
        <v>343</v>
      </c>
      <c r="AB541" s="20" t="s">
        <v>343</v>
      </c>
      <c r="AC541" s="20" t="s">
        <v>343</v>
      </c>
      <c r="AD541" s="20" t="s">
        <v>343</v>
      </c>
      <c r="AE541" s="20"/>
      <c r="AF541" s="9" t="n">
        <v>1</v>
      </c>
      <c r="AG541" s="12" t="n">
        <v>1</v>
      </c>
      <c r="AH541" s="22" t="s">
        <v>235</v>
      </c>
      <c r="AI541" s="12" t="str">
        <f>IF(AH541="","",IFERROR(RIGHT("0000"&amp;AH541,4)&amp;" - "&amp;UPPER(_xlfn.XLOOKUP(RIGHT("0000"&amp;AH541,4),CODEBOOK_CAP!$C$2:$C$212,CODEBOOK_CAP!$D$2:$D$212)),"Código CAP não encontrado"))</f>
        <v>0322 - ESTRUTURAS, HOSPITAIS, CLÍNICAS</v>
      </c>
      <c r="AJ541" s="12" t="str">
        <f>IF(AH541="","",IFERROR(_xlfn.XLOOKUP(RIGHT("0000"&amp;AH541,4),CODEBOOK_CAP!$C$2:$C$212,CODEBOOK_CAP!$E$2:$E$212),"Código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1" s="22" t="s">
        <v>77</v>
      </c>
      <c r="AL541" s="26"/>
      <c r="AM541" s="22" t="s">
        <v>79</v>
      </c>
      <c r="AN541" s="22" t="s">
        <v>79</v>
      </c>
      <c r="AO541" s="12" t="s">
        <v>1890</v>
      </c>
      <c r="AP541" s="22" t="s">
        <v>77</v>
      </c>
      <c r="AQ541" s="12"/>
      <c r="AR541" s="22" t="s">
        <v>77</v>
      </c>
      <c r="AS541" s="10"/>
      <c r="AT541" s="2" t="s">
        <v>1814</v>
      </c>
      <c r="AU541" s="12" t="s">
        <v>83</v>
      </c>
      <c r="AV541" s="3" t="n">
        <v>46221</v>
      </c>
      <c r="AW541" s="21"/>
      <c r="AY541" s="1"/>
      <c r="BA541" s="1"/>
      <c r="BB541" s="1"/>
    </row>
    <row r="542" ht="150" customHeight="1">
      <c r="A542" s="20" t="s">
        <v>3079</v>
      </c>
      <c r="B542" s="20" t="n">
        <v>2023</v>
      </c>
      <c r="C542" s="20" t="n">
        <v>104</v>
      </c>
      <c r="D542" s="20" t="s">
        <v>50</v>
      </c>
      <c r="E542" s="20" t="s">
        <v>3025</v>
      </c>
      <c r="F542" s="20" t="s">
        <v>3080</v>
      </c>
      <c r="G542" s="20" t="s">
        <v>86</v>
      </c>
      <c r="H542" s="20" t="s">
        <v>3027</v>
      </c>
      <c r="I542" s="20"/>
      <c r="J542" s="20" t="s">
        <v>3081</v>
      </c>
      <c r="K542" s="20" t="s">
        <v>122</v>
      </c>
      <c r="L542" s="20" t="s">
        <v>57</v>
      </c>
      <c r="M542" s="20" t="s">
        <v>58</v>
      </c>
      <c r="N542" s="20" t="s">
        <v>59</v>
      </c>
      <c r="O542" s="20" t="s">
        <v>60</v>
      </c>
      <c r="P542" s="20" t="s">
        <v>89</v>
      </c>
      <c r="Q542" s="20" t="s">
        <v>90</v>
      </c>
      <c r="R542" s="20" t="s">
        <v>91</v>
      </c>
      <c r="S542" s="20" t="s">
        <v>92</v>
      </c>
      <c r="T542" s="20" t="s">
        <v>123</v>
      </c>
      <c r="U542" s="20" t="s">
        <v>124</v>
      </c>
      <c r="V542" s="20" t="s">
        <v>95</v>
      </c>
      <c r="W542" s="20" t="s">
        <v>96</v>
      </c>
      <c r="X542" s="20" t="s">
        <v>97</v>
      </c>
      <c r="Y542" s="20" t="s">
        <v>70</v>
      </c>
      <c r="Z542" s="20" t="s">
        <v>98</v>
      </c>
      <c r="AA542" s="20" t="s">
        <v>409</v>
      </c>
      <c r="AB542" s="20" t="s">
        <v>409</v>
      </c>
      <c r="AC542" s="20" t="s">
        <v>409</v>
      </c>
      <c r="AD542" s="20" t="s">
        <v>409</v>
      </c>
      <c r="AE542" s="20"/>
      <c r="AF542" s="9" t="n">
        <v>1</v>
      </c>
      <c r="AG542" s="12" t="n">
        <v>1</v>
      </c>
      <c r="AH542" s="22" t="s">
        <v>620</v>
      </c>
      <c r="AI542" s="12" t="str">
        <f>IF(AH542="","",IFERROR(RIGHT("0000"&amp;AH542,4)&amp;" - "&amp;UPPER(_xlfn.XLOOKUP(RIGHT("0000"&amp;AH542,4),CODEBOOK_CAP!$C$2:$C$212,CODEBOOK_CAP!$D$2:$D$212)),"Código CAP não encontrado"))</f>
        <v>0332 - SAÚDE INFANTIL, GRAVIDEZ E PRÉ-NATAL</v>
      </c>
      <c r="AJ542" s="12" t="str">
        <f>IF(AH542="","",IFERROR(_xlfn.XLOOKUP(RIGHT("0000"&amp;AH542,4),CODEBOOK_CAP!$C$2:$C$212,CODEBOOK_CAP!$E$2:$E$212),"Código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542" s="22" t="s">
        <v>77</v>
      </c>
      <c r="AL542" s="26"/>
      <c r="AM542" s="22" t="s">
        <v>79</v>
      </c>
      <c r="AN542" s="22" t="s">
        <v>79</v>
      </c>
      <c r="AO542" s="12" t="s">
        <v>1541</v>
      </c>
      <c r="AP542" s="22" t="s">
        <v>79</v>
      </c>
      <c r="AQ542" s="12" t="s">
        <v>1094</v>
      </c>
      <c r="AR542" s="22" t="s">
        <v>77</v>
      </c>
      <c r="AS542" s="10"/>
      <c r="AT542" s="2" t="s">
        <v>1814</v>
      </c>
      <c r="AU542" s="12" t="s">
        <v>83</v>
      </c>
      <c r="AV542" s="3" t="n">
        <v>46221</v>
      </c>
      <c r="AW542" s="21"/>
      <c r="AY542" s="1"/>
      <c r="BA542" s="1"/>
      <c r="BB542" s="1"/>
    </row>
    <row r="543" ht="120" customHeight="1">
      <c r="A543" s="20" t="s">
        <v>3082</v>
      </c>
      <c r="B543" s="20" t="n">
        <v>2023</v>
      </c>
      <c r="C543" s="20" t="n">
        <v>105</v>
      </c>
      <c r="D543" s="20" t="s">
        <v>50</v>
      </c>
      <c r="E543" s="20" t="s">
        <v>3025</v>
      </c>
      <c r="F543" s="20" t="s">
        <v>3083</v>
      </c>
      <c r="G543" s="20" t="s">
        <v>86</v>
      </c>
      <c r="H543" s="20" t="s">
        <v>3027</v>
      </c>
      <c r="I543" s="20"/>
      <c r="J543" s="20" t="s">
        <v>979</v>
      </c>
      <c r="K543" s="20" t="s">
        <v>122</v>
      </c>
      <c r="L543" s="20" t="s">
        <v>57</v>
      </c>
      <c r="M543" s="20" t="s">
        <v>58</v>
      </c>
      <c r="N543" s="20" t="s">
        <v>59</v>
      </c>
      <c r="O543" s="20" t="s">
        <v>60</v>
      </c>
      <c r="P543" s="20" t="s">
        <v>89</v>
      </c>
      <c r="Q543" s="20" t="s">
        <v>90</v>
      </c>
      <c r="R543" s="20" t="s">
        <v>91</v>
      </c>
      <c r="S543" s="20" t="s">
        <v>92</v>
      </c>
      <c r="T543" s="20" t="s">
        <v>123</v>
      </c>
      <c r="U543" s="20" t="s">
        <v>124</v>
      </c>
      <c r="V543" s="20" t="s">
        <v>95</v>
      </c>
      <c r="W543" s="20" t="s">
        <v>96</v>
      </c>
      <c r="X543" s="20" t="s">
        <v>97</v>
      </c>
      <c r="Y543" s="20" t="s">
        <v>70</v>
      </c>
      <c r="Z543" s="20" t="s">
        <v>98</v>
      </c>
      <c r="AA543" s="20" t="s">
        <v>3084</v>
      </c>
      <c r="AB543" s="20" t="s">
        <v>3084</v>
      </c>
      <c r="AC543" s="20" t="s">
        <v>3084</v>
      </c>
      <c r="AD543" s="20" t="s">
        <v>3084</v>
      </c>
      <c r="AE543" s="20"/>
      <c r="AF543" s="9" t="n">
        <v>1</v>
      </c>
      <c r="AG543" s="12" t="n">
        <v>1</v>
      </c>
      <c r="AH543" s="22" t="s">
        <v>235</v>
      </c>
      <c r="AI543" s="12" t="str">
        <f>IF(AH543="","",IFERROR(RIGHT("0000"&amp;AH543,4)&amp;" - "&amp;UPPER(_xlfn.XLOOKUP(RIGHT("0000"&amp;AH543,4),CODEBOOK_CAP!$C$2:$C$212,CODEBOOK_CAP!$D$2:$D$212)),"Código CAP não encontrado"))</f>
        <v>0322 - ESTRUTURAS, HOSPITAIS, CLÍNICAS</v>
      </c>
      <c r="AJ543" s="12" t="str">
        <f>IF(AH543="","",IFERROR(_xlfn.XLOOKUP(RIGHT("0000"&amp;AH543,4),CODEBOOK_CAP!$C$2:$C$212,CODEBOOK_CAP!$E$2:$E$212),"Código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3" s="22" t="s">
        <v>77</v>
      </c>
      <c r="AL543" s="26"/>
      <c r="AM543" s="22" t="s">
        <v>79</v>
      </c>
      <c r="AN543" s="22" t="s">
        <v>79</v>
      </c>
      <c r="AO543" s="12" t="s">
        <v>981</v>
      </c>
      <c r="AP543" s="22" t="s">
        <v>77</v>
      </c>
      <c r="AQ543" s="12"/>
      <c r="AR543" s="22" t="s">
        <v>77</v>
      </c>
      <c r="AS543" s="10"/>
      <c r="AT543" s="2" t="s">
        <v>1814</v>
      </c>
      <c r="AU543" s="12" t="s">
        <v>83</v>
      </c>
      <c r="AV543" s="3" t="n">
        <v>46221</v>
      </c>
      <c r="AW543" s="21"/>
      <c r="AY543" s="1"/>
      <c r="BA543" s="1"/>
      <c r="BB543" s="1"/>
    </row>
    <row r="544" ht="120" customHeight="1">
      <c r="A544" s="20" t="s">
        <v>3085</v>
      </c>
      <c r="B544" s="20" t="n">
        <v>2023</v>
      </c>
      <c r="C544" s="20" t="n">
        <v>106</v>
      </c>
      <c r="D544" s="20" t="s">
        <v>50</v>
      </c>
      <c r="E544" s="20" t="s">
        <v>3025</v>
      </c>
      <c r="F544" s="20" t="s">
        <v>3086</v>
      </c>
      <c r="G544" s="20" t="s">
        <v>86</v>
      </c>
      <c r="H544" s="20" t="s">
        <v>3027</v>
      </c>
      <c r="I544" s="20"/>
      <c r="J544" s="20" t="s">
        <v>1011</v>
      </c>
      <c r="K544" s="20" t="s">
        <v>122</v>
      </c>
      <c r="L544" s="20" t="s">
        <v>57</v>
      </c>
      <c r="M544" s="20" t="s">
        <v>58</v>
      </c>
      <c r="N544" s="20" t="s">
        <v>59</v>
      </c>
      <c r="O544" s="20" t="s">
        <v>60</v>
      </c>
      <c r="P544" s="20" t="s">
        <v>89</v>
      </c>
      <c r="Q544" s="20" t="s">
        <v>90</v>
      </c>
      <c r="R544" s="20" t="s">
        <v>91</v>
      </c>
      <c r="S544" s="20" t="s">
        <v>92</v>
      </c>
      <c r="T544" s="20" t="s">
        <v>123</v>
      </c>
      <c r="U544" s="20" t="s">
        <v>124</v>
      </c>
      <c r="V544" s="20" t="s">
        <v>95</v>
      </c>
      <c r="W544" s="20" t="s">
        <v>96</v>
      </c>
      <c r="X544" s="20" t="s">
        <v>97</v>
      </c>
      <c r="Y544" s="20" t="s">
        <v>70</v>
      </c>
      <c r="Z544" s="20" t="s">
        <v>98</v>
      </c>
      <c r="AA544" s="20" t="s">
        <v>3087</v>
      </c>
      <c r="AB544" s="20" t="s">
        <v>3087</v>
      </c>
      <c r="AC544" s="20" t="s">
        <v>3087</v>
      </c>
      <c r="AD544" s="20" t="s">
        <v>3087</v>
      </c>
      <c r="AE544" s="20"/>
      <c r="AF544" s="9" t="n">
        <v>1</v>
      </c>
      <c r="AG544" s="12" t="n">
        <v>1</v>
      </c>
      <c r="AH544" s="22" t="s">
        <v>235</v>
      </c>
      <c r="AI544" s="12" t="str">
        <f>IF(AH544="","",IFERROR(RIGHT("0000"&amp;AH544,4)&amp;" - "&amp;UPPER(_xlfn.XLOOKUP(RIGHT("0000"&amp;AH544,4),CODEBOOK_CAP!$C$2:$C$212,CODEBOOK_CAP!$D$2:$D$212)),"Código CAP não encontrado"))</f>
        <v>0322 - ESTRUTURAS, HOSPITAIS, CLÍNICAS</v>
      </c>
      <c r="AJ544" s="12" t="str">
        <f>IF(AH544="","",IFERROR(_xlfn.XLOOKUP(RIGHT("0000"&amp;AH544,4),CODEBOOK_CAP!$C$2:$C$212,CODEBOOK_CAP!$E$2:$E$212),"Código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4" s="22" t="s">
        <v>77</v>
      </c>
      <c r="AL544" s="26"/>
      <c r="AM544" s="22" t="s">
        <v>79</v>
      </c>
      <c r="AN544" s="22" t="s">
        <v>79</v>
      </c>
      <c r="AO544" s="12" t="s">
        <v>741</v>
      </c>
      <c r="AP544" s="22" t="s">
        <v>77</v>
      </c>
      <c r="AQ544" s="12"/>
      <c r="AR544" s="22" t="s">
        <v>77</v>
      </c>
      <c r="AS544" s="10"/>
      <c r="AT544" s="2" t="s">
        <v>1814</v>
      </c>
      <c r="AU544" s="12" t="s">
        <v>83</v>
      </c>
      <c r="AV544" s="3" t="n">
        <v>46221</v>
      </c>
      <c r="AW544" s="21"/>
      <c r="AY544" s="1"/>
      <c r="BA544" s="1"/>
      <c r="BB544" s="1"/>
    </row>
    <row r="545" ht="120" customHeight="1">
      <c r="A545" s="20" t="s">
        <v>3088</v>
      </c>
      <c r="B545" s="20" t="n">
        <v>2023</v>
      </c>
      <c r="C545" s="20" t="n">
        <v>107</v>
      </c>
      <c r="D545" s="20" t="s">
        <v>50</v>
      </c>
      <c r="E545" s="20" t="s">
        <v>3025</v>
      </c>
      <c r="F545" s="20" t="s">
        <v>3089</v>
      </c>
      <c r="G545" s="20" t="s">
        <v>86</v>
      </c>
      <c r="H545" s="20" t="s">
        <v>3027</v>
      </c>
      <c r="I545" s="20"/>
      <c r="J545" s="20" t="s">
        <v>1001</v>
      </c>
      <c r="K545" s="20" t="s">
        <v>122</v>
      </c>
      <c r="L545" s="20" t="s">
        <v>57</v>
      </c>
      <c r="M545" s="20" t="s">
        <v>58</v>
      </c>
      <c r="N545" s="20" t="s">
        <v>59</v>
      </c>
      <c r="O545" s="20" t="s">
        <v>60</v>
      </c>
      <c r="P545" s="20" t="s">
        <v>89</v>
      </c>
      <c r="Q545" s="20" t="s">
        <v>90</v>
      </c>
      <c r="R545" s="20" t="s">
        <v>91</v>
      </c>
      <c r="S545" s="20" t="s">
        <v>92</v>
      </c>
      <c r="T545" s="20" t="s">
        <v>123</v>
      </c>
      <c r="U545" s="20" t="s">
        <v>124</v>
      </c>
      <c r="V545" s="20" t="s">
        <v>95</v>
      </c>
      <c r="W545" s="20" t="s">
        <v>96</v>
      </c>
      <c r="X545" s="20" t="s">
        <v>97</v>
      </c>
      <c r="Y545" s="20" t="s">
        <v>70</v>
      </c>
      <c r="Z545" s="20" t="s">
        <v>98</v>
      </c>
      <c r="AA545" s="20" t="s">
        <v>125</v>
      </c>
      <c r="AB545" s="20" t="s">
        <v>125</v>
      </c>
      <c r="AC545" s="20" t="s">
        <v>125</v>
      </c>
      <c r="AD545" s="20" t="s">
        <v>125</v>
      </c>
      <c r="AE545" s="20"/>
      <c r="AF545" s="9" t="n">
        <v>1</v>
      </c>
      <c r="AG545" s="12" t="n">
        <v>1</v>
      </c>
      <c r="AH545" s="22" t="s">
        <v>235</v>
      </c>
      <c r="AI545" s="12" t="str">
        <f>IF(AH545="","",IFERROR(RIGHT("0000"&amp;AH545,4)&amp;" - "&amp;UPPER(_xlfn.XLOOKUP(RIGHT("0000"&amp;AH545,4),CODEBOOK_CAP!$C$2:$C$212,CODEBOOK_CAP!$D$2:$D$212)),"Código CAP não encontrado"))</f>
        <v>0322 - ESTRUTURAS, HOSPITAIS, CLÍNICAS</v>
      </c>
      <c r="AJ545" s="12" t="str">
        <f>IF(AH545="","",IFERROR(_xlfn.XLOOKUP(RIGHT("0000"&amp;AH545,4),CODEBOOK_CAP!$C$2:$C$212,CODEBOOK_CAP!$E$2:$E$212),"Código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5" s="22" t="s">
        <v>77</v>
      </c>
      <c r="AL545" s="26"/>
      <c r="AM545" s="22" t="s">
        <v>79</v>
      </c>
      <c r="AN545" s="22" t="s">
        <v>79</v>
      </c>
      <c r="AO545" s="12" t="s">
        <v>1854</v>
      </c>
      <c r="AP545" s="22" t="s">
        <v>77</v>
      </c>
      <c r="AQ545" s="12"/>
      <c r="AR545" s="22" t="s">
        <v>77</v>
      </c>
      <c r="AS545" s="10"/>
      <c r="AT545" s="2" t="s">
        <v>1814</v>
      </c>
      <c r="AU545" s="12" t="s">
        <v>83</v>
      </c>
      <c r="AV545" s="3" t="n">
        <v>46221</v>
      </c>
      <c r="AW545" s="21"/>
      <c r="AY545" s="1"/>
      <c r="BA545" s="1"/>
      <c r="BB545" s="1"/>
    </row>
    <row r="546" ht="120" customHeight="1">
      <c r="A546" s="20" t="s">
        <v>3090</v>
      </c>
      <c r="B546" s="20" t="n">
        <v>2023</v>
      </c>
      <c r="C546" s="20" t="n">
        <v>108</v>
      </c>
      <c r="D546" s="20" t="s">
        <v>50</v>
      </c>
      <c r="E546" s="20" t="s">
        <v>3025</v>
      </c>
      <c r="F546" s="20" t="s">
        <v>3091</v>
      </c>
      <c r="G546" s="20" t="s">
        <v>86</v>
      </c>
      <c r="H546" s="20" t="s">
        <v>3027</v>
      </c>
      <c r="I546" s="20"/>
      <c r="J546" s="20" t="s">
        <v>3092</v>
      </c>
      <c r="K546" s="20" t="s">
        <v>122</v>
      </c>
      <c r="L546" s="20" t="s">
        <v>57</v>
      </c>
      <c r="M546" s="20" t="s">
        <v>58</v>
      </c>
      <c r="N546" s="20" t="s">
        <v>59</v>
      </c>
      <c r="O546" s="20" t="s">
        <v>60</v>
      </c>
      <c r="P546" s="20" t="s">
        <v>89</v>
      </c>
      <c r="Q546" s="20" t="s">
        <v>90</v>
      </c>
      <c r="R546" s="20" t="s">
        <v>91</v>
      </c>
      <c r="S546" s="20" t="s">
        <v>92</v>
      </c>
      <c r="T546" s="20" t="s">
        <v>123</v>
      </c>
      <c r="U546" s="20" t="s">
        <v>124</v>
      </c>
      <c r="V546" s="20" t="s">
        <v>95</v>
      </c>
      <c r="W546" s="20" t="s">
        <v>96</v>
      </c>
      <c r="X546" s="20" t="s">
        <v>97</v>
      </c>
      <c r="Y546" s="20" t="s">
        <v>70</v>
      </c>
      <c r="Z546" s="20" t="s">
        <v>98</v>
      </c>
      <c r="AA546" s="20" t="s">
        <v>409</v>
      </c>
      <c r="AB546" s="20" t="s">
        <v>409</v>
      </c>
      <c r="AC546" s="20" t="s">
        <v>409</v>
      </c>
      <c r="AD546" s="20" t="s">
        <v>409</v>
      </c>
      <c r="AE546" s="20"/>
      <c r="AF546" s="9" t="n">
        <v>1</v>
      </c>
      <c r="AG546" s="12" t="n">
        <v>1</v>
      </c>
      <c r="AH546" s="22" t="s">
        <v>235</v>
      </c>
      <c r="AI546" s="12" t="str">
        <f>IF(AH546="","",IFERROR(RIGHT("0000"&amp;AH546,4)&amp;" - "&amp;UPPER(_xlfn.XLOOKUP(RIGHT("0000"&amp;AH546,4),CODEBOOK_CAP!$C$2:$C$212,CODEBOOK_CAP!$D$2:$D$212)),"Código CAP não encontrado"))</f>
        <v>0322 - ESTRUTURAS, HOSPITAIS, CLÍNICAS</v>
      </c>
      <c r="AJ546" s="12" t="str">
        <f>IF(AH546="","",IFERROR(_xlfn.XLOOKUP(RIGHT("0000"&amp;AH546,4),CODEBOOK_CAP!$C$2:$C$212,CODEBOOK_CAP!$E$2:$E$212),"Código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46" s="22" t="s">
        <v>77</v>
      </c>
      <c r="AL546" s="26"/>
      <c r="AM546" s="22" t="s">
        <v>79</v>
      </c>
      <c r="AN546" s="22" t="s">
        <v>79</v>
      </c>
      <c r="AO546" s="12" t="s">
        <v>957</v>
      </c>
      <c r="AP546" s="22" t="s">
        <v>77</v>
      </c>
      <c r="AQ546" s="12"/>
      <c r="AR546" s="22" t="s">
        <v>77</v>
      </c>
      <c r="AS546" s="10"/>
      <c r="AT546" s="2" t="s">
        <v>1814</v>
      </c>
      <c r="AU546" s="12" t="s">
        <v>83</v>
      </c>
      <c r="AV546" s="3" t="n">
        <v>46221</v>
      </c>
      <c r="AW546" s="21"/>
      <c r="AY546" s="1"/>
      <c r="BA546" s="1"/>
      <c r="BB546" s="1"/>
    </row>
    <row r="547" ht="150" customHeight="1">
      <c r="A547" s="20" t="s">
        <v>3093</v>
      </c>
      <c r="B547" s="20" t="n">
        <v>2023</v>
      </c>
      <c r="C547" s="20" t="n">
        <v>109</v>
      </c>
      <c r="D547" s="20" t="s">
        <v>50</v>
      </c>
      <c r="E547" s="20" t="s">
        <v>3025</v>
      </c>
      <c r="F547" s="20" t="s">
        <v>3094</v>
      </c>
      <c r="G547" s="20" t="s">
        <v>86</v>
      </c>
      <c r="H547" s="20" t="s">
        <v>3027</v>
      </c>
      <c r="I547" s="20"/>
      <c r="J547" s="20" t="s">
        <v>3095</v>
      </c>
      <c r="K547" s="20" t="s">
        <v>122</v>
      </c>
      <c r="L547" s="20" t="s">
        <v>57</v>
      </c>
      <c r="M547" s="20" t="s">
        <v>58</v>
      </c>
      <c r="N547" s="20" t="s">
        <v>59</v>
      </c>
      <c r="O547" s="20" t="s">
        <v>60</v>
      </c>
      <c r="P547" s="20" t="s">
        <v>89</v>
      </c>
      <c r="Q547" s="20" t="s">
        <v>90</v>
      </c>
      <c r="R547" s="20" t="s">
        <v>91</v>
      </c>
      <c r="S547" s="20" t="s">
        <v>92</v>
      </c>
      <c r="T547" s="20" t="s">
        <v>123</v>
      </c>
      <c r="U547" s="20" t="s">
        <v>124</v>
      </c>
      <c r="V547" s="20" t="s">
        <v>95</v>
      </c>
      <c r="W547" s="20" t="s">
        <v>96</v>
      </c>
      <c r="X547" s="20" t="s">
        <v>97</v>
      </c>
      <c r="Y547" s="20" t="s">
        <v>70</v>
      </c>
      <c r="Z547" s="20" t="s">
        <v>98</v>
      </c>
      <c r="AA547" s="20" t="s">
        <v>160</v>
      </c>
      <c r="AB547" s="20" t="s">
        <v>160</v>
      </c>
      <c r="AC547" s="20" t="s">
        <v>160</v>
      </c>
      <c r="AD547" s="20" t="s">
        <v>160</v>
      </c>
      <c r="AE547" s="20"/>
      <c r="AF547" s="9" t="n">
        <v>1</v>
      </c>
      <c r="AG547" s="12" t="n">
        <v>1</v>
      </c>
      <c r="AH547" s="22" t="s">
        <v>620</v>
      </c>
      <c r="AI547" s="12" t="str">
        <f>IF(AH547="","",IFERROR(RIGHT("0000"&amp;AH547,4)&amp;" - "&amp;UPPER(_xlfn.XLOOKUP(RIGHT("0000"&amp;AH547,4),CODEBOOK_CAP!$C$2:$C$212,CODEBOOK_CAP!$D$2:$D$212)),"Código CAP não encontrado"))</f>
        <v>0332 - SAÚDE INFANTIL, GRAVIDEZ E PRÉ-NATAL</v>
      </c>
      <c r="AJ547" s="12" t="str">
        <f>IF(AH547="","",IFERROR(_xlfn.XLOOKUP(RIGHT("0000"&amp;AH547,4),CODEBOOK_CAP!$C$2:$C$212,CODEBOOK_CAP!$E$2:$E$212),"Código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547" s="22" t="s">
        <v>77</v>
      </c>
      <c r="AL547" s="26"/>
      <c r="AM547" s="22" t="s">
        <v>79</v>
      </c>
      <c r="AN547" s="22" t="s">
        <v>79</v>
      </c>
      <c r="AO547" s="12" t="s">
        <v>1041</v>
      </c>
      <c r="AP547" s="22" t="s">
        <v>79</v>
      </c>
      <c r="AQ547" s="12" t="s">
        <v>622</v>
      </c>
      <c r="AR547" s="22" t="s">
        <v>77</v>
      </c>
      <c r="AS547" s="10"/>
      <c r="AT547" s="2" t="s">
        <v>1814</v>
      </c>
      <c r="AU547" s="12" t="s">
        <v>83</v>
      </c>
      <c r="AV547" s="3" t="n">
        <v>46221</v>
      </c>
      <c r="AW547" s="21"/>
      <c r="AY547" s="1"/>
      <c r="BA547" s="1"/>
      <c r="BB547" s="1"/>
    </row>
    <row r="548" ht="105" customHeight="1">
      <c r="A548" s="20" t="s">
        <v>3096</v>
      </c>
      <c r="B548" s="20" t="n">
        <v>2023</v>
      </c>
      <c r="C548" s="20" t="n">
        <v>110</v>
      </c>
      <c r="D548" s="20" t="s">
        <v>50</v>
      </c>
      <c r="E548" s="20" t="s">
        <v>3025</v>
      </c>
      <c r="F548" s="20" t="s">
        <v>3097</v>
      </c>
      <c r="G548" s="20" t="s">
        <v>183</v>
      </c>
      <c r="H548" s="20" t="s">
        <v>3027</v>
      </c>
      <c r="I548" s="20"/>
      <c r="J548" s="20" t="s">
        <v>3098</v>
      </c>
      <c r="K548" s="20" t="s">
        <v>273</v>
      </c>
      <c r="L548" s="20" t="s">
        <v>274</v>
      </c>
      <c r="M548" s="20" t="s">
        <v>275</v>
      </c>
      <c r="N548" s="20" t="s">
        <v>276</v>
      </c>
      <c r="O548" s="20" t="s">
        <v>277</v>
      </c>
      <c r="P548" s="20" t="s">
        <v>278</v>
      </c>
      <c r="Q548" s="20" t="s">
        <v>279</v>
      </c>
      <c r="R548" s="20" t="s">
        <v>280</v>
      </c>
      <c r="S548" s="20" t="s">
        <v>281</v>
      </c>
      <c r="T548" s="20" t="s">
        <v>282</v>
      </c>
      <c r="U548" s="20" t="s">
        <v>283</v>
      </c>
      <c r="V548" s="20" t="s">
        <v>95</v>
      </c>
      <c r="W548" s="20" t="s">
        <v>96</v>
      </c>
      <c r="X548" s="20" t="s">
        <v>97</v>
      </c>
      <c r="Y548" s="20" t="s">
        <v>70</v>
      </c>
      <c r="Z548" s="20" t="s">
        <v>284</v>
      </c>
      <c r="AA548" s="20" t="s">
        <v>125</v>
      </c>
      <c r="AB548" s="20" t="s">
        <v>77</v>
      </c>
      <c r="AC548" s="20" t="s">
        <v>77</v>
      </c>
      <c r="AD548" s="20" t="s">
        <v>77</v>
      </c>
      <c r="AE548" s="20"/>
      <c r="AF548" s="9" t="n">
        <v>0</v>
      </c>
      <c r="AG548" s="12" t="n">
        <v>0</v>
      </c>
      <c r="AH548" s="22" t="s">
        <v>941</v>
      </c>
      <c r="AI548" s="12" t="str">
        <f>IF(AH548="","",IFERROR(RIGHT("0000"&amp;AH548,4)&amp;" - "&amp;UPPER(_xlfn.XLOOKUP(RIGHT("0000"&amp;AH548,4),CODEBOOK_CAP!$C$2:$C$212,CODEBOOK_CAP!$D$2:$D$212)),"Código CAP não encontrado"))</f>
        <v>1308 - POLÍTICAS SOCIAIS PARA FAMÍLIAS E INFÂNCIA</v>
      </c>
      <c r="AJ548" s="12" t="str">
        <f>IF(AH548="","",IFERROR(_xlfn.XLOOKUP(RIGHT("0000"&amp;AH548,4),CODEBOOK_CAP!$C$2:$C$212,CODEBOOK_CAP!$E$2:$E$212),"Código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48" s="22" t="s">
        <v>77</v>
      </c>
      <c r="AL548" s="26"/>
      <c r="AM548" s="22" t="s">
        <v>79</v>
      </c>
      <c r="AN548" s="22" t="s">
        <v>79</v>
      </c>
      <c r="AO548" s="12" t="s">
        <v>3099</v>
      </c>
      <c r="AP548" s="22" t="s">
        <v>79</v>
      </c>
      <c r="AQ548" s="12" t="s">
        <v>1094</v>
      </c>
      <c r="AR548" s="22" t="s">
        <v>77</v>
      </c>
      <c r="AS548" s="10"/>
      <c r="AT548" s="2" t="s">
        <v>1814</v>
      </c>
      <c r="AU548" s="12" t="s">
        <v>83</v>
      </c>
      <c r="AV548" s="3" t="n">
        <v>46221</v>
      </c>
      <c r="AW548" s="21"/>
      <c r="AY548" s="1"/>
      <c r="BA548" s="1"/>
      <c r="BB548" s="1"/>
    </row>
    <row r="549" ht="105" customHeight="1">
      <c r="A549" s="20" t="s">
        <v>3100</v>
      </c>
      <c r="B549" s="20" t="n">
        <v>2023</v>
      </c>
      <c r="C549" s="20" t="n">
        <v>111</v>
      </c>
      <c r="D549" s="20" t="s">
        <v>50</v>
      </c>
      <c r="E549" s="20" t="s">
        <v>3025</v>
      </c>
      <c r="F549" s="20" t="s">
        <v>3101</v>
      </c>
      <c r="G549" s="20" t="s">
        <v>315</v>
      </c>
      <c r="H549" s="20" t="s">
        <v>3027</v>
      </c>
      <c r="I549" s="20"/>
      <c r="J549" s="20" t="s">
        <v>3102</v>
      </c>
      <c r="K549" s="20" t="s">
        <v>273</v>
      </c>
      <c r="L549" s="20" t="s">
        <v>274</v>
      </c>
      <c r="M549" s="20" t="s">
        <v>275</v>
      </c>
      <c r="N549" s="20" t="s">
        <v>276</v>
      </c>
      <c r="O549" s="20" t="s">
        <v>277</v>
      </c>
      <c r="P549" s="20" t="s">
        <v>278</v>
      </c>
      <c r="Q549" s="20" t="s">
        <v>279</v>
      </c>
      <c r="R549" s="20" t="s">
        <v>280</v>
      </c>
      <c r="S549" s="20" t="s">
        <v>281</v>
      </c>
      <c r="T549" s="20" t="s">
        <v>282</v>
      </c>
      <c r="U549" s="20" t="s">
        <v>283</v>
      </c>
      <c r="V549" s="20" t="s">
        <v>95</v>
      </c>
      <c r="W549" s="20" t="s">
        <v>96</v>
      </c>
      <c r="X549" s="20" t="s">
        <v>97</v>
      </c>
      <c r="Y549" s="20" t="s">
        <v>70</v>
      </c>
      <c r="Z549" s="20" t="s">
        <v>284</v>
      </c>
      <c r="AA549" s="20" t="s">
        <v>292</v>
      </c>
      <c r="AB549" s="20" t="s">
        <v>292</v>
      </c>
      <c r="AC549" s="20" t="s">
        <v>292</v>
      </c>
      <c r="AD549" s="20" t="s">
        <v>292</v>
      </c>
      <c r="AE549" s="20"/>
      <c r="AF549" s="9" t="n">
        <v>0</v>
      </c>
      <c r="AG549" s="12" t="n">
        <v>0</v>
      </c>
      <c r="AH549" s="22" t="s">
        <v>2043</v>
      </c>
      <c r="AI549" s="12" t="str">
        <f>IF(AH549="","",IFERROR(RIGHT("0000"&amp;AH549,4)&amp;" - "&amp;UPPER(_xlfn.XLOOKUP(RIGHT("0000"&amp;AH549,4),CODEBOOK_CAP!$C$2:$C$212,CODEBOOK_CAP!$D$2:$D$212)),"Código CAP não encontrado"))</f>
        <v>1303 - POLÍTICAS SOCIAIS DE ASSISTÊNCIA PARA IDOSOS</v>
      </c>
      <c r="AJ549" s="12" t="str">
        <f>IF(AH549="","",IFERROR(_xlfn.XLOOKUP(RIGHT("0000"&amp;AH549,4),CODEBOOK_CAP!$C$2:$C$212,CODEBOOK_CAP!$E$2:$E$212),"Código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549" s="22" t="s">
        <v>77</v>
      </c>
      <c r="AL549" s="26"/>
      <c r="AM549" s="22" t="s">
        <v>77</v>
      </c>
      <c r="AN549" s="22" t="s">
        <v>77</v>
      </c>
      <c r="AO549" s="12"/>
      <c r="AP549" s="22" t="s">
        <v>79</v>
      </c>
      <c r="AQ549" s="12" t="s">
        <v>2044</v>
      </c>
      <c r="AR549" s="22" t="s">
        <v>77</v>
      </c>
      <c r="AS549" s="10"/>
      <c r="AT549" s="2" t="s">
        <v>1814</v>
      </c>
      <c r="AU549" s="12" t="s">
        <v>83</v>
      </c>
      <c r="AV549" s="3" t="n">
        <v>46221</v>
      </c>
      <c r="AW549" s="21"/>
      <c r="AY549" s="1"/>
      <c r="BA549" s="1"/>
      <c r="BB549" s="1"/>
    </row>
    <row r="550" ht="105" customHeight="1">
      <c r="A550" s="20" t="s">
        <v>3103</v>
      </c>
      <c r="B550" s="20" t="n">
        <v>2023</v>
      </c>
      <c r="C550" s="20" t="n">
        <v>159</v>
      </c>
      <c r="D550" s="20" t="s">
        <v>50</v>
      </c>
      <c r="E550" s="20" t="s">
        <v>3025</v>
      </c>
      <c r="F550" s="20" t="s">
        <v>3104</v>
      </c>
      <c r="G550" s="20" t="s">
        <v>86</v>
      </c>
      <c r="H550" s="20" t="s">
        <v>3027</v>
      </c>
      <c r="I550" s="20"/>
      <c r="J550" s="20" t="s">
        <v>3105</v>
      </c>
      <c r="K550" s="20" t="s">
        <v>185</v>
      </c>
      <c r="L550" s="20" t="s">
        <v>186</v>
      </c>
      <c r="M550" s="20" t="s">
        <v>187</v>
      </c>
      <c r="N550" s="20" t="s">
        <v>188</v>
      </c>
      <c r="O550" s="20" t="s">
        <v>189</v>
      </c>
      <c r="P550" s="20" t="s">
        <v>190</v>
      </c>
      <c r="Q550" s="20" t="s">
        <v>191</v>
      </c>
      <c r="R550" s="20" t="s">
        <v>192</v>
      </c>
      <c r="S550" s="20" t="s">
        <v>193</v>
      </c>
      <c r="T550" s="20" t="s">
        <v>194</v>
      </c>
      <c r="U550" s="20" t="s">
        <v>195</v>
      </c>
      <c r="V550" s="20" t="s">
        <v>196</v>
      </c>
      <c r="W550" s="20" t="s">
        <v>68</v>
      </c>
      <c r="X550" s="20" t="s">
        <v>69</v>
      </c>
      <c r="Y550" s="20" t="s">
        <v>70</v>
      </c>
      <c r="Z550" s="20" t="s">
        <v>197</v>
      </c>
      <c r="AA550" s="20" t="s">
        <v>255</v>
      </c>
      <c r="AB550" s="20" t="s">
        <v>3106</v>
      </c>
      <c r="AC550" s="20" t="s">
        <v>3106</v>
      </c>
      <c r="AD550" s="20" t="s">
        <v>3106</v>
      </c>
      <c r="AE550" s="20"/>
      <c r="AF550" s="9" t="n">
        <v>0</v>
      </c>
      <c r="AG550" s="12" t="n">
        <v>0</v>
      </c>
      <c r="AH550" s="22" t="s">
        <v>161</v>
      </c>
      <c r="AI550" s="12" t="str">
        <f>IF(AH550="","",IFERROR(RIGHT("0000"&amp;AH550,4)&amp;" - "&amp;UPPER(_xlfn.XLOOKUP(RIGHT("0000"&amp;AH550,4),CODEBOOK_CAP!$C$2:$C$212,CODEBOOK_CAP!$D$2:$D$212)),"Código CAP não encontrado"))</f>
        <v>2300 - GERAL</v>
      </c>
      <c r="AJ550" s="12" t="str">
        <f>IF(AH550="","",IFERROR(_xlfn.XLOOKUP(RIGHT("0000"&amp;AH550,4),CODEBOOK_CAP!$C$2:$C$212,CODEBOOK_CAP!$E$2:$E$212),"Código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550" s="22" t="s">
        <v>79</v>
      </c>
      <c r="AL550" s="26" t="s">
        <v>3107</v>
      </c>
      <c r="AM550" s="22" t="s">
        <v>77</v>
      </c>
      <c r="AN550" s="22" t="s">
        <v>77</v>
      </c>
      <c r="AO550" s="12"/>
      <c r="AP550" s="22" t="s">
        <v>77</v>
      </c>
      <c r="AQ550" s="12"/>
      <c r="AR550" s="22" t="s">
        <v>77</v>
      </c>
      <c r="AS550" s="10"/>
      <c r="AT550" s="2" t="s">
        <v>1814</v>
      </c>
      <c r="AU550" s="12" t="s">
        <v>83</v>
      </c>
      <c r="AV550" s="3" t="n">
        <v>46221</v>
      </c>
      <c r="AW550" s="21"/>
      <c r="AX550" s="1" t="s">
        <v>6956</v>
      </c>
      <c r="AY550" s="1"/>
      <c r="BA550" s="1"/>
      <c r="BB550" s="1"/>
    </row>
    <row r="551" ht="120" customHeight="1">
      <c r="A551" s="20" t="s">
        <v>3108</v>
      </c>
      <c r="B551" s="20" t="n">
        <v>2023</v>
      </c>
      <c r="C551" s="20" t="n">
        <v>164</v>
      </c>
      <c r="D551" s="20" t="s">
        <v>50</v>
      </c>
      <c r="E551" s="20" t="s">
        <v>3025</v>
      </c>
      <c r="F551" s="20" t="s">
        <v>3109</v>
      </c>
      <c r="G551" s="20" t="s">
        <v>86</v>
      </c>
      <c r="H551" s="20" t="s">
        <v>3027</v>
      </c>
      <c r="I551" s="20"/>
      <c r="J551" s="20" t="s">
        <v>3110</v>
      </c>
      <c r="K551" s="20" t="s">
        <v>122</v>
      </c>
      <c r="L551" s="20" t="s">
        <v>57</v>
      </c>
      <c r="M551" s="20" t="s">
        <v>58</v>
      </c>
      <c r="N551" s="20" t="s">
        <v>59</v>
      </c>
      <c r="O551" s="20" t="s">
        <v>60</v>
      </c>
      <c r="P551" s="20" t="s">
        <v>89</v>
      </c>
      <c r="Q551" s="20" t="s">
        <v>90</v>
      </c>
      <c r="R551" s="20" t="s">
        <v>91</v>
      </c>
      <c r="S551" s="20" t="s">
        <v>92</v>
      </c>
      <c r="T551" s="20" t="s">
        <v>123</v>
      </c>
      <c r="U551" s="20" t="s">
        <v>124</v>
      </c>
      <c r="V551" s="20" t="s">
        <v>95</v>
      </c>
      <c r="W551" s="20" t="s">
        <v>96</v>
      </c>
      <c r="X551" s="20" t="s">
        <v>97</v>
      </c>
      <c r="Y551" s="20" t="s">
        <v>70</v>
      </c>
      <c r="Z551" s="20" t="s">
        <v>98</v>
      </c>
      <c r="AA551" s="20" t="s">
        <v>1261</v>
      </c>
      <c r="AB551" s="20" t="s">
        <v>1261</v>
      </c>
      <c r="AC551" s="20" t="s">
        <v>1261</v>
      </c>
      <c r="AD551" s="20" t="s">
        <v>1261</v>
      </c>
      <c r="AE551" s="20"/>
      <c r="AF551" s="9" t="n">
        <v>1</v>
      </c>
      <c r="AG551" s="12" t="n">
        <v>1</v>
      </c>
      <c r="AH551" s="22" t="s">
        <v>235</v>
      </c>
      <c r="AI551" s="12" t="str">
        <f>IF(AH551="","",IFERROR(RIGHT("0000"&amp;AH551,4)&amp;" - "&amp;UPPER(_xlfn.XLOOKUP(RIGHT("0000"&amp;AH551,4),CODEBOOK_CAP!$C$2:$C$212,CODEBOOK_CAP!$D$2:$D$212)),"Código CAP não encontrado"))</f>
        <v>0322 - ESTRUTURAS, HOSPITAIS, CLÍNICAS</v>
      </c>
      <c r="AJ551" s="12" t="str">
        <f>IF(AH551="","",IFERROR(_xlfn.XLOOKUP(RIGHT("0000"&amp;AH551,4),CODEBOOK_CAP!$C$2:$C$212,CODEBOOK_CAP!$E$2:$E$212),"Código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1" s="22" t="s">
        <v>77</v>
      </c>
      <c r="AL551" s="26"/>
      <c r="AM551" s="22" t="s">
        <v>79</v>
      </c>
      <c r="AN551" s="22" t="s">
        <v>79</v>
      </c>
      <c r="AO551" s="12" t="s">
        <v>3111</v>
      </c>
      <c r="AP551" s="22" t="s">
        <v>77</v>
      </c>
      <c r="AQ551" s="12"/>
      <c r="AR551" s="22" t="s">
        <v>77</v>
      </c>
      <c r="AS551" s="10"/>
      <c r="AT551" s="2" t="s">
        <v>1814</v>
      </c>
      <c r="AU551" s="12" t="s">
        <v>83</v>
      </c>
      <c r="AV551" s="3" t="n">
        <v>46221</v>
      </c>
      <c r="AW551" s="21"/>
      <c r="AY551" s="1"/>
      <c r="BA551" s="1"/>
      <c r="BB551" s="1"/>
    </row>
    <row r="552" ht="120" customHeight="1">
      <c r="A552" s="20" t="s">
        <v>3112</v>
      </c>
      <c r="B552" s="20" t="n">
        <v>2023</v>
      </c>
      <c r="C552" s="20" t="n">
        <v>165</v>
      </c>
      <c r="D552" s="20" t="s">
        <v>50</v>
      </c>
      <c r="E552" s="20" t="s">
        <v>3025</v>
      </c>
      <c r="F552" s="20" t="s">
        <v>3113</v>
      </c>
      <c r="G552" s="20" t="s">
        <v>86</v>
      </c>
      <c r="H552" s="20" t="s">
        <v>3027</v>
      </c>
      <c r="I552" s="20"/>
      <c r="J552" s="20" t="s">
        <v>3114</v>
      </c>
      <c r="K552" s="20" t="s">
        <v>122</v>
      </c>
      <c r="L552" s="20" t="s">
        <v>57</v>
      </c>
      <c r="M552" s="20" t="s">
        <v>58</v>
      </c>
      <c r="N552" s="20" t="s">
        <v>59</v>
      </c>
      <c r="O552" s="20" t="s">
        <v>60</v>
      </c>
      <c r="P552" s="20" t="s">
        <v>89</v>
      </c>
      <c r="Q552" s="20" t="s">
        <v>90</v>
      </c>
      <c r="R552" s="20" t="s">
        <v>91</v>
      </c>
      <c r="S552" s="20" t="s">
        <v>92</v>
      </c>
      <c r="T552" s="20" t="s">
        <v>123</v>
      </c>
      <c r="U552" s="20" t="s">
        <v>124</v>
      </c>
      <c r="V552" s="20" t="s">
        <v>95</v>
      </c>
      <c r="W552" s="20" t="s">
        <v>96</v>
      </c>
      <c r="X552" s="20" t="s">
        <v>97</v>
      </c>
      <c r="Y552" s="20" t="s">
        <v>70</v>
      </c>
      <c r="Z552" s="20" t="s">
        <v>98</v>
      </c>
      <c r="AA552" s="20" t="s">
        <v>1261</v>
      </c>
      <c r="AB552" s="20" t="s">
        <v>1261</v>
      </c>
      <c r="AC552" s="20" t="s">
        <v>1261</v>
      </c>
      <c r="AD552" s="20" t="s">
        <v>1261</v>
      </c>
      <c r="AE552" s="20"/>
      <c r="AF552" s="9" t="n">
        <v>1</v>
      </c>
      <c r="AG552" s="12" t="n">
        <v>1</v>
      </c>
      <c r="AH552" s="22" t="s">
        <v>235</v>
      </c>
      <c r="AI552" s="12" t="str">
        <f>IF(AH552="","",IFERROR(RIGHT("0000"&amp;AH552,4)&amp;" - "&amp;UPPER(_xlfn.XLOOKUP(RIGHT("0000"&amp;AH552,4),CODEBOOK_CAP!$C$2:$C$212,CODEBOOK_CAP!$D$2:$D$212)),"Código CAP não encontrado"))</f>
        <v>0322 - ESTRUTURAS, HOSPITAIS, CLÍNICAS</v>
      </c>
      <c r="AJ552" s="12" t="str">
        <f>IF(AH552="","",IFERROR(_xlfn.XLOOKUP(RIGHT("0000"&amp;AH552,4),CODEBOOK_CAP!$C$2:$C$212,CODEBOOK_CAP!$E$2:$E$212),"Código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2" s="22" t="s">
        <v>77</v>
      </c>
      <c r="AL552" s="26"/>
      <c r="AM552" s="22" t="s">
        <v>79</v>
      </c>
      <c r="AN552" s="22" t="s">
        <v>79</v>
      </c>
      <c r="AO552" s="12" t="s">
        <v>3115</v>
      </c>
      <c r="AP552" s="22" t="s">
        <v>77</v>
      </c>
      <c r="AQ552" s="12"/>
      <c r="AR552" s="22" t="s">
        <v>77</v>
      </c>
      <c r="AS552" s="10"/>
      <c r="AT552" s="2" t="s">
        <v>1814</v>
      </c>
      <c r="AU552" s="12" t="s">
        <v>83</v>
      </c>
      <c r="AV552" s="3" t="n">
        <v>46221</v>
      </c>
      <c r="AW552" s="21"/>
      <c r="AY552" s="1"/>
      <c r="BA552" s="1"/>
      <c r="BB552" s="1"/>
    </row>
    <row r="553" ht="120" customHeight="1">
      <c r="A553" s="20" t="s">
        <v>3116</v>
      </c>
      <c r="B553" s="20" t="n">
        <v>2023</v>
      </c>
      <c r="C553" s="20" t="n">
        <v>675</v>
      </c>
      <c r="D553" s="20" t="s">
        <v>50</v>
      </c>
      <c r="E553" s="20" t="s">
        <v>3117</v>
      </c>
      <c r="F553" s="20" t="s">
        <v>3118</v>
      </c>
      <c r="G553" s="20" t="s">
        <v>86</v>
      </c>
      <c r="H553" s="20" t="s">
        <v>3119</v>
      </c>
      <c r="I553" s="20"/>
      <c r="J553" s="20" t="s">
        <v>979</v>
      </c>
      <c r="K553" s="20" t="s">
        <v>122</v>
      </c>
      <c r="L553" s="20" t="s">
        <v>57</v>
      </c>
      <c r="M553" s="20" t="s">
        <v>58</v>
      </c>
      <c r="N553" s="20" t="s">
        <v>59</v>
      </c>
      <c r="O553" s="20" t="s">
        <v>60</v>
      </c>
      <c r="P553" s="20" t="s">
        <v>89</v>
      </c>
      <c r="Q553" s="20" t="s">
        <v>90</v>
      </c>
      <c r="R553" s="20" t="s">
        <v>91</v>
      </c>
      <c r="S553" s="20" t="s">
        <v>92</v>
      </c>
      <c r="T553" s="20" t="s">
        <v>123</v>
      </c>
      <c r="U553" s="20" t="s">
        <v>124</v>
      </c>
      <c r="V553" s="20" t="s">
        <v>95</v>
      </c>
      <c r="W553" s="20" t="s">
        <v>96</v>
      </c>
      <c r="X553" s="20" t="s">
        <v>97</v>
      </c>
      <c r="Y553" s="20" t="s">
        <v>70</v>
      </c>
      <c r="Z553" s="20" t="s">
        <v>98</v>
      </c>
      <c r="AA553" s="20" t="s">
        <v>409</v>
      </c>
      <c r="AB553" s="20" t="s">
        <v>409</v>
      </c>
      <c r="AC553" s="20" t="s">
        <v>409</v>
      </c>
      <c r="AD553" s="20" t="s">
        <v>409</v>
      </c>
      <c r="AE553" s="20"/>
      <c r="AF553" s="9" t="n">
        <v>1</v>
      </c>
      <c r="AG553" s="12" t="n">
        <v>1</v>
      </c>
      <c r="AH553" s="22" t="s">
        <v>235</v>
      </c>
      <c r="AI553" s="12" t="str">
        <f>IF(AH553="","",IFERROR(RIGHT("0000"&amp;AH553,4)&amp;" - "&amp;UPPER(_xlfn.XLOOKUP(RIGHT("0000"&amp;AH553,4),CODEBOOK_CAP!$C$2:$C$212,CODEBOOK_CAP!$D$2:$D$212)),"Código CAP não encontrado"))</f>
        <v>0322 - ESTRUTURAS, HOSPITAIS, CLÍNICAS</v>
      </c>
      <c r="AJ553" s="12" t="str">
        <f>IF(AH553="","",IFERROR(_xlfn.XLOOKUP(RIGHT("0000"&amp;AH553,4),CODEBOOK_CAP!$C$2:$C$212,CODEBOOK_CAP!$E$2:$E$212),"Código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3" s="22" t="s">
        <v>77</v>
      </c>
      <c r="AL553" s="26"/>
      <c r="AM553" s="22" t="s">
        <v>79</v>
      </c>
      <c r="AN553" s="22" t="s">
        <v>79</v>
      </c>
      <c r="AO553" s="12" t="s">
        <v>981</v>
      </c>
      <c r="AP553" s="22" t="s">
        <v>77</v>
      </c>
      <c r="AQ553" s="12"/>
      <c r="AR553" s="22" t="s">
        <v>77</v>
      </c>
      <c r="AS553" s="10"/>
      <c r="AT553" s="2" t="s">
        <v>1814</v>
      </c>
      <c r="AU553" s="12" t="s">
        <v>83</v>
      </c>
      <c r="AV553" s="3" t="n">
        <v>46223</v>
      </c>
      <c r="AW553" s="21"/>
      <c r="AY553" s="1"/>
      <c r="BA553" s="1"/>
      <c r="BB553" s="1"/>
    </row>
    <row r="554" ht="120" customHeight="1">
      <c r="A554" s="20" t="s">
        <v>3120</v>
      </c>
      <c r="B554" s="20" t="n">
        <v>2023</v>
      </c>
      <c r="C554" s="20" t="n">
        <v>676</v>
      </c>
      <c r="D554" s="20" t="s">
        <v>50</v>
      </c>
      <c r="E554" s="20" t="s">
        <v>3117</v>
      </c>
      <c r="F554" s="20" t="s">
        <v>3121</v>
      </c>
      <c r="G554" s="20" t="s">
        <v>86</v>
      </c>
      <c r="H554" s="20" t="s">
        <v>3119</v>
      </c>
      <c r="I554" s="20"/>
      <c r="J554" s="20" t="s">
        <v>3122</v>
      </c>
      <c r="K554" s="20" t="s">
        <v>122</v>
      </c>
      <c r="L554" s="20" t="s">
        <v>57</v>
      </c>
      <c r="M554" s="20" t="s">
        <v>58</v>
      </c>
      <c r="N554" s="20" t="s">
        <v>59</v>
      </c>
      <c r="O554" s="20" t="s">
        <v>60</v>
      </c>
      <c r="P554" s="20" t="s">
        <v>89</v>
      </c>
      <c r="Q554" s="20" t="s">
        <v>90</v>
      </c>
      <c r="R554" s="20" t="s">
        <v>91</v>
      </c>
      <c r="S554" s="20" t="s">
        <v>92</v>
      </c>
      <c r="T554" s="20" t="s">
        <v>123</v>
      </c>
      <c r="U554" s="20" t="s">
        <v>124</v>
      </c>
      <c r="V554" s="20" t="s">
        <v>95</v>
      </c>
      <c r="W554" s="20" t="s">
        <v>96</v>
      </c>
      <c r="X554" s="20" t="s">
        <v>97</v>
      </c>
      <c r="Y554" s="20" t="s">
        <v>70</v>
      </c>
      <c r="Z554" s="20" t="s">
        <v>98</v>
      </c>
      <c r="AA554" s="20" t="s">
        <v>388</v>
      </c>
      <c r="AB554" s="20" t="s">
        <v>388</v>
      </c>
      <c r="AC554" s="20" t="s">
        <v>388</v>
      </c>
      <c r="AD554" s="20" t="s">
        <v>388</v>
      </c>
      <c r="AE554" s="20"/>
      <c r="AF554" s="9" t="n">
        <v>1</v>
      </c>
      <c r="AG554" s="12" t="n">
        <v>1</v>
      </c>
      <c r="AH554" s="22" t="s">
        <v>235</v>
      </c>
      <c r="AI554" s="12" t="str">
        <f>IF(AH554="","",IFERROR(RIGHT("0000"&amp;AH554,4)&amp;" - "&amp;UPPER(_xlfn.XLOOKUP(RIGHT("0000"&amp;AH554,4),CODEBOOK_CAP!$C$2:$C$212,CODEBOOK_CAP!$D$2:$D$212)),"Código CAP não encontrado"))</f>
        <v>0322 - ESTRUTURAS, HOSPITAIS, CLÍNICAS</v>
      </c>
      <c r="AJ554" s="12" t="str">
        <f>IF(AH554="","",IFERROR(_xlfn.XLOOKUP(RIGHT("0000"&amp;AH554,4),CODEBOOK_CAP!$C$2:$C$212,CODEBOOK_CAP!$E$2:$E$212),"Código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4" s="22" t="s">
        <v>77</v>
      </c>
      <c r="AL554" s="26"/>
      <c r="AM554" s="22" t="s">
        <v>79</v>
      </c>
      <c r="AN554" s="22" t="s">
        <v>79</v>
      </c>
      <c r="AO554" s="12" t="s">
        <v>985</v>
      </c>
      <c r="AP554" s="22" t="s">
        <v>77</v>
      </c>
      <c r="AQ554" s="12"/>
      <c r="AR554" s="22" t="s">
        <v>77</v>
      </c>
      <c r="AS554" s="10"/>
      <c r="AT554" s="2" t="s">
        <v>1814</v>
      </c>
      <c r="AU554" s="12" t="s">
        <v>83</v>
      </c>
      <c r="AV554" s="3" t="n">
        <v>46223</v>
      </c>
      <c r="AW554" s="21"/>
      <c r="AY554" s="1"/>
      <c r="BA554" s="1"/>
      <c r="BB554" s="1"/>
    </row>
    <row r="555" ht="105" customHeight="1">
      <c r="A555" s="20" t="s">
        <v>3123</v>
      </c>
      <c r="B555" s="20" t="n">
        <v>2023</v>
      </c>
      <c r="C555" s="20" t="n">
        <v>677</v>
      </c>
      <c r="D555" s="20" t="s">
        <v>50</v>
      </c>
      <c r="E555" s="20" t="s">
        <v>3117</v>
      </c>
      <c r="F555" s="20" t="s">
        <v>3124</v>
      </c>
      <c r="G555" s="20" t="s">
        <v>315</v>
      </c>
      <c r="H555" s="20" t="s">
        <v>3119</v>
      </c>
      <c r="I555" s="20"/>
      <c r="J555" s="20" t="s">
        <v>3125</v>
      </c>
      <c r="K555" s="20" t="s">
        <v>3035</v>
      </c>
      <c r="L555" s="20" t="s">
        <v>274</v>
      </c>
      <c r="M555" s="20" t="s">
        <v>275</v>
      </c>
      <c r="N555" s="20" t="s">
        <v>276</v>
      </c>
      <c r="O555" s="20" t="s">
        <v>277</v>
      </c>
      <c r="P555" s="20" t="s">
        <v>750</v>
      </c>
      <c r="Q555" s="20" t="s">
        <v>751</v>
      </c>
      <c r="R555" s="20" t="s">
        <v>1118</v>
      </c>
      <c r="S555" s="20" t="s">
        <v>1119</v>
      </c>
      <c r="T555" s="20" t="s">
        <v>1120</v>
      </c>
      <c r="U555" s="20" t="s">
        <v>1121</v>
      </c>
      <c r="V555" s="20" t="s">
        <v>95</v>
      </c>
      <c r="W555" s="20" t="s">
        <v>96</v>
      </c>
      <c r="X555" s="20" t="s">
        <v>97</v>
      </c>
      <c r="Y555" s="20" t="s">
        <v>70</v>
      </c>
      <c r="Z555" s="20" t="s">
        <v>284</v>
      </c>
      <c r="AA555" s="20" t="s">
        <v>202</v>
      </c>
      <c r="AB555" s="20" t="s">
        <v>202</v>
      </c>
      <c r="AC555" s="20" t="s">
        <v>255</v>
      </c>
      <c r="AD555" s="20" t="s">
        <v>202</v>
      </c>
      <c r="AE555" s="20"/>
      <c r="AF555" s="9" t="n">
        <v>0</v>
      </c>
      <c r="AG555" s="12" t="n">
        <v>0</v>
      </c>
      <c r="AH555" s="22" t="s">
        <v>941</v>
      </c>
      <c r="AI555" s="12" t="str">
        <f>IF(AH555="","",IFERROR(RIGHT("0000"&amp;AH555,4)&amp;" - "&amp;UPPER(_xlfn.XLOOKUP(RIGHT("0000"&amp;AH555,4),CODEBOOK_CAP!$C$2:$C$212,CODEBOOK_CAP!$D$2:$D$212)),"Código CAP não encontrado"))</f>
        <v>1308 - POLÍTICAS SOCIAIS PARA FAMÍLIAS E INFÂNCIA</v>
      </c>
      <c r="AJ555" s="12" t="str">
        <f>IF(AH555="","",IFERROR(_xlfn.XLOOKUP(RIGHT("0000"&amp;AH555,4),CODEBOOK_CAP!$C$2:$C$212,CODEBOOK_CAP!$E$2:$E$212),"Código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55" s="22" t="s">
        <v>77</v>
      </c>
      <c r="AL555" s="26"/>
      <c r="AM555" s="22" t="s">
        <v>77</v>
      </c>
      <c r="AN555" s="22" t="s">
        <v>77</v>
      </c>
      <c r="AO555" s="12"/>
      <c r="AP555" s="22" t="s">
        <v>79</v>
      </c>
      <c r="AQ555" s="12" t="s">
        <v>1094</v>
      </c>
      <c r="AR555" s="22" t="s">
        <v>77</v>
      </c>
      <c r="AS555" s="10"/>
      <c r="AT555" s="2" t="s">
        <v>1814</v>
      </c>
      <c r="AU555" s="12" t="s">
        <v>83</v>
      </c>
      <c r="AV555" s="3" t="n">
        <v>46223</v>
      </c>
      <c r="AW555" s="21"/>
      <c r="AY555" s="1"/>
      <c r="BA555" s="1"/>
      <c r="BB555" s="1"/>
    </row>
    <row r="556" ht="120" customHeight="1">
      <c r="A556" s="20" t="s">
        <v>3126</v>
      </c>
      <c r="B556" s="20" t="n">
        <v>2023</v>
      </c>
      <c r="C556" s="20" t="n">
        <v>678</v>
      </c>
      <c r="D556" s="20" t="s">
        <v>50</v>
      </c>
      <c r="E556" s="20" t="s">
        <v>3117</v>
      </c>
      <c r="F556" s="20" t="s">
        <v>3127</v>
      </c>
      <c r="G556" s="20" t="s">
        <v>86</v>
      </c>
      <c r="H556" s="20" t="s">
        <v>3119</v>
      </c>
      <c r="I556" s="20"/>
      <c r="J556" s="20" t="s">
        <v>3128</v>
      </c>
      <c r="K556" s="20" t="s">
        <v>1141</v>
      </c>
      <c r="L556" s="20" t="s">
        <v>57</v>
      </c>
      <c r="M556" s="20" t="s">
        <v>58</v>
      </c>
      <c r="N556" s="20" t="s">
        <v>59</v>
      </c>
      <c r="O556" s="20" t="s">
        <v>60</v>
      </c>
      <c r="P556" s="20" t="s">
        <v>89</v>
      </c>
      <c r="Q556" s="20" t="s">
        <v>90</v>
      </c>
      <c r="R556" s="20" t="s">
        <v>91</v>
      </c>
      <c r="S556" s="20" t="s">
        <v>92</v>
      </c>
      <c r="T556" s="20" t="s">
        <v>341</v>
      </c>
      <c r="U556" s="20" t="s">
        <v>342</v>
      </c>
      <c r="V556" s="20" t="s">
        <v>854</v>
      </c>
      <c r="W556" s="20" t="s">
        <v>96</v>
      </c>
      <c r="X556" s="20" t="s">
        <v>97</v>
      </c>
      <c r="Y556" s="20" t="s">
        <v>70</v>
      </c>
      <c r="Z556" s="20" t="s">
        <v>98</v>
      </c>
      <c r="AA556" s="20" t="s">
        <v>292</v>
      </c>
      <c r="AB556" s="20" t="s">
        <v>3129</v>
      </c>
      <c r="AC556" s="20" t="s">
        <v>3129</v>
      </c>
      <c r="AD556" s="20" t="s">
        <v>3129</v>
      </c>
      <c r="AE556" s="20"/>
      <c r="AF556" s="9" t="n">
        <v>1</v>
      </c>
      <c r="AG556" s="12" t="n">
        <v>1</v>
      </c>
      <c r="AH556" s="22" t="s">
        <v>235</v>
      </c>
      <c r="AI556" s="12" t="str">
        <f>IF(AH556="","",IFERROR(RIGHT("0000"&amp;AH556,4)&amp;" - "&amp;UPPER(_xlfn.XLOOKUP(RIGHT("0000"&amp;AH556,4),CODEBOOK_CAP!$C$2:$C$212,CODEBOOK_CAP!$D$2:$D$212)),"Código CAP não encontrado"))</f>
        <v>0322 - ESTRUTURAS, HOSPITAIS, CLÍNICAS</v>
      </c>
      <c r="AJ556" s="12" t="str">
        <f>IF(AH556="","",IFERROR(_xlfn.XLOOKUP(RIGHT("0000"&amp;AH556,4),CODEBOOK_CAP!$C$2:$C$212,CODEBOOK_CAP!$E$2:$E$212),"Código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6" s="22" t="s">
        <v>79</v>
      </c>
      <c r="AL556" s="26" t="s">
        <v>3130</v>
      </c>
      <c r="AM556" s="22" t="s">
        <v>79</v>
      </c>
      <c r="AN556" s="22" t="s">
        <v>79</v>
      </c>
      <c r="AO556" s="12" t="s">
        <v>3131</v>
      </c>
      <c r="AP556" s="22" t="s">
        <v>77</v>
      </c>
      <c r="AQ556" s="12"/>
      <c r="AR556" s="22" t="s">
        <v>77</v>
      </c>
      <c r="AS556" s="10"/>
      <c r="AT556" s="2" t="s">
        <v>1814</v>
      </c>
      <c r="AU556" s="12" t="s">
        <v>83</v>
      </c>
      <c r="AV556" s="3" t="n">
        <v>46223</v>
      </c>
      <c r="AW556" s="21"/>
      <c r="AY556" s="1"/>
      <c r="BA556" s="1"/>
      <c r="BB556" s="1"/>
    </row>
    <row r="557" ht="120" customHeight="1">
      <c r="A557" s="20" t="s">
        <v>3132</v>
      </c>
      <c r="B557" s="20" t="n">
        <v>2023</v>
      </c>
      <c r="C557" s="20" t="n">
        <v>679</v>
      </c>
      <c r="D557" s="20" t="s">
        <v>50</v>
      </c>
      <c r="E557" s="20" t="s">
        <v>3117</v>
      </c>
      <c r="F557" s="20" t="s">
        <v>3133</v>
      </c>
      <c r="G557" s="20" t="s">
        <v>315</v>
      </c>
      <c r="H557" s="20" t="s">
        <v>3119</v>
      </c>
      <c r="I557" s="20"/>
      <c r="J557" s="20" t="s">
        <v>3134</v>
      </c>
      <c r="K557" s="20" t="s">
        <v>340</v>
      </c>
      <c r="L557" s="20" t="s">
        <v>57</v>
      </c>
      <c r="M557" s="20" t="s">
        <v>58</v>
      </c>
      <c r="N557" s="20" t="s">
        <v>59</v>
      </c>
      <c r="O557" s="20" t="s">
        <v>60</v>
      </c>
      <c r="P557" s="20" t="s">
        <v>89</v>
      </c>
      <c r="Q557" s="20" t="s">
        <v>90</v>
      </c>
      <c r="R557" s="20" t="s">
        <v>91</v>
      </c>
      <c r="S557" s="20" t="s">
        <v>92</v>
      </c>
      <c r="T557" s="20" t="s">
        <v>341</v>
      </c>
      <c r="U557" s="20" t="s">
        <v>342</v>
      </c>
      <c r="V557" s="20" t="s">
        <v>196</v>
      </c>
      <c r="W557" s="20" t="s">
        <v>68</v>
      </c>
      <c r="X557" s="20" t="s">
        <v>69</v>
      </c>
      <c r="Y557" s="20" t="s">
        <v>70</v>
      </c>
      <c r="Z557" s="20" t="s">
        <v>98</v>
      </c>
      <c r="AA557" s="20" t="s">
        <v>372</v>
      </c>
      <c r="AB557" s="20" t="s">
        <v>3135</v>
      </c>
      <c r="AC557" s="20" t="s">
        <v>3136</v>
      </c>
      <c r="AD557" s="20" t="s">
        <v>3136</v>
      </c>
      <c r="AE557" s="20" t="s">
        <v>3137</v>
      </c>
      <c r="AF557" s="9" t="n">
        <v>1</v>
      </c>
      <c r="AG557" s="12" t="n">
        <v>1</v>
      </c>
      <c r="AH557" s="22" t="s">
        <v>235</v>
      </c>
      <c r="AI557" s="12" t="str">
        <f>IF(AH557="","",IFERROR(RIGHT("0000"&amp;AH557,4)&amp;" - "&amp;UPPER(_xlfn.XLOOKUP(RIGHT("0000"&amp;AH557,4),CODEBOOK_CAP!$C$2:$C$212,CODEBOOK_CAP!$D$2:$D$212)),"Código CAP não encontrado"))</f>
        <v>0322 - ESTRUTURAS, HOSPITAIS, CLÍNICAS</v>
      </c>
      <c r="AJ557" s="12" t="str">
        <f>IF(AH557="","",IFERROR(_xlfn.XLOOKUP(RIGHT("0000"&amp;AH557,4),CODEBOOK_CAP!$C$2:$C$212,CODEBOOK_CAP!$E$2:$E$212),"Código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7" s="22" t="s">
        <v>79</v>
      </c>
      <c r="AL557" s="26" t="s">
        <v>3130</v>
      </c>
      <c r="AM557" s="22" t="s">
        <v>79</v>
      </c>
      <c r="AN557" s="22" t="s">
        <v>79</v>
      </c>
      <c r="AO557" s="12" t="s">
        <v>3131</v>
      </c>
      <c r="AP557" s="22" t="s">
        <v>77</v>
      </c>
      <c r="AQ557" s="12"/>
      <c r="AR557" s="22" t="s">
        <v>79</v>
      </c>
      <c r="AS557" s="10" t="s">
        <v>3137</v>
      </c>
      <c r="AT557" s="2" t="s">
        <v>1814</v>
      </c>
      <c r="AU557" s="12" t="s">
        <v>83</v>
      </c>
      <c r="AV557" s="3" t="n">
        <v>46223</v>
      </c>
      <c r="AW557" s="21"/>
      <c r="AY557" s="1"/>
      <c r="BA557" s="1"/>
      <c r="BB557" s="1"/>
    </row>
    <row r="558" ht="120" customHeight="1">
      <c r="A558" s="20" t="s">
        <v>3138</v>
      </c>
      <c r="B558" s="20" t="n">
        <v>2023</v>
      </c>
      <c r="C558" s="20" t="n">
        <v>680</v>
      </c>
      <c r="D558" s="20" t="s">
        <v>50</v>
      </c>
      <c r="E558" s="20" t="s">
        <v>3117</v>
      </c>
      <c r="F558" s="20" t="s">
        <v>3139</v>
      </c>
      <c r="G558" s="20" t="s">
        <v>86</v>
      </c>
      <c r="H558" s="20" t="s">
        <v>3119</v>
      </c>
      <c r="I558" s="20"/>
      <c r="J558" s="20" t="s">
        <v>3140</v>
      </c>
      <c r="K558" s="20" t="s">
        <v>1141</v>
      </c>
      <c r="L558" s="20" t="s">
        <v>57</v>
      </c>
      <c r="M558" s="20" t="s">
        <v>58</v>
      </c>
      <c r="N558" s="20" t="s">
        <v>59</v>
      </c>
      <c r="O558" s="20" t="s">
        <v>60</v>
      </c>
      <c r="P558" s="20" t="s">
        <v>89</v>
      </c>
      <c r="Q558" s="20" t="s">
        <v>90</v>
      </c>
      <c r="R558" s="20" t="s">
        <v>91</v>
      </c>
      <c r="S558" s="20" t="s">
        <v>92</v>
      </c>
      <c r="T558" s="20" t="s">
        <v>341</v>
      </c>
      <c r="U558" s="20" t="s">
        <v>342</v>
      </c>
      <c r="V558" s="20" t="s">
        <v>854</v>
      </c>
      <c r="W558" s="20" t="s">
        <v>96</v>
      </c>
      <c r="X558" s="20" t="s">
        <v>97</v>
      </c>
      <c r="Y558" s="20" t="s">
        <v>70</v>
      </c>
      <c r="Z558" s="20" t="s">
        <v>98</v>
      </c>
      <c r="AA558" s="20" t="s">
        <v>292</v>
      </c>
      <c r="AB558" s="20" t="s">
        <v>3129</v>
      </c>
      <c r="AC558" s="20" t="s">
        <v>3129</v>
      </c>
      <c r="AD558" s="20" t="s">
        <v>3129</v>
      </c>
      <c r="AE558" s="20"/>
      <c r="AF558" s="9" t="n">
        <v>1</v>
      </c>
      <c r="AG558" s="12" t="n">
        <v>1</v>
      </c>
      <c r="AH558" s="22" t="s">
        <v>235</v>
      </c>
      <c r="AI558" s="12" t="str">
        <f>IF(AH558="","",IFERROR(RIGHT("0000"&amp;AH558,4)&amp;" - "&amp;UPPER(_xlfn.XLOOKUP(RIGHT("0000"&amp;AH558,4),CODEBOOK_CAP!$C$2:$C$212,CODEBOOK_CAP!$D$2:$D$212)),"Código CAP não encontrado"))</f>
        <v>0322 - ESTRUTURAS, HOSPITAIS, CLÍNICAS</v>
      </c>
      <c r="AJ558" s="12" t="str">
        <f>IF(AH558="","",IFERROR(_xlfn.XLOOKUP(RIGHT("0000"&amp;AH558,4),CODEBOOK_CAP!$C$2:$C$212,CODEBOOK_CAP!$E$2:$E$212),"Código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8" s="22" t="s">
        <v>79</v>
      </c>
      <c r="AL558" s="26" t="s">
        <v>3141</v>
      </c>
      <c r="AM558" s="22" t="s">
        <v>79</v>
      </c>
      <c r="AN558" s="22" t="s">
        <v>79</v>
      </c>
      <c r="AO558" s="12" t="s">
        <v>3142</v>
      </c>
      <c r="AP558" s="22" t="s">
        <v>77</v>
      </c>
      <c r="AQ558" s="12"/>
      <c r="AR558" s="22" t="s">
        <v>77</v>
      </c>
      <c r="AS558" s="10"/>
      <c r="AT558" s="2" t="s">
        <v>1814</v>
      </c>
      <c r="AU558" s="12" t="s">
        <v>83</v>
      </c>
      <c r="AV558" s="3" t="n">
        <v>46223</v>
      </c>
      <c r="AW558" s="21"/>
      <c r="AY558" s="1"/>
      <c r="BA558" s="1"/>
      <c r="BB558" s="1"/>
    </row>
    <row r="559" ht="120" customHeight="1">
      <c r="A559" s="20" t="s">
        <v>3143</v>
      </c>
      <c r="B559" s="20" t="n">
        <v>2023</v>
      </c>
      <c r="C559" s="20" t="n">
        <v>681</v>
      </c>
      <c r="D559" s="20" t="s">
        <v>50</v>
      </c>
      <c r="E559" s="20" t="s">
        <v>3117</v>
      </c>
      <c r="F559" s="20" t="s">
        <v>3144</v>
      </c>
      <c r="G559" s="20" t="s">
        <v>315</v>
      </c>
      <c r="H559" s="20" t="s">
        <v>3119</v>
      </c>
      <c r="I559" s="20"/>
      <c r="J559" s="20" t="s">
        <v>3145</v>
      </c>
      <c r="K559" s="20" t="s">
        <v>340</v>
      </c>
      <c r="L559" s="20" t="s">
        <v>57</v>
      </c>
      <c r="M559" s="20" t="s">
        <v>58</v>
      </c>
      <c r="N559" s="20" t="s">
        <v>59</v>
      </c>
      <c r="O559" s="20" t="s">
        <v>60</v>
      </c>
      <c r="P559" s="20" t="s">
        <v>89</v>
      </c>
      <c r="Q559" s="20" t="s">
        <v>90</v>
      </c>
      <c r="R559" s="20" t="s">
        <v>91</v>
      </c>
      <c r="S559" s="20" t="s">
        <v>92</v>
      </c>
      <c r="T559" s="20" t="s">
        <v>341</v>
      </c>
      <c r="U559" s="20" t="s">
        <v>342</v>
      </c>
      <c r="V559" s="20" t="s">
        <v>196</v>
      </c>
      <c r="W559" s="20" t="s">
        <v>68</v>
      </c>
      <c r="X559" s="20" t="s">
        <v>69</v>
      </c>
      <c r="Y559" s="20" t="s">
        <v>70</v>
      </c>
      <c r="Z559" s="20" t="s">
        <v>98</v>
      </c>
      <c r="AA559" s="20" t="s">
        <v>372</v>
      </c>
      <c r="AB559" s="20" t="s">
        <v>3146</v>
      </c>
      <c r="AC559" s="20" t="s">
        <v>3146</v>
      </c>
      <c r="AD559" s="20" t="s">
        <v>3146</v>
      </c>
      <c r="AE559" s="20"/>
      <c r="AF559" s="9" t="n">
        <v>1</v>
      </c>
      <c r="AG559" s="12" t="n">
        <v>1</v>
      </c>
      <c r="AH559" s="22" t="s">
        <v>235</v>
      </c>
      <c r="AI559" s="12" t="str">
        <f>IF(AH559="","",IFERROR(RIGHT("0000"&amp;AH559,4)&amp;" - "&amp;UPPER(_xlfn.XLOOKUP(RIGHT("0000"&amp;AH559,4),CODEBOOK_CAP!$C$2:$C$212,CODEBOOK_CAP!$D$2:$D$212)),"Código CAP não encontrado"))</f>
        <v>0322 - ESTRUTURAS, HOSPITAIS, CLÍNICAS</v>
      </c>
      <c r="AJ559" s="12" t="str">
        <f>IF(AH559="","",IFERROR(_xlfn.XLOOKUP(RIGHT("0000"&amp;AH559,4),CODEBOOK_CAP!$C$2:$C$212,CODEBOOK_CAP!$E$2:$E$212),"Código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59" s="22" t="s">
        <v>79</v>
      </c>
      <c r="AL559" s="26" t="s">
        <v>3141</v>
      </c>
      <c r="AM559" s="22" t="s">
        <v>79</v>
      </c>
      <c r="AN559" s="22" t="s">
        <v>79</v>
      </c>
      <c r="AO559" s="12" t="s">
        <v>3142</v>
      </c>
      <c r="AP559" s="22" t="s">
        <v>77</v>
      </c>
      <c r="AQ559" s="12"/>
      <c r="AR559" s="22" t="s">
        <v>77</v>
      </c>
      <c r="AS559" s="10"/>
      <c r="AT559" s="2" t="s">
        <v>1814</v>
      </c>
      <c r="AU559" s="12" t="s">
        <v>83</v>
      </c>
      <c r="AV559" s="3" t="n">
        <v>46223</v>
      </c>
      <c r="AW559" s="21"/>
      <c r="AY559" s="1"/>
      <c r="BA559" s="1"/>
      <c r="BB559" s="1"/>
    </row>
    <row r="560" ht="120" customHeight="1">
      <c r="A560" s="20" t="s">
        <v>3147</v>
      </c>
      <c r="B560" s="20" t="n">
        <v>2023</v>
      </c>
      <c r="C560" s="20" t="n">
        <v>682</v>
      </c>
      <c r="D560" s="20" t="s">
        <v>50</v>
      </c>
      <c r="E560" s="20" t="s">
        <v>3117</v>
      </c>
      <c r="F560" s="20" t="s">
        <v>3148</v>
      </c>
      <c r="G560" s="20" t="s">
        <v>86</v>
      </c>
      <c r="H560" s="20" t="s">
        <v>3119</v>
      </c>
      <c r="I560" s="20"/>
      <c r="J560" s="20" t="s">
        <v>3149</v>
      </c>
      <c r="K560" s="20" t="s">
        <v>1141</v>
      </c>
      <c r="L560" s="20" t="s">
        <v>57</v>
      </c>
      <c r="M560" s="20" t="s">
        <v>58</v>
      </c>
      <c r="N560" s="20" t="s">
        <v>59</v>
      </c>
      <c r="O560" s="20" t="s">
        <v>60</v>
      </c>
      <c r="P560" s="20" t="s">
        <v>89</v>
      </c>
      <c r="Q560" s="20" t="s">
        <v>90</v>
      </c>
      <c r="R560" s="20" t="s">
        <v>91</v>
      </c>
      <c r="S560" s="20" t="s">
        <v>92</v>
      </c>
      <c r="T560" s="20" t="s">
        <v>341</v>
      </c>
      <c r="U560" s="20" t="s">
        <v>342</v>
      </c>
      <c r="V560" s="20" t="s">
        <v>854</v>
      </c>
      <c r="W560" s="20" t="s">
        <v>96</v>
      </c>
      <c r="X560" s="20" t="s">
        <v>97</v>
      </c>
      <c r="Y560" s="20" t="s">
        <v>70</v>
      </c>
      <c r="Z560" s="20" t="s">
        <v>98</v>
      </c>
      <c r="AA560" s="20" t="s">
        <v>292</v>
      </c>
      <c r="AB560" s="20" t="s">
        <v>3129</v>
      </c>
      <c r="AC560" s="20" t="s">
        <v>3129</v>
      </c>
      <c r="AD560" s="20" t="s">
        <v>3129</v>
      </c>
      <c r="AE560" s="20"/>
      <c r="AF560" s="9" t="n">
        <v>1</v>
      </c>
      <c r="AG560" s="12" t="n">
        <v>1</v>
      </c>
      <c r="AH560" s="22" t="s">
        <v>235</v>
      </c>
      <c r="AI560" s="12" t="str">
        <f>IF(AH560="","",IFERROR(RIGHT("0000"&amp;AH560,4)&amp;" - "&amp;UPPER(_xlfn.XLOOKUP(RIGHT("0000"&amp;AH560,4),CODEBOOK_CAP!$C$2:$C$212,CODEBOOK_CAP!$D$2:$D$212)),"Código CAP não encontrado"))</f>
        <v>0322 - ESTRUTURAS, HOSPITAIS, CLÍNICAS</v>
      </c>
      <c r="AJ560" s="12" t="str">
        <f>IF(AH560="","",IFERROR(_xlfn.XLOOKUP(RIGHT("0000"&amp;AH560,4),CODEBOOK_CAP!$C$2:$C$212,CODEBOOK_CAP!$E$2:$E$212),"Código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0" s="22" t="s">
        <v>79</v>
      </c>
      <c r="AL560" s="26" t="s">
        <v>3150</v>
      </c>
      <c r="AM560" s="22" t="s">
        <v>79</v>
      </c>
      <c r="AN560" s="22" t="s">
        <v>79</v>
      </c>
      <c r="AO560" s="12" t="s">
        <v>3151</v>
      </c>
      <c r="AP560" s="22" t="s">
        <v>77</v>
      </c>
      <c r="AQ560" s="12"/>
      <c r="AR560" s="22" t="s">
        <v>77</v>
      </c>
      <c r="AS560" s="10"/>
      <c r="AT560" s="2" t="s">
        <v>1814</v>
      </c>
      <c r="AU560" s="12" t="s">
        <v>83</v>
      </c>
      <c r="AV560" s="3" t="n">
        <v>46223</v>
      </c>
      <c r="AW560" s="21"/>
      <c r="AY560" s="1"/>
      <c r="BA560" s="1"/>
      <c r="BB560" s="1"/>
    </row>
    <row r="561" ht="120" customHeight="1">
      <c r="A561" s="20" t="s">
        <v>3152</v>
      </c>
      <c r="B561" s="20" t="n">
        <v>2023</v>
      </c>
      <c r="C561" s="20" t="n">
        <v>683</v>
      </c>
      <c r="D561" s="20" t="s">
        <v>50</v>
      </c>
      <c r="E561" s="20" t="s">
        <v>3117</v>
      </c>
      <c r="F561" s="20" t="s">
        <v>3153</v>
      </c>
      <c r="G561" s="20" t="s">
        <v>315</v>
      </c>
      <c r="H561" s="20" t="s">
        <v>3119</v>
      </c>
      <c r="I561" s="20"/>
      <c r="J561" s="20" t="s">
        <v>3154</v>
      </c>
      <c r="K561" s="20" t="s">
        <v>340</v>
      </c>
      <c r="L561" s="20" t="s">
        <v>57</v>
      </c>
      <c r="M561" s="20" t="s">
        <v>58</v>
      </c>
      <c r="N561" s="20" t="s">
        <v>59</v>
      </c>
      <c r="O561" s="20" t="s">
        <v>60</v>
      </c>
      <c r="P561" s="20" t="s">
        <v>89</v>
      </c>
      <c r="Q561" s="20" t="s">
        <v>90</v>
      </c>
      <c r="R561" s="20" t="s">
        <v>91</v>
      </c>
      <c r="S561" s="20" t="s">
        <v>92</v>
      </c>
      <c r="T561" s="20" t="s">
        <v>341</v>
      </c>
      <c r="U561" s="20" t="s">
        <v>342</v>
      </c>
      <c r="V561" s="20" t="s">
        <v>196</v>
      </c>
      <c r="W561" s="20" t="s">
        <v>68</v>
      </c>
      <c r="X561" s="20" t="s">
        <v>69</v>
      </c>
      <c r="Y561" s="20" t="s">
        <v>70</v>
      </c>
      <c r="Z561" s="20" t="s">
        <v>98</v>
      </c>
      <c r="AA561" s="20" t="s">
        <v>372</v>
      </c>
      <c r="AB561" s="20" t="s">
        <v>3155</v>
      </c>
      <c r="AC561" s="20" t="s">
        <v>3155</v>
      </c>
      <c r="AD561" s="20" t="s">
        <v>3155</v>
      </c>
      <c r="AE561" s="20"/>
      <c r="AF561" s="9" t="n">
        <v>1</v>
      </c>
      <c r="AG561" s="12" t="n">
        <v>1</v>
      </c>
      <c r="AH561" s="22" t="s">
        <v>235</v>
      </c>
      <c r="AI561" s="12" t="str">
        <f>IF(AH561="","",IFERROR(RIGHT("0000"&amp;AH561,4)&amp;" - "&amp;UPPER(_xlfn.XLOOKUP(RIGHT("0000"&amp;AH561,4),CODEBOOK_CAP!$C$2:$C$212,CODEBOOK_CAP!$D$2:$D$212)),"Código CAP não encontrado"))</f>
        <v>0322 - ESTRUTURAS, HOSPITAIS, CLÍNICAS</v>
      </c>
      <c r="AJ561" s="12" t="str">
        <f>IF(AH561="","",IFERROR(_xlfn.XLOOKUP(RIGHT("0000"&amp;AH561,4),CODEBOOK_CAP!$C$2:$C$212,CODEBOOK_CAP!$E$2:$E$212),"Código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1" s="22" t="s">
        <v>79</v>
      </c>
      <c r="AL561" s="26" t="s">
        <v>3150</v>
      </c>
      <c r="AM561" s="22" t="s">
        <v>79</v>
      </c>
      <c r="AN561" s="22" t="s">
        <v>79</v>
      </c>
      <c r="AO561" s="12" t="s">
        <v>3151</v>
      </c>
      <c r="AP561" s="22" t="s">
        <v>77</v>
      </c>
      <c r="AQ561" s="12"/>
      <c r="AR561" s="22" t="s">
        <v>77</v>
      </c>
      <c r="AS561" s="10"/>
      <c r="AT561" s="2" t="s">
        <v>1814</v>
      </c>
      <c r="AU561" s="12" t="s">
        <v>83</v>
      </c>
      <c r="AV561" s="3" t="n">
        <v>46223</v>
      </c>
      <c r="AW561" s="21"/>
      <c r="AY561" s="1"/>
      <c r="BA561" s="1"/>
      <c r="BB561" s="1"/>
    </row>
    <row r="562" ht="120" customHeight="1">
      <c r="A562" s="20" t="s">
        <v>3156</v>
      </c>
      <c r="B562" s="20" t="n">
        <v>2023</v>
      </c>
      <c r="C562" s="20" t="n">
        <v>684</v>
      </c>
      <c r="D562" s="20" t="s">
        <v>50</v>
      </c>
      <c r="E562" s="20" t="s">
        <v>3117</v>
      </c>
      <c r="F562" s="20" t="s">
        <v>3157</v>
      </c>
      <c r="G562" s="20" t="s">
        <v>86</v>
      </c>
      <c r="H562" s="20" t="s">
        <v>3119</v>
      </c>
      <c r="I562" s="20"/>
      <c r="J562" s="20" t="s">
        <v>3158</v>
      </c>
      <c r="K562" s="20" t="s">
        <v>853</v>
      </c>
      <c r="L562" s="20" t="s">
        <v>57</v>
      </c>
      <c r="M562" s="20" t="s">
        <v>58</v>
      </c>
      <c r="N562" s="20" t="s">
        <v>59</v>
      </c>
      <c r="O562" s="20" t="s">
        <v>60</v>
      </c>
      <c r="P562" s="20" t="s">
        <v>227</v>
      </c>
      <c r="Q562" s="20" t="s">
        <v>228</v>
      </c>
      <c r="R562" s="20" t="s">
        <v>229</v>
      </c>
      <c r="S562" s="20" t="s">
        <v>230</v>
      </c>
      <c r="T562" s="20" t="s">
        <v>231</v>
      </c>
      <c r="U562" s="20" t="s">
        <v>230</v>
      </c>
      <c r="V562" s="20" t="s">
        <v>854</v>
      </c>
      <c r="W562" s="20" t="s">
        <v>96</v>
      </c>
      <c r="X562" s="20" t="s">
        <v>97</v>
      </c>
      <c r="Y562" s="20" t="s">
        <v>70</v>
      </c>
      <c r="Z562" s="20" t="s">
        <v>98</v>
      </c>
      <c r="AA562" s="20" t="s">
        <v>292</v>
      </c>
      <c r="AB562" s="20" t="s">
        <v>3159</v>
      </c>
      <c r="AC562" s="20" t="s">
        <v>3159</v>
      </c>
      <c r="AD562" s="20" t="s">
        <v>3159</v>
      </c>
      <c r="AE562" s="20"/>
      <c r="AF562" s="9" t="n">
        <v>1</v>
      </c>
      <c r="AG562" s="12" t="n">
        <v>1</v>
      </c>
      <c r="AH562" s="22" t="s">
        <v>235</v>
      </c>
      <c r="AI562" s="12" t="str">
        <f>IF(AH562="","",IFERROR(RIGHT("0000"&amp;AH562,4)&amp;" - "&amp;UPPER(_xlfn.XLOOKUP(RIGHT("0000"&amp;AH562,4),CODEBOOK_CAP!$C$2:$C$212,CODEBOOK_CAP!$D$2:$D$212)),"Código CAP não encontrado"))</f>
        <v>0322 - ESTRUTURAS, HOSPITAIS, CLÍNICAS</v>
      </c>
      <c r="AJ562" s="12" t="str">
        <f>IF(AH562="","",IFERROR(_xlfn.XLOOKUP(RIGHT("0000"&amp;AH562,4),CODEBOOK_CAP!$C$2:$C$212,CODEBOOK_CAP!$E$2:$E$212),"Código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2" s="22" t="s">
        <v>79</v>
      </c>
      <c r="AL562" s="26" t="s">
        <v>3160</v>
      </c>
      <c r="AM562" s="22" t="s">
        <v>79</v>
      </c>
      <c r="AN562" s="22" t="s">
        <v>79</v>
      </c>
      <c r="AO562" s="12" t="s">
        <v>3161</v>
      </c>
      <c r="AP562" s="22" t="s">
        <v>77</v>
      </c>
      <c r="AQ562" s="12"/>
      <c r="AR562" s="22" t="s">
        <v>77</v>
      </c>
      <c r="AS562" s="10"/>
      <c r="AT562" s="2" t="s">
        <v>1814</v>
      </c>
      <c r="AU562" s="12" t="s">
        <v>83</v>
      </c>
      <c r="AV562" s="3" t="n">
        <v>46223</v>
      </c>
      <c r="AW562" s="21"/>
      <c r="AY562" s="1"/>
      <c r="BA562" s="1"/>
      <c r="BB562" s="1"/>
    </row>
    <row r="563" ht="120" customHeight="1">
      <c r="A563" s="20" t="s">
        <v>3162</v>
      </c>
      <c r="B563" s="20" t="n">
        <v>2023</v>
      </c>
      <c r="C563" s="20" t="n">
        <v>685</v>
      </c>
      <c r="D563" s="20" t="s">
        <v>50</v>
      </c>
      <c r="E563" s="20" t="s">
        <v>3117</v>
      </c>
      <c r="F563" s="20" t="s">
        <v>3163</v>
      </c>
      <c r="G563" s="20" t="s">
        <v>315</v>
      </c>
      <c r="H563" s="20" t="s">
        <v>3119</v>
      </c>
      <c r="I563" s="20"/>
      <c r="J563" s="20" t="s">
        <v>3164</v>
      </c>
      <c r="K563" s="20" t="s">
        <v>309</v>
      </c>
      <c r="L563" s="20" t="s">
        <v>57</v>
      </c>
      <c r="M563" s="20" t="s">
        <v>58</v>
      </c>
      <c r="N563" s="20" t="s">
        <v>59</v>
      </c>
      <c r="O563" s="20" t="s">
        <v>60</v>
      </c>
      <c r="P563" s="20" t="s">
        <v>227</v>
      </c>
      <c r="Q563" s="20" t="s">
        <v>228</v>
      </c>
      <c r="R563" s="20" t="s">
        <v>229</v>
      </c>
      <c r="S563" s="20" t="s">
        <v>230</v>
      </c>
      <c r="T563" s="20" t="s">
        <v>231</v>
      </c>
      <c r="U563" s="20" t="s">
        <v>230</v>
      </c>
      <c r="V563" s="20" t="s">
        <v>196</v>
      </c>
      <c r="W563" s="20" t="s">
        <v>68</v>
      </c>
      <c r="X563" s="20" t="s">
        <v>69</v>
      </c>
      <c r="Y563" s="20" t="s">
        <v>70</v>
      </c>
      <c r="Z563" s="20" t="s">
        <v>98</v>
      </c>
      <c r="AA563" s="20" t="s">
        <v>372</v>
      </c>
      <c r="AB563" s="20" t="s">
        <v>3165</v>
      </c>
      <c r="AC563" s="20" t="s">
        <v>3165</v>
      </c>
      <c r="AD563" s="20" t="s">
        <v>3165</v>
      </c>
      <c r="AE563" s="20" t="s">
        <v>3166</v>
      </c>
      <c r="AF563" s="9" t="n">
        <v>1</v>
      </c>
      <c r="AG563" s="12" t="n">
        <v>1</v>
      </c>
      <c r="AH563" s="22" t="s">
        <v>235</v>
      </c>
      <c r="AI563" s="12" t="str">
        <f>IF(AH563="","",IFERROR(RIGHT("0000"&amp;AH563,4)&amp;" - "&amp;UPPER(_xlfn.XLOOKUP(RIGHT("0000"&amp;AH563,4),CODEBOOK_CAP!$C$2:$C$212,CODEBOOK_CAP!$D$2:$D$212)),"Código CAP não encontrado"))</f>
        <v>0322 - ESTRUTURAS, HOSPITAIS, CLÍNICAS</v>
      </c>
      <c r="AJ563" s="12" t="str">
        <f>IF(AH563="","",IFERROR(_xlfn.XLOOKUP(RIGHT("0000"&amp;AH563,4),CODEBOOK_CAP!$C$2:$C$212,CODEBOOK_CAP!$E$2:$E$212),"Código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3" s="22" t="s">
        <v>79</v>
      </c>
      <c r="AL563" s="26" t="s">
        <v>3160</v>
      </c>
      <c r="AM563" s="22" t="s">
        <v>79</v>
      </c>
      <c r="AN563" s="22" t="s">
        <v>79</v>
      </c>
      <c r="AO563" s="12" t="s">
        <v>3161</v>
      </c>
      <c r="AP563" s="22" t="s">
        <v>77</v>
      </c>
      <c r="AQ563" s="12"/>
      <c r="AR563" s="22" t="s">
        <v>79</v>
      </c>
      <c r="AS563" s="10" t="s">
        <v>3166</v>
      </c>
      <c r="AT563" s="2" t="s">
        <v>1814</v>
      </c>
      <c r="AU563" s="12" t="s">
        <v>83</v>
      </c>
      <c r="AV563" s="3" t="n">
        <v>46223</v>
      </c>
      <c r="AW563" s="21"/>
      <c r="AY563" s="1"/>
      <c r="BA563" s="1"/>
      <c r="BB563" s="1"/>
    </row>
    <row r="564" ht="120" customHeight="1">
      <c r="A564" s="20" t="s">
        <v>3167</v>
      </c>
      <c r="B564" s="20" t="n">
        <v>2023</v>
      </c>
      <c r="C564" s="20" t="n">
        <v>686</v>
      </c>
      <c r="D564" s="20" t="s">
        <v>50</v>
      </c>
      <c r="E564" s="20" t="s">
        <v>3117</v>
      </c>
      <c r="F564" s="20" t="s">
        <v>3168</v>
      </c>
      <c r="G564" s="20" t="s">
        <v>86</v>
      </c>
      <c r="H564" s="20" t="s">
        <v>3119</v>
      </c>
      <c r="I564" s="20"/>
      <c r="J564" s="20" t="s">
        <v>3169</v>
      </c>
      <c r="K564" s="20" t="s">
        <v>853</v>
      </c>
      <c r="L564" s="20" t="s">
        <v>57</v>
      </c>
      <c r="M564" s="20" t="s">
        <v>58</v>
      </c>
      <c r="N564" s="20" t="s">
        <v>59</v>
      </c>
      <c r="O564" s="20" t="s">
        <v>60</v>
      </c>
      <c r="P564" s="20" t="s">
        <v>227</v>
      </c>
      <c r="Q564" s="20" t="s">
        <v>228</v>
      </c>
      <c r="R564" s="20" t="s">
        <v>229</v>
      </c>
      <c r="S564" s="20" t="s">
        <v>230</v>
      </c>
      <c r="T564" s="20" t="s">
        <v>231</v>
      </c>
      <c r="U564" s="20" t="s">
        <v>230</v>
      </c>
      <c r="V564" s="20" t="s">
        <v>854</v>
      </c>
      <c r="W564" s="20" t="s">
        <v>96</v>
      </c>
      <c r="X564" s="20" t="s">
        <v>97</v>
      </c>
      <c r="Y564" s="20" t="s">
        <v>70</v>
      </c>
      <c r="Z564" s="20" t="s">
        <v>98</v>
      </c>
      <c r="AA564" s="20" t="s">
        <v>292</v>
      </c>
      <c r="AB564" s="20" t="s">
        <v>3170</v>
      </c>
      <c r="AC564" s="20" t="s">
        <v>3170</v>
      </c>
      <c r="AD564" s="20" t="s">
        <v>3170</v>
      </c>
      <c r="AE564" s="20"/>
      <c r="AF564" s="9" t="n">
        <v>1</v>
      </c>
      <c r="AG564" s="12" t="n">
        <v>1</v>
      </c>
      <c r="AH564" s="22" t="s">
        <v>235</v>
      </c>
      <c r="AI564" s="12" t="str">
        <f>IF(AH564="","",IFERROR(RIGHT("0000"&amp;AH564,4)&amp;" - "&amp;UPPER(_xlfn.XLOOKUP(RIGHT("0000"&amp;AH564,4),CODEBOOK_CAP!$C$2:$C$212,CODEBOOK_CAP!$D$2:$D$212)),"Código CAP não encontrado"))</f>
        <v>0322 - ESTRUTURAS, HOSPITAIS, CLÍNICAS</v>
      </c>
      <c r="AJ564" s="12" t="str">
        <f>IF(AH564="","",IFERROR(_xlfn.XLOOKUP(RIGHT("0000"&amp;AH564,4),CODEBOOK_CAP!$C$2:$C$212,CODEBOOK_CAP!$E$2:$E$212),"Código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4" s="22" t="s">
        <v>79</v>
      </c>
      <c r="AL564" s="26" t="s">
        <v>2456</v>
      </c>
      <c r="AM564" s="22" t="s">
        <v>79</v>
      </c>
      <c r="AN564" s="22" t="s">
        <v>79</v>
      </c>
      <c r="AO564" s="12" t="s">
        <v>3171</v>
      </c>
      <c r="AP564" s="22" t="s">
        <v>77</v>
      </c>
      <c r="AQ564" s="12"/>
      <c r="AR564" s="22" t="s">
        <v>77</v>
      </c>
      <c r="AS564" s="10"/>
      <c r="AT564" s="2" t="s">
        <v>1814</v>
      </c>
      <c r="AU564" s="12" t="s">
        <v>83</v>
      </c>
      <c r="AV564" s="3" t="n">
        <v>46223</v>
      </c>
      <c r="AW564" s="21"/>
      <c r="AY564" s="1"/>
      <c r="BA564" s="1"/>
      <c r="BB564" s="1"/>
    </row>
    <row r="565" ht="120" customHeight="1">
      <c r="A565" s="20" t="s">
        <v>3172</v>
      </c>
      <c r="B565" s="20" t="n">
        <v>2023</v>
      </c>
      <c r="C565" s="20" t="n">
        <v>687</v>
      </c>
      <c r="D565" s="20" t="s">
        <v>50</v>
      </c>
      <c r="E565" s="20" t="s">
        <v>3117</v>
      </c>
      <c r="F565" s="20" t="s">
        <v>3173</v>
      </c>
      <c r="G565" s="20" t="s">
        <v>315</v>
      </c>
      <c r="H565" s="20" t="s">
        <v>3119</v>
      </c>
      <c r="I565" s="20"/>
      <c r="J565" s="20" t="s">
        <v>3174</v>
      </c>
      <c r="K565" s="20" t="s">
        <v>309</v>
      </c>
      <c r="L565" s="20" t="s">
        <v>57</v>
      </c>
      <c r="M565" s="20" t="s">
        <v>58</v>
      </c>
      <c r="N565" s="20" t="s">
        <v>59</v>
      </c>
      <c r="O565" s="20" t="s">
        <v>60</v>
      </c>
      <c r="P565" s="20" t="s">
        <v>227</v>
      </c>
      <c r="Q565" s="20" t="s">
        <v>228</v>
      </c>
      <c r="R565" s="20" t="s">
        <v>229</v>
      </c>
      <c r="S565" s="20" t="s">
        <v>230</v>
      </c>
      <c r="T565" s="20" t="s">
        <v>231</v>
      </c>
      <c r="U565" s="20" t="s">
        <v>230</v>
      </c>
      <c r="V565" s="20" t="s">
        <v>196</v>
      </c>
      <c r="W565" s="20" t="s">
        <v>68</v>
      </c>
      <c r="X565" s="20" t="s">
        <v>69</v>
      </c>
      <c r="Y565" s="20" t="s">
        <v>70</v>
      </c>
      <c r="Z565" s="20" t="s">
        <v>98</v>
      </c>
      <c r="AA565" s="20" t="s">
        <v>372</v>
      </c>
      <c r="AB565" s="20" t="s">
        <v>3175</v>
      </c>
      <c r="AC565" s="20" t="s">
        <v>3176</v>
      </c>
      <c r="AD565" s="20" t="s">
        <v>3176</v>
      </c>
      <c r="AE565" s="20" t="s">
        <v>3177</v>
      </c>
      <c r="AF565" s="9" t="n">
        <v>1</v>
      </c>
      <c r="AG565" s="12" t="n">
        <v>1</v>
      </c>
      <c r="AH565" s="22" t="s">
        <v>235</v>
      </c>
      <c r="AI565" s="12" t="str">
        <f>IF(AH565="","",IFERROR(RIGHT("0000"&amp;AH565,4)&amp;" - "&amp;UPPER(_xlfn.XLOOKUP(RIGHT("0000"&amp;AH565,4),CODEBOOK_CAP!$C$2:$C$212,CODEBOOK_CAP!$D$2:$D$212)),"Código CAP não encontrado"))</f>
        <v>0322 - ESTRUTURAS, HOSPITAIS, CLÍNICAS</v>
      </c>
      <c r="AJ565" s="12" t="str">
        <f>IF(AH565="","",IFERROR(_xlfn.XLOOKUP(RIGHT("0000"&amp;AH565,4),CODEBOOK_CAP!$C$2:$C$212,CODEBOOK_CAP!$E$2:$E$212),"Código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5" s="22" t="s">
        <v>79</v>
      </c>
      <c r="AL565" s="26" t="s">
        <v>3178</v>
      </c>
      <c r="AM565" s="22" t="s">
        <v>79</v>
      </c>
      <c r="AN565" s="22" t="s">
        <v>79</v>
      </c>
      <c r="AO565" s="12" t="s">
        <v>3171</v>
      </c>
      <c r="AP565" s="22" t="s">
        <v>77</v>
      </c>
      <c r="AQ565" s="12"/>
      <c r="AR565" s="22" t="s">
        <v>79</v>
      </c>
      <c r="AS565" s="10" t="s">
        <v>3177</v>
      </c>
      <c r="AT565" s="2" t="s">
        <v>1814</v>
      </c>
      <c r="AU565" s="12" t="s">
        <v>83</v>
      </c>
      <c r="AV565" s="3" t="n">
        <v>46223</v>
      </c>
      <c r="AW565" s="21"/>
      <c r="AY565" s="1"/>
      <c r="BA565" s="1"/>
      <c r="BB565" s="1"/>
    </row>
    <row r="566" ht="120" customHeight="1">
      <c r="A566" s="20" t="s">
        <v>3179</v>
      </c>
      <c r="B566" s="20" t="n">
        <v>2023</v>
      </c>
      <c r="C566" s="20" t="n">
        <v>688</v>
      </c>
      <c r="D566" s="20" t="s">
        <v>50</v>
      </c>
      <c r="E566" s="20" t="s">
        <v>3117</v>
      </c>
      <c r="F566" s="20" t="s">
        <v>3180</v>
      </c>
      <c r="G566" s="20" t="s">
        <v>86</v>
      </c>
      <c r="H566" s="20" t="s">
        <v>3119</v>
      </c>
      <c r="I566" s="20"/>
      <c r="J566" s="20" t="s">
        <v>3181</v>
      </c>
      <c r="K566" s="20" t="s">
        <v>853</v>
      </c>
      <c r="L566" s="20" t="s">
        <v>57</v>
      </c>
      <c r="M566" s="20" t="s">
        <v>58</v>
      </c>
      <c r="N566" s="20" t="s">
        <v>59</v>
      </c>
      <c r="O566" s="20" t="s">
        <v>60</v>
      </c>
      <c r="P566" s="20" t="s">
        <v>227</v>
      </c>
      <c r="Q566" s="20" t="s">
        <v>228</v>
      </c>
      <c r="R566" s="20" t="s">
        <v>229</v>
      </c>
      <c r="S566" s="20" t="s">
        <v>230</v>
      </c>
      <c r="T566" s="20" t="s">
        <v>231</v>
      </c>
      <c r="U566" s="20" t="s">
        <v>230</v>
      </c>
      <c r="V566" s="20" t="s">
        <v>854</v>
      </c>
      <c r="W566" s="20" t="s">
        <v>96</v>
      </c>
      <c r="X566" s="20" t="s">
        <v>97</v>
      </c>
      <c r="Y566" s="20" t="s">
        <v>70</v>
      </c>
      <c r="Z566" s="20" t="s">
        <v>98</v>
      </c>
      <c r="AA566" s="20" t="s">
        <v>292</v>
      </c>
      <c r="AB566" s="20" t="s">
        <v>3182</v>
      </c>
      <c r="AC566" s="20" t="s">
        <v>3182</v>
      </c>
      <c r="AD566" s="20" t="s">
        <v>3182</v>
      </c>
      <c r="AE566" s="20"/>
      <c r="AF566" s="9" t="n">
        <v>1</v>
      </c>
      <c r="AG566" s="12" t="n">
        <v>1</v>
      </c>
      <c r="AH566" s="22" t="s">
        <v>235</v>
      </c>
      <c r="AI566" s="12" t="str">
        <f>IF(AH566="","",IFERROR(RIGHT("0000"&amp;AH566,4)&amp;" - "&amp;UPPER(_xlfn.XLOOKUP(RIGHT("0000"&amp;AH566,4),CODEBOOK_CAP!$C$2:$C$212,CODEBOOK_CAP!$D$2:$D$212)),"Código CAP não encontrado"))</f>
        <v>0322 - ESTRUTURAS, HOSPITAIS, CLÍNICAS</v>
      </c>
      <c r="AJ566" s="12" t="str">
        <f>IF(AH566="","",IFERROR(_xlfn.XLOOKUP(RIGHT("0000"&amp;AH566,4),CODEBOOK_CAP!$C$2:$C$212,CODEBOOK_CAP!$E$2:$E$212),"Código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6" s="22" t="s">
        <v>79</v>
      </c>
      <c r="AL566" s="26" t="s">
        <v>3183</v>
      </c>
      <c r="AM566" s="22" t="s">
        <v>79</v>
      </c>
      <c r="AN566" s="22" t="s">
        <v>79</v>
      </c>
      <c r="AO566" s="12" t="s">
        <v>3184</v>
      </c>
      <c r="AP566" s="22" t="s">
        <v>77</v>
      </c>
      <c r="AQ566" s="12"/>
      <c r="AR566" s="22" t="s">
        <v>77</v>
      </c>
      <c r="AS566" s="10"/>
      <c r="AT566" s="2" t="s">
        <v>1814</v>
      </c>
      <c r="AU566" s="12" t="s">
        <v>83</v>
      </c>
      <c r="AV566" s="3" t="n">
        <v>46223</v>
      </c>
      <c r="AW566" s="21"/>
      <c r="AY566" s="1"/>
      <c r="BA566" s="1"/>
      <c r="BB566" s="1"/>
    </row>
    <row r="567" ht="120" customHeight="1">
      <c r="A567" s="20" t="s">
        <v>3185</v>
      </c>
      <c r="B567" s="20" t="n">
        <v>2023</v>
      </c>
      <c r="C567" s="20" t="n">
        <v>689</v>
      </c>
      <c r="D567" s="20" t="s">
        <v>50</v>
      </c>
      <c r="E567" s="20" t="s">
        <v>3117</v>
      </c>
      <c r="F567" s="20" t="s">
        <v>3186</v>
      </c>
      <c r="G567" s="20" t="s">
        <v>315</v>
      </c>
      <c r="H567" s="20" t="s">
        <v>3119</v>
      </c>
      <c r="I567" s="20"/>
      <c r="J567" s="20" t="s">
        <v>3187</v>
      </c>
      <c r="K567" s="20" t="s">
        <v>309</v>
      </c>
      <c r="L567" s="20" t="s">
        <v>57</v>
      </c>
      <c r="M567" s="20" t="s">
        <v>58</v>
      </c>
      <c r="N567" s="20" t="s">
        <v>59</v>
      </c>
      <c r="O567" s="20" t="s">
        <v>60</v>
      </c>
      <c r="P567" s="20" t="s">
        <v>227</v>
      </c>
      <c r="Q567" s="20" t="s">
        <v>228</v>
      </c>
      <c r="R567" s="20" t="s">
        <v>229</v>
      </c>
      <c r="S567" s="20" t="s">
        <v>230</v>
      </c>
      <c r="T567" s="20" t="s">
        <v>231</v>
      </c>
      <c r="U567" s="20" t="s">
        <v>230</v>
      </c>
      <c r="V567" s="20" t="s">
        <v>196</v>
      </c>
      <c r="W567" s="20" t="s">
        <v>68</v>
      </c>
      <c r="X567" s="20" t="s">
        <v>69</v>
      </c>
      <c r="Y567" s="20" t="s">
        <v>70</v>
      </c>
      <c r="Z567" s="20" t="s">
        <v>98</v>
      </c>
      <c r="AA567" s="20" t="s">
        <v>372</v>
      </c>
      <c r="AB567" s="20" t="s">
        <v>3188</v>
      </c>
      <c r="AC567" s="20" t="s">
        <v>3189</v>
      </c>
      <c r="AD567" s="20" t="s">
        <v>3189</v>
      </c>
      <c r="AE567" s="20" t="s">
        <v>3190</v>
      </c>
      <c r="AF567" s="9" t="n">
        <v>1</v>
      </c>
      <c r="AG567" s="12" t="n">
        <v>1</v>
      </c>
      <c r="AH567" s="22" t="s">
        <v>235</v>
      </c>
      <c r="AI567" s="12" t="str">
        <f>IF(AH567="","",IFERROR(RIGHT("0000"&amp;AH567,4)&amp;" - "&amp;UPPER(_xlfn.XLOOKUP(RIGHT("0000"&amp;AH567,4),CODEBOOK_CAP!$C$2:$C$212,CODEBOOK_CAP!$D$2:$D$212)),"Código CAP não encontrado"))</f>
        <v>0322 - ESTRUTURAS, HOSPITAIS, CLÍNICAS</v>
      </c>
      <c r="AJ567" s="12" t="str">
        <f>IF(AH567="","",IFERROR(_xlfn.XLOOKUP(RIGHT("0000"&amp;AH567,4),CODEBOOK_CAP!$C$2:$C$212,CODEBOOK_CAP!$E$2:$E$212),"Código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7" s="22" t="s">
        <v>79</v>
      </c>
      <c r="AL567" s="26" t="s">
        <v>3183</v>
      </c>
      <c r="AM567" s="22" t="s">
        <v>79</v>
      </c>
      <c r="AN567" s="22" t="s">
        <v>79</v>
      </c>
      <c r="AO567" s="12" t="s">
        <v>3184</v>
      </c>
      <c r="AP567" s="22" t="s">
        <v>77</v>
      </c>
      <c r="AQ567" s="12"/>
      <c r="AR567" s="22" t="s">
        <v>79</v>
      </c>
      <c r="AS567" s="10" t="s">
        <v>3190</v>
      </c>
      <c r="AT567" s="2" t="s">
        <v>1814</v>
      </c>
      <c r="AU567" s="12" t="s">
        <v>83</v>
      </c>
      <c r="AV567" s="3" t="n">
        <v>46223</v>
      </c>
      <c r="AW567" s="21"/>
      <c r="AY567" s="1"/>
      <c r="BA567" s="1"/>
      <c r="BB567" s="1"/>
    </row>
    <row r="568" ht="120" customHeight="1">
      <c r="A568" s="20" t="s">
        <v>3191</v>
      </c>
      <c r="B568" s="20" t="n">
        <v>2023</v>
      </c>
      <c r="C568" s="20" t="n">
        <v>690</v>
      </c>
      <c r="D568" s="20" t="s">
        <v>50</v>
      </c>
      <c r="E568" s="20" t="s">
        <v>3117</v>
      </c>
      <c r="F568" s="20" t="s">
        <v>3192</v>
      </c>
      <c r="G568" s="20" t="s">
        <v>86</v>
      </c>
      <c r="H568" s="20" t="s">
        <v>3119</v>
      </c>
      <c r="I568" s="20"/>
      <c r="J568" s="20" t="s">
        <v>3193</v>
      </c>
      <c r="K568" s="20" t="s">
        <v>853</v>
      </c>
      <c r="L568" s="20" t="s">
        <v>57</v>
      </c>
      <c r="M568" s="20" t="s">
        <v>58</v>
      </c>
      <c r="N568" s="20" t="s">
        <v>59</v>
      </c>
      <c r="O568" s="20" t="s">
        <v>60</v>
      </c>
      <c r="P568" s="20" t="s">
        <v>227</v>
      </c>
      <c r="Q568" s="20" t="s">
        <v>228</v>
      </c>
      <c r="R568" s="20" t="s">
        <v>229</v>
      </c>
      <c r="S568" s="20" t="s">
        <v>230</v>
      </c>
      <c r="T568" s="20" t="s">
        <v>231</v>
      </c>
      <c r="U568" s="20" t="s">
        <v>230</v>
      </c>
      <c r="V568" s="20" t="s">
        <v>854</v>
      </c>
      <c r="W568" s="20" t="s">
        <v>96</v>
      </c>
      <c r="X568" s="20" t="s">
        <v>97</v>
      </c>
      <c r="Y568" s="20" t="s">
        <v>70</v>
      </c>
      <c r="Z568" s="20" t="s">
        <v>98</v>
      </c>
      <c r="AA568" s="20" t="s">
        <v>292</v>
      </c>
      <c r="AB568" s="20" t="s">
        <v>3194</v>
      </c>
      <c r="AC568" s="20" t="s">
        <v>3194</v>
      </c>
      <c r="AD568" s="20" t="s">
        <v>3194</v>
      </c>
      <c r="AE568" s="20"/>
      <c r="AF568" s="9" t="n">
        <v>1</v>
      </c>
      <c r="AG568" s="12" t="n">
        <v>1</v>
      </c>
      <c r="AH568" s="22" t="s">
        <v>235</v>
      </c>
      <c r="AI568" s="12" t="str">
        <f>IF(AH568="","",IFERROR(RIGHT("0000"&amp;AH568,4)&amp;" - "&amp;UPPER(_xlfn.XLOOKUP(RIGHT("0000"&amp;AH568,4),CODEBOOK_CAP!$C$2:$C$212,CODEBOOK_CAP!$D$2:$D$212)),"Código CAP não encontrado"))</f>
        <v>0322 - ESTRUTURAS, HOSPITAIS, CLÍNICAS</v>
      </c>
      <c r="AJ568" s="12" t="str">
        <f>IF(AH568="","",IFERROR(_xlfn.XLOOKUP(RIGHT("0000"&amp;AH568,4),CODEBOOK_CAP!$C$2:$C$212,CODEBOOK_CAP!$E$2:$E$212),"Código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8" s="22" t="s">
        <v>79</v>
      </c>
      <c r="AL568" s="26" t="s">
        <v>3195</v>
      </c>
      <c r="AM568" s="22" t="s">
        <v>79</v>
      </c>
      <c r="AN568" s="22" t="s">
        <v>79</v>
      </c>
      <c r="AO568" s="12" t="s">
        <v>3196</v>
      </c>
      <c r="AP568" s="22" t="s">
        <v>77</v>
      </c>
      <c r="AQ568" s="12"/>
      <c r="AR568" s="22" t="s">
        <v>77</v>
      </c>
      <c r="AS568" s="10"/>
      <c r="AT568" s="2" t="s">
        <v>1814</v>
      </c>
      <c r="AU568" s="12" t="s">
        <v>83</v>
      </c>
      <c r="AV568" s="3" t="n">
        <v>46223</v>
      </c>
      <c r="AW568" s="21"/>
      <c r="AY568" s="1"/>
      <c r="BA568" s="1"/>
      <c r="BB568" s="1"/>
    </row>
    <row r="569" ht="120" customHeight="1">
      <c r="A569" s="20" t="s">
        <v>3197</v>
      </c>
      <c r="B569" s="20" t="n">
        <v>2023</v>
      </c>
      <c r="C569" s="20" t="n">
        <v>691</v>
      </c>
      <c r="D569" s="20" t="s">
        <v>50</v>
      </c>
      <c r="E569" s="20" t="s">
        <v>3117</v>
      </c>
      <c r="F569" s="20" t="s">
        <v>3198</v>
      </c>
      <c r="G569" s="20" t="s">
        <v>315</v>
      </c>
      <c r="H569" s="20" t="s">
        <v>3119</v>
      </c>
      <c r="I569" s="20"/>
      <c r="J569" s="20" t="s">
        <v>3199</v>
      </c>
      <c r="K569" s="20" t="s">
        <v>309</v>
      </c>
      <c r="L569" s="20" t="s">
        <v>57</v>
      </c>
      <c r="M569" s="20" t="s">
        <v>58</v>
      </c>
      <c r="N569" s="20" t="s">
        <v>59</v>
      </c>
      <c r="O569" s="20" t="s">
        <v>60</v>
      </c>
      <c r="P569" s="20" t="s">
        <v>227</v>
      </c>
      <c r="Q569" s="20" t="s">
        <v>228</v>
      </c>
      <c r="R569" s="20" t="s">
        <v>229</v>
      </c>
      <c r="S569" s="20" t="s">
        <v>230</v>
      </c>
      <c r="T569" s="20" t="s">
        <v>231</v>
      </c>
      <c r="U569" s="20" t="s">
        <v>230</v>
      </c>
      <c r="V569" s="20" t="s">
        <v>196</v>
      </c>
      <c r="W569" s="20" t="s">
        <v>68</v>
      </c>
      <c r="X569" s="20" t="s">
        <v>69</v>
      </c>
      <c r="Y569" s="20" t="s">
        <v>70</v>
      </c>
      <c r="Z569" s="20" t="s">
        <v>98</v>
      </c>
      <c r="AA569" s="20" t="s">
        <v>372</v>
      </c>
      <c r="AB569" s="20" t="s">
        <v>3200</v>
      </c>
      <c r="AC569" s="20" t="s">
        <v>3200</v>
      </c>
      <c r="AD569" s="20" t="s">
        <v>3200</v>
      </c>
      <c r="AE569" s="20"/>
      <c r="AF569" s="9" t="n">
        <v>1</v>
      </c>
      <c r="AG569" s="12" t="n">
        <v>1</v>
      </c>
      <c r="AH569" s="22" t="s">
        <v>235</v>
      </c>
      <c r="AI569" s="12" t="str">
        <f>IF(AH569="","",IFERROR(RIGHT("0000"&amp;AH569,4)&amp;" - "&amp;UPPER(_xlfn.XLOOKUP(RIGHT("0000"&amp;AH569,4),CODEBOOK_CAP!$C$2:$C$212,CODEBOOK_CAP!$D$2:$D$212)),"Código CAP não encontrado"))</f>
        <v>0322 - ESTRUTURAS, HOSPITAIS, CLÍNICAS</v>
      </c>
      <c r="AJ569" s="12" t="str">
        <f>IF(AH569="","",IFERROR(_xlfn.XLOOKUP(RIGHT("0000"&amp;AH569,4),CODEBOOK_CAP!$C$2:$C$212,CODEBOOK_CAP!$E$2:$E$212),"Código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69" s="22" t="s">
        <v>79</v>
      </c>
      <c r="AL569" s="26" t="s">
        <v>3195</v>
      </c>
      <c r="AM569" s="22" t="s">
        <v>79</v>
      </c>
      <c r="AN569" s="22" t="s">
        <v>79</v>
      </c>
      <c r="AO569" s="12" t="s">
        <v>3196</v>
      </c>
      <c r="AP569" s="22" t="s">
        <v>77</v>
      </c>
      <c r="AQ569" s="12"/>
      <c r="AR569" s="22" t="s">
        <v>77</v>
      </c>
      <c r="AS569" s="10"/>
      <c r="AT569" s="2" t="s">
        <v>1814</v>
      </c>
      <c r="AU569" s="12" t="s">
        <v>83</v>
      </c>
      <c r="AV569" s="3" t="n">
        <v>46223</v>
      </c>
      <c r="AW569" s="21"/>
      <c r="AY569" s="1"/>
      <c r="BA569" s="1"/>
      <c r="BB569" s="1"/>
    </row>
    <row r="570" ht="120" customHeight="1">
      <c r="A570" s="20" t="s">
        <v>3201</v>
      </c>
      <c r="B570" s="20" t="n">
        <v>2023</v>
      </c>
      <c r="C570" s="20" t="n">
        <v>692</v>
      </c>
      <c r="D570" s="20" t="s">
        <v>50</v>
      </c>
      <c r="E570" s="20" t="s">
        <v>3117</v>
      </c>
      <c r="F570" s="20" t="s">
        <v>3202</v>
      </c>
      <c r="G570" s="20" t="s">
        <v>86</v>
      </c>
      <c r="H570" s="20" t="s">
        <v>3119</v>
      </c>
      <c r="I570" s="20"/>
      <c r="J570" s="20" t="s">
        <v>3203</v>
      </c>
      <c r="K570" s="20" t="s">
        <v>853</v>
      </c>
      <c r="L570" s="20" t="s">
        <v>57</v>
      </c>
      <c r="M570" s="20" t="s">
        <v>58</v>
      </c>
      <c r="N570" s="20" t="s">
        <v>59</v>
      </c>
      <c r="O570" s="20" t="s">
        <v>60</v>
      </c>
      <c r="P570" s="20" t="s">
        <v>227</v>
      </c>
      <c r="Q570" s="20" t="s">
        <v>228</v>
      </c>
      <c r="R570" s="20" t="s">
        <v>229</v>
      </c>
      <c r="S570" s="20" t="s">
        <v>230</v>
      </c>
      <c r="T570" s="20" t="s">
        <v>231</v>
      </c>
      <c r="U570" s="20" t="s">
        <v>230</v>
      </c>
      <c r="V570" s="20" t="s">
        <v>854</v>
      </c>
      <c r="W570" s="20" t="s">
        <v>96</v>
      </c>
      <c r="X570" s="20" t="s">
        <v>97</v>
      </c>
      <c r="Y570" s="20" t="s">
        <v>70</v>
      </c>
      <c r="Z570" s="20" t="s">
        <v>98</v>
      </c>
      <c r="AA570" s="20" t="s">
        <v>292</v>
      </c>
      <c r="AB570" s="20" t="s">
        <v>3204</v>
      </c>
      <c r="AC570" s="20" t="s">
        <v>3204</v>
      </c>
      <c r="AD570" s="20" t="s">
        <v>3204</v>
      </c>
      <c r="AE570" s="20"/>
      <c r="AF570" s="9" t="n">
        <v>1</v>
      </c>
      <c r="AG570" s="12" t="n">
        <v>1</v>
      </c>
      <c r="AH570" s="22" t="s">
        <v>235</v>
      </c>
      <c r="AI570" s="12" t="str">
        <f>IF(AH570="","",IFERROR(RIGHT("0000"&amp;AH570,4)&amp;" - "&amp;UPPER(_xlfn.XLOOKUP(RIGHT("0000"&amp;AH570,4),CODEBOOK_CAP!$C$2:$C$212,CODEBOOK_CAP!$D$2:$D$212)),"Código CAP não encontrado"))</f>
        <v>0322 - ESTRUTURAS, HOSPITAIS, CLÍNICAS</v>
      </c>
      <c r="AJ570" s="12" t="str">
        <f>IF(AH570="","",IFERROR(_xlfn.XLOOKUP(RIGHT("0000"&amp;AH570,4),CODEBOOK_CAP!$C$2:$C$212,CODEBOOK_CAP!$E$2:$E$212),"Código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70" s="22" t="s">
        <v>79</v>
      </c>
      <c r="AL570" s="26" t="s">
        <v>3205</v>
      </c>
      <c r="AM570" s="22" t="s">
        <v>79</v>
      </c>
      <c r="AN570" s="22" t="s">
        <v>79</v>
      </c>
      <c r="AO570" s="12" t="s">
        <v>3206</v>
      </c>
      <c r="AP570" s="22" t="s">
        <v>77</v>
      </c>
      <c r="AQ570" s="12"/>
      <c r="AR570" s="22" t="s">
        <v>77</v>
      </c>
      <c r="AS570" s="10"/>
      <c r="AT570" s="2" t="s">
        <v>1814</v>
      </c>
      <c r="AU570" s="12" t="s">
        <v>83</v>
      </c>
      <c r="AV570" s="3" t="n">
        <v>46223</v>
      </c>
      <c r="AW570" s="21"/>
      <c r="AY570" s="1"/>
      <c r="BA570" s="1"/>
      <c r="BB570" s="1"/>
    </row>
    <row r="571" ht="120" customHeight="1">
      <c r="A571" s="20" t="s">
        <v>3207</v>
      </c>
      <c r="B571" s="20" t="n">
        <v>2023</v>
      </c>
      <c r="C571" s="20" t="n">
        <v>693</v>
      </c>
      <c r="D571" s="20" t="s">
        <v>50</v>
      </c>
      <c r="E571" s="20" t="s">
        <v>3117</v>
      </c>
      <c r="F571" s="20" t="s">
        <v>3208</v>
      </c>
      <c r="G571" s="20" t="s">
        <v>315</v>
      </c>
      <c r="H571" s="20" t="s">
        <v>3119</v>
      </c>
      <c r="I571" s="20"/>
      <c r="J571" s="20" t="s">
        <v>3209</v>
      </c>
      <c r="K571" s="20" t="s">
        <v>309</v>
      </c>
      <c r="L571" s="20" t="s">
        <v>57</v>
      </c>
      <c r="M571" s="20" t="s">
        <v>58</v>
      </c>
      <c r="N571" s="20" t="s">
        <v>59</v>
      </c>
      <c r="O571" s="20" t="s">
        <v>60</v>
      </c>
      <c r="P571" s="20" t="s">
        <v>227</v>
      </c>
      <c r="Q571" s="20" t="s">
        <v>228</v>
      </c>
      <c r="R571" s="20" t="s">
        <v>229</v>
      </c>
      <c r="S571" s="20" t="s">
        <v>230</v>
      </c>
      <c r="T571" s="20" t="s">
        <v>231</v>
      </c>
      <c r="U571" s="20" t="s">
        <v>230</v>
      </c>
      <c r="V571" s="20" t="s">
        <v>196</v>
      </c>
      <c r="W571" s="20" t="s">
        <v>68</v>
      </c>
      <c r="X571" s="20" t="s">
        <v>69</v>
      </c>
      <c r="Y571" s="20" t="s">
        <v>70</v>
      </c>
      <c r="Z571" s="20" t="s">
        <v>98</v>
      </c>
      <c r="AA571" s="20" t="s">
        <v>372</v>
      </c>
      <c r="AB571" s="20" t="s">
        <v>3210</v>
      </c>
      <c r="AC571" s="20" t="s">
        <v>3211</v>
      </c>
      <c r="AD571" s="20" t="s">
        <v>3212</v>
      </c>
      <c r="AE571" s="20" t="s">
        <v>3213</v>
      </c>
      <c r="AF571" s="9" t="n">
        <v>1</v>
      </c>
      <c r="AG571" s="12" t="n">
        <v>1</v>
      </c>
      <c r="AH571" s="22" t="s">
        <v>235</v>
      </c>
      <c r="AI571" s="12" t="str">
        <f>IF(AH571="","",IFERROR(RIGHT("0000"&amp;AH571,4)&amp;" - "&amp;UPPER(_xlfn.XLOOKUP(RIGHT("0000"&amp;AH571,4),CODEBOOK_CAP!$C$2:$C$212,CODEBOOK_CAP!$D$2:$D$212)),"Código CAP não encontrado"))</f>
        <v>0322 - ESTRUTURAS, HOSPITAIS, CLÍNICAS</v>
      </c>
      <c r="AJ571" s="12" t="str">
        <f>IF(AH571="","",IFERROR(_xlfn.XLOOKUP(RIGHT("0000"&amp;AH571,4),CODEBOOK_CAP!$C$2:$C$212,CODEBOOK_CAP!$E$2:$E$212),"Código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71" s="22" t="s">
        <v>79</v>
      </c>
      <c r="AL571" s="26" t="s">
        <v>3205</v>
      </c>
      <c r="AM571" s="22" t="s">
        <v>79</v>
      </c>
      <c r="AN571" s="22" t="s">
        <v>79</v>
      </c>
      <c r="AO571" s="12" t="s">
        <v>3206</v>
      </c>
      <c r="AP571" s="22" t="s">
        <v>77</v>
      </c>
      <c r="AQ571" s="12"/>
      <c r="AR571" s="22" t="s">
        <v>79</v>
      </c>
      <c r="AS571" s="10" t="s">
        <v>3213</v>
      </c>
      <c r="AT571" s="2" t="s">
        <v>1814</v>
      </c>
      <c r="AU571" s="12" t="s">
        <v>83</v>
      </c>
      <c r="AV571" s="3" t="n">
        <v>46223</v>
      </c>
      <c r="AW571" s="21"/>
      <c r="AY571" s="1"/>
      <c r="BA571" s="1"/>
      <c r="BB571" s="1"/>
    </row>
    <row r="572" ht="195" customHeight="1">
      <c r="A572" s="20" t="s">
        <v>3214</v>
      </c>
      <c r="B572" s="20" t="n">
        <v>2023</v>
      </c>
      <c r="C572" s="20" t="n">
        <v>694</v>
      </c>
      <c r="D572" s="20" t="s">
        <v>50</v>
      </c>
      <c r="E572" s="20" t="s">
        <v>3117</v>
      </c>
      <c r="F572" s="20" t="s">
        <v>3215</v>
      </c>
      <c r="G572" s="20" t="s">
        <v>86</v>
      </c>
      <c r="H572" s="20" t="s">
        <v>3119</v>
      </c>
      <c r="I572" s="20"/>
      <c r="J572" s="20" t="s">
        <v>3216</v>
      </c>
      <c r="K572" s="20" t="s">
        <v>3217</v>
      </c>
      <c r="L572" s="20" t="s">
        <v>208</v>
      </c>
      <c r="M572" s="20" t="s">
        <v>209</v>
      </c>
      <c r="N572" s="20" t="s">
        <v>1726</v>
      </c>
      <c r="O572" s="20" t="s">
        <v>1727</v>
      </c>
      <c r="P572" s="20" t="s">
        <v>1728</v>
      </c>
      <c r="Q572" s="20" t="s">
        <v>1729</v>
      </c>
      <c r="R572" s="20" t="s">
        <v>2470</v>
      </c>
      <c r="S572" s="20" t="s">
        <v>2471</v>
      </c>
      <c r="T572" s="20" t="s">
        <v>3218</v>
      </c>
      <c r="U572" s="20" t="s">
        <v>3219</v>
      </c>
      <c r="V572" s="20" t="s">
        <v>67</v>
      </c>
      <c r="W572" s="20" t="s">
        <v>68</v>
      </c>
      <c r="X572" s="20" t="s">
        <v>69</v>
      </c>
      <c r="Y572" s="20" t="s">
        <v>70</v>
      </c>
      <c r="Z572" s="20" t="s">
        <v>177</v>
      </c>
      <c r="AA572" s="20" t="s">
        <v>3220</v>
      </c>
      <c r="AB572" s="20" t="s">
        <v>3220</v>
      </c>
      <c r="AC572" s="20" t="s">
        <v>3220</v>
      </c>
      <c r="AD572" s="20" t="s">
        <v>3220</v>
      </c>
      <c r="AE572" s="20"/>
      <c r="AF572" s="9" t="n">
        <v>0</v>
      </c>
      <c r="AG572" s="12" t="n">
        <v>0</v>
      </c>
      <c r="AH572" s="22" t="s">
        <v>294</v>
      </c>
      <c r="AI572" s="12" t="str">
        <f>IF(AH572="","",IFERROR(RIGHT("0000"&amp;AH572,4)&amp;" - "&amp;UPPER(_xlfn.XLOOKUP(RIGHT("0000"&amp;AH572,4),CODEBOOK_CAP!$C$2:$C$212,CODEBOOK_CAP!$D$2:$D$212)),"Código CAP não encontrado"))</f>
        <v>0711 - CONSERVAÇÃO DO SOLO, MAR, RIOS, PRAIAS E COSTAS</v>
      </c>
      <c r="AJ572" s="12" t="str">
        <f>IF(AH572="","",IFERROR(_xlfn.XLOOKUP(RIGHT("0000"&amp;AH572,4),CODEBOOK_CAP!$C$2:$C$212,CODEBOOK_CAP!$E$2:$E$212),"Código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572" s="22" t="s">
        <v>79</v>
      </c>
      <c r="AL572" s="26" t="s">
        <v>3221</v>
      </c>
      <c r="AM572" s="22" t="s">
        <v>79</v>
      </c>
      <c r="AN572" s="22" t="s">
        <v>79</v>
      </c>
      <c r="AO572" s="12" t="s">
        <v>3221</v>
      </c>
      <c r="AP572" s="22" t="s">
        <v>77</v>
      </c>
      <c r="AQ572" s="12"/>
      <c r="AR572" s="22" t="s">
        <v>77</v>
      </c>
      <c r="AS572" s="10"/>
      <c r="AT572" s="2" t="s">
        <v>1814</v>
      </c>
      <c r="AU572" s="12" t="s">
        <v>83</v>
      </c>
      <c r="AV572" s="3" t="n">
        <v>46223</v>
      </c>
      <c r="AW572" s="21"/>
      <c r="AY572" s="1"/>
      <c r="BA572" s="1"/>
      <c r="BB572" s="1"/>
    </row>
    <row r="573" ht="120" customHeight="1">
      <c r="A573" s="20" t="s">
        <v>3222</v>
      </c>
      <c r="B573" s="20" t="n">
        <v>2023</v>
      </c>
      <c r="C573" s="20" t="n">
        <v>695</v>
      </c>
      <c r="D573" s="20" t="s">
        <v>50</v>
      </c>
      <c r="E573" s="20" t="s">
        <v>3117</v>
      </c>
      <c r="F573" s="20" t="s">
        <v>3223</v>
      </c>
      <c r="G573" s="20" t="s">
        <v>86</v>
      </c>
      <c r="H573" s="20" t="s">
        <v>3119</v>
      </c>
      <c r="I573" s="20"/>
      <c r="J573" s="20" t="s">
        <v>3224</v>
      </c>
      <c r="K573" s="20" t="s">
        <v>853</v>
      </c>
      <c r="L573" s="20" t="s">
        <v>57</v>
      </c>
      <c r="M573" s="20" t="s">
        <v>58</v>
      </c>
      <c r="N573" s="20" t="s">
        <v>59</v>
      </c>
      <c r="O573" s="20" t="s">
        <v>60</v>
      </c>
      <c r="P573" s="20" t="s">
        <v>227</v>
      </c>
      <c r="Q573" s="20" t="s">
        <v>228</v>
      </c>
      <c r="R573" s="20" t="s">
        <v>229</v>
      </c>
      <c r="S573" s="20" t="s">
        <v>230</v>
      </c>
      <c r="T573" s="20" t="s">
        <v>231</v>
      </c>
      <c r="U573" s="20" t="s">
        <v>230</v>
      </c>
      <c r="V573" s="20" t="s">
        <v>854</v>
      </c>
      <c r="W573" s="20" t="s">
        <v>96</v>
      </c>
      <c r="X573" s="20" t="s">
        <v>97</v>
      </c>
      <c r="Y573" s="20" t="s">
        <v>70</v>
      </c>
      <c r="Z573" s="20" t="s">
        <v>98</v>
      </c>
      <c r="AA573" s="20" t="s">
        <v>292</v>
      </c>
      <c r="AB573" s="20" t="s">
        <v>3225</v>
      </c>
      <c r="AC573" s="20" t="s">
        <v>3225</v>
      </c>
      <c r="AD573" s="20" t="s">
        <v>3225</v>
      </c>
      <c r="AE573" s="20"/>
      <c r="AF573" s="9" t="n">
        <v>1</v>
      </c>
      <c r="AG573" s="12" t="n">
        <v>1</v>
      </c>
      <c r="AH573" s="22" t="s">
        <v>235</v>
      </c>
      <c r="AI573" s="12" t="str">
        <f>IF(AH573="","",IFERROR(RIGHT("0000"&amp;AH573,4)&amp;" - "&amp;UPPER(_xlfn.XLOOKUP(RIGHT("0000"&amp;AH573,4),CODEBOOK_CAP!$C$2:$C$212,CODEBOOK_CAP!$D$2:$D$212)),"Código CAP não encontrado"))</f>
        <v>0322 - ESTRUTURAS, HOSPITAIS, CLÍNICAS</v>
      </c>
      <c r="AJ573" s="12" t="str">
        <f>IF(AH573="","",IFERROR(_xlfn.XLOOKUP(RIGHT("0000"&amp;AH573,4),CODEBOOK_CAP!$C$2:$C$212,CODEBOOK_CAP!$E$2:$E$212),"Código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73" s="22" t="s">
        <v>79</v>
      </c>
      <c r="AL573" s="26" t="s">
        <v>3226</v>
      </c>
      <c r="AM573" s="22" t="s">
        <v>79</v>
      </c>
      <c r="AN573" s="22" t="s">
        <v>79</v>
      </c>
      <c r="AO573" s="12" t="s">
        <v>3227</v>
      </c>
      <c r="AP573" s="22" t="s">
        <v>77</v>
      </c>
      <c r="AQ573" s="12"/>
      <c r="AR573" s="22" t="s">
        <v>77</v>
      </c>
      <c r="AS573" s="10"/>
      <c r="AT573" s="2" t="s">
        <v>1814</v>
      </c>
      <c r="AU573" s="12" t="s">
        <v>83</v>
      </c>
      <c r="AV573" s="3" t="n">
        <v>46223</v>
      </c>
      <c r="AW573" s="21"/>
      <c r="AY573" s="1"/>
      <c r="BA573" s="1"/>
      <c r="BB573" s="1"/>
    </row>
    <row r="574" ht="120" customHeight="1">
      <c r="A574" s="20" t="s">
        <v>3228</v>
      </c>
      <c r="B574" s="20" t="n">
        <v>2023</v>
      </c>
      <c r="C574" s="20" t="n">
        <v>696</v>
      </c>
      <c r="D574" s="20" t="s">
        <v>50</v>
      </c>
      <c r="E574" s="20" t="s">
        <v>3117</v>
      </c>
      <c r="F574" s="20" t="n">
        <v>918</v>
      </c>
      <c r="G574" s="20" t="s">
        <v>315</v>
      </c>
      <c r="H574" s="20" t="s">
        <v>3119</v>
      </c>
      <c r="I574" s="20"/>
      <c r="J574" s="20" t="s">
        <v>3229</v>
      </c>
      <c r="K574" s="20" t="s">
        <v>309</v>
      </c>
      <c r="L574" s="20" t="s">
        <v>57</v>
      </c>
      <c r="M574" s="20" t="s">
        <v>58</v>
      </c>
      <c r="N574" s="20" t="s">
        <v>59</v>
      </c>
      <c r="O574" s="20" t="s">
        <v>60</v>
      </c>
      <c r="P574" s="20" t="s">
        <v>227</v>
      </c>
      <c r="Q574" s="20" t="s">
        <v>228</v>
      </c>
      <c r="R574" s="20" t="s">
        <v>229</v>
      </c>
      <c r="S574" s="20" t="s">
        <v>230</v>
      </c>
      <c r="T574" s="20" t="s">
        <v>231</v>
      </c>
      <c r="U574" s="20" t="s">
        <v>230</v>
      </c>
      <c r="V574" s="20" t="s">
        <v>196</v>
      </c>
      <c r="W574" s="20" t="s">
        <v>68</v>
      </c>
      <c r="X574" s="20" t="s">
        <v>69</v>
      </c>
      <c r="Y574" s="20" t="s">
        <v>70</v>
      </c>
      <c r="Z574" s="20" t="s">
        <v>98</v>
      </c>
      <c r="AA574" s="20" t="s">
        <v>372</v>
      </c>
      <c r="AB574" s="20" t="s">
        <v>3230</v>
      </c>
      <c r="AC574" s="20" t="s">
        <v>3230</v>
      </c>
      <c r="AD574" s="20" t="s">
        <v>3230</v>
      </c>
      <c r="AE574" s="20" t="s">
        <v>3231</v>
      </c>
      <c r="AF574" s="9" t="n">
        <v>1</v>
      </c>
      <c r="AG574" s="12" t="n">
        <v>1</v>
      </c>
      <c r="AH574" s="22" t="s">
        <v>235</v>
      </c>
      <c r="AI574" s="12" t="str">
        <f>IF(AH574="","",IFERROR(RIGHT("0000"&amp;AH574,4)&amp;" - "&amp;UPPER(_xlfn.XLOOKUP(RIGHT("0000"&amp;AH574,4),CODEBOOK_CAP!$C$2:$C$212,CODEBOOK_CAP!$D$2:$D$212)),"Código CAP não encontrado"))</f>
        <v>0322 - ESTRUTURAS, HOSPITAIS, CLÍNICAS</v>
      </c>
      <c r="AJ574" s="12" t="str">
        <f>IF(AH574="","",IFERROR(_xlfn.XLOOKUP(RIGHT("0000"&amp;AH574,4),CODEBOOK_CAP!$C$2:$C$212,CODEBOOK_CAP!$E$2:$E$212),"Código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74" s="22" t="s">
        <v>79</v>
      </c>
      <c r="AL574" s="26" t="s">
        <v>3226</v>
      </c>
      <c r="AM574" s="22" t="s">
        <v>79</v>
      </c>
      <c r="AN574" s="22" t="s">
        <v>79</v>
      </c>
      <c r="AO574" s="12" t="s">
        <v>3227</v>
      </c>
      <c r="AP574" s="22" t="s">
        <v>77</v>
      </c>
      <c r="AQ574" s="12"/>
      <c r="AR574" s="22" t="s">
        <v>79</v>
      </c>
      <c r="AS574" s="10" t="s">
        <v>3231</v>
      </c>
      <c r="AT574" s="2" t="s">
        <v>1814</v>
      </c>
      <c r="AU574" s="12" t="s">
        <v>83</v>
      </c>
      <c r="AV574" s="3" t="n">
        <v>46223</v>
      </c>
      <c r="AW574" s="21"/>
      <c r="AY574" s="1"/>
      <c r="BA574" s="1"/>
      <c r="BB574" s="1"/>
    </row>
    <row r="575" ht="120" customHeight="1">
      <c r="A575" s="20" t="s">
        <v>3232</v>
      </c>
      <c r="B575" s="20" t="n">
        <v>2023</v>
      </c>
      <c r="C575" s="20" t="n">
        <v>697</v>
      </c>
      <c r="D575" s="20" t="s">
        <v>50</v>
      </c>
      <c r="E575" s="20" t="s">
        <v>3117</v>
      </c>
      <c r="F575" s="20" t="s">
        <v>3233</v>
      </c>
      <c r="G575" s="20" t="s">
        <v>86</v>
      </c>
      <c r="H575" s="20" t="s">
        <v>3119</v>
      </c>
      <c r="I575" s="20"/>
      <c r="J575" s="20" t="s">
        <v>3234</v>
      </c>
      <c r="K575" s="20" t="s">
        <v>853</v>
      </c>
      <c r="L575" s="20" t="s">
        <v>57</v>
      </c>
      <c r="M575" s="20" t="s">
        <v>58</v>
      </c>
      <c r="N575" s="20" t="s">
        <v>59</v>
      </c>
      <c r="O575" s="20" t="s">
        <v>60</v>
      </c>
      <c r="P575" s="20" t="s">
        <v>227</v>
      </c>
      <c r="Q575" s="20" t="s">
        <v>228</v>
      </c>
      <c r="R575" s="20" t="s">
        <v>229</v>
      </c>
      <c r="S575" s="20" t="s">
        <v>230</v>
      </c>
      <c r="T575" s="20" t="s">
        <v>231</v>
      </c>
      <c r="U575" s="20" t="s">
        <v>230</v>
      </c>
      <c r="V575" s="20" t="s">
        <v>854</v>
      </c>
      <c r="W575" s="20" t="s">
        <v>96</v>
      </c>
      <c r="X575" s="20" t="s">
        <v>97</v>
      </c>
      <c r="Y575" s="20" t="s">
        <v>70</v>
      </c>
      <c r="Z575" s="20" t="s">
        <v>98</v>
      </c>
      <c r="AA575" s="20" t="s">
        <v>292</v>
      </c>
      <c r="AB575" s="20" t="s">
        <v>3235</v>
      </c>
      <c r="AC575" s="20" t="s">
        <v>3235</v>
      </c>
      <c r="AD575" s="20" t="s">
        <v>3235</v>
      </c>
      <c r="AE575" s="20"/>
      <c r="AF575" s="9" t="n">
        <v>1</v>
      </c>
      <c r="AG575" s="12" t="n">
        <v>1</v>
      </c>
      <c r="AH575" s="22" t="s">
        <v>235</v>
      </c>
      <c r="AI575" s="12" t="str">
        <f>IF(AH575="","",IFERROR(RIGHT("0000"&amp;AH575,4)&amp;" - "&amp;UPPER(_xlfn.XLOOKUP(RIGHT("0000"&amp;AH575,4),CODEBOOK_CAP!$C$2:$C$212,CODEBOOK_CAP!$D$2:$D$212)),"Código CAP não encontrado"))</f>
        <v>0322 - ESTRUTURAS, HOSPITAIS, CLÍNICAS</v>
      </c>
      <c r="AJ575" s="12" t="str">
        <f>IF(AH575="","",IFERROR(_xlfn.XLOOKUP(RIGHT("0000"&amp;AH575,4),CODEBOOK_CAP!$C$2:$C$212,CODEBOOK_CAP!$E$2:$E$212),"Código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75" s="22" t="s">
        <v>79</v>
      </c>
      <c r="AL575" s="26" t="s">
        <v>3236</v>
      </c>
      <c r="AM575" s="22" t="s">
        <v>79</v>
      </c>
      <c r="AN575" s="22" t="s">
        <v>79</v>
      </c>
      <c r="AO575" s="12" t="s">
        <v>3237</v>
      </c>
      <c r="AP575" s="22" t="s">
        <v>77</v>
      </c>
      <c r="AQ575" s="12"/>
      <c r="AR575" s="22" t="s">
        <v>77</v>
      </c>
      <c r="AS575" s="10"/>
      <c r="AT575" s="2" t="s">
        <v>1814</v>
      </c>
      <c r="AU575" s="12" t="s">
        <v>83</v>
      </c>
      <c r="AV575" s="3" t="n">
        <v>46223</v>
      </c>
      <c r="AW575" s="21"/>
      <c r="AY575" s="1"/>
      <c r="BA575" s="1"/>
      <c r="BB575" s="1"/>
    </row>
    <row r="576" ht="120" customHeight="1">
      <c r="A576" s="20" t="s">
        <v>3238</v>
      </c>
      <c r="B576" s="20" t="n">
        <v>2023</v>
      </c>
      <c r="C576" s="20" t="n">
        <v>698</v>
      </c>
      <c r="D576" s="20" t="s">
        <v>50</v>
      </c>
      <c r="E576" s="20" t="s">
        <v>3117</v>
      </c>
      <c r="F576" s="20" t="s">
        <v>3239</v>
      </c>
      <c r="G576" s="20" t="s">
        <v>315</v>
      </c>
      <c r="H576" s="20" t="s">
        <v>3119</v>
      </c>
      <c r="I576" s="20"/>
      <c r="J576" s="20" t="s">
        <v>3240</v>
      </c>
      <c r="K576" s="20" t="s">
        <v>309</v>
      </c>
      <c r="L576" s="20" t="s">
        <v>57</v>
      </c>
      <c r="M576" s="20" t="s">
        <v>58</v>
      </c>
      <c r="N576" s="20" t="s">
        <v>59</v>
      </c>
      <c r="O576" s="20" t="s">
        <v>60</v>
      </c>
      <c r="P576" s="20" t="s">
        <v>227</v>
      </c>
      <c r="Q576" s="20" t="s">
        <v>228</v>
      </c>
      <c r="R576" s="20" t="s">
        <v>229</v>
      </c>
      <c r="S576" s="20" t="s">
        <v>230</v>
      </c>
      <c r="T576" s="20" t="s">
        <v>231</v>
      </c>
      <c r="U576" s="20" t="s">
        <v>230</v>
      </c>
      <c r="V576" s="20" t="s">
        <v>196</v>
      </c>
      <c r="W576" s="20" t="s">
        <v>68</v>
      </c>
      <c r="X576" s="20" t="s">
        <v>69</v>
      </c>
      <c r="Y576" s="20" t="s">
        <v>70</v>
      </c>
      <c r="Z576" s="20" t="s">
        <v>98</v>
      </c>
      <c r="AA576" s="20" t="s">
        <v>372</v>
      </c>
      <c r="AB576" s="20" t="s">
        <v>3241</v>
      </c>
      <c r="AC576" s="20" t="s">
        <v>3241</v>
      </c>
      <c r="AD576" s="20" t="s">
        <v>3241</v>
      </c>
      <c r="AE576" s="20"/>
      <c r="AF576" s="9" t="n">
        <v>1</v>
      </c>
      <c r="AG576" s="12" t="n">
        <v>1</v>
      </c>
      <c r="AH576" s="22" t="s">
        <v>235</v>
      </c>
      <c r="AI576" s="12" t="str">
        <f>IF(AH576="","",IFERROR(RIGHT("0000"&amp;AH576,4)&amp;" - "&amp;UPPER(_xlfn.XLOOKUP(RIGHT("0000"&amp;AH576,4),CODEBOOK_CAP!$C$2:$C$212,CODEBOOK_CAP!$D$2:$D$212)),"Código CAP não encontrado"))</f>
        <v>0322 - ESTRUTURAS, HOSPITAIS, CLÍNICAS</v>
      </c>
      <c r="AJ576" s="12" t="str">
        <f>IF(AH576="","",IFERROR(_xlfn.XLOOKUP(RIGHT("0000"&amp;AH576,4),CODEBOOK_CAP!$C$2:$C$212,CODEBOOK_CAP!$E$2:$E$212),"Código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76" s="22" t="s">
        <v>79</v>
      </c>
      <c r="AL576" s="26" t="s">
        <v>3236</v>
      </c>
      <c r="AM576" s="22" t="s">
        <v>79</v>
      </c>
      <c r="AN576" s="22" t="s">
        <v>79</v>
      </c>
      <c r="AO576" s="12" t="s">
        <v>3237</v>
      </c>
      <c r="AP576" s="22" t="s">
        <v>77</v>
      </c>
      <c r="AQ576" s="12"/>
      <c r="AR576" s="22" t="s">
        <v>77</v>
      </c>
      <c r="AS576" s="10"/>
      <c r="AT576" s="2" t="s">
        <v>1814</v>
      </c>
      <c r="AU576" s="12" t="s">
        <v>83</v>
      </c>
      <c r="AV576" s="3" t="n">
        <v>46223</v>
      </c>
      <c r="AW576" s="21"/>
      <c r="AY576" s="1"/>
      <c r="BA576" s="1"/>
      <c r="BB576" s="1"/>
    </row>
    <row r="577" ht="120" customHeight="1">
      <c r="A577" s="20" t="s">
        <v>3242</v>
      </c>
      <c r="B577" s="20" t="n">
        <v>2023</v>
      </c>
      <c r="C577" s="20" t="n">
        <v>699</v>
      </c>
      <c r="D577" s="20" t="s">
        <v>50</v>
      </c>
      <c r="E577" s="20" t="s">
        <v>3117</v>
      </c>
      <c r="F577" s="20" t="s">
        <v>3243</v>
      </c>
      <c r="G577" s="20" t="s">
        <v>86</v>
      </c>
      <c r="H577" s="20" t="s">
        <v>3119</v>
      </c>
      <c r="I577" s="20"/>
      <c r="J577" s="20" t="s">
        <v>3244</v>
      </c>
      <c r="K577" s="20" t="s">
        <v>273</v>
      </c>
      <c r="L577" s="20" t="s">
        <v>274</v>
      </c>
      <c r="M577" s="20" t="s">
        <v>275</v>
      </c>
      <c r="N577" s="20" t="s">
        <v>276</v>
      </c>
      <c r="O577" s="20" t="s">
        <v>277</v>
      </c>
      <c r="P577" s="20" t="s">
        <v>278</v>
      </c>
      <c r="Q577" s="20" t="s">
        <v>279</v>
      </c>
      <c r="R577" s="20" t="s">
        <v>280</v>
      </c>
      <c r="S577" s="20" t="s">
        <v>281</v>
      </c>
      <c r="T577" s="20" t="s">
        <v>282</v>
      </c>
      <c r="U577" s="20" t="s">
        <v>283</v>
      </c>
      <c r="V577" s="20" t="s">
        <v>95</v>
      </c>
      <c r="W577" s="20" t="s">
        <v>96</v>
      </c>
      <c r="X577" s="20" t="s">
        <v>97</v>
      </c>
      <c r="Y577" s="20" t="s">
        <v>70</v>
      </c>
      <c r="Z577" s="20" t="s">
        <v>284</v>
      </c>
      <c r="AA577" s="20" t="s">
        <v>202</v>
      </c>
      <c r="AB577" s="20" t="s">
        <v>202</v>
      </c>
      <c r="AC577" s="20" t="s">
        <v>202</v>
      </c>
      <c r="AD577" s="20" t="s">
        <v>202</v>
      </c>
      <c r="AE577" s="20"/>
      <c r="AF577" s="9" t="n">
        <v>0</v>
      </c>
      <c r="AG577" s="12" t="n">
        <v>0</v>
      </c>
      <c r="AH577" s="22" t="s">
        <v>941</v>
      </c>
      <c r="AI577" s="12" t="str">
        <f>IF(AH577="","",IFERROR(RIGHT("0000"&amp;AH577,4)&amp;" - "&amp;UPPER(_xlfn.XLOOKUP(RIGHT("0000"&amp;AH577,4),CODEBOOK_CAP!$C$2:$C$212,CODEBOOK_CAP!$D$2:$D$212)),"Código CAP não encontrado"))</f>
        <v>1308 - POLÍTICAS SOCIAIS PARA FAMÍLIAS E INFÂNCIA</v>
      </c>
      <c r="AJ577" s="12" t="str">
        <f>IF(AH577="","",IFERROR(_xlfn.XLOOKUP(RIGHT("0000"&amp;AH577,4),CODEBOOK_CAP!$C$2:$C$212,CODEBOOK_CAP!$E$2:$E$212),"Código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77" s="22" t="s">
        <v>79</v>
      </c>
      <c r="AL577" s="26" t="s">
        <v>3245</v>
      </c>
      <c r="AM577" s="22" t="s">
        <v>79</v>
      </c>
      <c r="AN577" s="22" t="s">
        <v>79</v>
      </c>
      <c r="AO577" s="12" t="s">
        <v>3246</v>
      </c>
      <c r="AP577" s="22" t="s">
        <v>79</v>
      </c>
      <c r="AQ577" s="12" t="s">
        <v>1094</v>
      </c>
      <c r="AR577" s="22" t="s">
        <v>77</v>
      </c>
      <c r="AS577" s="10"/>
      <c r="AT577" s="2" t="s">
        <v>1814</v>
      </c>
      <c r="AU577" s="12" t="s">
        <v>83</v>
      </c>
      <c r="AV577" s="3" t="n">
        <v>46223</v>
      </c>
      <c r="AW577" s="21"/>
      <c r="AY577" s="1"/>
      <c r="BA577" s="1"/>
      <c r="BB577" s="1"/>
    </row>
    <row r="578" ht="105" customHeight="1">
      <c r="A578" s="20" t="s">
        <v>3247</v>
      </c>
      <c r="B578" s="20" t="n">
        <v>2023</v>
      </c>
      <c r="C578" s="20" t="n">
        <v>700</v>
      </c>
      <c r="D578" s="20" t="s">
        <v>50</v>
      </c>
      <c r="E578" s="20" t="s">
        <v>3117</v>
      </c>
      <c r="F578" s="20" t="s">
        <v>3248</v>
      </c>
      <c r="G578" s="20" t="s">
        <v>315</v>
      </c>
      <c r="H578" s="20" t="s">
        <v>3119</v>
      </c>
      <c r="I578" s="20"/>
      <c r="J578" s="20" t="s">
        <v>3249</v>
      </c>
      <c r="K578" s="20" t="s">
        <v>273</v>
      </c>
      <c r="L578" s="20" t="s">
        <v>274</v>
      </c>
      <c r="M578" s="20" t="s">
        <v>275</v>
      </c>
      <c r="N578" s="20" t="s">
        <v>276</v>
      </c>
      <c r="O578" s="20" t="s">
        <v>277</v>
      </c>
      <c r="P578" s="20" t="s">
        <v>278</v>
      </c>
      <c r="Q578" s="20" t="s">
        <v>279</v>
      </c>
      <c r="R578" s="20" t="s">
        <v>280</v>
      </c>
      <c r="S578" s="20" t="s">
        <v>281</v>
      </c>
      <c r="T578" s="20" t="s">
        <v>282</v>
      </c>
      <c r="U578" s="20" t="s">
        <v>283</v>
      </c>
      <c r="V578" s="20" t="s">
        <v>95</v>
      </c>
      <c r="W578" s="20" t="s">
        <v>96</v>
      </c>
      <c r="X578" s="20" t="s">
        <v>97</v>
      </c>
      <c r="Y578" s="20" t="s">
        <v>70</v>
      </c>
      <c r="Z578" s="20" t="s">
        <v>284</v>
      </c>
      <c r="AA578" s="20" t="s">
        <v>606</v>
      </c>
      <c r="AB578" s="20" t="s">
        <v>606</v>
      </c>
      <c r="AC578" s="20" t="s">
        <v>606</v>
      </c>
      <c r="AD578" s="20" t="s">
        <v>606</v>
      </c>
      <c r="AE578" s="20"/>
      <c r="AF578" s="9" t="n">
        <v>0</v>
      </c>
      <c r="AG578" s="12" t="n">
        <v>0</v>
      </c>
      <c r="AH578" s="22" t="s">
        <v>941</v>
      </c>
      <c r="AI578" s="12" t="str">
        <f>IF(AH578="","",IFERROR(RIGHT("0000"&amp;AH578,4)&amp;" - "&amp;UPPER(_xlfn.XLOOKUP(RIGHT("0000"&amp;AH578,4),CODEBOOK_CAP!$C$2:$C$212,CODEBOOK_CAP!$D$2:$D$212)),"Código CAP não encontrado"))</f>
        <v>1308 - POLÍTICAS SOCIAIS PARA FAMÍLIAS E INFÂNCIA</v>
      </c>
      <c r="AJ578" s="12" t="str">
        <f>IF(AH578="","",IFERROR(_xlfn.XLOOKUP(RIGHT("0000"&amp;AH578,4),CODEBOOK_CAP!$C$2:$C$212,CODEBOOK_CAP!$E$2:$E$212),"Código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78" s="22" t="s">
        <v>77</v>
      </c>
      <c r="AL578" s="26"/>
      <c r="AM578" s="22" t="s">
        <v>77</v>
      </c>
      <c r="AN578" s="22" t="s">
        <v>77</v>
      </c>
      <c r="AO578" s="12"/>
      <c r="AP578" s="22" t="s">
        <v>79</v>
      </c>
      <c r="AQ578" s="12" t="s">
        <v>622</v>
      </c>
      <c r="AR578" s="22" t="s">
        <v>77</v>
      </c>
      <c r="AS578" s="10"/>
      <c r="AT578" s="2" t="s">
        <v>1814</v>
      </c>
      <c r="AU578" s="12" t="s">
        <v>83</v>
      </c>
      <c r="AV578" s="3" t="n">
        <v>46223</v>
      </c>
      <c r="AW578" s="21"/>
      <c r="AY578" s="1"/>
      <c r="BA578" s="1"/>
      <c r="BB578" s="1"/>
    </row>
    <row r="579" ht="210" customHeight="1">
      <c r="A579" s="20" t="s">
        <v>3250</v>
      </c>
      <c r="B579" s="20" t="n">
        <v>2023</v>
      </c>
      <c r="C579" s="20" t="n">
        <v>701</v>
      </c>
      <c r="D579" s="20" t="s">
        <v>50</v>
      </c>
      <c r="E579" s="20" t="s">
        <v>3117</v>
      </c>
      <c r="F579" s="20" t="s">
        <v>3251</v>
      </c>
      <c r="G579" s="20" t="s">
        <v>315</v>
      </c>
      <c r="H579" s="20" t="s">
        <v>3119</v>
      </c>
      <c r="I579" s="20"/>
      <c r="J579" s="20" t="s">
        <v>3252</v>
      </c>
      <c r="K579" s="20" t="s">
        <v>273</v>
      </c>
      <c r="L579" s="20" t="s">
        <v>274</v>
      </c>
      <c r="M579" s="20" t="s">
        <v>275</v>
      </c>
      <c r="N579" s="20" t="s">
        <v>276</v>
      </c>
      <c r="O579" s="20" t="s">
        <v>277</v>
      </c>
      <c r="P579" s="20" t="s">
        <v>278</v>
      </c>
      <c r="Q579" s="20" t="s">
        <v>279</v>
      </c>
      <c r="R579" s="20" t="s">
        <v>280</v>
      </c>
      <c r="S579" s="20" t="s">
        <v>281</v>
      </c>
      <c r="T579" s="20" t="s">
        <v>282</v>
      </c>
      <c r="U579" s="20" t="s">
        <v>283</v>
      </c>
      <c r="V579" s="20" t="s">
        <v>95</v>
      </c>
      <c r="W579" s="20" t="s">
        <v>96</v>
      </c>
      <c r="X579" s="20" t="s">
        <v>97</v>
      </c>
      <c r="Y579" s="20" t="s">
        <v>70</v>
      </c>
      <c r="Z579" s="20" t="s">
        <v>284</v>
      </c>
      <c r="AA579" s="20" t="s">
        <v>202</v>
      </c>
      <c r="AB579" s="20" t="s">
        <v>202</v>
      </c>
      <c r="AC579" s="20" t="s">
        <v>202</v>
      </c>
      <c r="AD579" s="20" t="s">
        <v>202</v>
      </c>
      <c r="AE579" s="20"/>
      <c r="AF579" s="9" t="n">
        <v>0</v>
      </c>
      <c r="AG579" s="12" t="n">
        <v>0</v>
      </c>
      <c r="AH579" s="22" t="s">
        <v>607</v>
      </c>
      <c r="AI579" s="12" t="str">
        <f>IF(AH579="","",IFERROR(RIGHT("0000"&amp;AH579,4)&amp;" - "&amp;UPPER(_xlfn.XLOOKUP(RIGHT("0000"&amp;AH579,4),CODEBOOK_CAP!$C$2:$C$212,CODEBOOK_CAP!$D$2:$D$212)),"Código CAP não encontrado"))</f>
        <v>1300 - GERAL</v>
      </c>
      <c r="AJ579" s="12" t="str">
        <f>IF(AH579="","",IFERROR(_xlfn.XLOOKUP(RIGHT("0000"&amp;AH579,4),CODEBOOK_CAP!$C$2:$C$212,CODEBOOK_CAP!$E$2:$E$212),"Código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79" s="22" t="s">
        <v>77</v>
      </c>
      <c r="AL579" s="26"/>
      <c r="AM579" s="22" t="s">
        <v>77</v>
      </c>
      <c r="AN579" s="22" t="s">
        <v>77</v>
      </c>
      <c r="AO579" s="12"/>
      <c r="AP579" s="22" t="s">
        <v>77</v>
      </c>
      <c r="AQ579" s="12"/>
      <c r="AR579" s="22" t="s">
        <v>77</v>
      </c>
      <c r="AS579" s="10"/>
      <c r="AT579" s="2" t="s">
        <v>1814</v>
      </c>
      <c r="AU579" s="12" t="s">
        <v>83</v>
      </c>
      <c r="AV579" s="3" t="n">
        <v>46223</v>
      </c>
      <c r="AW579" s="21"/>
      <c r="AY579" s="1"/>
      <c r="BA579" s="1"/>
      <c r="BB579" s="1"/>
    </row>
    <row r="580" ht="120" customHeight="1">
      <c r="A580" s="20" t="s">
        <v>3253</v>
      </c>
      <c r="B580" s="20" t="n">
        <v>2023</v>
      </c>
      <c r="C580" s="20" t="n">
        <v>702</v>
      </c>
      <c r="D580" s="20" t="s">
        <v>50</v>
      </c>
      <c r="E580" s="20" t="s">
        <v>3117</v>
      </c>
      <c r="F580" s="20" t="s">
        <v>3254</v>
      </c>
      <c r="G580" s="20" t="s">
        <v>86</v>
      </c>
      <c r="H580" s="20" t="s">
        <v>3119</v>
      </c>
      <c r="I580" s="20"/>
      <c r="J580" s="20" t="s">
        <v>3255</v>
      </c>
      <c r="K580" s="20" t="s">
        <v>416</v>
      </c>
      <c r="L580" s="20" t="s">
        <v>57</v>
      </c>
      <c r="M580" s="20" t="s">
        <v>58</v>
      </c>
      <c r="N580" s="20" t="s">
        <v>59</v>
      </c>
      <c r="O580" s="20" t="s">
        <v>60</v>
      </c>
      <c r="P580" s="20" t="s">
        <v>89</v>
      </c>
      <c r="Q580" s="20" t="s">
        <v>90</v>
      </c>
      <c r="R580" s="20" t="s">
        <v>91</v>
      </c>
      <c r="S580" s="20" t="s">
        <v>92</v>
      </c>
      <c r="T580" s="20" t="s">
        <v>123</v>
      </c>
      <c r="U580" s="20" t="s">
        <v>124</v>
      </c>
      <c r="V580" s="20" t="s">
        <v>417</v>
      </c>
      <c r="W580" s="20" t="s">
        <v>96</v>
      </c>
      <c r="X580" s="20" t="s">
        <v>97</v>
      </c>
      <c r="Y580" s="20" t="s">
        <v>70</v>
      </c>
      <c r="Z580" s="20" t="s">
        <v>98</v>
      </c>
      <c r="AA580" s="20" t="s">
        <v>877</v>
      </c>
      <c r="AB580" s="20" t="s">
        <v>877</v>
      </c>
      <c r="AC580" s="20" t="s">
        <v>877</v>
      </c>
      <c r="AD580" s="20" t="s">
        <v>877</v>
      </c>
      <c r="AE580" s="20"/>
      <c r="AF580" s="9" t="n">
        <v>1</v>
      </c>
      <c r="AG580" s="12" t="n">
        <v>1</v>
      </c>
      <c r="AH580" s="22" t="s">
        <v>235</v>
      </c>
      <c r="AI580" s="12" t="str">
        <f>IF(AH580="","",IFERROR(RIGHT("0000"&amp;AH580,4)&amp;" - "&amp;UPPER(_xlfn.XLOOKUP(RIGHT("0000"&amp;AH580,4),CODEBOOK_CAP!$C$2:$C$212,CODEBOOK_CAP!$D$2:$D$212)),"Código CAP não encontrado"))</f>
        <v>0322 - ESTRUTURAS, HOSPITAIS, CLÍNICAS</v>
      </c>
      <c r="AJ580" s="12" t="str">
        <f>IF(AH580="","",IFERROR(_xlfn.XLOOKUP(RIGHT("0000"&amp;AH580,4),CODEBOOK_CAP!$C$2:$C$212,CODEBOOK_CAP!$E$2:$E$212),"Código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80" s="22" t="s">
        <v>77</v>
      </c>
      <c r="AL580" s="26"/>
      <c r="AM580" s="22" t="s">
        <v>79</v>
      </c>
      <c r="AN580" s="22" t="s">
        <v>79</v>
      </c>
      <c r="AO580" s="12" t="s">
        <v>1890</v>
      </c>
      <c r="AP580" s="22" t="s">
        <v>77</v>
      </c>
      <c r="AQ580" s="12"/>
      <c r="AR580" s="22" t="s">
        <v>77</v>
      </c>
      <c r="AS580" s="10"/>
      <c r="AT580" s="2" t="s">
        <v>1814</v>
      </c>
      <c r="AU580" s="12" t="s">
        <v>83</v>
      </c>
      <c r="AV580" s="3" t="n">
        <v>46223</v>
      </c>
      <c r="AW580" s="21"/>
      <c r="AY580" s="1"/>
      <c r="BA580" s="1"/>
      <c r="BB580" s="1"/>
    </row>
    <row r="581" ht="210" customHeight="1">
      <c r="A581" s="20" t="s">
        <v>3256</v>
      </c>
      <c r="B581" s="20" t="n">
        <v>2023</v>
      </c>
      <c r="C581" s="20" t="n">
        <v>703</v>
      </c>
      <c r="D581" s="20" t="s">
        <v>50</v>
      </c>
      <c r="E581" s="20" t="s">
        <v>3117</v>
      </c>
      <c r="F581" s="20" t="s">
        <v>3257</v>
      </c>
      <c r="G581" s="20" t="s">
        <v>315</v>
      </c>
      <c r="H581" s="20" t="s">
        <v>3119</v>
      </c>
      <c r="I581" s="20"/>
      <c r="J581" s="20" t="s">
        <v>3258</v>
      </c>
      <c r="K581" s="20" t="s">
        <v>273</v>
      </c>
      <c r="L581" s="20" t="s">
        <v>274</v>
      </c>
      <c r="M581" s="20" t="s">
        <v>275</v>
      </c>
      <c r="N581" s="20" t="s">
        <v>276</v>
      </c>
      <c r="O581" s="20" t="s">
        <v>277</v>
      </c>
      <c r="P581" s="20" t="s">
        <v>278</v>
      </c>
      <c r="Q581" s="20" t="s">
        <v>279</v>
      </c>
      <c r="R581" s="20" t="s">
        <v>280</v>
      </c>
      <c r="S581" s="20" t="s">
        <v>281</v>
      </c>
      <c r="T581" s="20" t="s">
        <v>282</v>
      </c>
      <c r="U581" s="20" t="s">
        <v>283</v>
      </c>
      <c r="V581" s="20" t="s">
        <v>95</v>
      </c>
      <c r="W581" s="20" t="s">
        <v>96</v>
      </c>
      <c r="X581" s="20" t="s">
        <v>97</v>
      </c>
      <c r="Y581" s="20" t="s">
        <v>70</v>
      </c>
      <c r="Z581" s="20" t="s">
        <v>284</v>
      </c>
      <c r="AA581" s="20" t="s">
        <v>388</v>
      </c>
      <c r="AB581" s="20" t="s">
        <v>388</v>
      </c>
      <c r="AC581" s="20" t="s">
        <v>388</v>
      </c>
      <c r="AD581" s="20" t="s">
        <v>388</v>
      </c>
      <c r="AE581" s="20"/>
      <c r="AF581" s="9" t="n">
        <v>0</v>
      </c>
      <c r="AG581" s="12" t="n">
        <v>0</v>
      </c>
      <c r="AH581" s="22" t="s">
        <v>607</v>
      </c>
      <c r="AI581" s="12" t="str">
        <f>IF(AH581="","",IFERROR(RIGHT("0000"&amp;AH581,4)&amp;" - "&amp;UPPER(_xlfn.XLOOKUP(RIGHT("0000"&amp;AH581,4),CODEBOOK_CAP!$C$2:$C$212,CODEBOOK_CAP!$D$2:$D$212)),"Código CAP não encontrado"))</f>
        <v>1300 - GERAL</v>
      </c>
      <c r="AJ581" s="12" t="str">
        <f>IF(AH581="","",IFERROR(_xlfn.XLOOKUP(RIGHT("0000"&amp;AH581,4),CODEBOOK_CAP!$C$2:$C$212,CODEBOOK_CAP!$E$2:$E$212),"Código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81" s="22" t="s">
        <v>77</v>
      </c>
      <c r="AL581" s="26"/>
      <c r="AM581" s="22" t="s">
        <v>77</v>
      </c>
      <c r="AN581" s="22" t="s">
        <v>77</v>
      </c>
      <c r="AO581" s="12"/>
      <c r="AP581" s="22" t="s">
        <v>79</v>
      </c>
      <c r="AQ581" s="12" t="s">
        <v>3259</v>
      </c>
      <c r="AR581" s="22" t="s">
        <v>77</v>
      </c>
      <c r="AS581" s="10"/>
      <c r="AT581" s="2" t="s">
        <v>1814</v>
      </c>
      <c r="AU581" s="12" t="s">
        <v>83</v>
      </c>
      <c r="AV581" s="3" t="n">
        <v>46223</v>
      </c>
      <c r="AW581" s="21"/>
      <c r="AY581" s="1"/>
      <c r="BA581" s="1"/>
      <c r="BB581" s="1"/>
    </row>
    <row r="582" ht="210" customHeight="1">
      <c r="A582" s="20" t="s">
        <v>3260</v>
      </c>
      <c r="B582" s="20" t="n">
        <v>2023</v>
      </c>
      <c r="C582" s="20" t="n">
        <v>704</v>
      </c>
      <c r="D582" s="20" t="s">
        <v>50</v>
      </c>
      <c r="E582" s="20" t="s">
        <v>3117</v>
      </c>
      <c r="F582" s="20" t="s">
        <v>3261</v>
      </c>
      <c r="G582" s="20" t="s">
        <v>183</v>
      </c>
      <c r="H582" s="20" t="s">
        <v>3119</v>
      </c>
      <c r="I582" s="20"/>
      <c r="J582" s="20" t="s">
        <v>3262</v>
      </c>
      <c r="K582" s="20" t="s">
        <v>273</v>
      </c>
      <c r="L582" s="20" t="s">
        <v>274</v>
      </c>
      <c r="M582" s="20" t="s">
        <v>275</v>
      </c>
      <c r="N582" s="20" t="s">
        <v>276</v>
      </c>
      <c r="O582" s="20" t="s">
        <v>277</v>
      </c>
      <c r="P582" s="20" t="s">
        <v>278</v>
      </c>
      <c r="Q582" s="20" t="s">
        <v>279</v>
      </c>
      <c r="R582" s="20" t="s">
        <v>280</v>
      </c>
      <c r="S582" s="20" t="s">
        <v>281</v>
      </c>
      <c r="T582" s="20" t="s">
        <v>282</v>
      </c>
      <c r="U582" s="20" t="s">
        <v>283</v>
      </c>
      <c r="V582" s="20" t="s">
        <v>95</v>
      </c>
      <c r="W582" s="20" t="s">
        <v>96</v>
      </c>
      <c r="X582" s="20" t="s">
        <v>97</v>
      </c>
      <c r="Y582" s="20" t="s">
        <v>70</v>
      </c>
      <c r="Z582" s="20" t="s">
        <v>284</v>
      </c>
      <c r="AA582" s="20" t="s">
        <v>388</v>
      </c>
      <c r="AB582" s="20" t="s">
        <v>77</v>
      </c>
      <c r="AC582" s="20" t="s">
        <v>77</v>
      </c>
      <c r="AD582" s="20" t="s">
        <v>77</v>
      </c>
      <c r="AE582" s="20"/>
      <c r="AF582" s="9" t="n">
        <v>0</v>
      </c>
      <c r="AG582" s="12" t="n">
        <v>0</v>
      </c>
      <c r="AH582" s="22" t="s">
        <v>607</v>
      </c>
      <c r="AI582" s="12" t="str">
        <f>IF(AH582="","",IFERROR(RIGHT("0000"&amp;AH582,4)&amp;" - "&amp;UPPER(_xlfn.XLOOKUP(RIGHT("0000"&amp;AH582,4),CODEBOOK_CAP!$C$2:$C$212,CODEBOOK_CAP!$D$2:$D$212)),"Código CAP não encontrado"))</f>
        <v>1300 - GERAL</v>
      </c>
      <c r="AJ582" s="12" t="str">
        <f>IF(AH582="","",IFERROR(_xlfn.XLOOKUP(RIGHT("0000"&amp;AH582,4),CODEBOOK_CAP!$C$2:$C$212,CODEBOOK_CAP!$E$2:$E$212),"Código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82" s="22" t="s">
        <v>77</v>
      </c>
      <c r="AL582" s="26"/>
      <c r="AM582" s="22" t="s">
        <v>77</v>
      </c>
      <c r="AN582" s="22" t="s">
        <v>77</v>
      </c>
      <c r="AO582" s="12"/>
      <c r="AP582" s="22" t="s">
        <v>77</v>
      </c>
      <c r="AQ582" s="12"/>
      <c r="AR582" s="22" t="s">
        <v>77</v>
      </c>
      <c r="AS582" s="10"/>
      <c r="AT582" s="2" t="s">
        <v>1814</v>
      </c>
      <c r="AU582" s="12" t="s">
        <v>83</v>
      </c>
      <c r="AV582" s="3" t="n">
        <v>46223</v>
      </c>
      <c r="AW582" s="21"/>
      <c r="AY582" s="1"/>
      <c r="BA582" s="1"/>
      <c r="BB582" s="1"/>
    </row>
    <row r="583" ht="120" customHeight="1">
      <c r="A583" s="20" t="s">
        <v>3263</v>
      </c>
      <c r="B583" s="20" t="n">
        <v>2023</v>
      </c>
      <c r="C583" s="20" t="n">
        <v>705</v>
      </c>
      <c r="D583" s="20" t="s">
        <v>50</v>
      </c>
      <c r="E583" s="20" t="s">
        <v>3117</v>
      </c>
      <c r="F583" s="20" t="s">
        <v>3264</v>
      </c>
      <c r="G583" s="20" t="s">
        <v>315</v>
      </c>
      <c r="H583" s="20" t="s">
        <v>3119</v>
      </c>
      <c r="I583" s="20"/>
      <c r="J583" s="20" t="s">
        <v>3265</v>
      </c>
      <c r="K583" s="20" t="s">
        <v>273</v>
      </c>
      <c r="L583" s="20" t="s">
        <v>274</v>
      </c>
      <c r="M583" s="20" t="s">
        <v>275</v>
      </c>
      <c r="N583" s="20" t="s">
        <v>276</v>
      </c>
      <c r="O583" s="20" t="s">
        <v>277</v>
      </c>
      <c r="P583" s="20" t="s">
        <v>278</v>
      </c>
      <c r="Q583" s="20" t="s">
        <v>279</v>
      </c>
      <c r="R583" s="20" t="s">
        <v>280</v>
      </c>
      <c r="S583" s="20" t="s">
        <v>281</v>
      </c>
      <c r="T583" s="20" t="s">
        <v>282</v>
      </c>
      <c r="U583" s="20" t="s">
        <v>283</v>
      </c>
      <c r="V583" s="20" t="s">
        <v>95</v>
      </c>
      <c r="W583" s="20" t="s">
        <v>96</v>
      </c>
      <c r="X583" s="20" t="s">
        <v>97</v>
      </c>
      <c r="Y583" s="20" t="s">
        <v>70</v>
      </c>
      <c r="Z583" s="20" t="s">
        <v>284</v>
      </c>
      <c r="AA583" s="20" t="s">
        <v>388</v>
      </c>
      <c r="AB583" s="20" t="s">
        <v>388</v>
      </c>
      <c r="AC583" s="20" t="s">
        <v>388</v>
      </c>
      <c r="AD583" s="20" t="s">
        <v>388</v>
      </c>
      <c r="AE583" s="20"/>
      <c r="AF583" s="9" t="n">
        <v>0</v>
      </c>
      <c r="AG583" s="12" t="n">
        <v>0</v>
      </c>
      <c r="AH583" s="22" t="s">
        <v>941</v>
      </c>
      <c r="AI583" s="12" t="str">
        <f>IF(AH583="","",IFERROR(RIGHT("0000"&amp;AH583,4)&amp;" - "&amp;UPPER(_xlfn.XLOOKUP(RIGHT("0000"&amp;AH583,4),CODEBOOK_CAP!$C$2:$C$212,CODEBOOK_CAP!$D$2:$D$212)),"Código CAP não encontrado"))</f>
        <v>1308 - POLÍTICAS SOCIAIS PARA FAMÍLIAS E INFÂNCIA</v>
      </c>
      <c r="AJ583" s="12" t="str">
        <f>IF(AH583="","",IFERROR(_xlfn.XLOOKUP(RIGHT("0000"&amp;AH583,4),CODEBOOK_CAP!$C$2:$C$212,CODEBOOK_CAP!$E$2:$E$212),"Código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83" s="22" t="s">
        <v>77</v>
      </c>
      <c r="AL583" s="26"/>
      <c r="AM583" s="22" t="s">
        <v>77</v>
      </c>
      <c r="AN583" s="22" t="s">
        <v>77</v>
      </c>
      <c r="AO583" s="12"/>
      <c r="AP583" s="22" t="s">
        <v>79</v>
      </c>
      <c r="AQ583" s="12" t="s">
        <v>901</v>
      </c>
      <c r="AR583" s="22" t="s">
        <v>77</v>
      </c>
      <c r="AS583" s="10"/>
      <c r="AT583" s="2" t="s">
        <v>1814</v>
      </c>
      <c r="AU583" s="12" t="s">
        <v>83</v>
      </c>
      <c r="AV583" s="3" t="n">
        <v>46223</v>
      </c>
      <c r="AW583" s="21"/>
      <c r="AY583" s="1"/>
      <c r="BA583" s="1"/>
      <c r="BB583" s="1"/>
    </row>
    <row r="584" ht="210" customHeight="1">
      <c r="A584" s="20" t="s">
        <v>3266</v>
      </c>
      <c r="B584" s="20" t="n">
        <v>2023</v>
      </c>
      <c r="C584" s="20" t="n">
        <v>706</v>
      </c>
      <c r="D584" s="20" t="s">
        <v>50</v>
      </c>
      <c r="E584" s="20" t="s">
        <v>3117</v>
      </c>
      <c r="F584" s="20" t="s">
        <v>3267</v>
      </c>
      <c r="G584" s="20" t="s">
        <v>315</v>
      </c>
      <c r="H584" s="20" t="s">
        <v>3119</v>
      </c>
      <c r="I584" s="20"/>
      <c r="J584" s="20" t="s">
        <v>3268</v>
      </c>
      <c r="K584" s="20" t="s">
        <v>1117</v>
      </c>
      <c r="L584" s="20" t="s">
        <v>274</v>
      </c>
      <c r="M584" s="20" t="s">
        <v>275</v>
      </c>
      <c r="N584" s="20" t="s">
        <v>276</v>
      </c>
      <c r="O584" s="20" t="s">
        <v>277</v>
      </c>
      <c r="P584" s="20" t="s">
        <v>278</v>
      </c>
      <c r="Q584" s="20" t="s">
        <v>279</v>
      </c>
      <c r="R584" s="20" t="s">
        <v>1118</v>
      </c>
      <c r="S584" s="20" t="s">
        <v>1119</v>
      </c>
      <c r="T584" s="20" t="s">
        <v>1120</v>
      </c>
      <c r="U584" s="20" t="s">
        <v>1121</v>
      </c>
      <c r="V584" s="20" t="s">
        <v>95</v>
      </c>
      <c r="W584" s="20" t="s">
        <v>96</v>
      </c>
      <c r="X584" s="20" t="s">
        <v>97</v>
      </c>
      <c r="Y584" s="20" t="s">
        <v>70</v>
      </c>
      <c r="Z584" s="20" t="s">
        <v>284</v>
      </c>
      <c r="AA584" s="20" t="s">
        <v>202</v>
      </c>
      <c r="AB584" s="20" t="s">
        <v>202</v>
      </c>
      <c r="AC584" s="20" t="s">
        <v>202</v>
      </c>
      <c r="AD584" s="20" t="s">
        <v>202</v>
      </c>
      <c r="AE584" s="20"/>
      <c r="AF584" s="9" t="n">
        <v>0</v>
      </c>
      <c r="AG584" s="12" t="n">
        <v>0</v>
      </c>
      <c r="AH584" s="22" t="s">
        <v>607</v>
      </c>
      <c r="AI584" s="12" t="str">
        <f>IF(AH584="","",IFERROR(RIGHT("0000"&amp;AH584,4)&amp;" - "&amp;UPPER(_xlfn.XLOOKUP(RIGHT("0000"&amp;AH584,4),CODEBOOK_CAP!$C$2:$C$212,CODEBOOK_CAP!$D$2:$D$212)),"Código CAP não encontrado"))</f>
        <v>1300 - GERAL</v>
      </c>
      <c r="AJ584" s="12" t="str">
        <f>IF(AH584="","",IFERROR(_xlfn.XLOOKUP(RIGHT("0000"&amp;AH584,4),CODEBOOK_CAP!$C$2:$C$212,CODEBOOK_CAP!$E$2:$E$212),"Código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584" s="22" t="s">
        <v>77</v>
      </c>
      <c r="AL584" s="26"/>
      <c r="AM584" s="22" t="s">
        <v>77</v>
      </c>
      <c r="AN584" s="22" t="s">
        <v>77</v>
      </c>
      <c r="AO584" s="12"/>
      <c r="AP584" s="22" t="s">
        <v>77</v>
      </c>
      <c r="AQ584" s="12"/>
      <c r="AR584" s="22" t="s">
        <v>77</v>
      </c>
      <c r="AS584" s="10"/>
      <c r="AT584" s="2" t="s">
        <v>1814</v>
      </c>
      <c r="AU584" s="12" t="s">
        <v>83</v>
      </c>
      <c r="AV584" s="3" t="n">
        <v>46223</v>
      </c>
      <c r="AW584" s="21"/>
      <c r="AY584" s="1"/>
      <c r="BA584" s="1"/>
      <c r="BB584" s="1"/>
    </row>
    <row r="585" ht="180" customHeight="1">
      <c r="A585" s="20" t="s">
        <v>3269</v>
      </c>
      <c r="B585" s="20" t="n">
        <v>2023</v>
      </c>
      <c r="C585" s="20" t="n">
        <v>708</v>
      </c>
      <c r="D585" s="20" t="s">
        <v>50</v>
      </c>
      <c r="E585" s="20" t="s">
        <v>3117</v>
      </c>
      <c r="F585" s="20" t="s">
        <v>3270</v>
      </c>
      <c r="G585" s="20" t="s">
        <v>86</v>
      </c>
      <c r="H585" s="20" t="s">
        <v>3119</v>
      </c>
      <c r="I585" s="20"/>
      <c r="J585" s="20" t="s">
        <v>3271</v>
      </c>
      <c r="K585" s="20" t="s">
        <v>3272</v>
      </c>
      <c r="L585" s="20" t="s">
        <v>722</v>
      </c>
      <c r="M585" s="20" t="s">
        <v>723</v>
      </c>
      <c r="N585" s="20" t="s">
        <v>724</v>
      </c>
      <c r="O585" s="20" t="s">
        <v>725</v>
      </c>
      <c r="P585" s="20" t="s">
        <v>3273</v>
      </c>
      <c r="Q585" s="20" t="s">
        <v>3274</v>
      </c>
      <c r="R585" s="20" t="s">
        <v>1352</v>
      </c>
      <c r="S585" s="20" t="s">
        <v>1353</v>
      </c>
      <c r="T585" s="20" t="s">
        <v>3275</v>
      </c>
      <c r="U585" s="20" t="s">
        <v>3276</v>
      </c>
      <c r="V585" s="20" t="s">
        <v>196</v>
      </c>
      <c r="W585" s="20" t="s">
        <v>68</v>
      </c>
      <c r="X585" s="20" t="s">
        <v>69</v>
      </c>
      <c r="Y585" s="20" t="s">
        <v>70</v>
      </c>
      <c r="Z585" s="20" t="s">
        <v>730</v>
      </c>
      <c r="AA585" s="20" t="s">
        <v>3277</v>
      </c>
      <c r="AB585" s="20" t="s">
        <v>3278</v>
      </c>
      <c r="AC585" s="20" t="s">
        <v>3278</v>
      </c>
      <c r="AD585" s="20" t="s">
        <v>3278</v>
      </c>
      <c r="AE585" s="20"/>
      <c r="AF585" s="9" t="n">
        <v>0</v>
      </c>
      <c r="AG585" s="12" t="n">
        <v>0</v>
      </c>
      <c r="AH585" s="22" t="s">
        <v>1030</v>
      </c>
      <c r="AI585" s="12" t="str">
        <f>IF(AH585="","",IFERROR(RIGHT("0000"&amp;AH585,4)&amp;" - "&amp;UPPER(_xlfn.XLOOKUP(RIGHT("0000"&amp;AH585,4),CODEBOOK_CAP!$C$2:$C$212,CODEBOOK_CAP!$D$2:$D$212)),"Código CAP não encontrado"))</f>
        <v>1201 - POLÍCIA, AGENCIAS E INSTITUIÇÕES - LEI E CRIMES</v>
      </c>
      <c r="AJ585" s="12" t="str">
        <f>IF(AH585="","",IFERROR(_xlfn.XLOOKUP(RIGHT("0000"&amp;AH585,4),CODEBOOK_CAP!$C$2:$C$212,CODEBOOK_CAP!$E$2:$E$212),"Código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585" s="22" t="s">
        <v>77</v>
      </c>
      <c r="AL585" s="26"/>
      <c r="AM585" s="22" t="s">
        <v>77</v>
      </c>
      <c r="AN585" s="22" t="s">
        <v>77</v>
      </c>
      <c r="AO585" s="12"/>
      <c r="AP585" s="22" t="s">
        <v>77</v>
      </c>
      <c r="AQ585" s="12"/>
      <c r="AR585" s="22" t="s">
        <v>77</v>
      </c>
      <c r="AS585" s="10"/>
      <c r="AT585" s="2" t="s">
        <v>1814</v>
      </c>
      <c r="AU585" s="12" t="s">
        <v>83</v>
      </c>
      <c r="AV585" s="3" t="n">
        <v>46223</v>
      </c>
      <c r="AW585" s="21"/>
      <c r="AY585" s="1"/>
      <c r="BA585" s="1"/>
      <c r="BB585" s="1"/>
    </row>
    <row r="586" ht="105" customHeight="1">
      <c r="A586" s="20" t="s">
        <v>3279</v>
      </c>
      <c r="B586" s="20" t="n">
        <v>2023</v>
      </c>
      <c r="C586" s="20" t="n">
        <v>548</v>
      </c>
      <c r="D586" s="20" t="s">
        <v>50</v>
      </c>
      <c r="E586" s="20" t="s">
        <v>3280</v>
      </c>
      <c r="F586" s="20" t="s">
        <v>3281</v>
      </c>
      <c r="G586" s="20" t="s">
        <v>86</v>
      </c>
      <c r="H586" s="20" t="s">
        <v>3282</v>
      </c>
      <c r="I586" s="20"/>
      <c r="J586" s="20" t="s">
        <v>3283</v>
      </c>
      <c r="K586" s="20" t="s">
        <v>3284</v>
      </c>
      <c r="L586" s="20" t="s">
        <v>1406</v>
      </c>
      <c r="M586" s="20" t="s">
        <v>1407</v>
      </c>
      <c r="N586" s="20" t="s">
        <v>1408</v>
      </c>
      <c r="O586" s="20" t="s">
        <v>1409</v>
      </c>
      <c r="P586" s="20" t="s">
        <v>1410</v>
      </c>
      <c r="Q586" s="20" t="s">
        <v>1411</v>
      </c>
      <c r="R586" s="20" t="s">
        <v>1412</v>
      </c>
      <c r="S586" s="20" t="s">
        <v>1413</v>
      </c>
      <c r="T586" s="20" t="s">
        <v>3285</v>
      </c>
      <c r="U586" s="20" t="s">
        <v>3286</v>
      </c>
      <c r="V586" s="20" t="s">
        <v>95</v>
      </c>
      <c r="W586" s="20" t="s">
        <v>96</v>
      </c>
      <c r="X586" s="20" t="s">
        <v>97</v>
      </c>
      <c r="Y586" s="20" t="s">
        <v>70</v>
      </c>
      <c r="Z586" s="20" t="s">
        <v>284</v>
      </c>
      <c r="AA586" s="20" t="s">
        <v>351</v>
      </c>
      <c r="AB586" s="20" t="s">
        <v>351</v>
      </c>
      <c r="AC586" s="20" t="s">
        <v>351</v>
      </c>
      <c r="AD586" s="20" t="s">
        <v>351</v>
      </c>
      <c r="AE586" s="20"/>
      <c r="AF586" s="9" t="n">
        <v>0</v>
      </c>
      <c r="AG586" s="12" t="n">
        <v>0</v>
      </c>
      <c r="AH586" s="22" t="s">
        <v>1190</v>
      </c>
      <c r="AI586" s="12" t="str">
        <f>IF(AH586="","",IFERROR(RIGHT("0000"&amp;AH586,4)&amp;" - "&amp;UPPER(_xlfn.XLOOKUP(RIGHT("0000"&amp;AH586,4),CODEBOOK_CAP!$C$2:$C$212,CODEBOOK_CAP!$D$2:$D$212)),"Código CAP não encontrado"))</f>
        <v>1208 - VIOLÊNCIA DOMÉSTICA E FAMILIAR</v>
      </c>
      <c r="AJ586" s="12" t="str">
        <f>IF(AH586="","",IFERROR(_xlfn.XLOOKUP(RIGHT("0000"&amp;AH586,4),CODEBOOK_CAP!$C$2:$C$212,CODEBOOK_CAP!$E$2:$E$212),"Código CAP não encontrado"))</f>
        <v>Quaisquer assuntos sobre crimes e violências domésticas e familiar que envolvam idosos, mulheres, violencia contra mulher, programas de protecao a vitima de abuso familiar, estupro pelos familiares, todo tipo de violencia fisica ou moral dentro do ambiente familiar. Divórcio, separação, Direito da Familia, Guarda de crianças. Sempre que for exclusivamente contra a criança, codificar no 1207.</v>
      </c>
      <c r="AK586" s="22" t="s">
        <v>77</v>
      </c>
      <c r="AL586" s="26"/>
      <c r="AM586" s="22" t="s">
        <v>77</v>
      </c>
      <c r="AN586" s="22" t="s">
        <v>77</v>
      </c>
      <c r="AO586" s="12"/>
      <c r="AP586" s="22" t="s">
        <v>79</v>
      </c>
      <c r="AQ586" s="12" t="s">
        <v>180</v>
      </c>
      <c r="AR586" s="22" t="s">
        <v>77</v>
      </c>
      <c r="AS586" s="10"/>
      <c r="AT586" s="2" t="s">
        <v>1814</v>
      </c>
      <c r="AU586" s="12" t="s">
        <v>83</v>
      </c>
      <c r="AV586" s="3" t="n">
        <v>46223</v>
      </c>
      <c r="AW586" s="21"/>
      <c r="AY586" s="1"/>
      <c r="BA586" s="1"/>
      <c r="BB586" s="1"/>
    </row>
    <row r="587" ht="150" customHeight="1">
      <c r="A587" s="20" t="s">
        <v>3287</v>
      </c>
      <c r="B587" s="20" t="n">
        <v>2023</v>
      </c>
      <c r="C587" s="20" t="n">
        <v>549</v>
      </c>
      <c r="D587" s="20" t="s">
        <v>50</v>
      </c>
      <c r="E587" s="20" t="s">
        <v>3280</v>
      </c>
      <c r="F587" s="20" t="s">
        <v>3288</v>
      </c>
      <c r="G587" s="20" t="s">
        <v>315</v>
      </c>
      <c r="H587" s="20" t="s">
        <v>3282</v>
      </c>
      <c r="I587" s="20"/>
      <c r="J587" s="20" t="s">
        <v>3289</v>
      </c>
      <c r="K587" s="20" t="s">
        <v>3284</v>
      </c>
      <c r="L587" s="20" t="s">
        <v>1406</v>
      </c>
      <c r="M587" s="20" t="s">
        <v>1407</v>
      </c>
      <c r="N587" s="20" t="s">
        <v>1408</v>
      </c>
      <c r="O587" s="20" t="s">
        <v>1409</v>
      </c>
      <c r="P587" s="20" t="s">
        <v>1410</v>
      </c>
      <c r="Q587" s="20" t="s">
        <v>1411</v>
      </c>
      <c r="R587" s="20" t="s">
        <v>1412</v>
      </c>
      <c r="S587" s="20" t="s">
        <v>1413</v>
      </c>
      <c r="T587" s="20" t="s">
        <v>3285</v>
      </c>
      <c r="U587" s="20" t="s">
        <v>3286</v>
      </c>
      <c r="V587" s="20" t="s">
        <v>95</v>
      </c>
      <c r="W587" s="20" t="s">
        <v>96</v>
      </c>
      <c r="X587" s="20" t="s">
        <v>97</v>
      </c>
      <c r="Y587" s="20" t="s">
        <v>70</v>
      </c>
      <c r="Z587" s="20" t="s">
        <v>284</v>
      </c>
      <c r="AA587" s="20" t="s">
        <v>125</v>
      </c>
      <c r="AB587" s="20" t="s">
        <v>125</v>
      </c>
      <c r="AC587" s="20" t="s">
        <v>125</v>
      </c>
      <c r="AD587" s="20" t="s">
        <v>125</v>
      </c>
      <c r="AE587" s="20"/>
      <c r="AF587" s="9" t="n">
        <v>0</v>
      </c>
      <c r="AG587" s="12" t="n">
        <v>0</v>
      </c>
      <c r="AH587" s="22" t="s">
        <v>3290</v>
      </c>
      <c r="AI587" s="12" t="str">
        <f>IF(AH587="","",IFERROR(RIGHT("0000"&amp;AH587,4)&amp;" - "&amp;UPPER(_xlfn.XLOOKUP(RIGHT("0000"&amp;AH587,4),CODEBOOK_CAP!$C$2:$C$212,CODEBOOK_CAP!$D$2:$D$212)),"Código CAP não encontrado"))</f>
        <v>0202 - DISCRIMINAÇÃO POR GÊNERO OU ORIENTAÇÃO SEXUAL (MISOGINIA E HOMOFOBIA)</v>
      </c>
      <c r="AJ587" s="12" t="str">
        <f>IF(AH587="","",IFERROR(_xlfn.XLOOKUP(RIGHT("0000"&amp;AH587,4),CODEBOOK_CAP!$C$2:$C$212,CODEBOOK_CAP!$E$2:$E$212),"Código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K587" s="22" t="s">
        <v>77</v>
      </c>
      <c r="AL587" s="26"/>
      <c r="AM587" s="22" t="s">
        <v>77</v>
      </c>
      <c r="AN587" s="22" t="s">
        <v>77</v>
      </c>
      <c r="AO587" s="12"/>
      <c r="AP587" s="22" t="s">
        <v>79</v>
      </c>
      <c r="AQ587" s="12" t="s">
        <v>3291</v>
      </c>
      <c r="AR587" s="22" t="s">
        <v>77</v>
      </c>
      <c r="AS587" s="10"/>
      <c r="AT587" s="2" t="s">
        <v>1814</v>
      </c>
      <c r="AU587" s="12" t="s">
        <v>83</v>
      </c>
      <c r="AV587" s="3" t="n">
        <v>46223</v>
      </c>
      <c r="AW587" s="21"/>
      <c r="AY587" s="1"/>
      <c r="BA587" s="1"/>
      <c r="BB587" s="1"/>
    </row>
    <row r="588" ht="45" customHeight="1">
      <c r="A588" s="20" t="s">
        <v>3292</v>
      </c>
      <c r="B588" s="20" t="n">
        <v>2023</v>
      </c>
      <c r="C588" s="20" t="n">
        <v>550</v>
      </c>
      <c r="D588" s="20" t="s">
        <v>50</v>
      </c>
      <c r="E588" s="20" t="s">
        <v>3280</v>
      </c>
      <c r="F588" s="20" t="s">
        <v>3293</v>
      </c>
      <c r="G588" s="20" t="s">
        <v>86</v>
      </c>
      <c r="H588" s="20" t="s">
        <v>3282</v>
      </c>
      <c r="I588" s="20"/>
      <c r="J588" s="20" t="s">
        <v>3294</v>
      </c>
      <c r="K588" s="20" t="s">
        <v>3295</v>
      </c>
      <c r="L588" s="20" t="s">
        <v>1275</v>
      </c>
      <c r="M588" s="20" t="s">
        <v>1276</v>
      </c>
      <c r="N588" s="20" t="s">
        <v>1277</v>
      </c>
      <c r="O588" s="20" t="s">
        <v>1278</v>
      </c>
      <c r="P588" s="20" t="s">
        <v>1279</v>
      </c>
      <c r="Q588" s="20" t="s">
        <v>1280</v>
      </c>
      <c r="R588" s="20" t="s">
        <v>1281</v>
      </c>
      <c r="S588" s="20" t="s">
        <v>1282</v>
      </c>
      <c r="T588" s="20" t="s">
        <v>1283</v>
      </c>
      <c r="U588" s="20" t="s">
        <v>1284</v>
      </c>
      <c r="V588" s="20" t="s">
        <v>95</v>
      </c>
      <c r="W588" s="20" t="s">
        <v>96</v>
      </c>
      <c r="X588" s="20" t="s">
        <v>97</v>
      </c>
      <c r="Y588" s="20" t="s">
        <v>70</v>
      </c>
      <c r="Z588" s="20" t="s">
        <v>1285</v>
      </c>
      <c r="AA588" s="20" t="s">
        <v>198</v>
      </c>
      <c r="AB588" s="20" t="s">
        <v>198</v>
      </c>
      <c r="AC588" s="20" t="s">
        <v>198</v>
      </c>
      <c r="AD588" s="20" t="s">
        <v>198</v>
      </c>
      <c r="AE588" s="20" t="s">
        <v>3296</v>
      </c>
      <c r="AF588" s="9" t="n">
        <v>0</v>
      </c>
      <c r="AG588" s="12" t="n">
        <v>0</v>
      </c>
      <c r="AH588" s="22" t="s">
        <v>1289</v>
      </c>
      <c r="AI588" s="12" t="str">
        <f>IF(AH588="","",IFERROR(RIGHT("0000"&amp;AH588,4)&amp;" - "&amp;UPPER(_xlfn.XLOOKUP(RIGHT("0000"&amp;AH588,4),CODEBOOK_CAP!$C$2:$C$212,CODEBOOK_CAP!$D$2:$D$212)),"Código CAP não encontrado"))</f>
        <v>0499 - OUTROS</v>
      </c>
      <c r="AJ588" s="12" t="str">
        <f>IF(AH588="","",IFERROR(_xlfn.XLOOKUP(RIGHT("0000"&amp;AH588,4),CODEBOOK_CAP!$C$2:$C$212,CODEBOOK_CAP!$E$2:$E$212),"Código CAP não encontrado"))</f>
        <v>Observações que versam sobre AGRICULTURA, PECUÁRIA E PESCA, mas que não se enquadram em nenhum dos itens acima.</v>
      </c>
      <c r="AK588" s="22" t="s">
        <v>77</v>
      </c>
      <c r="AL588" s="26"/>
      <c r="AM588" s="22" t="s">
        <v>77</v>
      </c>
      <c r="AN588" s="22" t="s">
        <v>77</v>
      </c>
      <c r="AO588" s="12"/>
      <c r="AP588" s="22" t="s">
        <v>77</v>
      </c>
      <c r="AQ588" s="12"/>
      <c r="AR588" s="22" t="s">
        <v>79</v>
      </c>
      <c r="AS588" s="10" t="s">
        <v>3296</v>
      </c>
      <c r="AT588" s="2" t="s">
        <v>1814</v>
      </c>
      <c r="AU588" s="12" t="s">
        <v>83</v>
      </c>
      <c r="AV588" s="3" t="n">
        <v>46223</v>
      </c>
      <c r="AW588" s="21"/>
      <c r="AY588" s="1"/>
      <c r="BA588" s="1"/>
      <c r="BB588" s="1"/>
    </row>
    <row r="589" ht="90" customHeight="1">
      <c r="A589" s="20" t="s">
        <v>3297</v>
      </c>
      <c r="B589" s="20" t="n">
        <v>2023</v>
      </c>
      <c r="C589" s="20" t="n">
        <v>551</v>
      </c>
      <c r="D589" s="20" t="s">
        <v>50</v>
      </c>
      <c r="E589" s="20" t="s">
        <v>3280</v>
      </c>
      <c r="F589" s="20" t="s">
        <v>3298</v>
      </c>
      <c r="G589" s="20" t="s">
        <v>315</v>
      </c>
      <c r="H589" s="20" t="s">
        <v>3282</v>
      </c>
      <c r="I589" s="20"/>
      <c r="J589" s="20" t="s">
        <v>3299</v>
      </c>
      <c r="K589" s="20" t="s">
        <v>273</v>
      </c>
      <c r="L589" s="20" t="s">
        <v>274</v>
      </c>
      <c r="M589" s="20" t="s">
        <v>275</v>
      </c>
      <c r="N589" s="20" t="s">
        <v>276</v>
      </c>
      <c r="O589" s="20" t="s">
        <v>277</v>
      </c>
      <c r="P589" s="20" t="s">
        <v>278</v>
      </c>
      <c r="Q589" s="20" t="s">
        <v>279</v>
      </c>
      <c r="R589" s="20" t="s">
        <v>280</v>
      </c>
      <c r="S589" s="20" t="s">
        <v>281</v>
      </c>
      <c r="T589" s="20" t="s">
        <v>282</v>
      </c>
      <c r="U589" s="20" t="s">
        <v>283</v>
      </c>
      <c r="V589" s="20" t="s">
        <v>95</v>
      </c>
      <c r="W589" s="20" t="s">
        <v>96</v>
      </c>
      <c r="X589" s="20" t="s">
        <v>97</v>
      </c>
      <c r="Y589" s="20" t="s">
        <v>70</v>
      </c>
      <c r="Z589" s="20" t="s">
        <v>284</v>
      </c>
      <c r="AA589" s="20" t="s">
        <v>125</v>
      </c>
      <c r="AB589" s="20" t="s">
        <v>125</v>
      </c>
      <c r="AC589" s="20" t="s">
        <v>125</v>
      </c>
      <c r="AD589" s="20" t="s">
        <v>125</v>
      </c>
      <c r="AE589" s="20"/>
      <c r="AF589" s="9" t="n">
        <v>0</v>
      </c>
      <c r="AG589" s="12" t="n">
        <v>0</v>
      </c>
      <c r="AH589" s="22" t="s">
        <v>941</v>
      </c>
      <c r="AI589" s="12" t="str">
        <f>IF(AH589="","",IFERROR(RIGHT("0000"&amp;AH589,4)&amp;" - "&amp;UPPER(_xlfn.XLOOKUP(RIGHT("0000"&amp;AH589,4),CODEBOOK_CAP!$C$2:$C$212,CODEBOOK_CAP!$D$2:$D$212)),"Código CAP não encontrado"))</f>
        <v>1308 - POLÍTICAS SOCIAIS PARA FAMÍLIAS E INFÂNCIA</v>
      </c>
      <c r="AJ589" s="12" t="str">
        <f>IF(AH589="","",IFERROR(_xlfn.XLOOKUP(RIGHT("0000"&amp;AH589,4),CODEBOOK_CAP!$C$2:$C$212,CODEBOOK_CAP!$E$2:$E$212),"Código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589" s="22" t="s">
        <v>77</v>
      </c>
      <c r="AL589" s="26"/>
      <c r="AM589" s="22" t="s">
        <v>77</v>
      </c>
      <c r="AN589" s="22" t="s">
        <v>77</v>
      </c>
      <c r="AO589" s="12"/>
      <c r="AP589" s="22" t="s">
        <v>79</v>
      </c>
      <c r="AQ589" s="12" t="s">
        <v>901</v>
      </c>
      <c r="AR589" s="22" t="s">
        <v>77</v>
      </c>
      <c r="AS589" s="10"/>
      <c r="AT589" s="2" t="s">
        <v>1814</v>
      </c>
      <c r="AU589" s="12" t="s">
        <v>83</v>
      </c>
      <c r="AV589" s="3" t="n">
        <v>46223</v>
      </c>
      <c r="AW589" s="21"/>
      <c r="AY589" s="1"/>
      <c r="BA589" s="1"/>
      <c r="BB589" s="1"/>
    </row>
    <row r="590" ht="75" customHeight="1">
      <c r="A590" s="20" t="s">
        <v>3300</v>
      </c>
      <c r="B590" s="20" t="n">
        <v>2023</v>
      </c>
      <c r="C590" s="20" t="n">
        <v>552</v>
      </c>
      <c r="D590" s="20" t="s">
        <v>50</v>
      </c>
      <c r="E590" s="20" t="s">
        <v>3280</v>
      </c>
      <c r="F590" s="20" t="s">
        <v>3301</v>
      </c>
      <c r="G590" s="20" t="s">
        <v>86</v>
      </c>
      <c r="H590" s="20" t="s">
        <v>3282</v>
      </c>
      <c r="I590" s="20"/>
      <c r="J590" s="20" t="s">
        <v>3302</v>
      </c>
      <c r="K590" s="20" t="s">
        <v>1405</v>
      </c>
      <c r="L590" s="20" t="s">
        <v>1406</v>
      </c>
      <c r="M590" s="20" t="s">
        <v>1407</v>
      </c>
      <c r="N590" s="20" t="s">
        <v>1408</v>
      </c>
      <c r="O590" s="20" t="s">
        <v>1409</v>
      </c>
      <c r="P590" s="20" t="s">
        <v>1410</v>
      </c>
      <c r="Q590" s="20" t="s">
        <v>1411</v>
      </c>
      <c r="R590" s="20" t="s">
        <v>1412</v>
      </c>
      <c r="S590" s="20" t="s">
        <v>1413</v>
      </c>
      <c r="T590" s="20" t="s">
        <v>1414</v>
      </c>
      <c r="U590" s="20" t="s">
        <v>1415</v>
      </c>
      <c r="V590" s="20" t="s">
        <v>95</v>
      </c>
      <c r="W590" s="20" t="s">
        <v>96</v>
      </c>
      <c r="X590" s="20" t="s">
        <v>97</v>
      </c>
      <c r="Y590" s="20" t="s">
        <v>70</v>
      </c>
      <c r="Z590" s="20" t="s">
        <v>284</v>
      </c>
      <c r="AA590" s="20" t="s">
        <v>1416</v>
      </c>
      <c r="AB590" s="20" t="s">
        <v>1416</v>
      </c>
      <c r="AC590" s="20" t="s">
        <v>1416</v>
      </c>
      <c r="AD590" s="20" t="s">
        <v>1416</v>
      </c>
      <c r="AE590" s="20"/>
      <c r="AF590" s="9" t="n">
        <v>0</v>
      </c>
      <c r="AG590" s="12" t="n">
        <v>0</v>
      </c>
      <c r="AH590" s="22" t="s">
        <v>1417</v>
      </c>
      <c r="AI590" s="12" t="str">
        <f>IF(AH590="","",IFERROR(RIGHT("0000"&amp;AH590,4)&amp;" - "&amp;UPPER(_xlfn.XLOOKUP(RIGHT("0000"&amp;AH590,4),CODEBOOK_CAP!$C$2:$C$212,CODEBOOK_CAP!$D$2:$D$212)),"Código CAP não encontrado"))</f>
        <v>0900 - GERAL</v>
      </c>
      <c r="AJ590" s="12" t="str">
        <f>IF(AH590="","",IFERROR(_xlfn.XLOOKUP(RIGHT("0000"&amp;AH590,4),CODEBOOK_CAP!$C$2:$C$212,CODEBOOK_CAP!$E$2:$E$212),"Código CAP não encontrado"))</f>
        <v>Observações relacionadas com o numero de refugiados ou imigrantes, residência e permissão de permanência no país. Todas as questões sobre imigrantes, asilo, ajuda. Não confundir com visto de turismo (1504). Qualquer questão sobre TRABALHO FORMAL de imigrante no 529.</v>
      </c>
      <c r="AK590" s="22" t="s">
        <v>77</v>
      </c>
      <c r="AL590" s="26"/>
      <c r="AM590" s="22" t="s">
        <v>77</v>
      </c>
      <c r="AN590" s="22" t="s">
        <v>77</v>
      </c>
      <c r="AO590" s="12"/>
      <c r="AP590" s="22" t="s">
        <v>79</v>
      </c>
      <c r="AQ590" s="12" t="s">
        <v>1418</v>
      </c>
      <c r="AR590" s="22" t="s">
        <v>77</v>
      </c>
      <c r="AS590" s="10"/>
      <c r="AT590" s="2" t="s">
        <v>1814</v>
      </c>
      <c r="AU590" s="12" t="s">
        <v>83</v>
      </c>
      <c r="AV590" s="3" t="n">
        <v>46223</v>
      </c>
      <c r="AW590" s="21"/>
      <c r="AY590" s="1"/>
      <c r="BA590" s="1"/>
      <c r="BB590" s="1"/>
    </row>
    <row r="591" ht="180" customHeight="1">
      <c r="A591" s="20" t="s">
        <v>3303</v>
      </c>
      <c r="B591" s="20" t="n">
        <v>2023</v>
      </c>
      <c r="C591" s="20" t="n">
        <v>553</v>
      </c>
      <c r="D591" s="20" t="s">
        <v>50</v>
      </c>
      <c r="E591" s="20" t="s">
        <v>3280</v>
      </c>
      <c r="F591" s="20" t="s">
        <v>3304</v>
      </c>
      <c r="G591" s="20" t="s">
        <v>86</v>
      </c>
      <c r="H591" s="20" t="s">
        <v>3282</v>
      </c>
      <c r="I591" s="20"/>
      <c r="J591" s="20" t="s">
        <v>3305</v>
      </c>
      <c r="K591" s="20" t="s">
        <v>3306</v>
      </c>
      <c r="L591" s="20" t="s">
        <v>274</v>
      </c>
      <c r="M591" s="20" t="s">
        <v>275</v>
      </c>
      <c r="N591" s="20" t="s">
        <v>276</v>
      </c>
      <c r="O591" s="20" t="s">
        <v>277</v>
      </c>
      <c r="P591" s="20" t="s">
        <v>278</v>
      </c>
      <c r="Q591" s="20" t="s">
        <v>279</v>
      </c>
      <c r="R591" s="20" t="s">
        <v>817</v>
      </c>
      <c r="S591" s="20" t="s">
        <v>818</v>
      </c>
      <c r="T591" s="20" t="s">
        <v>3307</v>
      </c>
      <c r="U591" s="20" t="s">
        <v>3308</v>
      </c>
      <c r="V591" s="20" t="s">
        <v>95</v>
      </c>
      <c r="W591" s="20" t="s">
        <v>96</v>
      </c>
      <c r="X591" s="20" t="s">
        <v>97</v>
      </c>
      <c r="Y591" s="20" t="s">
        <v>70</v>
      </c>
      <c r="Z591" s="20" t="s">
        <v>284</v>
      </c>
      <c r="AA591" s="20" t="s">
        <v>351</v>
      </c>
      <c r="AB591" s="20" t="s">
        <v>351</v>
      </c>
      <c r="AC591" s="20" t="s">
        <v>351</v>
      </c>
      <c r="AD591" s="20" t="s">
        <v>351</v>
      </c>
      <c r="AE591" s="20" t="s">
        <v>3309</v>
      </c>
      <c r="AF591" s="9" t="n">
        <v>0</v>
      </c>
      <c r="AG591" s="12" t="n">
        <v>0</v>
      </c>
      <c r="AH591" s="22" t="s">
        <v>1346</v>
      </c>
      <c r="AI591" s="12" t="str">
        <f>IF(AH591="","",IFERROR(RIGHT("0000"&amp;AH591,4)&amp;" - "&amp;UPPER(_xlfn.XLOOKUP(RIGHT("0000"&amp;AH591,4),CODEBOOK_CAP!$C$2:$C$212,CODEBOOK_CAP!$D$2:$D$212)),"Código CAP não encontrado"))</f>
        <v>0201 - DISCRIMINAÇÃO POR QUESTÕES ÉTNICO-RACIAIS</v>
      </c>
      <c r="AJ591" s="12" t="str">
        <f>IF(AH591="","",IFERROR(_xlfn.XLOOKUP(RIGHT("0000"&amp;AH591,4),CODEBOOK_CAP!$C$2:$C$212,CODEBOOK_CAP!$E$2:$E$212),"Código CAP não encontrado"))</f>
        <v>Informações relacionadas exclusivamente a discriminação e questões sobre prevenção e proteção de etnia tais como populações indígenas, questões de raça e cor, discriminações relacionadas a raça e cor, racismo, grupos supremacistas raciais, tratamentos diferenciados, privilégios raciais e étnicos. Questões quaisquer de políticas de saude, de educacao, de terras, de assistencia social sobre populações tradicionais brasileiras usar o 2102. Politicas de cotas, usar o local onde elas sao usadas. Se Politicas de cotas nas universidades usar 601. Se política de cotas para acesso a concursos publicos usar 2004.</v>
      </c>
      <c r="AK591" s="22" t="s">
        <v>77</v>
      </c>
      <c r="AL591" s="26"/>
      <c r="AM591" s="22" t="s">
        <v>77</v>
      </c>
      <c r="AN591" s="22" t="s">
        <v>77</v>
      </c>
      <c r="AO591" s="12"/>
      <c r="AP591" s="22" t="s">
        <v>77</v>
      </c>
      <c r="AQ591" s="12"/>
      <c r="AR591" s="22" t="s">
        <v>79</v>
      </c>
      <c r="AS591" s="10" t="s">
        <v>3309</v>
      </c>
      <c r="AT591" s="2" t="s">
        <v>1814</v>
      </c>
      <c r="AU591" s="12" t="s">
        <v>83</v>
      </c>
      <c r="AV591" s="3" t="n">
        <v>46223</v>
      </c>
      <c r="AW591" s="21"/>
      <c r="AY591" s="1"/>
      <c r="BA591" s="1"/>
      <c r="BB591" s="1"/>
    </row>
    <row r="592" ht="90" customHeight="1">
      <c r="A592" s="20" t="s">
        <v>3310</v>
      </c>
      <c r="B592" s="20" t="n">
        <v>2023</v>
      </c>
      <c r="C592" s="20" t="n">
        <v>554</v>
      </c>
      <c r="D592" s="20" t="s">
        <v>50</v>
      </c>
      <c r="E592" s="20" t="s">
        <v>3280</v>
      </c>
      <c r="F592" s="20" t="s">
        <v>3311</v>
      </c>
      <c r="G592" s="20" t="s">
        <v>315</v>
      </c>
      <c r="H592" s="20" t="s">
        <v>3282</v>
      </c>
      <c r="I592" s="20"/>
      <c r="J592" s="20" t="s">
        <v>3312</v>
      </c>
      <c r="K592" s="20" t="s">
        <v>3313</v>
      </c>
      <c r="L592" s="20" t="s">
        <v>1275</v>
      </c>
      <c r="M592" s="20" t="s">
        <v>1276</v>
      </c>
      <c r="N592" s="20" t="s">
        <v>704</v>
      </c>
      <c r="O592" s="20" t="s">
        <v>705</v>
      </c>
      <c r="P592" s="20" t="s">
        <v>3314</v>
      </c>
      <c r="Q592" s="20" t="s">
        <v>3315</v>
      </c>
      <c r="R592" s="20" t="s">
        <v>1281</v>
      </c>
      <c r="S592" s="20" t="s">
        <v>1282</v>
      </c>
      <c r="T592" s="20" t="s">
        <v>3316</v>
      </c>
      <c r="U592" s="20" t="s">
        <v>3317</v>
      </c>
      <c r="V592" s="20" t="s">
        <v>196</v>
      </c>
      <c r="W592" s="20" t="s">
        <v>68</v>
      </c>
      <c r="X592" s="20" t="s">
        <v>69</v>
      </c>
      <c r="Y592" s="20" t="s">
        <v>70</v>
      </c>
      <c r="Z592" s="20" t="s">
        <v>1285</v>
      </c>
      <c r="AA592" s="20" t="s">
        <v>125</v>
      </c>
      <c r="AB592" s="20" t="s">
        <v>3318</v>
      </c>
      <c r="AC592" s="20" t="s">
        <v>3318</v>
      </c>
      <c r="AD592" s="20" t="s">
        <v>3318</v>
      </c>
      <c r="AE592" s="20"/>
      <c r="AF592" s="9" t="n">
        <v>0</v>
      </c>
      <c r="AG592" s="12" t="n">
        <v>0</v>
      </c>
      <c r="AH592" s="22" t="s">
        <v>143</v>
      </c>
      <c r="AI592" s="12" t="str">
        <f>IF(AH592="","",IFERROR(RIGHT("0000"&amp;AH592,4)&amp;" - "&amp;UPPER(_xlfn.XLOOKUP(RIGHT("0000"&amp;AH592,4),CODEBOOK_CAP!$C$2:$C$212,CODEBOOK_CAP!$D$2:$D$212)),"Código CAP não encontrado"))</f>
        <v>0502 - FORMAÇÃO E DESENVOLVIMENTO PROFISSIONAL</v>
      </c>
      <c r="AJ592" s="12" t="str">
        <f>IF(AH592="","",IFERROR(_xlfn.XLOOKUP(RIGHT("0000"&amp;AH592,4),CODEBOOK_CAP!$C$2:$C$212,CODEBOOK_CAP!$E$2:$E$212),"Código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592" s="22" t="s">
        <v>77</v>
      </c>
      <c r="AL592" s="26"/>
      <c r="AM592" s="22" t="s">
        <v>77</v>
      </c>
      <c r="AN592" s="22" t="s">
        <v>77</v>
      </c>
      <c r="AO592" s="12"/>
      <c r="AP592" s="22" t="s">
        <v>77</v>
      </c>
      <c r="AQ592" s="12"/>
      <c r="AR592" s="22" t="s">
        <v>77</v>
      </c>
      <c r="AS592" s="10"/>
      <c r="AT592" s="2" t="s">
        <v>1814</v>
      </c>
      <c r="AU592" s="12" t="s">
        <v>83</v>
      </c>
      <c r="AV592" s="3" t="n">
        <v>46223</v>
      </c>
      <c r="AW592" s="21"/>
      <c r="AY592" s="1"/>
      <c r="BA592" s="1"/>
      <c r="BB592" s="1"/>
    </row>
    <row r="593" ht="150" customHeight="1">
      <c r="A593" s="20" t="s">
        <v>3319</v>
      </c>
      <c r="B593" s="20" t="n">
        <v>2023</v>
      </c>
      <c r="C593" s="20" t="n">
        <v>555</v>
      </c>
      <c r="D593" s="20" t="s">
        <v>50</v>
      </c>
      <c r="E593" s="20" t="s">
        <v>3280</v>
      </c>
      <c r="F593" s="20" t="s">
        <v>3320</v>
      </c>
      <c r="G593" s="20" t="s">
        <v>86</v>
      </c>
      <c r="H593" s="20" t="s">
        <v>3282</v>
      </c>
      <c r="I593" s="20"/>
      <c r="J593" s="20" t="s">
        <v>3321</v>
      </c>
      <c r="K593" s="20" t="s">
        <v>1666</v>
      </c>
      <c r="L593" s="20" t="s">
        <v>1406</v>
      </c>
      <c r="M593" s="20" t="s">
        <v>1407</v>
      </c>
      <c r="N593" s="20" t="s">
        <v>1408</v>
      </c>
      <c r="O593" s="20" t="s">
        <v>1409</v>
      </c>
      <c r="P593" s="20" t="s">
        <v>1410</v>
      </c>
      <c r="Q593" s="20" t="s">
        <v>1411</v>
      </c>
      <c r="R593" s="20" t="s">
        <v>1412</v>
      </c>
      <c r="S593" s="20" t="s">
        <v>1413</v>
      </c>
      <c r="T593" s="20" t="s">
        <v>1667</v>
      </c>
      <c r="U593" s="20" t="s">
        <v>1668</v>
      </c>
      <c r="V593" s="20" t="s">
        <v>95</v>
      </c>
      <c r="W593" s="20" t="s">
        <v>96</v>
      </c>
      <c r="X593" s="20" t="s">
        <v>97</v>
      </c>
      <c r="Y593" s="20" t="s">
        <v>70</v>
      </c>
      <c r="Z593" s="20" t="s">
        <v>284</v>
      </c>
      <c r="AA593" s="20" t="s">
        <v>388</v>
      </c>
      <c r="AB593" s="20" t="s">
        <v>388</v>
      </c>
      <c r="AC593" s="20" t="s">
        <v>388</v>
      </c>
      <c r="AD593" s="20" t="s">
        <v>388</v>
      </c>
      <c r="AE593" s="20"/>
      <c r="AF593" s="9" t="n">
        <v>0</v>
      </c>
      <c r="AG593" s="12" t="n">
        <v>0</v>
      </c>
      <c r="AH593" s="22" t="s">
        <v>3290</v>
      </c>
      <c r="AI593" s="12" t="str">
        <f>IF(AH593="","",IFERROR(RIGHT("0000"&amp;AH593,4)&amp;" - "&amp;UPPER(_xlfn.XLOOKUP(RIGHT("0000"&amp;AH593,4),CODEBOOK_CAP!$C$2:$C$212,CODEBOOK_CAP!$D$2:$D$212)),"Código CAP não encontrado"))</f>
        <v>0202 - DISCRIMINAÇÃO POR GÊNERO OU ORIENTAÇÃO SEXUAL (MISOGINIA E HOMOFOBIA)</v>
      </c>
      <c r="AJ593" s="12" t="str">
        <f>IF(AH593="","",IFERROR(_xlfn.XLOOKUP(RIGHT("0000"&amp;AH593,4),CODEBOOK_CAP!$C$2:$C$212,CODEBOOK_CAP!$E$2:$E$212),"Código CAP não encontrado"))</f>
        <v>Políticas de promoção de igualdade de gênero e de igualdade de relações sociais relacionadas a gênero e orientação sexual. Misoginia, Homofobia, ataques homofóbicos, casamento homoafetivo, igualdade salarial para mulheres, igualdade de trabalho para mulheres, feminismo, Parada LGBT, LGBTQI, transexuais, homossexuais, bissexuais, travestis, relações de gênero com emprego ( tipos de posições, renda, promoção , salário) . VIOLÊNCIA DOMESTICA contra mulheres deve ser codificado em 1208</v>
      </c>
      <c r="AK593" s="22" t="s">
        <v>77</v>
      </c>
      <c r="AL593" s="26"/>
      <c r="AM593" s="22" t="s">
        <v>77</v>
      </c>
      <c r="AN593" s="22" t="s">
        <v>77</v>
      </c>
      <c r="AO593" s="12"/>
      <c r="AP593" s="22" t="s">
        <v>79</v>
      </c>
      <c r="AQ593" s="12" t="s">
        <v>118</v>
      </c>
      <c r="AR593" s="22" t="s">
        <v>77</v>
      </c>
      <c r="AS593" s="10"/>
      <c r="AT593" s="2" t="s">
        <v>1814</v>
      </c>
      <c r="AU593" s="12" t="s">
        <v>83</v>
      </c>
      <c r="AV593" s="3" t="n">
        <v>46223</v>
      </c>
      <c r="AW593" s="21"/>
      <c r="AY593" s="1"/>
      <c r="BA593" s="1"/>
      <c r="BB593" s="1"/>
    </row>
    <row r="594" ht="120" customHeight="1">
      <c r="A594" s="20" t="s">
        <v>3322</v>
      </c>
      <c r="B594" s="20" t="n">
        <v>2023</v>
      </c>
      <c r="C594" s="20" t="n">
        <v>556</v>
      </c>
      <c r="D594" s="20" t="s">
        <v>50</v>
      </c>
      <c r="E594" s="20" t="s">
        <v>3280</v>
      </c>
      <c r="F594" s="20" t="s">
        <v>3323</v>
      </c>
      <c r="G594" s="20" t="s">
        <v>86</v>
      </c>
      <c r="H594" s="20" t="s">
        <v>3282</v>
      </c>
      <c r="I594" s="20"/>
      <c r="J594" s="20" t="s">
        <v>3324</v>
      </c>
      <c r="K594" s="20" t="s">
        <v>865</v>
      </c>
      <c r="L594" s="20" t="s">
        <v>57</v>
      </c>
      <c r="M594" s="20" t="s">
        <v>58</v>
      </c>
      <c r="N594" s="20" t="s">
        <v>59</v>
      </c>
      <c r="O594" s="20" t="s">
        <v>60</v>
      </c>
      <c r="P594" s="20" t="s">
        <v>227</v>
      </c>
      <c r="Q594" s="20" t="s">
        <v>228</v>
      </c>
      <c r="R594" s="20" t="s">
        <v>229</v>
      </c>
      <c r="S594" s="20" t="s">
        <v>230</v>
      </c>
      <c r="T594" s="20" t="s">
        <v>866</v>
      </c>
      <c r="U594" s="20" t="s">
        <v>867</v>
      </c>
      <c r="V594" s="20" t="s">
        <v>868</v>
      </c>
      <c r="W594" s="20" t="s">
        <v>96</v>
      </c>
      <c r="X594" s="20" t="s">
        <v>97</v>
      </c>
      <c r="Y594" s="20" t="s">
        <v>70</v>
      </c>
      <c r="Z594" s="20" t="s">
        <v>98</v>
      </c>
      <c r="AA594" s="20" t="s">
        <v>125</v>
      </c>
      <c r="AB594" s="20" t="s">
        <v>125</v>
      </c>
      <c r="AC594" s="20" t="s">
        <v>125</v>
      </c>
      <c r="AD594" s="20" t="s">
        <v>125</v>
      </c>
      <c r="AE594" s="20"/>
      <c r="AF594" s="9" t="n">
        <v>1</v>
      </c>
      <c r="AG594" s="12" t="n">
        <v>1</v>
      </c>
      <c r="AH594" s="22" t="s">
        <v>235</v>
      </c>
      <c r="AI594" s="12" t="str">
        <f>IF(AH594="","",IFERROR(RIGHT("0000"&amp;AH594,4)&amp;" - "&amp;UPPER(_xlfn.XLOOKUP(RIGHT("0000"&amp;AH594,4),CODEBOOK_CAP!$C$2:$C$212,CODEBOOK_CAP!$D$2:$D$212)),"Código CAP não encontrado"))</f>
        <v>0322 - ESTRUTURAS, HOSPITAIS, CLÍNICAS</v>
      </c>
      <c r="AJ594" s="12" t="str">
        <f>IF(AH594="","",IFERROR(_xlfn.XLOOKUP(RIGHT("0000"&amp;AH594,4),CODEBOOK_CAP!$C$2:$C$212,CODEBOOK_CAP!$E$2:$E$212),"Código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94" s="22" t="s">
        <v>77</v>
      </c>
      <c r="AL594" s="26"/>
      <c r="AM594" s="22" t="s">
        <v>79</v>
      </c>
      <c r="AN594" s="22" t="s">
        <v>79</v>
      </c>
      <c r="AO594" s="12" t="s">
        <v>3325</v>
      </c>
      <c r="AP594" s="22" t="s">
        <v>77</v>
      </c>
      <c r="AQ594" s="12"/>
      <c r="AR594" s="22" t="s">
        <v>77</v>
      </c>
      <c r="AS594" s="10"/>
      <c r="AT594" s="2" t="s">
        <v>1814</v>
      </c>
      <c r="AU594" s="12" t="s">
        <v>83</v>
      </c>
      <c r="AV594" s="3" t="n">
        <v>46223</v>
      </c>
      <c r="AW594" s="21"/>
      <c r="AY594" s="1"/>
      <c r="BA594" s="1"/>
      <c r="BB594" s="1"/>
    </row>
    <row r="595" ht="120" customHeight="1">
      <c r="A595" s="20" t="s">
        <v>3326</v>
      </c>
      <c r="B595" s="20" t="n">
        <v>2023</v>
      </c>
      <c r="C595" s="20" t="n">
        <v>557</v>
      </c>
      <c r="D595" s="20" t="s">
        <v>50</v>
      </c>
      <c r="E595" s="20" t="s">
        <v>3280</v>
      </c>
      <c r="F595" s="20" t="s">
        <v>3327</v>
      </c>
      <c r="G595" s="20" t="s">
        <v>86</v>
      </c>
      <c r="H595" s="20" t="s">
        <v>3282</v>
      </c>
      <c r="I595" s="20"/>
      <c r="J595" s="20" t="s">
        <v>3328</v>
      </c>
      <c r="K595" s="20" t="s">
        <v>226</v>
      </c>
      <c r="L595" s="20" t="s">
        <v>57</v>
      </c>
      <c r="M595" s="20" t="s">
        <v>58</v>
      </c>
      <c r="N595" s="20" t="s">
        <v>59</v>
      </c>
      <c r="O595" s="20" t="s">
        <v>60</v>
      </c>
      <c r="P595" s="20" t="s">
        <v>227</v>
      </c>
      <c r="Q595" s="20" t="s">
        <v>228</v>
      </c>
      <c r="R595" s="20" t="s">
        <v>229</v>
      </c>
      <c r="S595" s="20" t="s">
        <v>230</v>
      </c>
      <c r="T595" s="20" t="s">
        <v>231</v>
      </c>
      <c r="U595" s="20" t="s">
        <v>230</v>
      </c>
      <c r="V595" s="20" t="s">
        <v>232</v>
      </c>
      <c r="W595" s="20" t="s">
        <v>96</v>
      </c>
      <c r="X595" s="20" t="s">
        <v>97</v>
      </c>
      <c r="Y595" s="20" t="s">
        <v>70</v>
      </c>
      <c r="Z595" s="20" t="s">
        <v>98</v>
      </c>
      <c r="AA595" s="20" t="s">
        <v>125</v>
      </c>
      <c r="AB595" s="20" t="s">
        <v>125</v>
      </c>
      <c r="AC595" s="20" t="s">
        <v>125</v>
      </c>
      <c r="AD595" s="20" t="s">
        <v>125</v>
      </c>
      <c r="AE595" s="20"/>
      <c r="AF595" s="9" t="n">
        <v>1</v>
      </c>
      <c r="AG595" s="12" t="n">
        <v>1</v>
      </c>
      <c r="AH595" s="22" t="s">
        <v>235</v>
      </c>
      <c r="AI595" s="12" t="str">
        <f>IF(AH595="","",IFERROR(RIGHT("0000"&amp;AH595,4)&amp;" - "&amp;UPPER(_xlfn.XLOOKUP(RIGHT("0000"&amp;AH595,4),CODEBOOK_CAP!$C$2:$C$212,CODEBOOK_CAP!$D$2:$D$212)),"Código CAP não encontrado"))</f>
        <v>0322 - ESTRUTURAS, HOSPITAIS, CLÍNICAS</v>
      </c>
      <c r="AJ595" s="12" t="str">
        <f>IF(AH595="","",IFERROR(_xlfn.XLOOKUP(RIGHT("0000"&amp;AH595,4),CODEBOOK_CAP!$C$2:$C$212,CODEBOOK_CAP!$E$2:$E$212),"Código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95" s="22" t="s">
        <v>77</v>
      </c>
      <c r="AL595" s="26"/>
      <c r="AM595" s="22" t="s">
        <v>79</v>
      </c>
      <c r="AN595" s="22" t="s">
        <v>79</v>
      </c>
      <c r="AO595" s="12" t="s">
        <v>3329</v>
      </c>
      <c r="AP595" s="22" t="s">
        <v>77</v>
      </c>
      <c r="AQ595" s="12"/>
      <c r="AR595" s="22" t="s">
        <v>77</v>
      </c>
      <c r="AS595" s="10"/>
      <c r="AT595" s="2" t="s">
        <v>1814</v>
      </c>
      <c r="AU595" s="12" t="s">
        <v>83</v>
      </c>
      <c r="AV595" s="3" t="n">
        <v>46223</v>
      </c>
      <c r="AW595" s="21"/>
      <c r="AY595" s="1"/>
      <c r="BA595" s="1"/>
      <c r="BB595" s="1"/>
    </row>
    <row r="596" ht="120" customHeight="1">
      <c r="A596" s="20" t="s">
        <v>3330</v>
      </c>
      <c r="B596" s="20" t="n">
        <v>2023</v>
      </c>
      <c r="C596" s="20" t="n">
        <v>558</v>
      </c>
      <c r="D596" s="20" t="s">
        <v>50</v>
      </c>
      <c r="E596" s="20" t="s">
        <v>3280</v>
      </c>
      <c r="F596" s="20" t="s">
        <v>3331</v>
      </c>
      <c r="G596" s="20" t="s">
        <v>86</v>
      </c>
      <c r="H596" s="20" t="s">
        <v>3282</v>
      </c>
      <c r="I596" s="20"/>
      <c r="J596" s="20" t="s">
        <v>3332</v>
      </c>
      <c r="K596" s="20" t="s">
        <v>3333</v>
      </c>
      <c r="L596" s="20" t="s">
        <v>57</v>
      </c>
      <c r="M596" s="20" t="s">
        <v>58</v>
      </c>
      <c r="N596" s="20" t="s">
        <v>59</v>
      </c>
      <c r="O596" s="20" t="s">
        <v>60</v>
      </c>
      <c r="P596" s="20" t="s">
        <v>227</v>
      </c>
      <c r="Q596" s="20" t="s">
        <v>228</v>
      </c>
      <c r="R596" s="20" t="s">
        <v>229</v>
      </c>
      <c r="S596" s="20" t="s">
        <v>230</v>
      </c>
      <c r="T596" s="20" t="s">
        <v>231</v>
      </c>
      <c r="U596" s="20" t="s">
        <v>230</v>
      </c>
      <c r="V596" s="20" t="s">
        <v>854</v>
      </c>
      <c r="W596" s="20" t="s">
        <v>96</v>
      </c>
      <c r="X596" s="20" t="s">
        <v>97</v>
      </c>
      <c r="Y596" s="20" t="s">
        <v>70</v>
      </c>
      <c r="Z596" s="20" t="s">
        <v>98</v>
      </c>
      <c r="AA596" s="20" t="s">
        <v>409</v>
      </c>
      <c r="AB596" s="20" t="s">
        <v>3334</v>
      </c>
      <c r="AC596" s="20" t="s">
        <v>3334</v>
      </c>
      <c r="AD596" s="20" t="s">
        <v>3334</v>
      </c>
      <c r="AE596" s="20"/>
      <c r="AF596" s="9" t="n">
        <v>1</v>
      </c>
      <c r="AG596" s="12" t="n">
        <v>1</v>
      </c>
      <c r="AH596" s="22" t="s">
        <v>235</v>
      </c>
      <c r="AI596" s="12" t="str">
        <f>IF(AH596="","",IFERROR(RIGHT("0000"&amp;AH596,4)&amp;" - "&amp;UPPER(_xlfn.XLOOKUP(RIGHT("0000"&amp;AH596,4),CODEBOOK_CAP!$C$2:$C$212,CODEBOOK_CAP!$D$2:$D$212)),"Código CAP não encontrado"))</f>
        <v>0322 - ESTRUTURAS, HOSPITAIS, CLÍNICAS</v>
      </c>
      <c r="AJ596" s="12" t="str">
        <f>IF(AH596="","",IFERROR(_xlfn.XLOOKUP(RIGHT("0000"&amp;AH596,4),CODEBOOK_CAP!$C$2:$C$212,CODEBOOK_CAP!$E$2:$E$212),"Código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96" s="22" t="s">
        <v>77</v>
      </c>
      <c r="AL596" s="26"/>
      <c r="AM596" s="22" t="s">
        <v>79</v>
      </c>
      <c r="AN596" s="22" t="s">
        <v>79</v>
      </c>
      <c r="AO596" s="12" t="s">
        <v>3335</v>
      </c>
      <c r="AP596" s="22" t="s">
        <v>77</v>
      </c>
      <c r="AQ596" s="12"/>
      <c r="AR596" s="22" t="s">
        <v>77</v>
      </c>
      <c r="AS596" s="10"/>
      <c r="AT596" s="2" t="s">
        <v>1814</v>
      </c>
      <c r="AU596" s="12" t="s">
        <v>83</v>
      </c>
      <c r="AV596" s="3" t="n">
        <v>46223</v>
      </c>
      <c r="AW596" s="21"/>
      <c r="AY596" s="1"/>
      <c r="BA596" s="1"/>
      <c r="BB596" s="1"/>
    </row>
    <row r="597" ht="120" customHeight="1">
      <c r="A597" s="20" t="s">
        <v>3336</v>
      </c>
      <c r="B597" s="20" t="n">
        <v>2023</v>
      </c>
      <c r="C597" s="20" t="n">
        <v>559</v>
      </c>
      <c r="D597" s="20" t="s">
        <v>50</v>
      </c>
      <c r="E597" s="20" t="s">
        <v>3280</v>
      </c>
      <c r="F597" s="20" t="s">
        <v>3337</v>
      </c>
      <c r="G597" s="20" t="s">
        <v>633</v>
      </c>
      <c r="H597" s="20" t="s">
        <v>3282</v>
      </c>
      <c r="I597" s="20"/>
      <c r="J597" s="20" t="s">
        <v>3338</v>
      </c>
      <c r="K597" s="20" t="s">
        <v>56</v>
      </c>
      <c r="L597" s="20" t="s">
        <v>57</v>
      </c>
      <c r="M597" s="20" t="s">
        <v>58</v>
      </c>
      <c r="N597" s="20" t="s">
        <v>59</v>
      </c>
      <c r="O597" s="20" t="s">
        <v>60</v>
      </c>
      <c r="P597" s="20" t="s">
        <v>61</v>
      </c>
      <c r="Q597" s="20" t="s">
        <v>62</v>
      </c>
      <c r="R597" s="20" t="s">
        <v>63</v>
      </c>
      <c r="S597" s="20" t="s">
        <v>64</v>
      </c>
      <c r="T597" s="20" t="s">
        <v>65</v>
      </c>
      <c r="U597" s="20" t="s">
        <v>66</v>
      </c>
      <c r="V597" s="20" t="s">
        <v>67</v>
      </c>
      <c r="W597" s="20" t="s">
        <v>68</v>
      </c>
      <c r="X597" s="20" t="s">
        <v>69</v>
      </c>
      <c r="Y597" s="20" t="s">
        <v>70</v>
      </c>
      <c r="Z597" s="20" t="s">
        <v>71</v>
      </c>
      <c r="AA597" s="20" t="s">
        <v>409</v>
      </c>
      <c r="AB597" s="20" t="s">
        <v>3339</v>
      </c>
      <c r="AC597" s="20" t="s">
        <v>3339</v>
      </c>
      <c r="AD597" s="20" t="s">
        <v>3339</v>
      </c>
      <c r="AE597" s="20"/>
      <c r="AF597" s="9" t="n">
        <v>1</v>
      </c>
      <c r="AG597" s="12" t="n">
        <v>1</v>
      </c>
      <c r="AH597" s="22" t="s">
        <v>235</v>
      </c>
      <c r="AI597" s="12" t="str">
        <f>IF(AH597="","",IFERROR(RIGHT("0000"&amp;AH597,4)&amp;" - "&amp;UPPER(_xlfn.XLOOKUP(RIGHT("0000"&amp;AH597,4),CODEBOOK_CAP!$C$2:$C$212,CODEBOOK_CAP!$D$2:$D$212)),"Código CAP não encontrado"))</f>
        <v>0322 - ESTRUTURAS, HOSPITAIS, CLÍNICAS</v>
      </c>
      <c r="AJ597" s="12" t="str">
        <f>IF(AH597="","",IFERROR(_xlfn.XLOOKUP(RIGHT("0000"&amp;AH597,4),CODEBOOK_CAP!$C$2:$C$212,CODEBOOK_CAP!$E$2:$E$212),"Código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97" s="22" t="s">
        <v>77</v>
      </c>
      <c r="AL597" s="26"/>
      <c r="AM597" s="22" t="s">
        <v>79</v>
      </c>
      <c r="AN597" s="22" t="s">
        <v>79</v>
      </c>
      <c r="AO597" s="12" t="s">
        <v>3340</v>
      </c>
      <c r="AP597" s="22" t="s">
        <v>77</v>
      </c>
      <c r="AQ597" s="12"/>
      <c r="AR597" s="22" t="s">
        <v>77</v>
      </c>
      <c r="AS597" s="10"/>
      <c r="AT597" s="2" t="s">
        <v>1814</v>
      </c>
      <c r="AU597" s="12" t="s">
        <v>83</v>
      </c>
      <c r="AV597" s="3" t="n">
        <v>46223</v>
      </c>
      <c r="AW597" s="21"/>
      <c r="AY597" s="1"/>
      <c r="BA597" s="1"/>
      <c r="BB597" s="1"/>
    </row>
    <row r="598" ht="120" customHeight="1">
      <c r="A598" s="20" t="s">
        <v>3341</v>
      </c>
      <c r="B598" s="20" t="n">
        <v>2023</v>
      </c>
      <c r="C598" s="20" t="n">
        <v>560</v>
      </c>
      <c r="D598" s="20" t="s">
        <v>50</v>
      </c>
      <c r="E598" s="20" t="s">
        <v>3280</v>
      </c>
      <c r="F598" s="20" t="s">
        <v>3342</v>
      </c>
      <c r="G598" s="20" t="s">
        <v>86</v>
      </c>
      <c r="H598" s="20" t="s">
        <v>3282</v>
      </c>
      <c r="I598" s="20"/>
      <c r="J598" s="20" t="s">
        <v>3343</v>
      </c>
      <c r="K598" s="20" t="s">
        <v>865</v>
      </c>
      <c r="L598" s="20" t="s">
        <v>57</v>
      </c>
      <c r="M598" s="20" t="s">
        <v>58</v>
      </c>
      <c r="N598" s="20" t="s">
        <v>59</v>
      </c>
      <c r="O598" s="20" t="s">
        <v>60</v>
      </c>
      <c r="P598" s="20" t="s">
        <v>227</v>
      </c>
      <c r="Q598" s="20" t="s">
        <v>228</v>
      </c>
      <c r="R598" s="20" t="s">
        <v>229</v>
      </c>
      <c r="S598" s="20" t="s">
        <v>230</v>
      </c>
      <c r="T598" s="20" t="s">
        <v>866</v>
      </c>
      <c r="U598" s="20" t="s">
        <v>867</v>
      </c>
      <c r="V598" s="20" t="s">
        <v>868</v>
      </c>
      <c r="W598" s="20" t="s">
        <v>96</v>
      </c>
      <c r="X598" s="20" t="s">
        <v>97</v>
      </c>
      <c r="Y598" s="20" t="s">
        <v>70</v>
      </c>
      <c r="Z598" s="20" t="s">
        <v>98</v>
      </c>
      <c r="AA598" s="20" t="s">
        <v>125</v>
      </c>
      <c r="AB598" s="20" t="s">
        <v>125</v>
      </c>
      <c r="AC598" s="20" t="s">
        <v>125</v>
      </c>
      <c r="AD598" s="20" t="s">
        <v>125</v>
      </c>
      <c r="AE598" s="20"/>
      <c r="AF598" s="9" t="n">
        <v>1</v>
      </c>
      <c r="AG598" s="12" t="n">
        <v>1</v>
      </c>
      <c r="AH598" s="22" t="s">
        <v>235</v>
      </c>
      <c r="AI598" s="12" t="str">
        <f>IF(AH598="","",IFERROR(RIGHT("0000"&amp;AH598,4)&amp;" - "&amp;UPPER(_xlfn.XLOOKUP(RIGHT("0000"&amp;AH598,4),CODEBOOK_CAP!$C$2:$C$212,CODEBOOK_CAP!$D$2:$D$212)),"Código CAP não encontrado"))</f>
        <v>0322 - ESTRUTURAS, HOSPITAIS, CLÍNICAS</v>
      </c>
      <c r="AJ598" s="12" t="str">
        <f>IF(AH598="","",IFERROR(_xlfn.XLOOKUP(RIGHT("0000"&amp;AH598,4),CODEBOOK_CAP!$C$2:$C$212,CODEBOOK_CAP!$E$2:$E$212),"Código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98" s="22" t="s">
        <v>77</v>
      </c>
      <c r="AL598" s="26"/>
      <c r="AM598" s="22" t="s">
        <v>79</v>
      </c>
      <c r="AN598" s="22" t="s">
        <v>79</v>
      </c>
      <c r="AO598" s="12" t="s">
        <v>2501</v>
      </c>
      <c r="AP598" s="22" t="s">
        <v>77</v>
      </c>
      <c r="AQ598" s="12"/>
      <c r="AR598" s="22" t="s">
        <v>77</v>
      </c>
      <c r="AS598" s="10"/>
      <c r="AT598" s="2" t="s">
        <v>1814</v>
      </c>
      <c r="AU598" s="12" t="s">
        <v>83</v>
      </c>
      <c r="AV598" s="3" t="n">
        <v>46223</v>
      </c>
      <c r="AW598" s="21"/>
      <c r="AY598" s="1"/>
      <c r="BA598" s="1"/>
      <c r="BB598" s="1"/>
    </row>
    <row r="599" ht="120" customHeight="1">
      <c r="A599" s="20" t="s">
        <v>3344</v>
      </c>
      <c r="B599" s="20" t="n">
        <v>2023</v>
      </c>
      <c r="C599" s="20" t="n">
        <v>561</v>
      </c>
      <c r="D599" s="20" t="s">
        <v>50</v>
      </c>
      <c r="E599" s="20" t="s">
        <v>3280</v>
      </c>
      <c r="F599" s="20" t="s">
        <v>3345</v>
      </c>
      <c r="G599" s="20" t="s">
        <v>86</v>
      </c>
      <c r="H599" s="20" t="s">
        <v>3282</v>
      </c>
      <c r="I599" s="20"/>
      <c r="J599" s="20" t="s">
        <v>3346</v>
      </c>
      <c r="K599" s="20" t="s">
        <v>865</v>
      </c>
      <c r="L599" s="20" t="s">
        <v>57</v>
      </c>
      <c r="M599" s="20" t="s">
        <v>58</v>
      </c>
      <c r="N599" s="20" t="s">
        <v>59</v>
      </c>
      <c r="O599" s="20" t="s">
        <v>60</v>
      </c>
      <c r="P599" s="20" t="s">
        <v>227</v>
      </c>
      <c r="Q599" s="20" t="s">
        <v>228</v>
      </c>
      <c r="R599" s="20" t="s">
        <v>229</v>
      </c>
      <c r="S599" s="20" t="s">
        <v>230</v>
      </c>
      <c r="T599" s="20" t="s">
        <v>866</v>
      </c>
      <c r="U599" s="20" t="s">
        <v>867</v>
      </c>
      <c r="V599" s="20" t="s">
        <v>868</v>
      </c>
      <c r="W599" s="20" t="s">
        <v>96</v>
      </c>
      <c r="X599" s="20" t="s">
        <v>97</v>
      </c>
      <c r="Y599" s="20" t="s">
        <v>70</v>
      </c>
      <c r="Z599" s="20" t="s">
        <v>98</v>
      </c>
      <c r="AA599" s="20" t="s">
        <v>125</v>
      </c>
      <c r="AB599" s="20" t="s">
        <v>125</v>
      </c>
      <c r="AC599" s="20" t="s">
        <v>125</v>
      </c>
      <c r="AD599" s="20" t="s">
        <v>125</v>
      </c>
      <c r="AE599" s="20"/>
      <c r="AF599" s="9" t="n">
        <v>1</v>
      </c>
      <c r="AG599" s="12" t="n">
        <v>1</v>
      </c>
      <c r="AH599" s="22" t="s">
        <v>235</v>
      </c>
      <c r="AI599" s="12" t="str">
        <f>IF(AH599="","",IFERROR(RIGHT("0000"&amp;AH599,4)&amp;" - "&amp;UPPER(_xlfn.XLOOKUP(RIGHT("0000"&amp;AH599,4),CODEBOOK_CAP!$C$2:$C$212,CODEBOOK_CAP!$D$2:$D$212)),"Código CAP não encontrado"))</f>
        <v>0322 - ESTRUTURAS, HOSPITAIS, CLÍNICAS</v>
      </c>
      <c r="AJ599" s="12" t="str">
        <f>IF(AH599="","",IFERROR(_xlfn.XLOOKUP(RIGHT("0000"&amp;AH599,4),CODEBOOK_CAP!$C$2:$C$212,CODEBOOK_CAP!$E$2:$E$212),"Código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599" s="22" t="s">
        <v>77</v>
      </c>
      <c r="AL599" s="26"/>
      <c r="AM599" s="22" t="s">
        <v>79</v>
      </c>
      <c r="AN599" s="22" t="s">
        <v>79</v>
      </c>
      <c r="AO599" s="12" t="s">
        <v>3347</v>
      </c>
      <c r="AP599" s="22" t="s">
        <v>77</v>
      </c>
      <c r="AQ599" s="12"/>
      <c r="AR599" s="22" t="s">
        <v>77</v>
      </c>
      <c r="AS599" s="10"/>
      <c r="AT599" s="2" t="s">
        <v>1814</v>
      </c>
      <c r="AU599" s="12" t="s">
        <v>83</v>
      </c>
      <c r="AV599" s="3" t="n">
        <v>46223</v>
      </c>
      <c r="AW599" s="21"/>
      <c r="AY599" s="1"/>
      <c r="BA599" s="1"/>
      <c r="BB599" s="1"/>
    </row>
    <row r="600" ht="150" customHeight="1">
      <c r="A600" s="20" t="s">
        <v>3348</v>
      </c>
      <c r="B600" s="20" t="n">
        <v>2023</v>
      </c>
      <c r="C600" s="20" t="n">
        <v>562</v>
      </c>
      <c r="D600" s="20" t="s">
        <v>50</v>
      </c>
      <c r="E600" s="20" t="s">
        <v>3280</v>
      </c>
      <c r="F600" s="20" t="s">
        <v>3349</v>
      </c>
      <c r="G600" s="20" t="s">
        <v>86</v>
      </c>
      <c r="H600" s="20" t="s">
        <v>3282</v>
      </c>
      <c r="I600" s="20"/>
      <c r="J600" s="20" t="s">
        <v>3350</v>
      </c>
      <c r="K600" s="20" t="s">
        <v>122</v>
      </c>
      <c r="L600" s="20" t="s">
        <v>57</v>
      </c>
      <c r="M600" s="20" t="s">
        <v>58</v>
      </c>
      <c r="N600" s="20" t="s">
        <v>59</v>
      </c>
      <c r="O600" s="20" t="s">
        <v>60</v>
      </c>
      <c r="P600" s="20" t="s">
        <v>89</v>
      </c>
      <c r="Q600" s="20" t="s">
        <v>90</v>
      </c>
      <c r="R600" s="20" t="s">
        <v>91</v>
      </c>
      <c r="S600" s="20" t="s">
        <v>92</v>
      </c>
      <c r="T600" s="20" t="s">
        <v>123</v>
      </c>
      <c r="U600" s="20" t="s">
        <v>124</v>
      </c>
      <c r="V600" s="20" t="s">
        <v>95</v>
      </c>
      <c r="W600" s="20" t="s">
        <v>96</v>
      </c>
      <c r="X600" s="20" t="s">
        <v>97</v>
      </c>
      <c r="Y600" s="20" t="s">
        <v>70</v>
      </c>
      <c r="Z600" s="20" t="s">
        <v>98</v>
      </c>
      <c r="AA600" s="20" t="s">
        <v>198</v>
      </c>
      <c r="AB600" s="20" t="s">
        <v>198</v>
      </c>
      <c r="AC600" s="20" t="s">
        <v>198</v>
      </c>
      <c r="AD600" s="20" t="s">
        <v>198</v>
      </c>
      <c r="AE600" s="20"/>
      <c r="AF600" s="9" t="n">
        <v>1</v>
      </c>
      <c r="AG600" s="12" t="n">
        <v>1</v>
      </c>
      <c r="AH600" s="22" t="s">
        <v>620</v>
      </c>
      <c r="AI600" s="12" t="str">
        <f>IF(AH600="","",IFERROR(RIGHT("0000"&amp;AH600,4)&amp;" - "&amp;UPPER(_xlfn.XLOOKUP(RIGHT("0000"&amp;AH600,4),CODEBOOK_CAP!$C$2:$C$212,CODEBOOK_CAP!$D$2:$D$212)),"Código CAP não encontrado"))</f>
        <v>0332 - SAÚDE INFANTIL, GRAVIDEZ E PRÉ-NATAL</v>
      </c>
      <c r="AJ600" s="12" t="str">
        <f>IF(AH600="","",IFERROR(_xlfn.XLOOKUP(RIGHT("0000"&amp;AH600,4),CODEBOOK_CAP!$C$2:$C$212,CODEBOOK_CAP!$E$2:$E$212),"Código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600" s="22" t="s">
        <v>77</v>
      </c>
      <c r="AL600" s="26"/>
      <c r="AM600" s="22" t="s">
        <v>79</v>
      </c>
      <c r="AN600" s="22" t="s">
        <v>79</v>
      </c>
      <c r="AO600" s="12" t="s">
        <v>1901</v>
      </c>
      <c r="AP600" s="22" t="s">
        <v>79</v>
      </c>
      <c r="AQ600" s="12" t="s">
        <v>622</v>
      </c>
      <c r="AR600" s="22" t="s">
        <v>77</v>
      </c>
      <c r="AS600" s="10"/>
      <c r="AT600" s="2" t="s">
        <v>1814</v>
      </c>
      <c r="AU600" s="12" t="s">
        <v>83</v>
      </c>
      <c r="AV600" s="3" t="n">
        <v>46223</v>
      </c>
      <c r="AW600" s="21"/>
      <c r="AY600" s="1"/>
      <c r="BA600" s="1"/>
      <c r="BB600" s="1"/>
    </row>
    <row r="601" ht="120" customHeight="1">
      <c r="A601" s="20" t="s">
        <v>3351</v>
      </c>
      <c r="B601" s="20" t="n">
        <v>2023</v>
      </c>
      <c r="C601" s="20" t="n">
        <v>563</v>
      </c>
      <c r="D601" s="20" t="s">
        <v>50</v>
      </c>
      <c r="E601" s="20" t="s">
        <v>3280</v>
      </c>
      <c r="F601" s="20" t="s">
        <v>3352</v>
      </c>
      <c r="G601" s="20" t="s">
        <v>86</v>
      </c>
      <c r="H601" s="20" t="s">
        <v>3282</v>
      </c>
      <c r="I601" s="20"/>
      <c r="J601" s="20" t="s">
        <v>3353</v>
      </c>
      <c r="K601" s="20" t="s">
        <v>416</v>
      </c>
      <c r="L601" s="20" t="s">
        <v>57</v>
      </c>
      <c r="M601" s="20" t="s">
        <v>58</v>
      </c>
      <c r="N601" s="20" t="s">
        <v>59</v>
      </c>
      <c r="O601" s="20" t="s">
        <v>60</v>
      </c>
      <c r="P601" s="20" t="s">
        <v>89</v>
      </c>
      <c r="Q601" s="20" t="s">
        <v>90</v>
      </c>
      <c r="R601" s="20" t="s">
        <v>91</v>
      </c>
      <c r="S601" s="20" t="s">
        <v>92</v>
      </c>
      <c r="T601" s="20" t="s">
        <v>123</v>
      </c>
      <c r="U601" s="20" t="s">
        <v>124</v>
      </c>
      <c r="V601" s="20" t="s">
        <v>417</v>
      </c>
      <c r="W601" s="20" t="s">
        <v>96</v>
      </c>
      <c r="X601" s="20" t="s">
        <v>97</v>
      </c>
      <c r="Y601" s="20" t="s">
        <v>70</v>
      </c>
      <c r="Z601" s="20" t="s">
        <v>98</v>
      </c>
      <c r="AA601" s="20" t="s">
        <v>198</v>
      </c>
      <c r="AB601" s="20" t="s">
        <v>198</v>
      </c>
      <c r="AC601" s="20" t="s">
        <v>198</v>
      </c>
      <c r="AD601" s="20" t="s">
        <v>198</v>
      </c>
      <c r="AE601" s="20"/>
      <c r="AF601" s="9" t="n">
        <v>1</v>
      </c>
      <c r="AG601" s="12" t="n">
        <v>1</v>
      </c>
      <c r="AH601" s="22" t="s">
        <v>235</v>
      </c>
      <c r="AI601" s="12" t="str">
        <f>IF(AH601="","",IFERROR(RIGHT("0000"&amp;AH601,4)&amp;" - "&amp;UPPER(_xlfn.XLOOKUP(RIGHT("0000"&amp;AH601,4),CODEBOOK_CAP!$C$2:$C$212,CODEBOOK_CAP!$D$2:$D$212)),"Código CAP não encontrado"))</f>
        <v>0322 - ESTRUTURAS, HOSPITAIS, CLÍNICAS</v>
      </c>
      <c r="AJ601" s="12" t="str">
        <f>IF(AH601="","",IFERROR(_xlfn.XLOOKUP(RIGHT("0000"&amp;AH601,4),CODEBOOK_CAP!$C$2:$C$212,CODEBOOK_CAP!$E$2:$E$212),"Código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01" s="22" t="s">
        <v>77</v>
      </c>
      <c r="AL601" s="26"/>
      <c r="AM601" s="22" t="s">
        <v>79</v>
      </c>
      <c r="AN601" s="22" t="s">
        <v>79</v>
      </c>
      <c r="AO601" s="12" t="s">
        <v>3354</v>
      </c>
      <c r="AP601" s="22" t="s">
        <v>77</v>
      </c>
      <c r="AQ601" s="12"/>
      <c r="AR601" s="22" t="s">
        <v>77</v>
      </c>
      <c r="AS601" s="10"/>
      <c r="AT601" s="2" t="s">
        <v>1814</v>
      </c>
      <c r="AU601" s="12" t="s">
        <v>83</v>
      </c>
      <c r="AV601" s="3" t="n">
        <v>46223</v>
      </c>
      <c r="AW601" s="21"/>
      <c r="AY601" s="1"/>
      <c r="BA601" s="1"/>
      <c r="BB601" s="1"/>
    </row>
    <row r="602" ht="105" customHeight="1">
      <c r="A602" s="20" t="s">
        <v>3355</v>
      </c>
      <c r="B602" s="20" t="n">
        <v>2023</v>
      </c>
      <c r="C602" s="20" t="n">
        <v>564</v>
      </c>
      <c r="D602" s="20" t="s">
        <v>50</v>
      </c>
      <c r="E602" s="20" t="s">
        <v>3280</v>
      </c>
      <c r="F602" s="20" t="s">
        <v>3356</v>
      </c>
      <c r="G602" s="20" t="s">
        <v>53</v>
      </c>
      <c r="H602" s="20" t="s">
        <v>3282</v>
      </c>
      <c r="I602" s="20"/>
      <c r="J602" s="20" t="s">
        <v>3357</v>
      </c>
      <c r="K602" s="20" t="s">
        <v>3358</v>
      </c>
      <c r="L602" s="20" t="s">
        <v>1406</v>
      </c>
      <c r="M602" s="20" t="s">
        <v>1407</v>
      </c>
      <c r="N602" s="20" t="s">
        <v>1408</v>
      </c>
      <c r="O602" s="20" t="s">
        <v>1409</v>
      </c>
      <c r="P602" s="20" t="s">
        <v>1410</v>
      </c>
      <c r="Q602" s="20" t="s">
        <v>1411</v>
      </c>
      <c r="R602" s="20" t="s">
        <v>1412</v>
      </c>
      <c r="S602" s="20" t="s">
        <v>1413</v>
      </c>
      <c r="T602" s="20" t="s">
        <v>2644</v>
      </c>
      <c r="U602" s="20" t="s">
        <v>2645</v>
      </c>
      <c r="V602" s="20" t="s">
        <v>95</v>
      </c>
      <c r="W602" s="20" t="s">
        <v>96</v>
      </c>
      <c r="X602" s="20" t="s">
        <v>97</v>
      </c>
      <c r="Y602" s="20" t="s">
        <v>70</v>
      </c>
      <c r="Z602" s="20" t="s">
        <v>284</v>
      </c>
      <c r="AA602" s="20" t="s">
        <v>125</v>
      </c>
      <c r="AB602" s="20" t="s">
        <v>77</v>
      </c>
      <c r="AC602" s="20" t="s">
        <v>77</v>
      </c>
      <c r="AD602" s="20" t="s">
        <v>77</v>
      </c>
      <c r="AE602" s="20"/>
      <c r="AF602" s="9" t="n">
        <v>0</v>
      </c>
      <c r="AG602" s="12" t="n">
        <v>0</v>
      </c>
      <c r="AH602" s="22" t="s">
        <v>1365</v>
      </c>
      <c r="AI602" s="12" t="str">
        <f>IF(AH602="","",IFERROR(RIGHT("0000"&amp;AH602,4)&amp;" - "&amp;UPPER(_xlfn.XLOOKUP(RIGHT("0000"&amp;AH602,4),CODEBOOK_CAP!$C$2:$C$212,CODEBOOK_CAP!$D$2:$D$212)),"Código CAP não encontrado"))</f>
        <v>2102 - POPULAÇÕES TRADICIONAIS BRASILEIRAS - INDÍGENAS, QUILOMBOLAS, RIBEIRINHOS, SERINGUEIROS, CAIÇARAS</v>
      </c>
      <c r="AJ602" s="12" t="str">
        <f>IF(AH602="","",IFERROR(_xlfn.XLOOKUP(RIGHT("0000"&amp;AH602,4),CODEBOOK_CAP!$C$2:$C$212,CODEBOOK_CAP!$E$2:$E$212),"Código CAP não encontrado"))</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K602" s="22" t="s">
        <v>77</v>
      </c>
      <c r="AL602" s="26"/>
      <c r="AM602" s="22" t="s">
        <v>77</v>
      </c>
      <c r="AN602" s="22" t="s">
        <v>77</v>
      </c>
      <c r="AO602" s="12"/>
      <c r="AP602" s="22" t="s">
        <v>79</v>
      </c>
      <c r="AQ602" s="12" t="s">
        <v>3359</v>
      </c>
      <c r="AR602" s="22" t="s">
        <v>77</v>
      </c>
      <c r="AS602" s="10"/>
      <c r="AT602" s="2" t="s">
        <v>1814</v>
      </c>
      <c r="AU602" s="12" t="s">
        <v>83</v>
      </c>
      <c r="AV602" s="3" t="n">
        <v>46223</v>
      </c>
      <c r="AW602" s="21"/>
      <c r="AY602" s="1"/>
      <c r="BA602" s="1"/>
      <c r="BB602" s="1"/>
    </row>
    <row r="603" ht="105" customHeight="1">
      <c r="A603" s="20" t="s">
        <v>3360</v>
      </c>
      <c r="B603" s="20" t="n">
        <v>2023</v>
      </c>
      <c r="C603" s="20" t="n">
        <v>565</v>
      </c>
      <c r="D603" s="20" t="s">
        <v>50</v>
      </c>
      <c r="E603" s="20" t="s">
        <v>3280</v>
      </c>
      <c r="F603" s="20" t="s">
        <v>3361</v>
      </c>
      <c r="G603" s="20" t="s">
        <v>53</v>
      </c>
      <c r="H603" s="20" t="s">
        <v>3282</v>
      </c>
      <c r="I603" s="20"/>
      <c r="J603" s="20" t="s">
        <v>3362</v>
      </c>
      <c r="K603" s="20" t="s">
        <v>3358</v>
      </c>
      <c r="L603" s="20" t="s">
        <v>1406</v>
      </c>
      <c r="M603" s="20" t="s">
        <v>1407</v>
      </c>
      <c r="N603" s="20" t="s">
        <v>1408</v>
      </c>
      <c r="O603" s="20" t="s">
        <v>1409</v>
      </c>
      <c r="P603" s="20" t="s">
        <v>1410</v>
      </c>
      <c r="Q603" s="20" t="s">
        <v>1411</v>
      </c>
      <c r="R603" s="20" t="s">
        <v>1412</v>
      </c>
      <c r="S603" s="20" t="s">
        <v>1413</v>
      </c>
      <c r="T603" s="20" t="s">
        <v>2644</v>
      </c>
      <c r="U603" s="20" t="s">
        <v>2645</v>
      </c>
      <c r="V603" s="20" t="s">
        <v>95</v>
      </c>
      <c r="W603" s="20" t="s">
        <v>96</v>
      </c>
      <c r="X603" s="20" t="s">
        <v>97</v>
      </c>
      <c r="Y603" s="20" t="s">
        <v>70</v>
      </c>
      <c r="Z603" s="20" t="s">
        <v>284</v>
      </c>
      <c r="AA603" s="20" t="s">
        <v>388</v>
      </c>
      <c r="AB603" s="20" t="s">
        <v>77</v>
      </c>
      <c r="AC603" s="20" t="s">
        <v>77</v>
      </c>
      <c r="AD603" s="20" t="s">
        <v>77</v>
      </c>
      <c r="AE603" s="20"/>
      <c r="AF603" s="9" t="n">
        <v>0</v>
      </c>
      <c r="AG603" s="12" t="n">
        <v>0</v>
      </c>
      <c r="AH603" s="22" t="s">
        <v>1365</v>
      </c>
      <c r="AI603" s="12" t="str">
        <f>IF(AH603="","",IFERROR(RIGHT("0000"&amp;AH603,4)&amp;" - "&amp;UPPER(_xlfn.XLOOKUP(RIGHT("0000"&amp;AH603,4),CODEBOOK_CAP!$C$2:$C$212,CODEBOOK_CAP!$D$2:$D$212)),"Código CAP não encontrado"))</f>
        <v>2102 - POPULAÇÕES TRADICIONAIS BRASILEIRAS - INDÍGENAS, QUILOMBOLAS, RIBEIRINHOS, SERINGUEIROS, CAIÇARAS</v>
      </c>
      <c r="AJ603" s="12" t="str">
        <f>IF(AH603="","",IFERROR(_xlfn.XLOOKUP(RIGHT("0000"&amp;AH603,4),CODEBOOK_CAP!$C$2:$C$212,CODEBOOK_CAP!$E$2:$E$212),"Código CAP não encontrado"))</f>
        <v>Todos os temas, de todas as políticas setoriais que envolvam populações tradicionais nativas brasileiras. Temas relacionados ao uso da terra por populações nativas como uso de terra por indígenas e reservas indígenas, quilombolas e populações ribeirinhas. Saude, educacao, assistencia, terras. Populações Nativas não se codifica em política setoria, mas sim aqui!</v>
      </c>
      <c r="AK603" s="22" t="s">
        <v>77</v>
      </c>
      <c r="AL603" s="26"/>
      <c r="AM603" s="22" t="s">
        <v>77</v>
      </c>
      <c r="AN603" s="22" t="s">
        <v>77</v>
      </c>
      <c r="AO603" s="12"/>
      <c r="AP603" s="22" t="s">
        <v>79</v>
      </c>
      <c r="AQ603" s="12" t="s">
        <v>3359</v>
      </c>
      <c r="AR603" s="22" t="s">
        <v>77</v>
      </c>
      <c r="AS603" s="10"/>
      <c r="AT603" s="2" t="s">
        <v>1814</v>
      </c>
      <c r="AU603" s="12" t="s">
        <v>83</v>
      </c>
      <c r="AV603" s="3" t="n">
        <v>46223</v>
      </c>
      <c r="AW603" s="21"/>
      <c r="AY603" s="1"/>
      <c r="BA603" s="1"/>
      <c r="BB603" s="1"/>
    </row>
    <row r="604" ht="75" customHeight="1">
      <c r="A604" s="20" t="s">
        <v>3363</v>
      </c>
      <c r="B604" s="20" t="n">
        <v>2023</v>
      </c>
      <c r="C604" s="20" t="n">
        <v>566</v>
      </c>
      <c r="D604" s="20" t="s">
        <v>50</v>
      </c>
      <c r="E604" s="20" t="s">
        <v>3280</v>
      </c>
      <c r="F604" s="20" t="s">
        <v>3364</v>
      </c>
      <c r="G604" s="20" t="s">
        <v>86</v>
      </c>
      <c r="H604" s="20" t="s">
        <v>3282</v>
      </c>
      <c r="I604" s="20"/>
      <c r="J604" s="20" t="s">
        <v>3365</v>
      </c>
      <c r="K604" s="20" t="s">
        <v>1666</v>
      </c>
      <c r="L604" s="20" t="s">
        <v>1406</v>
      </c>
      <c r="M604" s="20" t="s">
        <v>1407</v>
      </c>
      <c r="N604" s="20" t="s">
        <v>1408</v>
      </c>
      <c r="O604" s="20" t="s">
        <v>1409</v>
      </c>
      <c r="P604" s="20" t="s">
        <v>1410</v>
      </c>
      <c r="Q604" s="20" t="s">
        <v>1411</v>
      </c>
      <c r="R604" s="20" t="s">
        <v>1412</v>
      </c>
      <c r="S604" s="20" t="s">
        <v>1413</v>
      </c>
      <c r="T604" s="20" t="s">
        <v>1667</v>
      </c>
      <c r="U604" s="20" t="s">
        <v>1668</v>
      </c>
      <c r="V604" s="20" t="s">
        <v>95</v>
      </c>
      <c r="W604" s="20" t="s">
        <v>96</v>
      </c>
      <c r="X604" s="20" t="s">
        <v>97</v>
      </c>
      <c r="Y604" s="20" t="s">
        <v>70</v>
      </c>
      <c r="Z604" s="20" t="s">
        <v>284</v>
      </c>
      <c r="AA604" s="20" t="s">
        <v>3366</v>
      </c>
      <c r="AB604" s="20" t="s">
        <v>3366</v>
      </c>
      <c r="AC604" s="20" t="s">
        <v>3366</v>
      </c>
      <c r="AD604" s="20" t="s">
        <v>3366</v>
      </c>
      <c r="AE604" s="20"/>
      <c r="AF604" s="9" t="n">
        <v>0</v>
      </c>
      <c r="AG604" s="12" t="n">
        <v>0</v>
      </c>
      <c r="AH604" s="22" t="s">
        <v>143</v>
      </c>
      <c r="AI604" s="12" t="str">
        <f>IF(AH604="","",IFERROR(RIGHT("0000"&amp;AH604,4)&amp;" - "&amp;UPPER(_xlfn.XLOOKUP(RIGHT("0000"&amp;AH604,4),CODEBOOK_CAP!$C$2:$C$212,CODEBOOK_CAP!$D$2:$D$212)),"Código CAP não encontrado"))</f>
        <v>0502 - FORMAÇÃO E DESENVOLVIMENTO PROFISSIONAL</v>
      </c>
      <c r="AJ604" s="12" t="str">
        <f>IF(AH604="","",IFERROR(_xlfn.XLOOKUP(RIGHT("0000"&amp;AH604,4),CODEBOOK_CAP!$C$2:$C$212,CODEBOOK_CAP!$E$2:$E$212),"Código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604" s="22" t="s">
        <v>77</v>
      </c>
      <c r="AL604" s="26"/>
      <c r="AM604" s="22" t="s">
        <v>77</v>
      </c>
      <c r="AN604" s="22" t="s">
        <v>77</v>
      </c>
      <c r="AO604" s="12"/>
      <c r="AP604" s="22" t="s">
        <v>79</v>
      </c>
      <c r="AQ604" s="12" t="s">
        <v>118</v>
      </c>
      <c r="AR604" s="22" t="s">
        <v>77</v>
      </c>
      <c r="AS604" s="10"/>
      <c r="AT604" s="2" t="s">
        <v>1814</v>
      </c>
      <c r="AU604" s="12" t="s">
        <v>83</v>
      </c>
      <c r="AV604" s="3" t="n">
        <v>46223</v>
      </c>
      <c r="AW604" s="21"/>
      <c r="AY604" s="1"/>
      <c r="BA604" s="1"/>
      <c r="BB604" s="1"/>
    </row>
    <row r="605" ht="105" customHeight="1">
      <c r="A605" s="20" t="s">
        <v>3367</v>
      </c>
      <c r="B605" s="20" t="n">
        <v>2023</v>
      </c>
      <c r="C605" s="20" t="n">
        <v>567</v>
      </c>
      <c r="D605" s="20" t="s">
        <v>50</v>
      </c>
      <c r="E605" s="20" t="s">
        <v>3280</v>
      </c>
      <c r="F605" s="20" t="s">
        <v>3368</v>
      </c>
      <c r="G605" s="20" t="s">
        <v>315</v>
      </c>
      <c r="H605" s="20" t="s">
        <v>3282</v>
      </c>
      <c r="I605" s="20"/>
      <c r="J605" s="20" t="s">
        <v>3369</v>
      </c>
      <c r="K605" s="20" t="s">
        <v>2102</v>
      </c>
      <c r="L605" s="20" t="s">
        <v>1406</v>
      </c>
      <c r="M605" s="20" t="s">
        <v>1407</v>
      </c>
      <c r="N605" s="20" t="s">
        <v>1408</v>
      </c>
      <c r="O605" s="20" t="s">
        <v>1409</v>
      </c>
      <c r="P605" s="20" t="s">
        <v>1410</v>
      </c>
      <c r="Q605" s="20" t="s">
        <v>1411</v>
      </c>
      <c r="R605" s="20" t="s">
        <v>1412</v>
      </c>
      <c r="S605" s="20" t="s">
        <v>1413</v>
      </c>
      <c r="T605" s="20" t="s">
        <v>2103</v>
      </c>
      <c r="U605" s="20" t="s">
        <v>2104</v>
      </c>
      <c r="V605" s="20" t="s">
        <v>95</v>
      </c>
      <c r="W605" s="20" t="s">
        <v>96</v>
      </c>
      <c r="X605" s="20" t="s">
        <v>97</v>
      </c>
      <c r="Y605" s="20" t="s">
        <v>70</v>
      </c>
      <c r="Z605" s="20" t="s">
        <v>284</v>
      </c>
      <c r="AA605" s="20" t="s">
        <v>3366</v>
      </c>
      <c r="AB605" s="20" t="s">
        <v>3366</v>
      </c>
      <c r="AC605" s="20" t="s">
        <v>3366</v>
      </c>
      <c r="AD605" s="20" t="s">
        <v>3366</v>
      </c>
      <c r="AE605" s="20"/>
      <c r="AF605" s="9" t="n">
        <v>0</v>
      </c>
      <c r="AG605" s="12" t="n">
        <v>0</v>
      </c>
      <c r="AH605" s="22" t="s">
        <v>161</v>
      </c>
      <c r="AI605" s="12" t="str">
        <f>IF(AH605="","",IFERROR(RIGHT("0000"&amp;AH605,4)&amp;" - "&amp;UPPER(_xlfn.XLOOKUP(RIGHT("0000"&amp;AH605,4),CODEBOOK_CAP!$C$2:$C$212,CODEBOOK_CAP!$D$2:$D$212)),"Código CAP não encontrado"))</f>
        <v>2300 - GERAL</v>
      </c>
      <c r="AJ605" s="12" t="str">
        <f>IF(AH605="","",IFERROR(_xlfn.XLOOKUP(RIGHT("0000"&amp;AH605,4),CODEBOOK_CAP!$C$2:$C$212,CODEBOOK_CAP!$E$2:$E$212),"Código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05" s="22" t="s">
        <v>77</v>
      </c>
      <c r="AL605" s="26"/>
      <c r="AM605" s="22" t="s">
        <v>79</v>
      </c>
      <c r="AN605" s="22" t="s">
        <v>79</v>
      </c>
      <c r="AO605" s="12" t="s">
        <v>3370</v>
      </c>
      <c r="AP605" s="22" t="s">
        <v>79</v>
      </c>
      <c r="AQ605" s="12" t="s">
        <v>2109</v>
      </c>
      <c r="AR605" s="22" t="s">
        <v>77</v>
      </c>
      <c r="AS605" s="10"/>
      <c r="AT605" s="2" t="s">
        <v>1814</v>
      </c>
      <c r="AU605" s="12" t="s">
        <v>83</v>
      </c>
      <c r="AV605" s="3" t="n">
        <v>46223</v>
      </c>
      <c r="AW605" s="21"/>
      <c r="AX605" s="1" t="s">
        <v>6955</v>
      </c>
      <c r="AY605" s="1"/>
      <c r="BA605" s="1"/>
      <c r="BB605" s="1"/>
    </row>
    <row r="606" ht="105" customHeight="1">
      <c r="A606" s="20" t="s">
        <v>3371</v>
      </c>
      <c r="B606" s="20" t="n">
        <v>2023</v>
      </c>
      <c r="C606" s="20" t="n">
        <v>568</v>
      </c>
      <c r="D606" s="20" t="s">
        <v>50</v>
      </c>
      <c r="E606" s="20" t="s">
        <v>3280</v>
      </c>
      <c r="F606" s="20" t="s">
        <v>3372</v>
      </c>
      <c r="G606" s="20" t="s">
        <v>86</v>
      </c>
      <c r="H606" s="20" t="s">
        <v>3282</v>
      </c>
      <c r="I606" s="20"/>
      <c r="J606" s="20" t="s">
        <v>3373</v>
      </c>
      <c r="K606" s="20" t="s">
        <v>3374</v>
      </c>
      <c r="L606" s="20" t="s">
        <v>57</v>
      </c>
      <c r="M606" s="20" t="s">
        <v>58</v>
      </c>
      <c r="N606" s="20" t="s">
        <v>59</v>
      </c>
      <c r="O606" s="20" t="s">
        <v>60</v>
      </c>
      <c r="P606" s="20" t="s">
        <v>89</v>
      </c>
      <c r="Q606" s="20" t="s">
        <v>90</v>
      </c>
      <c r="R606" s="20" t="s">
        <v>91</v>
      </c>
      <c r="S606" s="20" t="s">
        <v>92</v>
      </c>
      <c r="T606" s="20" t="s">
        <v>93</v>
      </c>
      <c r="U606" s="20" t="s">
        <v>94</v>
      </c>
      <c r="V606" s="20" t="s">
        <v>104</v>
      </c>
      <c r="W606" s="20" t="s">
        <v>96</v>
      </c>
      <c r="X606" s="20" t="s">
        <v>97</v>
      </c>
      <c r="Y606" s="20" t="s">
        <v>70</v>
      </c>
      <c r="Z606" s="20" t="s">
        <v>98</v>
      </c>
      <c r="AA606" s="20" t="s">
        <v>409</v>
      </c>
      <c r="AB606" s="20" t="s">
        <v>409</v>
      </c>
      <c r="AC606" s="20" t="s">
        <v>409</v>
      </c>
      <c r="AD606" s="20" t="s">
        <v>409</v>
      </c>
      <c r="AE606" s="20"/>
      <c r="AF606" s="9" t="n">
        <v>1</v>
      </c>
      <c r="AG606" s="12" t="n">
        <v>1</v>
      </c>
      <c r="AH606" s="22" t="s">
        <v>76</v>
      </c>
      <c r="AI606" s="12" t="str">
        <f>IF(AH606="","",IFERROR(RIGHT("0000"&amp;AH606,4)&amp;" - "&amp;UPPER(_xlfn.XLOOKUP(RIGHT("0000"&amp;AH606,4),CODEBOOK_CAP!$C$2:$C$212,CODEBOOK_CAP!$D$2:$D$212)),"Código CAP não encontrado"))</f>
        <v>0333 - SAÚDE MENTAL</v>
      </c>
      <c r="AJ606" s="12" t="str">
        <f>IF(AH606="","",IFERROR(_xlfn.XLOOKUP(RIGHT("0000"&amp;AH606,4),CODEBOOK_CAP!$C$2:$C$212,CODEBOOK_CAP!$E$2:$E$212),"Código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606" s="22" t="s">
        <v>77</v>
      </c>
      <c r="AL606" s="26"/>
      <c r="AM606" s="22" t="s">
        <v>77</v>
      </c>
      <c r="AN606" s="22" t="s">
        <v>77</v>
      </c>
      <c r="AO606" s="12"/>
      <c r="AP606" s="22" t="s">
        <v>77</v>
      </c>
      <c r="AQ606" s="12"/>
      <c r="AR606" s="22" t="s">
        <v>77</v>
      </c>
      <c r="AS606" s="10"/>
      <c r="AT606" s="2" t="s">
        <v>1814</v>
      </c>
      <c r="AU606" s="12" t="s">
        <v>83</v>
      </c>
      <c r="AV606" s="3" t="n">
        <v>46223</v>
      </c>
      <c r="AW606" s="21"/>
      <c r="AY606" s="1"/>
      <c r="BA606" s="1"/>
      <c r="BB606" s="1"/>
    </row>
    <row r="607" ht="105" customHeight="1">
      <c r="A607" s="20" t="s">
        <v>3375</v>
      </c>
      <c r="B607" s="20" t="n">
        <v>2023</v>
      </c>
      <c r="C607" s="20" t="n">
        <v>569</v>
      </c>
      <c r="D607" s="20" t="s">
        <v>50</v>
      </c>
      <c r="E607" s="20" t="s">
        <v>3280</v>
      </c>
      <c r="F607" s="20" t="s">
        <v>3376</v>
      </c>
      <c r="G607" s="20" t="s">
        <v>86</v>
      </c>
      <c r="H607" s="20" t="s">
        <v>3282</v>
      </c>
      <c r="I607" s="20"/>
      <c r="J607" s="20" t="s">
        <v>3377</v>
      </c>
      <c r="K607" s="20" t="s">
        <v>3378</v>
      </c>
      <c r="L607" s="20" t="s">
        <v>760</v>
      </c>
      <c r="M607" s="20" t="s">
        <v>761</v>
      </c>
      <c r="N607" s="20" t="s">
        <v>150</v>
      </c>
      <c r="O607" s="20" t="s">
        <v>151</v>
      </c>
      <c r="P607" s="20" t="s">
        <v>61</v>
      </c>
      <c r="Q607" s="20" t="s">
        <v>62</v>
      </c>
      <c r="R607" s="20" t="s">
        <v>1361</v>
      </c>
      <c r="S607" s="20" t="s">
        <v>1362</v>
      </c>
      <c r="T607" s="20" t="s">
        <v>3379</v>
      </c>
      <c r="U607" s="20" t="s">
        <v>3380</v>
      </c>
      <c r="V607" s="20" t="s">
        <v>196</v>
      </c>
      <c r="W607" s="20" t="s">
        <v>68</v>
      </c>
      <c r="X607" s="20" t="s">
        <v>69</v>
      </c>
      <c r="Y607" s="20" t="s">
        <v>70</v>
      </c>
      <c r="Z607" s="20" t="s">
        <v>764</v>
      </c>
      <c r="AA607" s="20" t="s">
        <v>233</v>
      </c>
      <c r="AB607" s="20" t="s">
        <v>3381</v>
      </c>
      <c r="AC607" s="20" t="s">
        <v>3381</v>
      </c>
      <c r="AD607" s="20" t="s">
        <v>3381</v>
      </c>
      <c r="AE607" s="20"/>
      <c r="AF607" s="9" t="n">
        <v>0</v>
      </c>
      <c r="AG607" s="12" t="n">
        <v>0</v>
      </c>
      <c r="AH607" s="22" t="s">
        <v>161</v>
      </c>
      <c r="AI607" s="12" t="str">
        <f>IF(AH607="","",IFERROR(RIGHT("0000"&amp;AH607,4)&amp;" - "&amp;UPPER(_xlfn.XLOOKUP(RIGHT("0000"&amp;AH607,4),CODEBOOK_CAP!$C$2:$C$212,CODEBOOK_CAP!$D$2:$D$212)),"Código CAP não encontrado"))</f>
        <v>2300 - GERAL</v>
      </c>
      <c r="AJ607" s="12" t="str">
        <f>IF(AH607="","",IFERROR(_xlfn.XLOOKUP(RIGHT("0000"&amp;AH607,4),CODEBOOK_CAP!$C$2:$C$212,CODEBOOK_CAP!$E$2:$E$212),"Código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07" s="22" t="s">
        <v>77</v>
      </c>
      <c r="AL607" s="26"/>
      <c r="AM607" s="22" t="s">
        <v>77</v>
      </c>
      <c r="AN607" s="22" t="s">
        <v>77</v>
      </c>
      <c r="AO607" s="12"/>
      <c r="AP607" s="22" t="s">
        <v>77</v>
      </c>
      <c r="AQ607" s="12"/>
      <c r="AR607" s="22" t="s">
        <v>77</v>
      </c>
      <c r="AS607" s="10"/>
      <c r="AT607" s="2" t="s">
        <v>1814</v>
      </c>
      <c r="AU607" s="12" t="s">
        <v>83</v>
      </c>
      <c r="AV607" s="3" t="n">
        <v>46223</v>
      </c>
      <c r="AW607" s="21"/>
      <c r="AX607" s="1" t="s">
        <v>6955</v>
      </c>
      <c r="AY607" s="1"/>
      <c r="BA607" s="1"/>
      <c r="BB607" s="1"/>
    </row>
    <row r="608" ht="105" customHeight="1">
      <c r="A608" s="20" t="s">
        <v>3382</v>
      </c>
      <c r="B608" s="20" t="n">
        <v>2023</v>
      </c>
      <c r="C608" s="20" t="n">
        <v>570</v>
      </c>
      <c r="D608" s="20" t="s">
        <v>50</v>
      </c>
      <c r="E608" s="20" t="s">
        <v>3280</v>
      </c>
      <c r="F608" s="20" t="s">
        <v>3383</v>
      </c>
      <c r="G608" s="20" t="s">
        <v>86</v>
      </c>
      <c r="H608" s="20" t="s">
        <v>3282</v>
      </c>
      <c r="I608" s="20"/>
      <c r="J608" s="20" t="s">
        <v>3384</v>
      </c>
      <c r="K608" s="20" t="s">
        <v>289</v>
      </c>
      <c r="L608" s="20" t="s">
        <v>208</v>
      </c>
      <c r="M608" s="20" t="s">
        <v>209</v>
      </c>
      <c r="N608" s="20" t="s">
        <v>210</v>
      </c>
      <c r="O608" s="20" t="s">
        <v>211</v>
      </c>
      <c r="P608" s="20" t="s">
        <v>212</v>
      </c>
      <c r="Q608" s="20" t="s">
        <v>213</v>
      </c>
      <c r="R608" s="20" t="s">
        <v>251</v>
      </c>
      <c r="S608" s="20" t="s">
        <v>252</v>
      </c>
      <c r="T608" s="20" t="s">
        <v>290</v>
      </c>
      <c r="U608" s="20" t="s">
        <v>291</v>
      </c>
      <c r="V608" s="20" t="s">
        <v>67</v>
      </c>
      <c r="W608" s="20" t="s">
        <v>68</v>
      </c>
      <c r="X608" s="20" t="s">
        <v>69</v>
      </c>
      <c r="Y608" s="20" t="s">
        <v>70</v>
      </c>
      <c r="Z608" s="20" t="s">
        <v>177</v>
      </c>
      <c r="AA608" s="20" t="s">
        <v>125</v>
      </c>
      <c r="AB608" s="20" t="s">
        <v>3385</v>
      </c>
      <c r="AC608" s="20" t="s">
        <v>3385</v>
      </c>
      <c r="AD608" s="20" t="s">
        <v>3385</v>
      </c>
      <c r="AE608" s="20"/>
      <c r="AF608" s="9" t="n">
        <v>0</v>
      </c>
      <c r="AG608" s="12" t="n">
        <v>0</v>
      </c>
      <c r="AH608" s="22" t="s">
        <v>161</v>
      </c>
      <c r="AI608" s="12" t="str">
        <f>IF(AH608="","",IFERROR(RIGHT("0000"&amp;AH608,4)&amp;" - "&amp;UPPER(_xlfn.XLOOKUP(RIGHT("0000"&amp;AH608,4),CODEBOOK_CAP!$C$2:$C$212,CODEBOOK_CAP!$D$2:$D$212)),"Código CAP não encontrado"))</f>
        <v>2300 - GERAL</v>
      </c>
      <c r="AJ608" s="12" t="str">
        <f>IF(AH608="","",IFERROR(_xlfn.XLOOKUP(RIGHT("0000"&amp;AH608,4),CODEBOOK_CAP!$C$2:$C$212,CODEBOOK_CAP!$E$2:$E$212),"Código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08" s="22" t="s">
        <v>77</v>
      </c>
      <c r="AL608" s="26"/>
      <c r="AM608" s="22" t="s">
        <v>79</v>
      </c>
      <c r="AN608" s="22" t="s">
        <v>79</v>
      </c>
      <c r="AO608" s="12" t="s">
        <v>3386</v>
      </c>
      <c r="AP608" s="22" t="s">
        <v>77</v>
      </c>
      <c r="AQ608" s="12"/>
      <c r="AR608" s="22" t="s">
        <v>77</v>
      </c>
      <c r="AS608" s="10"/>
      <c r="AT608" s="2" t="s">
        <v>1814</v>
      </c>
      <c r="AU608" s="12" t="s">
        <v>83</v>
      </c>
      <c r="AV608" s="3" t="n">
        <v>46223</v>
      </c>
      <c r="AW608" s="21"/>
      <c r="AX608" s="1" t="s">
        <v>6956</v>
      </c>
      <c r="AY608" s="1"/>
      <c r="BA608" s="1"/>
      <c r="BB608" s="1"/>
    </row>
    <row r="609" ht="210" customHeight="1">
      <c r="A609" s="20" t="s">
        <v>3387</v>
      </c>
      <c r="B609" s="20" t="n">
        <v>2023</v>
      </c>
      <c r="C609" s="20" t="n">
        <v>571</v>
      </c>
      <c r="D609" s="20" t="s">
        <v>50</v>
      </c>
      <c r="E609" s="20" t="s">
        <v>3280</v>
      </c>
      <c r="F609" s="20" t="s">
        <v>3388</v>
      </c>
      <c r="G609" s="20" t="s">
        <v>86</v>
      </c>
      <c r="H609" s="20" t="s">
        <v>3282</v>
      </c>
      <c r="I609" s="20"/>
      <c r="J609" s="20" t="s">
        <v>3389</v>
      </c>
      <c r="K609" s="20" t="s">
        <v>3390</v>
      </c>
      <c r="L609" s="20" t="s">
        <v>274</v>
      </c>
      <c r="M609" s="20" t="s">
        <v>275</v>
      </c>
      <c r="N609" s="20" t="s">
        <v>276</v>
      </c>
      <c r="O609" s="20" t="s">
        <v>277</v>
      </c>
      <c r="P609" s="20" t="s">
        <v>278</v>
      </c>
      <c r="Q609" s="20" t="s">
        <v>279</v>
      </c>
      <c r="R609" s="20" t="s">
        <v>817</v>
      </c>
      <c r="S609" s="20" t="s">
        <v>818</v>
      </c>
      <c r="T609" s="20" t="s">
        <v>3391</v>
      </c>
      <c r="U609" s="20" t="s">
        <v>3392</v>
      </c>
      <c r="V609" s="20" t="s">
        <v>196</v>
      </c>
      <c r="W609" s="20" t="s">
        <v>68</v>
      </c>
      <c r="X609" s="20" t="s">
        <v>69</v>
      </c>
      <c r="Y609" s="20" t="s">
        <v>70</v>
      </c>
      <c r="Z609" s="20" t="s">
        <v>284</v>
      </c>
      <c r="AA609" s="20" t="s">
        <v>409</v>
      </c>
      <c r="AB609" s="20" t="s">
        <v>3393</v>
      </c>
      <c r="AC609" s="20" t="s">
        <v>3393</v>
      </c>
      <c r="AD609" s="20" t="s">
        <v>3393</v>
      </c>
      <c r="AE609" s="20"/>
      <c r="AF609" s="9" t="n">
        <v>0</v>
      </c>
      <c r="AG609" s="12" t="n">
        <v>0</v>
      </c>
      <c r="AH609" s="22" t="s">
        <v>607</v>
      </c>
      <c r="AI609" s="12" t="str">
        <f>IF(AH609="","",IFERROR(RIGHT("0000"&amp;AH609,4)&amp;" - "&amp;UPPER(_xlfn.XLOOKUP(RIGHT("0000"&amp;AH609,4),CODEBOOK_CAP!$C$2:$C$212,CODEBOOK_CAP!$D$2:$D$212)),"Código CAP não encontrado"))</f>
        <v>1300 - GERAL</v>
      </c>
      <c r="AJ609" s="12" t="str">
        <f>IF(AH609="","",IFERROR(_xlfn.XLOOKUP(RIGHT("0000"&amp;AH609,4),CODEBOOK_CAP!$C$2:$C$212,CODEBOOK_CAP!$E$2:$E$212),"Código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09" s="22" t="s">
        <v>77</v>
      </c>
      <c r="AL609" s="26"/>
      <c r="AM609" s="22" t="s">
        <v>77</v>
      </c>
      <c r="AN609" s="22" t="s">
        <v>77</v>
      </c>
      <c r="AO609" s="12"/>
      <c r="AP609" s="22" t="s">
        <v>77</v>
      </c>
      <c r="AQ609" s="12"/>
      <c r="AR609" s="22" t="s">
        <v>77</v>
      </c>
      <c r="AS609" s="10"/>
      <c r="AT609" s="2" t="s">
        <v>1814</v>
      </c>
      <c r="AU609" s="12" t="s">
        <v>83</v>
      </c>
      <c r="AV609" s="3" t="n">
        <v>46223</v>
      </c>
      <c r="AW609" s="21"/>
      <c r="AY609" s="1"/>
      <c r="BA609" s="1"/>
      <c r="BB609" s="1"/>
    </row>
    <row r="610" ht="120" customHeight="1">
      <c r="A610" s="20" t="s">
        <v>3394</v>
      </c>
      <c r="B610" s="20" t="n">
        <v>2023</v>
      </c>
      <c r="C610" s="20" t="n">
        <v>572</v>
      </c>
      <c r="D610" s="20" t="s">
        <v>50</v>
      </c>
      <c r="E610" s="20" t="s">
        <v>3280</v>
      </c>
      <c r="F610" s="20" t="s">
        <v>3395</v>
      </c>
      <c r="G610" s="20" t="s">
        <v>86</v>
      </c>
      <c r="H610" s="20" t="s">
        <v>3282</v>
      </c>
      <c r="I610" s="20"/>
      <c r="J610" s="20" t="s">
        <v>3396</v>
      </c>
      <c r="K610" s="20" t="s">
        <v>56</v>
      </c>
      <c r="L610" s="20" t="s">
        <v>57</v>
      </c>
      <c r="M610" s="20" t="s">
        <v>58</v>
      </c>
      <c r="N610" s="20" t="s">
        <v>59</v>
      </c>
      <c r="O610" s="20" t="s">
        <v>60</v>
      </c>
      <c r="P610" s="20" t="s">
        <v>61</v>
      </c>
      <c r="Q610" s="20" t="s">
        <v>62</v>
      </c>
      <c r="R610" s="20" t="s">
        <v>63</v>
      </c>
      <c r="S610" s="20" t="s">
        <v>64</v>
      </c>
      <c r="T610" s="20" t="s">
        <v>65</v>
      </c>
      <c r="U610" s="20" t="s">
        <v>66</v>
      </c>
      <c r="V610" s="20" t="s">
        <v>67</v>
      </c>
      <c r="W610" s="20" t="s">
        <v>68</v>
      </c>
      <c r="X610" s="20" t="s">
        <v>69</v>
      </c>
      <c r="Y610" s="20" t="s">
        <v>70</v>
      </c>
      <c r="Z610" s="20" t="s">
        <v>71</v>
      </c>
      <c r="AA610" s="20" t="s">
        <v>125</v>
      </c>
      <c r="AB610" s="20" t="s">
        <v>3397</v>
      </c>
      <c r="AC610" s="20" t="s">
        <v>3397</v>
      </c>
      <c r="AD610" s="20" t="s">
        <v>3397</v>
      </c>
      <c r="AE610" s="20"/>
      <c r="AF610" s="9" t="n">
        <v>1</v>
      </c>
      <c r="AG610" s="12" t="n">
        <v>1</v>
      </c>
      <c r="AH610" s="22" t="s">
        <v>235</v>
      </c>
      <c r="AI610" s="12" t="str">
        <f>IF(AH610="","",IFERROR(RIGHT("0000"&amp;AH610,4)&amp;" - "&amp;UPPER(_xlfn.XLOOKUP(RIGHT("0000"&amp;AH610,4),CODEBOOK_CAP!$C$2:$C$212,CODEBOOK_CAP!$D$2:$D$212)),"Código CAP não encontrado"))</f>
        <v>0322 - ESTRUTURAS, HOSPITAIS, CLÍNICAS</v>
      </c>
      <c r="AJ610" s="12" t="str">
        <f>IF(AH610="","",IFERROR(_xlfn.XLOOKUP(RIGHT("0000"&amp;AH610,4),CODEBOOK_CAP!$C$2:$C$212,CODEBOOK_CAP!$E$2:$E$212),"Código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10" s="22" t="s">
        <v>77</v>
      </c>
      <c r="AL610" s="26"/>
      <c r="AM610" s="22" t="s">
        <v>79</v>
      </c>
      <c r="AN610" s="22" t="s">
        <v>79</v>
      </c>
      <c r="AO610" s="12" t="s">
        <v>3386</v>
      </c>
      <c r="AP610" s="22" t="s">
        <v>77</v>
      </c>
      <c r="AQ610" s="12"/>
      <c r="AR610" s="22" t="s">
        <v>77</v>
      </c>
      <c r="AS610" s="10"/>
      <c r="AT610" s="2" t="s">
        <v>1814</v>
      </c>
      <c r="AU610" s="12" t="s">
        <v>83</v>
      </c>
      <c r="AV610" s="3" t="n">
        <v>46223</v>
      </c>
      <c r="AW610" s="21"/>
      <c r="AY610" s="1"/>
      <c r="BA610" s="1"/>
      <c r="BB610" s="1"/>
    </row>
    <row r="611" ht="105" customHeight="1">
      <c r="A611" s="20" t="s">
        <v>3398</v>
      </c>
      <c r="B611" s="20" t="n">
        <v>2023</v>
      </c>
      <c r="C611" s="20" t="n">
        <v>573</v>
      </c>
      <c r="D611" s="20" t="s">
        <v>50</v>
      </c>
      <c r="E611" s="20" t="s">
        <v>3280</v>
      </c>
      <c r="F611" s="20" t="s">
        <v>3399</v>
      </c>
      <c r="G611" s="20" t="s">
        <v>183</v>
      </c>
      <c r="H611" s="20" t="s">
        <v>3282</v>
      </c>
      <c r="I611" s="20"/>
      <c r="J611" s="20" t="s">
        <v>3400</v>
      </c>
      <c r="K611" s="20" t="s">
        <v>3401</v>
      </c>
      <c r="L611" s="20" t="s">
        <v>760</v>
      </c>
      <c r="M611" s="20" t="s">
        <v>761</v>
      </c>
      <c r="N611" s="20" t="s">
        <v>150</v>
      </c>
      <c r="O611" s="20" t="s">
        <v>151</v>
      </c>
      <c r="P611" s="20" t="s">
        <v>1389</v>
      </c>
      <c r="Q611" s="20" t="s">
        <v>1390</v>
      </c>
      <c r="R611" s="20" t="s">
        <v>1391</v>
      </c>
      <c r="S611" s="20" t="s">
        <v>1392</v>
      </c>
      <c r="T611" s="20" t="s">
        <v>3402</v>
      </c>
      <c r="U611" s="20" t="s">
        <v>3403</v>
      </c>
      <c r="V611" s="20" t="s">
        <v>95</v>
      </c>
      <c r="W611" s="20" t="s">
        <v>96</v>
      </c>
      <c r="X611" s="20" t="s">
        <v>97</v>
      </c>
      <c r="Y611" s="20" t="s">
        <v>70</v>
      </c>
      <c r="Z611" s="20" t="s">
        <v>764</v>
      </c>
      <c r="AA611" s="20" t="s">
        <v>363</v>
      </c>
      <c r="AB611" s="20" t="s">
        <v>77</v>
      </c>
      <c r="AC611" s="20" t="s">
        <v>77</v>
      </c>
      <c r="AD611" s="20" t="s">
        <v>77</v>
      </c>
      <c r="AE611" s="20"/>
      <c r="AF611" s="9" t="n">
        <v>0</v>
      </c>
      <c r="AG611" s="12" t="n">
        <v>0</v>
      </c>
      <c r="AH611" s="22" t="s">
        <v>161</v>
      </c>
      <c r="AI611" s="12" t="str">
        <f>IF(AH611="","",IFERROR(RIGHT("0000"&amp;AH611,4)&amp;" - "&amp;UPPER(_xlfn.XLOOKUP(RIGHT("0000"&amp;AH611,4),CODEBOOK_CAP!$C$2:$C$212,CODEBOOK_CAP!$D$2:$D$212)),"Código CAP não encontrado"))</f>
        <v>2300 - GERAL</v>
      </c>
      <c r="AJ611" s="12" t="str">
        <f>IF(AH611="","",IFERROR(_xlfn.XLOOKUP(RIGHT("0000"&amp;AH611,4),CODEBOOK_CAP!$C$2:$C$212,CODEBOOK_CAP!$E$2:$E$212),"Código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11" s="22" t="s">
        <v>77</v>
      </c>
      <c r="AL611" s="26"/>
      <c r="AM611" s="22" t="s">
        <v>77</v>
      </c>
      <c r="AN611" s="22" t="s">
        <v>77</v>
      </c>
      <c r="AO611" s="12"/>
      <c r="AP611" s="22" t="s">
        <v>77</v>
      </c>
      <c r="AQ611" s="12"/>
      <c r="AR611" s="22" t="s">
        <v>77</v>
      </c>
      <c r="AS611" s="10"/>
      <c r="AT611" s="2" t="s">
        <v>1814</v>
      </c>
      <c r="AU611" s="12" t="s">
        <v>83</v>
      </c>
      <c r="AV611" s="3" t="n">
        <v>46223</v>
      </c>
      <c r="AW611" s="21"/>
      <c r="AX611" s="1" t="s">
        <v>6955</v>
      </c>
      <c r="AY611" s="1"/>
      <c r="BA611" s="1"/>
      <c r="BB611" s="1"/>
    </row>
    <row r="612" ht="60" customHeight="1">
      <c r="A612" s="20" t="s">
        <v>3404</v>
      </c>
      <c r="B612" s="20" t="n">
        <v>2023</v>
      </c>
      <c r="C612" s="20" t="n">
        <v>574</v>
      </c>
      <c r="D612" s="20" t="s">
        <v>50</v>
      </c>
      <c r="E612" s="20" t="s">
        <v>3280</v>
      </c>
      <c r="F612" s="20" t="s">
        <v>3405</v>
      </c>
      <c r="G612" s="20" t="s">
        <v>53</v>
      </c>
      <c r="H612" s="20" t="s">
        <v>3282</v>
      </c>
      <c r="I612" s="20"/>
      <c r="J612" s="20" t="s">
        <v>3406</v>
      </c>
      <c r="K612" s="20" t="s">
        <v>3407</v>
      </c>
      <c r="L612" s="20" t="s">
        <v>1724</v>
      </c>
      <c r="M612" s="20" t="s">
        <v>1725</v>
      </c>
      <c r="N612" s="20" t="s">
        <v>1726</v>
      </c>
      <c r="O612" s="20" t="s">
        <v>1727</v>
      </c>
      <c r="P612" s="20" t="s">
        <v>1728</v>
      </c>
      <c r="Q612" s="20" t="s">
        <v>1729</v>
      </c>
      <c r="R612" s="20" t="s">
        <v>1730</v>
      </c>
      <c r="S612" s="20" t="s">
        <v>1731</v>
      </c>
      <c r="T612" s="20" t="s">
        <v>3408</v>
      </c>
      <c r="U612" s="20" t="s">
        <v>3409</v>
      </c>
      <c r="V612" s="20" t="s">
        <v>95</v>
      </c>
      <c r="W612" s="20" t="s">
        <v>96</v>
      </c>
      <c r="X612" s="20" t="s">
        <v>97</v>
      </c>
      <c r="Y612" s="20" t="s">
        <v>70</v>
      </c>
      <c r="Z612" s="20" t="s">
        <v>177</v>
      </c>
      <c r="AA612" s="20" t="s">
        <v>125</v>
      </c>
      <c r="AB612" s="20" t="s">
        <v>77</v>
      </c>
      <c r="AC612" s="20" t="s">
        <v>77</v>
      </c>
      <c r="AD612" s="20" t="s">
        <v>77</v>
      </c>
      <c r="AE612" s="20"/>
      <c r="AF612" s="9" t="n">
        <v>0</v>
      </c>
      <c r="AG612" s="12" t="n">
        <v>0</v>
      </c>
      <c r="AH612" s="22" t="s">
        <v>3410</v>
      </c>
      <c r="AI612" s="12" t="str">
        <f>IF(AH612="","",IFERROR(RIGHT("0000"&amp;AH612,4)&amp;" - "&amp;UPPER(_xlfn.XLOOKUP(RIGHT("0000"&amp;AH612,4),CODEBOOK_CAP!$C$2:$C$212,CODEBOOK_CAP!$D$2:$D$212)),"Código CAP não encontrado"))</f>
        <v>0707 - RECICLAGEM</v>
      </c>
      <c r="AJ612" s="12" t="str">
        <f>IF(AH612="","",IFERROR(_xlfn.XLOOKUP(RIGHT("0000"&amp;AH612,4),CODEBOOK_CAP!$C$2:$C$212,CODEBOOK_CAP!$E$2:$E$212),"Código CAP não encontrado"))</f>
        <v>Observações sobre política de reciclagem, lixo reciclado, fontes reciclaveis, proibicoes de descarte, manuseio, regulação da profissao, catadores, efeitos, insenção de impostos para reciclados.</v>
      </c>
      <c r="AK612" s="22" t="s">
        <v>77</v>
      </c>
      <c r="AL612" s="26"/>
      <c r="AM612" s="22" t="s">
        <v>77</v>
      </c>
      <c r="AN612" s="22" t="s">
        <v>77</v>
      </c>
      <c r="AO612" s="12"/>
      <c r="AP612" s="22" t="s">
        <v>77</v>
      </c>
      <c r="AQ612" s="12"/>
      <c r="AR612" s="22" t="s">
        <v>77</v>
      </c>
      <c r="AS612" s="10"/>
      <c r="AT612" s="2" t="s">
        <v>1814</v>
      </c>
      <c r="AU612" s="12" t="s">
        <v>83</v>
      </c>
      <c r="AV612" s="3" t="n">
        <v>46223</v>
      </c>
      <c r="AW612" s="21"/>
      <c r="AY612" s="1"/>
      <c r="BA612" s="1"/>
      <c r="BB612" s="1"/>
    </row>
    <row r="613" ht="120" customHeight="1">
      <c r="A613" s="20" t="s">
        <v>3411</v>
      </c>
      <c r="B613" s="20" t="n">
        <v>2023</v>
      </c>
      <c r="C613" s="20" t="n">
        <v>669</v>
      </c>
      <c r="D613" s="20" t="s">
        <v>50</v>
      </c>
      <c r="E613" s="20" t="s">
        <v>3412</v>
      </c>
      <c r="F613" s="20" t="s">
        <v>3413</v>
      </c>
      <c r="G613" s="20" t="s">
        <v>315</v>
      </c>
      <c r="H613" s="20" t="s">
        <v>3414</v>
      </c>
      <c r="I613" s="20"/>
      <c r="J613" s="20" t="s">
        <v>3415</v>
      </c>
      <c r="K613" s="20" t="s">
        <v>273</v>
      </c>
      <c r="L613" s="20" t="s">
        <v>274</v>
      </c>
      <c r="M613" s="20" t="s">
        <v>275</v>
      </c>
      <c r="N613" s="20" t="s">
        <v>276</v>
      </c>
      <c r="O613" s="20" t="s">
        <v>277</v>
      </c>
      <c r="P613" s="20" t="s">
        <v>278</v>
      </c>
      <c r="Q613" s="20" t="s">
        <v>279</v>
      </c>
      <c r="R613" s="20" t="s">
        <v>280</v>
      </c>
      <c r="S613" s="20" t="s">
        <v>281</v>
      </c>
      <c r="T613" s="20" t="s">
        <v>282</v>
      </c>
      <c r="U613" s="20" t="s">
        <v>283</v>
      </c>
      <c r="V613" s="20" t="s">
        <v>95</v>
      </c>
      <c r="W613" s="20" t="s">
        <v>96</v>
      </c>
      <c r="X613" s="20" t="s">
        <v>97</v>
      </c>
      <c r="Y613" s="20" t="s">
        <v>70</v>
      </c>
      <c r="Z613" s="20" t="s">
        <v>284</v>
      </c>
      <c r="AA613" s="20" t="s">
        <v>125</v>
      </c>
      <c r="AB613" s="20" t="s">
        <v>125</v>
      </c>
      <c r="AC613" s="20" t="s">
        <v>125</v>
      </c>
      <c r="AD613" s="20" t="s">
        <v>125</v>
      </c>
      <c r="AE613" s="20"/>
      <c r="AF613" s="9" t="n">
        <v>0</v>
      </c>
      <c r="AG613" s="12" t="n">
        <v>0</v>
      </c>
      <c r="AH613" s="22" t="s">
        <v>941</v>
      </c>
      <c r="AI613" s="12" t="str">
        <f>IF(AH613="","",IFERROR(RIGHT("0000"&amp;AH613,4)&amp;" - "&amp;UPPER(_xlfn.XLOOKUP(RIGHT("0000"&amp;AH613,4),CODEBOOK_CAP!$C$2:$C$212,CODEBOOK_CAP!$D$2:$D$212)),"Código CAP não encontrado"))</f>
        <v>1308 - POLÍTICAS SOCIAIS PARA FAMÍLIAS E INFÂNCIA</v>
      </c>
      <c r="AJ613" s="12" t="str">
        <f>IF(AH613="","",IFERROR(_xlfn.XLOOKUP(RIGHT("0000"&amp;AH613,4),CODEBOOK_CAP!$C$2:$C$212,CODEBOOK_CAP!$E$2:$E$212),"Código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613" s="22" t="s">
        <v>77</v>
      </c>
      <c r="AL613" s="26"/>
      <c r="AM613" s="22" t="s">
        <v>77</v>
      </c>
      <c r="AN613" s="22" t="s">
        <v>77</v>
      </c>
      <c r="AO613" s="12"/>
      <c r="AP613" s="22" t="s">
        <v>79</v>
      </c>
      <c r="AQ613" s="12" t="s">
        <v>901</v>
      </c>
      <c r="AR613" s="22" t="s">
        <v>77</v>
      </c>
      <c r="AS613" s="10"/>
      <c r="AT613" s="2" t="s">
        <v>1814</v>
      </c>
      <c r="AU613" s="12" t="s">
        <v>83</v>
      </c>
      <c r="AV613" s="3" t="n">
        <v>46223</v>
      </c>
      <c r="AW613" s="21"/>
      <c r="AY613" s="1"/>
      <c r="BA613" s="1"/>
      <c r="BB613" s="1"/>
    </row>
    <row r="614" ht="120" customHeight="1">
      <c r="A614" s="20" t="s">
        <v>3416</v>
      </c>
      <c r="B614" s="20" t="n">
        <v>2023</v>
      </c>
      <c r="C614" s="20" t="n">
        <v>670</v>
      </c>
      <c r="D614" s="20" t="s">
        <v>50</v>
      </c>
      <c r="E614" s="20" t="s">
        <v>3412</v>
      </c>
      <c r="F614" s="20" t="s">
        <v>3417</v>
      </c>
      <c r="G614" s="20" t="s">
        <v>315</v>
      </c>
      <c r="H614" s="20" t="s">
        <v>3414</v>
      </c>
      <c r="I614" s="20"/>
      <c r="J614" s="20" t="s">
        <v>3418</v>
      </c>
      <c r="K614" s="20" t="s">
        <v>273</v>
      </c>
      <c r="L614" s="20" t="s">
        <v>274</v>
      </c>
      <c r="M614" s="20" t="s">
        <v>275</v>
      </c>
      <c r="N614" s="20" t="s">
        <v>276</v>
      </c>
      <c r="O614" s="20" t="s">
        <v>277</v>
      </c>
      <c r="P614" s="20" t="s">
        <v>278</v>
      </c>
      <c r="Q614" s="20" t="s">
        <v>279</v>
      </c>
      <c r="R614" s="20" t="s">
        <v>280</v>
      </c>
      <c r="S614" s="20" t="s">
        <v>281</v>
      </c>
      <c r="T614" s="20" t="s">
        <v>282</v>
      </c>
      <c r="U614" s="20" t="s">
        <v>283</v>
      </c>
      <c r="V614" s="20" t="s">
        <v>95</v>
      </c>
      <c r="W614" s="20" t="s">
        <v>96</v>
      </c>
      <c r="X614" s="20" t="s">
        <v>97</v>
      </c>
      <c r="Y614" s="20" t="s">
        <v>70</v>
      </c>
      <c r="Z614" s="20" t="s">
        <v>284</v>
      </c>
      <c r="AA614" s="20" t="s">
        <v>125</v>
      </c>
      <c r="AB614" s="20" t="s">
        <v>125</v>
      </c>
      <c r="AC614" s="20" t="s">
        <v>125</v>
      </c>
      <c r="AD614" s="20" t="s">
        <v>125</v>
      </c>
      <c r="AE614" s="20"/>
      <c r="AF614" s="9" t="n">
        <v>0</v>
      </c>
      <c r="AG614" s="12" t="n">
        <v>0</v>
      </c>
      <c r="AH614" s="22" t="s">
        <v>941</v>
      </c>
      <c r="AI614" s="12" t="str">
        <f>IF(AH614="","",IFERROR(RIGHT("0000"&amp;AH614,4)&amp;" - "&amp;UPPER(_xlfn.XLOOKUP(RIGHT("0000"&amp;AH614,4),CODEBOOK_CAP!$C$2:$C$212,CODEBOOK_CAP!$D$2:$D$212)),"Código CAP não encontrado"))</f>
        <v>1308 - POLÍTICAS SOCIAIS PARA FAMÍLIAS E INFÂNCIA</v>
      </c>
      <c r="AJ614" s="12" t="str">
        <f>IF(AH614="","",IFERROR(_xlfn.XLOOKUP(RIGHT("0000"&amp;AH614,4),CODEBOOK_CAP!$C$2:$C$212,CODEBOOK_CAP!$E$2:$E$212),"Código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614" s="22" t="s">
        <v>77</v>
      </c>
      <c r="AL614" s="26"/>
      <c r="AM614" s="22" t="s">
        <v>77</v>
      </c>
      <c r="AN614" s="22" t="s">
        <v>77</v>
      </c>
      <c r="AO614" s="12"/>
      <c r="AP614" s="22" t="s">
        <v>79</v>
      </c>
      <c r="AQ614" s="12" t="s">
        <v>901</v>
      </c>
      <c r="AR614" s="22" t="s">
        <v>77</v>
      </c>
      <c r="AS614" s="10"/>
      <c r="AT614" s="2" t="s">
        <v>1814</v>
      </c>
      <c r="AU614" s="12" t="s">
        <v>83</v>
      </c>
      <c r="AV614" s="3" t="n">
        <v>46223</v>
      </c>
      <c r="AW614" s="21"/>
      <c r="AY614" s="1"/>
      <c r="BA614" s="1"/>
      <c r="BB614" s="1"/>
    </row>
    <row r="615" ht="210" customHeight="1">
      <c r="A615" s="20" t="s">
        <v>3419</v>
      </c>
      <c r="B615" s="20" t="n">
        <v>2023</v>
      </c>
      <c r="C615" s="20" t="n">
        <v>671</v>
      </c>
      <c r="D615" s="20" t="s">
        <v>50</v>
      </c>
      <c r="E615" s="20" t="s">
        <v>3412</v>
      </c>
      <c r="F615" s="20" t="s">
        <v>3420</v>
      </c>
      <c r="G615" s="20" t="s">
        <v>315</v>
      </c>
      <c r="H615" s="20" t="s">
        <v>3414</v>
      </c>
      <c r="I615" s="20"/>
      <c r="J615" s="20" t="s">
        <v>3421</v>
      </c>
      <c r="K615" s="20" t="s">
        <v>2028</v>
      </c>
      <c r="L615" s="20" t="s">
        <v>274</v>
      </c>
      <c r="M615" s="20" t="s">
        <v>275</v>
      </c>
      <c r="N615" s="20" t="s">
        <v>276</v>
      </c>
      <c r="O615" s="20" t="s">
        <v>277</v>
      </c>
      <c r="P615" s="20" t="s">
        <v>278</v>
      </c>
      <c r="Q615" s="20" t="s">
        <v>279</v>
      </c>
      <c r="R615" s="20" t="s">
        <v>817</v>
      </c>
      <c r="S615" s="20" t="s">
        <v>818</v>
      </c>
      <c r="T615" s="20" t="s">
        <v>2029</v>
      </c>
      <c r="U615" s="20" t="s">
        <v>2030</v>
      </c>
      <c r="V615" s="20" t="s">
        <v>95</v>
      </c>
      <c r="W615" s="20" t="s">
        <v>96</v>
      </c>
      <c r="X615" s="20" t="s">
        <v>97</v>
      </c>
      <c r="Y615" s="20" t="s">
        <v>70</v>
      </c>
      <c r="Z615" s="20" t="s">
        <v>284</v>
      </c>
      <c r="AA615" s="20" t="s">
        <v>142</v>
      </c>
      <c r="AB615" s="20" t="s">
        <v>142</v>
      </c>
      <c r="AC615" s="20" t="s">
        <v>142</v>
      </c>
      <c r="AD615" s="20" t="s">
        <v>142</v>
      </c>
      <c r="AE615" s="20"/>
      <c r="AF615" s="9" t="n">
        <v>0</v>
      </c>
      <c r="AG615" s="12" t="n">
        <v>0</v>
      </c>
      <c r="AH615" s="22" t="s">
        <v>607</v>
      </c>
      <c r="AI615" s="12" t="str">
        <f>IF(AH615="","",IFERROR(RIGHT("0000"&amp;AH615,4)&amp;" - "&amp;UPPER(_xlfn.XLOOKUP(RIGHT("0000"&amp;AH615,4),CODEBOOK_CAP!$C$2:$C$212,CODEBOOK_CAP!$D$2:$D$212)),"Código CAP não encontrado"))</f>
        <v>1300 - GERAL</v>
      </c>
      <c r="AJ615" s="12" t="str">
        <f>IF(AH615="","",IFERROR(_xlfn.XLOOKUP(RIGHT("0000"&amp;AH615,4),CODEBOOK_CAP!$C$2:$C$212,CODEBOOK_CAP!$E$2:$E$212),"Código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15" s="22" t="s">
        <v>77</v>
      </c>
      <c r="AL615" s="26"/>
      <c r="AM615" s="22" t="s">
        <v>77</v>
      </c>
      <c r="AN615" s="22" t="s">
        <v>77</v>
      </c>
      <c r="AO615" s="12"/>
      <c r="AP615" s="22" t="s">
        <v>77</v>
      </c>
      <c r="AQ615" s="12"/>
      <c r="AR615" s="22" t="s">
        <v>77</v>
      </c>
      <c r="AS615" s="10"/>
      <c r="AT615" s="2" t="s">
        <v>1814</v>
      </c>
      <c r="AU615" s="12" t="s">
        <v>83</v>
      </c>
      <c r="AV615" s="3" t="n">
        <v>46223</v>
      </c>
      <c r="AW615" s="21"/>
      <c r="AY615" s="1"/>
      <c r="BA615" s="1"/>
      <c r="BB615" s="1"/>
    </row>
    <row r="616" ht="75" customHeight="1">
      <c r="A616" s="20" t="s">
        <v>3422</v>
      </c>
      <c r="B616" s="20" t="n">
        <v>2023</v>
      </c>
      <c r="C616" s="20" t="n">
        <v>672</v>
      </c>
      <c r="D616" s="20" t="s">
        <v>50</v>
      </c>
      <c r="E616" s="20" t="s">
        <v>3412</v>
      </c>
      <c r="F616" s="20" t="s">
        <v>3423</v>
      </c>
      <c r="G616" s="20" t="s">
        <v>86</v>
      </c>
      <c r="H616" s="20" t="s">
        <v>3414</v>
      </c>
      <c r="I616" s="20"/>
      <c r="J616" s="20" t="s">
        <v>3424</v>
      </c>
      <c r="K616" s="20" t="s">
        <v>289</v>
      </c>
      <c r="L616" s="20" t="s">
        <v>208</v>
      </c>
      <c r="M616" s="20" t="s">
        <v>209</v>
      </c>
      <c r="N616" s="20" t="s">
        <v>210</v>
      </c>
      <c r="O616" s="20" t="s">
        <v>211</v>
      </c>
      <c r="P616" s="20" t="s">
        <v>212</v>
      </c>
      <c r="Q616" s="20" t="s">
        <v>213</v>
      </c>
      <c r="R616" s="20" t="s">
        <v>251</v>
      </c>
      <c r="S616" s="20" t="s">
        <v>252</v>
      </c>
      <c r="T616" s="20" t="s">
        <v>290</v>
      </c>
      <c r="U616" s="20" t="s">
        <v>291</v>
      </c>
      <c r="V616" s="20" t="s">
        <v>67</v>
      </c>
      <c r="W616" s="20" t="s">
        <v>68</v>
      </c>
      <c r="X616" s="20" t="s">
        <v>69</v>
      </c>
      <c r="Y616" s="20" t="s">
        <v>70</v>
      </c>
      <c r="Z616" s="20" t="s">
        <v>177</v>
      </c>
      <c r="AA616" s="20" t="s">
        <v>3425</v>
      </c>
      <c r="AB616" s="20" t="s">
        <v>3426</v>
      </c>
      <c r="AC616" s="20" t="s">
        <v>3426</v>
      </c>
      <c r="AD616" s="20" t="s">
        <v>3426</v>
      </c>
      <c r="AE616" s="20" t="s">
        <v>3427</v>
      </c>
      <c r="AF616" s="9" t="n">
        <v>0</v>
      </c>
      <c r="AG616" s="12" t="n">
        <v>0</v>
      </c>
      <c r="AH616" s="22" t="s">
        <v>304</v>
      </c>
      <c r="AI616" s="12" t="str">
        <f>IF(AH616="","",IFERROR(RIGHT("0000"&amp;AH616,4)&amp;" - "&amp;UPPER(_xlfn.XLOOKUP(RIGHT("0000"&amp;AH616,4),CODEBOOK_CAP!$C$2:$C$212,CODEBOOK_CAP!$D$2:$D$212)),"Código CAP não encontrado"))</f>
        <v>1403 - REABILITAÇÃO URBANA, ECONOMIA URBANA</v>
      </c>
      <c r="AJ616" s="12" t="str">
        <f>IF(AH616="","",IFERROR(_xlfn.XLOOKUP(RIGHT("0000"&amp;AH616,4),CODEBOOK_CAP!$C$2:$C$212,CODEBOOK_CAP!$E$2:$E$212),"Código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16" s="22" t="s">
        <v>79</v>
      </c>
      <c r="AL616" s="26" t="s">
        <v>3428</v>
      </c>
      <c r="AM616" s="22" t="s">
        <v>77</v>
      </c>
      <c r="AN616" s="22" t="s">
        <v>77</v>
      </c>
      <c r="AO616" s="12"/>
      <c r="AP616" s="22" t="s">
        <v>77</v>
      </c>
      <c r="AQ616" s="12"/>
      <c r="AR616" s="22" t="s">
        <v>79</v>
      </c>
      <c r="AS616" s="10" t="s">
        <v>3427</v>
      </c>
      <c r="AT616" s="2" t="s">
        <v>1814</v>
      </c>
      <c r="AU616" s="12" t="s">
        <v>83</v>
      </c>
      <c r="AV616" s="3" t="n">
        <v>46223</v>
      </c>
      <c r="AW616" s="21"/>
      <c r="AY616" s="1"/>
      <c r="BA616" s="1"/>
      <c r="BB616" s="1"/>
    </row>
    <row r="617" ht="120" customHeight="1">
      <c r="A617" s="20" t="s">
        <v>3429</v>
      </c>
      <c r="B617" s="20" t="n">
        <v>2023</v>
      </c>
      <c r="C617" s="20" t="n">
        <v>673</v>
      </c>
      <c r="D617" s="20" t="s">
        <v>50</v>
      </c>
      <c r="E617" s="20" t="s">
        <v>3412</v>
      </c>
      <c r="F617" s="20" t="s">
        <v>3430</v>
      </c>
      <c r="G617" s="20" t="s">
        <v>86</v>
      </c>
      <c r="H617" s="20" t="s">
        <v>3414</v>
      </c>
      <c r="I617" s="20"/>
      <c r="J617" s="20" t="s">
        <v>3431</v>
      </c>
      <c r="K617" s="20" t="s">
        <v>416</v>
      </c>
      <c r="L617" s="20" t="s">
        <v>57</v>
      </c>
      <c r="M617" s="20" t="s">
        <v>58</v>
      </c>
      <c r="N617" s="20" t="s">
        <v>59</v>
      </c>
      <c r="O617" s="20" t="s">
        <v>60</v>
      </c>
      <c r="P617" s="20" t="s">
        <v>89</v>
      </c>
      <c r="Q617" s="20" t="s">
        <v>90</v>
      </c>
      <c r="R617" s="20" t="s">
        <v>91</v>
      </c>
      <c r="S617" s="20" t="s">
        <v>92</v>
      </c>
      <c r="T617" s="20" t="s">
        <v>123</v>
      </c>
      <c r="U617" s="20" t="s">
        <v>124</v>
      </c>
      <c r="V617" s="20" t="s">
        <v>417</v>
      </c>
      <c r="W617" s="20" t="s">
        <v>96</v>
      </c>
      <c r="X617" s="20" t="s">
        <v>97</v>
      </c>
      <c r="Y617" s="20" t="s">
        <v>70</v>
      </c>
      <c r="Z617" s="20" t="s">
        <v>98</v>
      </c>
      <c r="AA617" s="20" t="s">
        <v>3432</v>
      </c>
      <c r="AB617" s="20" t="s">
        <v>3432</v>
      </c>
      <c r="AC617" s="20" t="s">
        <v>3432</v>
      </c>
      <c r="AD617" s="20" t="s">
        <v>3432</v>
      </c>
      <c r="AE617" s="20"/>
      <c r="AF617" s="9" t="n">
        <v>1</v>
      </c>
      <c r="AG617" s="12" t="n">
        <v>1</v>
      </c>
      <c r="AH617" s="22" t="s">
        <v>235</v>
      </c>
      <c r="AI617" s="12" t="str">
        <f>IF(AH617="","",IFERROR(RIGHT("0000"&amp;AH617,4)&amp;" - "&amp;UPPER(_xlfn.XLOOKUP(RIGHT("0000"&amp;AH617,4),CODEBOOK_CAP!$C$2:$C$212,CODEBOOK_CAP!$D$2:$D$212)),"Código CAP não encontrado"))</f>
        <v>0322 - ESTRUTURAS, HOSPITAIS, CLÍNICAS</v>
      </c>
      <c r="AJ617" s="12" t="str">
        <f>IF(AH617="","",IFERROR(_xlfn.XLOOKUP(RIGHT("0000"&amp;AH617,4),CODEBOOK_CAP!$C$2:$C$212,CODEBOOK_CAP!$E$2:$E$212),"Código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17" s="22" t="s">
        <v>77</v>
      </c>
      <c r="AL617" s="26"/>
      <c r="AM617" s="22" t="s">
        <v>79</v>
      </c>
      <c r="AN617" s="22" t="s">
        <v>79</v>
      </c>
      <c r="AO617" s="12" t="s">
        <v>3433</v>
      </c>
      <c r="AP617" s="22" t="s">
        <v>77</v>
      </c>
      <c r="AQ617" s="12"/>
      <c r="AR617" s="22" t="s">
        <v>77</v>
      </c>
      <c r="AS617" s="10"/>
      <c r="AT617" s="2" t="s">
        <v>1814</v>
      </c>
      <c r="AU617" s="12" t="s">
        <v>83</v>
      </c>
      <c r="AV617" s="3" t="n">
        <v>46223</v>
      </c>
      <c r="AW617" s="21"/>
      <c r="AY617" s="1"/>
      <c r="BA617" s="1"/>
      <c r="BB617" s="1"/>
    </row>
    <row r="618" ht="255" customHeight="1">
      <c r="A618" s="20" t="s">
        <v>3434</v>
      </c>
      <c r="B618" s="20" t="n">
        <v>2023</v>
      </c>
      <c r="C618" s="20" t="n">
        <v>758</v>
      </c>
      <c r="D618" s="20" t="s">
        <v>50</v>
      </c>
      <c r="E618" s="20" t="s">
        <v>3435</v>
      </c>
      <c r="F618" s="20" t="s">
        <v>3436</v>
      </c>
      <c r="G618" s="20" t="s">
        <v>86</v>
      </c>
      <c r="H618" s="20" t="s">
        <v>3437</v>
      </c>
      <c r="I618" s="20"/>
      <c r="J618" s="20" t="s">
        <v>3438</v>
      </c>
      <c r="K618" s="20" t="s">
        <v>207</v>
      </c>
      <c r="L618" s="20" t="s">
        <v>208</v>
      </c>
      <c r="M618" s="20" t="s">
        <v>209</v>
      </c>
      <c r="N618" s="20" t="s">
        <v>210</v>
      </c>
      <c r="O618" s="20" t="s">
        <v>211</v>
      </c>
      <c r="P618" s="20" t="s">
        <v>212</v>
      </c>
      <c r="Q618" s="20" t="s">
        <v>213</v>
      </c>
      <c r="R618" s="20" t="s">
        <v>214</v>
      </c>
      <c r="S618" s="20" t="s">
        <v>215</v>
      </c>
      <c r="T618" s="20" t="s">
        <v>216</v>
      </c>
      <c r="U618" s="20" t="s">
        <v>217</v>
      </c>
      <c r="V618" s="20" t="s">
        <v>67</v>
      </c>
      <c r="W618" s="20" t="s">
        <v>68</v>
      </c>
      <c r="X618" s="20" t="s">
        <v>69</v>
      </c>
      <c r="Y618" s="20" t="s">
        <v>70</v>
      </c>
      <c r="Z618" s="20" t="s">
        <v>177</v>
      </c>
      <c r="AA618" s="20" t="s">
        <v>3439</v>
      </c>
      <c r="AB618" s="20" t="s">
        <v>3440</v>
      </c>
      <c r="AC618" s="20" t="s">
        <v>3440</v>
      </c>
      <c r="AD618" s="20" t="s">
        <v>3440</v>
      </c>
      <c r="AE618" s="20"/>
      <c r="AF618" s="9" t="n">
        <v>0</v>
      </c>
      <c r="AG618" s="12" t="n">
        <v>0</v>
      </c>
      <c r="AH618" s="22" t="s">
        <v>219</v>
      </c>
      <c r="AI618" s="12" t="str">
        <f>IF(AH618="","",IFERROR(RIGHT("0000"&amp;AH618,4)&amp;" - "&amp;UPPER(_xlfn.XLOOKUP(RIGHT("0000"&amp;AH618,4),CODEBOOK_CAP!$C$2:$C$212,CODEBOOK_CAP!$D$2:$D$212)),"Código CAP não encontrado"))</f>
        <v>1002 - CARROS, TRÂNSITO, CONSTRUÇÃO E MANUTENÇÃO DE RUAS E ESTRADAS</v>
      </c>
      <c r="AJ618" s="12" t="str">
        <f>IF(AH618="","",IFERROR(_xlfn.XLOOKUP(RIGHT("0000"&amp;AH618,4),CODEBOOK_CAP!$C$2:$C$212,CODEBOOK_CAP!$E$2:$E$212),"Código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618" s="22" t="s">
        <v>79</v>
      </c>
      <c r="AL618" s="26" t="s">
        <v>1812</v>
      </c>
      <c r="AM618" s="22" t="s">
        <v>77</v>
      </c>
      <c r="AN618" s="22" t="s">
        <v>77</v>
      </c>
      <c r="AO618" s="12"/>
      <c r="AP618" s="22" t="s">
        <v>77</v>
      </c>
      <c r="AQ618" s="12"/>
      <c r="AR618" s="22" t="s">
        <v>77</v>
      </c>
      <c r="AS618" s="10"/>
      <c r="AT618" s="2" t="s">
        <v>1814</v>
      </c>
      <c r="AU618" s="12" t="s">
        <v>83</v>
      </c>
      <c r="AV618" s="3" t="n">
        <v>46223</v>
      </c>
      <c r="AW618" s="21"/>
      <c r="AY618" s="1"/>
      <c r="BA618" s="1"/>
      <c r="BB618" s="1"/>
    </row>
    <row r="619" ht="105" customHeight="1">
      <c r="A619" s="20" t="s">
        <v>3441</v>
      </c>
      <c r="B619" s="20" t="n">
        <v>2023</v>
      </c>
      <c r="C619" s="20" t="n">
        <v>759</v>
      </c>
      <c r="D619" s="20" t="s">
        <v>50</v>
      </c>
      <c r="E619" s="20" t="s">
        <v>3435</v>
      </c>
      <c r="F619" s="20" t="s">
        <v>3442</v>
      </c>
      <c r="G619" s="20" t="s">
        <v>183</v>
      </c>
      <c r="H619" s="20" t="s">
        <v>3437</v>
      </c>
      <c r="I619" s="20"/>
      <c r="J619" s="20" t="s">
        <v>3443</v>
      </c>
      <c r="K619" s="20" t="s">
        <v>241</v>
      </c>
      <c r="L619" s="20" t="s">
        <v>208</v>
      </c>
      <c r="M619" s="20" t="s">
        <v>209</v>
      </c>
      <c r="N619" s="20" t="s">
        <v>188</v>
      </c>
      <c r="O619" s="20" t="s">
        <v>189</v>
      </c>
      <c r="P619" s="20" t="s">
        <v>190</v>
      </c>
      <c r="Q619" s="20" t="s">
        <v>191</v>
      </c>
      <c r="R619" s="20" t="s">
        <v>192</v>
      </c>
      <c r="S619" s="20" t="s">
        <v>193</v>
      </c>
      <c r="T619" s="20" t="s">
        <v>242</v>
      </c>
      <c r="U619" s="20" t="s">
        <v>243</v>
      </c>
      <c r="V619" s="20" t="s">
        <v>67</v>
      </c>
      <c r="W619" s="20" t="s">
        <v>68</v>
      </c>
      <c r="X619" s="20" t="s">
        <v>69</v>
      </c>
      <c r="Y619" s="20" t="s">
        <v>70</v>
      </c>
      <c r="Z619" s="20" t="s">
        <v>177</v>
      </c>
      <c r="AA619" s="20" t="s">
        <v>160</v>
      </c>
      <c r="AB619" s="20" t="s">
        <v>77</v>
      </c>
      <c r="AC619" s="20" t="s">
        <v>77</v>
      </c>
      <c r="AD619" s="20" t="s">
        <v>77</v>
      </c>
      <c r="AE619" s="20"/>
      <c r="AF619" s="9" t="n">
        <v>0</v>
      </c>
      <c r="AG619" s="12" t="n">
        <v>0</v>
      </c>
      <c r="AH619" s="22" t="s">
        <v>161</v>
      </c>
      <c r="AI619" s="12" t="str">
        <f>IF(AH619="","",IFERROR(RIGHT("0000"&amp;AH619,4)&amp;" - "&amp;UPPER(_xlfn.XLOOKUP(RIGHT("0000"&amp;AH619,4),CODEBOOK_CAP!$C$2:$C$212,CODEBOOK_CAP!$D$2:$D$212)),"Código CAP não encontrado"))</f>
        <v>2300 - GERAL</v>
      </c>
      <c r="AJ619" s="12" t="str">
        <f>IF(AH619="","",IFERROR(_xlfn.XLOOKUP(RIGHT("0000"&amp;AH619,4),CODEBOOK_CAP!$C$2:$C$212,CODEBOOK_CAP!$E$2:$E$212),"Código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19" s="22" t="s">
        <v>79</v>
      </c>
      <c r="AL619" s="26" t="s">
        <v>3444</v>
      </c>
      <c r="AM619" s="22" t="s">
        <v>79</v>
      </c>
      <c r="AN619" s="22" t="s">
        <v>79</v>
      </c>
      <c r="AO619" s="12" t="s">
        <v>3445</v>
      </c>
      <c r="AP619" s="22" t="s">
        <v>77</v>
      </c>
      <c r="AQ619" s="12"/>
      <c r="AR619" s="22" t="s">
        <v>77</v>
      </c>
      <c r="AS619" s="10"/>
      <c r="AT619" s="2" t="s">
        <v>1814</v>
      </c>
      <c r="AU619" s="12" t="s">
        <v>83</v>
      </c>
      <c r="AV619" s="3" t="n">
        <v>46223</v>
      </c>
      <c r="AW619" s="21"/>
      <c r="AX619" s="1" t="s">
        <v>6956</v>
      </c>
      <c r="AY619" s="1"/>
      <c r="BA619" s="1"/>
      <c r="BB619" s="1"/>
    </row>
    <row r="620" ht="90" customHeight="1">
      <c r="A620" s="20" t="s">
        <v>3446</v>
      </c>
      <c r="B620" s="20" t="n">
        <v>2023</v>
      </c>
      <c r="C620" s="20" t="n">
        <v>760</v>
      </c>
      <c r="D620" s="20" t="s">
        <v>50</v>
      </c>
      <c r="E620" s="20" t="s">
        <v>3435</v>
      </c>
      <c r="F620" s="20" t="s">
        <v>3447</v>
      </c>
      <c r="G620" s="20" t="s">
        <v>315</v>
      </c>
      <c r="H620" s="20" t="s">
        <v>3437</v>
      </c>
      <c r="I620" s="20"/>
      <c r="J620" s="20" t="s">
        <v>3448</v>
      </c>
      <c r="K620" s="20" t="s">
        <v>2028</v>
      </c>
      <c r="L620" s="20" t="s">
        <v>274</v>
      </c>
      <c r="M620" s="20" t="s">
        <v>275</v>
      </c>
      <c r="N620" s="20" t="s">
        <v>276</v>
      </c>
      <c r="O620" s="20" t="s">
        <v>277</v>
      </c>
      <c r="P620" s="20" t="s">
        <v>278</v>
      </c>
      <c r="Q620" s="20" t="s">
        <v>279</v>
      </c>
      <c r="R620" s="20" t="s">
        <v>817</v>
      </c>
      <c r="S620" s="20" t="s">
        <v>818</v>
      </c>
      <c r="T620" s="20" t="s">
        <v>2029</v>
      </c>
      <c r="U620" s="20" t="s">
        <v>2030</v>
      </c>
      <c r="V620" s="20" t="s">
        <v>95</v>
      </c>
      <c r="W620" s="20" t="s">
        <v>96</v>
      </c>
      <c r="X620" s="20" t="s">
        <v>97</v>
      </c>
      <c r="Y620" s="20" t="s">
        <v>70</v>
      </c>
      <c r="Z620" s="20" t="s">
        <v>284</v>
      </c>
      <c r="AA620" s="20" t="s">
        <v>125</v>
      </c>
      <c r="AB620" s="20" t="s">
        <v>125</v>
      </c>
      <c r="AC620" s="20" t="s">
        <v>125</v>
      </c>
      <c r="AD620" s="20" t="s">
        <v>125</v>
      </c>
      <c r="AE620" s="20"/>
      <c r="AF620" s="9" t="n">
        <v>0</v>
      </c>
      <c r="AG620" s="12" t="n">
        <v>0</v>
      </c>
      <c r="AH620" s="22" t="s">
        <v>941</v>
      </c>
      <c r="AI620" s="12" t="str">
        <f>IF(AH620="","",IFERROR(RIGHT("0000"&amp;AH620,4)&amp;" - "&amp;UPPER(_xlfn.XLOOKUP(RIGHT("0000"&amp;AH620,4),CODEBOOK_CAP!$C$2:$C$212,CODEBOOK_CAP!$D$2:$D$212)),"Código CAP não encontrado"))</f>
        <v>1308 - POLÍTICAS SOCIAIS PARA FAMÍLIAS E INFÂNCIA</v>
      </c>
      <c r="AJ620" s="12" t="str">
        <f>IF(AH620="","",IFERROR(_xlfn.XLOOKUP(RIGHT("0000"&amp;AH620,4),CODEBOOK_CAP!$C$2:$C$212,CODEBOOK_CAP!$E$2:$E$212),"Código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620" s="22" t="s">
        <v>79</v>
      </c>
      <c r="AL620" s="26" t="s">
        <v>3449</v>
      </c>
      <c r="AM620" s="22" t="s">
        <v>79</v>
      </c>
      <c r="AN620" s="22" t="s">
        <v>79</v>
      </c>
      <c r="AO620" s="12" t="s">
        <v>3450</v>
      </c>
      <c r="AP620" s="22" t="s">
        <v>79</v>
      </c>
      <c r="AQ620" s="12" t="s">
        <v>1094</v>
      </c>
      <c r="AR620" s="22" t="s">
        <v>77</v>
      </c>
      <c r="AS620" s="10"/>
      <c r="AT620" s="2" t="s">
        <v>1814</v>
      </c>
      <c r="AU620" s="12" t="s">
        <v>83</v>
      </c>
      <c r="AV620" s="3" t="n">
        <v>46223</v>
      </c>
      <c r="AW620" s="21"/>
      <c r="AY620" s="1"/>
      <c r="BA620" s="1"/>
      <c r="BB620" s="1"/>
    </row>
    <row r="621" ht="210" customHeight="1">
      <c r="A621" s="20" t="s">
        <v>3451</v>
      </c>
      <c r="B621" s="20" t="n">
        <v>2023</v>
      </c>
      <c r="C621" s="20" t="n">
        <v>761</v>
      </c>
      <c r="D621" s="20" t="s">
        <v>50</v>
      </c>
      <c r="E621" s="20" t="s">
        <v>3435</v>
      </c>
      <c r="F621" s="20" t="s">
        <v>3452</v>
      </c>
      <c r="G621" s="20" t="s">
        <v>315</v>
      </c>
      <c r="H621" s="20" t="s">
        <v>3437</v>
      </c>
      <c r="I621" s="20"/>
      <c r="J621" s="20" t="s">
        <v>3453</v>
      </c>
      <c r="K621" s="20" t="s">
        <v>2028</v>
      </c>
      <c r="L621" s="20" t="s">
        <v>274</v>
      </c>
      <c r="M621" s="20" t="s">
        <v>275</v>
      </c>
      <c r="N621" s="20" t="s">
        <v>276</v>
      </c>
      <c r="O621" s="20" t="s">
        <v>277</v>
      </c>
      <c r="P621" s="20" t="s">
        <v>278</v>
      </c>
      <c r="Q621" s="20" t="s">
        <v>279</v>
      </c>
      <c r="R621" s="20" t="s">
        <v>817</v>
      </c>
      <c r="S621" s="20" t="s">
        <v>818</v>
      </c>
      <c r="T621" s="20" t="s">
        <v>2029</v>
      </c>
      <c r="U621" s="20" t="s">
        <v>2030</v>
      </c>
      <c r="V621" s="20" t="s">
        <v>95</v>
      </c>
      <c r="W621" s="20" t="s">
        <v>96</v>
      </c>
      <c r="X621" s="20" t="s">
        <v>97</v>
      </c>
      <c r="Y621" s="20" t="s">
        <v>70</v>
      </c>
      <c r="Z621" s="20" t="s">
        <v>284</v>
      </c>
      <c r="AA621" s="20" t="s">
        <v>125</v>
      </c>
      <c r="AB621" s="20" t="s">
        <v>125</v>
      </c>
      <c r="AC621" s="20" t="s">
        <v>125</v>
      </c>
      <c r="AD621" s="20" t="s">
        <v>125</v>
      </c>
      <c r="AE621" s="20"/>
      <c r="AF621" s="9" t="n">
        <v>0</v>
      </c>
      <c r="AG621" s="12" t="n">
        <v>0</v>
      </c>
      <c r="AH621" s="22" t="s">
        <v>607</v>
      </c>
      <c r="AI621" s="12" t="str">
        <f>IF(AH621="","",IFERROR(RIGHT("0000"&amp;AH621,4)&amp;" - "&amp;UPPER(_xlfn.XLOOKUP(RIGHT("0000"&amp;AH621,4),CODEBOOK_CAP!$C$2:$C$212,CODEBOOK_CAP!$D$2:$D$212)),"Código CAP não encontrado"))</f>
        <v>1300 - GERAL</v>
      </c>
      <c r="AJ621" s="12" t="str">
        <f>IF(AH621="","",IFERROR(_xlfn.XLOOKUP(RIGHT("0000"&amp;AH621,4),CODEBOOK_CAP!$C$2:$C$212,CODEBOOK_CAP!$E$2:$E$212),"Código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21" s="22" t="s">
        <v>79</v>
      </c>
      <c r="AL621" s="26" t="s">
        <v>3454</v>
      </c>
      <c r="AM621" s="22" t="s">
        <v>79</v>
      </c>
      <c r="AN621" s="22" t="s">
        <v>79</v>
      </c>
      <c r="AO621" s="12" t="s">
        <v>3454</v>
      </c>
      <c r="AP621" s="22" t="s">
        <v>77</v>
      </c>
      <c r="AQ621" s="12"/>
      <c r="AR621" s="22" t="s">
        <v>77</v>
      </c>
      <c r="AS621" s="10"/>
      <c r="AT621" s="2" t="s">
        <v>1814</v>
      </c>
      <c r="AU621" s="12" t="s">
        <v>83</v>
      </c>
      <c r="AV621" s="3" t="n">
        <v>46223</v>
      </c>
      <c r="AW621" s="21"/>
      <c r="AY621" s="1"/>
      <c r="BA621" s="1"/>
      <c r="BB621" s="1"/>
    </row>
    <row r="622" ht="225" customHeight="1">
      <c r="A622" s="20" t="s">
        <v>3455</v>
      </c>
      <c r="B622" s="20" t="n">
        <v>2023</v>
      </c>
      <c r="C622" s="20" t="n">
        <v>762</v>
      </c>
      <c r="D622" s="20" t="s">
        <v>50</v>
      </c>
      <c r="E622" s="20" t="s">
        <v>3435</v>
      </c>
      <c r="F622" s="20" t="s">
        <v>3456</v>
      </c>
      <c r="G622" s="20" t="s">
        <v>86</v>
      </c>
      <c r="H622" s="20" t="s">
        <v>3437</v>
      </c>
      <c r="I622" s="20"/>
      <c r="J622" s="20" t="s">
        <v>3457</v>
      </c>
      <c r="K622" s="20" t="s">
        <v>3458</v>
      </c>
      <c r="L622" s="20" t="s">
        <v>57</v>
      </c>
      <c r="M622" s="20" t="s">
        <v>58</v>
      </c>
      <c r="N622" s="20" t="s">
        <v>59</v>
      </c>
      <c r="O622" s="20" t="s">
        <v>60</v>
      </c>
      <c r="P622" s="20" t="s">
        <v>61</v>
      </c>
      <c r="Q622" s="20" t="s">
        <v>62</v>
      </c>
      <c r="R622" s="20" t="s">
        <v>63</v>
      </c>
      <c r="S622" s="20" t="s">
        <v>64</v>
      </c>
      <c r="T622" s="20" t="s">
        <v>65</v>
      </c>
      <c r="U622" s="20" t="s">
        <v>66</v>
      </c>
      <c r="V622" s="20" t="s">
        <v>67</v>
      </c>
      <c r="W622" s="20" t="s">
        <v>68</v>
      </c>
      <c r="X622" s="20" t="s">
        <v>69</v>
      </c>
      <c r="Y622" s="20" t="s">
        <v>70</v>
      </c>
      <c r="Z622" s="20" t="s">
        <v>71</v>
      </c>
      <c r="AA622" s="20" t="s">
        <v>409</v>
      </c>
      <c r="AB622" s="20" t="s">
        <v>409</v>
      </c>
      <c r="AC622" s="20" t="s">
        <v>409</v>
      </c>
      <c r="AD622" s="20" t="s">
        <v>409</v>
      </c>
      <c r="AE622" s="20"/>
      <c r="AF622" s="9" t="n">
        <v>1</v>
      </c>
      <c r="AG622" s="12" t="n">
        <v>1</v>
      </c>
      <c r="AH622" s="22" t="s">
        <v>117</v>
      </c>
      <c r="AI622" s="12" t="str">
        <f>IF(AH622="","",IFERROR(RIGHT("0000"&amp;AH622,4)&amp;" - "&amp;UPPER(_xlfn.XLOOKUP(RIGHT("0000"&amp;AH622,4),CODEBOOK_CAP!$C$2:$C$212,CODEBOOK_CAP!$D$2:$D$212)),"Código CAP não encontrado"))</f>
        <v>0331 - PREVENÇÃO, CAMPANHAS E PROMOÇÃO</v>
      </c>
      <c r="AJ622" s="12" t="str">
        <f>IF(AH622="","",IFERROR(_xlfn.XLOOKUP(RIGHT("0000"&amp;AH622,4),CODEBOOK_CAP!$C$2:$C$212,CODEBOOK_CAP!$E$2:$E$212),"Código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622" s="22" t="s">
        <v>77</v>
      </c>
      <c r="AL622" s="26"/>
      <c r="AM622" s="22" t="s">
        <v>79</v>
      </c>
      <c r="AN622" s="22" t="s">
        <v>79</v>
      </c>
      <c r="AO622" s="12" t="s">
        <v>3459</v>
      </c>
      <c r="AP622" s="22" t="s">
        <v>77</v>
      </c>
      <c r="AQ622" s="12"/>
      <c r="AR622" s="22" t="s">
        <v>77</v>
      </c>
      <c r="AS622" s="10"/>
      <c r="AT622" s="2" t="s">
        <v>1814</v>
      </c>
      <c r="AU622" s="12" t="s">
        <v>83</v>
      </c>
      <c r="AV622" s="3" t="n">
        <v>46223</v>
      </c>
      <c r="AW622" s="21"/>
      <c r="AY622" s="1"/>
      <c r="BA622" s="1"/>
      <c r="BB622" s="1"/>
    </row>
    <row r="623" ht="135" customHeight="1">
      <c r="A623" s="20" t="s">
        <v>3460</v>
      </c>
      <c r="B623" s="20" t="n">
        <v>2023</v>
      </c>
      <c r="C623" s="20" t="n">
        <v>763</v>
      </c>
      <c r="D623" s="20" t="s">
        <v>50</v>
      </c>
      <c r="E623" s="20" t="s">
        <v>3435</v>
      </c>
      <c r="F623" s="20" t="s">
        <v>3461</v>
      </c>
      <c r="G623" s="20" t="s">
        <v>86</v>
      </c>
      <c r="H623" s="20" t="s">
        <v>3437</v>
      </c>
      <c r="I623" s="20"/>
      <c r="J623" s="20" t="s">
        <v>3462</v>
      </c>
      <c r="K623" s="20" t="s">
        <v>721</v>
      </c>
      <c r="L623" s="20" t="s">
        <v>722</v>
      </c>
      <c r="M623" s="20" t="s">
        <v>723</v>
      </c>
      <c r="N623" s="20" t="s">
        <v>724</v>
      </c>
      <c r="O623" s="20" t="s">
        <v>725</v>
      </c>
      <c r="P623" s="20" t="s">
        <v>61</v>
      </c>
      <c r="Q623" s="20" t="s">
        <v>62</v>
      </c>
      <c r="R623" s="20" t="s">
        <v>726</v>
      </c>
      <c r="S623" s="20" t="s">
        <v>727</v>
      </c>
      <c r="T623" s="20" t="s">
        <v>728</v>
      </c>
      <c r="U623" s="20" t="s">
        <v>729</v>
      </c>
      <c r="V623" s="20" t="s">
        <v>95</v>
      </c>
      <c r="W623" s="20" t="s">
        <v>96</v>
      </c>
      <c r="X623" s="20" t="s">
        <v>97</v>
      </c>
      <c r="Y623" s="20" t="s">
        <v>70</v>
      </c>
      <c r="Z623" s="20" t="s">
        <v>730</v>
      </c>
      <c r="AA623" s="20" t="s">
        <v>409</v>
      </c>
      <c r="AB623" s="20" t="s">
        <v>3463</v>
      </c>
      <c r="AC623" s="20" t="s">
        <v>3463</v>
      </c>
      <c r="AD623" s="20" t="s">
        <v>3463</v>
      </c>
      <c r="AE623" s="20"/>
      <c r="AF623" s="9" t="n">
        <v>0</v>
      </c>
      <c r="AG623" s="12" t="n">
        <v>0</v>
      </c>
      <c r="AH623" s="22" t="s">
        <v>732</v>
      </c>
      <c r="AI623" s="12" t="str">
        <f>IF(AH623="","",IFERROR(RIGHT("0000"&amp;AH623,4)&amp;" - "&amp;UPPER(_xlfn.XLOOKUP(RIGHT("0000"&amp;AH623,4),CODEBOOK_CAP!$C$2:$C$212,CODEBOOK_CAP!$D$2:$D$212)),"Código CAP não encontrado"))</f>
        <v>1211 - CRIME COMUM , VIOLÊNCIA E PREVENÇÃO</v>
      </c>
      <c r="AJ623" s="12" t="str">
        <f>IF(AH623="","",IFERROR(_xlfn.XLOOKUP(RIGHT("0000"&amp;AH623,4),CODEBOOK_CAP!$C$2:$C$212,CODEBOOK_CAP!$E$2:$E$212),"Código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623" s="22" t="s">
        <v>79</v>
      </c>
      <c r="AL623" s="26" t="s">
        <v>3464</v>
      </c>
      <c r="AM623" s="22" t="s">
        <v>78</v>
      </c>
      <c r="AN623" s="22" t="s">
        <v>79</v>
      </c>
      <c r="AO623" s="12" t="s">
        <v>3464</v>
      </c>
      <c r="AP623" s="22" t="s">
        <v>77</v>
      </c>
      <c r="AQ623" s="12"/>
      <c r="AR623" s="22" t="s">
        <v>77</v>
      </c>
      <c r="AS623" s="10"/>
      <c r="AT623" s="2" t="s">
        <v>1814</v>
      </c>
      <c r="AU623" s="12" t="s">
        <v>83</v>
      </c>
      <c r="AV623" s="3" t="n">
        <v>46223</v>
      </c>
      <c r="AW623" s="21"/>
      <c r="AY623" s="1"/>
      <c r="BA623" s="1"/>
      <c r="BB623" s="1"/>
    </row>
    <row r="624" ht="120" customHeight="1">
      <c r="A624" s="20" t="s">
        <v>3465</v>
      </c>
      <c r="B624" s="20" t="n">
        <v>2023</v>
      </c>
      <c r="C624" s="20" t="n">
        <v>764</v>
      </c>
      <c r="D624" s="20" t="s">
        <v>50</v>
      </c>
      <c r="E624" s="20" t="s">
        <v>3435</v>
      </c>
      <c r="F624" s="20" t="s">
        <v>3466</v>
      </c>
      <c r="G624" s="20" t="s">
        <v>86</v>
      </c>
      <c r="H624" s="20" t="s">
        <v>3437</v>
      </c>
      <c r="I624" s="20"/>
      <c r="J624" s="20" t="s">
        <v>3467</v>
      </c>
      <c r="K624" s="20" t="s">
        <v>122</v>
      </c>
      <c r="L624" s="20" t="s">
        <v>57</v>
      </c>
      <c r="M624" s="20" t="s">
        <v>58</v>
      </c>
      <c r="N624" s="20" t="s">
        <v>59</v>
      </c>
      <c r="O624" s="20" t="s">
        <v>60</v>
      </c>
      <c r="P624" s="20" t="s">
        <v>89</v>
      </c>
      <c r="Q624" s="20" t="s">
        <v>90</v>
      </c>
      <c r="R624" s="20" t="s">
        <v>91</v>
      </c>
      <c r="S624" s="20" t="s">
        <v>92</v>
      </c>
      <c r="T624" s="20" t="s">
        <v>123</v>
      </c>
      <c r="U624" s="20" t="s">
        <v>124</v>
      </c>
      <c r="V624" s="20" t="s">
        <v>95</v>
      </c>
      <c r="W624" s="20" t="s">
        <v>96</v>
      </c>
      <c r="X624" s="20" t="s">
        <v>97</v>
      </c>
      <c r="Y624" s="20" t="s">
        <v>70</v>
      </c>
      <c r="Z624" s="20" t="s">
        <v>98</v>
      </c>
      <c r="AA624" s="20" t="s">
        <v>198</v>
      </c>
      <c r="AB624" s="20" t="s">
        <v>198</v>
      </c>
      <c r="AC624" s="20" t="s">
        <v>198</v>
      </c>
      <c r="AD624" s="20" t="s">
        <v>198</v>
      </c>
      <c r="AE624" s="20"/>
      <c r="AF624" s="9" t="n">
        <v>1</v>
      </c>
      <c r="AG624" s="12" t="n">
        <v>1</v>
      </c>
      <c r="AH624" s="22" t="s">
        <v>235</v>
      </c>
      <c r="AI624" s="12" t="str">
        <f>IF(AH624="","",IFERROR(RIGHT("0000"&amp;AH624,4)&amp;" - "&amp;UPPER(_xlfn.XLOOKUP(RIGHT("0000"&amp;AH624,4),CODEBOOK_CAP!$C$2:$C$212,CODEBOOK_CAP!$D$2:$D$212)),"Código CAP não encontrado"))</f>
        <v>0322 - ESTRUTURAS, HOSPITAIS, CLÍNICAS</v>
      </c>
      <c r="AJ624" s="12" t="str">
        <f>IF(AH624="","",IFERROR(_xlfn.XLOOKUP(RIGHT("0000"&amp;AH624,4),CODEBOOK_CAP!$C$2:$C$212,CODEBOOK_CAP!$E$2:$E$212),"Código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24" s="22" t="s">
        <v>77</v>
      </c>
      <c r="AL624" s="26"/>
      <c r="AM624" s="22" t="s">
        <v>79</v>
      </c>
      <c r="AN624" s="22" t="s">
        <v>79</v>
      </c>
      <c r="AO624" s="12" t="s">
        <v>3468</v>
      </c>
      <c r="AP624" s="22" t="s">
        <v>77</v>
      </c>
      <c r="AQ624" s="12"/>
      <c r="AR624" s="22" t="s">
        <v>77</v>
      </c>
      <c r="AS624" s="10"/>
      <c r="AT624" s="2" t="s">
        <v>1814</v>
      </c>
      <c r="AU624" s="12" t="s">
        <v>83</v>
      </c>
      <c r="AV624" s="3" t="n">
        <v>46223</v>
      </c>
      <c r="AW624" s="21"/>
      <c r="AY624" s="1"/>
      <c r="BA624" s="1"/>
      <c r="BB624" s="1"/>
    </row>
    <row r="625" ht="210" customHeight="1">
      <c r="A625" s="20" t="s">
        <v>3469</v>
      </c>
      <c r="B625" s="20" t="n">
        <v>2023</v>
      </c>
      <c r="C625" s="20" t="n">
        <v>765</v>
      </c>
      <c r="D625" s="20" t="s">
        <v>50</v>
      </c>
      <c r="E625" s="20" t="s">
        <v>3435</v>
      </c>
      <c r="F625" s="20" t="s">
        <v>3470</v>
      </c>
      <c r="G625" s="20" t="s">
        <v>183</v>
      </c>
      <c r="H625" s="20" t="s">
        <v>3437</v>
      </c>
      <c r="I625" s="20"/>
      <c r="J625" s="20" t="s">
        <v>3471</v>
      </c>
      <c r="K625" s="20" t="s">
        <v>3472</v>
      </c>
      <c r="L625" s="20" t="s">
        <v>274</v>
      </c>
      <c r="M625" s="20" t="s">
        <v>275</v>
      </c>
      <c r="N625" s="20" t="s">
        <v>1408</v>
      </c>
      <c r="O625" s="20" t="s">
        <v>1409</v>
      </c>
      <c r="P625" s="20" t="s">
        <v>1410</v>
      </c>
      <c r="Q625" s="20" t="s">
        <v>1411</v>
      </c>
      <c r="R625" s="20" t="s">
        <v>1412</v>
      </c>
      <c r="S625" s="20" t="s">
        <v>1413</v>
      </c>
      <c r="T625" s="20" t="s">
        <v>3473</v>
      </c>
      <c r="U625" s="20" t="s">
        <v>3474</v>
      </c>
      <c r="V625" s="20" t="s">
        <v>95</v>
      </c>
      <c r="W625" s="20" t="s">
        <v>96</v>
      </c>
      <c r="X625" s="20" t="s">
        <v>97</v>
      </c>
      <c r="Y625" s="20" t="s">
        <v>70</v>
      </c>
      <c r="Z625" s="20" t="s">
        <v>284</v>
      </c>
      <c r="AA625" s="20" t="s">
        <v>409</v>
      </c>
      <c r="AB625" s="20" t="s">
        <v>77</v>
      </c>
      <c r="AC625" s="20" t="s">
        <v>77</v>
      </c>
      <c r="AD625" s="20" t="s">
        <v>77</v>
      </c>
      <c r="AE625" s="20"/>
      <c r="AF625" s="9" t="n">
        <v>0</v>
      </c>
      <c r="AG625" s="12" t="n">
        <v>0</v>
      </c>
      <c r="AH625" s="22" t="s">
        <v>607</v>
      </c>
      <c r="AI625" s="12" t="str">
        <f>IF(AH625="","",IFERROR(RIGHT("0000"&amp;AH625,4)&amp;" - "&amp;UPPER(_xlfn.XLOOKUP(RIGHT("0000"&amp;AH625,4),CODEBOOK_CAP!$C$2:$C$212,CODEBOOK_CAP!$D$2:$D$212)),"Código CAP não encontrado"))</f>
        <v>1300 - GERAL</v>
      </c>
      <c r="AJ625" s="12" t="str">
        <f>IF(AH625="","",IFERROR(_xlfn.XLOOKUP(RIGHT("0000"&amp;AH625,4),CODEBOOK_CAP!$C$2:$C$212,CODEBOOK_CAP!$E$2:$E$212),"Código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25" s="22" t="s">
        <v>77</v>
      </c>
      <c r="AL625" s="26"/>
      <c r="AM625" s="22" t="s">
        <v>77</v>
      </c>
      <c r="AN625" s="22" t="s">
        <v>77</v>
      </c>
      <c r="AO625" s="12"/>
      <c r="AP625" s="22" t="s">
        <v>77</v>
      </c>
      <c r="AQ625" s="12"/>
      <c r="AR625" s="22" t="s">
        <v>77</v>
      </c>
      <c r="AS625" s="10"/>
      <c r="AT625" s="2" t="s">
        <v>1814</v>
      </c>
      <c r="AU625" s="12" t="s">
        <v>83</v>
      </c>
      <c r="AV625" s="3" t="n">
        <v>46223</v>
      </c>
      <c r="AW625" s="21"/>
      <c r="AY625" s="1"/>
      <c r="BA625" s="1"/>
      <c r="BB625" s="1"/>
    </row>
    <row r="626" ht="90" customHeight="1">
      <c r="A626" s="20" t="s">
        <v>3475</v>
      </c>
      <c r="B626" s="20" t="n">
        <v>2023</v>
      </c>
      <c r="C626" s="20" t="n">
        <v>766</v>
      </c>
      <c r="D626" s="20" t="s">
        <v>50</v>
      </c>
      <c r="E626" s="20" t="s">
        <v>3435</v>
      </c>
      <c r="F626" s="20" t="s">
        <v>3476</v>
      </c>
      <c r="G626" s="20" t="s">
        <v>183</v>
      </c>
      <c r="H626" s="20" t="s">
        <v>3437</v>
      </c>
      <c r="I626" s="20"/>
      <c r="J626" s="20" t="s">
        <v>3477</v>
      </c>
      <c r="K626" s="20" t="s">
        <v>273</v>
      </c>
      <c r="L626" s="20" t="s">
        <v>274</v>
      </c>
      <c r="M626" s="20" t="s">
        <v>275</v>
      </c>
      <c r="N626" s="20" t="s">
        <v>276</v>
      </c>
      <c r="O626" s="20" t="s">
        <v>277</v>
      </c>
      <c r="P626" s="20" t="s">
        <v>278</v>
      </c>
      <c r="Q626" s="20" t="s">
        <v>279</v>
      </c>
      <c r="R626" s="20" t="s">
        <v>280</v>
      </c>
      <c r="S626" s="20" t="s">
        <v>281</v>
      </c>
      <c r="T626" s="20" t="s">
        <v>282</v>
      </c>
      <c r="U626" s="20" t="s">
        <v>283</v>
      </c>
      <c r="V626" s="20" t="s">
        <v>95</v>
      </c>
      <c r="W626" s="20" t="s">
        <v>96</v>
      </c>
      <c r="X626" s="20" t="s">
        <v>97</v>
      </c>
      <c r="Y626" s="20" t="s">
        <v>70</v>
      </c>
      <c r="Z626" s="20" t="s">
        <v>284</v>
      </c>
      <c r="AA626" s="20" t="s">
        <v>388</v>
      </c>
      <c r="AB626" s="20" t="s">
        <v>77</v>
      </c>
      <c r="AC626" s="20" t="s">
        <v>77</v>
      </c>
      <c r="AD626" s="20" t="s">
        <v>77</v>
      </c>
      <c r="AE626" s="20"/>
      <c r="AF626" s="9" t="n">
        <v>0</v>
      </c>
      <c r="AG626" s="12" t="n">
        <v>0</v>
      </c>
      <c r="AH626" s="22" t="s">
        <v>941</v>
      </c>
      <c r="AI626" s="12" t="str">
        <f>IF(AH626="","",IFERROR(RIGHT("0000"&amp;AH626,4)&amp;" - "&amp;UPPER(_xlfn.XLOOKUP(RIGHT("0000"&amp;AH626,4),CODEBOOK_CAP!$C$2:$C$212,CODEBOOK_CAP!$D$2:$D$212)),"Código CAP não encontrado"))</f>
        <v>1308 - POLÍTICAS SOCIAIS PARA FAMÍLIAS E INFÂNCIA</v>
      </c>
      <c r="AJ626" s="12" t="str">
        <f>IF(AH626="","",IFERROR(_xlfn.XLOOKUP(RIGHT("0000"&amp;AH626,4),CODEBOOK_CAP!$C$2:$C$212,CODEBOOK_CAP!$E$2:$E$212),"Código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626" s="22" t="s">
        <v>77</v>
      </c>
      <c r="AL626" s="26"/>
      <c r="AM626" s="22" t="s">
        <v>77</v>
      </c>
      <c r="AN626" s="22" t="s">
        <v>77</v>
      </c>
      <c r="AO626" s="12"/>
      <c r="AP626" s="22" t="s">
        <v>79</v>
      </c>
      <c r="AQ626" s="12" t="s">
        <v>901</v>
      </c>
      <c r="AR626" s="22" t="s">
        <v>77</v>
      </c>
      <c r="AS626" s="10"/>
      <c r="AT626" s="2" t="s">
        <v>1814</v>
      </c>
      <c r="AU626" s="12" t="s">
        <v>83</v>
      </c>
      <c r="AV626" s="3" t="n">
        <v>46223</v>
      </c>
      <c r="AW626" s="21"/>
      <c r="AY626" s="1"/>
      <c r="BA626" s="1"/>
      <c r="BB626" s="1"/>
    </row>
    <row r="627" ht="120" customHeight="1">
      <c r="A627" s="20" t="s">
        <v>3478</v>
      </c>
      <c r="B627" s="20" t="n">
        <v>2023</v>
      </c>
      <c r="C627" s="20" t="n">
        <v>767</v>
      </c>
      <c r="D627" s="20" t="s">
        <v>50</v>
      </c>
      <c r="E627" s="20" t="s">
        <v>3435</v>
      </c>
      <c r="F627" s="20" t="s">
        <v>3479</v>
      </c>
      <c r="G627" s="20" t="s">
        <v>86</v>
      </c>
      <c r="H627" s="20" t="s">
        <v>3437</v>
      </c>
      <c r="I627" s="20"/>
      <c r="J627" s="20" t="s">
        <v>3480</v>
      </c>
      <c r="K627" s="20" t="s">
        <v>56</v>
      </c>
      <c r="L627" s="20" t="s">
        <v>57</v>
      </c>
      <c r="M627" s="20" t="s">
        <v>58</v>
      </c>
      <c r="N627" s="20" t="s">
        <v>59</v>
      </c>
      <c r="O627" s="20" t="s">
        <v>60</v>
      </c>
      <c r="P627" s="20" t="s">
        <v>61</v>
      </c>
      <c r="Q627" s="20" t="s">
        <v>62</v>
      </c>
      <c r="R627" s="20" t="s">
        <v>63</v>
      </c>
      <c r="S627" s="20" t="s">
        <v>64</v>
      </c>
      <c r="T627" s="20" t="s">
        <v>65</v>
      </c>
      <c r="U627" s="20" t="s">
        <v>66</v>
      </c>
      <c r="V627" s="20" t="s">
        <v>67</v>
      </c>
      <c r="W627" s="20" t="s">
        <v>68</v>
      </c>
      <c r="X627" s="20" t="s">
        <v>69</v>
      </c>
      <c r="Y627" s="20" t="s">
        <v>70</v>
      </c>
      <c r="Z627" s="20" t="s">
        <v>71</v>
      </c>
      <c r="AA627" s="20" t="s">
        <v>409</v>
      </c>
      <c r="AB627" s="20" t="s">
        <v>3481</v>
      </c>
      <c r="AC627" s="20" t="s">
        <v>3481</v>
      </c>
      <c r="AD627" s="20" t="s">
        <v>3481</v>
      </c>
      <c r="AE627" s="20" t="s">
        <v>811</v>
      </c>
      <c r="AF627" s="9" t="n">
        <v>1</v>
      </c>
      <c r="AG627" s="12" t="n">
        <v>1</v>
      </c>
      <c r="AH627" s="22" t="s">
        <v>235</v>
      </c>
      <c r="AI627" s="12" t="str">
        <f>IF(AH627="","",IFERROR(RIGHT("0000"&amp;AH627,4)&amp;" - "&amp;UPPER(_xlfn.XLOOKUP(RIGHT("0000"&amp;AH627,4),CODEBOOK_CAP!$C$2:$C$212,CODEBOOK_CAP!$D$2:$D$212)),"Código CAP não encontrado"))</f>
        <v>0322 - ESTRUTURAS, HOSPITAIS, CLÍNICAS</v>
      </c>
      <c r="AJ627" s="12" t="str">
        <f>IF(AH627="","",IFERROR(_xlfn.XLOOKUP(RIGHT("0000"&amp;AH627,4),CODEBOOK_CAP!$C$2:$C$212,CODEBOOK_CAP!$E$2:$E$212),"Código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27" s="22" t="s">
        <v>79</v>
      </c>
      <c r="AL627" s="26" t="s">
        <v>3482</v>
      </c>
      <c r="AM627" s="22" t="s">
        <v>79</v>
      </c>
      <c r="AN627" s="22" t="s">
        <v>79</v>
      </c>
      <c r="AO627" s="12" t="s">
        <v>3483</v>
      </c>
      <c r="AP627" s="22" t="s">
        <v>77</v>
      </c>
      <c r="AQ627" s="12"/>
      <c r="AR627" s="22" t="s">
        <v>79</v>
      </c>
      <c r="AS627" s="10" t="s">
        <v>811</v>
      </c>
      <c r="AT627" s="2" t="s">
        <v>1814</v>
      </c>
      <c r="AU627" s="12" t="s">
        <v>83</v>
      </c>
      <c r="AV627" s="3" t="n">
        <v>46223</v>
      </c>
      <c r="AW627" s="21"/>
      <c r="AY627" s="1"/>
      <c r="BA627" s="1"/>
      <c r="BB627" s="1"/>
    </row>
    <row r="628" ht="120" customHeight="1">
      <c r="A628" s="20" t="s">
        <v>3484</v>
      </c>
      <c r="B628" s="20" t="n">
        <v>2023</v>
      </c>
      <c r="C628" s="20" t="n">
        <v>768</v>
      </c>
      <c r="D628" s="20" t="s">
        <v>50</v>
      </c>
      <c r="E628" s="20" t="s">
        <v>3435</v>
      </c>
      <c r="F628" s="20" t="s">
        <v>3485</v>
      </c>
      <c r="G628" s="20" t="s">
        <v>86</v>
      </c>
      <c r="H628" s="20" t="s">
        <v>3437</v>
      </c>
      <c r="I628" s="20"/>
      <c r="J628" s="20" t="s">
        <v>3486</v>
      </c>
      <c r="K628" s="20" t="s">
        <v>441</v>
      </c>
      <c r="L628" s="20" t="s">
        <v>57</v>
      </c>
      <c r="M628" s="20" t="s">
        <v>58</v>
      </c>
      <c r="N628" s="20" t="s">
        <v>59</v>
      </c>
      <c r="O628" s="20" t="s">
        <v>60</v>
      </c>
      <c r="P628" s="20" t="s">
        <v>89</v>
      </c>
      <c r="Q628" s="20" t="s">
        <v>90</v>
      </c>
      <c r="R628" s="20" t="s">
        <v>91</v>
      </c>
      <c r="S628" s="20" t="s">
        <v>92</v>
      </c>
      <c r="T628" s="20" t="s">
        <v>341</v>
      </c>
      <c r="U628" s="20" t="s">
        <v>342</v>
      </c>
      <c r="V628" s="20" t="s">
        <v>95</v>
      </c>
      <c r="W628" s="20" t="s">
        <v>96</v>
      </c>
      <c r="X628" s="20" t="s">
        <v>97</v>
      </c>
      <c r="Y628" s="20" t="s">
        <v>70</v>
      </c>
      <c r="Z628" s="20" t="s">
        <v>98</v>
      </c>
      <c r="AA628" s="20" t="s">
        <v>142</v>
      </c>
      <c r="AB628" s="20" t="s">
        <v>142</v>
      </c>
      <c r="AC628" s="20" t="s">
        <v>3487</v>
      </c>
      <c r="AD628" s="20" t="s">
        <v>142</v>
      </c>
      <c r="AE628" s="20"/>
      <c r="AF628" s="9" t="n">
        <v>1</v>
      </c>
      <c r="AG628" s="12" t="n">
        <v>1</v>
      </c>
      <c r="AH628" s="22" t="s">
        <v>235</v>
      </c>
      <c r="AI628" s="12" t="str">
        <f>IF(AH628="","",IFERROR(RIGHT("0000"&amp;AH628,4)&amp;" - "&amp;UPPER(_xlfn.XLOOKUP(RIGHT("0000"&amp;AH628,4),CODEBOOK_CAP!$C$2:$C$212,CODEBOOK_CAP!$D$2:$D$212)),"Código CAP não encontrado"))</f>
        <v>0322 - ESTRUTURAS, HOSPITAIS, CLÍNICAS</v>
      </c>
      <c r="AJ628" s="12" t="str">
        <f>IF(AH628="","",IFERROR(_xlfn.XLOOKUP(RIGHT("0000"&amp;AH628,4),CODEBOOK_CAP!$C$2:$C$212,CODEBOOK_CAP!$E$2:$E$212),"Código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28" s="22" t="s">
        <v>79</v>
      </c>
      <c r="AL628" s="26" t="s">
        <v>3488</v>
      </c>
      <c r="AM628" s="22" t="s">
        <v>79</v>
      </c>
      <c r="AN628" s="22" t="s">
        <v>79</v>
      </c>
      <c r="AO628" s="12" t="s">
        <v>3489</v>
      </c>
      <c r="AP628" s="22" t="s">
        <v>77</v>
      </c>
      <c r="AQ628" s="12"/>
      <c r="AR628" s="22" t="s">
        <v>77</v>
      </c>
      <c r="AS628" s="10"/>
      <c r="AT628" s="2" t="s">
        <v>1814</v>
      </c>
      <c r="AU628" s="12" t="s">
        <v>83</v>
      </c>
      <c r="AV628" s="3" t="n">
        <v>46223</v>
      </c>
      <c r="AW628" s="21"/>
      <c r="AY628" s="1"/>
      <c r="BA628" s="1"/>
      <c r="BB628" s="1"/>
    </row>
    <row r="629" ht="120" customHeight="1">
      <c r="A629" s="20" t="s">
        <v>3490</v>
      </c>
      <c r="B629" s="20" t="n">
        <v>2023</v>
      </c>
      <c r="C629" s="20" t="n">
        <v>769</v>
      </c>
      <c r="D629" s="20" t="s">
        <v>50</v>
      </c>
      <c r="E629" s="20" t="s">
        <v>3435</v>
      </c>
      <c r="F629" s="20" t="s">
        <v>3491</v>
      </c>
      <c r="G629" s="20" t="s">
        <v>86</v>
      </c>
      <c r="H629" s="20" t="s">
        <v>3437</v>
      </c>
      <c r="I629" s="20"/>
      <c r="J629" s="20" t="s">
        <v>3492</v>
      </c>
      <c r="K629" s="20" t="s">
        <v>122</v>
      </c>
      <c r="L629" s="20" t="s">
        <v>57</v>
      </c>
      <c r="M629" s="20" t="s">
        <v>58</v>
      </c>
      <c r="N629" s="20" t="s">
        <v>59</v>
      </c>
      <c r="O629" s="20" t="s">
        <v>60</v>
      </c>
      <c r="P629" s="20" t="s">
        <v>89</v>
      </c>
      <c r="Q629" s="20" t="s">
        <v>90</v>
      </c>
      <c r="R629" s="20" t="s">
        <v>91</v>
      </c>
      <c r="S629" s="20" t="s">
        <v>92</v>
      </c>
      <c r="T629" s="20" t="s">
        <v>123</v>
      </c>
      <c r="U629" s="20" t="s">
        <v>124</v>
      </c>
      <c r="V629" s="20" t="s">
        <v>95</v>
      </c>
      <c r="W629" s="20" t="s">
        <v>96</v>
      </c>
      <c r="X629" s="20" t="s">
        <v>97</v>
      </c>
      <c r="Y629" s="20" t="s">
        <v>70</v>
      </c>
      <c r="Z629" s="20" t="s">
        <v>98</v>
      </c>
      <c r="AA629" s="20" t="s">
        <v>409</v>
      </c>
      <c r="AB629" s="20" t="s">
        <v>409</v>
      </c>
      <c r="AC629" s="20" t="s">
        <v>409</v>
      </c>
      <c r="AD629" s="20" t="s">
        <v>409</v>
      </c>
      <c r="AE629" s="20"/>
      <c r="AF629" s="9" t="n">
        <v>1</v>
      </c>
      <c r="AG629" s="12" t="n">
        <v>1</v>
      </c>
      <c r="AH629" s="22" t="s">
        <v>235</v>
      </c>
      <c r="AI629" s="12" t="str">
        <f>IF(AH629="","",IFERROR(RIGHT("0000"&amp;AH629,4)&amp;" - "&amp;UPPER(_xlfn.XLOOKUP(RIGHT("0000"&amp;AH629,4),CODEBOOK_CAP!$C$2:$C$212,CODEBOOK_CAP!$D$2:$D$212)),"Código CAP não encontrado"))</f>
        <v>0322 - ESTRUTURAS, HOSPITAIS, CLÍNICAS</v>
      </c>
      <c r="AJ629" s="12" t="str">
        <f>IF(AH629="","",IFERROR(_xlfn.XLOOKUP(RIGHT("0000"&amp;AH629,4),CODEBOOK_CAP!$C$2:$C$212,CODEBOOK_CAP!$E$2:$E$212),"Código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29" s="22" t="s">
        <v>77</v>
      </c>
      <c r="AL629" s="26"/>
      <c r="AM629" s="22" t="s">
        <v>79</v>
      </c>
      <c r="AN629" s="22" t="s">
        <v>79</v>
      </c>
      <c r="AO629" s="12" t="s">
        <v>3493</v>
      </c>
      <c r="AP629" s="22" t="s">
        <v>77</v>
      </c>
      <c r="AQ629" s="12"/>
      <c r="AR629" s="22" t="s">
        <v>77</v>
      </c>
      <c r="AS629" s="10"/>
      <c r="AT629" s="2" t="s">
        <v>1814</v>
      </c>
      <c r="AU629" s="12" t="s">
        <v>83</v>
      </c>
      <c r="AV629" s="3" t="n">
        <v>46223</v>
      </c>
      <c r="AW629" s="21"/>
      <c r="AY629" s="1"/>
      <c r="BA629" s="1"/>
      <c r="BB629" s="1"/>
    </row>
    <row r="630" ht="120" customHeight="1">
      <c r="A630" s="20" t="s">
        <v>3494</v>
      </c>
      <c r="B630" s="20" t="n">
        <v>2023</v>
      </c>
      <c r="C630" s="20" t="n">
        <v>770</v>
      </c>
      <c r="D630" s="20" t="s">
        <v>50</v>
      </c>
      <c r="E630" s="20" t="s">
        <v>3435</v>
      </c>
      <c r="F630" s="20" t="s">
        <v>3495</v>
      </c>
      <c r="G630" s="20" t="s">
        <v>86</v>
      </c>
      <c r="H630" s="20" t="s">
        <v>3437</v>
      </c>
      <c r="I630" s="20"/>
      <c r="J630" s="20" t="s">
        <v>3496</v>
      </c>
      <c r="K630" s="20" t="s">
        <v>122</v>
      </c>
      <c r="L630" s="20" t="s">
        <v>57</v>
      </c>
      <c r="M630" s="20" t="s">
        <v>58</v>
      </c>
      <c r="N630" s="20" t="s">
        <v>59</v>
      </c>
      <c r="O630" s="20" t="s">
        <v>60</v>
      </c>
      <c r="P630" s="20" t="s">
        <v>89</v>
      </c>
      <c r="Q630" s="20" t="s">
        <v>90</v>
      </c>
      <c r="R630" s="20" t="s">
        <v>91</v>
      </c>
      <c r="S630" s="20" t="s">
        <v>92</v>
      </c>
      <c r="T630" s="20" t="s">
        <v>123</v>
      </c>
      <c r="U630" s="20" t="s">
        <v>124</v>
      </c>
      <c r="V630" s="20" t="s">
        <v>95</v>
      </c>
      <c r="W630" s="20" t="s">
        <v>96</v>
      </c>
      <c r="X630" s="20" t="s">
        <v>97</v>
      </c>
      <c r="Y630" s="20" t="s">
        <v>70</v>
      </c>
      <c r="Z630" s="20" t="s">
        <v>98</v>
      </c>
      <c r="AA630" s="20" t="s">
        <v>409</v>
      </c>
      <c r="AB630" s="20" t="s">
        <v>409</v>
      </c>
      <c r="AC630" s="20" t="s">
        <v>409</v>
      </c>
      <c r="AD630" s="20" t="s">
        <v>409</v>
      </c>
      <c r="AE630" s="20"/>
      <c r="AF630" s="9" t="n">
        <v>1</v>
      </c>
      <c r="AG630" s="12" t="n">
        <v>1</v>
      </c>
      <c r="AH630" s="22" t="s">
        <v>235</v>
      </c>
      <c r="AI630" s="12" t="str">
        <f>IF(AH630="","",IFERROR(RIGHT("0000"&amp;AH630,4)&amp;" - "&amp;UPPER(_xlfn.XLOOKUP(RIGHT("0000"&amp;AH630,4),CODEBOOK_CAP!$C$2:$C$212,CODEBOOK_CAP!$D$2:$D$212)),"Código CAP não encontrado"))</f>
        <v>0322 - ESTRUTURAS, HOSPITAIS, CLÍNICAS</v>
      </c>
      <c r="AJ630" s="12" t="str">
        <f>IF(AH630="","",IFERROR(_xlfn.XLOOKUP(RIGHT("0000"&amp;AH630,4),CODEBOOK_CAP!$C$2:$C$212,CODEBOOK_CAP!$E$2:$E$212),"Código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30" s="22" t="s">
        <v>77</v>
      </c>
      <c r="AL630" s="26"/>
      <c r="AM630" s="22" t="s">
        <v>79</v>
      </c>
      <c r="AN630" s="22" t="s">
        <v>79</v>
      </c>
      <c r="AO630" s="12" t="s">
        <v>3497</v>
      </c>
      <c r="AP630" s="22" t="s">
        <v>77</v>
      </c>
      <c r="AQ630" s="12"/>
      <c r="AR630" s="22" t="s">
        <v>77</v>
      </c>
      <c r="AS630" s="10"/>
      <c r="AT630" s="2" t="s">
        <v>1814</v>
      </c>
      <c r="AU630" s="12" t="s">
        <v>83</v>
      </c>
      <c r="AV630" s="3" t="n">
        <v>46223</v>
      </c>
      <c r="AW630" s="21"/>
      <c r="AY630" s="1"/>
      <c r="BA630" s="1"/>
      <c r="BB630" s="1"/>
    </row>
    <row r="631" ht="120" customHeight="1">
      <c r="A631" s="20" t="s">
        <v>3498</v>
      </c>
      <c r="B631" s="20" t="n">
        <v>2023</v>
      </c>
      <c r="C631" s="20" t="n">
        <v>771</v>
      </c>
      <c r="D631" s="20" t="s">
        <v>50</v>
      </c>
      <c r="E631" s="20" t="s">
        <v>3435</v>
      </c>
      <c r="F631" s="20" t="s">
        <v>3499</v>
      </c>
      <c r="G631" s="20" t="s">
        <v>86</v>
      </c>
      <c r="H631" s="20" t="s">
        <v>3437</v>
      </c>
      <c r="I631" s="20"/>
      <c r="J631" s="20" t="s">
        <v>3500</v>
      </c>
      <c r="K631" s="20" t="s">
        <v>56</v>
      </c>
      <c r="L631" s="20" t="s">
        <v>57</v>
      </c>
      <c r="M631" s="20" t="s">
        <v>58</v>
      </c>
      <c r="N631" s="20" t="s">
        <v>59</v>
      </c>
      <c r="O631" s="20" t="s">
        <v>60</v>
      </c>
      <c r="P631" s="20" t="s">
        <v>61</v>
      </c>
      <c r="Q631" s="20" t="s">
        <v>62</v>
      </c>
      <c r="R631" s="20" t="s">
        <v>63</v>
      </c>
      <c r="S631" s="20" t="s">
        <v>64</v>
      </c>
      <c r="T631" s="20" t="s">
        <v>65</v>
      </c>
      <c r="U631" s="20" t="s">
        <v>66</v>
      </c>
      <c r="V631" s="20" t="s">
        <v>67</v>
      </c>
      <c r="W631" s="20" t="s">
        <v>68</v>
      </c>
      <c r="X631" s="20" t="s">
        <v>69</v>
      </c>
      <c r="Y631" s="20" t="s">
        <v>70</v>
      </c>
      <c r="Z631" s="20" t="s">
        <v>71</v>
      </c>
      <c r="AA631" s="20" t="s">
        <v>343</v>
      </c>
      <c r="AB631" s="20" t="s">
        <v>343</v>
      </c>
      <c r="AC631" s="20" t="s">
        <v>3501</v>
      </c>
      <c r="AD631" s="20" t="s">
        <v>3501</v>
      </c>
      <c r="AE631" s="20" t="s">
        <v>75</v>
      </c>
      <c r="AF631" s="9" t="n">
        <v>1</v>
      </c>
      <c r="AG631" s="12" t="n">
        <v>1</v>
      </c>
      <c r="AH631" s="22" t="s">
        <v>235</v>
      </c>
      <c r="AI631" s="12" t="str">
        <f>IF(AH631="","",IFERROR(RIGHT("0000"&amp;AH631,4)&amp;" - "&amp;UPPER(_xlfn.XLOOKUP(RIGHT("0000"&amp;AH631,4),CODEBOOK_CAP!$C$2:$C$212,CODEBOOK_CAP!$D$2:$D$212)),"Código CAP não encontrado"))</f>
        <v>0322 - ESTRUTURAS, HOSPITAIS, CLÍNICAS</v>
      </c>
      <c r="AJ631" s="12" t="str">
        <f>IF(AH631="","",IFERROR(_xlfn.XLOOKUP(RIGHT("0000"&amp;AH631,4),CODEBOOK_CAP!$C$2:$C$212,CODEBOOK_CAP!$E$2:$E$212),"Código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31" s="22" t="s">
        <v>79</v>
      </c>
      <c r="AL631" s="26" t="s">
        <v>3502</v>
      </c>
      <c r="AM631" s="22" t="s">
        <v>79</v>
      </c>
      <c r="AN631" s="22" t="s">
        <v>79</v>
      </c>
      <c r="AO631" s="12" t="s">
        <v>3503</v>
      </c>
      <c r="AP631" s="22" t="s">
        <v>77</v>
      </c>
      <c r="AQ631" s="12"/>
      <c r="AR631" s="22" t="s">
        <v>79</v>
      </c>
      <c r="AS631" s="10" t="s">
        <v>75</v>
      </c>
      <c r="AT631" s="2" t="s">
        <v>1814</v>
      </c>
      <c r="AU631" s="12" t="s">
        <v>83</v>
      </c>
      <c r="AV631" s="3" t="n">
        <v>46223</v>
      </c>
      <c r="AW631" s="21"/>
      <c r="AY631" s="1"/>
      <c r="BA631" s="1"/>
      <c r="BB631" s="1"/>
    </row>
    <row r="632" ht="120" customHeight="1">
      <c r="A632" s="20" t="s">
        <v>3504</v>
      </c>
      <c r="B632" s="20" t="n">
        <v>2023</v>
      </c>
      <c r="C632" s="20" t="n">
        <v>866</v>
      </c>
      <c r="D632" s="20" t="s">
        <v>50</v>
      </c>
      <c r="E632" s="20" t="s">
        <v>3505</v>
      </c>
      <c r="F632" s="20" t="s">
        <v>3506</v>
      </c>
      <c r="G632" s="20" t="s">
        <v>86</v>
      </c>
      <c r="H632" s="20" t="s">
        <v>3507</v>
      </c>
      <c r="I632" s="20"/>
      <c r="J632" s="20" t="s">
        <v>3508</v>
      </c>
      <c r="K632" s="20" t="s">
        <v>122</v>
      </c>
      <c r="L632" s="20" t="s">
        <v>57</v>
      </c>
      <c r="M632" s="20" t="s">
        <v>58</v>
      </c>
      <c r="N632" s="20" t="s">
        <v>59</v>
      </c>
      <c r="O632" s="20" t="s">
        <v>60</v>
      </c>
      <c r="P632" s="20" t="s">
        <v>89</v>
      </c>
      <c r="Q632" s="20" t="s">
        <v>90</v>
      </c>
      <c r="R632" s="20" t="s">
        <v>91</v>
      </c>
      <c r="S632" s="20" t="s">
        <v>92</v>
      </c>
      <c r="T632" s="20" t="s">
        <v>123</v>
      </c>
      <c r="U632" s="20" t="s">
        <v>124</v>
      </c>
      <c r="V632" s="20" t="s">
        <v>95</v>
      </c>
      <c r="W632" s="20" t="s">
        <v>96</v>
      </c>
      <c r="X632" s="20" t="s">
        <v>97</v>
      </c>
      <c r="Y632" s="20" t="s">
        <v>70</v>
      </c>
      <c r="Z632" s="20" t="s">
        <v>98</v>
      </c>
      <c r="AA632" s="20" t="s">
        <v>3509</v>
      </c>
      <c r="AB632" s="20" t="s">
        <v>3509</v>
      </c>
      <c r="AC632" s="20" t="s">
        <v>3509</v>
      </c>
      <c r="AD632" s="20" t="s">
        <v>3509</v>
      </c>
      <c r="AE632" s="20"/>
      <c r="AF632" s="9" t="n">
        <v>1</v>
      </c>
      <c r="AG632" s="12" t="n">
        <v>1</v>
      </c>
      <c r="AH632" s="22" t="s">
        <v>800</v>
      </c>
      <c r="AI632" s="12" t="str">
        <f>IF(AH632="","",IFERROR(RIGHT("0000"&amp;AH632,4)&amp;" - "&amp;UPPER(_xlfn.XLOOKUP(RIGHT("0000"&amp;AH632,4),CODEBOOK_CAP!$C$2:$C$212,CODEBOOK_CAP!$D$2:$D$212)),"Código CAP não encontrado"))</f>
        <v>0334 - TRATAMENTOS, CIRUGIAS, ATENDIMENTOS, DOENÇAS E REABILITAÇÃO</v>
      </c>
      <c r="AJ632" s="12" t="str">
        <f>IF(AH632="","",IFERROR(_xlfn.XLOOKUP(RIGHT("0000"&amp;AH632,4),CODEBOOK_CAP!$C$2:$C$212,CODEBOOK_CAP!$E$2:$E$212),"Código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632" s="22" t="s">
        <v>77</v>
      </c>
      <c r="AL632" s="26"/>
      <c r="AM632" s="22" t="s">
        <v>79</v>
      </c>
      <c r="AN632" s="22" t="s">
        <v>79</v>
      </c>
      <c r="AO632" s="12" t="s">
        <v>3510</v>
      </c>
      <c r="AP632" s="22" t="s">
        <v>77</v>
      </c>
      <c r="AQ632" s="12"/>
      <c r="AR632" s="22" t="s">
        <v>77</v>
      </c>
      <c r="AS632" s="10"/>
      <c r="AT632" s="2" t="s">
        <v>1814</v>
      </c>
      <c r="AU632" s="12" t="s">
        <v>83</v>
      </c>
      <c r="AV632" s="3" t="n">
        <v>46223</v>
      </c>
      <c r="AW632" s="21"/>
      <c r="AY632" s="1"/>
      <c r="BA632" s="1"/>
      <c r="BB632" s="1"/>
    </row>
    <row r="633" ht="120" customHeight="1">
      <c r="A633" s="20" t="s">
        <v>3511</v>
      </c>
      <c r="B633" s="20" t="n">
        <v>2023</v>
      </c>
      <c r="C633" s="20" t="n">
        <v>620</v>
      </c>
      <c r="D633" s="20" t="s">
        <v>50</v>
      </c>
      <c r="E633" s="20" t="s">
        <v>3505</v>
      </c>
      <c r="F633" s="20" t="s">
        <v>3512</v>
      </c>
      <c r="G633" s="20" t="s">
        <v>86</v>
      </c>
      <c r="H633" s="20" t="s">
        <v>3507</v>
      </c>
      <c r="I633" s="20"/>
      <c r="J633" s="20" t="s">
        <v>3513</v>
      </c>
      <c r="K633" s="20" t="s">
        <v>56</v>
      </c>
      <c r="L633" s="20" t="s">
        <v>57</v>
      </c>
      <c r="M633" s="20" t="s">
        <v>58</v>
      </c>
      <c r="N633" s="20" t="s">
        <v>59</v>
      </c>
      <c r="O633" s="20" t="s">
        <v>60</v>
      </c>
      <c r="P633" s="20" t="s">
        <v>61</v>
      </c>
      <c r="Q633" s="20" t="s">
        <v>62</v>
      </c>
      <c r="R633" s="20" t="s">
        <v>63</v>
      </c>
      <c r="S633" s="20" t="s">
        <v>64</v>
      </c>
      <c r="T633" s="20" t="s">
        <v>65</v>
      </c>
      <c r="U633" s="20" t="s">
        <v>66</v>
      </c>
      <c r="V633" s="20" t="s">
        <v>67</v>
      </c>
      <c r="W633" s="20" t="s">
        <v>68</v>
      </c>
      <c r="X633" s="20" t="s">
        <v>69</v>
      </c>
      <c r="Y633" s="20" t="s">
        <v>70</v>
      </c>
      <c r="Z633" s="20" t="s">
        <v>71</v>
      </c>
      <c r="AA633" s="20" t="s">
        <v>343</v>
      </c>
      <c r="AB633" s="20" t="s">
        <v>3514</v>
      </c>
      <c r="AC633" s="20" t="s">
        <v>3515</v>
      </c>
      <c r="AD633" s="20" t="s">
        <v>3515</v>
      </c>
      <c r="AE633" s="20" t="s">
        <v>1600</v>
      </c>
      <c r="AF633" s="9" t="n">
        <v>1</v>
      </c>
      <c r="AG633" s="12" t="n">
        <v>1</v>
      </c>
      <c r="AH633" s="22" t="s">
        <v>235</v>
      </c>
      <c r="AI633" s="12" t="str">
        <f>IF(AH633="","",IFERROR(RIGHT("0000"&amp;AH633,4)&amp;" - "&amp;UPPER(_xlfn.XLOOKUP(RIGHT("0000"&amp;AH633,4),CODEBOOK_CAP!$C$2:$C$212,CODEBOOK_CAP!$D$2:$D$212)),"Código CAP não encontrado"))</f>
        <v>0322 - ESTRUTURAS, HOSPITAIS, CLÍNICAS</v>
      </c>
      <c r="AJ633" s="12" t="str">
        <f>IF(AH633="","",IFERROR(_xlfn.XLOOKUP(RIGHT("0000"&amp;AH633,4),CODEBOOK_CAP!$C$2:$C$212,CODEBOOK_CAP!$E$2:$E$212),"Código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33" s="22" t="s">
        <v>79</v>
      </c>
      <c r="AL633" s="26" t="s">
        <v>3516</v>
      </c>
      <c r="AM633" s="22" t="s">
        <v>79</v>
      </c>
      <c r="AN633" s="22" t="s">
        <v>79</v>
      </c>
      <c r="AO633" s="12" t="s">
        <v>3517</v>
      </c>
      <c r="AP633" s="22" t="s">
        <v>77</v>
      </c>
      <c r="AQ633" s="12"/>
      <c r="AR633" s="22" t="s">
        <v>79</v>
      </c>
      <c r="AS633" s="10" t="s">
        <v>1600</v>
      </c>
      <c r="AT633" s="2" t="s">
        <v>1814</v>
      </c>
      <c r="AU633" s="12" t="s">
        <v>83</v>
      </c>
      <c r="AV633" s="3" t="n">
        <v>46223</v>
      </c>
      <c r="AW633" s="21"/>
      <c r="AY633" s="1"/>
      <c r="BA633" s="1"/>
      <c r="BB633" s="1"/>
    </row>
    <row r="634" ht="120" customHeight="1">
      <c r="A634" s="20" t="s">
        <v>3518</v>
      </c>
      <c r="B634" s="20" t="n">
        <v>2023</v>
      </c>
      <c r="C634" s="20" t="n">
        <v>621</v>
      </c>
      <c r="D634" s="20" t="s">
        <v>50</v>
      </c>
      <c r="E634" s="20" t="s">
        <v>3505</v>
      </c>
      <c r="F634" s="20" t="s">
        <v>3519</v>
      </c>
      <c r="G634" s="20" t="s">
        <v>183</v>
      </c>
      <c r="H634" s="20" t="s">
        <v>3507</v>
      </c>
      <c r="I634" s="20"/>
      <c r="J634" s="20" t="s">
        <v>3520</v>
      </c>
      <c r="K634" s="20" t="s">
        <v>56</v>
      </c>
      <c r="L634" s="20" t="s">
        <v>57</v>
      </c>
      <c r="M634" s="20" t="s">
        <v>58</v>
      </c>
      <c r="N634" s="20" t="s">
        <v>59</v>
      </c>
      <c r="O634" s="20" t="s">
        <v>60</v>
      </c>
      <c r="P634" s="20" t="s">
        <v>61</v>
      </c>
      <c r="Q634" s="20" t="s">
        <v>62</v>
      </c>
      <c r="R634" s="20" t="s">
        <v>63</v>
      </c>
      <c r="S634" s="20" t="s">
        <v>64</v>
      </c>
      <c r="T634" s="20" t="s">
        <v>65</v>
      </c>
      <c r="U634" s="20" t="s">
        <v>66</v>
      </c>
      <c r="V634" s="20" t="s">
        <v>67</v>
      </c>
      <c r="W634" s="20" t="s">
        <v>68</v>
      </c>
      <c r="X634" s="20" t="s">
        <v>69</v>
      </c>
      <c r="Y634" s="20" t="s">
        <v>70</v>
      </c>
      <c r="Z634" s="20" t="s">
        <v>71</v>
      </c>
      <c r="AA634" s="20" t="s">
        <v>1858</v>
      </c>
      <c r="AB634" s="20" t="s">
        <v>77</v>
      </c>
      <c r="AC634" s="20" t="s">
        <v>77</v>
      </c>
      <c r="AD634" s="20" t="s">
        <v>77</v>
      </c>
      <c r="AE634" s="20"/>
      <c r="AF634" s="9" t="n">
        <v>1</v>
      </c>
      <c r="AG634" s="12" t="n">
        <v>1</v>
      </c>
      <c r="AH634" s="22" t="s">
        <v>235</v>
      </c>
      <c r="AI634" s="12" t="str">
        <f>IF(AH634="","",IFERROR(RIGHT("0000"&amp;AH634,4)&amp;" - "&amp;UPPER(_xlfn.XLOOKUP(RIGHT("0000"&amp;AH634,4),CODEBOOK_CAP!$C$2:$C$212,CODEBOOK_CAP!$D$2:$D$212)),"Código CAP não encontrado"))</f>
        <v>0322 - ESTRUTURAS, HOSPITAIS, CLÍNICAS</v>
      </c>
      <c r="AJ634" s="12" t="str">
        <f>IF(AH634="","",IFERROR(_xlfn.XLOOKUP(RIGHT("0000"&amp;AH634,4),CODEBOOK_CAP!$C$2:$C$212,CODEBOOK_CAP!$E$2:$E$212),"Código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34" s="22" t="s">
        <v>79</v>
      </c>
      <c r="AL634" s="26" t="s">
        <v>3521</v>
      </c>
      <c r="AM634" s="22" t="s">
        <v>79</v>
      </c>
      <c r="AN634" s="22" t="s">
        <v>79</v>
      </c>
      <c r="AO634" s="12" t="s">
        <v>3522</v>
      </c>
      <c r="AP634" s="22" t="s">
        <v>77</v>
      </c>
      <c r="AQ634" s="12"/>
      <c r="AR634" s="22" t="s">
        <v>77</v>
      </c>
      <c r="AS634" s="10"/>
      <c r="AT634" s="2" t="s">
        <v>1814</v>
      </c>
      <c r="AU634" s="12" t="s">
        <v>83</v>
      </c>
      <c r="AV634" s="3" t="n">
        <v>46223</v>
      </c>
      <c r="AW634" s="21"/>
      <c r="AY634" s="1"/>
      <c r="BA634" s="1"/>
      <c r="BB634" s="1"/>
    </row>
    <row r="635" ht="120" customHeight="1">
      <c r="A635" s="20" t="s">
        <v>3523</v>
      </c>
      <c r="B635" s="20" t="n">
        <v>2023</v>
      </c>
      <c r="C635" s="20" t="n">
        <v>623</v>
      </c>
      <c r="D635" s="20" t="s">
        <v>50</v>
      </c>
      <c r="E635" s="20" t="s">
        <v>3505</v>
      </c>
      <c r="F635" s="20" t="s">
        <v>3524</v>
      </c>
      <c r="G635" s="20" t="s">
        <v>86</v>
      </c>
      <c r="H635" s="20" t="s">
        <v>3507</v>
      </c>
      <c r="I635" s="20"/>
      <c r="J635" s="20" t="s">
        <v>3525</v>
      </c>
      <c r="K635" s="20" t="s">
        <v>122</v>
      </c>
      <c r="L635" s="20" t="s">
        <v>57</v>
      </c>
      <c r="M635" s="20" t="s">
        <v>58</v>
      </c>
      <c r="N635" s="20" t="s">
        <v>59</v>
      </c>
      <c r="O635" s="20" t="s">
        <v>60</v>
      </c>
      <c r="P635" s="20" t="s">
        <v>89</v>
      </c>
      <c r="Q635" s="20" t="s">
        <v>90</v>
      </c>
      <c r="R635" s="20" t="s">
        <v>91</v>
      </c>
      <c r="S635" s="20" t="s">
        <v>92</v>
      </c>
      <c r="T635" s="20" t="s">
        <v>123</v>
      </c>
      <c r="U635" s="20" t="s">
        <v>124</v>
      </c>
      <c r="V635" s="20" t="s">
        <v>95</v>
      </c>
      <c r="W635" s="20" t="s">
        <v>96</v>
      </c>
      <c r="X635" s="20" t="s">
        <v>97</v>
      </c>
      <c r="Y635" s="20" t="s">
        <v>70</v>
      </c>
      <c r="Z635" s="20" t="s">
        <v>98</v>
      </c>
      <c r="AA635" s="20" t="s">
        <v>125</v>
      </c>
      <c r="AB635" s="20" t="s">
        <v>125</v>
      </c>
      <c r="AC635" s="20" t="s">
        <v>125</v>
      </c>
      <c r="AD635" s="20" t="s">
        <v>125</v>
      </c>
      <c r="AE635" s="20"/>
      <c r="AF635" s="9" t="n">
        <v>1</v>
      </c>
      <c r="AG635" s="12" t="n">
        <v>1</v>
      </c>
      <c r="AH635" s="22" t="s">
        <v>800</v>
      </c>
      <c r="AI635" s="12" t="str">
        <f>IF(AH635="","",IFERROR(RIGHT("0000"&amp;AH635,4)&amp;" - "&amp;UPPER(_xlfn.XLOOKUP(RIGHT("0000"&amp;AH635,4),CODEBOOK_CAP!$C$2:$C$212,CODEBOOK_CAP!$D$2:$D$212)),"Código CAP não encontrado"))</f>
        <v>0334 - TRATAMENTOS, CIRUGIAS, ATENDIMENTOS, DOENÇAS E REABILITAÇÃO</v>
      </c>
      <c r="AJ635" s="12" t="str">
        <f>IF(AH635="","",IFERROR(_xlfn.XLOOKUP(RIGHT("0000"&amp;AH635,4),CODEBOOK_CAP!$C$2:$C$212,CODEBOOK_CAP!$E$2:$E$212),"Código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635" s="22" t="s">
        <v>77</v>
      </c>
      <c r="AL635" s="26"/>
      <c r="AM635" s="22" t="s">
        <v>79</v>
      </c>
      <c r="AN635" s="22" t="s">
        <v>79</v>
      </c>
      <c r="AO635" s="12" t="s">
        <v>3526</v>
      </c>
      <c r="AP635" s="22" t="s">
        <v>77</v>
      </c>
      <c r="AQ635" s="12"/>
      <c r="AR635" s="22" t="s">
        <v>77</v>
      </c>
      <c r="AS635" s="10"/>
      <c r="AT635" s="2" t="s">
        <v>1814</v>
      </c>
      <c r="AU635" s="12" t="s">
        <v>83</v>
      </c>
      <c r="AV635" s="3" t="n">
        <v>46223</v>
      </c>
      <c r="AW635" s="21"/>
      <c r="AY635" s="1"/>
      <c r="BA635" s="1"/>
      <c r="BB635" s="1"/>
    </row>
    <row r="636" ht="150" customHeight="1">
      <c r="A636" s="20" t="s">
        <v>3527</v>
      </c>
      <c r="B636" s="20" t="n">
        <v>2023</v>
      </c>
      <c r="C636" s="20" t="n">
        <v>624</v>
      </c>
      <c r="D636" s="20" t="s">
        <v>50</v>
      </c>
      <c r="E636" s="20" t="s">
        <v>3505</v>
      </c>
      <c r="F636" s="20" t="s">
        <v>3528</v>
      </c>
      <c r="G636" s="20" t="s">
        <v>86</v>
      </c>
      <c r="H636" s="20" t="s">
        <v>3507</v>
      </c>
      <c r="I636" s="20"/>
      <c r="J636" s="20" t="s">
        <v>3529</v>
      </c>
      <c r="K636" s="20" t="s">
        <v>122</v>
      </c>
      <c r="L636" s="20" t="s">
        <v>57</v>
      </c>
      <c r="M636" s="20" t="s">
        <v>58</v>
      </c>
      <c r="N636" s="20" t="s">
        <v>59</v>
      </c>
      <c r="O636" s="20" t="s">
        <v>60</v>
      </c>
      <c r="P636" s="20" t="s">
        <v>89</v>
      </c>
      <c r="Q636" s="20" t="s">
        <v>90</v>
      </c>
      <c r="R636" s="20" t="s">
        <v>91</v>
      </c>
      <c r="S636" s="20" t="s">
        <v>92</v>
      </c>
      <c r="T636" s="20" t="s">
        <v>123</v>
      </c>
      <c r="U636" s="20" t="s">
        <v>124</v>
      </c>
      <c r="V636" s="20" t="s">
        <v>95</v>
      </c>
      <c r="W636" s="20" t="s">
        <v>96</v>
      </c>
      <c r="X636" s="20" t="s">
        <v>97</v>
      </c>
      <c r="Y636" s="20" t="s">
        <v>70</v>
      </c>
      <c r="Z636" s="20" t="s">
        <v>98</v>
      </c>
      <c r="AA636" s="20" t="s">
        <v>125</v>
      </c>
      <c r="AB636" s="20" t="s">
        <v>125</v>
      </c>
      <c r="AC636" s="20" t="s">
        <v>125</v>
      </c>
      <c r="AD636" s="20" t="s">
        <v>125</v>
      </c>
      <c r="AE636" s="20"/>
      <c r="AF636" s="9" t="n">
        <v>1</v>
      </c>
      <c r="AG636" s="12" t="n">
        <v>1</v>
      </c>
      <c r="AH636" s="22" t="s">
        <v>620</v>
      </c>
      <c r="AI636" s="12" t="str">
        <f>IF(AH636="","",IFERROR(RIGHT("0000"&amp;AH636,4)&amp;" - "&amp;UPPER(_xlfn.XLOOKUP(RIGHT("0000"&amp;AH636,4),CODEBOOK_CAP!$C$2:$C$212,CODEBOOK_CAP!$D$2:$D$212)),"Código CAP não encontrado"))</f>
        <v>0332 - SAÚDE INFANTIL, GRAVIDEZ E PRÉ-NATAL</v>
      </c>
      <c r="AJ636" s="12" t="str">
        <f>IF(AH636="","",IFERROR(_xlfn.XLOOKUP(RIGHT("0000"&amp;AH636,4),CODEBOOK_CAP!$C$2:$C$212,CODEBOOK_CAP!$E$2:$E$212),"Código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636" s="22" t="s">
        <v>77</v>
      </c>
      <c r="AL636" s="26"/>
      <c r="AM636" s="22" t="s">
        <v>79</v>
      </c>
      <c r="AN636" s="22" t="s">
        <v>79</v>
      </c>
      <c r="AO636" s="12" t="s">
        <v>3530</v>
      </c>
      <c r="AP636" s="22" t="s">
        <v>79</v>
      </c>
      <c r="AQ636" s="12" t="s">
        <v>622</v>
      </c>
      <c r="AR636" s="22" t="s">
        <v>77</v>
      </c>
      <c r="AS636" s="10"/>
      <c r="AT636" s="2" t="s">
        <v>1814</v>
      </c>
      <c r="AU636" s="12" t="s">
        <v>83</v>
      </c>
      <c r="AV636" s="3" t="n">
        <v>46223</v>
      </c>
      <c r="AW636" s="21"/>
      <c r="AY636" s="1"/>
      <c r="BA636" s="1"/>
      <c r="BB636" s="1"/>
    </row>
    <row r="637" ht="150" customHeight="1">
      <c r="A637" s="20" t="s">
        <v>3531</v>
      </c>
      <c r="B637" s="20" t="n">
        <v>2023</v>
      </c>
      <c r="C637" s="20" t="n">
        <v>626</v>
      </c>
      <c r="D637" s="20" t="s">
        <v>50</v>
      </c>
      <c r="E637" s="20" t="s">
        <v>3505</v>
      </c>
      <c r="F637" s="20" t="s">
        <v>3532</v>
      </c>
      <c r="G637" s="20" t="s">
        <v>86</v>
      </c>
      <c r="H637" s="20" t="s">
        <v>3507</v>
      </c>
      <c r="I637" s="20"/>
      <c r="J637" s="20" t="s">
        <v>3533</v>
      </c>
      <c r="K637" s="20" t="s">
        <v>122</v>
      </c>
      <c r="L637" s="20" t="s">
        <v>57</v>
      </c>
      <c r="M637" s="20" t="s">
        <v>58</v>
      </c>
      <c r="N637" s="20" t="s">
        <v>59</v>
      </c>
      <c r="O637" s="20" t="s">
        <v>60</v>
      </c>
      <c r="P637" s="20" t="s">
        <v>89</v>
      </c>
      <c r="Q637" s="20" t="s">
        <v>90</v>
      </c>
      <c r="R637" s="20" t="s">
        <v>91</v>
      </c>
      <c r="S637" s="20" t="s">
        <v>92</v>
      </c>
      <c r="T637" s="20" t="s">
        <v>123</v>
      </c>
      <c r="U637" s="20" t="s">
        <v>124</v>
      </c>
      <c r="V637" s="20" t="s">
        <v>95</v>
      </c>
      <c r="W637" s="20" t="s">
        <v>96</v>
      </c>
      <c r="X637" s="20" t="s">
        <v>97</v>
      </c>
      <c r="Y637" s="20" t="s">
        <v>70</v>
      </c>
      <c r="Z637" s="20" t="s">
        <v>98</v>
      </c>
      <c r="AA637" s="20" t="s">
        <v>3534</v>
      </c>
      <c r="AB637" s="20" t="s">
        <v>3534</v>
      </c>
      <c r="AC637" s="20" t="s">
        <v>3534</v>
      </c>
      <c r="AD637" s="20" t="s">
        <v>3534</v>
      </c>
      <c r="AE637" s="20"/>
      <c r="AF637" s="9" t="n">
        <v>1</v>
      </c>
      <c r="AG637" s="12" t="n">
        <v>1</v>
      </c>
      <c r="AH637" s="22" t="s">
        <v>620</v>
      </c>
      <c r="AI637" s="12" t="str">
        <f>IF(AH637="","",IFERROR(RIGHT("0000"&amp;AH637,4)&amp;" - "&amp;UPPER(_xlfn.XLOOKUP(RIGHT("0000"&amp;AH637,4),CODEBOOK_CAP!$C$2:$C$212,CODEBOOK_CAP!$D$2:$D$212)),"Código CAP não encontrado"))</f>
        <v>0332 - SAÚDE INFANTIL, GRAVIDEZ E PRÉ-NATAL</v>
      </c>
      <c r="AJ637" s="12" t="str">
        <f>IF(AH637="","",IFERROR(_xlfn.XLOOKUP(RIGHT("0000"&amp;AH637,4),CODEBOOK_CAP!$C$2:$C$212,CODEBOOK_CAP!$E$2:$E$212),"Código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637" s="22" t="s">
        <v>77</v>
      </c>
      <c r="AL637" s="26"/>
      <c r="AM637" s="22" t="s">
        <v>79</v>
      </c>
      <c r="AN637" s="22" t="s">
        <v>79</v>
      </c>
      <c r="AO637" s="12" t="s">
        <v>3535</v>
      </c>
      <c r="AP637" s="22" t="s">
        <v>79</v>
      </c>
      <c r="AQ637" s="12" t="s">
        <v>1094</v>
      </c>
      <c r="AR637" s="22" t="s">
        <v>77</v>
      </c>
      <c r="AS637" s="10"/>
      <c r="AT637" s="2" t="s">
        <v>1814</v>
      </c>
      <c r="AU637" s="12" t="s">
        <v>83</v>
      </c>
      <c r="AV637" s="3" t="n">
        <v>46223</v>
      </c>
      <c r="AW637" s="21"/>
      <c r="AY637" s="1"/>
      <c r="BA637" s="1"/>
      <c r="BB637" s="1"/>
    </row>
    <row r="638" ht="105" customHeight="1">
      <c r="A638" s="20" t="s">
        <v>3536</v>
      </c>
      <c r="B638" s="20" t="n">
        <v>2023</v>
      </c>
      <c r="C638" s="20" t="n">
        <v>628</v>
      </c>
      <c r="D638" s="20" t="s">
        <v>50</v>
      </c>
      <c r="E638" s="20" t="s">
        <v>3505</v>
      </c>
      <c r="F638" s="20" t="s">
        <v>3537</v>
      </c>
      <c r="G638" s="20" t="s">
        <v>86</v>
      </c>
      <c r="H638" s="20" t="s">
        <v>3507</v>
      </c>
      <c r="I638" s="20"/>
      <c r="J638" s="20" t="s">
        <v>3538</v>
      </c>
      <c r="K638" s="20" t="s">
        <v>241</v>
      </c>
      <c r="L638" s="20" t="s">
        <v>208</v>
      </c>
      <c r="M638" s="20" t="s">
        <v>209</v>
      </c>
      <c r="N638" s="20" t="s">
        <v>188</v>
      </c>
      <c r="O638" s="20" t="s">
        <v>189</v>
      </c>
      <c r="P638" s="20" t="s">
        <v>190</v>
      </c>
      <c r="Q638" s="20" t="s">
        <v>191</v>
      </c>
      <c r="R638" s="20" t="s">
        <v>192</v>
      </c>
      <c r="S638" s="20" t="s">
        <v>193</v>
      </c>
      <c r="T638" s="20" t="s">
        <v>242</v>
      </c>
      <c r="U638" s="20" t="s">
        <v>243</v>
      </c>
      <c r="V638" s="20" t="s">
        <v>67</v>
      </c>
      <c r="W638" s="20" t="s">
        <v>68</v>
      </c>
      <c r="X638" s="20" t="s">
        <v>69</v>
      </c>
      <c r="Y638" s="20" t="s">
        <v>70</v>
      </c>
      <c r="Z638" s="20" t="s">
        <v>177</v>
      </c>
      <c r="AA638" s="20" t="s">
        <v>3539</v>
      </c>
      <c r="AB638" s="20" t="s">
        <v>3540</v>
      </c>
      <c r="AC638" s="20" t="s">
        <v>3540</v>
      </c>
      <c r="AD638" s="20" t="s">
        <v>3540</v>
      </c>
      <c r="AE638" s="20"/>
      <c r="AF638" s="9" t="n">
        <v>0</v>
      </c>
      <c r="AG638" s="12" t="n">
        <v>0</v>
      </c>
      <c r="AH638" s="22" t="s">
        <v>161</v>
      </c>
      <c r="AI638" s="12" t="str">
        <f>IF(AH638="","",IFERROR(RIGHT("0000"&amp;AH638,4)&amp;" - "&amp;UPPER(_xlfn.XLOOKUP(RIGHT("0000"&amp;AH638,4),CODEBOOK_CAP!$C$2:$C$212,CODEBOOK_CAP!$D$2:$D$212)),"Código CAP não encontrado"))</f>
        <v>2300 - GERAL</v>
      </c>
      <c r="AJ638" s="12" t="str">
        <f>IF(AH638="","",IFERROR(_xlfn.XLOOKUP(RIGHT("0000"&amp;AH638,4),CODEBOOK_CAP!$C$2:$C$212,CODEBOOK_CAP!$E$2:$E$212),"Código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38" s="22" t="s">
        <v>79</v>
      </c>
      <c r="AL638" s="26" t="s">
        <v>3541</v>
      </c>
      <c r="AM638" s="22" t="s">
        <v>79</v>
      </c>
      <c r="AN638" s="22" t="s">
        <v>79</v>
      </c>
      <c r="AO638" s="12" t="s">
        <v>3542</v>
      </c>
      <c r="AP638" s="22" t="s">
        <v>77</v>
      </c>
      <c r="AQ638" s="12"/>
      <c r="AR638" s="22" t="s">
        <v>77</v>
      </c>
      <c r="AS638" s="10"/>
      <c r="AT638" s="2" t="s">
        <v>1814</v>
      </c>
      <c r="AU638" s="12" t="s">
        <v>83</v>
      </c>
      <c r="AV638" s="3" t="n">
        <v>46223</v>
      </c>
      <c r="AW638" s="21"/>
      <c r="AX638" s="1" t="s">
        <v>6956</v>
      </c>
      <c r="AY638" s="1"/>
      <c r="BA638" s="1"/>
      <c r="BB638" s="1"/>
    </row>
    <row r="639">
      <c r="A639" s="14" t="s">
        <v>3543</v>
      </c>
      <c r="B639" s="14" t="n">
        <v>2023</v>
      </c>
      <c r="C639" s="14" t="n">
        <v>629</v>
      </c>
      <c r="D639" s="14" t="s">
        <v>50</v>
      </c>
      <c r="E639" s="14" t="s">
        <v>3505</v>
      </c>
      <c r="F639" s="14" t="s">
        <v>3544</v>
      </c>
      <c r="G639" s="14" t="s">
        <v>633</v>
      </c>
      <c r="H639" s="14" t="s">
        <v>3507</v>
      </c>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5"/>
      <c r="AG639" s="15"/>
      <c r="AH639" s="16"/>
      <c r="AI639" s="15" t="str">
        <f>IF(AH639="","",IFERROR(RIGHT("0000"&amp;AH639,4)&amp;" - "&amp;UPPER(_xlfn.XLOOKUP(RIGHT("0000"&amp;AH639,4),CODEBOOK_CAP!$C$2:$C$212,CODEBOOK_CAP!$D$2:$D$212)),"Código CAP não encontrado"))</f>
      </c>
      <c r="AJ639" s="15" t="str">
        <f>IF(AH639="","",IFERROR(_xlfn.XLOOKUP(RIGHT("0000"&amp;AH639,4),CODEBOOK_CAP!$C$2:$C$212,CODEBOOK_CAP!$E$2:$E$212),"Código CAP não encontrado"))</f>
      </c>
      <c r="AK639" s="16"/>
      <c r="AL639" s="17"/>
      <c r="AM639" s="16"/>
      <c r="AN639" s="16"/>
      <c r="AO639" s="15"/>
      <c r="AP639" s="16"/>
      <c r="AQ639" s="15"/>
      <c r="AR639" s="16"/>
      <c r="AS639" s="18"/>
      <c r="AT639" s="2" t="s">
        <v>1814</v>
      </c>
      <c r="AU639" s="12" t="s">
        <v>83</v>
      </c>
      <c r="AV639" s="3" t="n">
        <v>46223</v>
      </c>
    </row>
    <row r="640" ht="105" customHeight="1">
      <c r="A640" s="20" t="s">
        <v>3545</v>
      </c>
      <c r="B640" s="20" t="n">
        <v>2023</v>
      </c>
      <c r="C640" s="20" t="n">
        <v>630</v>
      </c>
      <c r="D640" s="20" t="s">
        <v>50</v>
      </c>
      <c r="E640" s="20" t="s">
        <v>3505</v>
      </c>
      <c r="F640" s="20" t="s">
        <v>3546</v>
      </c>
      <c r="G640" s="20" t="s">
        <v>86</v>
      </c>
      <c r="H640" s="20" t="s">
        <v>3507</v>
      </c>
      <c r="I640" s="20"/>
      <c r="J640" s="20" t="s">
        <v>3547</v>
      </c>
      <c r="K640" s="20" t="s">
        <v>241</v>
      </c>
      <c r="L640" s="20" t="s">
        <v>208</v>
      </c>
      <c r="M640" s="20" t="s">
        <v>209</v>
      </c>
      <c r="N640" s="20" t="s">
        <v>188</v>
      </c>
      <c r="O640" s="20" t="s">
        <v>189</v>
      </c>
      <c r="P640" s="20" t="s">
        <v>190</v>
      </c>
      <c r="Q640" s="20" t="s">
        <v>191</v>
      </c>
      <c r="R640" s="20" t="s">
        <v>192</v>
      </c>
      <c r="S640" s="20" t="s">
        <v>193</v>
      </c>
      <c r="T640" s="20" t="s">
        <v>242</v>
      </c>
      <c r="U640" s="20" t="s">
        <v>243</v>
      </c>
      <c r="V640" s="20" t="s">
        <v>67</v>
      </c>
      <c r="W640" s="20" t="s">
        <v>68</v>
      </c>
      <c r="X640" s="20" t="s">
        <v>69</v>
      </c>
      <c r="Y640" s="20" t="s">
        <v>70</v>
      </c>
      <c r="Z640" s="20" t="s">
        <v>177</v>
      </c>
      <c r="AA640" s="20" t="s">
        <v>125</v>
      </c>
      <c r="AB640" s="20" t="s">
        <v>3548</v>
      </c>
      <c r="AC640" s="20" t="s">
        <v>3548</v>
      </c>
      <c r="AD640" s="20" t="s">
        <v>3548</v>
      </c>
      <c r="AE640" s="20"/>
      <c r="AF640" s="9" t="n">
        <v>0</v>
      </c>
      <c r="AG640" s="12" t="n">
        <v>0</v>
      </c>
      <c r="AH640" s="22" t="s">
        <v>161</v>
      </c>
      <c r="AI640" s="12" t="str">
        <f>IF(AH640="","",IFERROR(RIGHT("0000"&amp;AH640,4)&amp;" - "&amp;UPPER(_xlfn.XLOOKUP(RIGHT("0000"&amp;AH640,4),CODEBOOK_CAP!$C$2:$C$212,CODEBOOK_CAP!$D$2:$D$212)),"Código CAP não encontrado"))</f>
        <v>2300 - GERAL</v>
      </c>
      <c r="AJ640" s="12" t="str">
        <f>IF(AH640="","",IFERROR(_xlfn.XLOOKUP(RIGHT("0000"&amp;AH640,4),CODEBOOK_CAP!$C$2:$C$212,CODEBOOK_CAP!$E$2:$E$212),"Código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40" s="22" t="s">
        <v>79</v>
      </c>
      <c r="AL640" s="26" t="s">
        <v>3549</v>
      </c>
      <c r="AM640" s="22" t="s">
        <v>79</v>
      </c>
      <c r="AN640" s="22" t="s">
        <v>79</v>
      </c>
      <c r="AO640" s="12" t="s">
        <v>3549</v>
      </c>
      <c r="AP640" s="22" t="s">
        <v>77</v>
      </c>
      <c r="AQ640" s="12"/>
      <c r="AR640" s="22" t="s">
        <v>77</v>
      </c>
      <c r="AS640" s="10"/>
      <c r="AT640" s="2" t="s">
        <v>1814</v>
      </c>
      <c r="AU640" s="12" t="s">
        <v>83</v>
      </c>
      <c r="AV640" s="3" t="n">
        <v>46223</v>
      </c>
      <c r="AW640" s="21"/>
      <c r="AX640" s="1" t="s">
        <v>6956</v>
      </c>
      <c r="AY640" s="1"/>
      <c r="BA640" s="1"/>
      <c r="BB640" s="1"/>
    </row>
    <row r="641" ht="105" customHeight="1">
      <c r="A641" s="20" t="s">
        <v>3550</v>
      </c>
      <c r="B641" s="20" t="n">
        <v>2023</v>
      </c>
      <c r="C641" s="20" t="n">
        <v>631</v>
      </c>
      <c r="D641" s="20" t="s">
        <v>50</v>
      </c>
      <c r="E641" s="20" t="s">
        <v>3505</v>
      </c>
      <c r="F641" s="20" t="s">
        <v>3551</v>
      </c>
      <c r="G641" s="20" t="s">
        <v>86</v>
      </c>
      <c r="H641" s="20" t="s">
        <v>3507</v>
      </c>
      <c r="I641" s="20"/>
      <c r="J641" s="20" t="s">
        <v>3552</v>
      </c>
      <c r="K641" s="20" t="s">
        <v>682</v>
      </c>
      <c r="L641" s="20" t="s">
        <v>186</v>
      </c>
      <c r="M641" s="20" t="s">
        <v>187</v>
      </c>
      <c r="N641" s="20" t="s">
        <v>188</v>
      </c>
      <c r="O641" s="20" t="s">
        <v>189</v>
      </c>
      <c r="P641" s="20" t="s">
        <v>338</v>
      </c>
      <c r="Q641" s="20" t="s">
        <v>683</v>
      </c>
      <c r="R641" s="20" t="s">
        <v>192</v>
      </c>
      <c r="S641" s="20" t="s">
        <v>193</v>
      </c>
      <c r="T641" s="20" t="s">
        <v>684</v>
      </c>
      <c r="U641" s="20" t="s">
        <v>685</v>
      </c>
      <c r="V641" s="20" t="s">
        <v>95</v>
      </c>
      <c r="W641" s="20" t="s">
        <v>96</v>
      </c>
      <c r="X641" s="20" t="s">
        <v>97</v>
      </c>
      <c r="Y641" s="20" t="s">
        <v>70</v>
      </c>
      <c r="Z641" s="20" t="s">
        <v>197</v>
      </c>
      <c r="AA641" s="20" t="s">
        <v>580</v>
      </c>
      <c r="AB641" s="20" t="s">
        <v>3553</v>
      </c>
      <c r="AC641" s="20" t="s">
        <v>3554</v>
      </c>
      <c r="AD641" s="20" t="s">
        <v>3553</v>
      </c>
      <c r="AE641" s="20"/>
      <c r="AF641" s="9" t="n">
        <v>0</v>
      </c>
      <c r="AG641" s="12" t="n">
        <v>0</v>
      </c>
      <c r="AH641" s="22" t="s">
        <v>161</v>
      </c>
      <c r="AI641" s="12" t="str">
        <f>IF(AH641="","",IFERROR(RIGHT("0000"&amp;AH641,4)&amp;" - "&amp;UPPER(_xlfn.XLOOKUP(RIGHT("0000"&amp;AH641,4),CODEBOOK_CAP!$C$2:$C$212,CODEBOOK_CAP!$D$2:$D$212)),"Código CAP não encontrado"))</f>
        <v>2300 - GERAL</v>
      </c>
      <c r="AJ641" s="12" t="str">
        <f>IF(AH641="","",IFERROR(_xlfn.XLOOKUP(RIGHT("0000"&amp;AH641,4),CODEBOOK_CAP!$C$2:$C$212,CODEBOOK_CAP!$E$2:$E$212),"Código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41" s="22" t="s">
        <v>77</v>
      </c>
      <c r="AL641" s="26"/>
      <c r="AM641" s="22" t="s">
        <v>77</v>
      </c>
      <c r="AN641" s="22" t="s">
        <v>77</v>
      </c>
      <c r="AO641" s="12"/>
      <c r="AP641" s="22" t="s">
        <v>77</v>
      </c>
      <c r="AQ641" s="12"/>
      <c r="AR641" s="22" t="s">
        <v>77</v>
      </c>
      <c r="AS641" s="10"/>
      <c r="AT641" s="2" t="s">
        <v>1814</v>
      </c>
      <c r="AU641" s="12" t="s">
        <v>83</v>
      </c>
      <c r="AV641" s="3" t="n">
        <v>46223</v>
      </c>
      <c r="AW641" s="21"/>
      <c r="AX641" s="1" t="s">
        <v>6956</v>
      </c>
      <c r="AY641" s="1"/>
      <c r="BA641" s="1"/>
      <c r="BB641" s="1"/>
    </row>
    <row r="642" ht="105" customHeight="1">
      <c r="A642" s="20" t="s">
        <v>3555</v>
      </c>
      <c r="B642" s="20" t="n">
        <v>2023</v>
      </c>
      <c r="C642" s="20" t="n">
        <v>632</v>
      </c>
      <c r="D642" s="20" t="s">
        <v>50</v>
      </c>
      <c r="E642" s="20" t="s">
        <v>3505</v>
      </c>
      <c r="F642" s="20" t="s">
        <v>3556</v>
      </c>
      <c r="G642" s="20" t="s">
        <v>86</v>
      </c>
      <c r="H642" s="20" t="s">
        <v>3507</v>
      </c>
      <c r="I642" s="20"/>
      <c r="J642" s="20" t="s">
        <v>3557</v>
      </c>
      <c r="K642" s="20" t="s">
        <v>3558</v>
      </c>
      <c r="L642" s="20" t="s">
        <v>186</v>
      </c>
      <c r="M642" s="20" t="s">
        <v>187</v>
      </c>
      <c r="N642" s="20" t="s">
        <v>188</v>
      </c>
      <c r="O642" s="20" t="s">
        <v>189</v>
      </c>
      <c r="P642" s="20" t="s">
        <v>190</v>
      </c>
      <c r="Q642" s="20" t="s">
        <v>191</v>
      </c>
      <c r="R642" s="20" t="s">
        <v>192</v>
      </c>
      <c r="S642" s="20" t="s">
        <v>193</v>
      </c>
      <c r="T642" s="20" t="s">
        <v>684</v>
      </c>
      <c r="U642" s="20" t="s">
        <v>685</v>
      </c>
      <c r="V642" s="20" t="s">
        <v>95</v>
      </c>
      <c r="W642" s="20" t="s">
        <v>96</v>
      </c>
      <c r="X642" s="20" t="s">
        <v>97</v>
      </c>
      <c r="Y642" s="20" t="s">
        <v>70</v>
      </c>
      <c r="Z642" s="20" t="s">
        <v>197</v>
      </c>
      <c r="AA642" s="20" t="s">
        <v>409</v>
      </c>
      <c r="AB642" s="20" t="s">
        <v>3559</v>
      </c>
      <c r="AC642" s="20" t="s">
        <v>3559</v>
      </c>
      <c r="AD642" s="20" t="s">
        <v>3559</v>
      </c>
      <c r="AE642" s="20"/>
      <c r="AF642" s="9" t="n">
        <v>0</v>
      </c>
      <c r="AG642" s="12" t="n">
        <v>0</v>
      </c>
      <c r="AH642" s="22" t="s">
        <v>161</v>
      </c>
      <c r="AI642" s="12" t="str">
        <f>IF(AH642="","",IFERROR(RIGHT("0000"&amp;AH642,4)&amp;" - "&amp;UPPER(_xlfn.XLOOKUP(RIGHT("0000"&amp;AH642,4),CODEBOOK_CAP!$C$2:$C$212,CODEBOOK_CAP!$D$2:$D$212)),"Código CAP não encontrado"))</f>
        <v>2300 - GERAL</v>
      </c>
      <c r="AJ642" s="12" t="str">
        <f>IF(AH642="","",IFERROR(_xlfn.XLOOKUP(RIGHT("0000"&amp;AH642,4),CODEBOOK_CAP!$C$2:$C$212,CODEBOOK_CAP!$E$2:$E$212),"Código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42" s="22" t="s">
        <v>77</v>
      </c>
      <c r="AL642" s="26"/>
      <c r="AM642" s="22" t="s">
        <v>77</v>
      </c>
      <c r="AN642" s="22" t="s">
        <v>77</v>
      </c>
      <c r="AO642" s="12"/>
      <c r="AP642" s="22" t="s">
        <v>79</v>
      </c>
      <c r="AQ642" s="12" t="s">
        <v>824</v>
      </c>
      <c r="AR642" s="22" t="s">
        <v>77</v>
      </c>
      <c r="AS642" s="10"/>
      <c r="AT642" s="2" t="s">
        <v>1814</v>
      </c>
      <c r="AU642" s="12" t="s">
        <v>83</v>
      </c>
      <c r="AV642" s="3" t="n">
        <v>46223</v>
      </c>
      <c r="AW642" s="21"/>
      <c r="AX642" s="1" t="s">
        <v>6956</v>
      </c>
      <c r="AY642" s="1"/>
      <c r="BA642" s="1"/>
      <c r="BB642" s="1"/>
    </row>
    <row r="643" ht="105" customHeight="1">
      <c r="A643" s="20" t="s">
        <v>3560</v>
      </c>
      <c r="B643" s="20" t="n">
        <v>2023</v>
      </c>
      <c r="C643" s="20" t="n">
        <v>633</v>
      </c>
      <c r="D643" s="20" t="s">
        <v>50</v>
      </c>
      <c r="E643" s="20" t="s">
        <v>3505</v>
      </c>
      <c r="F643" s="20" t="s">
        <v>3561</v>
      </c>
      <c r="G643" s="20" t="s">
        <v>53</v>
      </c>
      <c r="H643" s="20" t="s">
        <v>3507</v>
      </c>
      <c r="I643" s="20"/>
      <c r="J643" s="20" t="s">
        <v>3562</v>
      </c>
      <c r="K643" s="20" t="s">
        <v>691</v>
      </c>
      <c r="L643" s="20" t="s">
        <v>186</v>
      </c>
      <c r="M643" s="20" t="s">
        <v>187</v>
      </c>
      <c r="N643" s="20" t="s">
        <v>188</v>
      </c>
      <c r="O643" s="20" t="s">
        <v>189</v>
      </c>
      <c r="P643" s="20" t="s">
        <v>190</v>
      </c>
      <c r="Q643" s="20" t="s">
        <v>191</v>
      </c>
      <c r="R643" s="20" t="s">
        <v>192</v>
      </c>
      <c r="S643" s="20" t="s">
        <v>193</v>
      </c>
      <c r="T643" s="20" t="s">
        <v>194</v>
      </c>
      <c r="U643" s="20" t="s">
        <v>195</v>
      </c>
      <c r="V643" s="20" t="s">
        <v>196</v>
      </c>
      <c r="W643" s="20" t="s">
        <v>68</v>
      </c>
      <c r="X643" s="20" t="s">
        <v>69</v>
      </c>
      <c r="Y643" s="20" t="s">
        <v>70</v>
      </c>
      <c r="Z643" s="20" t="s">
        <v>197</v>
      </c>
      <c r="AA643" s="20" t="s">
        <v>198</v>
      </c>
      <c r="AB643" s="20" t="s">
        <v>3563</v>
      </c>
      <c r="AC643" s="20" t="s">
        <v>3563</v>
      </c>
      <c r="AD643" s="20" t="s">
        <v>3563</v>
      </c>
      <c r="AE643" s="20"/>
      <c r="AF643" s="9" t="n">
        <v>0</v>
      </c>
      <c r="AG643" s="12" t="n">
        <v>0</v>
      </c>
      <c r="AH643" s="22" t="s">
        <v>161</v>
      </c>
      <c r="AI643" s="12" t="str">
        <f>IF(AH643="","",IFERROR(RIGHT("0000"&amp;AH643,4)&amp;" - "&amp;UPPER(_xlfn.XLOOKUP(RIGHT("0000"&amp;AH643,4),CODEBOOK_CAP!$C$2:$C$212,CODEBOOK_CAP!$D$2:$D$212)),"Código CAP não encontrado"))</f>
        <v>2300 - GERAL</v>
      </c>
      <c r="AJ643" s="12" t="str">
        <f>IF(AH643="","",IFERROR(_xlfn.XLOOKUP(RIGHT("0000"&amp;AH643,4),CODEBOOK_CAP!$C$2:$C$212,CODEBOOK_CAP!$E$2:$E$212),"Código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43" s="22" t="s">
        <v>79</v>
      </c>
      <c r="AL643" s="26" t="s">
        <v>3564</v>
      </c>
      <c r="AM643" s="22" t="s">
        <v>77</v>
      </c>
      <c r="AN643" s="22" t="s">
        <v>77</v>
      </c>
      <c r="AO643" s="12"/>
      <c r="AP643" s="22" t="s">
        <v>79</v>
      </c>
      <c r="AQ643" s="12" t="s">
        <v>3565</v>
      </c>
      <c r="AR643" s="22" t="s">
        <v>77</v>
      </c>
      <c r="AS643" s="10"/>
      <c r="AT643" s="2" t="s">
        <v>1814</v>
      </c>
      <c r="AU643" s="12" t="s">
        <v>83</v>
      </c>
      <c r="AV643" s="3" t="n">
        <v>46223</v>
      </c>
      <c r="AW643" s="21"/>
      <c r="AX643" s="1" t="s">
        <v>6956</v>
      </c>
      <c r="AY643" s="1"/>
      <c r="BA643" s="1"/>
      <c r="BB643" s="1"/>
    </row>
    <row r="644" ht="210" customHeight="1">
      <c r="A644" s="20" t="s">
        <v>3566</v>
      </c>
      <c r="B644" s="20" t="n">
        <v>2023</v>
      </c>
      <c r="C644" s="20" t="n">
        <v>634</v>
      </c>
      <c r="D644" s="20" t="s">
        <v>50</v>
      </c>
      <c r="E644" s="20" t="s">
        <v>3505</v>
      </c>
      <c r="F644" s="20" t="s">
        <v>3567</v>
      </c>
      <c r="G644" s="20" t="s">
        <v>86</v>
      </c>
      <c r="H644" s="20" t="s">
        <v>3507</v>
      </c>
      <c r="I644" s="20"/>
      <c r="J644" s="20" t="s">
        <v>3568</v>
      </c>
      <c r="K644" s="20" t="s">
        <v>3569</v>
      </c>
      <c r="L644" s="20" t="s">
        <v>785</v>
      </c>
      <c r="M644" s="20" t="s">
        <v>786</v>
      </c>
      <c r="N644" s="20" t="s">
        <v>787</v>
      </c>
      <c r="O644" s="20" t="s">
        <v>788</v>
      </c>
      <c r="P644" s="20" t="s">
        <v>517</v>
      </c>
      <c r="Q644" s="20" t="s">
        <v>893</v>
      </c>
      <c r="R644" s="20" t="s">
        <v>894</v>
      </c>
      <c r="S644" s="20" t="s">
        <v>895</v>
      </c>
      <c r="T644" s="20" t="s">
        <v>792</v>
      </c>
      <c r="U644" s="20" t="s">
        <v>793</v>
      </c>
      <c r="V644" s="20" t="s">
        <v>1152</v>
      </c>
      <c r="W644" s="20" t="s">
        <v>68</v>
      </c>
      <c r="X644" s="20" t="s">
        <v>69</v>
      </c>
      <c r="Y644" s="20" t="s">
        <v>70</v>
      </c>
      <c r="Z644" s="20" t="s">
        <v>794</v>
      </c>
      <c r="AA644" s="20" t="s">
        <v>3570</v>
      </c>
      <c r="AB644" s="20" t="s">
        <v>3570</v>
      </c>
      <c r="AC644" s="20" t="s">
        <v>3571</v>
      </c>
      <c r="AD644" s="20" t="s">
        <v>3570</v>
      </c>
      <c r="AE644" s="20"/>
      <c r="AF644" s="9" t="n">
        <v>0</v>
      </c>
      <c r="AG644" s="12" t="n">
        <v>0</v>
      </c>
      <c r="AH644" s="22" t="s">
        <v>899</v>
      </c>
      <c r="AI644" s="12" t="str">
        <f>IF(AH644="","",IFERROR(RIGHT("0000"&amp;AH644,4)&amp;" - "&amp;UPPER(_xlfn.XLOOKUP(RIGHT("0000"&amp;AH644,4),CODEBOOK_CAP!$C$2:$C$212,CODEBOOK_CAP!$D$2:$D$212)),"Código CAP não encontrado"))</f>
        <v>0602 - ENSINO BÁSICO, FUNDAMENTAL E MÉDIO</v>
      </c>
      <c r="AJ644" s="12" t="str">
        <f>IF(AH644="","",IFERROR(_xlfn.XLOOKUP(RIGHT("0000"&amp;AH644,4),CODEBOOK_CAP!$C$2:$C$212,CODEBOOK_CAP!$E$2:$E$212),"Código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644" s="22" t="s">
        <v>79</v>
      </c>
      <c r="AL644" s="26" t="s">
        <v>3572</v>
      </c>
      <c r="AM644" s="22" t="s">
        <v>79</v>
      </c>
      <c r="AN644" s="22" t="s">
        <v>79</v>
      </c>
      <c r="AO644" s="12" t="s">
        <v>3573</v>
      </c>
      <c r="AP644" s="22" t="s">
        <v>77</v>
      </c>
      <c r="AQ644" s="12"/>
      <c r="AR644" s="22" t="s">
        <v>77</v>
      </c>
      <c r="AS644" s="10"/>
      <c r="AT644" s="2" t="s">
        <v>1814</v>
      </c>
      <c r="AU644" s="12" t="s">
        <v>83</v>
      </c>
      <c r="AV644" s="3" t="n">
        <v>46223</v>
      </c>
      <c r="AW644" s="21"/>
      <c r="AY644" s="1"/>
      <c r="BA644" s="1"/>
      <c r="BB644" s="1"/>
    </row>
    <row r="645" ht="75" customHeight="1">
      <c r="A645" s="20" t="s">
        <v>3574</v>
      </c>
      <c r="B645" s="20" t="n">
        <v>2023</v>
      </c>
      <c r="C645" s="20" t="n">
        <v>635</v>
      </c>
      <c r="D645" s="20" t="s">
        <v>50</v>
      </c>
      <c r="E645" s="20" t="s">
        <v>3505</v>
      </c>
      <c r="F645" s="20" t="s">
        <v>3575</v>
      </c>
      <c r="G645" s="20" t="s">
        <v>86</v>
      </c>
      <c r="H645" s="20" t="s">
        <v>3507</v>
      </c>
      <c r="I645" s="20"/>
      <c r="J645" s="20" t="s">
        <v>3576</v>
      </c>
      <c r="K645" s="20" t="s">
        <v>299</v>
      </c>
      <c r="L645" s="20" t="s">
        <v>208</v>
      </c>
      <c r="M645" s="20" t="s">
        <v>209</v>
      </c>
      <c r="N645" s="20" t="s">
        <v>210</v>
      </c>
      <c r="O645" s="20" t="s">
        <v>211</v>
      </c>
      <c r="P645" s="20" t="s">
        <v>212</v>
      </c>
      <c r="Q645" s="20" t="s">
        <v>213</v>
      </c>
      <c r="R645" s="20" t="s">
        <v>251</v>
      </c>
      <c r="S645" s="20" t="s">
        <v>252</v>
      </c>
      <c r="T645" s="20" t="s">
        <v>300</v>
      </c>
      <c r="U645" s="20" t="s">
        <v>301</v>
      </c>
      <c r="V645" s="20" t="s">
        <v>67</v>
      </c>
      <c r="W645" s="20" t="s">
        <v>68</v>
      </c>
      <c r="X645" s="20" t="s">
        <v>69</v>
      </c>
      <c r="Y645" s="20" t="s">
        <v>70</v>
      </c>
      <c r="Z645" s="20" t="s">
        <v>177</v>
      </c>
      <c r="AA645" s="20" t="s">
        <v>125</v>
      </c>
      <c r="AB645" s="20" t="s">
        <v>3577</v>
      </c>
      <c r="AC645" s="20" t="s">
        <v>3577</v>
      </c>
      <c r="AD645" s="20" t="s">
        <v>3577</v>
      </c>
      <c r="AE645" s="20"/>
      <c r="AF645" s="9" t="n">
        <v>0</v>
      </c>
      <c r="AG645" s="12" t="n">
        <v>0</v>
      </c>
      <c r="AH645" s="22" t="s">
        <v>304</v>
      </c>
      <c r="AI645" s="12" t="str">
        <f>IF(AH645="","",IFERROR(RIGHT("0000"&amp;AH645,4)&amp;" - "&amp;UPPER(_xlfn.XLOOKUP(RIGHT("0000"&amp;AH645,4),CODEBOOK_CAP!$C$2:$C$212,CODEBOOK_CAP!$D$2:$D$212)),"Código CAP não encontrado"))</f>
        <v>1403 - REABILITAÇÃO URBANA, ECONOMIA URBANA</v>
      </c>
      <c r="AJ645" s="12" t="str">
        <f>IF(AH645="","",IFERROR(_xlfn.XLOOKUP(RIGHT("0000"&amp;AH645,4),CODEBOOK_CAP!$C$2:$C$212,CODEBOOK_CAP!$E$2:$E$212),"Código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45" s="22" t="n">
        <v>1</v>
      </c>
      <c r="AL645" s="26" t="s">
        <v>10096</v>
      </c>
      <c r="AM645" s="22" t="n">
        <v>1</v>
      </c>
      <c r="AN645" s="22" t="n">
        <v>1</v>
      </c>
      <c r="AO645" s="12" t="s">
        <v>10097</v>
      </c>
      <c r="AP645" s="22" t="s">
        <v>77</v>
      </c>
      <c r="AQ645" s="12"/>
      <c r="AR645" s="22" t="s">
        <v>77</v>
      </c>
      <c r="AS645" s="10"/>
      <c r="AT645" s="2" t="s">
        <v>1814</v>
      </c>
      <c r="AU645" s="12" t="s">
        <v>83</v>
      </c>
      <c r="AV645" s="3" t="n">
        <v>46223</v>
      </c>
      <c r="AW645" s="21"/>
      <c r="AY645" s="1"/>
      <c r="BA645" s="1"/>
      <c r="BB645" s="1"/>
    </row>
    <row r="646" ht="255" customHeight="1">
      <c r="A646" s="20" t="s">
        <v>3579</v>
      </c>
      <c r="B646" s="20" t="n">
        <v>2023</v>
      </c>
      <c r="C646" s="20" t="n">
        <v>637</v>
      </c>
      <c r="D646" s="20" t="s">
        <v>50</v>
      </c>
      <c r="E646" s="20" t="s">
        <v>3505</v>
      </c>
      <c r="F646" s="20" t="s">
        <v>3580</v>
      </c>
      <c r="G646" s="20" t="s">
        <v>86</v>
      </c>
      <c r="H646" s="20" t="s">
        <v>3507</v>
      </c>
      <c r="I646" s="20"/>
      <c r="J646" s="20" t="s">
        <v>3581</v>
      </c>
      <c r="K646" s="20" t="s">
        <v>1189</v>
      </c>
      <c r="L646" s="20" t="s">
        <v>208</v>
      </c>
      <c r="M646" s="20" t="s">
        <v>209</v>
      </c>
      <c r="N646" s="20" t="s">
        <v>210</v>
      </c>
      <c r="O646" s="20" t="s">
        <v>211</v>
      </c>
      <c r="P646" s="20" t="s">
        <v>212</v>
      </c>
      <c r="Q646" s="20" t="s">
        <v>213</v>
      </c>
      <c r="R646" s="20" t="s">
        <v>251</v>
      </c>
      <c r="S646" s="20" t="s">
        <v>252</v>
      </c>
      <c r="T646" s="20" t="s">
        <v>1190</v>
      </c>
      <c r="U646" s="20" t="s">
        <v>1191</v>
      </c>
      <c r="V646" s="20" t="s">
        <v>67</v>
      </c>
      <c r="W646" s="20" t="s">
        <v>68</v>
      </c>
      <c r="X646" s="20" t="s">
        <v>69</v>
      </c>
      <c r="Y646" s="20" t="s">
        <v>70</v>
      </c>
      <c r="Z646" s="20" t="s">
        <v>177</v>
      </c>
      <c r="AA646" s="20" t="s">
        <v>372</v>
      </c>
      <c r="AB646" s="20" t="s">
        <v>3582</v>
      </c>
      <c r="AC646" s="20" t="s">
        <v>3582</v>
      </c>
      <c r="AD646" s="20" t="s">
        <v>3582</v>
      </c>
      <c r="AE646" s="20"/>
      <c r="AF646" s="9" t="n">
        <v>0</v>
      </c>
      <c r="AG646" s="12" t="n">
        <v>0</v>
      </c>
      <c r="AH646" s="22" t="s">
        <v>219</v>
      </c>
      <c r="AI646" s="12" t="str">
        <f>IF(AH646="","",IFERROR(RIGHT("0000"&amp;AH646,4)&amp;" - "&amp;UPPER(_xlfn.XLOOKUP(RIGHT("0000"&amp;AH646,4),CODEBOOK_CAP!$C$2:$C$212,CODEBOOK_CAP!$D$2:$D$212)),"Código CAP não encontrado"))</f>
        <v>1002 - CARROS, TRÂNSITO, CONSTRUÇÃO E MANUTENÇÃO DE RUAS E ESTRADAS</v>
      </c>
      <c r="AJ646" s="12" t="str">
        <f>IF(AH646="","",IFERROR(_xlfn.XLOOKUP(RIGHT("0000"&amp;AH646,4),CODEBOOK_CAP!$C$2:$C$212,CODEBOOK_CAP!$E$2:$E$212),"Código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646" s="22" t="s">
        <v>79</v>
      </c>
      <c r="AL646" s="26" t="s">
        <v>3583</v>
      </c>
      <c r="AM646" s="22" t="s">
        <v>77</v>
      </c>
      <c r="AN646" s="22" t="s">
        <v>77</v>
      </c>
      <c r="AO646" s="12"/>
      <c r="AP646" s="22" t="s">
        <v>77</v>
      </c>
      <c r="AQ646" s="12"/>
      <c r="AR646" s="22" t="s">
        <v>77</v>
      </c>
      <c r="AS646" s="10"/>
      <c r="AT646" s="2" t="s">
        <v>1814</v>
      </c>
      <c r="AU646" s="12" t="s">
        <v>83</v>
      </c>
      <c r="AV646" s="3" t="n">
        <v>46223</v>
      </c>
      <c r="AW646" s="21"/>
      <c r="AY646" s="1"/>
      <c r="BA646" s="1"/>
      <c r="BB646" s="1"/>
    </row>
    <row r="647" ht="75" customHeight="1">
      <c r="A647" s="20" t="s">
        <v>3584</v>
      </c>
      <c r="B647" s="20" t="n">
        <v>2023</v>
      </c>
      <c r="C647" s="20" t="n">
        <v>638</v>
      </c>
      <c r="D647" s="20" t="s">
        <v>50</v>
      </c>
      <c r="E647" s="20" t="s">
        <v>3505</v>
      </c>
      <c r="F647" s="20" t="s">
        <v>3585</v>
      </c>
      <c r="G647" s="20" t="s">
        <v>86</v>
      </c>
      <c r="H647" s="20" t="s">
        <v>3507</v>
      </c>
      <c r="I647" s="20"/>
      <c r="J647" s="20" t="s">
        <v>3586</v>
      </c>
      <c r="K647" s="20" t="s">
        <v>299</v>
      </c>
      <c r="L647" s="20" t="s">
        <v>208</v>
      </c>
      <c r="M647" s="20" t="s">
        <v>209</v>
      </c>
      <c r="N647" s="20" t="s">
        <v>210</v>
      </c>
      <c r="O647" s="20" t="s">
        <v>211</v>
      </c>
      <c r="P647" s="20" t="s">
        <v>212</v>
      </c>
      <c r="Q647" s="20" t="s">
        <v>213</v>
      </c>
      <c r="R647" s="20" t="s">
        <v>251</v>
      </c>
      <c r="S647" s="20" t="s">
        <v>252</v>
      </c>
      <c r="T647" s="20" t="s">
        <v>300</v>
      </c>
      <c r="U647" s="20" t="s">
        <v>301</v>
      </c>
      <c r="V647" s="20" t="s">
        <v>67</v>
      </c>
      <c r="W647" s="20" t="s">
        <v>68</v>
      </c>
      <c r="X647" s="20" t="s">
        <v>69</v>
      </c>
      <c r="Y647" s="20" t="s">
        <v>70</v>
      </c>
      <c r="Z647" s="20" t="s">
        <v>177</v>
      </c>
      <c r="AA647" s="20" t="s">
        <v>125</v>
      </c>
      <c r="AB647" s="20" t="s">
        <v>3587</v>
      </c>
      <c r="AC647" s="20" t="s">
        <v>3587</v>
      </c>
      <c r="AD647" s="20" t="s">
        <v>3587</v>
      </c>
      <c r="AE647" s="20"/>
      <c r="AF647" s="9" t="n">
        <v>0</v>
      </c>
      <c r="AG647" s="12" t="n">
        <v>0</v>
      </c>
      <c r="AH647" s="22" t="s">
        <v>304</v>
      </c>
      <c r="AI647" s="12" t="str">
        <f>IF(AH647="","",IFERROR(RIGHT("0000"&amp;AH647,4)&amp;" - "&amp;UPPER(_xlfn.XLOOKUP(RIGHT("0000"&amp;AH647,4),CODEBOOK_CAP!$C$2:$C$212,CODEBOOK_CAP!$D$2:$D$212)),"Código CAP não encontrado"))</f>
        <v>1403 - REABILITAÇÃO URBANA, ECONOMIA URBANA</v>
      </c>
      <c r="AJ647" s="12" t="str">
        <f>IF(AH647="","",IFERROR(_xlfn.XLOOKUP(RIGHT("0000"&amp;AH647,4),CODEBOOK_CAP!$C$2:$C$212,CODEBOOK_CAP!$E$2:$E$212),"Código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47" s="22" t="s">
        <v>79</v>
      </c>
      <c r="AL647" s="26" t="s">
        <v>3588</v>
      </c>
      <c r="AM647" s="22" t="s">
        <v>79</v>
      </c>
      <c r="AN647" s="22" t="s">
        <v>79</v>
      </c>
      <c r="AO647" s="12" t="s">
        <v>3589</v>
      </c>
      <c r="AP647" s="22" t="s">
        <v>77</v>
      </c>
      <c r="AQ647" s="12"/>
      <c r="AR647" s="22" t="s">
        <v>77</v>
      </c>
      <c r="AS647" s="10"/>
      <c r="AT647" s="2" t="s">
        <v>1814</v>
      </c>
      <c r="AU647" s="12" t="s">
        <v>83</v>
      </c>
      <c r="AV647" s="3" t="n">
        <v>46223</v>
      </c>
      <c r="AW647" s="21"/>
      <c r="AY647" s="1"/>
      <c r="BA647" s="1"/>
      <c r="BB647" s="1"/>
    </row>
    <row r="648">
      <c r="A648" s="14" t="s">
        <v>3590</v>
      </c>
      <c r="B648" s="14" t="n">
        <v>2023</v>
      </c>
      <c r="C648" s="14" t="n">
        <v>639</v>
      </c>
      <c r="D648" s="14" t="s">
        <v>50</v>
      </c>
      <c r="E648" s="14" t="s">
        <v>3505</v>
      </c>
      <c r="F648" s="14" t="s">
        <v>3591</v>
      </c>
      <c r="G648" s="14" t="s">
        <v>633</v>
      </c>
      <c r="H648" s="14" t="s">
        <v>3507</v>
      </c>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5"/>
      <c r="AG648" s="15"/>
      <c r="AH648" s="16"/>
      <c r="AI648" s="15" t="str">
        <f>IF(AH648="","",IFERROR(RIGHT("0000"&amp;AH648,4)&amp;" - "&amp;UPPER(_xlfn.XLOOKUP(RIGHT("0000"&amp;AH648,4),CODEBOOK_CAP!$C$2:$C$212,CODEBOOK_CAP!$D$2:$D$212)),"Código CAP não encontrado"))</f>
      </c>
      <c r="AJ648" s="15" t="str">
        <f>IF(AH648="","",IFERROR(_xlfn.XLOOKUP(RIGHT("0000"&amp;AH648,4),CODEBOOK_CAP!$C$2:$C$212,CODEBOOK_CAP!$E$2:$E$212),"Código CAP não encontrado"))</f>
      </c>
      <c r="AK648" s="16"/>
      <c r="AL648" s="17"/>
      <c r="AM648" s="16"/>
      <c r="AN648" s="16"/>
      <c r="AO648" s="15"/>
      <c r="AP648" s="16"/>
      <c r="AQ648" s="15"/>
      <c r="AR648" s="16"/>
      <c r="AS648" s="18"/>
      <c r="AT648" s="2" t="s">
        <v>1814</v>
      </c>
      <c r="AU648" s="12" t="s">
        <v>83</v>
      </c>
      <c r="AV648" s="3" t="n">
        <v>46223</v>
      </c>
    </row>
    <row r="649" ht="105" customHeight="1">
      <c r="A649" s="20" t="s">
        <v>3592</v>
      </c>
      <c r="B649" s="20" t="n">
        <v>2023</v>
      </c>
      <c r="C649" s="20" t="n">
        <v>640</v>
      </c>
      <c r="D649" s="20" t="s">
        <v>50</v>
      </c>
      <c r="E649" s="20" t="s">
        <v>3505</v>
      </c>
      <c r="F649" s="20" t="s">
        <v>3593</v>
      </c>
      <c r="G649" s="20" t="s">
        <v>86</v>
      </c>
      <c r="H649" s="20" t="s">
        <v>3507</v>
      </c>
      <c r="I649" s="20"/>
      <c r="J649" s="20" t="s">
        <v>3594</v>
      </c>
      <c r="K649" s="20" t="s">
        <v>241</v>
      </c>
      <c r="L649" s="20" t="s">
        <v>208</v>
      </c>
      <c r="M649" s="20" t="s">
        <v>209</v>
      </c>
      <c r="N649" s="20" t="s">
        <v>188</v>
      </c>
      <c r="O649" s="20" t="s">
        <v>189</v>
      </c>
      <c r="P649" s="20" t="s">
        <v>190</v>
      </c>
      <c r="Q649" s="20" t="s">
        <v>191</v>
      </c>
      <c r="R649" s="20" t="s">
        <v>192</v>
      </c>
      <c r="S649" s="20" t="s">
        <v>193</v>
      </c>
      <c r="T649" s="20" t="s">
        <v>242</v>
      </c>
      <c r="U649" s="20" t="s">
        <v>243</v>
      </c>
      <c r="V649" s="20" t="s">
        <v>67</v>
      </c>
      <c r="W649" s="20" t="s">
        <v>68</v>
      </c>
      <c r="X649" s="20" t="s">
        <v>69</v>
      </c>
      <c r="Y649" s="20" t="s">
        <v>70</v>
      </c>
      <c r="Z649" s="20" t="s">
        <v>177</v>
      </c>
      <c r="AA649" s="20" t="s">
        <v>125</v>
      </c>
      <c r="AB649" s="20" t="s">
        <v>125</v>
      </c>
      <c r="AC649" s="20" t="s">
        <v>125</v>
      </c>
      <c r="AD649" s="20" t="s">
        <v>125</v>
      </c>
      <c r="AE649" s="20"/>
      <c r="AF649" s="9" t="n">
        <v>0</v>
      </c>
      <c r="AG649" s="12" t="n">
        <v>0</v>
      </c>
      <c r="AH649" s="22" t="s">
        <v>161</v>
      </c>
      <c r="AI649" s="12" t="str">
        <f>IF(AH649="","",IFERROR(RIGHT("0000"&amp;AH649,4)&amp;" - "&amp;UPPER(_xlfn.XLOOKUP(RIGHT("0000"&amp;AH649,4),CODEBOOK_CAP!$C$2:$C$212,CODEBOOK_CAP!$D$2:$D$212)),"Código CAP não encontrado"))</f>
        <v>2300 - GERAL</v>
      </c>
      <c r="AJ649" s="12" t="str">
        <f>IF(AH649="","",IFERROR(_xlfn.XLOOKUP(RIGHT("0000"&amp;AH649,4),CODEBOOK_CAP!$C$2:$C$212,CODEBOOK_CAP!$E$2:$E$212),"Código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49" s="22" t="s">
        <v>79</v>
      </c>
      <c r="AL649" s="26" t="s">
        <v>3595</v>
      </c>
      <c r="AM649" s="22" t="s">
        <v>79</v>
      </c>
      <c r="AN649" s="22" t="s">
        <v>79</v>
      </c>
      <c r="AO649" s="12" t="s">
        <v>3595</v>
      </c>
      <c r="AP649" s="22" t="s">
        <v>77</v>
      </c>
      <c r="AQ649" s="12"/>
      <c r="AR649" s="22" t="s">
        <v>77</v>
      </c>
      <c r="AS649" s="10"/>
      <c r="AT649" s="2" t="s">
        <v>1814</v>
      </c>
      <c r="AU649" s="12" t="s">
        <v>83</v>
      </c>
      <c r="AV649" s="3" t="n">
        <v>46223</v>
      </c>
      <c r="AW649" s="21"/>
      <c r="AX649" s="1" t="s">
        <v>6956</v>
      </c>
      <c r="AY649" s="1"/>
      <c r="BA649" s="1"/>
      <c r="BB649" s="1"/>
    </row>
    <row r="650" ht="105" customHeight="1">
      <c r="A650" s="20" t="s">
        <v>3596</v>
      </c>
      <c r="B650" s="20" t="n">
        <v>2023</v>
      </c>
      <c r="C650" s="20" t="n">
        <v>641</v>
      </c>
      <c r="D650" s="20" t="s">
        <v>50</v>
      </c>
      <c r="E650" s="20" t="s">
        <v>3505</v>
      </c>
      <c r="F650" s="20" t="s">
        <v>3597</v>
      </c>
      <c r="G650" s="20" t="s">
        <v>315</v>
      </c>
      <c r="H650" s="20" t="s">
        <v>3507</v>
      </c>
      <c r="I650" s="20"/>
      <c r="J650" s="20" t="s">
        <v>3598</v>
      </c>
      <c r="K650" s="20" t="s">
        <v>273</v>
      </c>
      <c r="L650" s="20" t="s">
        <v>274</v>
      </c>
      <c r="M650" s="20" t="s">
        <v>275</v>
      </c>
      <c r="N650" s="20" t="s">
        <v>276</v>
      </c>
      <c r="O650" s="20" t="s">
        <v>277</v>
      </c>
      <c r="P650" s="20" t="s">
        <v>278</v>
      </c>
      <c r="Q650" s="20" t="s">
        <v>279</v>
      </c>
      <c r="R650" s="20" t="s">
        <v>280</v>
      </c>
      <c r="S650" s="20" t="s">
        <v>281</v>
      </c>
      <c r="T650" s="20" t="s">
        <v>282</v>
      </c>
      <c r="U650" s="20" t="s">
        <v>283</v>
      </c>
      <c r="V650" s="20" t="s">
        <v>95</v>
      </c>
      <c r="W650" s="20" t="s">
        <v>96</v>
      </c>
      <c r="X650" s="20" t="s">
        <v>97</v>
      </c>
      <c r="Y650" s="20" t="s">
        <v>70</v>
      </c>
      <c r="Z650" s="20" t="s">
        <v>284</v>
      </c>
      <c r="AA650" s="20" t="s">
        <v>580</v>
      </c>
      <c r="AB650" s="20" t="s">
        <v>580</v>
      </c>
      <c r="AC650" s="20" t="s">
        <v>601</v>
      </c>
      <c r="AD650" s="20" t="s">
        <v>580</v>
      </c>
      <c r="AE650" s="20"/>
      <c r="AF650" s="9" t="n">
        <v>0</v>
      </c>
      <c r="AG650" s="12" t="n">
        <v>0</v>
      </c>
      <c r="AH650" s="22" t="s">
        <v>2043</v>
      </c>
      <c r="AI650" s="12" t="str">
        <f>IF(AH650="","",IFERROR(RIGHT("0000"&amp;AH650,4)&amp;" - "&amp;UPPER(_xlfn.XLOOKUP(RIGHT("0000"&amp;AH650,4),CODEBOOK_CAP!$C$2:$C$212,CODEBOOK_CAP!$D$2:$D$212)),"Código CAP não encontrado"))</f>
        <v>1303 - POLÍTICAS SOCIAIS DE ASSISTÊNCIA PARA IDOSOS</v>
      </c>
      <c r="AJ650" s="12" t="str">
        <f>IF(AH650="","",IFERROR(_xlfn.XLOOKUP(RIGHT("0000"&amp;AH650,4),CODEBOOK_CAP!$C$2:$C$212,CODEBOOK_CAP!$E$2:$E$212),"Código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650" s="22" t="s">
        <v>77</v>
      </c>
      <c r="AL650" s="26"/>
      <c r="AM650" s="22" t="s">
        <v>77</v>
      </c>
      <c r="AN650" s="22" t="s">
        <v>77</v>
      </c>
      <c r="AO650" s="12"/>
      <c r="AP650" s="22" t="s">
        <v>79</v>
      </c>
      <c r="AQ650" s="12" t="s">
        <v>2044</v>
      </c>
      <c r="AR650" s="22" t="s">
        <v>77</v>
      </c>
      <c r="AS650" s="10"/>
      <c r="AT650" s="2" t="s">
        <v>1814</v>
      </c>
      <c r="AU650" s="12" t="s">
        <v>83</v>
      </c>
      <c r="AV650" s="3" t="n">
        <v>46223</v>
      </c>
      <c r="AW650" s="21"/>
      <c r="AY650" s="1"/>
      <c r="BA650" s="1"/>
      <c r="BB650" s="1"/>
    </row>
    <row r="651" ht="120" customHeight="1">
      <c r="A651" s="20" t="s">
        <v>3599</v>
      </c>
      <c r="B651" s="20" t="n">
        <v>2023</v>
      </c>
      <c r="C651" s="20" t="n">
        <v>657</v>
      </c>
      <c r="D651" s="20" t="s">
        <v>50</v>
      </c>
      <c r="E651" s="20" t="s">
        <v>3505</v>
      </c>
      <c r="F651" s="20" t="s">
        <v>3600</v>
      </c>
      <c r="G651" s="20" t="s">
        <v>86</v>
      </c>
      <c r="H651" s="20" t="s">
        <v>3507</v>
      </c>
      <c r="I651" s="20"/>
      <c r="J651" s="20" t="s">
        <v>3601</v>
      </c>
      <c r="K651" s="20" t="s">
        <v>273</v>
      </c>
      <c r="L651" s="20" t="s">
        <v>274</v>
      </c>
      <c r="M651" s="20" t="s">
        <v>275</v>
      </c>
      <c r="N651" s="20" t="s">
        <v>276</v>
      </c>
      <c r="O651" s="20" t="s">
        <v>277</v>
      </c>
      <c r="P651" s="20" t="s">
        <v>278</v>
      </c>
      <c r="Q651" s="20" t="s">
        <v>279</v>
      </c>
      <c r="R651" s="20" t="s">
        <v>280</v>
      </c>
      <c r="S651" s="20" t="s">
        <v>281</v>
      </c>
      <c r="T651" s="20" t="s">
        <v>282</v>
      </c>
      <c r="U651" s="20" t="s">
        <v>283</v>
      </c>
      <c r="V651" s="20" t="s">
        <v>95</v>
      </c>
      <c r="W651" s="20" t="s">
        <v>96</v>
      </c>
      <c r="X651" s="20" t="s">
        <v>97</v>
      </c>
      <c r="Y651" s="20" t="s">
        <v>70</v>
      </c>
      <c r="Z651" s="20" t="s">
        <v>284</v>
      </c>
      <c r="AA651" s="20" t="s">
        <v>3602</v>
      </c>
      <c r="AB651" s="20" t="s">
        <v>3602</v>
      </c>
      <c r="AC651" s="20" t="s">
        <v>3602</v>
      </c>
      <c r="AD651" s="20" t="s">
        <v>3602</v>
      </c>
      <c r="AE651" s="20"/>
      <c r="AF651" s="9" t="n">
        <v>0</v>
      </c>
      <c r="AG651" s="12" t="n">
        <v>0</v>
      </c>
      <c r="AH651" s="22" t="s">
        <v>821</v>
      </c>
      <c r="AI651" s="12" t="str">
        <f>IF(AH651="","",IFERROR(RIGHT("0000"&amp;AH651,4)&amp;" - "&amp;UPPER(_xlfn.XLOOKUP(RIGHT("0000"&amp;AH651,4),CODEBOOK_CAP!$C$2:$C$212,CODEBOOK_CAP!$D$2:$D$212)),"Código CAP não encontrado"))</f>
        <v>1304 - POLÍTICAS SOCIAIS DE ASSISTÊNCIA PARA PESSOAS COM DEFICIÊNCIAS</v>
      </c>
      <c r="AJ651" s="12" t="str">
        <f>IF(AH651="","",IFERROR(_xlfn.XLOOKUP(RIGHT("0000"&amp;AH651,4),CODEBOOK_CAP!$C$2:$C$212,CODEBOOK_CAP!$E$2:$E$212),"Código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651" s="22" t="s">
        <v>77</v>
      </c>
      <c r="AL651" s="26"/>
      <c r="AM651" s="22" t="s">
        <v>77</v>
      </c>
      <c r="AN651" s="22" t="s">
        <v>77</v>
      </c>
      <c r="AO651" s="12"/>
      <c r="AP651" s="22" t="s">
        <v>79</v>
      </c>
      <c r="AQ651" s="12" t="s">
        <v>824</v>
      </c>
      <c r="AR651" s="22" t="s">
        <v>77</v>
      </c>
      <c r="AS651" s="10"/>
      <c r="AT651" s="2" t="s">
        <v>1814</v>
      </c>
      <c r="AU651" s="12" t="s">
        <v>83</v>
      </c>
      <c r="AV651" s="3" t="n">
        <v>46223</v>
      </c>
      <c r="AW651" s="21"/>
      <c r="AY651" s="1"/>
      <c r="BA651" s="1"/>
      <c r="BB651" s="1"/>
    </row>
    <row r="652" ht="210" customHeight="1">
      <c r="A652" s="20" t="s">
        <v>3603</v>
      </c>
      <c r="B652" s="20" t="n">
        <v>2023</v>
      </c>
      <c r="C652" s="20" t="n">
        <v>658</v>
      </c>
      <c r="D652" s="20" t="s">
        <v>50</v>
      </c>
      <c r="E652" s="20" t="s">
        <v>3505</v>
      </c>
      <c r="F652" s="20" t="s">
        <v>3604</v>
      </c>
      <c r="G652" s="20" t="s">
        <v>86</v>
      </c>
      <c r="H652" s="20" t="s">
        <v>3507</v>
      </c>
      <c r="I652" s="20"/>
      <c r="J652" s="20" t="s">
        <v>3605</v>
      </c>
      <c r="K652" s="20" t="s">
        <v>273</v>
      </c>
      <c r="L652" s="20" t="s">
        <v>274</v>
      </c>
      <c r="M652" s="20" t="s">
        <v>275</v>
      </c>
      <c r="N652" s="20" t="s">
        <v>276</v>
      </c>
      <c r="O652" s="20" t="s">
        <v>277</v>
      </c>
      <c r="P652" s="20" t="s">
        <v>278</v>
      </c>
      <c r="Q652" s="20" t="s">
        <v>279</v>
      </c>
      <c r="R652" s="20" t="s">
        <v>280</v>
      </c>
      <c r="S652" s="20" t="s">
        <v>281</v>
      </c>
      <c r="T652" s="20" t="s">
        <v>282</v>
      </c>
      <c r="U652" s="20" t="s">
        <v>283</v>
      </c>
      <c r="V652" s="20" t="s">
        <v>95</v>
      </c>
      <c r="W652" s="20" t="s">
        <v>96</v>
      </c>
      <c r="X652" s="20" t="s">
        <v>97</v>
      </c>
      <c r="Y652" s="20" t="s">
        <v>70</v>
      </c>
      <c r="Z652" s="20" t="s">
        <v>284</v>
      </c>
      <c r="AA652" s="20" t="s">
        <v>3606</v>
      </c>
      <c r="AB652" s="20" t="s">
        <v>3606</v>
      </c>
      <c r="AC652" s="20" t="s">
        <v>3606</v>
      </c>
      <c r="AD652" s="20" t="s">
        <v>3606</v>
      </c>
      <c r="AE652" s="20"/>
      <c r="AF652" s="9" t="n">
        <v>0</v>
      </c>
      <c r="AG652" s="12" t="n">
        <v>0</v>
      </c>
      <c r="AH652" s="22" t="s">
        <v>607</v>
      </c>
      <c r="AI652" s="12" t="str">
        <f>IF(AH652="","",IFERROR(RIGHT("0000"&amp;AH652,4)&amp;" - "&amp;UPPER(_xlfn.XLOOKUP(RIGHT("0000"&amp;AH652,4),CODEBOOK_CAP!$C$2:$C$212,CODEBOOK_CAP!$D$2:$D$212)),"Código CAP não encontrado"))</f>
        <v>1300 - GERAL</v>
      </c>
      <c r="AJ652" s="12" t="str">
        <f>IF(AH652="","",IFERROR(_xlfn.XLOOKUP(RIGHT("0000"&amp;AH652,4),CODEBOOK_CAP!$C$2:$C$212,CODEBOOK_CAP!$E$2:$E$212),"Código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52" s="22" t="s">
        <v>77</v>
      </c>
      <c r="AL652" s="26"/>
      <c r="AM652" s="22" t="s">
        <v>77</v>
      </c>
      <c r="AN652" s="22" t="s">
        <v>77</v>
      </c>
      <c r="AO652" s="12"/>
      <c r="AP652" s="22" t="s">
        <v>77</v>
      </c>
      <c r="AQ652" s="12"/>
      <c r="AR652" s="22" t="s">
        <v>77</v>
      </c>
      <c r="AS652" s="10"/>
      <c r="AT652" s="2" t="s">
        <v>1814</v>
      </c>
      <c r="AU652" s="12" t="s">
        <v>83</v>
      </c>
      <c r="AV652" s="3" t="n">
        <v>46223</v>
      </c>
      <c r="AW652" s="21"/>
      <c r="AY652" s="1"/>
      <c r="BA652" s="1"/>
      <c r="BB652" s="1"/>
    </row>
    <row r="653" ht="225" customHeight="1">
      <c r="A653" s="20" t="s">
        <v>3607</v>
      </c>
      <c r="B653" s="20" t="n">
        <v>2023</v>
      </c>
      <c r="C653" s="20" t="n">
        <v>659</v>
      </c>
      <c r="D653" s="20" t="s">
        <v>50</v>
      </c>
      <c r="E653" s="20" t="s">
        <v>3505</v>
      </c>
      <c r="F653" s="20" t="s">
        <v>3608</v>
      </c>
      <c r="G653" s="20" t="s">
        <v>86</v>
      </c>
      <c r="H653" s="20" t="s">
        <v>3507</v>
      </c>
      <c r="I653" s="20"/>
      <c r="J653" s="20" t="s">
        <v>3609</v>
      </c>
      <c r="K653" s="20" t="s">
        <v>3610</v>
      </c>
      <c r="L653" s="20" t="s">
        <v>785</v>
      </c>
      <c r="M653" s="20" t="s">
        <v>786</v>
      </c>
      <c r="N653" s="20" t="s">
        <v>787</v>
      </c>
      <c r="O653" s="20" t="s">
        <v>788</v>
      </c>
      <c r="P653" s="20" t="s">
        <v>517</v>
      </c>
      <c r="Q653" s="20" t="s">
        <v>893</v>
      </c>
      <c r="R653" s="20" t="s">
        <v>894</v>
      </c>
      <c r="S653" s="20" t="s">
        <v>895</v>
      </c>
      <c r="T653" s="20" t="s">
        <v>896</v>
      </c>
      <c r="U653" s="20" t="s">
        <v>897</v>
      </c>
      <c r="V653" s="20" t="s">
        <v>1398</v>
      </c>
      <c r="W653" s="20" t="s">
        <v>96</v>
      </c>
      <c r="X653" s="20" t="s">
        <v>97</v>
      </c>
      <c r="Y653" s="20" t="s">
        <v>70</v>
      </c>
      <c r="Z653" s="20" t="s">
        <v>794</v>
      </c>
      <c r="AA653" s="20" t="s">
        <v>1399</v>
      </c>
      <c r="AB653" s="20" t="s">
        <v>1400</v>
      </c>
      <c r="AC653" s="20" t="s">
        <v>3611</v>
      </c>
      <c r="AD653" s="20" t="s">
        <v>1400</v>
      </c>
      <c r="AE653" s="20"/>
      <c r="AF653" s="9" t="n">
        <v>0</v>
      </c>
      <c r="AG653" s="12" t="n">
        <v>1</v>
      </c>
      <c r="AH653" s="22" t="s">
        <v>117</v>
      </c>
      <c r="AI653" s="12" t="str">
        <f>IF(AH653="","",IFERROR(RIGHT("0000"&amp;AH653,4)&amp;" - "&amp;UPPER(_xlfn.XLOOKUP(RIGHT("0000"&amp;AH653,4),CODEBOOK_CAP!$C$2:$C$212,CODEBOOK_CAP!$D$2:$D$212)),"Código CAP não encontrado"))</f>
        <v>0331 - PREVENÇÃO, CAMPANHAS E PROMOÇÃO</v>
      </c>
      <c r="AJ653" s="12" t="str">
        <f>IF(AH653="","",IFERROR(_xlfn.XLOOKUP(RIGHT("0000"&amp;AH653,4),CODEBOOK_CAP!$C$2:$C$212,CODEBOOK_CAP!$E$2:$E$212),"Código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653" s="22" t="s">
        <v>77</v>
      </c>
      <c r="AL653" s="26"/>
      <c r="AM653" s="22" t="s">
        <v>77</v>
      </c>
      <c r="AN653" s="22" t="s">
        <v>77</v>
      </c>
      <c r="AO653" s="12"/>
      <c r="AP653" s="22" t="s">
        <v>79</v>
      </c>
      <c r="AQ653" s="12" t="s">
        <v>3612</v>
      </c>
      <c r="AR653" s="22" t="s">
        <v>77</v>
      </c>
      <c r="AS653" s="10"/>
      <c r="AT653" s="2" t="s">
        <v>1814</v>
      </c>
      <c r="AU653" s="12" t="s">
        <v>83</v>
      </c>
      <c r="AV653" s="3" t="n">
        <v>46223</v>
      </c>
      <c r="AW653" s="21"/>
      <c r="AY653" s="1"/>
      <c r="BA653" s="1"/>
      <c r="BB653" s="1"/>
    </row>
    <row r="654" ht="105" customHeight="1">
      <c r="A654" s="20" t="s">
        <v>3613</v>
      </c>
      <c r="B654" s="20" t="n">
        <v>2023</v>
      </c>
      <c r="C654" s="20" t="n">
        <v>660</v>
      </c>
      <c r="D654" s="20" t="s">
        <v>50</v>
      </c>
      <c r="E654" s="20" t="s">
        <v>3505</v>
      </c>
      <c r="F654" s="20" t="s">
        <v>3614</v>
      </c>
      <c r="G654" s="20" t="s">
        <v>86</v>
      </c>
      <c r="H654" s="20" t="s">
        <v>3507</v>
      </c>
      <c r="I654" s="20"/>
      <c r="J654" s="20" t="s">
        <v>3615</v>
      </c>
      <c r="K654" s="20" t="s">
        <v>3616</v>
      </c>
      <c r="L654" s="20" t="s">
        <v>785</v>
      </c>
      <c r="M654" s="20" t="s">
        <v>786</v>
      </c>
      <c r="N654" s="20" t="s">
        <v>787</v>
      </c>
      <c r="O654" s="20" t="s">
        <v>788</v>
      </c>
      <c r="P654" s="20" t="s">
        <v>552</v>
      </c>
      <c r="Q654" s="20" t="s">
        <v>1987</v>
      </c>
      <c r="R654" s="20" t="s">
        <v>1988</v>
      </c>
      <c r="S654" s="20" t="s">
        <v>1989</v>
      </c>
      <c r="T654" s="20" t="s">
        <v>792</v>
      </c>
      <c r="U654" s="20" t="s">
        <v>793</v>
      </c>
      <c r="V654" s="20" t="s">
        <v>95</v>
      </c>
      <c r="W654" s="20" t="s">
        <v>96</v>
      </c>
      <c r="X654" s="20" t="s">
        <v>97</v>
      </c>
      <c r="Y654" s="20" t="s">
        <v>70</v>
      </c>
      <c r="Z654" s="20" t="s">
        <v>794</v>
      </c>
      <c r="AA654" s="20" t="s">
        <v>325</v>
      </c>
      <c r="AB654" s="20" t="s">
        <v>325</v>
      </c>
      <c r="AC654" s="20" t="s">
        <v>372</v>
      </c>
      <c r="AD654" s="20" t="s">
        <v>325</v>
      </c>
      <c r="AE654" s="20"/>
      <c r="AF654" s="9" t="n">
        <v>0</v>
      </c>
      <c r="AG654" s="12" t="n">
        <v>0</v>
      </c>
      <c r="AH654" s="22" t="s">
        <v>1990</v>
      </c>
      <c r="AI654" s="12" t="str">
        <f>IF(AH654="","",IFERROR(RIGHT("0000"&amp;AH654,4)&amp;" - "&amp;UPPER(_xlfn.XLOOKUP(RIGHT("0000"&amp;AH654,4),CODEBOOK_CAP!$C$2:$C$212,CODEBOOK_CAP!$D$2:$D$212)),"Código CAP não encontrado"))</f>
        <v>0603 - EDUCAÇÃO ESPECIAL, INCLUSÃO</v>
      </c>
      <c r="AJ654" s="12" t="str">
        <f>IF(AH654="","",IFERROR(_xlfn.XLOOKUP(RIGHT("0000"&amp;AH654,4),CODEBOOK_CAP!$C$2:$C$212,CODEBOOK_CAP!$E$2:$E$212),"Código CAP não encontrado"))</f>
        <v>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v>
      </c>
      <c r="AK654" s="22" t="s">
        <v>79</v>
      </c>
      <c r="AL654" s="26" t="s">
        <v>3617</v>
      </c>
      <c r="AM654" s="22" t="s">
        <v>79</v>
      </c>
      <c r="AN654" s="22" t="s">
        <v>79</v>
      </c>
      <c r="AO654" s="12" t="s">
        <v>3618</v>
      </c>
      <c r="AP654" s="22" t="s">
        <v>79</v>
      </c>
      <c r="AQ654" s="12" t="s">
        <v>3565</v>
      </c>
      <c r="AR654" s="22" t="s">
        <v>77</v>
      </c>
      <c r="AS654" s="10"/>
      <c r="AT654" s="2" t="s">
        <v>1814</v>
      </c>
      <c r="AU654" s="12" t="s">
        <v>83</v>
      </c>
      <c r="AV654" s="3" t="n">
        <v>46223</v>
      </c>
      <c r="AW654" s="21"/>
      <c r="AY654" s="1"/>
      <c r="BA654" s="1"/>
      <c r="BB654" s="1"/>
    </row>
    <row r="655" ht="210" customHeight="1">
      <c r="A655" s="20" t="s">
        <v>3619</v>
      </c>
      <c r="B655" s="20" t="n">
        <v>2023</v>
      </c>
      <c r="C655" s="20" t="n">
        <v>661</v>
      </c>
      <c r="D655" s="20" t="s">
        <v>50</v>
      </c>
      <c r="E655" s="20" t="s">
        <v>3505</v>
      </c>
      <c r="F655" s="20" t="s">
        <v>3620</v>
      </c>
      <c r="G655" s="20" t="s">
        <v>315</v>
      </c>
      <c r="H655" s="20" t="s">
        <v>3507</v>
      </c>
      <c r="I655" s="20"/>
      <c r="J655" s="20" t="s">
        <v>3621</v>
      </c>
      <c r="K655" s="20" t="s">
        <v>273</v>
      </c>
      <c r="L655" s="20" t="s">
        <v>274</v>
      </c>
      <c r="M655" s="20" t="s">
        <v>275</v>
      </c>
      <c r="N655" s="20" t="s">
        <v>276</v>
      </c>
      <c r="O655" s="20" t="s">
        <v>277</v>
      </c>
      <c r="P655" s="20" t="s">
        <v>278</v>
      </c>
      <c r="Q655" s="20" t="s">
        <v>279</v>
      </c>
      <c r="R655" s="20" t="s">
        <v>280</v>
      </c>
      <c r="S655" s="20" t="s">
        <v>281</v>
      </c>
      <c r="T655" s="20" t="s">
        <v>282</v>
      </c>
      <c r="U655" s="20" t="s">
        <v>283</v>
      </c>
      <c r="V655" s="20" t="s">
        <v>95</v>
      </c>
      <c r="W655" s="20" t="s">
        <v>96</v>
      </c>
      <c r="X655" s="20" t="s">
        <v>97</v>
      </c>
      <c r="Y655" s="20" t="s">
        <v>70</v>
      </c>
      <c r="Z655" s="20" t="s">
        <v>284</v>
      </c>
      <c r="AA655" s="20" t="s">
        <v>580</v>
      </c>
      <c r="AB655" s="20" t="s">
        <v>580</v>
      </c>
      <c r="AC655" s="20" t="s">
        <v>580</v>
      </c>
      <c r="AD655" s="20" t="s">
        <v>580</v>
      </c>
      <c r="AE655" s="20"/>
      <c r="AF655" s="9" t="n">
        <v>0</v>
      </c>
      <c r="AG655" s="12" t="n">
        <v>0</v>
      </c>
      <c r="AH655" s="22" t="s">
        <v>607</v>
      </c>
      <c r="AI655" s="12" t="str">
        <f>IF(AH655="","",IFERROR(RIGHT("0000"&amp;AH655,4)&amp;" - "&amp;UPPER(_xlfn.XLOOKUP(RIGHT("0000"&amp;AH655,4),CODEBOOK_CAP!$C$2:$C$212,CODEBOOK_CAP!$D$2:$D$212)),"Código CAP não encontrado"))</f>
        <v>1300 - GERAL</v>
      </c>
      <c r="AJ655" s="12" t="str">
        <f>IF(AH655="","",IFERROR(_xlfn.XLOOKUP(RIGHT("0000"&amp;AH655,4),CODEBOOK_CAP!$C$2:$C$212,CODEBOOK_CAP!$E$2:$E$212),"Código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55" s="22" t="s">
        <v>77</v>
      </c>
      <c r="AL655" s="26"/>
      <c r="AM655" s="22" t="s">
        <v>77</v>
      </c>
      <c r="AN655" s="22" t="s">
        <v>77</v>
      </c>
      <c r="AO655" s="12"/>
      <c r="AP655" s="22" t="s">
        <v>77</v>
      </c>
      <c r="AQ655" s="12"/>
      <c r="AR655" s="22" t="s">
        <v>77</v>
      </c>
      <c r="AS655" s="10"/>
      <c r="AT655" s="2" t="s">
        <v>1814</v>
      </c>
      <c r="AU655" s="12" t="s">
        <v>83</v>
      </c>
      <c r="AV655" s="3" t="n">
        <v>46223</v>
      </c>
      <c r="AW655" s="21"/>
      <c r="AY655" s="1"/>
      <c r="BA655" s="1"/>
      <c r="BB655" s="1"/>
    </row>
    <row r="656" ht="120" customHeight="1">
      <c r="A656" s="20" t="s">
        <v>3622</v>
      </c>
      <c r="B656" s="20" t="n">
        <v>2023</v>
      </c>
      <c r="C656" s="20" t="n">
        <v>662</v>
      </c>
      <c r="D656" s="20" t="s">
        <v>50</v>
      </c>
      <c r="E656" s="20" t="s">
        <v>3505</v>
      </c>
      <c r="F656" s="20" t="s">
        <v>3623</v>
      </c>
      <c r="G656" s="20" t="s">
        <v>86</v>
      </c>
      <c r="H656" s="20" t="s">
        <v>3507</v>
      </c>
      <c r="I656" s="20"/>
      <c r="J656" s="20" t="s">
        <v>3624</v>
      </c>
      <c r="K656" s="20" t="s">
        <v>122</v>
      </c>
      <c r="L656" s="20" t="s">
        <v>57</v>
      </c>
      <c r="M656" s="20" t="s">
        <v>58</v>
      </c>
      <c r="N656" s="20" t="s">
        <v>59</v>
      </c>
      <c r="O656" s="20" t="s">
        <v>60</v>
      </c>
      <c r="P656" s="20" t="s">
        <v>89</v>
      </c>
      <c r="Q656" s="20" t="s">
        <v>90</v>
      </c>
      <c r="R656" s="20" t="s">
        <v>91</v>
      </c>
      <c r="S656" s="20" t="s">
        <v>92</v>
      </c>
      <c r="T656" s="20" t="s">
        <v>123</v>
      </c>
      <c r="U656" s="20" t="s">
        <v>124</v>
      </c>
      <c r="V656" s="20" t="s">
        <v>95</v>
      </c>
      <c r="W656" s="20" t="s">
        <v>96</v>
      </c>
      <c r="X656" s="20" t="s">
        <v>97</v>
      </c>
      <c r="Y656" s="20" t="s">
        <v>70</v>
      </c>
      <c r="Z656" s="20" t="s">
        <v>98</v>
      </c>
      <c r="AA656" s="20" t="s">
        <v>125</v>
      </c>
      <c r="AB656" s="20" t="s">
        <v>125</v>
      </c>
      <c r="AC656" s="20" t="s">
        <v>125</v>
      </c>
      <c r="AD656" s="20" t="s">
        <v>125</v>
      </c>
      <c r="AE656" s="20"/>
      <c r="AF656" s="9" t="n">
        <v>1</v>
      </c>
      <c r="AG656" s="12" t="n">
        <v>1</v>
      </c>
      <c r="AH656" s="22" t="s">
        <v>800</v>
      </c>
      <c r="AI656" s="12" t="str">
        <f>IF(AH656="","",IFERROR(RIGHT("0000"&amp;AH656,4)&amp;" - "&amp;UPPER(_xlfn.XLOOKUP(RIGHT("0000"&amp;AH656,4),CODEBOOK_CAP!$C$2:$C$212,CODEBOOK_CAP!$D$2:$D$212)),"Código CAP não encontrado"))</f>
        <v>0334 - TRATAMENTOS, CIRUGIAS, ATENDIMENTOS, DOENÇAS E REABILITAÇÃO</v>
      </c>
      <c r="AJ656" s="12" t="str">
        <f>IF(AH656="","",IFERROR(_xlfn.XLOOKUP(RIGHT("0000"&amp;AH656,4),CODEBOOK_CAP!$C$2:$C$212,CODEBOOK_CAP!$E$2:$E$212),"Código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656" s="22" t="s">
        <v>77</v>
      </c>
      <c r="AL656" s="26"/>
      <c r="AM656" s="22" t="s">
        <v>79</v>
      </c>
      <c r="AN656" s="22" t="s">
        <v>79</v>
      </c>
      <c r="AO656" s="12" t="s">
        <v>3625</v>
      </c>
      <c r="AP656" s="22" t="s">
        <v>77</v>
      </c>
      <c r="AQ656" s="12"/>
      <c r="AR656" s="22" t="s">
        <v>77</v>
      </c>
      <c r="AS656" s="10"/>
      <c r="AT656" s="2" t="s">
        <v>1814</v>
      </c>
      <c r="AU656" s="12" t="s">
        <v>83</v>
      </c>
      <c r="AV656" s="3" t="n">
        <v>46223</v>
      </c>
      <c r="AW656" s="21"/>
      <c r="AY656" s="1"/>
      <c r="BA656" s="1"/>
      <c r="BB656" s="1"/>
    </row>
    <row r="657" ht="120" customHeight="1">
      <c r="A657" s="20" t="s">
        <v>3626</v>
      </c>
      <c r="B657" s="20" t="n">
        <v>2023</v>
      </c>
      <c r="C657" s="20" t="n">
        <v>663</v>
      </c>
      <c r="D657" s="20" t="s">
        <v>50</v>
      </c>
      <c r="E657" s="20" t="s">
        <v>3505</v>
      </c>
      <c r="F657" s="20" t="s">
        <v>3627</v>
      </c>
      <c r="G657" s="20" t="s">
        <v>86</v>
      </c>
      <c r="H657" s="20" t="s">
        <v>3507</v>
      </c>
      <c r="I657" s="20"/>
      <c r="J657" s="20" t="s">
        <v>3628</v>
      </c>
      <c r="K657" s="20" t="s">
        <v>122</v>
      </c>
      <c r="L657" s="20" t="s">
        <v>57</v>
      </c>
      <c r="M657" s="20" t="s">
        <v>58</v>
      </c>
      <c r="N657" s="20" t="s">
        <v>59</v>
      </c>
      <c r="O657" s="20" t="s">
        <v>60</v>
      </c>
      <c r="P657" s="20" t="s">
        <v>89</v>
      </c>
      <c r="Q657" s="20" t="s">
        <v>90</v>
      </c>
      <c r="R657" s="20" t="s">
        <v>91</v>
      </c>
      <c r="S657" s="20" t="s">
        <v>92</v>
      </c>
      <c r="T657" s="20" t="s">
        <v>123</v>
      </c>
      <c r="U657" s="20" t="s">
        <v>124</v>
      </c>
      <c r="V657" s="20" t="s">
        <v>95</v>
      </c>
      <c r="W657" s="20" t="s">
        <v>96</v>
      </c>
      <c r="X657" s="20" t="s">
        <v>97</v>
      </c>
      <c r="Y657" s="20" t="s">
        <v>70</v>
      </c>
      <c r="Z657" s="20" t="s">
        <v>98</v>
      </c>
      <c r="AA657" s="20" t="s">
        <v>125</v>
      </c>
      <c r="AB657" s="20" t="s">
        <v>125</v>
      </c>
      <c r="AC657" s="20" t="s">
        <v>125</v>
      </c>
      <c r="AD657" s="20" t="s">
        <v>125</v>
      </c>
      <c r="AE657" s="20"/>
      <c r="AF657" s="9" t="n">
        <v>1</v>
      </c>
      <c r="AG657" s="12" t="n">
        <v>1</v>
      </c>
      <c r="AH657" s="22" t="s">
        <v>800</v>
      </c>
      <c r="AI657" s="12" t="str">
        <f>IF(AH657="","",IFERROR(RIGHT("0000"&amp;AH657,4)&amp;" - "&amp;UPPER(_xlfn.XLOOKUP(RIGHT("0000"&amp;AH657,4),CODEBOOK_CAP!$C$2:$C$212,CODEBOOK_CAP!$D$2:$D$212)),"Código CAP não encontrado"))</f>
        <v>0334 - TRATAMENTOS, CIRUGIAS, ATENDIMENTOS, DOENÇAS E REABILITAÇÃO</v>
      </c>
      <c r="AJ657" s="12" t="str">
        <f>IF(AH657="","",IFERROR(_xlfn.XLOOKUP(RIGHT("0000"&amp;AH657,4),CODEBOOK_CAP!$C$2:$C$212,CODEBOOK_CAP!$E$2:$E$212),"Código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657" s="22" t="s">
        <v>77</v>
      </c>
      <c r="AL657" s="26"/>
      <c r="AM657" s="22" t="s">
        <v>79</v>
      </c>
      <c r="AN657" s="22" t="s">
        <v>79</v>
      </c>
      <c r="AO657" s="12" t="s">
        <v>3629</v>
      </c>
      <c r="AP657" s="22" t="s">
        <v>77</v>
      </c>
      <c r="AQ657" s="12"/>
      <c r="AR657" s="22" t="s">
        <v>77</v>
      </c>
      <c r="AS657" s="10"/>
      <c r="AT657" s="2" t="s">
        <v>1814</v>
      </c>
      <c r="AU657" s="12" t="s">
        <v>83</v>
      </c>
      <c r="AV657" s="3" t="n">
        <v>46223</v>
      </c>
      <c r="AW657" s="21"/>
      <c r="AY657" s="1"/>
      <c r="BA657" s="1"/>
      <c r="BB657" s="1"/>
    </row>
    <row r="658" ht="120" customHeight="1">
      <c r="A658" s="20" t="s">
        <v>3630</v>
      </c>
      <c r="B658" s="20" t="n">
        <v>2023</v>
      </c>
      <c r="C658" s="20" t="n">
        <v>664</v>
      </c>
      <c r="D658" s="20" t="s">
        <v>50</v>
      </c>
      <c r="E658" s="20" t="s">
        <v>3505</v>
      </c>
      <c r="F658" s="20" t="s">
        <v>3631</v>
      </c>
      <c r="G658" s="20" t="s">
        <v>86</v>
      </c>
      <c r="H658" s="20" t="s">
        <v>3507</v>
      </c>
      <c r="I658" s="20"/>
      <c r="J658" s="20" t="s">
        <v>3632</v>
      </c>
      <c r="K658" s="20" t="s">
        <v>122</v>
      </c>
      <c r="L658" s="20" t="s">
        <v>57</v>
      </c>
      <c r="M658" s="20" t="s">
        <v>58</v>
      </c>
      <c r="N658" s="20" t="s">
        <v>59</v>
      </c>
      <c r="O658" s="20" t="s">
        <v>60</v>
      </c>
      <c r="P658" s="20" t="s">
        <v>89</v>
      </c>
      <c r="Q658" s="20" t="s">
        <v>90</v>
      </c>
      <c r="R658" s="20" t="s">
        <v>91</v>
      </c>
      <c r="S658" s="20" t="s">
        <v>92</v>
      </c>
      <c r="T658" s="20" t="s">
        <v>123</v>
      </c>
      <c r="U658" s="20" t="s">
        <v>124</v>
      </c>
      <c r="V658" s="20" t="s">
        <v>95</v>
      </c>
      <c r="W658" s="20" t="s">
        <v>96</v>
      </c>
      <c r="X658" s="20" t="s">
        <v>97</v>
      </c>
      <c r="Y658" s="20" t="s">
        <v>70</v>
      </c>
      <c r="Z658" s="20" t="s">
        <v>98</v>
      </c>
      <c r="AA658" s="20" t="s">
        <v>125</v>
      </c>
      <c r="AB658" s="20" t="s">
        <v>125</v>
      </c>
      <c r="AC658" s="20" t="s">
        <v>125</v>
      </c>
      <c r="AD658" s="20" t="s">
        <v>125</v>
      </c>
      <c r="AE658" s="20"/>
      <c r="AF658" s="9" t="n">
        <v>1</v>
      </c>
      <c r="AG658" s="12" t="n">
        <v>1</v>
      </c>
      <c r="AH658" s="22" t="s">
        <v>800</v>
      </c>
      <c r="AI658" s="12" t="str">
        <f>IF(AH658="","",IFERROR(RIGHT("0000"&amp;AH658,4)&amp;" - "&amp;UPPER(_xlfn.XLOOKUP(RIGHT("0000"&amp;AH658,4),CODEBOOK_CAP!$C$2:$C$212,CODEBOOK_CAP!$D$2:$D$212)),"Código CAP não encontrado"))</f>
        <v>0334 - TRATAMENTOS, CIRUGIAS, ATENDIMENTOS, DOENÇAS E REABILITAÇÃO</v>
      </c>
      <c r="AJ658" s="12" t="str">
        <f>IF(AH658="","",IFERROR(_xlfn.XLOOKUP(RIGHT("0000"&amp;AH658,4),CODEBOOK_CAP!$C$2:$C$212,CODEBOOK_CAP!$E$2:$E$212),"Código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658" s="22" t="s">
        <v>77</v>
      </c>
      <c r="AL658" s="26"/>
      <c r="AM658" s="22" t="s">
        <v>79</v>
      </c>
      <c r="AN658" s="22" t="s">
        <v>79</v>
      </c>
      <c r="AO658" s="12" t="s">
        <v>3633</v>
      </c>
      <c r="AP658" s="22" t="s">
        <v>77</v>
      </c>
      <c r="AQ658" s="12"/>
      <c r="AR658" s="22" t="s">
        <v>77</v>
      </c>
      <c r="AS658" s="10"/>
      <c r="AT658" s="2" t="s">
        <v>1814</v>
      </c>
      <c r="AU658" s="12" t="s">
        <v>83</v>
      </c>
      <c r="AV658" s="3" t="n">
        <v>46223</v>
      </c>
      <c r="AW658" s="21"/>
      <c r="AY658" s="1"/>
      <c r="BA658" s="1"/>
      <c r="BB658" s="1"/>
    </row>
    <row r="659" ht="75" customHeight="1">
      <c r="A659" s="20" t="s">
        <v>3634</v>
      </c>
      <c r="B659" s="20" t="n">
        <v>2023</v>
      </c>
      <c r="C659" s="20" t="n">
        <v>665</v>
      </c>
      <c r="D659" s="20" t="s">
        <v>50</v>
      </c>
      <c r="E659" s="20" t="s">
        <v>3505</v>
      </c>
      <c r="F659" s="20" t="s">
        <v>3635</v>
      </c>
      <c r="G659" s="20" t="s">
        <v>86</v>
      </c>
      <c r="H659" s="20" t="s">
        <v>3507</v>
      </c>
      <c r="I659" s="20"/>
      <c r="J659" s="20" t="s">
        <v>3636</v>
      </c>
      <c r="K659" s="20" t="s">
        <v>299</v>
      </c>
      <c r="L659" s="20" t="s">
        <v>208</v>
      </c>
      <c r="M659" s="20" t="s">
        <v>209</v>
      </c>
      <c r="N659" s="20" t="s">
        <v>210</v>
      </c>
      <c r="O659" s="20" t="s">
        <v>211</v>
      </c>
      <c r="P659" s="20" t="s">
        <v>212</v>
      </c>
      <c r="Q659" s="20" t="s">
        <v>213</v>
      </c>
      <c r="R659" s="20" t="s">
        <v>251</v>
      </c>
      <c r="S659" s="20" t="s">
        <v>252</v>
      </c>
      <c r="T659" s="20" t="s">
        <v>300</v>
      </c>
      <c r="U659" s="20" t="s">
        <v>301</v>
      </c>
      <c r="V659" s="20" t="s">
        <v>67</v>
      </c>
      <c r="W659" s="20" t="s">
        <v>68</v>
      </c>
      <c r="X659" s="20" t="s">
        <v>69</v>
      </c>
      <c r="Y659" s="20" t="s">
        <v>70</v>
      </c>
      <c r="Z659" s="20" t="s">
        <v>177</v>
      </c>
      <c r="AA659" s="20" t="s">
        <v>125</v>
      </c>
      <c r="AB659" s="20" t="s">
        <v>125</v>
      </c>
      <c r="AC659" s="20" t="s">
        <v>125</v>
      </c>
      <c r="AD659" s="20" t="s">
        <v>125</v>
      </c>
      <c r="AE659" s="20"/>
      <c r="AF659" s="9" t="n">
        <v>0</v>
      </c>
      <c r="AG659" s="12" t="n">
        <v>0</v>
      </c>
      <c r="AH659" s="22" t="s">
        <v>304</v>
      </c>
      <c r="AI659" s="12" t="str">
        <f>IF(AH659="","",IFERROR(RIGHT("0000"&amp;AH659,4)&amp;" - "&amp;UPPER(_xlfn.XLOOKUP(RIGHT("0000"&amp;AH659,4),CODEBOOK_CAP!$C$2:$C$212,CODEBOOK_CAP!$D$2:$D$212)),"Código CAP não encontrado"))</f>
        <v>1403 - REABILITAÇÃO URBANA, ECONOMIA URBANA</v>
      </c>
      <c r="AJ659" s="12" t="str">
        <f>IF(AH659="","",IFERROR(_xlfn.XLOOKUP(RIGHT("0000"&amp;AH659,4),CODEBOOK_CAP!$C$2:$C$212,CODEBOOK_CAP!$E$2:$E$212),"Código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59" s="22" t="s">
        <v>79</v>
      </c>
      <c r="AL659" s="26" t="s">
        <v>3637</v>
      </c>
      <c r="AM659" s="22" t="s">
        <v>79</v>
      </c>
      <c r="AN659" s="22" t="s">
        <v>79</v>
      </c>
      <c r="AO659" s="12" t="s">
        <v>3637</v>
      </c>
      <c r="AP659" s="22" t="s">
        <v>77</v>
      </c>
      <c r="AQ659" s="12"/>
      <c r="AR659" s="22" t="s">
        <v>77</v>
      </c>
      <c r="AS659" s="10"/>
      <c r="AT659" s="2" t="s">
        <v>1814</v>
      </c>
      <c r="AU659" s="12" t="s">
        <v>83</v>
      </c>
      <c r="AV659" s="3" t="n">
        <v>46223</v>
      </c>
      <c r="AW659" s="21"/>
      <c r="AY659" s="1"/>
      <c r="BA659" s="1"/>
      <c r="BB659" s="1"/>
    </row>
    <row r="660" ht="210" customHeight="1">
      <c r="A660" s="20" t="s">
        <v>3638</v>
      </c>
      <c r="B660" s="20" t="n">
        <v>2023</v>
      </c>
      <c r="C660" s="20" t="n">
        <v>666</v>
      </c>
      <c r="D660" s="20" t="s">
        <v>50</v>
      </c>
      <c r="E660" s="20" t="s">
        <v>3505</v>
      </c>
      <c r="F660" s="20" t="s">
        <v>3639</v>
      </c>
      <c r="G660" s="20" t="s">
        <v>315</v>
      </c>
      <c r="H660" s="20" t="s">
        <v>3507</v>
      </c>
      <c r="I660" s="20"/>
      <c r="J660" s="20" t="s">
        <v>3640</v>
      </c>
      <c r="K660" s="20" t="s">
        <v>273</v>
      </c>
      <c r="L660" s="20" t="s">
        <v>274</v>
      </c>
      <c r="M660" s="20" t="s">
        <v>275</v>
      </c>
      <c r="N660" s="20" t="s">
        <v>276</v>
      </c>
      <c r="O660" s="20" t="s">
        <v>277</v>
      </c>
      <c r="P660" s="20" t="s">
        <v>278</v>
      </c>
      <c r="Q660" s="20" t="s">
        <v>279</v>
      </c>
      <c r="R660" s="20" t="s">
        <v>280</v>
      </c>
      <c r="S660" s="20" t="s">
        <v>281</v>
      </c>
      <c r="T660" s="20" t="s">
        <v>282</v>
      </c>
      <c r="U660" s="20" t="s">
        <v>283</v>
      </c>
      <c r="V660" s="20" t="s">
        <v>95</v>
      </c>
      <c r="W660" s="20" t="s">
        <v>96</v>
      </c>
      <c r="X660" s="20" t="s">
        <v>97</v>
      </c>
      <c r="Y660" s="20" t="s">
        <v>70</v>
      </c>
      <c r="Z660" s="20" t="s">
        <v>284</v>
      </c>
      <c r="AA660" s="20" t="s">
        <v>3641</v>
      </c>
      <c r="AB660" s="20" t="s">
        <v>3641</v>
      </c>
      <c r="AC660" s="20" t="s">
        <v>3641</v>
      </c>
      <c r="AD660" s="20" t="s">
        <v>3641</v>
      </c>
      <c r="AE660" s="20"/>
      <c r="AF660" s="9" t="n">
        <v>0</v>
      </c>
      <c r="AG660" s="12" t="n">
        <v>0</v>
      </c>
      <c r="AH660" s="22" t="s">
        <v>607</v>
      </c>
      <c r="AI660" s="12" t="str">
        <f>IF(AH660="","",IFERROR(RIGHT("0000"&amp;AH660,4)&amp;" - "&amp;UPPER(_xlfn.XLOOKUP(RIGHT("0000"&amp;AH660,4),CODEBOOK_CAP!$C$2:$C$212,CODEBOOK_CAP!$D$2:$D$212)),"Código CAP não encontrado"))</f>
        <v>1300 - GERAL</v>
      </c>
      <c r="AJ660" s="12" t="str">
        <f>IF(AH660="","",IFERROR(_xlfn.XLOOKUP(RIGHT("0000"&amp;AH660,4),CODEBOOK_CAP!$C$2:$C$212,CODEBOOK_CAP!$E$2:$E$212),"Código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60" s="22" t="s">
        <v>77</v>
      </c>
      <c r="AL660" s="26"/>
      <c r="AM660" s="22" t="s">
        <v>77</v>
      </c>
      <c r="AN660" s="22" t="s">
        <v>77</v>
      </c>
      <c r="AO660" s="12"/>
      <c r="AP660" s="22" t="s">
        <v>77</v>
      </c>
      <c r="AQ660" s="12"/>
      <c r="AR660" s="22" t="s">
        <v>77</v>
      </c>
      <c r="AS660" s="10"/>
      <c r="AT660" s="2" t="s">
        <v>1814</v>
      </c>
      <c r="AU660" s="12" t="s">
        <v>83</v>
      </c>
      <c r="AV660" s="3" t="n">
        <v>46223</v>
      </c>
      <c r="AW660" s="21"/>
      <c r="AY660" s="1"/>
      <c r="BA660" s="1"/>
      <c r="BB660" s="1"/>
    </row>
    <row r="661" ht="120" customHeight="1">
      <c r="A661" s="20" t="s">
        <v>3642</v>
      </c>
      <c r="B661" s="20" t="n">
        <v>2023</v>
      </c>
      <c r="C661" s="20" t="n">
        <v>667</v>
      </c>
      <c r="D661" s="20" t="s">
        <v>50</v>
      </c>
      <c r="E661" s="20" t="s">
        <v>3505</v>
      </c>
      <c r="F661" s="20" t="s">
        <v>3643</v>
      </c>
      <c r="G661" s="20" t="s">
        <v>86</v>
      </c>
      <c r="H661" s="20" t="s">
        <v>3507</v>
      </c>
      <c r="I661" s="20"/>
      <c r="J661" s="20" t="s">
        <v>3644</v>
      </c>
      <c r="K661" s="20" t="s">
        <v>56</v>
      </c>
      <c r="L661" s="20" t="s">
        <v>57</v>
      </c>
      <c r="M661" s="20" t="s">
        <v>58</v>
      </c>
      <c r="N661" s="20" t="s">
        <v>59</v>
      </c>
      <c r="O661" s="20" t="s">
        <v>60</v>
      </c>
      <c r="P661" s="20" t="s">
        <v>61</v>
      </c>
      <c r="Q661" s="20" t="s">
        <v>62</v>
      </c>
      <c r="R661" s="20" t="s">
        <v>63</v>
      </c>
      <c r="S661" s="20" t="s">
        <v>64</v>
      </c>
      <c r="T661" s="20" t="s">
        <v>65</v>
      </c>
      <c r="U661" s="20" t="s">
        <v>66</v>
      </c>
      <c r="V661" s="20" t="s">
        <v>67</v>
      </c>
      <c r="W661" s="20" t="s">
        <v>68</v>
      </c>
      <c r="X661" s="20" t="s">
        <v>69</v>
      </c>
      <c r="Y661" s="20" t="s">
        <v>70</v>
      </c>
      <c r="Z661" s="20" t="s">
        <v>71</v>
      </c>
      <c r="AA661" s="20" t="s">
        <v>125</v>
      </c>
      <c r="AB661" s="20" t="s">
        <v>3645</v>
      </c>
      <c r="AC661" s="20" t="s">
        <v>3645</v>
      </c>
      <c r="AD661" s="20" t="s">
        <v>3645</v>
      </c>
      <c r="AE661" s="20"/>
      <c r="AF661" s="9" t="n">
        <v>1</v>
      </c>
      <c r="AG661" s="12" t="n">
        <v>1</v>
      </c>
      <c r="AH661" s="22" t="s">
        <v>235</v>
      </c>
      <c r="AI661" s="12" t="str">
        <f>IF(AH661="","",IFERROR(RIGHT("0000"&amp;AH661,4)&amp;" - "&amp;UPPER(_xlfn.XLOOKUP(RIGHT("0000"&amp;AH661,4),CODEBOOK_CAP!$C$2:$C$212,CODEBOOK_CAP!$D$2:$D$212)),"Código CAP não encontrado"))</f>
        <v>0322 - ESTRUTURAS, HOSPITAIS, CLÍNICAS</v>
      </c>
      <c r="AJ661" s="12" t="str">
        <f>IF(AH661="","",IFERROR(_xlfn.XLOOKUP(RIGHT("0000"&amp;AH661,4),CODEBOOK_CAP!$C$2:$C$212,CODEBOOK_CAP!$E$2:$E$212),"Código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1" s="22" t="s">
        <v>79</v>
      </c>
      <c r="AL661" s="26" t="s">
        <v>3646</v>
      </c>
      <c r="AM661" s="22" t="s">
        <v>79</v>
      </c>
      <c r="AN661" s="22" t="s">
        <v>79</v>
      </c>
      <c r="AO661" s="12" t="s">
        <v>3647</v>
      </c>
      <c r="AP661" s="22" t="s">
        <v>77</v>
      </c>
      <c r="AQ661" s="12"/>
      <c r="AR661" s="22" t="s">
        <v>77</v>
      </c>
      <c r="AS661" s="10"/>
      <c r="AT661" s="2" t="s">
        <v>1814</v>
      </c>
      <c r="AU661" s="12" t="s">
        <v>83</v>
      </c>
      <c r="AV661" s="3" t="n">
        <v>46223</v>
      </c>
      <c r="AW661" s="21"/>
      <c r="AY661" s="1"/>
      <c r="BA661" s="1"/>
      <c r="BB661" s="1"/>
    </row>
    <row r="662" ht="105" customHeight="1">
      <c r="A662" s="20" t="s">
        <v>3648</v>
      </c>
      <c r="B662" s="20" t="n">
        <v>2023</v>
      </c>
      <c r="C662" s="20" t="n">
        <v>668</v>
      </c>
      <c r="D662" s="20" t="s">
        <v>50</v>
      </c>
      <c r="E662" s="20" t="s">
        <v>3505</v>
      </c>
      <c r="F662" s="20" t="s">
        <v>3649</v>
      </c>
      <c r="G662" s="20" t="s">
        <v>86</v>
      </c>
      <c r="H662" s="20" t="s">
        <v>3507</v>
      </c>
      <c r="I662" s="20"/>
      <c r="J662" s="20" t="s">
        <v>3650</v>
      </c>
      <c r="K662" s="20" t="s">
        <v>241</v>
      </c>
      <c r="L662" s="20" t="s">
        <v>208</v>
      </c>
      <c r="M662" s="20" t="s">
        <v>209</v>
      </c>
      <c r="N662" s="20" t="s">
        <v>188</v>
      </c>
      <c r="O662" s="20" t="s">
        <v>189</v>
      </c>
      <c r="P662" s="20" t="s">
        <v>190</v>
      </c>
      <c r="Q662" s="20" t="s">
        <v>191</v>
      </c>
      <c r="R662" s="20" t="s">
        <v>192</v>
      </c>
      <c r="S662" s="20" t="s">
        <v>193</v>
      </c>
      <c r="T662" s="20" t="s">
        <v>242</v>
      </c>
      <c r="U662" s="20" t="s">
        <v>243</v>
      </c>
      <c r="V662" s="20" t="s">
        <v>67</v>
      </c>
      <c r="W662" s="20" t="s">
        <v>68</v>
      </c>
      <c r="X662" s="20" t="s">
        <v>69</v>
      </c>
      <c r="Y662" s="20" t="s">
        <v>70</v>
      </c>
      <c r="Z662" s="20" t="s">
        <v>177</v>
      </c>
      <c r="AA662" s="20" t="s">
        <v>125</v>
      </c>
      <c r="AB662" s="20" t="s">
        <v>3651</v>
      </c>
      <c r="AC662" s="20" t="s">
        <v>3651</v>
      </c>
      <c r="AD662" s="20" t="s">
        <v>3651</v>
      </c>
      <c r="AE662" s="20"/>
      <c r="AF662" s="9" t="n">
        <v>0</v>
      </c>
      <c r="AG662" s="12" t="n">
        <v>0</v>
      </c>
      <c r="AH662" s="22" t="s">
        <v>161</v>
      </c>
      <c r="AI662" s="12" t="str">
        <f>IF(AH662="","",IFERROR(RIGHT("0000"&amp;AH662,4)&amp;" - "&amp;UPPER(_xlfn.XLOOKUP(RIGHT("0000"&amp;AH662,4),CODEBOOK_CAP!$C$2:$C$212,CODEBOOK_CAP!$D$2:$D$212)),"Código CAP não encontrado"))</f>
        <v>2300 - GERAL</v>
      </c>
      <c r="AJ662" s="12" t="str">
        <f>IF(AH662="","",IFERROR(_xlfn.XLOOKUP(RIGHT("0000"&amp;AH662,4),CODEBOOK_CAP!$C$2:$C$212,CODEBOOK_CAP!$E$2:$E$212),"Código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62" s="22" t="s">
        <v>79</v>
      </c>
      <c r="AL662" s="26" t="s">
        <v>3652</v>
      </c>
      <c r="AM662" s="22" t="s">
        <v>79</v>
      </c>
      <c r="AN662" s="22" t="s">
        <v>79</v>
      </c>
      <c r="AO662" s="12" t="s">
        <v>3653</v>
      </c>
      <c r="AP662" s="22" t="s">
        <v>77</v>
      </c>
      <c r="AQ662" s="12"/>
      <c r="AR662" s="22" t="s">
        <v>77</v>
      </c>
      <c r="AS662" s="10"/>
      <c r="AT662" s="2" t="s">
        <v>1814</v>
      </c>
      <c r="AU662" s="12" t="s">
        <v>83</v>
      </c>
      <c r="AV662" s="3" t="n">
        <v>46223</v>
      </c>
      <c r="AW662" s="21"/>
      <c r="AX662" s="1" t="s">
        <v>6956</v>
      </c>
      <c r="AY662" s="1"/>
      <c r="BA662" s="1"/>
      <c r="BB662" s="1"/>
    </row>
    <row r="663" ht="210" customHeight="1">
      <c r="A663" s="20" t="s">
        <v>3654</v>
      </c>
      <c r="B663" s="20" t="n">
        <v>2023</v>
      </c>
      <c r="C663" s="20" t="n">
        <v>798</v>
      </c>
      <c r="D663" s="20" t="s">
        <v>50</v>
      </c>
      <c r="E663" s="20" t="s">
        <v>3655</v>
      </c>
      <c r="F663" s="20" t="s">
        <v>3656</v>
      </c>
      <c r="G663" s="20" t="s">
        <v>183</v>
      </c>
      <c r="H663" s="20" t="s">
        <v>3657</v>
      </c>
      <c r="I663" s="20"/>
      <c r="J663" s="20" t="s">
        <v>3658</v>
      </c>
      <c r="K663" s="20" t="s">
        <v>3659</v>
      </c>
      <c r="L663" s="20" t="s">
        <v>274</v>
      </c>
      <c r="M663" s="20" t="s">
        <v>275</v>
      </c>
      <c r="N663" s="20" t="s">
        <v>276</v>
      </c>
      <c r="O663" s="20" t="s">
        <v>277</v>
      </c>
      <c r="P663" s="20" t="s">
        <v>278</v>
      </c>
      <c r="Q663" s="20" t="s">
        <v>279</v>
      </c>
      <c r="R663" s="20" t="s">
        <v>3660</v>
      </c>
      <c r="S663" s="20" t="s">
        <v>3661</v>
      </c>
      <c r="T663" s="20" t="s">
        <v>2029</v>
      </c>
      <c r="U663" s="20" t="s">
        <v>2030</v>
      </c>
      <c r="V663" s="20" t="s">
        <v>95</v>
      </c>
      <c r="W663" s="20" t="s">
        <v>96</v>
      </c>
      <c r="X663" s="20" t="s">
        <v>97</v>
      </c>
      <c r="Y663" s="20" t="s">
        <v>70</v>
      </c>
      <c r="Z663" s="20" t="s">
        <v>284</v>
      </c>
      <c r="AA663" s="20" t="s">
        <v>3662</v>
      </c>
      <c r="AB663" s="20" t="s">
        <v>77</v>
      </c>
      <c r="AC663" s="20" t="s">
        <v>77</v>
      </c>
      <c r="AD663" s="20" t="s">
        <v>77</v>
      </c>
      <c r="AE663" s="20"/>
      <c r="AF663" s="9" t="n">
        <v>0</v>
      </c>
      <c r="AG663" s="12" t="n">
        <v>0</v>
      </c>
      <c r="AH663" s="22" t="s">
        <v>607</v>
      </c>
      <c r="AI663" s="12" t="str">
        <f>IF(AH663="","",IFERROR(RIGHT("0000"&amp;AH663,4)&amp;" - "&amp;UPPER(_xlfn.XLOOKUP(RIGHT("0000"&amp;AH663,4),CODEBOOK_CAP!$C$2:$C$212,CODEBOOK_CAP!$D$2:$D$212)),"Código CAP não encontrado"))</f>
        <v>1300 - GERAL</v>
      </c>
      <c r="AJ663" s="12" t="str">
        <f>IF(AH663="","",IFERROR(_xlfn.XLOOKUP(RIGHT("0000"&amp;AH663,4),CODEBOOK_CAP!$C$2:$C$212,CODEBOOK_CAP!$E$2:$E$212),"Código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63" s="22" t="s">
        <v>77</v>
      </c>
      <c r="AL663" s="26"/>
      <c r="AM663" s="22" t="s">
        <v>77</v>
      </c>
      <c r="AN663" s="22" t="s">
        <v>77</v>
      </c>
      <c r="AO663" s="12"/>
      <c r="AP663" s="22" t="s">
        <v>77</v>
      </c>
      <c r="AQ663" s="12"/>
      <c r="AR663" s="22" t="s">
        <v>77</v>
      </c>
      <c r="AS663" s="10"/>
      <c r="AT663" s="2" t="s">
        <v>1814</v>
      </c>
      <c r="AU663" s="12" t="s">
        <v>83</v>
      </c>
      <c r="AV663" s="3" t="n">
        <v>46224</v>
      </c>
      <c r="AW663" s="21"/>
      <c r="AY663" s="1"/>
      <c r="BA663" s="1"/>
      <c r="BB663" s="1"/>
    </row>
    <row r="664" ht="75" customHeight="1">
      <c r="A664" s="20" t="s">
        <v>3663</v>
      </c>
      <c r="B664" s="20" t="n">
        <v>2023</v>
      </c>
      <c r="C664" s="20" t="n">
        <v>881</v>
      </c>
      <c r="D664" s="20" t="s">
        <v>50</v>
      </c>
      <c r="E664" s="20" t="s">
        <v>3655</v>
      </c>
      <c r="F664" s="20" t="s">
        <v>3664</v>
      </c>
      <c r="G664" s="20" t="s">
        <v>183</v>
      </c>
      <c r="H664" s="20" t="s">
        <v>3657</v>
      </c>
      <c r="I664" s="20"/>
      <c r="J664" s="20" t="s">
        <v>3665</v>
      </c>
      <c r="K664" s="20" t="s">
        <v>207</v>
      </c>
      <c r="L664" s="20" t="s">
        <v>208</v>
      </c>
      <c r="M664" s="20" t="s">
        <v>209</v>
      </c>
      <c r="N664" s="20" t="s">
        <v>210</v>
      </c>
      <c r="O664" s="20" t="s">
        <v>211</v>
      </c>
      <c r="P664" s="20" t="s">
        <v>212</v>
      </c>
      <c r="Q664" s="20" t="s">
        <v>213</v>
      </c>
      <c r="R664" s="20" t="s">
        <v>214</v>
      </c>
      <c r="S664" s="20" t="s">
        <v>215</v>
      </c>
      <c r="T664" s="20" t="s">
        <v>216</v>
      </c>
      <c r="U664" s="20" t="s">
        <v>217</v>
      </c>
      <c r="V664" s="20" t="s">
        <v>67</v>
      </c>
      <c r="W664" s="20" t="s">
        <v>68</v>
      </c>
      <c r="X664" s="20" t="s">
        <v>69</v>
      </c>
      <c r="Y664" s="20" t="s">
        <v>70</v>
      </c>
      <c r="Z664" s="20" t="s">
        <v>177</v>
      </c>
      <c r="AA664" s="20" t="s">
        <v>198</v>
      </c>
      <c r="AB664" s="20" t="s">
        <v>77</v>
      </c>
      <c r="AC664" s="20" t="s">
        <v>77</v>
      </c>
      <c r="AD664" s="20" t="s">
        <v>77</v>
      </c>
      <c r="AE664" s="20"/>
      <c r="AF664" s="9" t="n">
        <v>0</v>
      </c>
      <c r="AG664" s="12" t="n">
        <v>0</v>
      </c>
      <c r="AH664" s="22" t="s">
        <v>304</v>
      </c>
      <c r="AI664" s="12" t="str">
        <f>IF(AH664="","",IFERROR(RIGHT("0000"&amp;AH664,4)&amp;" - "&amp;UPPER(_xlfn.XLOOKUP(RIGHT("0000"&amp;AH664,4),CODEBOOK_CAP!$C$2:$C$212,CODEBOOK_CAP!$D$2:$D$212)),"Código CAP não encontrado"))</f>
        <v>1403 - REABILITAÇÃO URBANA, ECONOMIA URBANA</v>
      </c>
      <c r="AJ664" s="12" t="str">
        <f>IF(AH664="","",IFERROR(_xlfn.XLOOKUP(RIGHT("0000"&amp;AH664,4),CODEBOOK_CAP!$C$2:$C$212,CODEBOOK_CAP!$E$2:$E$212),"Código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64" s="22" t="s">
        <v>79</v>
      </c>
      <c r="AL664" s="26" t="s">
        <v>3666</v>
      </c>
      <c r="AM664" s="22" t="s">
        <v>79</v>
      </c>
      <c r="AN664" s="22" t="s">
        <v>79</v>
      </c>
      <c r="AO664" s="12" t="s">
        <v>3666</v>
      </c>
      <c r="AP664" s="22" t="s">
        <v>77</v>
      </c>
      <c r="AQ664" s="12"/>
      <c r="AR664" s="22" t="s">
        <v>77</v>
      </c>
      <c r="AS664" s="10"/>
      <c r="AT664" s="2" t="s">
        <v>1814</v>
      </c>
      <c r="AU664" s="12" t="s">
        <v>83</v>
      </c>
      <c r="AV664" s="3" t="n">
        <v>46224</v>
      </c>
      <c r="AW664" s="21"/>
      <c r="AY664" s="1"/>
      <c r="BA664" s="1"/>
      <c r="BB664" s="1"/>
    </row>
    <row r="665" ht="75" customHeight="1">
      <c r="A665" s="20" t="s">
        <v>3667</v>
      </c>
      <c r="B665" s="20" t="n">
        <v>2023</v>
      </c>
      <c r="C665" s="20" t="n">
        <v>882</v>
      </c>
      <c r="D665" s="20" t="s">
        <v>50</v>
      </c>
      <c r="E665" s="20" t="s">
        <v>3655</v>
      </c>
      <c r="F665" s="20" t="s">
        <v>3668</v>
      </c>
      <c r="G665" s="20" t="s">
        <v>86</v>
      </c>
      <c r="H665" s="20" t="s">
        <v>3657</v>
      </c>
      <c r="I665" s="20"/>
      <c r="J665" s="20" t="s">
        <v>3669</v>
      </c>
      <c r="K665" s="20" t="s">
        <v>207</v>
      </c>
      <c r="L665" s="20" t="s">
        <v>208</v>
      </c>
      <c r="M665" s="20" t="s">
        <v>209</v>
      </c>
      <c r="N665" s="20" t="s">
        <v>210</v>
      </c>
      <c r="O665" s="20" t="s">
        <v>211</v>
      </c>
      <c r="P665" s="20" t="s">
        <v>212</v>
      </c>
      <c r="Q665" s="20" t="s">
        <v>213</v>
      </c>
      <c r="R665" s="20" t="s">
        <v>214</v>
      </c>
      <c r="S665" s="20" t="s">
        <v>215</v>
      </c>
      <c r="T665" s="20" t="s">
        <v>216</v>
      </c>
      <c r="U665" s="20" t="s">
        <v>217</v>
      </c>
      <c r="V665" s="20" t="s">
        <v>67</v>
      </c>
      <c r="W665" s="20" t="s">
        <v>68</v>
      </c>
      <c r="X665" s="20" t="s">
        <v>69</v>
      </c>
      <c r="Y665" s="20" t="s">
        <v>70</v>
      </c>
      <c r="Z665" s="20" t="s">
        <v>177</v>
      </c>
      <c r="AA665" s="20" t="s">
        <v>3670</v>
      </c>
      <c r="AB665" s="20" t="s">
        <v>3671</v>
      </c>
      <c r="AC665" s="20" t="s">
        <v>3671</v>
      </c>
      <c r="AD665" s="20" t="s">
        <v>3671</v>
      </c>
      <c r="AE665" s="20"/>
      <c r="AF665" s="9" t="n">
        <v>0</v>
      </c>
      <c r="AG665" s="12" t="n">
        <v>0</v>
      </c>
      <c r="AH665" s="22" t="s">
        <v>304</v>
      </c>
      <c r="AI665" s="12" t="str">
        <f>IF(AH665="","",IFERROR(RIGHT("0000"&amp;AH665,4)&amp;" - "&amp;UPPER(_xlfn.XLOOKUP(RIGHT("0000"&amp;AH665,4),CODEBOOK_CAP!$C$2:$C$212,CODEBOOK_CAP!$D$2:$D$212)),"Código CAP não encontrado"))</f>
        <v>1403 - REABILITAÇÃO URBANA, ECONOMIA URBANA</v>
      </c>
      <c r="AJ665" s="12" t="str">
        <f>IF(AH665="","",IFERROR(_xlfn.XLOOKUP(RIGHT("0000"&amp;AH665,4),CODEBOOK_CAP!$C$2:$C$212,CODEBOOK_CAP!$E$2:$E$212),"Código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665" s="22" t="s">
        <v>79</v>
      </c>
      <c r="AL665" s="26" t="s">
        <v>3672</v>
      </c>
      <c r="AM665" s="22" t="s">
        <v>79</v>
      </c>
      <c r="AN665" s="22" t="s">
        <v>79</v>
      </c>
      <c r="AO665" s="12" t="s">
        <v>3672</v>
      </c>
      <c r="AP665" s="22" t="s">
        <v>77</v>
      </c>
      <c r="AQ665" s="12"/>
      <c r="AR665" s="22" t="s">
        <v>77</v>
      </c>
      <c r="AS665" s="10"/>
      <c r="AT665" s="2" t="s">
        <v>1814</v>
      </c>
      <c r="AU665" s="12" t="s">
        <v>83</v>
      </c>
      <c r="AV665" s="3" t="n">
        <v>46224</v>
      </c>
      <c r="AW665" s="21"/>
      <c r="AY665" s="1"/>
      <c r="BA665" s="1"/>
      <c r="BB665" s="1"/>
    </row>
    <row r="666" ht="120" customHeight="1">
      <c r="A666" s="20" t="s">
        <v>3673</v>
      </c>
      <c r="B666" s="20" t="n">
        <v>2023</v>
      </c>
      <c r="C666" s="20" t="n">
        <v>883</v>
      </c>
      <c r="D666" s="20" t="s">
        <v>50</v>
      </c>
      <c r="E666" s="20" t="s">
        <v>3655</v>
      </c>
      <c r="F666" s="20" t="s">
        <v>3674</v>
      </c>
      <c r="G666" s="20" t="s">
        <v>86</v>
      </c>
      <c r="H666" s="20" t="s">
        <v>3657</v>
      </c>
      <c r="I666" s="20"/>
      <c r="J666" s="20" t="s">
        <v>3675</v>
      </c>
      <c r="K666" s="20" t="s">
        <v>3676</v>
      </c>
      <c r="L666" s="20" t="s">
        <v>785</v>
      </c>
      <c r="M666" s="20" t="s">
        <v>786</v>
      </c>
      <c r="N666" s="20" t="s">
        <v>787</v>
      </c>
      <c r="O666" s="20" t="s">
        <v>788</v>
      </c>
      <c r="P666" s="20" t="s">
        <v>517</v>
      </c>
      <c r="Q666" s="20" t="s">
        <v>893</v>
      </c>
      <c r="R666" s="20" t="s">
        <v>894</v>
      </c>
      <c r="S666" s="20" t="s">
        <v>895</v>
      </c>
      <c r="T666" s="20" t="s">
        <v>792</v>
      </c>
      <c r="U666" s="20" t="s">
        <v>793</v>
      </c>
      <c r="V666" s="20"/>
      <c r="W666" s="20"/>
      <c r="X666" s="20"/>
      <c r="Y666" s="20"/>
      <c r="Z666" s="20" t="s">
        <v>794</v>
      </c>
      <c r="AA666" s="20" t="s">
        <v>325</v>
      </c>
      <c r="AB666" s="20" t="s">
        <v>325</v>
      </c>
      <c r="AC666" s="20" t="s">
        <v>325</v>
      </c>
      <c r="AD666" s="20" t="s">
        <v>325</v>
      </c>
      <c r="AE666" s="20"/>
      <c r="AF666" s="9" t="n">
        <v>0</v>
      </c>
      <c r="AG666" s="12" t="n">
        <v>0</v>
      </c>
      <c r="AH666" s="22" t="s">
        <v>1333</v>
      </c>
      <c r="AI666" s="12" t="str">
        <f>IF(AH666="","",IFERROR(RIGHT("0000"&amp;AH666,4)&amp;" - "&amp;UPPER(_xlfn.XLOOKUP(RIGHT("0000"&amp;AH666,4),CODEBOOK_CAP!$C$2:$C$212,CODEBOOK_CAP!$D$2:$D$212)),"Código CAP não encontrado"))</f>
        <v>0607 - PROMOCAO DA QUALIDADE, ESTRUTURA E AÇÕES</v>
      </c>
      <c r="AJ666" s="12" t="str">
        <f>IF(AH666="","",IFERROR(_xlfn.XLOOKUP(RIGHT("0000"&amp;AH666,4),CODEBOOK_CAP!$C$2:$C$212,CODEBOOK_CAP!$E$2:$E$212),"Código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66" s="22" t="s">
        <v>79</v>
      </c>
      <c r="AL666" s="26" t="s">
        <v>3677</v>
      </c>
      <c r="AM666" s="22" t="s">
        <v>79</v>
      </c>
      <c r="AN666" s="22" t="s">
        <v>79</v>
      </c>
      <c r="AO666" s="12" t="s">
        <v>3678</v>
      </c>
      <c r="AP666" s="22" t="s">
        <v>79</v>
      </c>
      <c r="AQ666" s="12" t="s">
        <v>901</v>
      </c>
      <c r="AR666" s="22" t="s">
        <v>77</v>
      </c>
      <c r="AS666" s="10"/>
      <c r="AT666" s="2" t="s">
        <v>1814</v>
      </c>
      <c r="AU666" s="12" t="s">
        <v>83</v>
      </c>
      <c r="AV666" s="3" t="n">
        <v>46224</v>
      </c>
      <c r="AW666" s="21"/>
      <c r="AY666" s="1"/>
      <c r="BA666" s="1"/>
      <c r="BB666" s="1"/>
    </row>
    <row r="667" ht="120" customHeight="1">
      <c r="A667" s="20" t="s">
        <v>3679</v>
      </c>
      <c r="B667" s="20" t="n">
        <v>2023</v>
      </c>
      <c r="C667" s="20" t="n">
        <v>53</v>
      </c>
      <c r="D667" s="20" t="s">
        <v>50</v>
      </c>
      <c r="E667" s="20" t="s">
        <v>3655</v>
      </c>
      <c r="F667" s="20" t="s">
        <v>3680</v>
      </c>
      <c r="G667" s="20" t="s">
        <v>86</v>
      </c>
      <c r="H667" s="20" t="s">
        <v>3657</v>
      </c>
      <c r="I667" s="20"/>
      <c r="J667" s="20" t="s">
        <v>3681</v>
      </c>
      <c r="K667" s="20" t="s">
        <v>865</v>
      </c>
      <c r="L667" s="20" t="s">
        <v>57</v>
      </c>
      <c r="M667" s="20" t="s">
        <v>58</v>
      </c>
      <c r="N667" s="20" t="s">
        <v>59</v>
      </c>
      <c r="O667" s="20" t="s">
        <v>60</v>
      </c>
      <c r="P667" s="20" t="s">
        <v>227</v>
      </c>
      <c r="Q667" s="20" t="s">
        <v>228</v>
      </c>
      <c r="R667" s="20" t="s">
        <v>229</v>
      </c>
      <c r="S667" s="20" t="s">
        <v>230</v>
      </c>
      <c r="T667" s="20" t="s">
        <v>866</v>
      </c>
      <c r="U667" s="20" t="s">
        <v>867</v>
      </c>
      <c r="V667" s="20" t="s">
        <v>868</v>
      </c>
      <c r="W667" s="20" t="s">
        <v>96</v>
      </c>
      <c r="X667" s="20" t="s">
        <v>97</v>
      </c>
      <c r="Y667" s="20" t="s">
        <v>70</v>
      </c>
      <c r="Z667" s="20" t="s">
        <v>98</v>
      </c>
      <c r="AA667" s="20" t="s">
        <v>409</v>
      </c>
      <c r="AB667" s="20" t="s">
        <v>1237</v>
      </c>
      <c r="AC667" s="20" t="s">
        <v>1237</v>
      </c>
      <c r="AD667" s="20" t="s">
        <v>1237</v>
      </c>
      <c r="AE667" s="20"/>
      <c r="AF667" s="9" t="n">
        <v>1</v>
      </c>
      <c r="AG667" s="12" t="n">
        <v>1</v>
      </c>
      <c r="AH667" s="22" t="s">
        <v>235</v>
      </c>
      <c r="AI667" s="12" t="str">
        <f>IF(AH667="","",IFERROR(RIGHT("0000"&amp;AH667,4)&amp;" - "&amp;UPPER(_xlfn.XLOOKUP(RIGHT("0000"&amp;AH667,4),CODEBOOK_CAP!$C$2:$C$212,CODEBOOK_CAP!$D$2:$D$212)),"Código CAP não encontrado"))</f>
        <v>0322 - ESTRUTURAS, HOSPITAIS, CLÍNICAS</v>
      </c>
      <c r="AJ667" s="12" t="str">
        <f>IF(AH667="","",IFERROR(_xlfn.XLOOKUP(RIGHT("0000"&amp;AH667,4),CODEBOOK_CAP!$C$2:$C$212,CODEBOOK_CAP!$E$2:$E$212),"Código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7" s="22" t="s">
        <v>79</v>
      </c>
      <c r="AL667" s="26" t="s">
        <v>3682</v>
      </c>
      <c r="AM667" s="22" t="s">
        <v>79</v>
      </c>
      <c r="AN667" s="22" t="s">
        <v>79</v>
      </c>
      <c r="AO667" s="12" t="s">
        <v>3683</v>
      </c>
      <c r="AP667" s="22" t="s">
        <v>77</v>
      </c>
      <c r="AQ667" s="12"/>
      <c r="AR667" s="22" t="s">
        <v>77</v>
      </c>
      <c r="AS667" s="10"/>
      <c r="AT667" s="2" t="s">
        <v>1814</v>
      </c>
      <c r="AU667" s="12" t="s">
        <v>83</v>
      </c>
      <c r="AV667" s="3" t="n">
        <v>46224</v>
      </c>
      <c r="AW667" s="21"/>
      <c r="AY667" s="1"/>
      <c r="BA667" s="1"/>
      <c r="BB667" s="1"/>
    </row>
    <row r="668" ht="120" customHeight="1">
      <c r="A668" s="20" t="s">
        <v>3684</v>
      </c>
      <c r="B668" s="20" t="n">
        <v>2023</v>
      </c>
      <c r="C668" s="20" t="n">
        <v>54</v>
      </c>
      <c r="D668" s="20" t="s">
        <v>50</v>
      </c>
      <c r="E668" s="20" t="s">
        <v>3655</v>
      </c>
      <c r="F668" s="20" t="s">
        <v>3685</v>
      </c>
      <c r="G668" s="20" t="s">
        <v>86</v>
      </c>
      <c r="H668" s="20" t="s">
        <v>3657</v>
      </c>
      <c r="I668" s="20"/>
      <c r="J668" s="20" t="s">
        <v>3686</v>
      </c>
      <c r="K668" s="20" t="s">
        <v>226</v>
      </c>
      <c r="L668" s="20" t="s">
        <v>57</v>
      </c>
      <c r="M668" s="20" t="s">
        <v>58</v>
      </c>
      <c r="N668" s="20" t="s">
        <v>59</v>
      </c>
      <c r="O668" s="20" t="s">
        <v>60</v>
      </c>
      <c r="P668" s="20" t="s">
        <v>227</v>
      </c>
      <c r="Q668" s="20" t="s">
        <v>228</v>
      </c>
      <c r="R668" s="20" t="s">
        <v>229</v>
      </c>
      <c r="S668" s="20" t="s">
        <v>230</v>
      </c>
      <c r="T668" s="20" t="s">
        <v>231</v>
      </c>
      <c r="U668" s="20" t="s">
        <v>230</v>
      </c>
      <c r="V668" s="20" t="s">
        <v>232</v>
      </c>
      <c r="W668" s="20" t="s">
        <v>96</v>
      </c>
      <c r="X668" s="20" t="s">
        <v>97</v>
      </c>
      <c r="Y668" s="20" t="s">
        <v>70</v>
      </c>
      <c r="Z668" s="20" t="s">
        <v>98</v>
      </c>
      <c r="AA668" s="20" t="s">
        <v>125</v>
      </c>
      <c r="AB668" s="20" t="s">
        <v>125</v>
      </c>
      <c r="AC668" s="20" t="s">
        <v>125</v>
      </c>
      <c r="AD668" s="20" t="s">
        <v>125</v>
      </c>
      <c r="AE668" s="20"/>
      <c r="AF668" s="9" t="n">
        <v>1</v>
      </c>
      <c r="AG668" s="12" t="n">
        <v>1</v>
      </c>
      <c r="AH668" s="22" t="s">
        <v>235</v>
      </c>
      <c r="AI668" s="12" t="str">
        <f>IF(AH668="","",IFERROR(RIGHT("0000"&amp;AH668,4)&amp;" - "&amp;UPPER(_xlfn.XLOOKUP(RIGHT("0000"&amp;AH668,4),CODEBOOK_CAP!$C$2:$C$212,CODEBOOK_CAP!$D$2:$D$212)),"Código CAP não encontrado"))</f>
        <v>0322 - ESTRUTURAS, HOSPITAIS, CLÍNICAS</v>
      </c>
      <c r="AJ668" s="12" t="str">
        <f>IF(AH668="","",IFERROR(_xlfn.XLOOKUP(RIGHT("0000"&amp;AH668,4),CODEBOOK_CAP!$C$2:$C$212,CODEBOOK_CAP!$E$2:$E$212),"Código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8" s="22" t="s">
        <v>79</v>
      </c>
      <c r="AL668" s="26" t="s">
        <v>3687</v>
      </c>
      <c r="AM668" s="22" t="s">
        <v>79</v>
      </c>
      <c r="AN668" s="22" t="s">
        <v>79</v>
      </c>
      <c r="AO668" s="12" t="s">
        <v>3688</v>
      </c>
      <c r="AP668" s="22" t="s">
        <v>77</v>
      </c>
      <c r="AQ668" s="12"/>
      <c r="AR668" s="22" t="s">
        <v>77</v>
      </c>
      <c r="AS668" s="10"/>
      <c r="AT668" s="2" t="s">
        <v>1814</v>
      </c>
      <c r="AU668" s="12" t="s">
        <v>83</v>
      </c>
      <c r="AV668" s="3" t="n">
        <v>46224</v>
      </c>
      <c r="AW668" s="21"/>
      <c r="AY668" s="1"/>
      <c r="BA668" s="1"/>
      <c r="BB668" s="1"/>
    </row>
    <row r="669" ht="120" customHeight="1">
      <c r="A669" s="20" t="s">
        <v>3689</v>
      </c>
      <c r="B669" s="20" t="n">
        <v>2023</v>
      </c>
      <c r="C669" s="20" t="n">
        <v>55</v>
      </c>
      <c r="D669" s="20" t="s">
        <v>50</v>
      </c>
      <c r="E669" s="20" t="s">
        <v>3655</v>
      </c>
      <c r="F669" s="20" t="s">
        <v>3690</v>
      </c>
      <c r="G669" s="20" t="s">
        <v>183</v>
      </c>
      <c r="H669" s="20" t="s">
        <v>3657</v>
      </c>
      <c r="I669" s="20"/>
      <c r="J669" s="20" t="s">
        <v>3691</v>
      </c>
      <c r="K669" s="20" t="s">
        <v>56</v>
      </c>
      <c r="L669" s="20" t="s">
        <v>57</v>
      </c>
      <c r="M669" s="20" t="s">
        <v>58</v>
      </c>
      <c r="N669" s="20" t="s">
        <v>59</v>
      </c>
      <c r="O669" s="20" t="s">
        <v>60</v>
      </c>
      <c r="P669" s="20" t="s">
        <v>61</v>
      </c>
      <c r="Q669" s="20" t="s">
        <v>62</v>
      </c>
      <c r="R669" s="20" t="s">
        <v>63</v>
      </c>
      <c r="S669" s="20" t="s">
        <v>64</v>
      </c>
      <c r="T669" s="20" t="s">
        <v>65</v>
      </c>
      <c r="U669" s="20" t="s">
        <v>66</v>
      </c>
      <c r="V669" s="20" t="s">
        <v>67</v>
      </c>
      <c r="W669" s="20" t="s">
        <v>68</v>
      </c>
      <c r="X669" s="20" t="s">
        <v>69</v>
      </c>
      <c r="Y669" s="20" t="s">
        <v>70</v>
      </c>
      <c r="Z669" s="20" t="s">
        <v>71</v>
      </c>
      <c r="AA669" s="20" t="s">
        <v>125</v>
      </c>
      <c r="AB669" s="20" t="s">
        <v>77</v>
      </c>
      <c r="AC669" s="20" t="s">
        <v>77</v>
      </c>
      <c r="AD669" s="20" t="s">
        <v>77</v>
      </c>
      <c r="AE669" s="20"/>
      <c r="AF669" s="9" t="n">
        <v>1</v>
      </c>
      <c r="AG669" s="12" t="n">
        <v>1</v>
      </c>
      <c r="AH669" s="22" t="s">
        <v>235</v>
      </c>
      <c r="AI669" s="12" t="str">
        <f>IF(AH669="","",IFERROR(RIGHT("0000"&amp;AH669,4)&amp;" - "&amp;UPPER(_xlfn.XLOOKUP(RIGHT("0000"&amp;AH669,4),CODEBOOK_CAP!$C$2:$C$212,CODEBOOK_CAP!$D$2:$D$212)),"Código CAP não encontrado"))</f>
        <v>0322 - ESTRUTURAS, HOSPITAIS, CLÍNICAS</v>
      </c>
      <c r="AJ669" s="12" t="str">
        <f>IF(AH669="","",IFERROR(_xlfn.XLOOKUP(RIGHT("0000"&amp;AH669,4),CODEBOOK_CAP!$C$2:$C$212,CODEBOOK_CAP!$E$2:$E$212),"Código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69" s="22" t="s">
        <v>79</v>
      </c>
      <c r="AL669" s="26" t="s">
        <v>3692</v>
      </c>
      <c r="AM669" s="22" t="s">
        <v>79</v>
      </c>
      <c r="AN669" s="22" t="s">
        <v>79</v>
      </c>
      <c r="AO669" s="12" t="s">
        <v>3693</v>
      </c>
      <c r="AP669" s="22" t="s">
        <v>77</v>
      </c>
      <c r="AQ669" s="12"/>
      <c r="AR669" s="22" t="s">
        <v>77</v>
      </c>
      <c r="AS669" s="10"/>
      <c r="AT669" s="2" t="s">
        <v>1814</v>
      </c>
      <c r="AU669" s="12" t="s">
        <v>83</v>
      </c>
      <c r="AV669" s="3" t="n">
        <v>46224</v>
      </c>
      <c r="AW669" s="21"/>
      <c r="AY669" s="1"/>
      <c r="BA669" s="1"/>
      <c r="BB669" s="1"/>
    </row>
    <row r="670" ht="120" customHeight="1">
      <c r="A670" s="20" t="s">
        <v>3694</v>
      </c>
      <c r="B670" s="20" t="n">
        <v>2023</v>
      </c>
      <c r="C670" s="20" t="n">
        <v>56</v>
      </c>
      <c r="D670" s="20" t="s">
        <v>50</v>
      </c>
      <c r="E670" s="20" t="s">
        <v>3655</v>
      </c>
      <c r="F670" s="20" t="s">
        <v>3695</v>
      </c>
      <c r="G670" s="20" t="s">
        <v>86</v>
      </c>
      <c r="H670" s="20" t="s">
        <v>3657</v>
      </c>
      <c r="I670" s="20"/>
      <c r="J670" s="20" t="s">
        <v>3696</v>
      </c>
      <c r="K670" s="20" t="s">
        <v>853</v>
      </c>
      <c r="L670" s="20" t="s">
        <v>57</v>
      </c>
      <c r="M670" s="20" t="s">
        <v>58</v>
      </c>
      <c r="N670" s="20" t="s">
        <v>59</v>
      </c>
      <c r="O670" s="20" t="s">
        <v>60</v>
      </c>
      <c r="P670" s="20" t="s">
        <v>227</v>
      </c>
      <c r="Q670" s="20" t="s">
        <v>228</v>
      </c>
      <c r="R670" s="20" t="s">
        <v>229</v>
      </c>
      <c r="S670" s="20" t="s">
        <v>230</v>
      </c>
      <c r="T670" s="20" t="s">
        <v>231</v>
      </c>
      <c r="U670" s="20" t="s">
        <v>230</v>
      </c>
      <c r="V670" s="20" t="s">
        <v>854</v>
      </c>
      <c r="W670" s="20" t="s">
        <v>96</v>
      </c>
      <c r="X670" s="20" t="s">
        <v>97</v>
      </c>
      <c r="Y670" s="20" t="s">
        <v>70</v>
      </c>
      <c r="Z670" s="20" t="s">
        <v>98</v>
      </c>
      <c r="AA670" s="20" t="s">
        <v>409</v>
      </c>
      <c r="AB670" s="20" t="s">
        <v>3697</v>
      </c>
      <c r="AC670" s="20" t="s">
        <v>3698</v>
      </c>
      <c r="AD670" s="20" t="s">
        <v>3697</v>
      </c>
      <c r="AE670" s="20"/>
      <c r="AF670" s="9" t="n">
        <v>1</v>
      </c>
      <c r="AG670" s="12" t="n">
        <v>1</v>
      </c>
      <c r="AH670" s="22" t="s">
        <v>235</v>
      </c>
      <c r="AI670" s="12" t="str">
        <f>IF(AH670="","",IFERROR(RIGHT("0000"&amp;AH670,4)&amp;" - "&amp;UPPER(_xlfn.XLOOKUP(RIGHT("0000"&amp;AH670,4),CODEBOOK_CAP!$C$2:$C$212,CODEBOOK_CAP!$D$2:$D$212)),"Código CAP não encontrado"))</f>
        <v>0322 - ESTRUTURAS, HOSPITAIS, CLÍNICAS</v>
      </c>
      <c r="AJ670" s="12" t="str">
        <f>IF(AH670="","",IFERROR(_xlfn.XLOOKUP(RIGHT("0000"&amp;AH670,4),CODEBOOK_CAP!$C$2:$C$212,CODEBOOK_CAP!$E$2:$E$212),"Código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70" s="22" t="s">
        <v>79</v>
      </c>
      <c r="AL670" s="26" t="s">
        <v>3699</v>
      </c>
      <c r="AM670" s="22" t="s">
        <v>79</v>
      </c>
      <c r="AN670" s="22" t="s">
        <v>79</v>
      </c>
      <c r="AO670" s="12" t="s">
        <v>3700</v>
      </c>
      <c r="AP670" s="22" t="s">
        <v>77</v>
      </c>
      <c r="AQ670" s="12"/>
      <c r="AR670" s="22" t="s">
        <v>77</v>
      </c>
      <c r="AS670" s="10"/>
      <c r="AT670" s="2" t="s">
        <v>1814</v>
      </c>
      <c r="AU670" s="12" t="s">
        <v>83</v>
      </c>
      <c r="AV670" s="3" t="n">
        <v>46224</v>
      </c>
      <c r="AW670" s="21"/>
      <c r="AY670" s="1"/>
      <c r="BA670" s="1"/>
      <c r="BB670" s="1"/>
    </row>
    <row r="671" ht="120" customHeight="1">
      <c r="A671" s="20" t="s">
        <v>3701</v>
      </c>
      <c r="B671" s="20" t="n">
        <v>2023</v>
      </c>
      <c r="C671" s="20" t="n">
        <v>57</v>
      </c>
      <c r="D671" s="20" t="s">
        <v>50</v>
      </c>
      <c r="E671" s="20" t="s">
        <v>3655</v>
      </c>
      <c r="F671" s="20" t="s">
        <v>3702</v>
      </c>
      <c r="G671" s="20" t="s">
        <v>86</v>
      </c>
      <c r="H671" s="20" t="s">
        <v>3657</v>
      </c>
      <c r="I671" s="20"/>
      <c r="J671" s="20" t="s">
        <v>3703</v>
      </c>
      <c r="K671" s="20" t="s">
        <v>853</v>
      </c>
      <c r="L671" s="20" t="s">
        <v>57</v>
      </c>
      <c r="M671" s="20" t="s">
        <v>58</v>
      </c>
      <c r="N671" s="20" t="s">
        <v>59</v>
      </c>
      <c r="O671" s="20" t="s">
        <v>60</v>
      </c>
      <c r="P671" s="20" t="s">
        <v>227</v>
      </c>
      <c r="Q671" s="20" t="s">
        <v>228</v>
      </c>
      <c r="R671" s="20" t="s">
        <v>229</v>
      </c>
      <c r="S671" s="20" t="s">
        <v>230</v>
      </c>
      <c r="T671" s="20" t="s">
        <v>231</v>
      </c>
      <c r="U671" s="20" t="s">
        <v>230</v>
      </c>
      <c r="V671" s="20" t="s">
        <v>854</v>
      </c>
      <c r="W671" s="20" t="s">
        <v>96</v>
      </c>
      <c r="X671" s="20" t="s">
        <v>97</v>
      </c>
      <c r="Y671" s="20" t="s">
        <v>70</v>
      </c>
      <c r="Z671" s="20" t="s">
        <v>98</v>
      </c>
      <c r="AA671" s="20" t="s">
        <v>125</v>
      </c>
      <c r="AB671" s="20" t="s">
        <v>3704</v>
      </c>
      <c r="AC671" s="20" t="s">
        <v>3704</v>
      </c>
      <c r="AD671" s="20" t="s">
        <v>3704</v>
      </c>
      <c r="AE671" s="20"/>
      <c r="AF671" s="9" t="n">
        <v>1</v>
      </c>
      <c r="AG671" s="12" t="n">
        <v>1</v>
      </c>
      <c r="AH671" s="22" t="s">
        <v>235</v>
      </c>
      <c r="AI671" s="12" t="str">
        <f>IF(AH671="","",IFERROR(RIGHT("0000"&amp;AH671,4)&amp;" - "&amp;UPPER(_xlfn.XLOOKUP(RIGHT("0000"&amp;AH671,4),CODEBOOK_CAP!$C$2:$C$212,CODEBOOK_CAP!$D$2:$D$212)),"Código CAP não encontrado"))</f>
        <v>0322 - ESTRUTURAS, HOSPITAIS, CLÍNICAS</v>
      </c>
      <c r="AJ671" s="12" t="str">
        <f>IF(AH671="","",IFERROR(_xlfn.XLOOKUP(RIGHT("0000"&amp;AH671,4),CODEBOOK_CAP!$C$2:$C$212,CODEBOOK_CAP!$E$2:$E$212),"Código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71" s="22" t="s">
        <v>79</v>
      </c>
      <c r="AL671" s="26" t="s">
        <v>3705</v>
      </c>
      <c r="AM671" s="22" t="s">
        <v>79</v>
      </c>
      <c r="AN671" s="22" t="s">
        <v>79</v>
      </c>
      <c r="AO671" s="12" t="s">
        <v>3706</v>
      </c>
      <c r="AP671" s="22" t="s">
        <v>77</v>
      </c>
      <c r="AQ671" s="12"/>
      <c r="AR671" s="22" t="s">
        <v>77</v>
      </c>
      <c r="AS671" s="10"/>
      <c r="AT671" s="2" t="s">
        <v>1814</v>
      </c>
      <c r="AU671" s="12" t="s">
        <v>83</v>
      </c>
      <c r="AV671" s="3" t="n">
        <v>46224</v>
      </c>
      <c r="AW671" s="21"/>
      <c r="AY671" s="1"/>
      <c r="BA671" s="1"/>
      <c r="BB671" s="1"/>
    </row>
    <row r="672" ht="120" customHeight="1">
      <c r="A672" s="20" t="s">
        <v>3707</v>
      </c>
      <c r="B672" s="20" t="n">
        <v>2023</v>
      </c>
      <c r="C672" s="20" t="n">
        <v>58</v>
      </c>
      <c r="D672" s="20" t="s">
        <v>50</v>
      </c>
      <c r="E672" s="20" t="s">
        <v>3655</v>
      </c>
      <c r="F672" s="20" t="s">
        <v>3708</v>
      </c>
      <c r="G672" s="20" t="s">
        <v>86</v>
      </c>
      <c r="H672" s="20" t="s">
        <v>3657</v>
      </c>
      <c r="I672" s="20"/>
      <c r="J672" s="20" t="s">
        <v>3709</v>
      </c>
      <c r="K672" s="20" t="s">
        <v>226</v>
      </c>
      <c r="L672" s="20" t="s">
        <v>57</v>
      </c>
      <c r="M672" s="20" t="s">
        <v>58</v>
      </c>
      <c r="N672" s="20" t="s">
        <v>59</v>
      </c>
      <c r="O672" s="20" t="s">
        <v>60</v>
      </c>
      <c r="P672" s="20" t="s">
        <v>227</v>
      </c>
      <c r="Q672" s="20" t="s">
        <v>228</v>
      </c>
      <c r="R672" s="20" t="s">
        <v>229</v>
      </c>
      <c r="S672" s="20" t="s">
        <v>230</v>
      </c>
      <c r="T672" s="20" t="s">
        <v>231</v>
      </c>
      <c r="U672" s="20" t="s">
        <v>230</v>
      </c>
      <c r="V672" s="20" t="s">
        <v>232</v>
      </c>
      <c r="W672" s="20" t="s">
        <v>96</v>
      </c>
      <c r="X672" s="20" t="s">
        <v>97</v>
      </c>
      <c r="Y672" s="20" t="s">
        <v>70</v>
      </c>
      <c r="Z672" s="20" t="s">
        <v>98</v>
      </c>
      <c r="AA672" s="20" t="s">
        <v>125</v>
      </c>
      <c r="AB672" s="20" t="s">
        <v>125</v>
      </c>
      <c r="AC672" s="20" t="s">
        <v>125</v>
      </c>
      <c r="AD672" s="20" t="s">
        <v>125</v>
      </c>
      <c r="AE672" s="20"/>
      <c r="AF672" s="9" t="n">
        <v>1</v>
      </c>
      <c r="AG672" s="12" t="n">
        <v>1</v>
      </c>
      <c r="AH672" s="22" t="s">
        <v>235</v>
      </c>
      <c r="AI672" s="12" t="str">
        <f>IF(AH672="","",IFERROR(RIGHT("0000"&amp;AH672,4)&amp;" - "&amp;UPPER(_xlfn.XLOOKUP(RIGHT("0000"&amp;AH672,4),CODEBOOK_CAP!$C$2:$C$212,CODEBOOK_CAP!$D$2:$D$212)),"Código CAP não encontrado"))</f>
        <v>0322 - ESTRUTURAS, HOSPITAIS, CLÍNICAS</v>
      </c>
      <c r="AJ672" s="12" t="str">
        <f>IF(AH672="","",IFERROR(_xlfn.XLOOKUP(RIGHT("0000"&amp;AH672,4),CODEBOOK_CAP!$C$2:$C$212,CODEBOOK_CAP!$E$2:$E$212),"Código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72" s="22" t="s">
        <v>79</v>
      </c>
      <c r="AL672" s="26" t="s">
        <v>3710</v>
      </c>
      <c r="AM672" s="22" t="s">
        <v>79</v>
      </c>
      <c r="AN672" s="22" t="s">
        <v>79</v>
      </c>
      <c r="AO672" s="12" t="s">
        <v>3711</v>
      </c>
      <c r="AP672" s="22" t="s">
        <v>77</v>
      </c>
      <c r="AQ672" s="12"/>
      <c r="AR672" s="22" t="s">
        <v>77</v>
      </c>
      <c r="AS672" s="10"/>
      <c r="AT672" s="2" t="s">
        <v>1814</v>
      </c>
      <c r="AU672" s="12" t="s">
        <v>83</v>
      </c>
      <c r="AV672" s="3" t="n">
        <v>46224</v>
      </c>
      <c r="AW672" s="21"/>
      <c r="AY672" s="1"/>
      <c r="BA672" s="1"/>
      <c r="BB672" s="1"/>
    </row>
    <row r="673" ht="120" customHeight="1">
      <c r="A673" s="20" t="s">
        <v>3712</v>
      </c>
      <c r="B673" s="20" t="n">
        <v>2023</v>
      </c>
      <c r="C673" s="20" t="n">
        <v>59</v>
      </c>
      <c r="D673" s="20" t="s">
        <v>50</v>
      </c>
      <c r="E673" s="20" t="s">
        <v>3655</v>
      </c>
      <c r="F673" s="20" t="s">
        <v>3713</v>
      </c>
      <c r="G673" s="20" t="s">
        <v>86</v>
      </c>
      <c r="H673" s="20" t="s">
        <v>3657</v>
      </c>
      <c r="I673" s="20"/>
      <c r="J673" s="20" t="s">
        <v>3714</v>
      </c>
      <c r="K673" s="20" t="s">
        <v>226</v>
      </c>
      <c r="L673" s="20" t="s">
        <v>57</v>
      </c>
      <c r="M673" s="20" t="s">
        <v>58</v>
      </c>
      <c r="N673" s="20" t="s">
        <v>59</v>
      </c>
      <c r="O673" s="20" t="s">
        <v>60</v>
      </c>
      <c r="P673" s="20" t="s">
        <v>227</v>
      </c>
      <c r="Q673" s="20" t="s">
        <v>228</v>
      </c>
      <c r="R673" s="20" t="s">
        <v>229</v>
      </c>
      <c r="S673" s="20" t="s">
        <v>230</v>
      </c>
      <c r="T673" s="20" t="s">
        <v>231</v>
      </c>
      <c r="U673" s="20" t="s">
        <v>230</v>
      </c>
      <c r="V673" s="20" t="s">
        <v>232</v>
      </c>
      <c r="W673" s="20" t="s">
        <v>96</v>
      </c>
      <c r="X673" s="20" t="s">
        <v>97</v>
      </c>
      <c r="Y673" s="20" t="s">
        <v>70</v>
      </c>
      <c r="Z673" s="20" t="s">
        <v>98</v>
      </c>
      <c r="AA673" s="20" t="s">
        <v>1905</v>
      </c>
      <c r="AB673" s="20" t="s">
        <v>1905</v>
      </c>
      <c r="AC673" s="20" t="s">
        <v>1905</v>
      </c>
      <c r="AD673" s="20" t="s">
        <v>1905</v>
      </c>
      <c r="AE673" s="20"/>
      <c r="AF673" s="9" t="n">
        <v>1</v>
      </c>
      <c r="AG673" s="12" t="n">
        <v>1</v>
      </c>
      <c r="AH673" s="22" t="s">
        <v>235</v>
      </c>
      <c r="AI673" s="12" t="str">
        <f>IF(AH673="","",IFERROR(RIGHT("0000"&amp;AH673,4)&amp;" - "&amp;UPPER(_xlfn.XLOOKUP(RIGHT("0000"&amp;AH673,4),CODEBOOK_CAP!$C$2:$C$212,CODEBOOK_CAP!$D$2:$D$212)),"Código CAP não encontrado"))</f>
        <v>0322 - ESTRUTURAS, HOSPITAIS, CLÍNICAS</v>
      </c>
      <c r="AJ673" s="12" t="str">
        <f>IF(AH673="","",IFERROR(_xlfn.XLOOKUP(RIGHT("0000"&amp;AH673,4),CODEBOOK_CAP!$C$2:$C$212,CODEBOOK_CAP!$E$2:$E$212),"Código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73" s="22" t="s">
        <v>79</v>
      </c>
      <c r="AL673" s="26" t="s">
        <v>3715</v>
      </c>
      <c r="AM673" s="22" t="s">
        <v>79</v>
      </c>
      <c r="AN673" s="22" t="s">
        <v>79</v>
      </c>
      <c r="AO673" s="12" t="s">
        <v>3716</v>
      </c>
      <c r="AP673" s="22" t="s">
        <v>77</v>
      </c>
      <c r="AQ673" s="12"/>
      <c r="AR673" s="22" t="s">
        <v>77</v>
      </c>
      <c r="AS673" s="10"/>
      <c r="AT673" s="2" t="s">
        <v>1814</v>
      </c>
      <c r="AU673" s="12" t="s">
        <v>83</v>
      </c>
      <c r="AV673" s="3" t="n">
        <v>46224</v>
      </c>
      <c r="AW673" s="21"/>
      <c r="AY673" s="1"/>
      <c r="BA673" s="1"/>
      <c r="BB673" s="1"/>
    </row>
    <row r="674" ht="120" customHeight="1">
      <c r="A674" s="20" t="s">
        <v>3717</v>
      </c>
      <c r="B674" s="20" t="n">
        <v>2023</v>
      </c>
      <c r="C674" s="20" t="n">
        <v>60</v>
      </c>
      <c r="D674" s="20" t="s">
        <v>50</v>
      </c>
      <c r="E674" s="20" t="s">
        <v>3655</v>
      </c>
      <c r="F674" s="20" t="s">
        <v>3718</v>
      </c>
      <c r="G674" s="20" t="s">
        <v>86</v>
      </c>
      <c r="H674" s="20" t="s">
        <v>3657</v>
      </c>
      <c r="I674" s="20"/>
      <c r="J674" s="20" t="s">
        <v>3719</v>
      </c>
      <c r="K674" s="20" t="s">
        <v>865</v>
      </c>
      <c r="L674" s="20" t="s">
        <v>57</v>
      </c>
      <c r="M674" s="20" t="s">
        <v>58</v>
      </c>
      <c r="N674" s="20" t="s">
        <v>59</v>
      </c>
      <c r="O674" s="20" t="s">
        <v>60</v>
      </c>
      <c r="P674" s="20" t="s">
        <v>227</v>
      </c>
      <c r="Q674" s="20" t="s">
        <v>228</v>
      </c>
      <c r="R674" s="20" t="s">
        <v>229</v>
      </c>
      <c r="S674" s="20" t="s">
        <v>230</v>
      </c>
      <c r="T674" s="20" t="s">
        <v>866</v>
      </c>
      <c r="U674" s="20" t="s">
        <v>867</v>
      </c>
      <c r="V674" s="20" t="s">
        <v>868</v>
      </c>
      <c r="W674" s="20" t="s">
        <v>96</v>
      </c>
      <c r="X674" s="20" t="s">
        <v>97</v>
      </c>
      <c r="Y674" s="20" t="s">
        <v>70</v>
      </c>
      <c r="Z674" s="20" t="s">
        <v>98</v>
      </c>
      <c r="AA674" s="20" t="s">
        <v>409</v>
      </c>
      <c r="AB674" s="20" t="s">
        <v>1237</v>
      </c>
      <c r="AC674" s="20" t="s">
        <v>1237</v>
      </c>
      <c r="AD674" s="20" t="s">
        <v>1237</v>
      </c>
      <c r="AE674" s="20"/>
      <c r="AF674" s="9" t="n">
        <v>1</v>
      </c>
      <c r="AG674" s="12" t="n">
        <v>1</v>
      </c>
      <c r="AH674" s="22" t="s">
        <v>235</v>
      </c>
      <c r="AI674" s="12" t="str">
        <f>IF(AH674="","",IFERROR(RIGHT("0000"&amp;AH674,4)&amp;" - "&amp;UPPER(_xlfn.XLOOKUP(RIGHT("0000"&amp;AH674,4),CODEBOOK_CAP!$C$2:$C$212,CODEBOOK_CAP!$D$2:$D$212)),"Código CAP não encontrado"))</f>
        <v>0322 - ESTRUTURAS, HOSPITAIS, CLÍNICAS</v>
      </c>
      <c r="AJ674" s="12" t="str">
        <f>IF(AH674="","",IFERROR(_xlfn.XLOOKUP(RIGHT("0000"&amp;AH674,4),CODEBOOK_CAP!$C$2:$C$212,CODEBOOK_CAP!$E$2:$E$212),"Código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74" s="22" t="s">
        <v>79</v>
      </c>
      <c r="AL674" s="26" t="s">
        <v>3720</v>
      </c>
      <c r="AM674" s="22" t="s">
        <v>79</v>
      </c>
      <c r="AN674" s="22" t="s">
        <v>79</v>
      </c>
      <c r="AO674" s="12" t="s">
        <v>3721</v>
      </c>
      <c r="AP674" s="22" t="s">
        <v>77</v>
      </c>
      <c r="AQ674" s="12"/>
      <c r="AR674" s="22" t="s">
        <v>77</v>
      </c>
      <c r="AS674" s="10"/>
      <c r="AT674" s="2" t="s">
        <v>1814</v>
      </c>
      <c r="AU674" s="12" t="s">
        <v>83</v>
      </c>
      <c r="AV674" s="3" t="n">
        <v>46224</v>
      </c>
      <c r="AW674" s="21"/>
      <c r="AY674" s="1"/>
      <c r="BA674" s="1"/>
      <c r="BB674" s="1"/>
    </row>
    <row r="675" ht="210" customHeight="1">
      <c r="A675" s="20" t="s">
        <v>3722</v>
      </c>
      <c r="B675" s="20" t="n">
        <v>2023</v>
      </c>
      <c r="C675" s="20" t="n">
        <v>61</v>
      </c>
      <c r="D675" s="20" t="s">
        <v>50</v>
      </c>
      <c r="E675" s="20" t="s">
        <v>3655</v>
      </c>
      <c r="F675" s="20" t="s">
        <v>3723</v>
      </c>
      <c r="G675" s="20" t="s">
        <v>86</v>
      </c>
      <c r="H675" s="20" t="s">
        <v>3657</v>
      </c>
      <c r="I675" s="20"/>
      <c r="J675" s="20" t="s">
        <v>3724</v>
      </c>
      <c r="K675" s="20" t="s">
        <v>3725</v>
      </c>
      <c r="L675" s="20" t="s">
        <v>785</v>
      </c>
      <c r="M675" s="20" t="s">
        <v>786</v>
      </c>
      <c r="N675" s="20" t="s">
        <v>787</v>
      </c>
      <c r="O675" s="20" t="s">
        <v>788</v>
      </c>
      <c r="P675" s="20" t="s">
        <v>517</v>
      </c>
      <c r="Q675" s="20" t="s">
        <v>893</v>
      </c>
      <c r="R675" s="20" t="s">
        <v>894</v>
      </c>
      <c r="S675" s="20" t="s">
        <v>895</v>
      </c>
      <c r="T675" s="20" t="s">
        <v>896</v>
      </c>
      <c r="U675" s="20" t="s">
        <v>897</v>
      </c>
      <c r="V675" s="20" t="s">
        <v>854</v>
      </c>
      <c r="W675" s="20" t="s">
        <v>96</v>
      </c>
      <c r="X675" s="20" t="s">
        <v>97</v>
      </c>
      <c r="Y675" s="20" t="s">
        <v>70</v>
      </c>
      <c r="Z675" s="20" t="s">
        <v>794</v>
      </c>
      <c r="AA675" s="20" t="s">
        <v>3726</v>
      </c>
      <c r="AB675" s="20" t="s">
        <v>3727</v>
      </c>
      <c r="AC675" s="20" t="s">
        <v>3727</v>
      </c>
      <c r="AD675" s="20" t="s">
        <v>3727</v>
      </c>
      <c r="AE675" s="20"/>
      <c r="AF675" s="9" t="n">
        <v>0</v>
      </c>
      <c r="AG675" s="12" t="n">
        <v>0</v>
      </c>
      <c r="AH675" s="22" t="s">
        <v>899</v>
      </c>
      <c r="AI675" s="12" t="str">
        <f>IF(AH675="","",IFERROR(RIGHT("0000"&amp;AH675,4)&amp;" - "&amp;UPPER(_xlfn.XLOOKUP(RIGHT("0000"&amp;AH675,4),CODEBOOK_CAP!$C$2:$C$212,CODEBOOK_CAP!$D$2:$D$212)),"Código CAP não encontrado"))</f>
        <v>0602 - ENSINO BÁSICO, FUNDAMENTAL E MÉDIO</v>
      </c>
      <c r="AJ675" s="12" t="str">
        <f>IF(AH675="","",IFERROR(_xlfn.XLOOKUP(RIGHT("0000"&amp;AH675,4),CODEBOOK_CAP!$C$2:$C$212,CODEBOOK_CAP!$E$2:$E$212),"Código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675" s="22" t="s">
        <v>79</v>
      </c>
      <c r="AL675" s="26" t="s">
        <v>3728</v>
      </c>
      <c r="AM675" s="22" t="s">
        <v>79</v>
      </c>
      <c r="AN675" s="22" t="s">
        <v>79</v>
      </c>
      <c r="AO675" s="12" t="s">
        <v>3729</v>
      </c>
      <c r="AP675" s="22" t="s">
        <v>79</v>
      </c>
      <c r="AQ675" s="12" t="s">
        <v>901</v>
      </c>
      <c r="AR675" s="22" t="s">
        <v>77</v>
      </c>
      <c r="AS675" s="10"/>
      <c r="AT675" s="2" t="s">
        <v>1814</v>
      </c>
      <c r="AU675" s="12" t="s">
        <v>83</v>
      </c>
      <c r="AV675" s="3" t="n">
        <v>46224</v>
      </c>
      <c r="AW675" s="21"/>
      <c r="AY675" s="1"/>
      <c r="BA675" s="1"/>
      <c r="BB675" s="1"/>
    </row>
    <row r="676" ht="120" customHeight="1">
      <c r="A676" s="20" t="s">
        <v>3730</v>
      </c>
      <c r="B676" s="20" t="n">
        <v>2023</v>
      </c>
      <c r="C676" s="20" t="n">
        <v>62</v>
      </c>
      <c r="D676" s="20" t="s">
        <v>50</v>
      </c>
      <c r="E676" s="20" t="s">
        <v>3655</v>
      </c>
      <c r="F676" s="20" t="s">
        <v>3731</v>
      </c>
      <c r="G676" s="20" t="s">
        <v>86</v>
      </c>
      <c r="H676" s="20" t="s">
        <v>3657</v>
      </c>
      <c r="I676" s="20"/>
      <c r="J676" s="20" t="s">
        <v>3732</v>
      </c>
      <c r="K676" s="20" t="s">
        <v>3733</v>
      </c>
      <c r="L676" s="20" t="s">
        <v>785</v>
      </c>
      <c r="M676" s="20" t="s">
        <v>786</v>
      </c>
      <c r="N676" s="20" t="s">
        <v>787</v>
      </c>
      <c r="O676" s="20" t="s">
        <v>788</v>
      </c>
      <c r="P676" s="20" t="s">
        <v>517</v>
      </c>
      <c r="Q676" s="20" t="s">
        <v>893</v>
      </c>
      <c r="R676" s="20" t="s">
        <v>894</v>
      </c>
      <c r="S676" s="20" t="s">
        <v>895</v>
      </c>
      <c r="T676" s="20" t="s">
        <v>792</v>
      </c>
      <c r="U676" s="20" t="s">
        <v>793</v>
      </c>
      <c r="V676" s="20" t="s">
        <v>1152</v>
      </c>
      <c r="W676" s="20" t="s">
        <v>68</v>
      </c>
      <c r="X676" s="20" t="s">
        <v>69</v>
      </c>
      <c r="Y676" s="20" t="s">
        <v>70</v>
      </c>
      <c r="Z676" s="20" t="s">
        <v>794</v>
      </c>
      <c r="AA676" s="20" t="s">
        <v>125</v>
      </c>
      <c r="AB676" s="20" t="s">
        <v>125</v>
      </c>
      <c r="AC676" s="20" t="s">
        <v>409</v>
      </c>
      <c r="AD676" s="20" t="s">
        <v>125</v>
      </c>
      <c r="AE676" s="20"/>
      <c r="AF676" s="9" t="n">
        <v>0</v>
      </c>
      <c r="AG676" s="12" t="n">
        <v>0</v>
      </c>
      <c r="AH676" s="22" t="s">
        <v>1333</v>
      </c>
      <c r="AI676" s="12" t="str">
        <f>IF(AH676="","",IFERROR(RIGHT("0000"&amp;AH676,4)&amp;" - "&amp;UPPER(_xlfn.XLOOKUP(RIGHT("0000"&amp;AH676,4),CODEBOOK_CAP!$C$2:$C$212,CODEBOOK_CAP!$D$2:$D$212)),"Código CAP não encontrado"))</f>
        <v>0607 - PROMOCAO DA QUALIDADE, ESTRUTURA E AÇÕES</v>
      </c>
      <c r="AJ676" s="12" t="str">
        <f>IF(AH676="","",IFERROR(_xlfn.XLOOKUP(RIGHT("0000"&amp;AH676,4),CODEBOOK_CAP!$C$2:$C$212,CODEBOOK_CAP!$E$2:$E$212),"Código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76" s="22" t="s">
        <v>79</v>
      </c>
      <c r="AL676" s="26" t="s">
        <v>3734</v>
      </c>
      <c r="AM676" s="22" t="s">
        <v>79</v>
      </c>
      <c r="AN676" s="22" t="s">
        <v>79</v>
      </c>
      <c r="AO676" s="12" t="s">
        <v>3729</v>
      </c>
      <c r="AP676" s="22" t="s">
        <v>79</v>
      </c>
      <c r="AQ676" s="12" t="s">
        <v>901</v>
      </c>
      <c r="AR676" s="22" t="s">
        <v>77</v>
      </c>
      <c r="AS676" s="10"/>
      <c r="AT676" s="2" t="s">
        <v>1814</v>
      </c>
      <c r="AU676" s="12" t="s">
        <v>83</v>
      </c>
      <c r="AV676" s="3" t="n">
        <v>46224</v>
      </c>
      <c r="AW676" s="21"/>
      <c r="AY676" s="1"/>
      <c r="BA676" s="1"/>
      <c r="BB676" s="1"/>
    </row>
    <row r="677" ht="120" customHeight="1">
      <c r="A677" s="20" t="s">
        <v>3735</v>
      </c>
      <c r="B677" s="20" t="n">
        <v>2023</v>
      </c>
      <c r="C677" s="20" t="n">
        <v>63</v>
      </c>
      <c r="D677" s="20" t="s">
        <v>50</v>
      </c>
      <c r="E677" s="20" t="s">
        <v>3655</v>
      </c>
      <c r="F677" s="20" t="s">
        <v>3736</v>
      </c>
      <c r="G677" s="20" t="s">
        <v>86</v>
      </c>
      <c r="H677" s="20" t="s">
        <v>3657</v>
      </c>
      <c r="I677" s="20"/>
      <c r="J677" s="20" t="s">
        <v>3737</v>
      </c>
      <c r="K677" s="20" t="s">
        <v>3733</v>
      </c>
      <c r="L677" s="20" t="s">
        <v>785</v>
      </c>
      <c r="M677" s="20" t="s">
        <v>786</v>
      </c>
      <c r="N677" s="20" t="s">
        <v>787</v>
      </c>
      <c r="O677" s="20" t="s">
        <v>788</v>
      </c>
      <c r="P677" s="20" t="s">
        <v>517</v>
      </c>
      <c r="Q677" s="20" t="s">
        <v>893</v>
      </c>
      <c r="R677" s="20" t="s">
        <v>894</v>
      </c>
      <c r="S677" s="20" t="s">
        <v>895</v>
      </c>
      <c r="T677" s="20" t="s">
        <v>792</v>
      </c>
      <c r="U677" s="20" t="s">
        <v>793</v>
      </c>
      <c r="V677" s="20" t="s">
        <v>1152</v>
      </c>
      <c r="W677" s="20" t="s">
        <v>68</v>
      </c>
      <c r="X677" s="20" t="s">
        <v>69</v>
      </c>
      <c r="Y677" s="20" t="s">
        <v>70</v>
      </c>
      <c r="Z677" s="20" t="s">
        <v>794</v>
      </c>
      <c r="AA677" s="20" t="s">
        <v>125</v>
      </c>
      <c r="AB677" s="20" t="s">
        <v>125</v>
      </c>
      <c r="AC677" s="20" t="s">
        <v>125</v>
      </c>
      <c r="AD677" s="20" t="s">
        <v>125</v>
      </c>
      <c r="AE677" s="20"/>
      <c r="AF677" s="9" t="n">
        <v>0</v>
      </c>
      <c r="AG677" s="12" t="n">
        <v>0</v>
      </c>
      <c r="AH677" s="22" t="s">
        <v>1333</v>
      </c>
      <c r="AI677" s="12" t="str">
        <f>IF(AH677="","",IFERROR(RIGHT("0000"&amp;AH677,4)&amp;" - "&amp;UPPER(_xlfn.XLOOKUP(RIGHT("0000"&amp;AH677,4),CODEBOOK_CAP!$C$2:$C$212,CODEBOOK_CAP!$D$2:$D$212)),"Código CAP não encontrado"))</f>
        <v>0607 - PROMOCAO DA QUALIDADE, ESTRUTURA E AÇÕES</v>
      </c>
      <c r="AJ677" s="12" t="str">
        <f>IF(AH677="","",IFERROR(_xlfn.XLOOKUP(RIGHT("0000"&amp;AH677,4),CODEBOOK_CAP!$C$2:$C$212,CODEBOOK_CAP!$E$2:$E$212),"Código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77" s="22" t="s">
        <v>79</v>
      </c>
      <c r="AL677" s="26" t="s">
        <v>3738</v>
      </c>
      <c r="AM677" s="22" t="s">
        <v>79</v>
      </c>
      <c r="AN677" s="22" t="s">
        <v>79</v>
      </c>
      <c r="AO677" s="12" t="s">
        <v>3739</v>
      </c>
      <c r="AP677" s="22" t="s">
        <v>79</v>
      </c>
      <c r="AQ677" s="12" t="s">
        <v>901</v>
      </c>
      <c r="AR677" s="22" t="s">
        <v>77</v>
      </c>
      <c r="AS677" s="10"/>
      <c r="AT677" s="2" t="s">
        <v>1814</v>
      </c>
      <c r="AU677" s="12" t="s">
        <v>83</v>
      </c>
      <c r="AV677" s="3" t="n">
        <v>46224</v>
      </c>
      <c r="AW677" s="21"/>
      <c r="AY677" s="1"/>
      <c r="BA677" s="1"/>
      <c r="BB677" s="1"/>
    </row>
    <row r="678" ht="120" customHeight="1">
      <c r="A678" s="20" t="s">
        <v>3740</v>
      </c>
      <c r="B678" s="20" t="n">
        <v>2023</v>
      </c>
      <c r="C678" s="20" t="n">
        <v>64</v>
      </c>
      <c r="D678" s="20" t="s">
        <v>50</v>
      </c>
      <c r="E678" s="20" t="s">
        <v>3655</v>
      </c>
      <c r="F678" s="20" t="s">
        <v>3741</v>
      </c>
      <c r="G678" s="20" t="s">
        <v>86</v>
      </c>
      <c r="H678" s="20" t="s">
        <v>3657</v>
      </c>
      <c r="I678" s="20"/>
      <c r="J678" s="20" t="s">
        <v>3742</v>
      </c>
      <c r="K678" s="20" t="s">
        <v>3733</v>
      </c>
      <c r="L678" s="20" t="s">
        <v>785</v>
      </c>
      <c r="M678" s="20" t="s">
        <v>786</v>
      </c>
      <c r="N678" s="20" t="s">
        <v>787</v>
      </c>
      <c r="O678" s="20" t="s">
        <v>788</v>
      </c>
      <c r="P678" s="20" t="s">
        <v>517</v>
      </c>
      <c r="Q678" s="20" t="s">
        <v>893</v>
      </c>
      <c r="R678" s="20" t="s">
        <v>894</v>
      </c>
      <c r="S678" s="20" t="s">
        <v>895</v>
      </c>
      <c r="T678" s="20" t="s">
        <v>792</v>
      </c>
      <c r="U678" s="20" t="s">
        <v>793</v>
      </c>
      <c r="V678" s="20" t="s">
        <v>1152</v>
      </c>
      <c r="W678" s="20" t="s">
        <v>68</v>
      </c>
      <c r="X678" s="20" t="s">
        <v>69</v>
      </c>
      <c r="Y678" s="20" t="s">
        <v>70</v>
      </c>
      <c r="Z678" s="20" t="s">
        <v>794</v>
      </c>
      <c r="AA678" s="20" t="s">
        <v>125</v>
      </c>
      <c r="AB678" s="20" t="s">
        <v>125</v>
      </c>
      <c r="AC678" s="20" t="s">
        <v>409</v>
      </c>
      <c r="AD678" s="20" t="s">
        <v>125</v>
      </c>
      <c r="AE678" s="20"/>
      <c r="AF678" s="9" t="n">
        <v>0</v>
      </c>
      <c r="AG678" s="12" t="n">
        <v>0</v>
      </c>
      <c r="AH678" s="22" t="s">
        <v>1333</v>
      </c>
      <c r="AI678" s="12" t="str">
        <f>IF(AH678="","",IFERROR(RIGHT("0000"&amp;AH678,4)&amp;" - "&amp;UPPER(_xlfn.XLOOKUP(RIGHT("0000"&amp;AH678,4),CODEBOOK_CAP!$C$2:$C$212,CODEBOOK_CAP!$D$2:$D$212)),"Código CAP não encontrado"))</f>
        <v>0607 - PROMOCAO DA QUALIDADE, ESTRUTURA E AÇÕES</v>
      </c>
      <c r="AJ678" s="12" t="str">
        <f>IF(AH678="","",IFERROR(_xlfn.XLOOKUP(RIGHT("0000"&amp;AH678,4),CODEBOOK_CAP!$C$2:$C$212,CODEBOOK_CAP!$E$2:$E$212),"Código CAP não encontrado"))</f>
        <v>Atividades extra-curriculares de promoção da educação, ações em disciplinas específicos, como reforço em matemática, visitas escolares, renovação de edifícios, construção de bibliotecas, bibliotecas públicas e populares, campanhas de doação de livros, campanha de leitura, aquisição de livros e material pedagógico, ensino de informática extra curricular, idiomas, Ingles sem fronteiras. Construcao e reforma em escolas, creches.</v>
      </c>
      <c r="AK678" s="22" t="s">
        <v>79</v>
      </c>
      <c r="AL678" s="26" t="s">
        <v>3743</v>
      </c>
      <c r="AM678" s="22" t="s">
        <v>79</v>
      </c>
      <c r="AN678" s="22" t="s">
        <v>79</v>
      </c>
      <c r="AO678" s="12" t="s">
        <v>3744</v>
      </c>
      <c r="AP678" s="22" t="s">
        <v>79</v>
      </c>
      <c r="AQ678" s="12" t="s">
        <v>901</v>
      </c>
      <c r="AR678" s="22" t="s">
        <v>77</v>
      </c>
      <c r="AS678" s="10"/>
      <c r="AT678" s="2" t="s">
        <v>1814</v>
      </c>
      <c r="AU678" s="12" t="s">
        <v>83</v>
      </c>
      <c r="AV678" s="3" t="n">
        <v>46224</v>
      </c>
      <c r="AW678" s="21"/>
      <c r="AY678" s="1"/>
      <c r="BA678" s="1"/>
      <c r="BB678" s="1"/>
    </row>
    <row r="679" ht="195" customHeight="1">
      <c r="A679" s="20" t="s">
        <v>3745</v>
      </c>
      <c r="B679" s="20" t="n">
        <v>2023</v>
      </c>
      <c r="C679" s="20" t="n">
        <v>65</v>
      </c>
      <c r="D679" s="20" t="s">
        <v>50</v>
      </c>
      <c r="E679" s="20" t="s">
        <v>3655</v>
      </c>
      <c r="F679" s="20" t="s">
        <v>3746</v>
      </c>
      <c r="G679" s="20" t="s">
        <v>86</v>
      </c>
      <c r="H679" s="20" t="s">
        <v>3657</v>
      </c>
      <c r="I679" s="20"/>
      <c r="J679" s="20" t="s">
        <v>3747</v>
      </c>
      <c r="K679" s="20" t="s">
        <v>289</v>
      </c>
      <c r="L679" s="20" t="s">
        <v>208</v>
      </c>
      <c r="M679" s="20" t="s">
        <v>209</v>
      </c>
      <c r="N679" s="20" t="s">
        <v>210</v>
      </c>
      <c r="O679" s="20" t="s">
        <v>211</v>
      </c>
      <c r="P679" s="20" t="s">
        <v>212</v>
      </c>
      <c r="Q679" s="20" t="s">
        <v>213</v>
      </c>
      <c r="R679" s="20" t="s">
        <v>251</v>
      </c>
      <c r="S679" s="20" t="s">
        <v>252</v>
      </c>
      <c r="T679" s="20" t="s">
        <v>290</v>
      </c>
      <c r="U679" s="20" t="s">
        <v>291</v>
      </c>
      <c r="V679" s="20" t="s">
        <v>67</v>
      </c>
      <c r="W679" s="20" t="s">
        <v>68</v>
      </c>
      <c r="X679" s="20" t="s">
        <v>69</v>
      </c>
      <c r="Y679" s="20" t="s">
        <v>70</v>
      </c>
      <c r="Z679" s="20" t="s">
        <v>177</v>
      </c>
      <c r="AA679" s="20" t="s">
        <v>125</v>
      </c>
      <c r="AB679" s="20" t="s">
        <v>3748</v>
      </c>
      <c r="AC679" s="20" t="s">
        <v>3748</v>
      </c>
      <c r="AD679" s="20" t="s">
        <v>3748</v>
      </c>
      <c r="AE679" s="20"/>
      <c r="AF679" s="9" t="n">
        <v>0</v>
      </c>
      <c r="AG679" s="12" t="n">
        <v>0</v>
      </c>
      <c r="AH679" s="22" t="s">
        <v>294</v>
      </c>
      <c r="AI679" s="12" t="str">
        <f>IF(AH679="","",IFERROR(RIGHT("0000"&amp;AH679,4)&amp;" - "&amp;UPPER(_xlfn.XLOOKUP(RIGHT("0000"&amp;AH679,4),CODEBOOK_CAP!$C$2:$C$212,CODEBOOK_CAP!$D$2:$D$212)),"Código CAP não encontrado"))</f>
        <v>0711 - CONSERVAÇÃO DO SOLO, MAR, RIOS, PRAIAS E COSTAS</v>
      </c>
      <c r="AJ679" s="12" t="str">
        <f>IF(AH679="","",IFERROR(_xlfn.XLOOKUP(RIGHT("0000"&amp;AH679,4),CODEBOOK_CAP!$C$2:$C$212,CODEBOOK_CAP!$E$2:$E$212),"Código CAP não encontrado"))</f>
        <v>Poluição de oceanos, regulamentação de acesso e conservação da costa, ilhas, praias, mangues, e assuntos relacionados ao mar, oceanos e litoral. Erosão de terrenos, morros, promoção da qualidade do solo, conservação de rios, lagos e afluentes, questões vinculadas a enchentes, poluição urbana, margens, encostas de rios, chuvas, temporais, tempestades, terrenos contaminados, rios contamidados e poluidos, fertilizantes. Quando assunto for uso dos recursos naturais usar codigo 21. 2104 para recursos hídricos, 2103 para recursos naturais como minerais. Quando o assunto for tratamento de água potável, distribuição de água potável para residencias, 701.</v>
      </c>
      <c r="AK679" s="22" t="s">
        <v>79</v>
      </c>
      <c r="AL679" s="26" t="s">
        <v>3749</v>
      </c>
      <c r="AM679" s="22" t="s">
        <v>79</v>
      </c>
      <c r="AN679" s="22" t="s">
        <v>79</v>
      </c>
      <c r="AO679" s="12" t="s">
        <v>3749</v>
      </c>
      <c r="AP679" s="22" t="s">
        <v>77</v>
      </c>
      <c r="AQ679" s="12"/>
      <c r="AR679" s="22" t="s">
        <v>77</v>
      </c>
      <c r="AS679" s="10"/>
      <c r="AT679" s="2" t="s">
        <v>1814</v>
      </c>
      <c r="AU679" s="12" t="s">
        <v>83</v>
      </c>
      <c r="AV679" s="3" t="n">
        <v>46224</v>
      </c>
      <c r="AW679" s="21"/>
      <c r="AY679" s="1"/>
      <c r="BA679" s="1"/>
      <c r="BB679" s="1"/>
    </row>
    <row r="680" ht="255" customHeight="1">
      <c r="A680" s="20" t="s">
        <v>3750</v>
      </c>
      <c r="B680" s="20" t="n">
        <v>2023</v>
      </c>
      <c r="C680" s="20" t="n">
        <v>66</v>
      </c>
      <c r="D680" s="20" t="s">
        <v>50</v>
      </c>
      <c r="E680" s="20" t="s">
        <v>3655</v>
      </c>
      <c r="F680" s="20" t="s">
        <v>3751</v>
      </c>
      <c r="G680" s="20" t="s">
        <v>86</v>
      </c>
      <c r="H680" s="20" t="s">
        <v>3657</v>
      </c>
      <c r="I680" s="20"/>
      <c r="J680" s="20" t="s">
        <v>3752</v>
      </c>
      <c r="K680" s="20" t="s">
        <v>207</v>
      </c>
      <c r="L680" s="20" t="s">
        <v>208</v>
      </c>
      <c r="M680" s="20" t="s">
        <v>209</v>
      </c>
      <c r="N680" s="20" t="s">
        <v>210</v>
      </c>
      <c r="O680" s="20" t="s">
        <v>211</v>
      </c>
      <c r="P680" s="20" t="s">
        <v>212</v>
      </c>
      <c r="Q680" s="20" t="s">
        <v>213</v>
      </c>
      <c r="R680" s="20" t="s">
        <v>214</v>
      </c>
      <c r="S680" s="20" t="s">
        <v>215</v>
      </c>
      <c r="T680" s="20" t="s">
        <v>216</v>
      </c>
      <c r="U680" s="20" t="s">
        <v>217</v>
      </c>
      <c r="V680" s="20" t="s">
        <v>67</v>
      </c>
      <c r="W680" s="20" t="s">
        <v>68</v>
      </c>
      <c r="X680" s="20" t="s">
        <v>69</v>
      </c>
      <c r="Y680" s="20" t="s">
        <v>70</v>
      </c>
      <c r="Z680" s="20" t="s">
        <v>177</v>
      </c>
      <c r="AA680" s="20" t="s">
        <v>3753</v>
      </c>
      <c r="AB680" s="20" t="s">
        <v>3754</v>
      </c>
      <c r="AC680" s="20" t="s">
        <v>3754</v>
      </c>
      <c r="AD680" s="20" t="s">
        <v>3754</v>
      </c>
      <c r="AE680" s="20" t="s">
        <v>927</v>
      </c>
      <c r="AF680" s="9" t="n">
        <v>0</v>
      </c>
      <c r="AG680" s="12" t="n">
        <v>0</v>
      </c>
      <c r="AH680" s="22" t="s">
        <v>219</v>
      </c>
      <c r="AI680" s="12" t="str">
        <f>IF(AH680="","",IFERROR(RIGHT("0000"&amp;AH680,4)&amp;" - "&amp;UPPER(_xlfn.XLOOKUP(RIGHT("0000"&amp;AH680,4),CODEBOOK_CAP!$C$2:$C$212,CODEBOOK_CAP!$D$2:$D$212)),"Código CAP não encontrado"))</f>
        <v>1002 - CARROS, TRÂNSITO, CONSTRUÇÃO E MANUTENÇÃO DE RUAS E ESTRADAS</v>
      </c>
      <c r="AJ680" s="12" t="str">
        <f>IF(AH680="","",IFERROR(_xlfn.XLOOKUP(RIGHT("0000"&amp;AH680,4),CODEBOOK_CAP!$C$2:$C$212,CODEBOOK_CAP!$E$2:$E$212),"Código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680" s="22" t="s">
        <v>79</v>
      </c>
      <c r="AL680" s="26" t="s">
        <v>3755</v>
      </c>
      <c r="AM680" s="22" t="s">
        <v>79</v>
      </c>
      <c r="AN680" s="22" t="s">
        <v>79</v>
      </c>
      <c r="AO680" s="12" t="s">
        <v>3755</v>
      </c>
      <c r="AP680" s="22" t="s">
        <v>77</v>
      </c>
      <c r="AQ680" s="12"/>
      <c r="AR680" s="22" t="s">
        <v>79</v>
      </c>
      <c r="AS680" s="10" t="s">
        <v>927</v>
      </c>
      <c r="AT680" s="2" t="s">
        <v>1814</v>
      </c>
      <c r="AU680" s="12" t="s">
        <v>83</v>
      </c>
      <c r="AV680" s="3" t="n">
        <v>46224</v>
      </c>
      <c r="AW680" s="21"/>
      <c r="AY680" s="1"/>
      <c r="BA680" s="1"/>
      <c r="BB680" s="1"/>
    </row>
    <row r="681" ht="30" customHeight="1">
      <c r="A681" s="14" t="s">
        <v>3756</v>
      </c>
      <c r="B681" s="14" t="n">
        <v>2023</v>
      </c>
      <c r="C681" s="14" t="n">
        <v>67</v>
      </c>
      <c r="D681" s="14" t="s">
        <v>50</v>
      </c>
      <c r="E681" s="14" t="s">
        <v>3655</v>
      </c>
      <c r="F681" s="14" t="s">
        <v>3757</v>
      </c>
      <c r="G681" s="14" t="s">
        <v>633</v>
      </c>
      <c r="H681" s="14" t="s">
        <v>3657</v>
      </c>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5"/>
      <c r="AG681" s="15"/>
      <c r="AH681" s="16"/>
      <c r="AI681" s="15" t="str">
        <f>IF(AH681="","",IFERROR(RIGHT("0000"&amp;AH681,4)&amp;" - "&amp;UPPER(_xlfn.XLOOKUP(RIGHT("0000"&amp;AH681,4),CODEBOOK_CAP!$C$2:$C$212,CODEBOOK_CAP!$D$2:$D$212)),"Código CAP não encontrado"))</f>
      </c>
      <c r="AJ681" s="15" t="str">
        <f>IF(AH681="","",IFERROR(_xlfn.XLOOKUP(RIGHT("0000"&amp;AH681,4),CODEBOOK_CAP!$C$2:$C$212,CODEBOOK_CAP!$E$2:$E$212),"Código CAP não encontrado"))</f>
      </c>
      <c r="AK681" s="16"/>
      <c r="AL681" s="17"/>
      <c r="AM681" s="16"/>
      <c r="AN681" s="16"/>
      <c r="AO681" s="15"/>
      <c r="AP681" s="16"/>
      <c r="AQ681" s="15"/>
      <c r="AR681" s="16"/>
      <c r="AS681" s="18"/>
      <c r="AT681" s="2" t="s">
        <v>1814</v>
      </c>
      <c r="AU681" s="12" t="s">
        <v>83</v>
      </c>
      <c r="AV681" s="3" t="n">
        <v>46224</v>
      </c>
    </row>
    <row r="682" ht="210" customHeight="1">
      <c r="A682" s="20" t="s">
        <v>3758</v>
      </c>
      <c r="B682" s="20" t="n">
        <v>2023</v>
      </c>
      <c r="C682" s="20" t="n">
        <v>68</v>
      </c>
      <c r="D682" s="20" t="s">
        <v>50</v>
      </c>
      <c r="E682" s="20" t="s">
        <v>3655</v>
      </c>
      <c r="F682" s="20" t="s">
        <v>3759</v>
      </c>
      <c r="G682" s="20" t="s">
        <v>315</v>
      </c>
      <c r="H682" s="20" t="s">
        <v>3657</v>
      </c>
      <c r="I682" s="20"/>
      <c r="J682" s="20" t="s">
        <v>3760</v>
      </c>
      <c r="K682" s="20" t="s">
        <v>1710</v>
      </c>
      <c r="L682" s="20" t="s">
        <v>274</v>
      </c>
      <c r="M682" s="20" t="s">
        <v>275</v>
      </c>
      <c r="N682" s="20" t="s">
        <v>276</v>
      </c>
      <c r="O682" s="20" t="s">
        <v>277</v>
      </c>
      <c r="P682" s="20" t="s">
        <v>278</v>
      </c>
      <c r="Q682" s="20" t="s">
        <v>279</v>
      </c>
      <c r="R682" s="20" t="s">
        <v>280</v>
      </c>
      <c r="S682" s="20" t="s">
        <v>281</v>
      </c>
      <c r="T682" s="20" t="s">
        <v>752</v>
      </c>
      <c r="U682" s="20" t="s">
        <v>753</v>
      </c>
      <c r="V682" s="20" t="s">
        <v>95</v>
      </c>
      <c r="W682" s="20" t="s">
        <v>96</v>
      </c>
      <c r="X682" s="20" t="s">
        <v>97</v>
      </c>
      <c r="Y682" s="20" t="s">
        <v>70</v>
      </c>
      <c r="Z682" s="20" t="s">
        <v>284</v>
      </c>
      <c r="AA682" s="20" t="s">
        <v>285</v>
      </c>
      <c r="AB682" s="20" t="s">
        <v>285</v>
      </c>
      <c r="AC682" s="20" t="s">
        <v>285</v>
      </c>
      <c r="AD682" s="20" t="s">
        <v>285</v>
      </c>
      <c r="AE682" s="20"/>
      <c r="AF682" s="9" t="n">
        <v>0</v>
      </c>
      <c r="AG682" s="12" t="n">
        <v>0</v>
      </c>
      <c r="AH682" s="22" t="s">
        <v>607</v>
      </c>
      <c r="AI682" s="12" t="str">
        <f>IF(AH682="","",IFERROR(RIGHT("0000"&amp;AH682,4)&amp;" - "&amp;UPPER(_xlfn.XLOOKUP(RIGHT("0000"&amp;AH682,4),CODEBOOK_CAP!$C$2:$C$212,CODEBOOK_CAP!$D$2:$D$212)),"Código CAP não encontrado"))</f>
        <v>1300 - GERAL</v>
      </c>
      <c r="AJ682" s="12" t="str">
        <f>IF(AH682="","",IFERROR(_xlfn.XLOOKUP(RIGHT("0000"&amp;AH682,4),CODEBOOK_CAP!$C$2:$C$212,CODEBOOK_CAP!$E$2:$E$212),"Código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82" s="22" t="s">
        <v>77</v>
      </c>
      <c r="AL682" s="26"/>
      <c r="AM682" s="22" t="s">
        <v>77</v>
      </c>
      <c r="AN682" s="22" t="s">
        <v>77</v>
      </c>
      <c r="AO682" s="12"/>
      <c r="AP682" s="22" t="s">
        <v>77</v>
      </c>
      <c r="AQ682" s="12"/>
      <c r="AR682" s="22" t="s">
        <v>77</v>
      </c>
      <c r="AS682" s="10"/>
      <c r="AT682" s="2" t="s">
        <v>1814</v>
      </c>
      <c r="AU682" s="12" t="s">
        <v>83</v>
      </c>
      <c r="AV682" s="3" t="n">
        <v>46224</v>
      </c>
      <c r="AW682" s="21"/>
      <c r="AY682" s="1"/>
      <c r="BA682" s="1"/>
      <c r="BB682" s="1"/>
    </row>
    <row r="683" ht="120" customHeight="1">
      <c r="A683" s="20" t="s">
        <v>3761</v>
      </c>
      <c r="B683" s="20" t="n">
        <v>2023</v>
      </c>
      <c r="C683" s="20" t="n">
        <v>69</v>
      </c>
      <c r="D683" s="20" t="s">
        <v>50</v>
      </c>
      <c r="E683" s="20" t="s">
        <v>3655</v>
      </c>
      <c r="F683" s="20" t="s">
        <v>3762</v>
      </c>
      <c r="G683" s="20" t="s">
        <v>86</v>
      </c>
      <c r="H683" s="20" t="s">
        <v>3657</v>
      </c>
      <c r="I683" s="20"/>
      <c r="J683" s="20" t="s">
        <v>3763</v>
      </c>
      <c r="K683" s="20" t="s">
        <v>226</v>
      </c>
      <c r="L683" s="20" t="s">
        <v>57</v>
      </c>
      <c r="M683" s="20" t="s">
        <v>58</v>
      </c>
      <c r="N683" s="20" t="s">
        <v>59</v>
      </c>
      <c r="O683" s="20" t="s">
        <v>60</v>
      </c>
      <c r="P683" s="20" t="s">
        <v>227</v>
      </c>
      <c r="Q683" s="20" t="s">
        <v>228</v>
      </c>
      <c r="R683" s="20" t="s">
        <v>229</v>
      </c>
      <c r="S683" s="20" t="s">
        <v>230</v>
      </c>
      <c r="T683" s="20" t="s">
        <v>231</v>
      </c>
      <c r="U683" s="20" t="s">
        <v>230</v>
      </c>
      <c r="V683" s="20" t="s">
        <v>232</v>
      </c>
      <c r="W683" s="20" t="s">
        <v>96</v>
      </c>
      <c r="X683" s="20" t="s">
        <v>97</v>
      </c>
      <c r="Y683" s="20" t="s">
        <v>70</v>
      </c>
      <c r="Z683" s="20" t="s">
        <v>98</v>
      </c>
      <c r="AA683" s="20" t="s">
        <v>125</v>
      </c>
      <c r="AB683" s="20" t="s">
        <v>125</v>
      </c>
      <c r="AC683" s="20" t="s">
        <v>125</v>
      </c>
      <c r="AD683" s="20" t="s">
        <v>125</v>
      </c>
      <c r="AE683" s="20"/>
      <c r="AF683" s="9" t="n">
        <v>1</v>
      </c>
      <c r="AG683" s="12" t="n">
        <v>1</v>
      </c>
      <c r="AH683" s="22" t="s">
        <v>235</v>
      </c>
      <c r="AI683" s="12" t="str">
        <f>IF(AH683="","",IFERROR(RIGHT("0000"&amp;AH683,4)&amp;" - "&amp;UPPER(_xlfn.XLOOKUP(RIGHT("0000"&amp;AH683,4),CODEBOOK_CAP!$C$2:$C$212,CODEBOOK_CAP!$D$2:$D$212)),"Código CAP não encontrado"))</f>
        <v>0322 - ESTRUTURAS, HOSPITAIS, CLÍNICAS</v>
      </c>
      <c r="AJ683" s="12" t="str">
        <f>IF(AH683="","",IFERROR(_xlfn.XLOOKUP(RIGHT("0000"&amp;AH683,4),CODEBOOK_CAP!$C$2:$C$212,CODEBOOK_CAP!$E$2:$E$212),"Código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83" s="22" t="s">
        <v>79</v>
      </c>
      <c r="AL683" s="26" t="s">
        <v>3764</v>
      </c>
      <c r="AM683" s="22" t="s">
        <v>79</v>
      </c>
      <c r="AN683" s="22" t="s">
        <v>79</v>
      </c>
      <c r="AO683" s="12" t="s">
        <v>3765</v>
      </c>
      <c r="AP683" s="22" t="s">
        <v>77</v>
      </c>
      <c r="AQ683" s="12"/>
      <c r="AR683" s="22" t="s">
        <v>77</v>
      </c>
      <c r="AS683" s="10"/>
      <c r="AT683" s="2" t="s">
        <v>1814</v>
      </c>
      <c r="AU683" s="12" t="s">
        <v>83</v>
      </c>
      <c r="AV683" s="3" t="n">
        <v>46224</v>
      </c>
      <c r="AW683" s="21"/>
      <c r="AY683" s="1"/>
      <c r="BA683" s="1"/>
      <c r="BB683" s="1"/>
    </row>
    <row r="684" ht="120" customHeight="1">
      <c r="A684" s="20" t="s">
        <v>3766</v>
      </c>
      <c r="B684" s="20" t="n">
        <v>2023</v>
      </c>
      <c r="C684" s="20" t="n">
        <v>70</v>
      </c>
      <c r="D684" s="20" t="s">
        <v>50</v>
      </c>
      <c r="E684" s="20" t="s">
        <v>3655</v>
      </c>
      <c r="F684" s="20" t="s">
        <v>3767</v>
      </c>
      <c r="G684" s="20" t="s">
        <v>86</v>
      </c>
      <c r="H684" s="20" t="s">
        <v>3657</v>
      </c>
      <c r="I684" s="20"/>
      <c r="J684" s="20" t="s">
        <v>3768</v>
      </c>
      <c r="K684" s="20" t="s">
        <v>853</v>
      </c>
      <c r="L684" s="20" t="s">
        <v>57</v>
      </c>
      <c r="M684" s="20" t="s">
        <v>58</v>
      </c>
      <c r="N684" s="20" t="s">
        <v>59</v>
      </c>
      <c r="O684" s="20" t="s">
        <v>60</v>
      </c>
      <c r="P684" s="20" t="s">
        <v>227</v>
      </c>
      <c r="Q684" s="20" t="s">
        <v>228</v>
      </c>
      <c r="R684" s="20" t="s">
        <v>229</v>
      </c>
      <c r="S684" s="20" t="s">
        <v>230</v>
      </c>
      <c r="T684" s="20" t="s">
        <v>231</v>
      </c>
      <c r="U684" s="20" t="s">
        <v>230</v>
      </c>
      <c r="V684" s="20" t="s">
        <v>854</v>
      </c>
      <c r="W684" s="20" t="s">
        <v>96</v>
      </c>
      <c r="X684" s="20" t="s">
        <v>97</v>
      </c>
      <c r="Y684" s="20" t="s">
        <v>70</v>
      </c>
      <c r="Z684" s="20" t="s">
        <v>98</v>
      </c>
      <c r="AA684" s="20" t="s">
        <v>125</v>
      </c>
      <c r="AB684" s="20" t="s">
        <v>3769</v>
      </c>
      <c r="AC684" s="20" t="s">
        <v>3769</v>
      </c>
      <c r="AD684" s="20" t="s">
        <v>3769</v>
      </c>
      <c r="AE684" s="20"/>
      <c r="AF684" s="9" t="n">
        <v>1</v>
      </c>
      <c r="AG684" s="12" t="n">
        <v>1</v>
      </c>
      <c r="AH684" s="22" t="s">
        <v>235</v>
      </c>
      <c r="AI684" s="12" t="str">
        <f>IF(AH684="","",IFERROR(RIGHT("0000"&amp;AH684,4)&amp;" - "&amp;UPPER(_xlfn.XLOOKUP(RIGHT("0000"&amp;AH684,4),CODEBOOK_CAP!$C$2:$C$212,CODEBOOK_CAP!$D$2:$D$212)),"Código CAP não encontrado"))</f>
        <v>0322 - ESTRUTURAS, HOSPITAIS, CLÍNICAS</v>
      </c>
      <c r="AJ684" s="12" t="str">
        <f>IF(AH684="","",IFERROR(_xlfn.XLOOKUP(RIGHT("0000"&amp;AH684,4),CODEBOOK_CAP!$C$2:$C$212,CODEBOOK_CAP!$E$2:$E$212),"Código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84" s="22" t="s">
        <v>79</v>
      </c>
      <c r="AL684" s="26" t="s">
        <v>3770</v>
      </c>
      <c r="AM684" s="22" t="s">
        <v>79</v>
      </c>
      <c r="AN684" s="22" t="s">
        <v>79</v>
      </c>
      <c r="AO684" s="12" t="s">
        <v>3771</v>
      </c>
      <c r="AP684" s="22" t="s">
        <v>77</v>
      </c>
      <c r="AQ684" s="12"/>
      <c r="AR684" s="22" t="s">
        <v>77</v>
      </c>
      <c r="AS684" s="10"/>
      <c r="AT684" s="2" t="s">
        <v>1814</v>
      </c>
      <c r="AU684" s="12" t="s">
        <v>83</v>
      </c>
      <c r="AV684" s="3" t="n">
        <v>46224</v>
      </c>
      <c r="AW684" s="21"/>
      <c r="AY684" s="1"/>
      <c r="BA684" s="1"/>
      <c r="BB684" s="1"/>
    </row>
    <row r="685" ht="120" customHeight="1">
      <c r="A685" s="20" t="s">
        <v>3772</v>
      </c>
      <c r="B685" s="20" t="n">
        <v>2023</v>
      </c>
      <c r="C685" s="20" t="n">
        <v>71</v>
      </c>
      <c r="D685" s="20" t="s">
        <v>50</v>
      </c>
      <c r="E685" s="20" t="s">
        <v>3655</v>
      </c>
      <c r="F685" s="20" t="s">
        <v>3773</v>
      </c>
      <c r="G685" s="20" t="s">
        <v>86</v>
      </c>
      <c r="H685" s="20" t="s">
        <v>3657</v>
      </c>
      <c r="I685" s="20"/>
      <c r="J685" s="20" t="s">
        <v>3774</v>
      </c>
      <c r="K685" s="20" t="s">
        <v>865</v>
      </c>
      <c r="L685" s="20" t="s">
        <v>57</v>
      </c>
      <c r="M685" s="20" t="s">
        <v>58</v>
      </c>
      <c r="N685" s="20" t="s">
        <v>59</v>
      </c>
      <c r="O685" s="20" t="s">
        <v>60</v>
      </c>
      <c r="P685" s="20" t="s">
        <v>227</v>
      </c>
      <c r="Q685" s="20" t="s">
        <v>228</v>
      </c>
      <c r="R685" s="20" t="s">
        <v>229</v>
      </c>
      <c r="S685" s="20" t="s">
        <v>230</v>
      </c>
      <c r="T685" s="20" t="s">
        <v>866</v>
      </c>
      <c r="U685" s="20" t="s">
        <v>867</v>
      </c>
      <c r="V685" s="20" t="s">
        <v>868</v>
      </c>
      <c r="W685" s="20" t="s">
        <v>96</v>
      </c>
      <c r="X685" s="20" t="s">
        <v>97</v>
      </c>
      <c r="Y685" s="20" t="s">
        <v>70</v>
      </c>
      <c r="Z685" s="20" t="s">
        <v>98</v>
      </c>
      <c r="AA685" s="20" t="s">
        <v>125</v>
      </c>
      <c r="AB685" s="20" t="s">
        <v>125</v>
      </c>
      <c r="AC685" s="20" t="s">
        <v>125</v>
      </c>
      <c r="AD685" s="20" t="s">
        <v>125</v>
      </c>
      <c r="AE685" s="20"/>
      <c r="AF685" s="9" t="n">
        <v>1</v>
      </c>
      <c r="AG685" s="12" t="n">
        <v>1</v>
      </c>
      <c r="AH685" s="22" t="s">
        <v>235</v>
      </c>
      <c r="AI685" s="12" t="str">
        <f>IF(AH685="","",IFERROR(RIGHT("0000"&amp;AH685,4)&amp;" - "&amp;UPPER(_xlfn.XLOOKUP(RIGHT("0000"&amp;AH685,4),CODEBOOK_CAP!$C$2:$C$212,CODEBOOK_CAP!$D$2:$D$212)),"Código CAP não encontrado"))</f>
        <v>0322 - ESTRUTURAS, HOSPITAIS, CLÍNICAS</v>
      </c>
      <c r="AJ685" s="12" t="str">
        <f>IF(AH685="","",IFERROR(_xlfn.XLOOKUP(RIGHT("0000"&amp;AH685,4),CODEBOOK_CAP!$C$2:$C$212,CODEBOOK_CAP!$E$2:$E$212),"Código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85" s="22" t="s">
        <v>79</v>
      </c>
      <c r="AL685" s="26" t="s">
        <v>3775</v>
      </c>
      <c r="AM685" s="22" t="s">
        <v>79</v>
      </c>
      <c r="AN685" s="22" t="s">
        <v>79</v>
      </c>
      <c r="AO685" s="12" t="s">
        <v>3776</v>
      </c>
      <c r="AP685" s="22" t="s">
        <v>77</v>
      </c>
      <c r="AQ685" s="12"/>
      <c r="AR685" s="22" t="s">
        <v>77</v>
      </c>
      <c r="AS685" s="10"/>
      <c r="AT685" s="2" t="s">
        <v>1814</v>
      </c>
      <c r="AU685" s="12" t="s">
        <v>83</v>
      </c>
      <c r="AV685" s="3" t="n">
        <v>46224</v>
      </c>
      <c r="AW685" s="21"/>
      <c r="AY685" s="1"/>
      <c r="BA685" s="1"/>
      <c r="BB685" s="1"/>
    </row>
    <row r="686" ht="120" customHeight="1">
      <c r="A686" s="20" t="s">
        <v>3777</v>
      </c>
      <c r="B686" s="20" t="n">
        <v>2023</v>
      </c>
      <c r="C686" s="20" t="n">
        <v>72</v>
      </c>
      <c r="D686" s="20" t="s">
        <v>50</v>
      </c>
      <c r="E686" s="20" t="s">
        <v>3655</v>
      </c>
      <c r="F686" s="20" t="s">
        <v>2041</v>
      </c>
      <c r="G686" s="20" t="s">
        <v>86</v>
      </c>
      <c r="H686" s="20" t="s">
        <v>3657</v>
      </c>
      <c r="I686" s="20"/>
      <c r="J686" s="20" t="s">
        <v>3778</v>
      </c>
      <c r="K686" s="20" t="s">
        <v>226</v>
      </c>
      <c r="L686" s="20" t="s">
        <v>57</v>
      </c>
      <c r="M686" s="20" t="s">
        <v>58</v>
      </c>
      <c r="N686" s="20" t="s">
        <v>59</v>
      </c>
      <c r="O686" s="20" t="s">
        <v>60</v>
      </c>
      <c r="P686" s="20" t="s">
        <v>227</v>
      </c>
      <c r="Q686" s="20" t="s">
        <v>228</v>
      </c>
      <c r="R686" s="20" t="s">
        <v>229</v>
      </c>
      <c r="S686" s="20" t="s">
        <v>230</v>
      </c>
      <c r="T686" s="20" t="s">
        <v>231</v>
      </c>
      <c r="U686" s="20" t="s">
        <v>230</v>
      </c>
      <c r="V686" s="20" t="s">
        <v>232</v>
      </c>
      <c r="W686" s="20" t="s">
        <v>96</v>
      </c>
      <c r="X686" s="20" t="s">
        <v>97</v>
      </c>
      <c r="Y686" s="20" t="s">
        <v>70</v>
      </c>
      <c r="Z686" s="20" t="s">
        <v>98</v>
      </c>
      <c r="AA686" s="20" t="s">
        <v>125</v>
      </c>
      <c r="AB686" s="20" t="s">
        <v>125</v>
      </c>
      <c r="AC686" s="20" t="s">
        <v>125</v>
      </c>
      <c r="AD686" s="20" t="s">
        <v>125</v>
      </c>
      <c r="AE686" s="20"/>
      <c r="AF686" s="9" t="n">
        <v>1</v>
      </c>
      <c r="AG686" s="12" t="n">
        <v>1</v>
      </c>
      <c r="AH686" s="22" t="s">
        <v>235</v>
      </c>
      <c r="AI686" s="12" t="str">
        <f>IF(AH686="","",IFERROR(RIGHT("0000"&amp;AH686,4)&amp;" - "&amp;UPPER(_xlfn.XLOOKUP(RIGHT("0000"&amp;AH686,4),CODEBOOK_CAP!$C$2:$C$212,CODEBOOK_CAP!$D$2:$D$212)),"Código CAP não encontrado"))</f>
        <v>0322 - ESTRUTURAS, HOSPITAIS, CLÍNICAS</v>
      </c>
      <c r="AJ686" s="12" t="str">
        <f>IF(AH686="","",IFERROR(_xlfn.XLOOKUP(RIGHT("0000"&amp;AH686,4),CODEBOOK_CAP!$C$2:$C$212,CODEBOOK_CAP!$E$2:$E$212),"Código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86" s="22" t="s">
        <v>79</v>
      </c>
      <c r="AL686" s="26" t="s">
        <v>3779</v>
      </c>
      <c r="AM686" s="22" t="s">
        <v>79</v>
      </c>
      <c r="AN686" s="22" t="s">
        <v>79</v>
      </c>
      <c r="AO686" s="12" t="s">
        <v>3780</v>
      </c>
      <c r="AP686" s="22" t="s">
        <v>77</v>
      </c>
      <c r="AQ686" s="12"/>
      <c r="AR686" s="22" t="s">
        <v>77</v>
      </c>
      <c r="AS686" s="10"/>
      <c r="AT686" s="2" t="s">
        <v>1814</v>
      </c>
      <c r="AU686" s="12" t="s">
        <v>83</v>
      </c>
      <c r="AV686" s="3" t="n">
        <v>46224</v>
      </c>
      <c r="AW686" s="21"/>
      <c r="AY686" s="1"/>
      <c r="BA686" s="1"/>
      <c r="BB686" s="1"/>
    </row>
    <row r="687" ht="120" customHeight="1">
      <c r="A687" s="20" t="s">
        <v>3781</v>
      </c>
      <c r="B687" s="20" t="n">
        <v>2023</v>
      </c>
      <c r="C687" s="20" t="n">
        <v>73</v>
      </c>
      <c r="D687" s="20" t="s">
        <v>50</v>
      </c>
      <c r="E687" s="20" t="s">
        <v>3655</v>
      </c>
      <c r="F687" s="20" t="s">
        <v>3782</v>
      </c>
      <c r="G687" s="20" t="s">
        <v>86</v>
      </c>
      <c r="H687" s="20" t="s">
        <v>3657</v>
      </c>
      <c r="I687" s="20"/>
      <c r="J687" s="20" t="s">
        <v>3783</v>
      </c>
      <c r="K687" s="20" t="s">
        <v>226</v>
      </c>
      <c r="L687" s="20" t="s">
        <v>57</v>
      </c>
      <c r="M687" s="20" t="s">
        <v>58</v>
      </c>
      <c r="N687" s="20" t="s">
        <v>59</v>
      </c>
      <c r="O687" s="20" t="s">
        <v>60</v>
      </c>
      <c r="P687" s="20" t="s">
        <v>227</v>
      </c>
      <c r="Q687" s="20" t="s">
        <v>228</v>
      </c>
      <c r="R687" s="20" t="s">
        <v>229</v>
      </c>
      <c r="S687" s="20" t="s">
        <v>230</v>
      </c>
      <c r="T687" s="20" t="s">
        <v>231</v>
      </c>
      <c r="U687" s="20" t="s">
        <v>230</v>
      </c>
      <c r="V687" s="20" t="s">
        <v>232</v>
      </c>
      <c r="W687" s="20" t="s">
        <v>96</v>
      </c>
      <c r="X687" s="20" t="s">
        <v>97</v>
      </c>
      <c r="Y687" s="20" t="s">
        <v>70</v>
      </c>
      <c r="Z687" s="20" t="s">
        <v>98</v>
      </c>
      <c r="AA687" s="20" t="s">
        <v>125</v>
      </c>
      <c r="AB687" s="20" t="s">
        <v>125</v>
      </c>
      <c r="AC687" s="20" t="s">
        <v>125</v>
      </c>
      <c r="AD687" s="20" t="s">
        <v>125</v>
      </c>
      <c r="AE687" s="20"/>
      <c r="AF687" s="9" t="n">
        <v>1</v>
      </c>
      <c r="AG687" s="12" t="n">
        <v>1</v>
      </c>
      <c r="AH687" s="22" t="s">
        <v>235</v>
      </c>
      <c r="AI687" s="12" t="str">
        <f>IF(AH687="","",IFERROR(RIGHT("0000"&amp;AH687,4)&amp;" - "&amp;UPPER(_xlfn.XLOOKUP(RIGHT("0000"&amp;AH687,4),CODEBOOK_CAP!$C$2:$C$212,CODEBOOK_CAP!$D$2:$D$212)),"Código CAP não encontrado"))</f>
        <v>0322 - ESTRUTURAS, HOSPITAIS, CLÍNICAS</v>
      </c>
      <c r="AJ687" s="12" t="str">
        <f>IF(AH687="","",IFERROR(_xlfn.XLOOKUP(RIGHT("0000"&amp;AH687,4),CODEBOOK_CAP!$C$2:$C$212,CODEBOOK_CAP!$E$2:$E$212),"Código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687" s="22" t="s">
        <v>79</v>
      </c>
      <c r="AL687" s="26" t="s">
        <v>3784</v>
      </c>
      <c r="AM687" s="22" t="s">
        <v>79</v>
      </c>
      <c r="AN687" s="22" t="s">
        <v>79</v>
      </c>
      <c r="AO687" s="12" t="s">
        <v>3785</v>
      </c>
      <c r="AP687" s="22" t="s">
        <v>77</v>
      </c>
      <c r="AQ687" s="12"/>
      <c r="AR687" s="22" t="s">
        <v>77</v>
      </c>
      <c r="AS687" s="10"/>
      <c r="AT687" s="2" t="s">
        <v>1814</v>
      </c>
      <c r="AU687" s="12" t="s">
        <v>83</v>
      </c>
      <c r="AV687" s="3" t="n">
        <v>46224</v>
      </c>
      <c r="AW687" s="21"/>
      <c r="AY687" s="1"/>
      <c r="BA687" s="1"/>
      <c r="BB687" s="1"/>
    </row>
    <row r="688" ht="105" customHeight="1">
      <c r="A688" s="20" t="s">
        <v>3786</v>
      </c>
      <c r="B688" s="20" t="n">
        <v>2023</v>
      </c>
      <c r="C688" s="20" t="n">
        <v>713</v>
      </c>
      <c r="D688" s="20" t="s">
        <v>50</v>
      </c>
      <c r="E688" s="20" t="s">
        <v>3787</v>
      </c>
      <c r="F688" s="20" t="s">
        <v>3788</v>
      </c>
      <c r="G688" s="20" t="s">
        <v>86</v>
      </c>
      <c r="H688" s="20" t="s">
        <v>3789</v>
      </c>
      <c r="I688" s="20"/>
      <c r="J688" s="20" t="s">
        <v>3790</v>
      </c>
      <c r="K688" s="20" t="s">
        <v>682</v>
      </c>
      <c r="L688" s="20" t="s">
        <v>186</v>
      </c>
      <c r="M688" s="20" t="s">
        <v>187</v>
      </c>
      <c r="N688" s="20" t="s">
        <v>188</v>
      </c>
      <c r="O688" s="20" t="s">
        <v>189</v>
      </c>
      <c r="P688" s="20" t="s">
        <v>338</v>
      </c>
      <c r="Q688" s="20" t="s">
        <v>683</v>
      </c>
      <c r="R688" s="20" t="s">
        <v>192</v>
      </c>
      <c r="S688" s="20" t="s">
        <v>193</v>
      </c>
      <c r="T688" s="20" t="s">
        <v>684</v>
      </c>
      <c r="U688" s="20" t="s">
        <v>685</v>
      </c>
      <c r="V688" s="20" t="s">
        <v>95</v>
      </c>
      <c r="W688" s="20" t="s">
        <v>96</v>
      </c>
      <c r="X688" s="20" t="s">
        <v>97</v>
      </c>
      <c r="Y688" s="20" t="s">
        <v>70</v>
      </c>
      <c r="Z688" s="20" t="s">
        <v>197</v>
      </c>
      <c r="AA688" s="20" t="s">
        <v>580</v>
      </c>
      <c r="AB688" s="20" t="s">
        <v>3791</v>
      </c>
      <c r="AC688" s="20" t="s">
        <v>3791</v>
      </c>
      <c r="AD688" s="20" t="s">
        <v>3791</v>
      </c>
      <c r="AE688" s="20"/>
      <c r="AF688" s="9" t="n">
        <v>0</v>
      </c>
      <c r="AG688" s="12" t="n">
        <v>0</v>
      </c>
      <c r="AH688" s="22" t="s">
        <v>161</v>
      </c>
      <c r="AI688" s="12" t="str">
        <f>IF(AH688="","",IFERROR(RIGHT("0000"&amp;AH688,4)&amp;" - "&amp;UPPER(_xlfn.XLOOKUP(RIGHT("0000"&amp;AH688,4),CODEBOOK_CAP!$C$2:$C$212,CODEBOOK_CAP!$D$2:$D$212)),"Código CAP não encontrado"))</f>
        <v>2300 - GERAL</v>
      </c>
      <c r="AJ688" s="12" t="str">
        <f>IF(AH688="","",IFERROR(_xlfn.XLOOKUP(RIGHT("0000"&amp;AH688,4),CODEBOOK_CAP!$C$2:$C$212,CODEBOOK_CAP!$E$2:$E$212),"Código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88" s="22" t="s">
        <v>77</v>
      </c>
      <c r="AL688" s="26"/>
      <c r="AM688" s="22" t="s">
        <v>77</v>
      </c>
      <c r="AN688" s="22" t="s">
        <v>77</v>
      </c>
      <c r="AO688" s="12"/>
      <c r="AP688" s="22" t="s">
        <v>77</v>
      </c>
      <c r="AQ688" s="12"/>
      <c r="AR688" s="22" t="s">
        <v>77</v>
      </c>
      <c r="AS688" s="10"/>
      <c r="AT688" s="2" t="s">
        <v>1814</v>
      </c>
      <c r="AU688" s="12" t="s">
        <v>83</v>
      </c>
      <c r="AV688" s="3" t="n">
        <v>46224</v>
      </c>
      <c r="AW688" s="21"/>
      <c r="AX688" s="1" t="s">
        <v>6956</v>
      </c>
      <c r="AY688" s="1"/>
      <c r="BA688" s="1"/>
      <c r="BB688" s="1"/>
    </row>
    <row r="689" ht="90" customHeight="1">
      <c r="A689" s="20" t="s">
        <v>3792</v>
      </c>
      <c r="B689" s="20" t="n">
        <v>2023</v>
      </c>
      <c r="C689" s="20" t="n">
        <v>714</v>
      </c>
      <c r="D689" s="20" t="s">
        <v>50</v>
      </c>
      <c r="E689" s="20" t="s">
        <v>3787</v>
      </c>
      <c r="F689" s="20" t="s">
        <v>3793</v>
      </c>
      <c r="G689" s="20" t="s">
        <v>86</v>
      </c>
      <c r="H689" s="20" t="s">
        <v>3789</v>
      </c>
      <c r="I689" s="20"/>
      <c r="J689" s="20" t="s">
        <v>3794</v>
      </c>
      <c r="K689" s="20" t="s">
        <v>250</v>
      </c>
      <c r="L689" s="20" t="s">
        <v>208</v>
      </c>
      <c r="M689" s="20" t="s">
        <v>209</v>
      </c>
      <c r="N689" s="20" t="s">
        <v>135</v>
      </c>
      <c r="O689" s="20" t="s">
        <v>136</v>
      </c>
      <c r="P689" s="20" t="s">
        <v>61</v>
      </c>
      <c r="Q689" s="20" t="s">
        <v>62</v>
      </c>
      <c r="R689" s="20" t="s">
        <v>251</v>
      </c>
      <c r="S689" s="20" t="s">
        <v>252</v>
      </c>
      <c r="T689" s="20" t="s">
        <v>253</v>
      </c>
      <c r="U689" s="20" t="s">
        <v>254</v>
      </c>
      <c r="V689" s="20" t="s">
        <v>67</v>
      </c>
      <c r="W689" s="20" t="s">
        <v>68</v>
      </c>
      <c r="X689" s="20" t="s">
        <v>69</v>
      </c>
      <c r="Y689" s="20" t="s">
        <v>70</v>
      </c>
      <c r="Z689" s="20" t="s">
        <v>177</v>
      </c>
      <c r="AA689" s="20" t="s">
        <v>351</v>
      </c>
      <c r="AB689" s="20" t="s">
        <v>3795</v>
      </c>
      <c r="AC689" s="20" t="s">
        <v>3795</v>
      </c>
      <c r="AD689" s="20" t="s">
        <v>3795</v>
      </c>
      <c r="AE689" s="20"/>
      <c r="AF689" s="9" t="n">
        <v>0</v>
      </c>
      <c r="AG689" s="12" t="n">
        <v>0</v>
      </c>
      <c r="AH689" s="22" t="s">
        <v>2043</v>
      </c>
      <c r="AI689" s="12" t="str">
        <f>IF(AH689="","",IFERROR(RIGHT("0000"&amp;AH689,4)&amp;" - "&amp;UPPER(_xlfn.XLOOKUP(RIGHT("0000"&amp;AH689,4),CODEBOOK_CAP!$C$2:$C$212,CODEBOOK_CAP!$D$2:$D$212)),"Código CAP não encontrado"))</f>
        <v>1303 - POLÍTICAS SOCIAIS DE ASSISTÊNCIA PARA IDOSOS</v>
      </c>
      <c r="AJ689" s="12" t="str">
        <f>IF(AH689="","",IFERROR(_xlfn.XLOOKUP(RIGHT("0000"&amp;AH689,4),CODEBOOK_CAP!$C$2:$C$212,CODEBOOK_CAP!$E$2:$E$212),"Código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689" s="22" t="s">
        <v>79</v>
      </c>
      <c r="AL689" s="26" t="s">
        <v>3796</v>
      </c>
      <c r="AM689" s="22" t="s">
        <v>79</v>
      </c>
      <c r="AN689" s="22" t="s">
        <v>79</v>
      </c>
      <c r="AO689" s="12" t="s">
        <v>3796</v>
      </c>
      <c r="AP689" s="22" t="s">
        <v>79</v>
      </c>
      <c r="AQ689" s="12" t="s">
        <v>2044</v>
      </c>
      <c r="AR689" s="22" t="s">
        <v>77</v>
      </c>
      <c r="AS689" s="10"/>
      <c r="AT689" s="2" t="s">
        <v>1814</v>
      </c>
      <c r="AU689" s="12" t="s">
        <v>83</v>
      </c>
      <c r="AV689" s="3" t="n">
        <v>46224</v>
      </c>
      <c r="AW689" s="21"/>
      <c r="AY689" s="1"/>
      <c r="BA689" s="1"/>
      <c r="BB689" s="1"/>
    </row>
    <row r="690" ht="180" customHeight="1">
      <c r="A690" s="20" t="s">
        <v>3797</v>
      </c>
      <c r="B690" s="20" t="n">
        <v>2023</v>
      </c>
      <c r="C690" s="20" t="n">
        <v>715</v>
      </c>
      <c r="D690" s="20" t="s">
        <v>50</v>
      </c>
      <c r="E690" s="20" t="s">
        <v>3787</v>
      </c>
      <c r="F690" s="20" t="s">
        <v>3798</v>
      </c>
      <c r="G690" s="20" t="s">
        <v>86</v>
      </c>
      <c r="H690" s="20" t="s">
        <v>3789</v>
      </c>
      <c r="I690" s="20"/>
      <c r="J690" s="20" t="s">
        <v>3799</v>
      </c>
      <c r="K690" s="20" t="s">
        <v>299</v>
      </c>
      <c r="L690" s="20" t="s">
        <v>208</v>
      </c>
      <c r="M690" s="20" t="s">
        <v>209</v>
      </c>
      <c r="N690" s="20" t="s">
        <v>210</v>
      </c>
      <c r="O690" s="20" t="s">
        <v>211</v>
      </c>
      <c r="P690" s="20" t="s">
        <v>212</v>
      </c>
      <c r="Q690" s="20" t="s">
        <v>213</v>
      </c>
      <c r="R690" s="20" t="s">
        <v>251</v>
      </c>
      <c r="S690" s="20" t="s">
        <v>252</v>
      </c>
      <c r="T690" s="20" t="s">
        <v>300</v>
      </c>
      <c r="U690" s="20" t="s">
        <v>301</v>
      </c>
      <c r="V690" s="20" t="s">
        <v>67</v>
      </c>
      <c r="W690" s="20" t="s">
        <v>68</v>
      </c>
      <c r="X690" s="20" t="s">
        <v>69</v>
      </c>
      <c r="Y690" s="20" t="s">
        <v>70</v>
      </c>
      <c r="Z690" s="20" t="s">
        <v>177</v>
      </c>
      <c r="AA690" s="20" t="s">
        <v>3800</v>
      </c>
      <c r="AB690" s="20" t="s">
        <v>3800</v>
      </c>
      <c r="AC690" s="20" t="s">
        <v>3800</v>
      </c>
      <c r="AD690" s="20" t="s">
        <v>3800</v>
      </c>
      <c r="AE690" s="20"/>
      <c r="AF690" s="9" t="n">
        <v>0</v>
      </c>
      <c r="AG690" s="12" t="n">
        <v>0</v>
      </c>
      <c r="AH690" s="22" t="s">
        <v>1030</v>
      </c>
      <c r="AI690" s="12" t="str">
        <f>IF(AH690="","",IFERROR(RIGHT("0000"&amp;AH690,4)&amp;" - "&amp;UPPER(_xlfn.XLOOKUP(RIGHT("0000"&amp;AH690,4),CODEBOOK_CAP!$C$2:$C$212,CODEBOOK_CAP!$D$2:$D$212)),"Código CAP não encontrado"))</f>
        <v>1201 - POLÍCIA, AGENCIAS E INSTITUIÇÕES - LEI E CRIMES</v>
      </c>
      <c r="AJ690" s="12" t="str">
        <f>IF(AH690="","",IFERROR(_xlfn.XLOOKUP(RIGHT("0000"&amp;AH690,4),CODEBOOK_CAP!$C$2:$C$212,CODEBOOK_CAP!$E$2:$E$212),"Código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690" s="22" t="s">
        <v>79</v>
      </c>
      <c r="AL690" s="26" t="s">
        <v>3801</v>
      </c>
      <c r="AM690" s="22" t="s">
        <v>79</v>
      </c>
      <c r="AN690" s="22" t="s">
        <v>79</v>
      </c>
      <c r="AO690" s="12" t="s">
        <v>3801</v>
      </c>
      <c r="AP690" s="22" t="s">
        <v>77</v>
      </c>
      <c r="AQ690" s="12"/>
      <c r="AR690" s="22" t="s">
        <v>77</v>
      </c>
      <c r="AS690" s="10"/>
      <c r="AT690" s="2" t="s">
        <v>1814</v>
      </c>
      <c r="AU690" s="12" t="s">
        <v>83</v>
      </c>
      <c r="AV690" s="3" t="n">
        <v>46224</v>
      </c>
      <c r="AW690" s="21"/>
      <c r="AY690" s="1"/>
      <c r="BA690" s="1"/>
      <c r="BB690" s="1"/>
    </row>
    <row r="691" ht="105" customHeight="1">
      <c r="A691" s="20" t="s">
        <v>3802</v>
      </c>
      <c r="B691" s="20" t="n">
        <v>2023</v>
      </c>
      <c r="C691" s="20" t="n">
        <v>730</v>
      </c>
      <c r="D691" s="20" t="s">
        <v>50</v>
      </c>
      <c r="E691" s="20" t="s">
        <v>3787</v>
      </c>
      <c r="F691" s="20" t="s">
        <v>3803</v>
      </c>
      <c r="G691" s="20" t="s">
        <v>53</v>
      </c>
      <c r="H691" s="20" t="s">
        <v>3789</v>
      </c>
      <c r="I691" s="20"/>
      <c r="J691" s="20" t="s">
        <v>3804</v>
      </c>
      <c r="K691" s="20" t="s">
        <v>691</v>
      </c>
      <c r="L691" s="20" t="s">
        <v>186</v>
      </c>
      <c r="M691" s="20" t="s">
        <v>187</v>
      </c>
      <c r="N691" s="20" t="s">
        <v>188</v>
      </c>
      <c r="O691" s="20" t="s">
        <v>189</v>
      </c>
      <c r="P691" s="20" t="s">
        <v>190</v>
      </c>
      <c r="Q691" s="20" t="s">
        <v>191</v>
      </c>
      <c r="R691" s="20" t="s">
        <v>192</v>
      </c>
      <c r="S691" s="20" t="s">
        <v>193</v>
      </c>
      <c r="T691" s="20" t="s">
        <v>194</v>
      </c>
      <c r="U691" s="20" t="s">
        <v>195</v>
      </c>
      <c r="V691" s="20" t="s">
        <v>196</v>
      </c>
      <c r="W691" s="20" t="s">
        <v>68</v>
      </c>
      <c r="X691" s="20" t="s">
        <v>69</v>
      </c>
      <c r="Y691" s="20" t="s">
        <v>70</v>
      </c>
      <c r="Z691" s="20" t="s">
        <v>197</v>
      </c>
      <c r="AA691" s="20" t="s">
        <v>198</v>
      </c>
      <c r="AB691" s="20" t="s">
        <v>3805</v>
      </c>
      <c r="AC691" s="20" t="s">
        <v>3805</v>
      </c>
      <c r="AD691" s="20" t="s">
        <v>3805</v>
      </c>
      <c r="AE691" s="20"/>
      <c r="AF691" s="9" t="n">
        <v>0</v>
      </c>
      <c r="AG691" s="12" t="n">
        <v>0</v>
      </c>
      <c r="AH691" s="22" t="s">
        <v>161</v>
      </c>
      <c r="AI691" s="12" t="str">
        <f>IF(AH691="","",IFERROR(RIGHT("0000"&amp;AH691,4)&amp;" - "&amp;UPPER(_xlfn.XLOOKUP(RIGHT("0000"&amp;AH691,4),CODEBOOK_CAP!$C$2:$C$212,CODEBOOK_CAP!$D$2:$D$212)),"Código CAP não encontrado"))</f>
        <v>2300 - GERAL</v>
      </c>
      <c r="AJ691" s="12" t="str">
        <f>IF(AH691="","",IFERROR(_xlfn.XLOOKUP(RIGHT("0000"&amp;AH691,4),CODEBOOK_CAP!$C$2:$C$212,CODEBOOK_CAP!$E$2:$E$212),"Código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691" s="22" t="s">
        <v>77</v>
      </c>
      <c r="AL691" s="26"/>
      <c r="AM691" s="22" t="s">
        <v>77</v>
      </c>
      <c r="AN691" s="22" t="s">
        <v>77</v>
      </c>
      <c r="AO691" s="12"/>
      <c r="AP691" s="22" t="s">
        <v>77</v>
      </c>
      <c r="AQ691" s="12"/>
      <c r="AR691" s="22" t="s">
        <v>77</v>
      </c>
      <c r="AS691" s="10"/>
      <c r="AT691" s="2" t="s">
        <v>1814</v>
      </c>
      <c r="AU691" s="12" t="s">
        <v>83</v>
      </c>
      <c r="AV691" s="3" t="n">
        <v>46224</v>
      </c>
      <c r="AW691" s="21"/>
      <c r="AX691" s="1" t="s">
        <v>6956</v>
      </c>
      <c r="AY691" s="1"/>
      <c r="BA691" s="1"/>
      <c r="BB691" s="1"/>
    </row>
    <row r="692" ht="90" customHeight="1">
      <c r="A692" s="20" t="s">
        <v>3806</v>
      </c>
      <c r="B692" s="20" t="n">
        <v>2023</v>
      </c>
      <c r="C692" s="20" t="n">
        <v>731</v>
      </c>
      <c r="D692" s="20" t="s">
        <v>50</v>
      </c>
      <c r="E692" s="20" t="s">
        <v>3787</v>
      </c>
      <c r="F692" s="20" t="s">
        <v>3807</v>
      </c>
      <c r="G692" s="20" t="s">
        <v>86</v>
      </c>
      <c r="H692" s="20" t="s">
        <v>3789</v>
      </c>
      <c r="I692" s="20"/>
      <c r="J692" s="20" t="s">
        <v>3808</v>
      </c>
      <c r="K692" s="20" t="s">
        <v>250</v>
      </c>
      <c r="L692" s="20" t="s">
        <v>208</v>
      </c>
      <c r="M692" s="20" t="s">
        <v>209</v>
      </c>
      <c r="N692" s="20" t="s">
        <v>135</v>
      </c>
      <c r="O692" s="20" t="s">
        <v>136</v>
      </c>
      <c r="P692" s="20" t="s">
        <v>61</v>
      </c>
      <c r="Q692" s="20" t="s">
        <v>62</v>
      </c>
      <c r="R692" s="20" t="s">
        <v>251</v>
      </c>
      <c r="S692" s="20" t="s">
        <v>252</v>
      </c>
      <c r="T692" s="20" t="s">
        <v>253</v>
      </c>
      <c r="U692" s="20" t="s">
        <v>254</v>
      </c>
      <c r="V692" s="20" t="s">
        <v>67</v>
      </c>
      <c r="W692" s="20" t="s">
        <v>68</v>
      </c>
      <c r="X692" s="20" t="s">
        <v>69</v>
      </c>
      <c r="Y692" s="20" t="s">
        <v>70</v>
      </c>
      <c r="Z692" s="20" t="s">
        <v>177</v>
      </c>
      <c r="AA692" s="20" t="s">
        <v>3809</v>
      </c>
      <c r="AB692" s="20" t="s">
        <v>3810</v>
      </c>
      <c r="AC692" s="20" t="s">
        <v>3810</v>
      </c>
      <c r="AD692" s="20" t="s">
        <v>3810</v>
      </c>
      <c r="AE692" s="20" t="s">
        <v>3811</v>
      </c>
      <c r="AF692" s="9" t="n">
        <v>0</v>
      </c>
      <c r="AG692" s="12" t="n">
        <v>0</v>
      </c>
      <c r="AH692" s="22" t="s">
        <v>2043</v>
      </c>
      <c r="AI692" s="12" t="str">
        <f>IF(AH692="","",IFERROR(RIGHT("0000"&amp;AH692,4)&amp;" - "&amp;UPPER(_xlfn.XLOOKUP(RIGHT("0000"&amp;AH692,4),CODEBOOK_CAP!$C$2:$C$212,CODEBOOK_CAP!$D$2:$D$212)),"Código CAP não encontrado"))</f>
        <v>1303 - POLÍTICAS SOCIAIS DE ASSISTÊNCIA PARA IDOSOS</v>
      </c>
      <c r="AJ692" s="12" t="str">
        <f>IF(AH692="","",IFERROR(_xlfn.XLOOKUP(RIGHT("0000"&amp;AH692,4),CODEBOOK_CAP!$C$2:$C$212,CODEBOOK_CAP!$E$2:$E$212),"Código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692" s="22" t="s">
        <v>79</v>
      </c>
      <c r="AL692" s="26" t="s">
        <v>3812</v>
      </c>
      <c r="AM692" s="22" t="s">
        <v>79</v>
      </c>
      <c r="AN692" s="22" t="s">
        <v>79</v>
      </c>
      <c r="AO692" s="12" t="s">
        <v>3813</v>
      </c>
      <c r="AP692" s="22" t="s">
        <v>79</v>
      </c>
      <c r="AQ692" s="12" t="s">
        <v>2044</v>
      </c>
      <c r="AR692" s="22" t="s">
        <v>79</v>
      </c>
      <c r="AS692" s="10" t="s">
        <v>3811</v>
      </c>
      <c r="AT692" s="2" t="s">
        <v>1814</v>
      </c>
      <c r="AU692" s="12" t="s">
        <v>83</v>
      </c>
      <c r="AV692" s="3" t="n">
        <v>46224</v>
      </c>
      <c r="AW692" s="21"/>
      <c r="AY692" s="1"/>
      <c r="BA692" s="1"/>
      <c r="BB692" s="1"/>
    </row>
    <row r="693" ht="180" customHeight="1">
      <c r="A693" s="20" t="s">
        <v>3814</v>
      </c>
      <c r="B693" s="20" t="n">
        <v>2023</v>
      </c>
      <c r="C693" s="20" t="n">
        <v>732</v>
      </c>
      <c r="D693" s="20" t="s">
        <v>50</v>
      </c>
      <c r="E693" s="20" t="s">
        <v>3787</v>
      </c>
      <c r="F693" s="20" t="s">
        <v>3815</v>
      </c>
      <c r="G693" s="20" t="s">
        <v>86</v>
      </c>
      <c r="H693" s="20" t="s">
        <v>3789</v>
      </c>
      <c r="I693" s="20"/>
      <c r="J693" s="20" t="s">
        <v>3816</v>
      </c>
      <c r="K693" s="20" t="s">
        <v>3272</v>
      </c>
      <c r="L693" s="20" t="s">
        <v>722</v>
      </c>
      <c r="M693" s="20" t="s">
        <v>723</v>
      </c>
      <c r="N693" s="20" t="s">
        <v>724</v>
      </c>
      <c r="O693" s="20" t="s">
        <v>725</v>
      </c>
      <c r="P693" s="20" t="s">
        <v>3273</v>
      </c>
      <c r="Q693" s="20" t="s">
        <v>3274</v>
      </c>
      <c r="R693" s="20" t="s">
        <v>1352</v>
      </c>
      <c r="S693" s="20" t="s">
        <v>1353</v>
      </c>
      <c r="T693" s="20" t="s">
        <v>3275</v>
      </c>
      <c r="U693" s="20" t="s">
        <v>3276</v>
      </c>
      <c r="V693" s="20" t="s">
        <v>196</v>
      </c>
      <c r="W693" s="20" t="s">
        <v>68</v>
      </c>
      <c r="X693" s="20" t="s">
        <v>69</v>
      </c>
      <c r="Y693" s="20" t="s">
        <v>70</v>
      </c>
      <c r="Z693" s="20" t="s">
        <v>730</v>
      </c>
      <c r="AA693" s="20" t="s">
        <v>125</v>
      </c>
      <c r="AB693" s="20" t="s">
        <v>3817</v>
      </c>
      <c r="AC693" s="20" t="s">
        <v>3817</v>
      </c>
      <c r="AD693" s="20" t="s">
        <v>3817</v>
      </c>
      <c r="AE693" s="20"/>
      <c r="AF693" s="9" t="n">
        <v>0</v>
      </c>
      <c r="AG693" s="12" t="n">
        <v>0</v>
      </c>
      <c r="AH693" s="22" t="s">
        <v>1030</v>
      </c>
      <c r="AI693" s="12" t="str">
        <f>IF(AH693="","",IFERROR(RIGHT("0000"&amp;AH693,4)&amp;" - "&amp;UPPER(_xlfn.XLOOKUP(RIGHT("0000"&amp;AH693,4),CODEBOOK_CAP!$C$2:$C$212,CODEBOOK_CAP!$D$2:$D$212)),"Código CAP não encontrado"))</f>
        <v>1201 - POLÍCIA, AGENCIAS E INSTITUIÇÕES - LEI E CRIMES</v>
      </c>
      <c r="AJ693" s="12" t="str">
        <f>IF(AH693="","",IFERROR(_xlfn.XLOOKUP(RIGHT("0000"&amp;AH693,4),CODEBOOK_CAP!$C$2:$C$212,CODEBOOK_CAP!$E$2:$E$212),"Código CAP não encontrado"))</f>
        <v>Questões relacionadas aos atores, intituições, agencias e agentes que atuam em questões relacionadas a justiça, lei, crime e violência. Servicos e instituições de apoio civil. Assuntos relacionados a atuação de Bombeiros, socorristas, guarda floresta, guarda costeira e proteção civil. Ministério Público, Ministério da Justiça, Polícia Federal, Tribunal de Contas, inteligência, proteção a vítimas, delação premiada, sistemas e banco de dados de justiça, computação vinculada a sistemas de combate a crimes e fraudes. Aqui a observação é sobre as INSTITUIÇÕES EM SI, e não sobre o assunto do qual ela trata, Os assuntos estão nos próximos sub-códigos</v>
      </c>
      <c r="AK693" s="22" t="s">
        <v>77</v>
      </c>
      <c r="AL693" s="26"/>
      <c r="AM693" s="22" t="s">
        <v>77</v>
      </c>
      <c r="AN693" s="22" t="s">
        <v>77</v>
      </c>
      <c r="AO693" s="12"/>
      <c r="AP693" s="22" t="s">
        <v>77</v>
      </c>
      <c r="AQ693" s="12"/>
      <c r="AR693" s="22" t="s">
        <v>77</v>
      </c>
      <c r="AS693" s="10"/>
      <c r="AT693" s="2" t="s">
        <v>1814</v>
      </c>
      <c r="AU693" s="12" t="s">
        <v>83</v>
      </c>
      <c r="AV693" s="3" t="n">
        <v>46224</v>
      </c>
      <c r="AW693" s="21"/>
      <c r="AY693" s="1"/>
      <c r="BA693" s="1"/>
      <c r="BB693" s="1"/>
    </row>
    <row r="694" ht="225" customHeight="1">
      <c r="A694" s="20" t="s">
        <v>3818</v>
      </c>
      <c r="B694" s="20" t="n">
        <v>2023</v>
      </c>
      <c r="C694" s="20" t="n">
        <v>733</v>
      </c>
      <c r="D694" s="20" t="s">
        <v>50</v>
      </c>
      <c r="E694" s="20" t="s">
        <v>3787</v>
      </c>
      <c r="F694" s="20" t="s">
        <v>3819</v>
      </c>
      <c r="G694" s="20" t="s">
        <v>86</v>
      </c>
      <c r="H694" s="20" t="s">
        <v>3789</v>
      </c>
      <c r="I694" s="20"/>
      <c r="J694" s="20" t="s">
        <v>3820</v>
      </c>
      <c r="K694" s="20" t="s">
        <v>56</v>
      </c>
      <c r="L694" s="20" t="s">
        <v>57</v>
      </c>
      <c r="M694" s="20" t="s">
        <v>58</v>
      </c>
      <c r="N694" s="20" t="s">
        <v>59</v>
      </c>
      <c r="O694" s="20" t="s">
        <v>60</v>
      </c>
      <c r="P694" s="20" t="s">
        <v>61</v>
      </c>
      <c r="Q694" s="20" t="s">
        <v>62</v>
      </c>
      <c r="R694" s="20" t="s">
        <v>63</v>
      </c>
      <c r="S694" s="20" t="s">
        <v>64</v>
      </c>
      <c r="T694" s="20" t="s">
        <v>65</v>
      </c>
      <c r="U694" s="20" t="s">
        <v>66</v>
      </c>
      <c r="V694" s="20" t="s">
        <v>67</v>
      </c>
      <c r="W694" s="20" t="s">
        <v>68</v>
      </c>
      <c r="X694" s="20" t="s">
        <v>69</v>
      </c>
      <c r="Y694" s="20" t="s">
        <v>70</v>
      </c>
      <c r="Z694" s="20" t="s">
        <v>71</v>
      </c>
      <c r="AA694" s="20" t="s">
        <v>125</v>
      </c>
      <c r="AB694" s="20" t="s">
        <v>77</v>
      </c>
      <c r="AC694" s="20" t="s">
        <v>77</v>
      </c>
      <c r="AD694" s="20" t="s">
        <v>77</v>
      </c>
      <c r="AE694" s="20"/>
      <c r="AF694" s="9" t="n">
        <v>1</v>
      </c>
      <c r="AG694" s="12" t="n">
        <v>1</v>
      </c>
      <c r="AH694" s="22" t="s">
        <v>117</v>
      </c>
      <c r="AI694" s="12" t="str">
        <f>IF(AH694="","",IFERROR(RIGHT("0000"&amp;AH694,4)&amp;" - "&amp;UPPER(_xlfn.XLOOKUP(RIGHT("0000"&amp;AH694,4),CODEBOOK_CAP!$C$2:$C$212,CODEBOOK_CAP!$D$2:$D$212)),"Código CAP não encontrado"))</f>
        <v>0331 - PREVENÇÃO, CAMPANHAS E PROMOÇÃO</v>
      </c>
      <c r="AJ694" s="12" t="str">
        <f>IF(AH694="","",IFERROR(_xlfn.XLOOKUP(RIGHT("0000"&amp;AH694,4),CODEBOOK_CAP!$C$2:$C$212,CODEBOOK_CAP!$E$2:$E$212),"Código CAP não encontrado"))</f>
        <v>Observações relacionadas a campanhas de promoção e de prevenção de saúde em adultos. Campanhas de vacinação de adultos, campanhas de prevenção de DSTs em adultos, campanhas para exames de câncer de mama, outubro rosa, Novembro azul, campanhas de valorização da vida, campanhas contra suicídio, Políticas de prevenção a diabetes, campanhas e politicas em pro de atividades esportivas para evitar problemas de pressão, publicacao de cartilhas, guias, informativos, educação sexual, campanhas e atuação de higiene bucal, higiene básica, prevenção contra anemia. Não confundir com acesso a alimentos (1302), pre-natal (332) ou tratamentos de doenças já existentes. Todas campanhas de prevenção que estejam relacionadas com gravidez, bebê e criança (332),</v>
      </c>
      <c r="AK694" s="22" t="s">
        <v>79</v>
      </c>
      <c r="AL694" s="26" t="s">
        <v>3821</v>
      </c>
      <c r="AM694" s="22" t="s">
        <v>79</v>
      </c>
      <c r="AN694" s="22" t="s">
        <v>79</v>
      </c>
      <c r="AO694" s="12" t="s">
        <v>3821</v>
      </c>
      <c r="AP694" s="22" t="s">
        <v>77</v>
      </c>
      <c r="AQ694" s="12"/>
      <c r="AR694" s="22" t="s">
        <v>77</v>
      </c>
      <c r="AS694" s="10"/>
      <c r="AT694" s="2" t="s">
        <v>1814</v>
      </c>
      <c r="AU694" s="12" t="s">
        <v>83</v>
      </c>
      <c r="AV694" s="3" t="n">
        <v>46224</v>
      </c>
      <c r="AW694" s="21"/>
      <c r="AY694" s="1"/>
      <c r="BA694" s="1"/>
      <c r="BB694" s="1"/>
    </row>
    <row r="695" ht="90" customHeight="1">
      <c r="A695" s="20" t="s">
        <v>3822</v>
      </c>
      <c r="B695" s="20" t="n">
        <v>2023</v>
      </c>
      <c r="C695" s="20" t="n">
        <v>734</v>
      </c>
      <c r="D695" s="20" t="s">
        <v>50</v>
      </c>
      <c r="E695" s="20" t="s">
        <v>3787</v>
      </c>
      <c r="F695" s="20" t="s">
        <v>3823</v>
      </c>
      <c r="G695" s="20" t="s">
        <v>315</v>
      </c>
      <c r="H695" s="20" t="s">
        <v>3789</v>
      </c>
      <c r="I695" s="20"/>
      <c r="J695" s="20" t="s">
        <v>3824</v>
      </c>
      <c r="K695" s="20" t="s">
        <v>3659</v>
      </c>
      <c r="L695" s="20" t="s">
        <v>274</v>
      </c>
      <c r="M695" s="20" t="s">
        <v>275</v>
      </c>
      <c r="N695" s="20" t="s">
        <v>276</v>
      </c>
      <c r="O695" s="20" t="s">
        <v>277</v>
      </c>
      <c r="P695" s="20" t="s">
        <v>278</v>
      </c>
      <c r="Q695" s="20" t="s">
        <v>279</v>
      </c>
      <c r="R695" s="20" t="s">
        <v>3660</v>
      </c>
      <c r="S695" s="20" t="s">
        <v>3661</v>
      </c>
      <c r="T695" s="20" t="s">
        <v>2029</v>
      </c>
      <c r="U695" s="20" t="s">
        <v>2030</v>
      </c>
      <c r="V695" s="20" t="s">
        <v>95</v>
      </c>
      <c r="W695" s="20" t="s">
        <v>96</v>
      </c>
      <c r="X695" s="20" t="s">
        <v>97</v>
      </c>
      <c r="Y695" s="20" t="s">
        <v>70</v>
      </c>
      <c r="Z695" s="20" t="s">
        <v>284</v>
      </c>
      <c r="AA695" s="20" t="s">
        <v>2316</v>
      </c>
      <c r="AB695" s="20" t="s">
        <v>2316</v>
      </c>
      <c r="AC695" s="20" t="s">
        <v>3825</v>
      </c>
      <c r="AD695" s="20" t="s">
        <v>2316</v>
      </c>
      <c r="AE695" s="20"/>
      <c r="AF695" s="9" t="n">
        <v>0</v>
      </c>
      <c r="AG695" s="12" t="n">
        <v>0</v>
      </c>
      <c r="AH695" s="22" t="s">
        <v>2043</v>
      </c>
      <c r="AI695" s="12" t="str">
        <f>IF(AH695="","",IFERROR(RIGHT("0000"&amp;AH695,4)&amp;" - "&amp;UPPER(_xlfn.XLOOKUP(RIGHT("0000"&amp;AH695,4),CODEBOOK_CAP!$C$2:$C$212,CODEBOOK_CAP!$D$2:$D$212)),"Código CAP não encontrado"))</f>
        <v>1303 - POLÍTICAS SOCIAIS DE ASSISTÊNCIA PARA IDOSOS</v>
      </c>
      <c r="AJ695" s="12" t="str">
        <f>IF(AH695="","",IFERROR(_xlfn.XLOOKUP(RIGHT("0000"&amp;AH695,4),CODEBOOK_CAP!$C$2:$C$212,CODEBOOK_CAP!$E$2:$E$212),"Código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695" s="22" t="s">
        <v>77</v>
      </c>
      <c r="AL695" s="26"/>
      <c r="AM695" s="22" t="s">
        <v>77</v>
      </c>
      <c r="AN695" s="22" t="s">
        <v>77</v>
      </c>
      <c r="AO695" s="12"/>
      <c r="AP695" s="22" t="s">
        <v>79</v>
      </c>
      <c r="AQ695" s="12" t="s">
        <v>2044</v>
      </c>
      <c r="AR695" s="22" t="s">
        <v>77</v>
      </c>
      <c r="AS695" s="10"/>
      <c r="AT695" s="2" t="s">
        <v>1814</v>
      </c>
      <c r="AU695" s="12" t="s">
        <v>83</v>
      </c>
      <c r="AV695" s="3" t="n">
        <v>46224</v>
      </c>
      <c r="AW695" s="21"/>
      <c r="AY695" s="1"/>
      <c r="BA695" s="1"/>
      <c r="BB695" s="1"/>
    </row>
    <row r="696" ht="90" customHeight="1">
      <c r="A696" s="20" t="s">
        <v>3826</v>
      </c>
      <c r="B696" s="20" t="n">
        <v>2023</v>
      </c>
      <c r="C696" s="20" t="n">
        <v>735</v>
      </c>
      <c r="D696" s="20" t="s">
        <v>50</v>
      </c>
      <c r="E696" s="20" t="s">
        <v>3787</v>
      </c>
      <c r="F696" s="20" t="s">
        <v>3827</v>
      </c>
      <c r="G696" s="20" t="s">
        <v>315</v>
      </c>
      <c r="H696" s="20" t="s">
        <v>3789</v>
      </c>
      <c r="I696" s="20"/>
      <c r="J696" s="20" t="s">
        <v>3828</v>
      </c>
      <c r="K696" s="20" t="s">
        <v>273</v>
      </c>
      <c r="L696" s="20" t="s">
        <v>274</v>
      </c>
      <c r="M696" s="20" t="s">
        <v>275</v>
      </c>
      <c r="N696" s="20" t="s">
        <v>276</v>
      </c>
      <c r="O696" s="20" t="s">
        <v>277</v>
      </c>
      <c r="P696" s="20" t="s">
        <v>278</v>
      </c>
      <c r="Q696" s="20" t="s">
        <v>279</v>
      </c>
      <c r="R696" s="20" t="s">
        <v>280</v>
      </c>
      <c r="S696" s="20" t="s">
        <v>281</v>
      </c>
      <c r="T696" s="20" t="s">
        <v>282</v>
      </c>
      <c r="U696" s="20" t="s">
        <v>283</v>
      </c>
      <c r="V696" s="20" t="s">
        <v>95</v>
      </c>
      <c r="W696" s="20" t="s">
        <v>96</v>
      </c>
      <c r="X696" s="20" t="s">
        <v>97</v>
      </c>
      <c r="Y696" s="20" t="s">
        <v>70</v>
      </c>
      <c r="Z696" s="20" t="s">
        <v>284</v>
      </c>
      <c r="AA696" s="20" t="s">
        <v>363</v>
      </c>
      <c r="AB696" s="20" t="s">
        <v>363</v>
      </c>
      <c r="AC696" s="20" t="s">
        <v>580</v>
      </c>
      <c r="AD696" s="20" t="s">
        <v>363</v>
      </c>
      <c r="AE696" s="20"/>
      <c r="AF696" s="9" t="n">
        <v>0</v>
      </c>
      <c r="AG696" s="12" t="n">
        <v>0</v>
      </c>
      <c r="AH696" s="22" t="s">
        <v>2043</v>
      </c>
      <c r="AI696" s="12" t="str">
        <f>IF(AH696="","",IFERROR(RIGHT("0000"&amp;AH696,4)&amp;" - "&amp;UPPER(_xlfn.XLOOKUP(RIGHT("0000"&amp;AH696,4),CODEBOOK_CAP!$C$2:$C$212,CODEBOOK_CAP!$D$2:$D$212)),"Código CAP não encontrado"))</f>
        <v>1303 - POLÍTICAS SOCIAIS DE ASSISTÊNCIA PARA IDOSOS</v>
      </c>
      <c r="AJ696" s="12" t="str">
        <f>IF(AH696="","",IFERROR(_xlfn.XLOOKUP(RIGHT("0000"&amp;AH696,4),CODEBOOK_CAP!$C$2:$C$212,CODEBOOK_CAP!$E$2:$E$212),"Código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696" s="22" t="s">
        <v>77</v>
      </c>
      <c r="AL696" s="26"/>
      <c r="AM696" s="22" t="s">
        <v>79</v>
      </c>
      <c r="AN696" s="22" t="s">
        <v>79</v>
      </c>
      <c r="AO696" s="12" t="s">
        <v>3829</v>
      </c>
      <c r="AP696" s="22" t="s">
        <v>79</v>
      </c>
      <c r="AQ696" s="12" t="s">
        <v>2044</v>
      </c>
      <c r="AR696" s="22" t="s">
        <v>77</v>
      </c>
      <c r="AS696" s="10"/>
      <c r="AT696" s="2" t="s">
        <v>1814</v>
      </c>
      <c r="AU696" s="12" t="s">
        <v>83</v>
      </c>
      <c r="AV696" s="3" t="n">
        <v>46224</v>
      </c>
      <c r="AW696" s="21"/>
      <c r="AY696" s="1"/>
      <c r="BA696" s="1"/>
      <c r="BB696" s="1"/>
    </row>
    <row r="697" ht="210" customHeight="1">
      <c r="A697" s="20" t="s">
        <v>3830</v>
      </c>
      <c r="B697" s="20" t="n">
        <v>2023</v>
      </c>
      <c r="C697" s="20" t="n">
        <v>736</v>
      </c>
      <c r="D697" s="20" t="s">
        <v>50</v>
      </c>
      <c r="E697" s="20" t="s">
        <v>3787</v>
      </c>
      <c r="F697" s="20" t="s">
        <v>3831</v>
      </c>
      <c r="G697" s="20" t="s">
        <v>86</v>
      </c>
      <c r="H697" s="20" t="s">
        <v>3789</v>
      </c>
      <c r="I697" s="20"/>
      <c r="J697" s="20" t="s">
        <v>3832</v>
      </c>
      <c r="K697" s="20" t="s">
        <v>273</v>
      </c>
      <c r="L697" s="20" t="s">
        <v>274</v>
      </c>
      <c r="M697" s="20" t="s">
        <v>275</v>
      </c>
      <c r="N697" s="20" t="s">
        <v>276</v>
      </c>
      <c r="O697" s="20" t="s">
        <v>277</v>
      </c>
      <c r="P697" s="20" t="s">
        <v>278</v>
      </c>
      <c r="Q697" s="20" t="s">
        <v>279</v>
      </c>
      <c r="R697" s="20" t="s">
        <v>280</v>
      </c>
      <c r="S697" s="20" t="s">
        <v>281</v>
      </c>
      <c r="T697" s="20" t="s">
        <v>282</v>
      </c>
      <c r="U697" s="20" t="s">
        <v>283</v>
      </c>
      <c r="V697" s="20" t="s">
        <v>95</v>
      </c>
      <c r="W697" s="20" t="s">
        <v>96</v>
      </c>
      <c r="X697" s="20" t="s">
        <v>97</v>
      </c>
      <c r="Y697" s="20" t="s">
        <v>70</v>
      </c>
      <c r="Z697" s="20" t="s">
        <v>284</v>
      </c>
      <c r="AA697" s="20" t="s">
        <v>363</v>
      </c>
      <c r="AB697" s="20" t="s">
        <v>363</v>
      </c>
      <c r="AC697" s="20" t="s">
        <v>363</v>
      </c>
      <c r="AD697" s="20" t="s">
        <v>363</v>
      </c>
      <c r="AE697" s="20"/>
      <c r="AF697" s="9" t="n">
        <v>0</v>
      </c>
      <c r="AG697" s="12" t="n">
        <v>0</v>
      </c>
      <c r="AH697" s="22" t="s">
        <v>607</v>
      </c>
      <c r="AI697" s="12" t="str">
        <f>IF(AH697="","",IFERROR(RIGHT("0000"&amp;AH697,4)&amp;" - "&amp;UPPER(_xlfn.XLOOKUP(RIGHT("0000"&amp;AH697,4),CODEBOOK_CAP!$C$2:$C$212,CODEBOOK_CAP!$D$2:$D$212)),"Código CAP não encontrado"))</f>
        <v>1300 - GERAL</v>
      </c>
      <c r="AJ697" s="12" t="str">
        <f>IF(AH697="","",IFERROR(_xlfn.XLOOKUP(RIGHT("0000"&amp;AH697,4),CODEBOOK_CAP!$C$2:$C$212,CODEBOOK_CAP!$E$2:$E$212),"Código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97" s="22" t="s">
        <v>77</v>
      </c>
      <c r="AL697" s="26"/>
      <c r="AM697" s="22" t="s">
        <v>77</v>
      </c>
      <c r="AN697" s="22" t="s">
        <v>77</v>
      </c>
      <c r="AO697" s="12"/>
      <c r="AP697" s="22" t="s">
        <v>77</v>
      </c>
      <c r="AQ697" s="12"/>
      <c r="AR697" s="22" t="s">
        <v>77</v>
      </c>
      <c r="AS697" s="10"/>
      <c r="AT697" s="2" t="s">
        <v>1814</v>
      </c>
      <c r="AU697" s="12" t="s">
        <v>83</v>
      </c>
      <c r="AV697" s="3" t="n">
        <v>46224</v>
      </c>
      <c r="AW697" s="21"/>
      <c r="AY697" s="1"/>
      <c r="BA697" s="1"/>
      <c r="BB697" s="1"/>
    </row>
    <row r="698" ht="90" customHeight="1">
      <c r="A698" s="20" t="s">
        <v>3833</v>
      </c>
      <c r="B698" s="20" t="n">
        <v>2023</v>
      </c>
      <c r="C698" s="20" t="n">
        <v>737</v>
      </c>
      <c r="D698" s="20" t="s">
        <v>50</v>
      </c>
      <c r="E698" s="20" t="s">
        <v>3787</v>
      </c>
      <c r="F698" s="20" t="s">
        <v>3834</v>
      </c>
      <c r="G698" s="20" t="s">
        <v>315</v>
      </c>
      <c r="H698" s="20" t="s">
        <v>3789</v>
      </c>
      <c r="I698" s="20"/>
      <c r="J698" s="20" t="s">
        <v>3835</v>
      </c>
      <c r="K698" s="20" t="s">
        <v>273</v>
      </c>
      <c r="L698" s="20" t="s">
        <v>274</v>
      </c>
      <c r="M698" s="20" t="s">
        <v>275</v>
      </c>
      <c r="N698" s="20" t="s">
        <v>276</v>
      </c>
      <c r="O698" s="20" t="s">
        <v>277</v>
      </c>
      <c r="P698" s="20" t="s">
        <v>278</v>
      </c>
      <c r="Q698" s="20" t="s">
        <v>279</v>
      </c>
      <c r="R698" s="20" t="s">
        <v>280</v>
      </c>
      <c r="S698" s="20" t="s">
        <v>281</v>
      </c>
      <c r="T698" s="20" t="s">
        <v>282</v>
      </c>
      <c r="U698" s="20" t="s">
        <v>283</v>
      </c>
      <c r="V698" s="20" t="s">
        <v>95</v>
      </c>
      <c r="W698" s="20" t="s">
        <v>96</v>
      </c>
      <c r="X698" s="20" t="s">
        <v>97</v>
      </c>
      <c r="Y698" s="20" t="s">
        <v>70</v>
      </c>
      <c r="Z698" s="20" t="s">
        <v>284</v>
      </c>
      <c r="AA698" s="20" t="s">
        <v>580</v>
      </c>
      <c r="AB698" s="20" t="s">
        <v>580</v>
      </c>
      <c r="AC698" s="20" t="s">
        <v>580</v>
      </c>
      <c r="AD698" s="20" t="s">
        <v>580</v>
      </c>
      <c r="AE698" s="20"/>
      <c r="AF698" s="9" t="n">
        <v>0</v>
      </c>
      <c r="AG698" s="12" t="n">
        <v>0</v>
      </c>
      <c r="AH698" s="22" t="s">
        <v>2043</v>
      </c>
      <c r="AI698" s="12" t="str">
        <f>IF(AH698="","",IFERROR(RIGHT("0000"&amp;AH698,4)&amp;" - "&amp;UPPER(_xlfn.XLOOKUP(RIGHT("0000"&amp;AH698,4),CODEBOOK_CAP!$C$2:$C$212,CODEBOOK_CAP!$D$2:$D$212)),"Código CAP não encontrado"))</f>
        <v>1303 - POLÍTICAS SOCIAIS DE ASSISTÊNCIA PARA IDOSOS</v>
      </c>
      <c r="AJ698" s="12" t="str">
        <f>IF(AH698="","",IFERROR(_xlfn.XLOOKUP(RIGHT("0000"&amp;AH698,4),CODEBOOK_CAP!$C$2:$C$212,CODEBOOK_CAP!$E$2:$E$212),"Código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698" s="22" t="s">
        <v>77</v>
      </c>
      <c r="AL698" s="26"/>
      <c r="AM698" s="22" t="s">
        <v>77</v>
      </c>
      <c r="AN698" s="22" t="s">
        <v>77</v>
      </c>
      <c r="AO698" s="12"/>
      <c r="AP698" s="22" t="s">
        <v>79</v>
      </c>
      <c r="AQ698" s="12" t="s">
        <v>2044</v>
      </c>
      <c r="AR698" s="22" t="s">
        <v>77</v>
      </c>
      <c r="AS698" s="10"/>
      <c r="AT698" s="2" t="s">
        <v>1814</v>
      </c>
      <c r="AU698" s="12" t="s">
        <v>83</v>
      </c>
      <c r="AV698" s="3" t="n">
        <v>46224</v>
      </c>
      <c r="AW698" s="21"/>
      <c r="AY698" s="1"/>
      <c r="BA698" s="1"/>
      <c r="BB698" s="1"/>
    </row>
    <row r="699" ht="210" customHeight="1">
      <c r="A699" s="20" t="s">
        <v>3836</v>
      </c>
      <c r="B699" s="20" t="n">
        <v>2023</v>
      </c>
      <c r="C699" s="20" t="n">
        <v>738</v>
      </c>
      <c r="D699" s="20" t="s">
        <v>50</v>
      </c>
      <c r="E699" s="20" t="s">
        <v>3787</v>
      </c>
      <c r="F699" s="20" t="s">
        <v>3837</v>
      </c>
      <c r="G699" s="20" t="s">
        <v>86</v>
      </c>
      <c r="H699" s="20" t="s">
        <v>3789</v>
      </c>
      <c r="I699" s="20"/>
      <c r="J699" s="20" t="s">
        <v>3838</v>
      </c>
      <c r="K699" s="20" t="s">
        <v>2028</v>
      </c>
      <c r="L699" s="20" t="s">
        <v>274</v>
      </c>
      <c r="M699" s="20" t="s">
        <v>275</v>
      </c>
      <c r="N699" s="20" t="s">
        <v>276</v>
      </c>
      <c r="O699" s="20" t="s">
        <v>277</v>
      </c>
      <c r="P699" s="20" t="s">
        <v>278</v>
      </c>
      <c r="Q699" s="20" t="s">
        <v>279</v>
      </c>
      <c r="R699" s="20" t="s">
        <v>817</v>
      </c>
      <c r="S699" s="20" t="s">
        <v>818</v>
      </c>
      <c r="T699" s="20" t="s">
        <v>2029</v>
      </c>
      <c r="U699" s="20" t="s">
        <v>2030</v>
      </c>
      <c r="V699" s="20" t="s">
        <v>95</v>
      </c>
      <c r="W699" s="20" t="s">
        <v>96</v>
      </c>
      <c r="X699" s="20" t="s">
        <v>97</v>
      </c>
      <c r="Y699" s="20" t="s">
        <v>70</v>
      </c>
      <c r="Z699" s="20" t="s">
        <v>284</v>
      </c>
      <c r="AA699" s="20" t="s">
        <v>363</v>
      </c>
      <c r="AB699" s="20" t="s">
        <v>363</v>
      </c>
      <c r="AC699" s="20" t="s">
        <v>363</v>
      </c>
      <c r="AD699" s="20" t="s">
        <v>363</v>
      </c>
      <c r="AE699" s="20"/>
      <c r="AF699" s="9" t="n">
        <v>0</v>
      </c>
      <c r="AG699" s="12" t="n">
        <v>0</v>
      </c>
      <c r="AH699" s="22" t="s">
        <v>607</v>
      </c>
      <c r="AI699" s="12" t="str">
        <f>IF(AH699="","",IFERROR(RIGHT("0000"&amp;AH699,4)&amp;" - "&amp;UPPER(_xlfn.XLOOKUP(RIGHT("0000"&amp;AH699,4),CODEBOOK_CAP!$C$2:$C$212,CODEBOOK_CAP!$D$2:$D$212)),"Código CAP não encontrado"))</f>
        <v>1300 - GERAL</v>
      </c>
      <c r="AJ699" s="12" t="str">
        <f>IF(AH699="","",IFERROR(_xlfn.XLOOKUP(RIGHT("0000"&amp;AH699,4),CODEBOOK_CAP!$C$2:$C$212,CODEBOOK_CAP!$E$2:$E$212),"Código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699" s="22" t="s">
        <v>77</v>
      </c>
      <c r="AL699" s="26"/>
      <c r="AM699" s="22" t="s">
        <v>77</v>
      </c>
      <c r="AN699" s="22" t="s">
        <v>77</v>
      </c>
      <c r="AO699" s="12"/>
      <c r="AP699" s="22" t="s">
        <v>77</v>
      </c>
      <c r="AQ699" s="12"/>
      <c r="AR699" s="22" t="s">
        <v>77</v>
      </c>
      <c r="AS699" s="10"/>
      <c r="AT699" s="2" t="s">
        <v>1814</v>
      </c>
      <c r="AU699" s="12" t="s">
        <v>83</v>
      </c>
      <c r="AV699" s="3" t="n">
        <v>46224</v>
      </c>
      <c r="AW699" s="21"/>
      <c r="AY699" s="1"/>
      <c r="BA699" s="1"/>
      <c r="BB699" s="1"/>
    </row>
    <row r="700" ht="210" customHeight="1">
      <c r="A700" s="20" t="s">
        <v>3839</v>
      </c>
      <c r="B700" s="20" t="n">
        <v>2023</v>
      </c>
      <c r="C700" s="20" t="n">
        <v>739</v>
      </c>
      <c r="D700" s="20" t="s">
        <v>50</v>
      </c>
      <c r="E700" s="20" t="s">
        <v>3787</v>
      </c>
      <c r="F700" s="20" t="s">
        <v>3840</v>
      </c>
      <c r="G700" s="20" t="s">
        <v>315</v>
      </c>
      <c r="H700" s="20" t="s">
        <v>3789</v>
      </c>
      <c r="I700" s="20"/>
      <c r="J700" s="20" t="s">
        <v>3841</v>
      </c>
      <c r="K700" s="20" t="s">
        <v>273</v>
      </c>
      <c r="L700" s="20" t="s">
        <v>274</v>
      </c>
      <c r="M700" s="20" t="s">
        <v>275</v>
      </c>
      <c r="N700" s="20" t="s">
        <v>276</v>
      </c>
      <c r="O700" s="20" t="s">
        <v>277</v>
      </c>
      <c r="P700" s="20" t="s">
        <v>278</v>
      </c>
      <c r="Q700" s="20" t="s">
        <v>279</v>
      </c>
      <c r="R700" s="20" t="s">
        <v>280</v>
      </c>
      <c r="S700" s="20" t="s">
        <v>281</v>
      </c>
      <c r="T700" s="20" t="s">
        <v>282</v>
      </c>
      <c r="U700" s="20" t="s">
        <v>283</v>
      </c>
      <c r="V700" s="20" t="s">
        <v>95</v>
      </c>
      <c r="W700" s="20" t="s">
        <v>96</v>
      </c>
      <c r="X700" s="20" t="s">
        <v>97</v>
      </c>
      <c r="Y700" s="20" t="s">
        <v>70</v>
      </c>
      <c r="Z700" s="20" t="s">
        <v>284</v>
      </c>
      <c r="AA700" s="20" t="s">
        <v>292</v>
      </c>
      <c r="AB700" s="20" t="s">
        <v>292</v>
      </c>
      <c r="AC700" s="20" t="s">
        <v>292</v>
      </c>
      <c r="AD700" s="20" t="s">
        <v>292</v>
      </c>
      <c r="AE700" s="20"/>
      <c r="AF700" s="9" t="n">
        <v>0</v>
      </c>
      <c r="AG700" s="12" t="n">
        <v>0</v>
      </c>
      <c r="AH700" s="22" t="s">
        <v>607</v>
      </c>
      <c r="AI700" s="12" t="str">
        <f>IF(AH700="","",IFERROR(RIGHT("0000"&amp;AH700,4)&amp;" - "&amp;UPPER(_xlfn.XLOOKUP(RIGHT("0000"&amp;AH700,4),CODEBOOK_CAP!$C$2:$C$212,CODEBOOK_CAP!$D$2:$D$212)),"Código CAP não encontrado"))</f>
        <v>1300 - GERAL</v>
      </c>
      <c r="AJ700" s="12" t="str">
        <f>IF(AH700="","",IFERROR(_xlfn.XLOOKUP(RIGHT("0000"&amp;AH700,4),CODEBOOK_CAP!$C$2:$C$212,CODEBOOK_CAP!$E$2:$E$212),"Código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00" s="22" t="s">
        <v>77</v>
      </c>
      <c r="AL700" s="26"/>
      <c r="AM700" s="22" t="s">
        <v>77</v>
      </c>
      <c r="AN700" s="22" t="s">
        <v>77</v>
      </c>
      <c r="AO700" s="12"/>
      <c r="AP700" s="22" t="s">
        <v>77</v>
      </c>
      <c r="AQ700" s="12"/>
      <c r="AR700" s="22" t="s">
        <v>77</v>
      </c>
      <c r="AS700" s="10"/>
      <c r="AT700" s="2" t="s">
        <v>1814</v>
      </c>
      <c r="AU700" s="12" t="s">
        <v>83</v>
      </c>
      <c r="AV700" s="3" t="n">
        <v>46224</v>
      </c>
      <c r="AW700" s="21"/>
      <c r="AY700" s="1"/>
      <c r="BA700" s="1"/>
      <c r="BB700" s="1"/>
    </row>
    <row r="701" ht="210" customHeight="1">
      <c r="A701" s="20" t="s">
        <v>3842</v>
      </c>
      <c r="B701" s="20" t="n">
        <v>2023</v>
      </c>
      <c r="C701" s="20" t="n">
        <v>740</v>
      </c>
      <c r="D701" s="20" t="s">
        <v>50</v>
      </c>
      <c r="E701" s="20" t="s">
        <v>3787</v>
      </c>
      <c r="F701" s="20" t="s">
        <v>3843</v>
      </c>
      <c r="G701" s="20" t="s">
        <v>315</v>
      </c>
      <c r="H701" s="20" t="s">
        <v>3789</v>
      </c>
      <c r="I701" s="20"/>
      <c r="J701" s="20" t="s">
        <v>3844</v>
      </c>
      <c r="K701" s="20" t="s">
        <v>273</v>
      </c>
      <c r="L701" s="20" t="s">
        <v>274</v>
      </c>
      <c r="M701" s="20" t="s">
        <v>275</v>
      </c>
      <c r="N701" s="20" t="s">
        <v>276</v>
      </c>
      <c r="O701" s="20" t="s">
        <v>277</v>
      </c>
      <c r="P701" s="20" t="s">
        <v>278</v>
      </c>
      <c r="Q701" s="20" t="s">
        <v>279</v>
      </c>
      <c r="R701" s="20" t="s">
        <v>280</v>
      </c>
      <c r="S701" s="20" t="s">
        <v>281</v>
      </c>
      <c r="T701" s="20" t="s">
        <v>282</v>
      </c>
      <c r="U701" s="20" t="s">
        <v>283</v>
      </c>
      <c r="V701" s="20" t="s">
        <v>95</v>
      </c>
      <c r="W701" s="20" t="s">
        <v>96</v>
      </c>
      <c r="X701" s="20" t="s">
        <v>97</v>
      </c>
      <c r="Y701" s="20" t="s">
        <v>70</v>
      </c>
      <c r="Z701" s="20" t="s">
        <v>284</v>
      </c>
      <c r="AA701" s="20" t="s">
        <v>125</v>
      </c>
      <c r="AB701" s="20" t="s">
        <v>125</v>
      </c>
      <c r="AC701" s="20" t="s">
        <v>125</v>
      </c>
      <c r="AD701" s="20" t="s">
        <v>125</v>
      </c>
      <c r="AE701" s="20"/>
      <c r="AF701" s="9" t="n">
        <v>0</v>
      </c>
      <c r="AG701" s="12" t="n">
        <v>0</v>
      </c>
      <c r="AH701" s="22" t="s">
        <v>607</v>
      </c>
      <c r="AI701" s="12" t="str">
        <f>IF(AH701="","",IFERROR(RIGHT("0000"&amp;AH701,4)&amp;" - "&amp;UPPER(_xlfn.XLOOKUP(RIGHT("0000"&amp;AH701,4),CODEBOOK_CAP!$C$2:$C$212,CODEBOOK_CAP!$D$2:$D$212)),"Código CAP não encontrado"))</f>
        <v>1300 - GERAL</v>
      </c>
      <c r="AJ701" s="12" t="str">
        <f>IF(AH701="","",IFERROR(_xlfn.XLOOKUP(RIGHT("0000"&amp;AH701,4),CODEBOOK_CAP!$C$2:$C$212,CODEBOOK_CAP!$E$2:$E$212),"Código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01" s="22" t="s">
        <v>77</v>
      </c>
      <c r="AL701" s="26"/>
      <c r="AM701" s="22" t="s">
        <v>79</v>
      </c>
      <c r="AN701" s="22" t="s">
        <v>79</v>
      </c>
      <c r="AO701" s="26" t="s">
        <v>3845</v>
      </c>
      <c r="AP701" s="22" t="s">
        <v>77</v>
      </c>
      <c r="AQ701" s="12"/>
      <c r="AR701" s="22" t="s">
        <v>77</v>
      </c>
      <c r="AS701" s="10"/>
      <c r="AT701" s="2" t="s">
        <v>1814</v>
      </c>
      <c r="AU701" s="12" t="s">
        <v>83</v>
      </c>
      <c r="AV701" s="3" t="n">
        <v>46224</v>
      </c>
      <c r="AW701" s="21"/>
      <c r="AY701" s="1"/>
      <c r="BA701" s="1"/>
      <c r="BB701" s="1"/>
    </row>
    <row r="702" ht="90" customHeight="1">
      <c r="A702" s="20" t="s">
        <v>3846</v>
      </c>
      <c r="B702" s="20" t="n">
        <v>2023</v>
      </c>
      <c r="C702" s="20" t="n">
        <v>741</v>
      </c>
      <c r="D702" s="20" t="s">
        <v>50</v>
      </c>
      <c r="E702" s="20" t="s">
        <v>3787</v>
      </c>
      <c r="F702" s="20" t="s">
        <v>3847</v>
      </c>
      <c r="G702" s="20" t="s">
        <v>315</v>
      </c>
      <c r="H702" s="20" t="s">
        <v>3789</v>
      </c>
      <c r="I702" s="20"/>
      <c r="J702" s="20" t="s">
        <v>3848</v>
      </c>
      <c r="K702" s="20" t="s">
        <v>3849</v>
      </c>
      <c r="L702" s="20" t="s">
        <v>274</v>
      </c>
      <c r="M702" s="20" t="s">
        <v>275</v>
      </c>
      <c r="N702" s="20" t="s">
        <v>1408</v>
      </c>
      <c r="O702" s="20" t="s">
        <v>1409</v>
      </c>
      <c r="P702" s="20" t="s">
        <v>2041</v>
      </c>
      <c r="Q702" s="20" t="s">
        <v>2042</v>
      </c>
      <c r="R702" s="20" t="s">
        <v>1412</v>
      </c>
      <c r="S702" s="20" t="s">
        <v>1413</v>
      </c>
      <c r="T702" s="20" t="s">
        <v>3850</v>
      </c>
      <c r="U702" s="20" t="s">
        <v>3851</v>
      </c>
      <c r="V702" s="20" t="s">
        <v>95</v>
      </c>
      <c r="W702" s="20" t="s">
        <v>96</v>
      </c>
      <c r="X702" s="20" t="s">
        <v>97</v>
      </c>
      <c r="Y702" s="20" t="s">
        <v>70</v>
      </c>
      <c r="Z702" s="20" t="s">
        <v>284</v>
      </c>
      <c r="AA702" s="20" t="s">
        <v>363</v>
      </c>
      <c r="AB702" s="20" t="s">
        <v>363</v>
      </c>
      <c r="AC702" s="20" t="s">
        <v>363</v>
      </c>
      <c r="AD702" s="20" t="s">
        <v>363</v>
      </c>
      <c r="AE702" s="20"/>
      <c r="AF702" s="9" t="n">
        <v>0</v>
      </c>
      <c r="AG702" s="12" t="n">
        <v>0</v>
      </c>
      <c r="AH702" s="22" t="s">
        <v>2043</v>
      </c>
      <c r="AI702" s="12" t="str">
        <f>IF(AH702="","",IFERROR(RIGHT("0000"&amp;AH702,4)&amp;" - "&amp;UPPER(_xlfn.XLOOKUP(RIGHT("0000"&amp;AH702,4),CODEBOOK_CAP!$C$2:$C$212,CODEBOOK_CAP!$D$2:$D$212)),"Código CAP não encontrado"))</f>
        <v>1303 - POLÍTICAS SOCIAIS DE ASSISTÊNCIA PARA IDOSOS</v>
      </c>
      <c r="AJ702" s="12" t="str">
        <f>IF(AH702="","",IFERROR(_xlfn.XLOOKUP(RIGHT("0000"&amp;AH702,4),CODEBOOK_CAP!$C$2:$C$212,CODEBOOK_CAP!$E$2:$E$212),"Código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702" s="22" t="s">
        <v>77</v>
      </c>
      <c r="AL702" s="26"/>
      <c r="AM702" s="22" t="s">
        <v>77</v>
      </c>
      <c r="AN702" s="22" t="s">
        <v>77</v>
      </c>
      <c r="AO702" s="12"/>
      <c r="AP702" s="22" t="s">
        <v>79</v>
      </c>
      <c r="AQ702" s="12" t="s">
        <v>2044</v>
      </c>
      <c r="AR702" s="22" t="s">
        <v>77</v>
      </c>
      <c r="AS702" s="10"/>
      <c r="AT702" s="2" t="s">
        <v>1814</v>
      </c>
      <c r="AU702" s="12" t="s">
        <v>83</v>
      </c>
      <c r="AV702" s="3" t="n">
        <v>46224</v>
      </c>
      <c r="AW702" s="21"/>
      <c r="AY702" s="1"/>
      <c r="BA702" s="1"/>
      <c r="BB702" s="1"/>
    </row>
    <row r="703" ht="90" customHeight="1">
      <c r="A703" s="20" t="s">
        <v>3852</v>
      </c>
      <c r="B703" s="20" t="n">
        <v>2023</v>
      </c>
      <c r="C703" s="20" t="n">
        <v>742</v>
      </c>
      <c r="D703" s="20" t="s">
        <v>50</v>
      </c>
      <c r="E703" s="20" t="s">
        <v>3787</v>
      </c>
      <c r="F703" s="20" t="s">
        <v>3853</v>
      </c>
      <c r="G703" s="20" t="s">
        <v>86</v>
      </c>
      <c r="H703" s="20" t="s">
        <v>3789</v>
      </c>
      <c r="I703" s="20"/>
      <c r="J703" s="20" t="s">
        <v>3854</v>
      </c>
      <c r="K703" s="20" t="s">
        <v>816</v>
      </c>
      <c r="L703" s="20" t="s">
        <v>274</v>
      </c>
      <c r="M703" s="20" t="s">
        <v>275</v>
      </c>
      <c r="N703" s="20" t="s">
        <v>276</v>
      </c>
      <c r="O703" s="20" t="s">
        <v>277</v>
      </c>
      <c r="P703" s="20" t="s">
        <v>278</v>
      </c>
      <c r="Q703" s="20" t="s">
        <v>279</v>
      </c>
      <c r="R703" s="20" t="s">
        <v>817</v>
      </c>
      <c r="S703" s="20" t="s">
        <v>818</v>
      </c>
      <c r="T703" s="20" t="s">
        <v>819</v>
      </c>
      <c r="U703" s="20" t="s">
        <v>820</v>
      </c>
      <c r="V703" s="20" t="s">
        <v>95</v>
      </c>
      <c r="W703" s="20" t="s">
        <v>96</v>
      </c>
      <c r="X703" s="20" t="s">
        <v>97</v>
      </c>
      <c r="Y703" s="20" t="s">
        <v>70</v>
      </c>
      <c r="Z703" s="20" t="s">
        <v>284</v>
      </c>
      <c r="AA703" s="20" t="s">
        <v>292</v>
      </c>
      <c r="AB703" s="20" t="s">
        <v>292</v>
      </c>
      <c r="AC703" s="20" t="s">
        <v>292</v>
      </c>
      <c r="AD703" s="20" t="s">
        <v>292</v>
      </c>
      <c r="AE703" s="20"/>
      <c r="AF703" s="9" t="n">
        <v>0</v>
      </c>
      <c r="AG703" s="12" t="n">
        <v>0</v>
      </c>
      <c r="AH703" s="22" t="s">
        <v>2043</v>
      </c>
      <c r="AI703" s="12" t="str">
        <f>IF(AH703="","",IFERROR(RIGHT("0000"&amp;AH703,4)&amp;" - "&amp;UPPER(_xlfn.XLOOKUP(RIGHT("0000"&amp;AH703,4),CODEBOOK_CAP!$C$2:$C$212,CODEBOOK_CAP!$D$2:$D$212)),"Código CAP não encontrado"))</f>
        <v>1303 - POLÍTICAS SOCIAIS DE ASSISTÊNCIA PARA IDOSOS</v>
      </c>
      <c r="AJ703" s="12" t="str">
        <f>IF(AH703="","",IFERROR(_xlfn.XLOOKUP(RIGHT("0000"&amp;AH703,4),CODEBOOK_CAP!$C$2:$C$212,CODEBOOK_CAP!$E$2:$E$212),"Código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703" s="22" t="s">
        <v>77</v>
      </c>
      <c r="AL703" s="26"/>
      <c r="AM703" s="22" t="s">
        <v>79</v>
      </c>
      <c r="AN703" s="22" t="s">
        <v>79</v>
      </c>
      <c r="AO703" s="12" t="s">
        <v>3855</v>
      </c>
      <c r="AP703" s="22" t="s">
        <v>79</v>
      </c>
      <c r="AQ703" s="12" t="s">
        <v>2044</v>
      </c>
      <c r="AR703" s="22" t="s">
        <v>77</v>
      </c>
      <c r="AS703" s="10"/>
      <c r="AT703" s="2" t="s">
        <v>1814</v>
      </c>
      <c r="AU703" s="12" t="s">
        <v>83</v>
      </c>
      <c r="AV703" s="3" t="n">
        <v>46224</v>
      </c>
      <c r="AW703" s="21"/>
      <c r="AY703" s="1"/>
      <c r="BA703" s="1"/>
      <c r="BB703" s="1"/>
    </row>
    <row r="704" ht="210" customHeight="1">
      <c r="A704" s="20" t="s">
        <v>3856</v>
      </c>
      <c r="B704" s="20" t="n">
        <v>2023</v>
      </c>
      <c r="C704" s="20" t="n">
        <v>743</v>
      </c>
      <c r="D704" s="20" t="s">
        <v>50</v>
      </c>
      <c r="E704" s="20" t="s">
        <v>3787</v>
      </c>
      <c r="F704" s="20" t="s">
        <v>3857</v>
      </c>
      <c r="G704" s="20" t="s">
        <v>86</v>
      </c>
      <c r="H704" s="20" t="s">
        <v>3789</v>
      </c>
      <c r="I704" s="20"/>
      <c r="J704" s="20" t="s">
        <v>3858</v>
      </c>
      <c r="K704" s="20" t="s">
        <v>816</v>
      </c>
      <c r="L704" s="20" t="s">
        <v>274</v>
      </c>
      <c r="M704" s="20" t="s">
        <v>275</v>
      </c>
      <c r="N704" s="20" t="s">
        <v>276</v>
      </c>
      <c r="O704" s="20" t="s">
        <v>277</v>
      </c>
      <c r="P704" s="20" t="s">
        <v>278</v>
      </c>
      <c r="Q704" s="20" t="s">
        <v>279</v>
      </c>
      <c r="R704" s="20" t="s">
        <v>817</v>
      </c>
      <c r="S704" s="20" t="s">
        <v>818</v>
      </c>
      <c r="T704" s="20" t="s">
        <v>819</v>
      </c>
      <c r="U704" s="20" t="s">
        <v>820</v>
      </c>
      <c r="V704" s="20" t="s">
        <v>95</v>
      </c>
      <c r="W704" s="20" t="s">
        <v>96</v>
      </c>
      <c r="X704" s="20" t="s">
        <v>97</v>
      </c>
      <c r="Y704" s="20" t="s">
        <v>70</v>
      </c>
      <c r="Z704" s="20" t="s">
        <v>284</v>
      </c>
      <c r="AA704" s="20" t="s">
        <v>395</v>
      </c>
      <c r="AB704" s="20" t="s">
        <v>395</v>
      </c>
      <c r="AC704" s="20" t="s">
        <v>395</v>
      </c>
      <c r="AD704" s="20" t="s">
        <v>395</v>
      </c>
      <c r="AE704" s="20"/>
      <c r="AF704" s="9" t="n">
        <v>0</v>
      </c>
      <c r="AG704" s="12" t="n">
        <v>0</v>
      </c>
      <c r="AH704" s="22" t="s">
        <v>607</v>
      </c>
      <c r="AI704" s="12" t="str">
        <f>IF(AH704="","",IFERROR(RIGHT("0000"&amp;AH704,4)&amp;" - "&amp;UPPER(_xlfn.XLOOKUP(RIGHT("0000"&amp;AH704,4),CODEBOOK_CAP!$C$2:$C$212,CODEBOOK_CAP!$D$2:$D$212)),"Código CAP não encontrado"))</f>
        <v>1300 - GERAL</v>
      </c>
      <c r="AJ704" s="12" t="str">
        <f>IF(AH704="","",IFERROR(_xlfn.XLOOKUP(RIGHT("0000"&amp;AH704,4),CODEBOOK_CAP!$C$2:$C$212,CODEBOOK_CAP!$E$2:$E$212),"Código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04" s="22" t="s">
        <v>77</v>
      </c>
      <c r="AL704" s="26"/>
      <c r="AM704" s="22" t="s">
        <v>77</v>
      </c>
      <c r="AN704" s="22" t="s">
        <v>77</v>
      </c>
      <c r="AO704" s="12"/>
      <c r="AP704" s="22" t="s">
        <v>77</v>
      </c>
      <c r="AQ704" s="12"/>
      <c r="AR704" s="22" t="s">
        <v>77</v>
      </c>
      <c r="AS704" s="10"/>
      <c r="AT704" s="2" t="s">
        <v>1814</v>
      </c>
      <c r="AU704" s="12" t="s">
        <v>83</v>
      </c>
      <c r="AV704" s="3" t="n">
        <v>46224</v>
      </c>
      <c r="AW704" s="21"/>
      <c r="AY704" s="1"/>
      <c r="BA704" s="1"/>
      <c r="BB704" s="1"/>
    </row>
    <row r="705" ht="210" customHeight="1">
      <c r="A705" s="20" t="s">
        <v>3859</v>
      </c>
      <c r="B705" s="20" t="n">
        <v>2023</v>
      </c>
      <c r="C705" s="20" t="n">
        <v>744</v>
      </c>
      <c r="D705" s="20" t="s">
        <v>50</v>
      </c>
      <c r="E705" s="20" t="s">
        <v>3787</v>
      </c>
      <c r="F705" s="20" t="s">
        <v>3860</v>
      </c>
      <c r="G705" s="20" t="s">
        <v>315</v>
      </c>
      <c r="H705" s="20" t="s">
        <v>3789</v>
      </c>
      <c r="I705" s="20"/>
      <c r="J705" s="20" t="s">
        <v>3861</v>
      </c>
      <c r="K705" s="20" t="s">
        <v>3862</v>
      </c>
      <c r="L705" s="20" t="s">
        <v>274</v>
      </c>
      <c r="M705" s="20" t="s">
        <v>275</v>
      </c>
      <c r="N705" s="20" t="s">
        <v>1408</v>
      </c>
      <c r="O705" s="20" t="s">
        <v>1409</v>
      </c>
      <c r="P705" s="20" t="s">
        <v>750</v>
      </c>
      <c r="Q705" s="20" t="s">
        <v>751</v>
      </c>
      <c r="R705" s="20" t="s">
        <v>1412</v>
      </c>
      <c r="S705" s="20" t="s">
        <v>1413</v>
      </c>
      <c r="T705" s="20" t="s">
        <v>2859</v>
      </c>
      <c r="U705" s="20" t="s">
        <v>2860</v>
      </c>
      <c r="V705" s="20" t="s">
        <v>95</v>
      </c>
      <c r="W705" s="20" t="s">
        <v>96</v>
      </c>
      <c r="X705" s="20" t="s">
        <v>97</v>
      </c>
      <c r="Y705" s="20" t="s">
        <v>70</v>
      </c>
      <c r="Z705" s="20" t="s">
        <v>284</v>
      </c>
      <c r="AA705" s="20" t="s">
        <v>363</v>
      </c>
      <c r="AB705" s="20" t="s">
        <v>363</v>
      </c>
      <c r="AC705" s="20" t="s">
        <v>580</v>
      </c>
      <c r="AD705" s="20" t="s">
        <v>363</v>
      </c>
      <c r="AE705" s="20"/>
      <c r="AF705" s="9" t="n">
        <v>0</v>
      </c>
      <c r="AG705" s="12" t="n">
        <v>0</v>
      </c>
      <c r="AH705" s="22" t="s">
        <v>607</v>
      </c>
      <c r="AI705" s="12" t="str">
        <f>IF(AH705="","",IFERROR(RIGHT("0000"&amp;AH705,4)&amp;" - "&amp;UPPER(_xlfn.XLOOKUP(RIGHT("0000"&amp;AH705,4),CODEBOOK_CAP!$C$2:$C$212,CODEBOOK_CAP!$D$2:$D$212)),"Código CAP não encontrado"))</f>
        <v>1300 - GERAL</v>
      </c>
      <c r="AJ705" s="12" t="str">
        <f>IF(AH705="","",IFERROR(_xlfn.XLOOKUP(RIGHT("0000"&amp;AH705,4),CODEBOOK_CAP!$C$2:$C$212,CODEBOOK_CAP!$E$2:$E$212),"Código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05" s="22" t="s">
        <v>77</v>
      </c>
      <c r="AL705" s="26"/>
      <c r="AM705" s="22" t="s">
        <v>77</v>
      </c>
      <c r="AN705" s="22" t="s">
        <v>77</v>
      </c>
      <c r="AO705" s="12"/>
      <c r="AP705" s="22"/>
      <c r="AQ705" s="12"/>
      <c r="AR705" s="22" t="s">
        <v>77</v>
      </c>
      <c r="AS705" s="10"/>
      <c r="AT705" s="2" t="s">
        <v>1814</v>
      </c>
      <c r="AU705" s="12" t="s">
        <v>83</v>
      </c>
      <c r="AV705" s="3" t="n">
        <v>46224</v>
      </c>
      <c r="AW705" s="21"/>
      <c r="AY705" s="1"/>
      <c r="BA705" s="1"/>
      <c r="BB705" s="1"/>
    </row>
    <row r="706" ht="90" customHeight="1">
      <c r="A706" s="20" t="s">
        <v>3863</v>
      </c>
      <c r="B706" s="20" t="n">
        <v>2023</v>
      </c>
      <c r="C706" s="20" t="n">
        <v>745</v>
      </c>
      <c r="D706" s="20" t="s">
        <v>50</v>
      </c>
      <c r="E706" s="20" t="s">
        <v>3787</v>
      </c>
      <c r="F706" s="20" t="s">
        <v>3864</v>
      </c>
      <c r="G706" s="20" t="s">
        <v>315</v>
      </c>
      <c r="H706" s="20" t="s">
        <v>3789</v>
      </c>
      <c r="I706" s="20"/>
      <c r="J706" s="20" t="s">
        <v>3865</v>
      </c>
      <c r="K706" s="20" t="s">
        <v>273</v>
      </c>
      <c r="L706" s="20" t="s">
        <v>274</v>
      </c>
      <c r="M706" s="20" t="s">
        <v>275</v>
      </c>
      <c r="N706" s="20" t="s">
        <v>276</v>
      </c>
      <c r="O706" s="20" t="s">
        <v>277</v>
      </c>
      <c r="P706" s="20" t="s">
        <v>278</v>
      </c>
      <c r="Q706" s="20" t="s">
        <v>279</v>
      </c>
      <c r="R706" s="20" t="s">
        <v>280</v>
      </c>
      <c r="S706" s="20" t="s">
        <v>281</v>
      </c>
      <c r="T706" s="20" t="s">
        <v>282</v>
      </c>
      <c r="U706" s="20" t="s">
        <v>283</v>
      </c>
      <c r="V706" s="20" t="s">
        <v>95</v>
      </c>
      <c r="W706" s="20" t="s">
        <v>96</v>
      </c>
      <c r="X706" s="20" t="s">
        <v>97</v>
      </c>
      <c r="Y706" s="20" t="s">
        <v>70</v>
      </c>
      <c r="Z706" s="20" t="s">
        <v>284</v>
      </c>
      <c r="AA706" s="20" t="s">
        <v>395</v>
      </c>
      <c r="AB706" s="20" t="s">
        <v>395</v>
      </c>
      <c r="AC706" s="20" t="s">
        <v>395</v>
      </c>
      <c r="AD706" s="20" t="s">
        <v>395</v>
      </c>
      <c r="AE706" s="20"/>
      <c r="AF706" s="9" t="n">
        <v>0</v>
      </c>
      <c r="AG706" s="12" t="n">
        <v>0</v>
      </c>
      <c r="AH706" s="22" t="s">
        <v>941</v>
      </c>
      <c r="AI706" s="12" t="str">
        <f>IF(AH706="","",IFERROR(RIGHT("0000"&amp;AH706,4)&amp;" - "&amp;UPPER(_xlfn.XLOOKUP(RIGHT("0000"&amp;AH706,4),CODEBOOK_CAP!$C$2:$C$212,CODEBOOK_CAP!$D$2:$D$212)),"Código CAP não encontrado"))</f>
        <v>1308 - POLÍTICAS SOCIAIS PARA FAMÍLIAS E INFÂNCIA</v>
      </c>
      <c r="AJ706" s="12" t="str">
        <f>IF(AH706="","",IFERROR(_xlfn.XLOOKUP(RIGHT("0000"&amp;AH706,4),CODEBOOK_CAP!$C$2:$C$212,CODEBOOK_CAP!$E$2:$E$212),"Código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706" s="22" t="s">
        <v>77</v>
      </c>
      <c r="AL706" s="26"/>
      <c r="AM706" s="22" t="s">
        <v>77</v>
      </c>
      <c r="AN706" s="22" t="s">
        <v>77</v>
      </c>
      <c r="AO706" s="12"/>
      <c r="AP706" s="22" t="s">
        <v>79</v>
      </c>
      <c r="AQ706" s="12" t="s">
        <v>3259</v>
      </c>
      <c r="AR706" s="22" t="s">
        <v>77</v>
      </c>
      <c r="AS706" s="10"/>
      <c r="AT706" s="2" t="s">
        <v>1814</v>
      </c>
      <c r="AU706" s="12" t="s">
        <v>83</v>
      </c>
      <c r="AV706" s="3" t="n">
        <v>46224</v>
      </c>
      <c r="AW706" s="21"/>
      <c r="AY706" s="1"/>
      <c r="BA706" s="1"/>
      <c r="BB706" s="1"/>
    </row>
    <row r="707" ht="90" customHeight="1">
      <c r="A707" s="20" t="s">
        <v>3866</v>
      </c>
      <c r="B707" s="20" t="n">
        <v>2023</v>
      </c>
      <c r="C707" s="20" t="n">
        <v>746</v>
      </c>
      <c r="D707" s="20" t="s">
        <v>50</v>
      </c>
      <c r="E707" s="20" t="s">
        <v>3787</v>
      </c>
      <c r="F707" s="20" t="s">
        <v>3867</v>
      </c>
      <c r="G707" s="20" t="s">
        <v>86</v>
      </c>
      <c r="H707" s="20" t="s">
        <v>3789</v>
      </c>
      <c r="I707" s="20"/>
      <c r="J707" s="20" t="s">
        <v>3868</v>
      </c>
      <c r="K707" s="20" t="s">
        <v>3849</v>
      </c>
      <c r="L707" s="20" t="s">
        <v>274</v>
      </c>
      <c r="M707" s="20" t="s">
        <v>275</v>
      </c>
      <c r="N707" s="20" t="s">
        <v>1408</v>
      </c>
      <c r="O707" s="20" t="s">
        <v>1409</v>
      </c>
      <c r="P707" s="20" t="s">
        <v>2041</v>
      </c>
      <c r="Q707" s="20" t="s">
        <v>2042</v>
      </c>
      <c r="R707" s="20" t="s">
        <v>1412</v>
      </c>
      <c r="S707" s="20" t="s">
        <v>1413</v>
      </c>
      <c r="T707" s="20" t="s">
        <v>3850</v>
      </c>
      <c r="U707" s="20" t="s">
        <v>3851</v>
      </c>
      <c r="V707" s="20" t="s">
        <v>95</v>
      </c>
      <c r="W707" s="20" t="s">
        <v>96</v>
      </c>
      <c r="X707" s="20" t="s">
        <v>97</v>
      </c>
      <c r="Y707" s="20" t="s">
        <v>70</v>
      </c>
      <c r="Z707" s="20" t="s">
        <v>284</v>
      </c>
      <c r="AA707" s="20" t="s">
        <v>395</v>
      </c>
      <c r="AB707" s="20" t="s">
        <v>395</v>
      </c>
      <c r="AC707" s="20" t="s">
        <v>395</v>
      </c>
      <c r="AD707" s="20" t="s">
        <v>395</v>
      </c>
      <c r="AE707" s="20"/>
      <c r="AF707" s="9" t="n">
        <v>0</v>
      </c>
      <c r="AG707" s="12" t="n">
        <v>0</v>
      </c>
      <c r="AH707" s="22" t="s">
        <v>2043</v>
      </c>
      <c r="AI707" s="12" t="str">
        <f>IF(AH707="","",IFERROR(RIGHT("0000"&amp;AH707,4)&amp;" - "&amp;UPPER(_xlfn.XLOOKUP(RIGHT("0000"&amp;AH707,4),CODEBOOK_CAP!$C$2:$C$212,CODEBOOK_CAP!$D$2:$D$212)),"Código CAP não encontrado"))</f>
        <v>1303 - POLÍTICAS SOCIAIS DE ASSISTÊNCIA PARA IDOSOS</v>
      </c>
      <c r="AJ707" s="12" t="str">
        <f>IF(AH707="","",IFERROR(_xlfn.XLOOKUP(RIGHT("0000"&amp;AH707,4),CODEBOOK_CAP!$C$2:$C$212,CODEBOOK_CAP!$E$2:$E$212),"Código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707" s="22" t="s">
        <v>77</v>
      </c>
      <c r="AL707" s="26"/>
      <c r="AM707" s="22" t="s">
        <v>77</v>
      </c>
      <c r="AN707" s="22" t="s">
        <v>77</v>
      </c>
      <c r="AO707" s="12"/>
      <c r="AP707" s="22" t="s">
        <v>79</v>
      </c>
      <c r="AQ707" s="12" t="s">
        <v>2044</v>
      </c>
      <c r="AR707" s="22" t="s">
        <v>77</v>
      </c>
      <c r="AS707" s="10"/>
      <c r="AT707" s="2" t="s">
        <v>1814</v>
      </c>
      <c r="AU707" s="12" t="s">
        <v>83</v>
      </c>
      <c r="AV707" s="3" t="n">
        <v>46224</v>
      </c>
      <c r="AW707" s="21"/>
      <c r="AY707" s="1"/>
      <c r="BA707" s="1"/>
      <c r="BB707" s="1"/>
    </row>
    <row r="708" ht="120" customHeight="1">
      <c r="A708" s="20" t="s">
        <v>3869</v>
      </c>
      <c r="B708" s="20" t="n">
        <v>2023</v>
      </c>
      <c r="C708" s="20" t="n">
        <v>747</v>
      </c>
      <c r="D708" s="20" t="s">
        <v>50</v>
      </c>
      <c r="E708" s="20" t="s">
        <v>3787</v>
      </c>
      <c r="F708" s="20" t="s">
        <v>3870</v>
      </c>
      <c r="G708" s="20" t="s">
        <v>86</v>
      </c>
      <c r="H708" s="20" t="s">
        <v>3789</v>
      </c>
      <c r="I708" s="20"/>
      <c r="J708" s="20" t="s">
        <v>3871</v>
      </c>
      <c r="K708" s="20" t="s">
        <v>122</v>
      </c>
      <c r="L708" s="20" t="s">
        <v>57</v>
      </c>
      <c r="M708" s="20" t="s">
        <v>58</v>
      </c>
      <c r="N708" s="20" t="s">
        <v>59</v>
      </c>
      <c r="O708" s="20" t="s">
        <v>60</v>
      </c>
      <c r="P708" s="20" t="s">
        <v>89</v>
      </c>
      <c r="Q708" s="20" t="s">
        <v>90</v>
      </c>
      <c r="R708" s="20" t="s">
        <v>91</v>
      </c>
      <c r="S708" s="20" t="s">
        <v>92</v>
      </c>
      <c r="T708" s="20" t="s">
        <v>123</v>
      </c>
      <c r="U708" s="20" t="s">
        <v>124</v>
      </c>
      <c r="V708" s="20" t="s">
        <v>95</v>
      </c>
      <c r="W708" s="20" t="s">
        <v>96</v>
      </c>
      <c r="X708" s="20" t="s">
        <v>97</v>
      </c>
      <c r="Y708" s="20" t="s">
        <v>70</v>
      </c>
      <c r="Z708" s="20" t="s">
        <v>98</v>
      </c>
      <c r="AA708" s="20" t="s">
        <v>395</v>
      </c>
      <c r="AB708" s="20" t="s">
        <v>395</v>
      </c>
      <c r="AC708" s="20" t="s">
        <v>395</v>
      </c>
      <c r="AD708" s="20" t="s">
        <v>395</v>
      </c>
      <c r="AE708" s="20"/>
      <c r="AF708" s="9" t="n">
        <v>1</v>
      </c>
      <c r="AG708" s="12" t="n">
        <v>1</v>
      </c>
      <c r="AH708" s="22" t="s">
        <v>235</v>
      </c>
      <c r="AI708" s="12" t="str">
        <f>IF(AH708="","",IFERROR(RIGHT("0000"&amp;AH708,4)&amp;" - "&amp;UPPER(_xlfn.XLOOKUP(RIGHT("0000"&amp;AH708,4),CODEBOOK_CAP!$C$2:$C$212,CODEBOOK_CAP!$D$2:$D$212)),"Código CAP não encontrado"))</f>
        <v>0322 - ESTRUTURAS, HOSPITAIS, CLÍNICAS</v>
      </c>
      <c r="AJ708" s="12" t="str">
        <f>IF(AH708="","",IFERROR(_xlfn.XLOOKUP(RIGHT("0000"&amp;AH708,4),CODEBOOK_CAP!$C$2:$C$212,CODEBOOK_CAP!$E$2:$E$212),"Código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08" s="22" t="s">
        <v>77</v>
      </c>
      <c r="AL708" s="26"/>
      <c r="AM708" s="22" t="s">
        <v>79</v>
      </c>
      <c r="AN708" s="22" t="s">
        <v>79</v>
      </c>
      <c r="AO708" s="12" t="s">
        <v>3629</v>
      </c>
      <c r="AP708" s="22" t="s">
        <v>77</v>
      </c>
      <c r="AQ708" s="12"/>
      <c r="AR708" s="22" t="s">
        <v>77</v>
      </c>
      <c r="AS708" s="10"/>
      <c r="AT708" s="2" t="s">
        <v>1814</v>
      </c>
      <c r="AU708" s="12" t="s">
        <v>83</v>
      </c>
      <c r="AV708" s="3" t="n">
        <v>46224</v>
      </c>
      <c r="AW708" s="21"/>
      <c r="AY708" s="1"/>
      <c r="BA708" s="1"/>
      <c r="BB708" s="1"/>
    </row>
    <row r="709" ht="120" customHeight="1">
      <c r="A709" s="20" t="s">
        <v>3872</v>
      </c>
      <c r="B709" s="20" t="n">
        <v>2023</v>
      </c>
      <c r="C709" s="20" t="n">
        <v>748</v>
      </c>
      <c r="D709" s="20" t="s">
        <v>50</v>
      </c>
      <c r="E709" s="20" t="s">
        <v>3787</v>
      </c>
      <c r="F709" s="20" t="s">
        <v>3873</v>
      </c>
      <c r="G709" s="20" t="s">
        <v>86</v>
      </c>
      <c r="H709" s="20" t="s">
        <v>3789</v>
      </c>
      <c r="I709" s="20"/>
      <c r="J709" s="20" t="s">
        <v>3874</v>
      </c>
      <c r="K709" s="20" t="s">
        <v>122</v>
      </c>
      <c r="L709" s="20" t="s">
        <v>57</v>
      </c>
      <c r="M709" s="20" t="s">
        <v>58</v>
      </c>
      <c r="N709" s="20" t="s">
        <v>59</v>
      </c>
      <c r="O709" s="20" t="s">
        <v>60</v>
      </c>
      <c r="P709" s="20" t="s">
        <v>89</v>
      </c>
      <c r="Q709" s="20" t="s">
        <v>90</v>
      </c>
      <c r="R709" s="20" t="s">
        <v>91</v>
      </c>
      <c r="S709" s="20" t="s">
        <v>92</v>
      </c>
      <c r="T709" s="20" t="s">
        <v>123</v>
      </c>
      <c r="U709" s="20" t="s">
        <v>124</v>
      </c>
      <c r="V709" s="20" t="s">
        <v>95</v>
      </c>
      <c r="W709" s="20" t="s">
        <v>96</v>
      </c>
      <c r="X709" s="20" t="s">
        <v>97</v>
      </c>
      <c r="Y709" s="20" t="s">
        <v>70</v>
      </c>
      <c r="Z709" s="20" t="s">
        <v>98</v>
      </c>
      <c r="AA709" s="20" t="s">
        <v>2723</v>
      </c>
      <c r="AB709" s="20" t="s">
        <v>2723</v>
      </c>
      <c r="AC709" s="20" t="s">
        <v>2723</v>
      </c>
      <c r="AD709" s="20" t="s">
        <v>2723</v>
      </c>
      <c r="AE709" s="20"/>
      <c r="AF709" s="9" t="n">
        <v>1</v>
      </c>
      <c r="AG709" s="12" t="n">
        <v>1</v>
      </c>
      <c r="AH709" s="22" t="s">
        <v>235</v>
      </c>
      <c r="AI709" s="12" t="str">
        <f>IF(AH709="","",IFERROR(RIGHT("0000"&amp;AH709,4)&amp;" - "&amp;UPPER(_xlfn.XLOOKUP(RIGHT("0000"&amp;AH709,4),CODEBOOK_CAP!$C$2:$C$212,CODEBOOK_CAP!$D$2:$D$212)),"Código CAP não encontrado"))</f>
        <v>0322 - ESTRUTURAS, HOSPITAIS, CLÍNICAS</v>
      </c>
      <c r="AJ709" s="12" t="str">
        <f>IF(AH709="","",IFERROR(_xlfn.XLOOKUP(RIGHT("0000"&amp;AH709,4),CODEBOOK_CAP!$C$2:$C$212,CODEBOOK_CAP!$E$2:$E$212),"Código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09" s="22" t="s">
        <v>77</v>
      </c>
      <c r="AL709" s="26"/>
      <c r="AM709" s="22" t="s">
        <v>79</v>
      </c>
      <c r="AN709" s="22" t="s">
        <v>79</v>
      </c>
      <c r="AO709" s="12" t="s">
        <v>3875</v>
      </c>
      <c r="AP709" s="22" t="s">
        <v>77</v>
      </c>
      <c r="AQ709" s="12"/>
      <c r="AR709" s="22" t="s">
        <v>77</v>
      </c>
      <c r="AS709" s="10"/>
      <c r="AT709" s="2" t="s">
        <v>1814</v>
      </c>
      <c r="AU709" s="12" t="s">
        <v>83</v>
      </c>
      <c r="AV709" s="3" t="n">
        <v>46224</v>
      </c>
      <c r="AW709" s="21"/>
      <c r="AY709" s="1"/>
      <c r="BA709" s="1"/>
      <c r="BB709" s="1"/>
    </row>
    <row r="710" ht="120" customHeight="1">
      <c r="A710" s="20" t="s">
        <v>3876</v>
      </c>
      <c r="B710" s="20" t="n">
        <v>2023</v>
      </c>
      <c r="C710" s="20" t="n">
        <v>749</v>
      </c>
      <c r="D710" s="20" t="s">
        <v>50</v>
      </c>
      <c r="E710" s="20" t="s">
        <v>3787</v>
      </c>
      <c r="F710" s="20" t="s">
        <v>3877</v>
      </c>
      <c r="G710" s="20" t="s">
        <v>86</v>
      </c>
      <c r="H710" s="20" t="s">
        <v>3789</v>
      </c>
      <c r="I710" s="20"/>
      <c r="J710" s="20" t="s">
        <v>3878</v>
      </c>
      <c r="K710" s="20" t="s">
        <v>122</v>
      </c>
      <c r="L710" s="20" t="s">
        <v>57</v>
      </c>
      <c r="M710" s="20" t="s">
        <v>58</v>
      </c>
      <c r="N710" s="20" t="s">
        <v>59</v>
      </c>
      <c r="O710" s="20" t="s">
        <v>60</v>
      </c>
      <c r="P710" s="20" t="s">
        <v>89</v>
      </c>
      <c r="Q710" s="20" t="s">
        <v>90</v>
      </c>
      <c r="R710" s="20" t="s">
        <v>91</v>
      </c>
      <c r="S710" s="20" t="s">
        <v>92</v>
      </c>
      <c r="T710" s="20" t="s">
        <v>123</v>
      </c>
      <c r="U710" s="20" t="s">
        <v>124</v>
      </c>
      <c r="V710" s="20" t="s">
        <v>95</v>
      </c>
      <c r="W710" s="20" t="s">
        <v>96</v>
      </c>
      <c r="X710" s="20" t="s">
        <v>97</v>
      </c>
      <c r="Y710" s="20" t="s">
        <v>70</v>
      </c>
      <c r="Z710" s="20" t="s">
        <v>98</v>
      </c>
      <c r="AA710" s="20" t="s">
        <v>395</v>
      </c>
      <c r="AB710" s="20" t="s">
        <v>395</v>
      </c>
      <c r="AC710" s="20" t="s">
        <v>395</v>
      </c>
      <c r="AD710" s="20" t="s">
        <v>395</v>
      </c>
      <c r="AE710" s="20"/>
      <c r="AF710" s="9" t="n">
        <v>1</v>
      </c>
      <c r="AG710" s="12" t="n">
        <v>1</v>
      </c>
      <c r="AH710" s="22" t="s">
        <v>235</v>
      </c>
      <c r="AI710" s="12" t="str">
        <f>IF(AH710="","",IFERROR(RIGHT("0000"&amp;AH710,4)&amp;" - "&amp;UPPER(_xlfn.XLOOKUP(RIGHT("0000"&amp;AH710,4),CODEBOOK_CAP!$C$2:$C$212,CODEBOOK_CAP!$D$2:$D$212)),"Código CAP não encontrado"))</f>
        <v>0322 - ESTRUTURAS, HOSPITAIS, CLÍNICAS</v>
      </c>
      <c r="AJ710" s="12" t="str">
        <f>IF(AH710="","",IFERROR(_xlfn.XLOOKUP(RIGHT("0000"&amp;AH710,4),CODEBOOK_CAP!$C$2:$C$212,CODEBOOK_CAP!$E$2:$E$212),"Código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0" s="22" t="s">
        <v>77</v>
      </c>
      <c r="AL710" s="26"/>
      <c r="AM710" s="22" t="s">
        <v>79</v>
      </c>
      <c r="AN710" s="22" t="s">
        <v>79</v>
      </c>
      <c r="AO710" s="12" t="s">
        <v>935</v>
      </c>
      <c r="AP710" s="22" t="s">
        <v>77</v>
      </c>
      <c r="AQ710" s="12"/>
      <c r="AR710" s="22" t="s">
        <v>77</v>
      </c>
      <c r="AS710" s="10"/>
      <c r="AT710" s="2" t="s">
        <v>1814</v>
      </c>
      <c r="AU710" s="12" t="s">
        <v>83</v>
      </c>
      <c r="AV710" s="3" t="n">
        <v>46224</v>
      </c>
      <c r="AW710" s="21"/>
      <c r="AY710" s="1"/>
      <c r="BA710" s="1"/>
      <c r="BB710" s="1"/>
    </row>
    <row r="711" ht="120" customHeight="1">
      <c r="A711" s="20" t="s">
        <v>3879</v>
      </c>
      <c r="B711" s="20" t="n">
        <v>2023</v>
      </c>
      <c r="C711" s="20" t="n">
        <v>750</v>
      </c>
      <c r="D711" s="20" t="s">
        <v>50</v>
      </c>
      <c r="E711" s="20" t="s">
        <v>3787</v>
      </c>
      <c r="F711" s="20" t="s">
        <v>3880</v>
      </c>
      <c r="G711" s="20" t="s">
        <v>86</v>
      </c>
      <c r="H711" s="20" t="s">
        <v>3789</v>
      </c>
      <c r="I711" s="20"/>
      <c r="J711" s="20" t="s">
        <v>3881</v>
      </c>
      <c r="K711" s="20" t="s">
        <v>56</v>
      </c>
      <c r="L711" s="20" t="s">
        <v>57</v>
      </c>
      <c r="M711" s="20" t="s">
        <v>58</v>
      </c>
      <c r="N711" s="20" t="s">
        <v>59</v>
      </c>
      <c r="O711" s="20" t="s">
        <v>60</v>
      </c>
      <c r="P711" s="20" t="s">
        <v>61</v>
      </c>
      <c r="Q711" s="20" t="s">
        <v>62</v>
      </c>
      <c r="R711" s="20" t="s">
        <v>63</v>
      </c>
      <c r="S711" s="20" t="s">
        <v>64</v>
      </c>
      <c r="T711" s="20" t="s">
        <v>65</v>
      </c>
      <c r="U711" s="20" t="s">
        <v>66</v>
      </c>
      <c r="V711" s="20" t="s">
        <v>67</v>
      </c>
      <c r="W711" s="20" t="s">
        <v>68</v>
      </c>
      <c r="X711" s="20" t="s">
        <v>69</v>
      </c>
      <c r="Y711" s="20" t="s">
        <v>70</v>
      </c>
      <c r="Z711" s="20" t="s">
        <v>71</v>
      </c>
      <c r="AA711" s="20" t="s">
        <v>125</v>
      </c>
      <c r="AB711" s="20" t="s">
        <v>3882</v>
      </c>
      <c r="AC711" s="20" t="s">
        <v>3882</v>
      </c>
      <c r="AD711" s="20" t="s">
        <v>3882</v>
      </c>
      <c r="AE711" s="20"/>
      <c r="AF711" s="9" t="n">
        <v>1</v>
      </c>
      <c r="AG711" s="12" t="n">
        <v>1</v>
      </c>
      <c r="AH711" s="22" t="s">
        <v>235</v>
      </c>
      <c r="AI711" s="12" t="str">
        <f>IF(AH711="","",IFERROR(RIGHT("0000"&amp;AH711,4)&amp;" - "&amp;UPPER(_xlfn.XLOOKUP(RIGHT("0000"&amp;AH711,4),CODEBOOK_CAP!$C$2:$C$212,CODEBOOK_CAP!$D$2:$D$212)),"Código CAP não encontrado"))</f>
        <v>0322 - ESTRUTURAS, HOSPITAIS, CLÍNICAS</v>
      </c>
      <c r="AJ711" s="12" t="str">
        <f>IF(AH711="","",IFERROR(_xlfn.XLOOKUP(RIGHT("0000"&amp;AH711,4),CODEBOOK_CAP!$C$2:$C$212,CODEBOOK_CAP!$E$2:$E$212),"Código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1" s="22" t="s">
        <v>77</v>
      </c>
      <c r="AL711" s="26"/>
      <c r="AM711" s="22" t="s">
        <v>79</v>
      </c>
      <c r="AN711" s="22" t="s">
        <v>79</v>
      </c>
      <c r="AO711" s="12" t="s">
        <v>3883</v>
      </c>
      <c r="AP711" s="22" t="s">
        <v>77</v>
      </c>
      <c r="AQ711" s="12"/>
      <c r="AR711" s="22" t="s">
        <v>77</v>
      </c>
      <c r="AS711" s="10"/>
      <c r="AT711" s="2" t="s">
        <v>1814</v>
      </c>
      <c r="AU711" s="12" t="s">
        <v>83</v>
      </c>
      <c r="AV711" s="3" t="n">
        <v>46224</v>
      </c>
      <c r="AW711" s="21"/>
      <c r="AY711" s="1"/>
      <c r="BA711" s="1"/>
      <c r="BB711" s="1"/>
    </row>
    <row r="712" ht="120" customHeight="1">
      <c r="A712" s="20" t="s">
        <v>3884</v>
      </c>
      <c r="B712" s="20" t="n">
        <v>2023</v>
      </c>
      <c r="C712" s="20" t="n">
        <v>751</v>
      </c>
      <c r="D712" s="20" t="s">
        <v>50</v>
      </c>
      <c r="E712" s="20" t="s">
        <v>3787</v>
      </c>
      <c r="F712" s="20" t="s">
        <v>3885</v>
      </c>
      <c r="G712" s="20" t="s">
        <v>86</v>
      </c>
      <c r="H712" s="20" t="s">
        <v>3789</v>
      </c>
      <c r="I712" s="20"/>
      <c r="J712" s="20" t="s">
        <v>3886</v>
      </c>
      <c r="K712" s="20" t="s">
        <v>56</v>
      </c>
      <c r="L712" s="20" t="s">
        <v>57</v>
      </c>
      <c r="M712" s="20" t="s">
        <v>58</v>
      </c>
      <c r="N712" s="20" t="s">
        <v>59</v>
      </c>
      <c r="O712" s="20" t="s">
        <v>60</v>
      </c>
      <c r="P712" s="20" t="s">
        <v>61</v>
      </c>
      <c r="Q712" s="20" t="s">
        <v>62</v>
      </c>
      <c r="R712" s="20" t="s">
        <v>63</v>
      </c>
      <c r="S712" s="20" t="s">
        <v>64</v>
      </c>
      <c r="T712" s="20" t="s">
        <v>65</v>
      </c>
      <c r="U712" s="20" t="s">
        <v>66</v>
      </c>
      <c r="V712" s="20" t="s">
        <v>67</v>
      </c>
      <c r="W712" s="20" t="s">
        <v>68</v>
      </c>
      <c r="X712" s="20" t="s">
        <v>69</v>
      </c>
      <c r="Y712" s="20" t="s">
        <v>70</v>
      </c>
      <c r="Z712" s="20" t="s">
        <v>71</v>
      </c>
      <c r="AA712" s="20" t="s">
        <v>125</v>
      </c>
      <c r="AB712" s="20" t="s">
        <v>3887</v>
      </c>
      <c r="AC712" s="20" t="s">
        <v>3887</v>
      </c>
      <c r="AD712" s="20" t="s">
        <v>3887</v>
      </c>
      <c r="AE712" s="20"/>
      <c r="AF712" s="9" t="n">
        <v>1</v>
      </c>
      <c r="AG712" s="12" t="n">
        <v>1</v>
      </c>
      <c r="AH712" s="22" t="s">
        <v>235</v>
      </c>
      <c r="AI712" s="12" t="str">
        <f>IF(AH712="","",IFERROR(RIGHT("0000"&amp;AH712,4)&amp;" - "&amp;UPPER(_xlfn.XLOOKUP(RIGHT("0000"&amp;AH712,4),CODEBOOK_CAP!$C$2:$C$212,CODEBOOK_CAP!$D$2:$D$212)),"Código CAP não encontrado"))</f>
        <v>0322 - ESTRUTURAS, HOSPITAIS, CLÍNICAS</v>
      </c>
      <c r="AJ712" s="12" t="str">
        <f>IF(AH712="","",IFERROR(_xlfn.XLOOKUP(RIGHT("0000"&amp;AH712,4),CODEBOOK_CAP!$C$2:$C$212,CODEBOOK_CAP!$E$2:$E$212),"Código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2" s="22" t="s">
        <v>77</v>
      </c>
      <c r="AL712" s="26"/>
      <c r="AM712" s="22" t="s">
        <v>79</v>
      </c>
      <c r="AN712" s="22" t="s">
        <v>79</v>
      </c>
      <c r="AO712" s="12" t="s">
        <v>3888</v>
      </c>
      <c r="AP712" s="22" t="s">
        <v>77</v>
      </c>
      <c r="AQ712" s="12"/>
      <c r="AR712" s="22" t="s">
        <v>77</v>
      </c>
      <c r="AS712" s="10"/>
      <c r="AT712" s="2" t="s">
        <v>1814</v>
      </c>
      <c r="AU712" s="12" t="s">
        <v>83</v>
      </c>
      <c r="AV712" s="3" t="n">
        <v>46224</v>
      </c>
      <c r="AW712" s="21"/>
      <c r="AY712" s="1"/>
      <c r="BA712" s="1"/>
      <c r="BB712" s="1"/>
    </row>
    <row r="713" ht="120" customHeight="1">
      <c r="A713" s="20" t="s">
        <v>3889</v>
      </c>
      <c r="B713" s="20" t="n">
        <v>2023</v>
      </c>
      <c r="C713" s="20" t="n">
        <v>752</v>
      </c>
      <c r="D713" s="20" t="s">
        <v>50</v>
      </c>
      <c r="E713" s="20" t="s">
        <v>3787</v>
      </c>
      <c r="F713" s="20" t="s">
        <v>3890</v>
      </c>
      <c r="G713" s="20" t="s">
        <v>86</v>
      </c>
      <c r="H713" s="20" t="s">
        <v>3789</v>
      </c>
      <c r="I713" s="20"/>
      <c r="J713" s="20" t="s">
        <v>3891</v>
      </c>
      <c r="K713" s="20" t="s">
        <v>3002</v>
      </c>
      <c r="L713" s="20" t="s">
        <v>57</v>
      </c>
      <c r="M713" s="20" t="s">
        <v>58</v>
      </c>
      <c r="N713" s="20" t="s">
        <v>59</v>
      </c>
      <c r="O713" s="20" t="s">
        <v>60</v>
      </c>
      <c r="P713" s="20" t="s">
        <v>227</v>
      </c>
      <c r="Q713" s="20" t="s">
        <v>228</v>
      </c>
      <c r="R713" s="20" t="s">
        <v>229</v>
      </c>
      <c r="S713" s="20" t="s">
        <v>230</v>
      </c>
      <c r="T713" s="20" t="s">
        <v>231</v>
      </c>
      <c r="U713" s="20" t="s">
        <v>230</v>
      </c>
      <c r="V713" s="20" t="s">
        <v>95</v>
      </c>
      <c r="W713" s="20" t="s">
        <v>96</v>
      </c>
      <c r="X713" s="20" t="s">
        <v>97</v>
      </c>
      <c r="Y713" s="20" t="s">
        <v>70</v>
      </c>
      <c r="Z713" s="20" t="s">
        <v>98</v>
      </c>
      <c r="AA713" s="20" t="s">
        <v>125</v>
      </c>
      <c r="AB713" s="20" t="s">
        <v>125</v>
      </c>
      <c r="AC713" s="20" t="s">
        <v>442</v>
      </c>
      <c r="AD713" s="20" t="s">
        <v>125</v>
      </c>
      <c r="AE713" s="20"/>
      <c r="AF713" s="9" t="n">
        <v>1</v>
      </c>
      <c r="AG713" s="12" t="n">
        <v>1</v>
      </c>
      <c r="AH713" s="22" t="s">
        <v>235</v>
      </c>
      <c r="AI713" s="12" t="str">
        <f>IF(AH713="","",IFERROR(RIGHT("0000"&amp;AH713,4)&amp;" - "&amp;UPPER(_xlfn.XLOOKUP(RIGHT("0000"&amp;AH713,4),CODEBOOK_CAP!$C$2:$C$212,CODEBOOK_CAP!$D$2:$D$212)),"Código CAP não encontrado"))</f>
        <v>0322 - ESTRUTURAS, HOSPITAIS, CLÍNICAS</v>
      </c>
      <c r="AJ713" s="12" t="str">
        <f>IF(AH713="","",IFERROR(_xlfn.XLOOKUP(RIGHT("0000"&amp;AH713,4),CODEBOOK_CAP!$C$2:$C$212,CODEBOOK_CAP!$E$2:$E$212),"Código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3" s="22" t="s">
        <v>77</v>
      </c>
      <c r="AL713" s="26"/>
      <c r="AM713" s="22" t="s">
        <v>79</v>
      </c>
      <c r="AN713" s="22" t="s">
        <v>79</v>
      </c>
      <c r="AO713" s="12" t="s">
        <v>3892</v>
      </c>
      <c r="AP713" s="22" t="s">
        <v>77</v>
      </c>
      <c r="AQ713" s="12"/>
      <c r="AR713" s="22" t="s">
        <v>77</v>
      </c>
      <c r="AS713" s="10"/>
      <c r="AT713" s="2" t="s">
        <v>1814</v>
      </c>
      <c r="AU713" s="12" t="s">
        <v>83</v>
      </c>
      <c r="AV713" s="3" t="n">
        <v>46224</v>
      </c>
      <c r="AW713" s="21"/>
      <c r="AY713" s="1"/>
      <c r="BA713" s="1"/>
      <c r="BB713" s="1"/>
    </row>
    <row r="714" ht="120" customHeight="1">
      <c r="A714" s="20" t="s">
        <v>3893</v>
      </c>
      <c r="B714" s="20" t="n">
        <v>2023</v>
      </c>
      <c r="C714" s="20" t="n">
        <v>753</v>
      </c>
      <c r="D714" s="20" t="s">
        <v>50</v>
      </c>
      <c r="E714" s="20" t="s">
        <v>3787</v>
      </c>
      <c r="F714" s="20" t="s">
        <v>3894</v>
      </c>
      <c r="G714" s="20" t="s">
        <v>86</v>
      </c>
      <c r="H714" s="20" t="s">
        <v>3789</v>
      </c>
      <c r="I714" s="20"/>
      <c r="J714" s="20" t="s">
        <v>3895</v>
      </c>
      <c r="K714" s="20" t="s">
        <v>441</v>
      </c>
      <c r="L714" s="20" t="s">
        <v>57</v>
      </c>
      <c r="M714" s="20" t="s">
        <v>58</v>
      </c>
      <c r="N714" s="20" t="s">
        <v>59</v>
      </c>
      <c r="O714" s="20" t="s">
        <v>60</v>
      </c>
      <c r="P714" s="20" t="s">
        <v>89</v>
      </c>
      <c r="Q714" s="20" t="s">
        <v>90</v>
      </c>
      <c r="R714" s="20" t="s">
        <v>91</v>
      </c>
      <c r="S714" s="20" t="s">
        <v>92</v>
      </c>
      <c r="T714" s="20" t="s">
        <v>341</v>
      </c>
      <c r="U714" s="20" t="s">
        <v>342</v>
      </c>
      <c r="V714" s="20" t="s">
        <v>95</v>
      </c>
      <c r="W714" s="20" t="s">
        <v>96</v>
      </c>
      <c r="X714" s="20" t="s">
        <v>97</v>
      </c>
      <c r="Y714" s="20" t="s">
        <v>70</v>
      </c>
      <c r="Z714" s="20" t="s">
        <v>98</v>
      </c>
      <c r="AA714" s="20" t="s">
        <v>3896</v>
      </c>
      <c r="AB714" s="20" t="s">
        <v>3896</v>
      </c>
      <c r="AC714" s="20" t="s">
        <v>3896</v>
      </c>
      <c r="AD714" s="20" t="s">
        <v>3896</v>
      </c>
      <c r="AE714" s="20"/>
      <c r="AF714" s="9" t="n">
        <v>1</v>
      </c>
      <c r="AG714" s="12" t="n">
        <v>1</v>
      </c>
      <c r="AH714" s="22" t="s">
        <v>235</v>
      </c>
      <c r="AI714" s="12" t="str">
        <f>IF(AH714="","",IFERROR(RIGHT("0000"&amp;AH714,4)&amp;" - "&amp;UPPER(_xlfn.XLOOKUP(RIGHT("0000"&amp;AH714,4),CODEBOOK_CAP!$C$2:$C$212,CODEBOOK_CAP!$D$2:$D$212)),"Código CAP não encontrado"))</f>
        <v>0322 - ESTRUTURAS, HOSPITAIS, CLÍNICAS</v>
      </c>
      <c r="AJ714" s="12" t="str">
        <f>IF(AH714="","",IFERROR(_xlfn.XLOOKUP(RIGHT("0000"&amp;AH714,4),CODEBOOK_CAP!$C$2:$C$212,CODEBOOK_CAP!$E$2:$E$212),"Código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4" s="22" t="s">
        <v>77</v>
      </c>
      <c r="AL714" s="26"/>
      <c r="AM714" s="22" t="s">
        <v>77</v>
      </c>
      <c r="AN714" s="22" t="s">
        <v>77</v>
      </c>
      <c r="AO714" s="12"/>
      <c r="AP714" s="22" t="s">
        <v>77</v>
      </c>
      <c r="AQ714" s="12"/>
      <c r="AR714" s="22" t="s">
        <v>77</v>
      </c>
      <c r="AS714" s="10"/>
      <c r="AT714" s="2" t="s">
        <v>1814</v>
      </c>
      <c r="AU714" s="12" t="s">
        <v>83</v>
      </c>
      <c r="AV714" s="3" t="n">
        <v>46224</v>
      </c>
      <c r="AW714" s="21"/>
      <c r="AY714" s="1"/>
      <c r="BA714" s="1"/>
      <c r="BB714" s="1"/>
    </row>
    <row r="715" ht="165" customHeight="1">
      <c r="A715" s="20" t="s">
        <v>3897</v>
      </c>
      <c r="B715" s="20" t="n">
        <v>2023</v>
      </c>
      <c r="C715" s="20" t="n">
        <v>754</v>
      </c>
      <c r="D715" s="20" t="s">
        <v>50</v>
      </c>
      <c r="E715" s="20" t="s">
        <v>3787</v>
      </c>
      <c r="F715" s="20" t="s">
        <v>3898</v>
      </c>
      <c r="G715" s="20" t="s">
        <v>86</v>
      </c>
      <c r="H715" s="20" t="s">
        <v>3789</v>
      </c>
      <c r="I715" s="20"/>
      <c r="J715" s="20" t="s">
        <v>3899</v>
      </c>
      <c r="K715" s="20" t="s">
        <v>1267</v>
      </c>
      <c r="L715" s="20" t="s">
        <v>57</v>
      </c>
      <c r="M715" s="20" t="s">
        <v>58</v>
      </c>
      <c r="N715" s="20" t="s">
        <v>59</v>
      </c>
      <c r="O715" s="20" t="s">
        <v>60</v>
      </c>
      <c r="P715" s="20" t="s">
        <v>111</v>
      </c>
      <c r="Q715" s="20" t="s">
        <v>112</v>
      </c>
      <c r="R715" s="20" t="s">
        <v>113</v>
      </c>
      <c r="S715" s="20" t="s">
        <v>114</v>
      </c>
      <c r="T715" s="20" t="s">
        <v>115</v>
      </c>
      <c r="U715" s="20" t="s">
        <v>114</v>
      </c>
      <c r="V715" s="20" t="s">
        <v>854</v>
      </c>
      <c r="W715" s="20" t="s">
        <v>96</v>
      </c>
      <c r="X715" s="20" t="s">
        <v>97</v>
      </c>
      <c r="Y715" s="20" t="s">
        <v>70</v>
      </c>
      <c r="Z715" s="20" t="s">
        <v>98</v>
      </c>
      <c r="AA715" s="20" t="s">
        <v>160</v>
      </c>
      <c r="AB715" s="20" t="s">
        <v>1804</v>
      </c>
      <c r="AC715" s="20" t="s">
        <v>1804</v>
      </c>
      <c r="AD715" s="20" t="s">
        <v>1804</v>
      </c>
      <c r="AE715" s="20"/>
      <c r="AF715" s="9" t="n">
        <v>1</v>
      </c>
      <c r="AG715" s="12" t="n">
        <v>0</v>
      </c>
      <c r="AH715" s="22" t="s">
        <v>1269</v>
      </c>
      <c r="AI715" s="12" t="str">
        <f>IF(AH715="","",IFERROR(RIGHT("0000"&amp;AH715,4)&amp;" - "&amp;UPPER(_xlfn.XLOOKUP(RIGHT("0000"&amp;AH715,4),CODEBOOK_CAP!$C$2:$C$212,CODEBOOK_CAP!$D$2:$D$212)),"Código CAP não encontrado"))</f>
        <v>0405 - CONTROLE DE DOENÇAS ANIMAIS</v>
      </c>
      <c r="AJ715" s="12" t="str">
        <f>IF(AH715="","",IFERROR(_xlfn.XLOOKUP(RIGHT("0000"&amp;AH715,4),CODEBOOK_CAP!$C$2:$C$212,CODEBOOK_CAP!$E$2:$E$212),"Código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15" s="22" t="s">
        <v>77</v>
      </c>
      <c r="AL715" s="26"/>
      <c r="AM715" s="22" t="s">
        <v>77</v>
      </c>
      <c r="AN715" s="22" t="s">
        <v>77</v>
      </c>
      <c r="AO715" s="12"/>
      <c r="AP715" s="22" t="s">
        <v>79</v>
      </c>
      <c r="AQ715" s="12" t="s">
        <v>1270</v>
      </c>
      <c r="AR715" s="22" t="s">
        <v>77</v>
      </c>
      <c r="AS715" s="10"/>
      <c r="AT715" s="2" t="s">
        <v>1814</v>
      </c>
      <c r="AU715" s="12" t="s">
        <v>83</v>
      </c>
      <c r="AV715" s="3" t="n">
        <v>46224</v>
      </c>
      <c r="AW715" s="21"/>
      <c r="AY715" s="1"/>
      <c r="BA715" s="1"/>
      <c r="BB715" s="1"/>
    </row>
    <row r="716" ht="120" customHeight="1">
      <c r="A716" s="20" t="s">
        <v>3900</v>
      </c>
      <c r="B716" s="20" t="n">
        <v>2023</v>
      </c>
      <c r="C716" s="20" t="n">
        <v>778</v>
      </c>
      <c r="D716" s="20" t="s">
        <v>50</v>
      </c>
      <c r="E716" s="20" t="s">
        <v>3901</v>
      </c>
      <c r="F716" s="20" t="s">
        <v>1406</v>
      </c>
      <c r="G716" s="20" t="s">
        <v>86</v>
      </c>
      <c r="H716" s="20" t="s">
        <v>3902</v>
      </c>
      <c r="I716" s="20"/>
      <c r="J716" s="20" t="s">
        <v>3903</v>
      </c>
      <c r="K716" s="20" t="s">
        <v>122</v>
      </c>
      <c r="L716" s="20" t="s">
        <v>57</v>
      </c>
      <c r="M716" s="20" t="s">
        <v>58</v>
      </c>
      <c r="N716" s="20" t="s">
        <v>59</v>
      </c>
      <c r="O716" s="20" t="s">
        <v>60</v>
      </c>
      <c r="P716" s="20" t="s">
        <v>89</v>
      </c>
      <c r="Q716" s="20" t="s">
        <v>90</v>
      </c>
      <c r="R716" s="20" t="s">
        <v>91</v>
      </c>
      <c r="S716" s="20" t="s">
        <v>92</v>
      </c>
      <c r="T716" s="20" t="s">
        <v>123</v>
      </c>
      <c r="U716" s="20" t="s">
        <v>124</v>
      </c>
      <c r="V716" s="20" t="s">
        <v>95</v>
      </c>
      <c r="W716" s="20" t="s">
        <v>96</v>
      </c>
      <c r="X716" s="20" t="s">
        <v>97</v>
      </c>
      <c r="Y716" s="20" t="s">
        <v>70</v>
      </c>
      <c r="Z716" s="20" t="s">
        <v>98</v>
      </c>
      <c r="AA716" s="20" t="s">
        <v>125</v>
      </c>
      <c r="AB716" s="20" t="s">
        <v>125</v>
      </c>
      <c r="AC716" s="20" t="s">
        <v>125</v>
      </c>
      <c r="AD716" s="20" t="s">
        <v>125</v>
      </c>
      <c r="AE716" s="20"/>
      <c r="AF716" s="9" t="n">
        <v>1</v>
      </c>
      <c r="AG716" s="12" t="n">
        <v>1</v>
      </c>
      <c r="AH716" s="22" t="s">
        <v>235</v>
      </c>
      <c r="AI716" s="12" t="str">
        <f>IF(AH716="","",IFERROR(RIGHT("0000"&amp;AH716,4)&amp;" - "&amp;UPPER(_xlfn.XLOOKUP(RIGHT("0000"&amp;AH716,4),CODEBOOK_CAP!$C$2:$C$212,CODEBOOK_CAP!$D$2:$D$212)),"Código CAP não encontrado"))</f>
        <v>0322 - ESTRUTURAS, HOSPITAIS, CLÍNICAS</v>
      </c>
      <c r="AJ716" s="12" t="str">
        <f>IF(AH716="","",IFERROR(_xlfn.XLOOKUP(RIGHT("0000"&amp;AH716,4),CODEBOOK_CAP!$C$2:$C$212,CODEBOOK_CAP!$E$2:$E$212),"Código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6" s="22" t="s">
        <v>77</v>
      </c>
      <c r="AL716" s="26"/>
      <c r="AM716" s="22" t="s">
        <v>79</v>
      </c>
      <c r="AN716" s="22" t="s">
        <v>79</v>
      </c>
      <c r="AO716" s="12" t="s">
        <v>3904</v>
      </c>
      <c r="AP716" s="22" t="s">
        <v>77</v>
      </c>
      <c r="AQ716" s="12"/>
      <c r="AR716" s="22" t="s">
        <v>77</v>
      </c>
      <c r="AS716" s="10"/>
      <c r="AT716" s="2" t="s">
        <v>1814</v>
      </c>
      <c r="AU716" s="12" t="s">
        <v>83</v>
      </c>
      <c r="AV716" s="3" t="n">
        <v>46224</v>
      </c>
      <c r="AW716" s="21"/>
      <c r="AY716" s="1"/>
      <c r="BA716" s="1"/>
      <c r="BB716" s="1"/>
    </row>
    <row r="717" ht="120" customHeight="1">
      <c r="A717" s="20" t="s">
        <v>3905</v>
      </c>
      <c r="B717" s="20" t="n">
        <v>2023</v>
      </c>
      <c r="C717" s="20" t="n">
        <v>779</v>
      </c>
      <c r="D717" s="20" t="s">
        <v>50</v>
      </c>
      <c r="E717" s="20" t="s">
        <v>3901</v>
      </c>
      <c r="F717" s="20" t="s">
        <v>3906</v>
      </c>
      <c r="G717" s="20" t="s">
        <v>86</v>
      </c>
      <c r="H717" s="20" t="s">
        <v>3902</v>
      </c>
      <c r="I717" s="20"/>
      <c r="J717" s="20" t="s">
        <v>3907</v>
      </c>
      <c r="K717" s="20" t="s">
        <v>122</v>
      </c>
      <c r="L717" s="20" t="s">
        <v>57</v>
      </c>
      <c r="M717" s="20" t="s">
        <v>58</v>
      </c>
      <c r="N717" s="20" t="s">
        <v>59</v>
      </c>
      <c r="O717" s="20" t="s">
        <v>60</v>
      </c>
      <c r="P717" s="20" t="s">
        <v>89</v>
      </c>
      <c r="Q717" s="20" t="s">
        <v>90</v>
      </c>
      <c r="R717" s="20" t="s">
        <v>91</v>
      </c>
      <c r="S717" s="20" t="s">
        <v>92</v>
      </c>
      <c r="T717" s="20" t="s">
        <v>123</v>
      </c>
      <c r="U717" s="20" t="s">
        <v>124</v>
      </c>
      <c r="V717" s="20" t="s">
        <v>95</v>
      </c>
      <c r="W717" s="20" t="s">
        <v>96</v>
      </c>
      <c r="X717" s="20" t="s">
        <v>97</v>
      </c>
      <c r="Y717" s="20" t="s">
        <v>70</v>
      </c>
      <c r="Z717" s="20" t="s">
        <v>98</v>
      </c>
      <c r="AA717" s="20" t="s">
        <v>125</v>
      </c>
      <c r="AB717" s="20" t="s">
        <v>125</v>
      </c>
      <c r="AC717" s="20" t="s">
        <v>125</v>
      </c>
      <c r="AD717" s="20" t="s">
        <v>125</v>
      </c>
      <c r="AE717" s="20"/>
      <c r="AF717" s="9" t="n">
        <v>1</v>
      </c>
      <c r="AG717" s="12" t="n">
        <v>1</v>
      </c>
      <c r="AH717" s="22" t="s">
        <v>235</v>
      </c>
      <c r="AI717" s="12" t="str">
        <f>IF(AH717="","",IFERROR(RIGHT("0000"&amp;AH717,4)&amp;" - "&amp;UPPER(_xlfn.XLOOKUP(RIGHT("0000"&amp;AH717,4),CODEBOOK_CAP!$C$2:$C$212,CODEBOOK_CAP!$D$2:$D$212)),"Código CAP não encontrado"))</f>
        <v>0322 - ESTRUTURAS, HOSPITAIS, CLÍNICAS</v>
      </c>
      <c r="AJ717" s="12" t="str">
        <f>IF(AH717="","",IFERROR(_xlfn.XLOOKUP(RIGHT("0000"&amp;AH717,4),CODEBOOK_CAP!$C$2:$C$212,CODEBOOK_CAP!$E$2:$E$212),"Código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7" s="22" t="s">
        <v>79</v>
      </c>
      <c r="AL717" s="26" t="s">
        <v>3908</v>
      </c>
      <c r="AM717" s="22" t="s">
        <v>79</v>
      </c>
      <c r="AN717" s="22" t="s">
        <v>79</v>
      </c>
      <c r="AO717" s="12" t="s">
        <v>1854</v>
      </c>
      <c r="AP717" s="22" t="s">
        <v>77</v>
      </c>
      <c r="AQ717" s="12"/>
      <c r="AR717" s="22" t="s">
        <v>77</v>
      </c>
      <c r="AS717" s="10"/>
      <c r="AT717" s="2" t="s">
        <v>1814</v>
      </c>
      <c r="AU717" s="12" t="s">
        <v>83</v>
      </c>
      <c r="AV717" s="3" t="n">
        <v>46224</v>
      </c>
      <c r="AW717" s="21"/>
      <c r="AY717" s="1"/>
      <c r="BA717" s="1"/>
      <c r="BB717" s="1"/>
    </row>
    <row r="718" ht="120" customHeight="1">
      <c r="A718" s="20" t="s">
        <v>3909</v>
      </c>
      <c r="B718" s="20" t="n">
        <v>2023</v>
      </c>
      <c r="C718" s="20" t="n">
        <v>780</v>
      </c>
      <c r="D718" s="20" t="s">
        <v>50</v>
      </c>
      <c r="E718" s="20" t="s">
        <v>3901</v>
      </c>
      <c r="F718" s="20" t="s">
        <v>219</v>
      </c>
      <c r="G718" s="20" t="s">
        <v>86</v>
      </c>
      <c r="H718" s="20" t="s">
        <v>3902</v>
      </c>
      <c r="I718" s="20"/>
      <c r="J718" s="20" t="s">
        <v>3910</v>
      </c>
      <c r="K718" s="20" t="s">
        <v>122</v>
      </c>
      <c r="L718" s="20" t="s">
        <v>57</v>
      </c>
      <c r="M718" s="20" t="s">
        <v>58</v>
      </c>
      <c r="N718" s="20" t="s">
        <v>59</v>
      </c>
      <c r="O718" s="20" t="s">
        <v>60</v>
      </c>
      <c r="P718" s="20" t="s">
        <v>89</v>
      </c>
      <c r="Q718" s="20" t="s">
        <v>90</v>
      </c>
      <c r="R718" s="20" t="s">
        <v>91</v>
      </c>
      <c r="S718" s="20" t="s">
        <v>92</v>
      </c>
      <c r="T718" s="20" t="s">
        <v>123</v>
      </c>
      <c r="U718" s="20" t="s">
        <v>124</v>
      </c>
      <c r="V718" s="20" t="s">
        <v>95</v>
      </c>
      <c r="W718" s="20" t="s">
        <v>96</v>
      </c>
      <c r="X718" s="20" t="s">
        <v>97</v>
      </c>
      <c r="Y718" s="20" t="s">
        <v>70</v>
      </c>
      <c r="Z718" s="20" t="s">
        <v>98</v>
      </c>
      <c r="AA718" s="20" t="s">
        <v>388</v>
      </c>
      <c r="AB718" s="20" t="s">
        <v>388</v>
      </c>
      <c r="AC718" s="20" t="s">
        <v>388</v>
      </c>
      <c r="AD718" s="20" t="s">
        <v>388</v>
      </c>
      <c r="AE718" s="20"/>
      <c r="AF718" s="9" t="n">
        <v>1</v>
      </c>
      <c r="AG718" s="12" t="n">
        <v>1</v>
      </c>
      <c r="AH718" s="22" t="s">
        <v>235</v>
      </c>
      <c r="AI718" s="12" t="str">
        <f>IF(AH718="","",IFERROR(RIGHT("0000"&amp;AH718,4)&amp;" - "&amp;UPPER(_xlfn.XLOOKUP(RIGHT("0000"&amp;AH718,4),CODEBOOK_CAP!$C$2:$C$212,CODEBOOK_CAP!$D$2:$D$212)),"Código CAP não encontrado"))</f>
        <v>0322 - ESTRUTURAS, HOSPITAIS, CLÍNICAS</v>
      </c>
      <c r="AJ718" s="12" t="str">
        <f>IF(AH718="","",IFERROR(_xlfn.XLOOKUP(RIGHT("0000"&amp;AH718,4),CODEBOOK_CAP!$C$2:$C$212,CODEBOOK_CAP!$E$2:$E$212),"Código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8" s="22" t="s">
        <v>79</v>
      </c>
      <c r="AL718" s="26" t="s">
        <v>3911</v>
      </c>
      <c r="AM718" s="22" t="s">
        <v>79</v>
      </c>
      <c r="AN718" s="22" t="s">
        <v>79</v>
      </c>
      <c r="AO718" s="12" t="s">
        <v>3912</v>
      </c>
      <c r="AP718" s="22" t="s">
        <v>77</v>
      </c>
      <c r="AQ718" s="12"/>
      <c r="AR718" s="22" t="s">
        <v>77</v>
      </c>
      <c r="AS718" s="10"/>
      <c r="AT718" s="2" t="s">
        <v>1814</v>
      </c>
      <c r="AU718" s="12" t="s">
        <v>83</v>
      </c>
      <c r="AV718" s="3" t="n">
        <v>46224</v>
      </c>
      <c r="AW718" s="21"/>
      <c r="AY718" s="1"/>
      <c r="BA718" s="1"/>
      <c r="BB718" s="1"/>
    </row>
    <row r="719" ht="120" customHeight="1">
      <c r="A719" s="20" t="s">
        <v>3913</v>
      </c>
      <c r="B719" s="20" t="n">
        <v>2023</v>
      </c>
      <c r="C719" s="20" t="n">
        <v>781</v>
      </c>
      <c r="D719" s="20" t="s">
        <v>50</v>
      </c>
      <c r="E719" s="20" t="s">
        <v>3901</v>
      </c>
      <c r="F719" s="20" t="s">
        <v>3914</v>
      </c>
      <c r="G719" s="20" t="s">
        <v>86</v>
      </c>
      <c r="H719" s="20" t="s">
        <v>3902</v>
      </c>
      <c r="I719" s="20"/>
      <c r="J719" s="20" t="s">
        <v>3915</v>
      </c>
      <c r="K719" s="20" t="s">
        <v>122</v>
      </c>
      <c r="L719" s="20" t="s">
        <v>57</v>
      </c>
      <c r="M719" s="20" t="s">
        <v>58</v>
      </c>
      <c r="N719" s="20" t="s">
        <v>59</v>
      </c>
      <c r="O719" s="20" t="s">
        <v>60</v>
      </c>
      <c r="P719" s="20" t="s">
        <v>89</v>
      </c>
      <c r="Q719" s="20" t="s">
        <v>90</v>
      </c>
      <c r="R719" s="20" t="s">
        <v>91</v>
      </c>
      <c r="S719" s="20" t="s">
        <v>92</v>
      </c>
      <c r="T719" s="20" t="s">
        <v>123</v>
      </c>
      <c r="U719" s="20" t="s">
        <v>124</v>
      </c>
      <c r="V719" s="20" t="s">
        <v>95</v>
      </c>
      <c r="W719" s="20" t="s">
        <v>96</v>
      </c>
      <c r="X719" s="20" t="s">
        <v>97</v>
      </c>
      <c r="Y719" s="20" t="s">
        <v>70</v>
      </c>
      <c r="Z719" s="20" t="s">
        <v>98</v>
      </c>
      <c r="AA719" s="20" t="s">
        <v>125</v>
      </c>
      <c r="AB719" s="20" t="s">
        <v>125</v>
      </c>
      <c r="AC719" s="20" t="s">
        <v>125</v>
      </c>
      <c r="AD719" s="20" t="s">
        <v>125</v>
      </c>
      <c r="AE719" s="20"/>
      <c r="AF719" s="9" t="n">
        <v>1</v>
      </c>
      <c r="AG719" s="12" t="n">
        <v>1</v>
      </c>
      <c r="AH719" s="22" t="s">
        <v>235</v>
      </c>
      <c r="AI719" s="12" t="str">
        <f>IF(AH719="","",IFERROR(RIGHT("0000"&amp;AH719,4)&amp;" - "&amp;UPPER(_xlfn.XLOOKUP(RIGHT("0000"&amp;AH719,4),CODEBOOK_CAP!$C$2:$C$212,CODEBOOK_CAP!$D$2:$D$212)),"Código CAP não encontrado"))</f>
        <v>0322 - ESTRUTURAS, HOSPITAIS, CLÍNICAS</v>
      </c>
      <c r="AJ719" s="12" t="str">
        <f>IF(AH719="","",IFERROR(_xlfn.XLOOKUP(RIGHT("0000"&amp;AH719,4),CODEBOOK_CAP!$C$2:$C$212,CODEBOOK_CAP!$E$2:$E$212),"Código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19" s="22" t="s">
        <v>79</v>
      </c>
      <c r="AL719" s="26" t="s">
        <v>3916</v>
      </c>
      <c r="AM719" s="22" t="s">
        <v>79</v>
      </c>
      <c r="AN719" s="22" t="s">
        <v>79</v>
      </c>
      <c r="AO719" s="12" t="s">
        <v>3917</v>
      </c>
      <c r="AP719" s="22" t="s">
        <v>77</v>
      </c>
      <c r="AQ719" s="12"/>
      <c r="AR719" s="22" t="s">
        <v>77</v>
      </c>
      <c r="AS719" s="10"/>
      <c r="AT719" s="2" t="s">
        <v>1814</v>
      </c>
      <c r="AU719" s="12" t="s">
        <v>83</v>
      </c>
      <c r="AV719" s="3" t="n">
        <v>46224</v>
      </c>
      <c r="AW719" s="21"/>
      <c r="AY719" s="1"/>
      <c r="BA719" s="1"/>
      <c r="BB719" s="1"/>
    </row>
    <row r="720" ht="120" customHeight="1">
      <c r="A720" s="20" t="s">
        <v>3918</v>
      </c>
      <c r="B720" s="20" t="n">
        <v>2023</v>
      </c>
      <c r="C720" s="20" t="n">
        <v>782</v>
      </c>
      <c r="D720" s="20" t="s">
        <v>50</v>
      </c>
      <c r="E720" s="20" t="s">
        <v>3901</v>
      </c>
      <c r="F720" s="20" t="s">
        <v>3919</v>
      </c>
      <c r="G720" s="20" t="s">
        <v>86</v>
      </c>
      <c r="H720" s="20" t="s">
        <v>3902</v>
      </c>
      <c r="I720" s="20"/>
      <c r="J720" s="20" t="s">
        <v>3920</v>
      </c>
      <c r="K720" s="20" t="s">
        <v>122</v>
      </c>
      <c r="L720" s="20" t="s">
        <v>57</v>
      </c>
      <c r="M720" s="20" t="s">
        <v>58</v>
      </c>
      <c r="N720" s="20" t="s">
        <v>59</v>
      </c>
      <c r="O720" s="20" t="s">
        <v>60</v>
      </c>
      <c r="P720" s="20" t="s">
        <v>89</v>
      </c>
      <c r="Q720" s="20" t="s">
        <v>90</v>
      </c>
      <c r="R720" s="20" t="s">
        <v>91</v>
      </c>
      <c r="S720" s="20" t="s">
        <v>92</v>
      </c>
      <c r="T720" s="20" t="s">
        <v>123</v>
      </c>
      <c r="U720" s="20" t="s">
        <v>124</v>
      </c>
      <c r="V720" s="20" t="s">
        <v>95</v>
      </c>
      <c r="W720" s="20" t="s">
        <v>96</v>
      </c>
      <c r="X720" s="20" t="s">
        <v>97</v>
      </c>
      <c r="Y720" s="20" t="s">
        <v>70</v>
      </c>
      <c r="Z720" s="20" t="s">
        <v>98</v>
      </c>
      <c r="AA720" s="20" t="s">
        <v>125</v>
      </c>
      <c r="AB720" s="20" t="s">
        <v>125</v>
      </c>
      <c r="AC720" s="20" t="s">
        <v>125</v>
      </c>
      <c r="AD720" s="20" t="s">
        <v>125</v>
      </c>
      <c r="AE720" s="20"/>
      <c r="AF720" s="9" t="n">
        <v>1</v>
      </c>
      <c r="AG720" s="12" t="n">
        <v>1</v>
      </c>
      <c r="AH720" s="22" t="s">
        <v>235</v>
      </c>
      <c r="AI720" s="12" t="str">
        <f>IF(AH720="","",IFERROR(RIGHT("0000"&amp;AH720,4)&amp;" - "&amp;UPPER(_xlfn.XLOOKUP(RIGHT("0000"&amp;AH720,4),CODEBOOK_CAP!$C$2:$C$212,CODEBOOK_CAP!$D$2:$D$212)),"Código CAP não encontrado"))</f>
        <v>0322 - ESTRUTURAS, HOSPITAIS, CLÍNICAS</v>
      </c>
      <c r="AJ720" s="12" t="str">
        <f>IF(AH720="","",IFERROR(_xlfn.XLOOKUP(RIGHT("0000"&amp;AH720,4),CODEBOOK_CAP!$C$2:$C$212,CODEBOOK_CAP!$E$2:$E$212),"Código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20" s="22" t="s">
        <v>79</v>
      </c>
      <c r="AL720" s="26" t="s">
        <v>3921</v>
      </c>
      <c r="AM720" s="22" t="s">
        <v>79</v>
      </c>
      <c r="AN720" s="22" t="s">
        <v>79</v>
      </c>
      <c r="AO720" s="12" t="s">
        <v>3922</v>
      </c>
      <c r="AP720" s="22" t="s">
        <v>77</v>
      </c>
      <c r="AQ720" s="12"/>
      <c r="AR720" s="22" t="s">
        <v>77</v>
      </c>
      <c r="AS720" s="10"/>
      <c r="AT720" s="2" t="s">
        <v>1814</v>
      </c>
      <c r="AU720" s="12" t="s">
        <v>83</v>
      </c>
      <c r="AV720" s="3" t="n">
        <v>46224</v>
      </c>
      <c r="AW720" s="21"/>
      <c r="AY720" s="1"/>
      <c r="BA720" s="1"/>
      <c r="BB720" s="1"/>
    </row>
    <row r="721" ht="120" customHeight="1">
      <c r="A721" s="20" t="s">
        <v>3923</v>
      </c>
      <c r="B721" s="20" t="n">
        <v>2023</v>
      </c>
      <c r="C721" s="20" t="n">
        <v>783</v>
      </c>
      <c r="D721" s="20" t="s">
        <v>50</v>
      </c>
      <c r="E721" s="20" t="s">
        <v>3901</v>
      </c>
      <c r="F721" s="20" t="s">
        <v>3924</v>
      </c>
      <c r="G721" s="20" t="s">
        <v>86</v>
      </c>
      <c r="H721" s="20" t="s">
        <v>3902</v>
      </c>
      <c r="I721" s="20"/>
      <c r="J721" s="20" t="s">
        <v>3925</v>
      </c>
      <c r="K721" s="20" t="s">
        <v>122</v>
      </c>
      <c r="L721" s="20" t="s">
        <v>57</v>
      </c>
      <c r="M721" s="20" t="s">
        <v>58</v>
      </c>
      <c r="N721" s="20" t="s">
        <v>59</v>
      </c>
      <c r="O721" s="20" t="s">
        <v>60</v>
      </c>
      <c r="P721" s="20" t="s">
        <v>89</v>
      </c>
      <c r="Q721" s="20" t="s">
        <v>90</v>
      </c>
      <c r="R721" s="20" t="s">
        <v>91</v>
      </c>
      <c r="S721" s="20" t="s">
        <v>92</v>
      </c>
      <c r="T721" s="20" t="s">
        <v>123</v>
      </c>
      <c r="U721" s="20" t="s">
        <v>124</v>
      </c>
      <c r="V721" s="20" t="s">
        <v>95</v>
      </c>
      <c r="W721" s="20" t="s">
        <v>96</v>
      </c>
      <c r="X721" s="20" t="s">
        <v>97</v>
      </c>
      <c r="Y721" s="20" t="s">
        <v>70</v>
      </c>
      <c r="Z721" s="20" t="s">
        <v>98</v>
      </c>
      <c r="AA721" s="20" t="s">
        <v>388</v>
      </c>
      <c r="AB721" s="20" t="s">
        <v>388</v>
      </c>
      <c r="AC721" s="20" t="s">
        <v>388</v>
      </c>
      <c r="AD721" s="20" t="s">
        <v>388</v>
      </c>
      <c r="AE721" s="20"/>
      <c r="AF721" s="9" t="n">
        <v>1</v>
      </c>
      <c r="AG721" s="12" t="n">
        <v>1</v>
      </c>
      <c r="AH721" s="22" t="s">
        <v>235</v>
      </c>
      <c r="AI721" s="12" t="str">
        <f>IF(AH721="","",IFERROR(RIGHT("0000"&amp;AH721,4)&amp;" - "&amp;UPPER(_xlfn.XLOOKUP(RIGHT("0000"&amp;AH721,4),CODEBOOK_CAP!$C$2:$C$212,CODEBOOK_CAP!$D$2:$D$212)),"Código CAP não encontrado"))</f>
        <v>0322 - ESTRUTURAS, HOSPITAIS, CLÍNICAS</v>
      </c>
      <c r="AJ721" s="12" t="str">
        <f>IF(AH721="","",IFERROR(_xlfn.XLOOKUP(RIGHT("0000"&amp;AH721,4),CODEBOOK_CAP!$C$2:$C$212,CODEBOOK_CAP!$E$2:$E$212),"Código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21" s="22" t="s">
        <v>79</v>
      </c>
      <c r="AL721" s="26" t="s">
        <v>3926</v>
      </c>
      <c r="AM721" s="22" t="s">
        <v>79</v>
      </c>
      <c r="AN721" s="22" t="s">
        <v>79</v>
      </c>
      <c r="AO721" s="12" t="s">
        <v>3927</v>
      </c>
      <c r="AP721" s="22" t="s">
        <v>77</v>
      </c>
      <c r="AQ721" s="12"/>
      <c r="AR721" s="22" t="s">
        <v>77</v>
      </c>
      <c r="AS721" s="10"/>
      <c r="AT721" s="2" t="s">
        <v>1814</v>
      </c>
      <c r="AU721" s="12" t="s">
        <v>83</v>
      </c>
      <c r="AV721" s="3" t="n">
        <v>46224</v>
      </c>
      <c r="AW721" s="21"/>
      <c r="AY721" s="1"/>
      <c r="BA721" s="1"/>
      <c r="BB721" s="1"/>
    </row>
    <row r="722" ht="105" customHeight="1">
      <c r="A722" s="20" t="s">
        <v>3928</v>
      </c>
      <c r="B722" s="20" t="n">
        <v>2023</v>
      </c>
      <c r="C722" s="20" t="n">
        <v>784</v>
      </c>
      <c r="D722" s="20" t="s">
        <v>50</v>
      </c>
      <c r="E722" s="20" t="s">
        <v>3901</v>
      </c>
      <c r="F722" s="20" t="s">
        <v>3929</v>
      </c>
      <c r="G722" s="20" t="s">
        <v>86</v>
      </c>
      <c r="H722" s="20" t="s">
        <v>3902</v>
      </c>
      <c r="I722" s="20"/>
      <c r="J722" s="20" t="s">
        <v>3930</v>
      </c>
      <c r="K722" s="20" t="s">
        <v>682</v>
      </c>
      <c r="L722" s="20" t="s">
        <v>186</v>
      </c>
      <c r="M722" s="20" t="s">
        <v>187</v>
      </c>
      <c r="N722" s="20" t="s">
        <v>188</v>
      </c>
      <c r="O722" s="20" t="s">
        <v>189</v>
      </c>
      <c r="P722" s="20" t="s">
        <v>338</v>
      </c>
      <c r="Q722" s="20" t="s">
        <v>683</v>
      </c>
      <c r="R722" s="20" t="s">
        <v>192</v>
      </c>
      <c r="S722" s="20" t="s">
        <v>193</v>
      </c>
      <c r="T722" s="20" t="s">
        <v>684</v>
      </c>
      <c r="U722" s="20" t="s">
        <v>685</v>
      </c>
      <c r="V722" s="20" t="s">
        <v>95</v>
      </c>
      <c r="W722" s="20" t="s">
        <v>96</v>
      </c>
      <c r="X722" s="20" t="s">
        <v>97</v>
      </c>
      <c r="Y722" s="20" t="s">
        <v>70</v>
      </c>
      <c r="Z722" s="20" t="s">
        <v>197</v>
      </c>
      <c r="AA722" s="20" t="s">
        <v>125</v>
      </c>
      <c r="AB722" s="20" t="s">
        <v>3931</v>
      </c>
      <c r="AC722" s="20" t="s">
        <v>3931</v>
      </c>
      <c r="AD722" s="20" t="s">
        <v>3931</v>
      </c>
      <c r="AE722" s="20"/>
      <c r="AF722" s="9" t="n">
        <v>0</v>
      </c>
      <c r="AG722" s="12" t="n">
        <v>0</v>
      </c>
      <c r="AH722" s="22" t="s">
        <v>161</v>
      </c>
      <c r="AI722" s="12" t="str">
        <f>IF(AH722="","",IFERROR(RIGHT("0000"&amp;AH722,4)&amp;" - "&amp;UPPER(_xlfn.XLOOKUP(RIGHT("0000"&amp;AH722,4),CODEBOOK_CAP!$C$2:$C$212,CODEBOOK_CAP!$D$2:$D$212)),"Código CAP não encontrado"))</f>
        <v>2300 - GERAL</v>
      </c>
      <c r="AJ722" s="12" t="str">
        <f>IF(AH722="","",IFERROR(_xlfn.XLOOKUP(RIGHT("0000"&amp;AH722,4),CODEBOOK_CAP!$C$2:$C$212,CODEBOOK_CAP!$E$2:$E$212),"Código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22" s="22" t="s">
        <v>77</v>
      </c>
      <c r="AL722" s="26"/>
      <c r="AM722" s="22" t="s">
        <v>77</v>
      </c>
      <c r="AN722" s="22" t="s">
        <v>77</v>
      </c>
      <c r="AO722" s="12"/>
      <c r="AP722" s="22" t="s">
        <v>77</v>
      </c>
      <c r="AQ722" s="12"/>
      <c r="AR722" s="22" t="s">
        <v>77</v>
      </c>
      <c r="AS722" s="10"/>
      <c r="AT722" s="2" t="s">
        <v>1814</v>
      </c>
      <c r="AU722" s="12" t="s">
        <v>83</v>
      </c>
      <c r="AV722" s="3" t="n">
        <v>46224</v>
      </c>
      <c r="AW722" s="21"/>
      <c r="AX722" s="1" t="s">
        <v>6956</v>
      </c>
      <c r="AY722" s="1"/>
      <c r="BA722" s="1"/>
      <c r="BB722" s="1"/>
    </row>
    <row r="723" ht="90" customHeight="1">
      <c r="A723" s="20" t="s">
        <v>3932</v>
      </c>
      <c r="B723" s="20" t="n">
        <v>2023</v>
      </c>
      <c r="C723" s="20" t="n">
        <v>785</v>
      </c>
      <c r="D723" s="20" t="s">
        <v>50</v>
      </c>
      <c r="E723" s="20" t="s">
        <v>3901</v>
      </c>
      <c r="F723" s="20" t="s">
        <v>3933</v>
      </c>
      <c r="G723" s="20" t="s">
        <v>86</v>
      </c>
      <c r="H723" s="20" t="s">
        <v>3902</v>
      </c>
      <c r="I723" s="20"/>
      <c r="J723" s="20" t="s">
        <v>3934</v>
      </c>
      <c r="K723" s="20" t="s">
        <v>289</v>
      </c>
      <c r="L723" s="20" t="s">
        <v>208</v>
      </c>
      <c r="M723" s="20" t="s">
        <v>209</v>
      </c>
      <c r="N723" s="20" t="s">
        <v>210</v>
      </c>
      <c r="O723" s="20" t="s">
        <v>211</v>
      </c>
      <c r="P723" s="20" t="s">
        <v>212</v>
      </c>
      <c r="Q723" s="20" t="s">
        <v>213</v>
      </c>
      <c r="R723" s="20" t="s">
        <v>251</v>
      </c>
      <c r="S723" s="20" t="s">
        <v>252</v>
      </c>
      <c r="T723" s="20" t="s">
        <v>290</v>
      </c>
      <c r="U723" s="20" t="s">
        <v>291</v>
      </c>
      <c r="V723" s="20" t="s">
        <v>67</v>
      </c>
      <c r="W723" s="20" t="s">
        <v>68</v>
      </c>
      <c r="X723" s="20" t="s">
        <v>69</v>
      </c>
      <c r="Y723" s="20" t="s">
        <v>70</v>
      </c>
      <c r="Z723" s="20" t="s">
        <v>177</v>
      </c>
      <c r="AA723" s="20" t="s">
        <v>160</v>
      </c>
      <c r="AB723" s="20" t="s">
        <v>3935</v>
      </c>
      <c r="AC723" s="20" t="s">
        <v>3935</v>
      </c>
      <c r="AD723" s="20" t="s">
        <v>3935</v>
      </c>
      <c r="AE723" s="20"/>
      <c r="AF723" s="9" t="n">
        <v>0</v>
      </c>
      <c r="AG723" s="12" t="n">
        <v>0</v>
      </c>
      <c r="AH723" s="22" t="s">
        <v>304</v>
      </c>
      <c r="AI723" s="12" t="str">
        <f>IF(AH723="","",IFERROR(RIGHT("0000"&amp;AH723,4)&amp;" - "&amp;UPPER(_xlfn.XLOOKUP(RIGHT("0000"&amp;AH723,4),CODEBOOK_CAP!$C$2:$C$212,CODEBOOK_CAP!$D$2:$D$212)),"Código CAP não encontrado"))</f>
        <v>1403 - REABILITAÇÃO URBANA, ECONOMIA URBANA</v>
      </c>
      <c r="AJ723" s="12" t="str">
        <f>IF(AH723="","",IFERROR(_xlfn.XLOOKUP(RIGHT("0000"&amp;AH723,4),CODEBOOK_CAP!$C$2:$C$212,CODEBOOK_CAP!$E$2:$E$212),"Código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723" s="22" t="s">
        <v>79</v>
      </c>
      <c r="AL723" s="26" t="s">
        <v>3936</v>
      </c>
      <c r="AM723" s="22" t="s">
        <v>79</v>
      </c>
      <c r="AN723" s="22" t="s">
        <v>79</v>
      </c>
      <c r="AO723" s="12" t="s">
        <v>3936</v>
      </c>
      <c r="AP723" s="22" t="s">
        <v>77</v>
      </c>
      <c r="AQ723" s="12"/>
      <c r="AR723" s="22" t="s">
        <v>77</v>
      </c>
      <c r="AS723" s="10"/>
      <c r="AT723" s="2" t="s">
        <v>1814</v>
      </c>
      <c r="AU723" s="12" t="s">
        <v>83</v>
      </c>
      <c r="AV723" s="3" t="n">
        <v>46224</v>
      </c>
      <c r="AW723" s="21"/>
      <c r="AY723" s="1"/>
      <c r="BA723" s="1"/>
      <c r="BB723" s="1"/>
    </row>
    <row r="724" ht="90" customHeight="1">
      <c r="A724" s="20" t="s">
        <v>3937</v>
      </c>
      <c r="B724" s="20" t="n">
        <v>2023</v>
      </c>
      <c r="C724" s="20" t="n">
        <v>786</v>
      </c>
      <c r="D724" s="20" t="s">
        <v>50</v>
      </c>
      <c r="E724" s="20" t="s">
        <v>3901</v>
      </c>
      <c r="F724" s="20" t="s">
        <v>3938</v>
      </c>
      <c r="G724" s="20" t="s">
        <v>315</v>
      </c>
      <c r="H724" s="20" t="s">
        <v>3902</v>
      </c>
      <c r="I724" s="20"/>
      <c r="J724" s="20" t="s">
        <v>3939</v>
      </c>
      <c r="K724" s="20" t="s">
        <v>273</v>
      </c>
      <c r="L724" s="20" t="s">
        <v>274</v>
      </c>
      <c r="M724" s="20" t="s">
        <v>275</v>
      </c>
      <c r="N724" s="20" t="s">
        <v>276</v>
      </c>
      <c r="O724" s="20" t="s">
        <v>277</v>
      </c>
      <c r="P724" s="20" t="s">
        <v>278</v>
      </c>
      <c r="Q724" s="20" t="s">
        <v>279</v>
      </c>
      <c r="R724" s="20" t="s">
        <v>280</v>
      </c>
      <c r="S724" s="20" t="s">
        <v>281</v>
      </c>
      <c r="T724" s="20" t="s">
        <v>282</v>
      </c>
      <c r="U724" s="20" t="s">
        <v>283</v>
      </c>
      <c r="V724" s="20" t="s">
        <v>95</v>
      </c>
      <c r="W724" s="20" t="s">
        <v>96</v>
      </c>
      <c r="X724" s="20" t="s">
        <v>97</v>
      </c>
      <c r="Y724" s="20" t="s">
        <v>70</v>
      </c>
      <c r="Z724" s="20" t="s">
        <v>284</v>
      </c>
      <c r="AA724" s="20" t="s">
        <v>351</v>
      </c>
      <c r="AB724" s="20" t="s">
        <v>351</v>
      </c>
      <c r="AC724" s="20" t="s">
        <v>351</v>
      </c>
      <c r="AD724" s="20" t="s">
        <v>351</v>
      </c>
      <c r="AE724" s="20"/>
      <c r="AF724" s="9" t="n">
        <v>0</v>
      </c>
      <c r="AG724" s="12" t="n">
        <v>0</v>
      </c>
      <c r="AH724" s="22" t="s">
        <v>941</v>
      </c>
      <c r="AI724" s="12" t="str">
        <f>IF(AH724="","",IFERROR(RIGHT("0000"&amp;AH724,4)&amp;" - "&amp;UPPER(_xlfn.XLOOKUP(RIGHT("0000"&amp;AH724,4),CODEBOOK_CAP!$C$2:$C$212,CODEBOOK_CAP!$D$2:$D$212)),"Código CAP não encontrado"))</f>
        <v>1308 - POLÍTICAS SOCIAIS PARA FAMÍLIAS E INFÂNCIA</v>
      </c>
      <c r="AJ724" s="12" t="str">
        <f>IF(AH724="","",IFERROR(_xlfn.XLOOKUP(RIGHT("0000"&amp;AH724,4),CODEBOOK_CAP!$C$2:$C$212,CODEBOOK_CAP!$E$2:$E$212),"Código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724" s="22" t="s">
        <v>79</v>
      </c>
      <c r="AL724" s="26" t="s">
        <v>3940</v>
      </c>
      <c r="AM724" s="22" t="s">
        <v>79</v>
      </c>
      <c r="AN724" s="22" t="s">
        <v>79</v>
      </c>
      <c r="AO724" s="12" t="s">
        <v>3940</v>
      </c>
      <c r="AP724" s="22" t="s">
        <v>79</v>
      </c>
      <c r="AQ724" s="12" t="s">
        <v>1094</v>
      </c>
      <c r="AR724" s="22" t="s">
        <v>77</v>
      </c>
      <c r="AS724" s="10"/>
      <c r="AT724" s="2" t="s">
        <v>1814</v>
      </c>
      <c r="AU724" s="12" t="s">
        <v>83</v>
      </c>
      <c r="AV724" s="3" t="n">
        <v>46224</v>
      </c>
      <c r="AW724" s="21"/>
      <c r="AY724" s="1"/>
      <c r="BA724" s="1"/>
      <c r="BB724" s="1"/>
    </row>
    <row r="725" ht="210" customHeight="1">
      <c r="A725" s="20" t="s">
        <v>3941</v>
      </c>
      <c r="B725" s="20" t="n">
        <v>2023</v>
      </c>
      <c r="C725" s="20" t="n">
        <v>787</v>
      </c>
      <c r="D725" s="20" t="s">
        <v>50</v>
      </c>
      <c r="E725" s="20" t="s">
        <v>3901</v>
      </c>
      <c r="F725" s="20" t="s">
        <v>3942</v>
      </c>
      <c r="G725" s="20" t="s">
        <v>183</v>
      </c>
      <c r="H725" s="20" t="s">
        <v>3902</v>
      </c>
      <c r="I725" s="20"/>
      <c r="J725" s="20" t="s">
        <v>3943</v>
      </c>
      <c r="K725" s="20" t="s">
        <v>273</v>
      </c>
      <c r="L725" s="20" t="s">
        <v>274</v>
      </c>
      <c r="M725" s="20" t="s">
        <v>275</v>
      </c>
      <c r="N725" s="20" t="s">
        <v>276</v>
      </c>
      <c r="O725" s="20" t="s">
        <v>277</v>
      </c>
      <c r="P725" s="20" t="s">
        <v>278</v>
      </c>
      <c r="Q725" s="20" t="s">
        <v>279</v>
      </c>
      <c r="R725" s="20" t="s">
        <v>280</v>
      </c>
      <c r="S725" s="20" t="s">
        <v>281</v>
      </c>
      <c r="T725" s="20" t="s">
        <v>282</v>
      </c>
      <c r="U725" s="20" t="s">
        <v>283</v>
      </c>
      <c r="V725" s="20" t="s">
        <v>95</v>
      </c>
      <c r="W725" s="20" t="s">
        <v>96</v>
      </c>
      <c r="X725" s="20" t="s">
        <v>97</v>
      </c>
      <c r="Y725" s="20" t="s">
        <v>70</v>
      </c>
      <c r="Z725" s="20" t="s">
        <v>284</v>
      </c>
      <c r="AA725" s="20" t="s">
        <v>580</v>
      </c>
      <c r="AB725" s="20" t="s">
        <v>77</v>
      </c>
      <c r="AC725" s="20" t="s">
        <v>77</v>
      </c>
      <c r="AD725" s="20" t="s">
        <v>77</v>
      </c>
      <c r="AE725" s="20"/>
      <c r="AF725" s="9" t="n">
        <v>0</v>
      </c>
      <c r="AG725" s="12" t="n">
        <v>0</v>
      </c>
      <c r="AH725" s="22" t="s">
        <v>607</v>
      </c>
      <c r="AI725" s="12" t="str">
        <f>IF(AH725="","",IFERROR(RIGHT("0000"&amp;AH725,4)&amp;" - "&amp;UPPER(_xlfn.XLOOKUP(RIGHT("0000"&amp;AH725,4),CODEBOOK_CAP!$C$2:$C$212,CODEBOOK_CAP!$D$2:$D$212)),"Código CAP não encontrado"))</f>
        <v>1300 - GERAL</v>
      </c>
      <c r="AJ725" s="12" t="str">
        <f>IF(AH725="","",IFERROR(_xlfn.XLOOKUP(RIGHT("0000"&amp;AH725,4),CODEBOOK_CAP!$C$2:$C$212,CODEBOOK_CAP!$E$2:$E$212),"Código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25" s="22" t="s">
        <v>79</v>
      </c>
      <c r="AL725" s="26" t="s">
        <v>3944</v>
      </c>
      <c r="AM725" s="22" t="s">
        <v>79</v>
      </c>
      <c r="AN725" s="22" t="s">
        <v>79</v>
      </c>
      <c r="AO725" s="12" t="s">
        <v>3944</v>
      </c>
      <c r="AP725" s="22" t="s">
        <v>77</v>
      </c>
      <c r="AQ725" s="12"/>
      <c r="AR725" s="22" t="s">
        <v>77</v>
      </c>
      <c r="AS725" s="10"/>
      <c r="AT725" s="2" t="s">
        <v>1814</v>
      </c>
      <c r="AU725" s="12" t="s">
        <v>83</v>
      </c>
      <c r="AV725" s="3" t="n">
        <v>46224</v>
      </c>
      <c r="AW725" s="21"/>
      <c r="AY725" s="1"/>
      <c r="BA725" s="1"/>
      <c r="BB725" s="1"/>
    </row>
    <row r="726" ht="105" customHeight="1">
      <c r="A726" s="20" t="s">
        <v>3945</v>
      </c>
      <c r="B726" s="20" t="n">
        <v>2023</v>
      </c>
      <c r="C726" s="20" t="n">
        <v>788</v>
      </c>
      <c r="D726" s="20" t="s">
        <v>50</v>
      </c>
      <c r="E726" s="20" t="s">
        <v>3901</v>
      </c>
      <c r="F726" s="20" t="s">
        <v>1275</v>
      </c>
      <c r="G726" s="20" t="s">
        <v>86</v>
      </c>
      <c r="H726" s="20" t="s">
        <v>3902</v>
      </c>
      <c r="I726" s="20"/>
      <c r="J726" s="20" t="s">
        <v>3946</v>
      </c>
      <c r="K726" s="20" t="s">
        <v>3947</v>
      </c>
      <c r="L726" s="20" t="s">
        <v>57</v>
      </c>
      <c r="M726" s="20" t="s">
        <v>58</v>
      </c>
      <c r="N726" s="20" t="s">
        <v>59</v>
      </c>
      <c r="O726" s="20" t="s">
        <v>60</v>
      </c>
      <c r="P726" s="20" t="s">
        <v>61</v>
      </c>
      <c r="Q726" s="20" t="s">
        <v>62</v>
      </c>
      <c r="R726" s="20" t="s">
        <v>63</v>
      </c>
      <c r="S726" s="20" t="s">
        <v>64</v>
      </c>
      <c r="T726" s="20" t="s">
        <v>1414</v>
      </c>
      <c r="U726" s="20" t="s">
        <v>1415</v>
      </c>
      <c r="V726" s="20" t="s">
        <v>854</v>
      </c>
      <c r="W726" s="20" t="s">
        <v>96</v>
      </c>
      <c r="X726" s="20" t="s">
        <v>97</v>
      </c>
      <c r="Y726" s="20" t="s">
        <v>70</v>
      </c>
      <c r="Z726" s="20" t="s">
        <v>98</v>
      </c>
      <c r="AA726" s="20" t="s">
        <v>395</v>
      </c>
      <c r="AB726" s="20" t="s">
        <v>3948</v>
      </c>
      <c r="AC726" s="20" t="s">
        <v>3948</v>
      </c>
      <c r="AD726" s="20" t="s">
        <v>3948</v>
      </c>
      <c r="AE726" s="20"/>
      <c r="AF726" s="9" t="n">
        <v>1</v>
      </c>
      <c r="AG726" s="12" t="n">
        <v>1</v>
      </c>
      <c r="AH726" s="22" t="s">
        <v>3949</v>
      </c>
      <c r="AI726" s="12" t="str">
        <f>IF(AH726="","",IFERROR(RIGHT("0000"&amp;AH726,4)&amp;" - "&amp;UPPER(_xlfn.XLOOKUP(RIGHT("0000"&amp;AH726,4),CODEBOOK_CAP!$C$2:$C$212,CODEBOOK_CAP!$D$2:$D$212)),"Código CAP não encontrado"))</f>
        <v>0300 - GERAL</v>
      </c>
      <c r="AJ726" s="12" t="str">
        <f>IF(AH726="","",IFERROR(_xlfn.XLOOKUP(RIGHT("0000"&amp;AH726,4),CODEBOOK_CAP!$C$2:$C$212,CODEBOOK_CAP!$E$2:$E$212),"Código CAP não encontrado"))</f>
        <v>Quando há combinação de diversos assuntos relacionados a política de saúde e quando trata da saúde de forma geral, sem maiores especificações. Codificar em geral tudo o que relacioado ao Direito a saude, a garantia de acesso a saude, questões amplas de ação do Estado sobre políticas de saúde, acesso a saúde, saúde como direito do cidadão e garantia do Estado.</v>
      </c>
      <c r="AK726" s="22" t="s">
        <v>77</v>
      </c>
      <c r="AL726" s="26"/>
      <c r="AM726" s="22" t="s">
        <v>77</v>
      </c>
      <c r="AN726" s="22" t="s">
        <v>77</v>
      </c>
      <c r="AO726" s="12"/>
      <c r="AP726" s="22" t="s">
        <v>77</v>
      </c>
      <c r="AQ726" s="12"/>
      <c r="AR726" s="22" t="s">
        <v>77</v>
      </c>
      <c r="AS726" s="10"/>
      <c r="AT726" s="2" t="s">
        <v>1814</v>
      </c>
      <c r="AU726" s="12" t="s">
        <v>83</v>
      </c>
      <c r="AV726" s="3" t="n">
        <v>46224</v>
      </c>
      <c r="AW726" s="21"/>
      <c r="AY726" s="1"/>
      <c r="BA726" s="1"/>
      <c r="BB726" s="1"/>
    </row>
    <row r="727" ht="255" customHeight="1">
      <c r="A727" s="20" t="s">
        <v>3950</v>
      </c>
      <c r="B727" s="20" t="n">
        <v>2023</v>
      </c>
      <c r="C727" s="20" t="n">
        <v>789</v>
      </c>
      <c r="D727" s="20" t="s">
        <v>50</v>
      </c>
      <c r="E727" s="20" t="s">
        <v>3901</v>
      </c>
      <c r="F727" s="20" t="s">
        <v>274</v>
      </c>
      <c r="G727" s="20" t="s">
        <v>86</v>
      </c>
      <c r="H727" s="20" t="s">
        <v>3902</v>
      </c>
      <c r="I727" s="20"/>
      <c r="J727" s="20" t="s">
        <v>3951</v>
      </c>
      <c r="K727" s="20" t="s">
        <v>207</v>
      </c>
      <c r="L727" s="20" t="s">
        <v>208</v>
      </c>
      <c r="M727" s="20" t="s">
        <v>209</v>
      </c>
      <c r="N727" s="20" t="s">
        <v>210</v>
      </c>
      <c r="O727" s="20" t="s">
        <v>211</v>
      </c>
      <c r="P727" s="20" t="s">
        <v>212</v>
      </c>
      <c r="Q727" s="20" t="s">
        <v>213</v>
      </c>
      <c r="R727" s="20" t="s">
        <v>214</v>
      </c>
      <c r="S727" s="20" t="s">
        <v>215</v>
      </c>
      <c r="T727" s="20" t="s">
        <v>216</v>
      </c>
      <c r="U727" s="20" t="s">
        <v>217</v>
      </c>
      <c r="V727" s="20" t="s">
        <v>67</v>
      </c>
      <c r="W727" s="20" t="s">
        <v>68</v>
      </c>
      <c r="X727" s="20" t="s">
        <v>69</v>
      </c>
      <c r="Y727" s="20" t="s">
        <v>70</v>
      </c>
      <c r="Z727" s="20" t="s">
        <v>177</v>
      </c>
      <c r="AA727" s="20" t="s">
        <v>198</v>
      </c>
      <c r="AB727" s="20" t="s">
        <v>3952</v>
      </c>
      <c r="AC727" s="20" t="s">
        <v>3952</v>
      </c>
      <c r="AD727" s="20" t="s">
        <v>3952</v>
      </c>
      <c r="AE727" s="20"/>
      <c r="AF727" s="9" t="n">
        <v>0</v>
      </c>
      <c r="AG727" s="12" t="n">
        <v>0</v>
      </c>
      <c r="AH727" s="22" t="s">
        <v>219</v>
      </c>
      <c r="AI727" s="12" t="str">
        <f>IF(AH727="","",IFERROR(RIGHT("0000"&amp;AH727,4)&amp;" - "&amp;UPPER(_xlfn.XLOOKUP(RIGHT("0000"&amp;AH727,4),CODEBOOK_CAP!$C$2:$C$212,CODEBOOK_CAP!$D$2:$D$212)),"Código CAP não encontrado"))</f>
        <v>1002 - CARROS, TRÂNSITO, CONSTRUÇÃO E MANUTENÇÃO DE RUAS E ESTRADAS</v>
      </c>
      <c r="AJ727" s="12" t="str">
        <f>IF(AH727="","",IFERROR(_xlfn.XLOOKUP(RIGHT("0000"&amp;AH727,4),CODEBOOK_CAP!$C$2:$C$212,CODEBOOK_CAP!$E$2:$E$212),"Código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27" s="22" t="s">
        <v>79</v>
      </c>
      <c r="AL727" s="26" t="s">
        <v>3953</v>
      </c>
      <c r="AM727" s="22" t="s">
        <v>79</v>
      </c>
      <c r="AN727" s="22" t="s">
        <v>79</v>
      </c>
      <c r="AO727" s="12" t="s">
        <v>3953</v>
      </c>
      <c r="AP727" s="22" t="s">
        <v>77</v>
      </c>
      <c r="AQ727" s="12"/>
      <c r="AR727" s="22" t="s">
        <v>77</v>
      </c>
      <c r="AS727" s="10"/>
      <c r="AT727" s="2" t="s">
        <v>1814</v>
      </c>
      <c r="AU727" s="12" t="s">
        <v>83</v>
      </c>
      <c r="AV727" s="3" t="n">
        <v>46224</v>
      </c>
      <c r="AW727" s="21"/>
      <c r="AY727" s="1"/>
      <c r="BA727" s="1"/>
      <c r="BB727" s="1"/>
    </row>
    <row r="728" ht="255" customHeight="1">
      <c r="A728" s="20" t="s">
        <v>3954</v>
      </c>
      <c r="B728" s="20" t="n">
        <v>2023</v>
      </c>
      <c r="C728" s="20" t="n">
        <v>851</v>
      </c>
      <c r="D728" s="20" t="s">
        <v>50</v>
      </c>
      <c r="E728" s="20" t="s">
        <v>3901</v>
      </c>
      <c r="F728" s="20" t="s">
        <v>3955</v>
      </c>
      <c r="G728" s="20" t="s">
        <v>86</v>
      </c>
      <c r="H728" s="20" t="s">
        <v>3902</v>
      </c>
      <c r="I728" s="20"/>
      <c r="J728" s="20" t="s">
        <v>3956</v>
      </c>
      <c r="K728" s="20" t="s">
        <v>207</v>
      </c>
      <c r="L728" s="20" t="s">
        <v>208</v>
      </c>
      <c r="M728" s="20" t="s">
        <v>209</v>
      </c>
      <c r="N728" s="20" t="s">
        <v>210</v>
      </c>
      <c r="O728" s="20" t="s">
        <v>211</v>
      </c>
      <c r="P728" s="20" t="s">
        <v>212</v>
      </c>
      <c r="Q728" s="20" t="s">
        <v>213</v>
      </c>
      <c r="R728" s="20" t="s">
        <v>214</v>
      </c>
      <c r="S728" s="20" t="s">
        <v>215</v>
      </c>
      <c r="T728" s="20" t="s">
        <v>216</v>
      </c>
      <c r="U728" s="20" t="s">
        <v>217</v>
      </c>
      <c r="V728" s="20" t="s">
        <v>67</v>
      </c>
      <c r="W728" s="20" t="s">
        <v>68</v>
      </c>
      <c r="X728" s="20" t="s">
        <v>69</v>
      </c>
      <c r="Y728" s="20" t="s">
        <v>70</v>
      </c>
      <c r="Z728" s="20" t="s">
        <v>177</v>
      </c>
      <c r="AA728" s="20" t="s">
        <v>3957</v>
      </c>
      <c r="AB728" s="20" t="s">
        <v>3958</v>
      </c>
      <c r="AC728" s="20" t="s">
        <v>3958</v>
      </c>
      <c r="AD728" s="20" t="s">
        <v>3958</v>
      </c>
      <c r="AE728" s="20"/>
      <c r="AF728" s="9" t="n">
        <v>0</v>
      </c>
      <c r="AG728" s="12" t="n">
        <v>0</v>
      </c>
      <c r="AH728" s="22" t="s">
        <v>219</v>
      </c>
      <c r="AI728" s="12" t="str">
        <f>IF(AH728="","",IFERROR(RIGHT("0000"&amp;AH728,4)&amp;" - "&amp;UPPER(_xlfn.XLOOKUP(RIGHT("0000"&amp;AH728,4),CODEBOOK_CAP!$C$2:$C$212,CODEBOOK_CAP!$D$2:$D$212)),"Código CAP não encontrado"))</f>
        <v>1002 - CARROS, TRÂNSITO, CONSTRUÇÃO E MANUTENÇÃO DE RUAS E ESTRADAS</v>
      </c>
      <c r="AJ728" s="12" t="str">
        <f>IF(AH728="","",IFERROR(_xlfn.XLOOKUP(RIGHT("0000"&amp;AH728,4),CODEBOOK_CAP!$C$2:$C$212,CODEBOOK_CAP!$E$2:$E$212),"Código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28" s="22" t="s">
        <v>79</v>
      </c>
      <c r="AL728" s="26" t="s">
        <v>3959</v>
      </c>
      <c r="AM728" s="22" t="s">
        <v>79</v>
      </c>
      <c r="AN728" s="22" t="s">
        <v>79</v>
      </c>
      <c r="AO728" s="12" t="s">
        <v>3959</v>
      </c>
      <c r="AP728" s="22" t="s">
        <v>77</v>
      </c>
      <c r="AQ728" s="12"/>
      <c r="AR728" s="22" t="s">
        <v>77</v>
      </c>
      <c r="AS728" s="10"/>
      <c r="AT728" s="2" t="s">
        <v>1814</v>
      </c>
      <c r="AU728" s="12" t="s">
        <v>83</v>
      </c>
      <c r="AV728" s="3" t="n">
        <v>46224</v>
      </c>
      <c r="AW728" s="21"/>
      <c r="AY728" s="1"/>
      <c r="BA728" s="1"/>
      <c r="BB728" s="1"/>
    </row>
    <row r="729" ht="105" customHeight="1">
      <c r="A729" s="20" t="s">
        <v>3960</v>
      </c>
      <c r="B729" s="20" t="n">
        <v>2023</v>
      </c>
      <c r="C729" s="20" t="n">
        <v>852</v>
      </c>
      <c r="D729" s="20" t="s">
        <v>50</v>
      </c>
      <c r="E729" s="20" t="s">
        <v>3901</v>
      </c>
      <c r="F729" s="20" t="s">
        <v>3961</v>
      </c>
      <c r="G729" s="20" t="s">
        <v>86</v>
      </c>
      <c r="H729" s="20" t="s">
        <v>3902</v>
      </c>
      <c r="I729" s="20"/>
      <c r="J729" s="20" t="s">
        <v>3962</v>
      </c>
      <c r="K729" s="20" t="s">
        <v>207</v>
      </c>
      <c r="L729" s="20" t="s">
        <v>208</v>
      </c>
      <c r="M729" s="20" t="s">
        <v>209</v>
      </c>
      <c r="N729" s="20" t="s">
        <v>210</v>
      </c>
      <c r="O729" s="20" t="s">
        <v>211</v>
      </c>
      <c r="P729" s="20" t="s">
        <v>212</v>
      </c>
      <c r="Q729" s="20" t="s">
        <v>213</v>
      </c>
      <c r="R729" s="20" t="s">
        <v>214</v>
      </c>
      <c r="S729" s="20" t="s">
        <v>215</v>
      </c>
      <c r="T729" s="20" t="s">
        <v>216</v>
      </c>
      <c r="U729" s="20" t="s">
        <v>217</v>
      </c>
      <c r="V729" s="20" t="s">
        <v>67</v>
      </c>
      <c r="W729" s="20" t="s">
        <v>68</v>
      </c>
      <c r="X729" s="20" t="s">
        <v>69</v>
      </c>
      <c r="Y729" s="20" t="s">
        <v>70</v>
      </c>
      <c r="Z729" s="20" t="s">
        <v>177</v>
      </c>
      <c r="AA729" s="20" t="s">
        <v>580</v>
      </c>
      <c r="AB729" s="20" t="s">
        <v>363</v>
      </c>
      <c r="AC729" s="20" t="s">
        <v>363</v>
      </c>
      <c r="AD729" s="20" t="s">
        <v>363</v>
      </c>
      <c r="AE729" s="20"/>
      <c r="AF729" s="9" t="n">
        <v>0</v>
      </c>
      <c r="AG729" s="12" t="n">
        <v>0</v>
      </c>
      <c r="AH729" s="22" t="s">
        <v>161</v>
      </c>
      <c r="AI729" s="12" t="str">
        <f>IF(AH729="","",IFERROR(RIGHT("0000"&amp;AH729,4)&amp;" - "&amp;UPPER(_xlfn.XLOOKUP(RIGHT("0000"&amp;AH729,4),CODEBOOK_CAP!$C$2:$C$212,CODEBOOK_CAP!$D$2:$D$212)),"Código CAP não encontrado"))</f>
        <v>2300 - GERAL</v>
      </c>
      <c r="AJ729" s="12" t="str">
        <f>IF(AH729="","",IFERROR(_xlfn.XLOOKUP(RIGHT("0000"&amp;AH729,4),CODEBOOK_CAP!$C$2:$C$212,CODEBOOK_CAP!$E$2:$E$212),"Código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29" s="22" t="s">
        <v>79</v>
      </c>
      <c r="AL729" s="26" t="s">
        <v>3963</v>
      </c>
      <c r="AM729" s="22" t="s">
        <v>79</v>
      </c>
      <c r="AN729" s="22" t="s">
        <v>79</v>
      </c>
      <c r="AO729" s="12" t="s">
        <v>3963</v>
      </c>
      <c r="AP729" s="22" t="s">
        <v>77</v>
      </c>
      <c r="AQ729" s="12"/>
      <c r="AR729" s="22" t="s">
        <v>77</v>
      </c>
      <c r="AS729" s="10"/>
      <c r="AT729" s="2" t="s">
        <v>1814</v>
      </c>
      <c r="AU729" s="12" t="s">
        <v>83</v>
      </c>
      <c r="AV729" s="3" t="n">
        <v>46224</v>
      </c>
      <c r="AW729" s="21"/>
      <c r="AX729" s="1" t="s">
        <v>6956</v>
      </c>
      <c r="AY729" s="1"/>
      <c r="BA729" s="1"/>
      <c r="BB729" s="1"/>
    </row>
    <row r="730" ht="105" customHeight="1">
      <c r="A730" s="20" t="s">
        <v>3964</v>
      </c>
      <c r="B730" s="20" t="n">
        <v>2023</v>
      </c>
      <c r="C730" s="20" t="n">
        <v>853</v>
      </c>
      <c r="D730" s="20" t="s">
        <v>50</v>
      </c>
      <c r="E730" s="20" t="s">
        <v>3901</v>
      </c>
      <c r="F730" s="20" t="s">
        <v>3965</v>
      </c>
      <c r="G730" s="20" t="s">
        <v>86</v>
      </c>
      <c r="H730" s="20" t="s">
        <v>3902</v>
      </c>
      <c r="I730" s="20"/>
      <c r="J730" s="20" t="s">
        <v>3966</v>
      </c>
      <c r="K730" s="20" t="s">
        <v>207</v>
      </c>
      <c r="L730" s="20" t="s">
        <v>208</v>
      </c>
      <c r="M730" s="20" t="s">
        <v>209</v>
      </c>
      <c r="N730" s="20" t="s">
        <v>210</v>
      </c>
      <c r="O730" s="20" t="s">
        <v>211</v>
      </c>
      <c r="P730" s="20" t="s">
        <v>212</v>
      </c>
      <c r="Q730" s="20" t="s">
        <v>213</v>
      </c>
      <c r="R730" s="20" t="s">
        <v>214</v>
      </c>
      <c r="S730" s="20" t="s">
        <v>215</v>
      </c>
      <c r="T730" s="20" t="s">
        <v>216</v>
      </c>
      <c r="U730" s="20" t="s">
        <v>217</v>
      </c>
      <c r="V730" s="20" t="s">
        <v>67</v>
      </c>
      <c r="W730" s="20" t="s">
        <v>68</v>
      </c>
      <c r="X730" s="20" t="s">
        <v>69</v>
      </c>
      <c r="Y730" s="20" t="s">
        <v>70</v>
      </c>
      <c r="Z730" s="20" t="s">
        <v>177</v>
      </c>
      <c r="AA730" s="20" t="s">
        <v>580</v>
      </c>
      <c r="AB730" s="20" t="s">
        <v>3967</v>
      </c>
      <c r="AC730" s="20" t="s">
        <v>3967</v>
      </c>
      <c r="AD730" s="20" t="s">
        <v>3967</v>
      </c>
      <c r="AE730" s="20"/>
      <c r="AF730" s="9" t="n">
        <v>0</v>
      </c>
      <c r="AG730" s="12" t="n">
        <v>0</v>
      </c>
      <c r="AH730" s="22" t="s">
        <v>161</v>
      </c>
      <c r="AI730" s="12" t="str">
        <f>IF(AH730="","",IFERROR(RIGHT("0000"&amp;AH730,4)&amp;" - "&amp;UPPER(_xlfn.XLOOKUP(RIGHT("0000"&amp;AH730,4),CODEBOOK_CAP!$C$2:$C$212,CODEBOOK_CAP!$D$2:$D$212)),"Código CAP não encontrado"))</f>
        <v>2300 - GERAL</v>
      </c>
      <c r="AJ730" s="12" t="str">
        <f>IF(AH730="","",IFERROR(_xlfn.XLOOKUP(RIGHT("0000"&amp;AH730,4),CODEBOOK_CAP!$C$2:$C$212,CODEBOOK_CAP!$E$2:$E$212),"Código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30" s="22" t="s">
        <v>79</v>
      </c>
      <c r="AL730" s="26" t="s">
        <v>3968</v>
      </c>
      <c r="AM730" s="22" t="s">
        <v>79</v>
      </c>
      <c r="AN730" s="22" t="s">
        <v>79</v>
      </c>
      <c r="AO730" s="12" t="s">
        <v>3968</v>
      </c>
      <c r="AP730" s="22" t="s">
        <v>77</v>
      </c>
      <c r="AQ730" s="12"/>
      <c r="AR730" s="22" t="s">
        <v>77</v>
      </c>
      <c r="AS730" s="10"/>
      <c r="AT730" s="2" t="s">
        <v>1814</v>
      </c>
      <c r="AU730" s="12" t="s">
        <v>83</v>
      </c>
      <c r="AV730" s="3" t="n">
        <v>46224</v>
      </c>
      <c r="AW730" s="21"/>
      <c r="AX730" s="1" t="s">
        <v>6956</v>
      </c>
      <c r="AY730" s="1"/>
      <c r="BA730" s="1"/>
      <c r="BB730" s="1"/>
    </row>
    <row r="731" ht="105" customHeight="1">
      <c r="A731" s="20" t="s">
        <v>3969</v>
      </c>
      <c r="B731" s="20" t="n">
        <v>2023</v>
      </c>
      <c r="C731" s="20" t="n">
        <v>854</v>
      </c>
      <c r="D731" s="20" t="s">
        <v>50</v>
      </c>
      <c r="E731" s="20" t="s">
        <v>3901</v>
      </c>
      <c r="F731" s="20" t="s">
        <v>3970</v>
      </c>
      <c r="G731" s="20" t="s">
        <v>86</v>
      </c>
      <c r="H731" s="20" t="s">
        <v>3902</v>
      </c>
      <c r="I731" s="20"/>
      <c r="J731" s="20" t="s">
        <v>3971</v>
      </c>
      <c r="K731" s="20" t="s">
        <v>207</v>
      </c>
      <c r="L731" s="20" t="s">
        <v>208</v>
      </c>
      <c r="M731" s="20" t="s">
        <v>209</v>
      </c>
      <c r="N731" s="20" t="s">
        <v>210</v>
      </c>
      <c r="O731" s="20" t="s">
        <v>211</v>
      </c>
      <c r="P731" s="20" t="s">
        <v>212</v>
      </c>
      <c r="Q731" s="20" t="s">
        <v>213</v>
      </c>
      <c r="R731" s="20" t="s">
        <v>214</v>
      </c>
      <c r="S731" s="20" t="s">
        <v>215</v>
      </c>
      <c r="T731" s="20" t="s">
        <v>216</v>
      </c>
      <c r="U731" s="20" t="s">
        <v>217</v>
      </c>
      <c r="V731" s="20" t="s">
        <v>67</v>
      </c>
      <c r="W731" s="20" t="s">
        <v>68</v>
      </c>
      <c r="X731" s="20" t="s">
        <v>69</v>
      </c>
      <c r="Y731" s="20" t="s">
        <v>70</v>
      </c>
      <c r="Z731" s="20" t="s">
        <v>177</v>
      </c>
      <c r="AA731" s="20" t="s">
        <v>388</v>
      </c>
      <c r="AB731" s="20" t="s">
        <v>3972</v>
      </c>
      <c r="AC731" s="20" t="s">
        <v>3972</v>
      </c>
      <c r="AD731" s="20" t="s">
        <v>3972</v>
      </c>
      <c r="AE731" s="20"/>
      <c r="AF731" s="9" t="n">
        <v>0</v>
      </c>
      <c r="AG731" s="12" t="n">
        <v>0</v>
      </c>
      <c r="AH731" s="22" t="s">
        <v>161</v>
      </c>
      <c r="AI731" s="12" t="str">
        <f>IF(AH731="","",IFERROR(RIGHT("0000"&amp;AH731,4)&amp;" - "&amp;UPPER(_xlfn.XLOOKUP(RIGHT("0000"&amp;AH731,4),CODEBOOK_CAP!$C$2:$C$212,CODEBOOK_CAP!$D$2:$D$212)),"Código CAP não encontrado"))</f>
        <v>2300 - GERAL</v>
      </c>
      <c r="AJ731" s="12" t="str">
        <f>IF(AH731="","",IFERROR(_xlfn.XLOOKUP(RIGHT("0000"&amp;AH731,4),CODEBOOK_CAP!$C$2:$C$212,CODEBOOK_CAP!$E$2:$E$212),"Código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31" s="22" t="s">
        <v>79</v>
      </c>
      <c r="AL731" s="26" t="s">
        <v>3973</v>
      </c>
      <c r="AM731" s="22" t="s">
        <v>79</v>
      </c>
      <c r="AN731" s="22" t="s">
        <v>79</v>
      </c>
      <c r="AO731" s="12" t="s">
        <v>3973</v>
      </c>
      <c r="AP731" s="22" t="s">
        <v>77</v>
      </c>
      <c r="AQ731" s="12"/>
      <c r="AR731" s="22" t="s">
        <v>77</v>
      </c>
      <c r="AS731" s="10"/>
      <c r="AT731" s="2" t="s">
        <v>1814</v>
      </c>
      <c r="AU731" s="12" t="s">
        <v>83</v>
      </c>
      <c r="AV731" s="3" t="n">
        <v>46224</v>
      </c>
      <c r="AW731" s="21"/>
      <c r="AX731" s="1" t="s">
        <v>6956</v>
      </c>
      <c r="AY731" s="1"/>
      <c r="BA731" s="1"/>
      <c r="BB731" s="1"/>
    </row>
    <row r="732" ht="135" customHeight="1">
      <c r="A732" s="20" t="s">
        <v>3974</v>
      </c>
      <c r="B732" s="20" t="n">
        <v>2023</v>
      </c>
      <c r="C732" s="20" t="n">
        <v>855</v>
      </c>
      <c r="D732" s="20" t="s">
        <v>50</v>
      </c>
      <c r="E732" s="20" t="s">
        <v>3901</v>
      </c>
      <c r="F732" s="20" t="s">
        <v>3975</v>
      </c>
      <c r="G732" s="20" t="s">
        <v>183</v>
      </c>
      <c r="H732" s="20" t="s">
        <v>3902</v>
      </c>
      <c r="I732" s="20"/>
      <c r="J732" s="20" t="s">
        <v>3976</v>
      </c>
      <c r="K732" s="20" t="s">
        <v>273</v>
      </c>
      <c r="L732" s="20" t="s">
        <v>274</v>
      </c>
      <c r="M732" s="20" t="s">
        <v>275</v>
      </c>
      <c r="N732" s="20" t="s">
        <v>276</v>
      </c>
      <c r="O732" s="20" t="s">
        <v>277</v>
      </c>
      <c r="P732" s="20" t="s">
        <v>278</v>
      </c>
      <c r="Q732" s="20" t="s">
        <v>279</v>
      </c>
      <c r="R732" s="20" t="s">
        <v>280</v>
      </c>
      <c r="S732" s="20" t="s">
        <v>281</v>
      </c>
      <c r="T732" s="20" t="s">
        <v>282</v>
      </c>
      <c r="U732" s="20" t="s">
        <v>283</v>
      </c>
      <c r="V732" s="20" t="s">
        <v>95</v>
      </c>
      <c r="W732" s="20" t="s">
        <v>96</v>
      </c>
      <c r="X732" s="20" t="s">
        <v>97</v>
      </c>
      <c r="Y732" s="20" t="s">
        <v>70</v>
      </c>
      <c r="Z732" s="20" t="s">
        <v>284</v>
      </c>
      <c r="AA732" s="20" t="s">
        <v>395</v>
      </c>
      <c r="AB732" s="20" t="s">
        <v>77</v>
      </c>
      <c r="AC732" s="20" t="s">
        <v>77</v>
      </c>
      <c r="AD732" s="20" t="s">
        <v>77</v>
      </c>
      <c r="AE732" s="20"/>
      <c r="AF732" s="9" t="n">
        <v>0</v>
      </c>
      <c r="AG732" s="12" t="n">
        <v>0</v>
      </c>
      <c r="AH732" s="22" t="s">
        <v>2043</v>
      </c>
      <c r="AI732" s="12" t="str">
        <f>IF(AH732="","",IFERROR(RIGHT("0000"&amp;AH732,4)&amp;" - "&amp;UPPER(_xlfn.XLOOKUP(RIGHT("0000"&amp;AH732,4),CODEBOOK_CAP!$C$2:$C$212,CODEBOOK_CAP!$D$2:$D$212)),"Código CAP não encontrado"))</f>
        <v>1303 - POLÍTICAS SOCIAIS DE ASSISTÊNCIA PARA IDOSOS</v>
      </c>
      <c r="AJ732" s="12" t="str">
        <f>IF(AH732="","",IFERROR(_xlfn.XLOOKUP(RIGHT("0000"&amp;AH732,4),CODEBOOK_CAP!$C$2:$C$212,CODEBOOK_CAP!$E$2:$E$212),"Código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732" s="22" t="s">
        <v>79</v>
      </c>
      <c r="AL732" s="26" t="s">
        <v>3977</v>
      </c>
      <c r="AM732" s="22" t="s">
        <v>79</v>
      </c>
      <c r="AN732" s="22" t="s">
        <v>79</v>
      </c>
      <c r="AO732" s="12" t="s">
        <v>3977</v>
      </c>
      <c r="AP732" s="22" t="s">
        <v>79</v>
      </c>
      <c r="AQ732" s="12" t="s">
        <v>2044</v>
      </c>
      <c r="AR732" s="22" t="s">
        <v>77</v>
      </c>
      <c r="AS732" s="10"/>
      <c r="AT732" s="2" t="s">
        <v>1814</v>
      </c>
      <c r="AU732" s="12" t="s">
        <v>83</v>
      </c>
      <c r="AV732" s="3" t="n">
        <v>46224</v>
      </c>
      <c r="AW732" s="21"/>
      <c r="AY732" s="1"/>
      <c r="BA732" s="1"/>
      <c r="BB732" s="1"/>
    </row>
    <row r="733" ht="120" customHeight="1">
      <c r="A733" s="20" t="s">
        <v>3978</v>
      </c>
      <c r="B733" s="20" t="n">
        <v>2023</v>
      </c>
      <c r="C733" s="20" t="n">
        <v>856</v>
      </c>
      <c r="D733" s="20" t="s">
        <v>50</v>
      </c>
      <c r="E733" s="20" t="s">
        <v>3901</v>
      </c>
      <c r="F733" s="20" t="s">
        <v>3979</v>
      </c>
      <c r="G733" s="20" t="s">
        <v>315</v>
      </c>
      <c r="H733" s="20" t="s">
        <v>3902</v>
      </c>
      <c r="I733" s="20"/>
      <c r="J733" s="20" t="s">
        <v>3980</v>
      </c>
      <c r="K733" s="20" t="s">
        <v>273</v>
      </c>
      <c r="L733" s="20" t="s">
        <v>274</v>
      </c>
      <c r="M733" s="20" t="s">
        <v>275</v>
      </c>
      <c r="N733" s="20" t="s">
        <v>276</v>
      </c>
      <c r="O733" s="20" t="s">
        <v>277</v>
      </c>
      <c r="P733" s="20" t="s">
        <v>278</v>
      </c>
      <c r="Q733" s="20" t="s">
        <v>279</v>
      </c>
      <c r="R733" s="20" t="s">
        <v>280</v>
      </c>
      <c r="S733" s="20" t="s">
        <v>281</v>
      </c>
      <c r="T733" s="20" t="s">
        <v>282</v>
      </c>
      <c r="U733" s="20" t="s">
        <v>283</v>
      </c>
      <c r="V733" s="20" t="s">
        <v>95</v>
      </c>
      <c r="W733" s="20" t="s">
        <v>96</v>
      </c>
      <c r="X733" s="20" t="s">
        <v>97</v>
      </c>
      <c r="Y733" s="20" t="s">
        <v>70</v>
      </c>
      <c r="Z733" s="20" t="s">
        <v>284</v>
      </c>
      <c r="AA733" s="20" t="s">
        <v>125</v>
      </c>
      <c r="AB733" s="20" t="s">
        <v>125</v>
      </c>
      <c r="AC733" s="20" t="s">
        <v>125</v>
      </c>
      <c r="AD733" s="20" t="s">
        <v>125</v>
      </c>
      <c r="AE733" s="20"/>
      <c r="AF733" s="9" t="n">
        <v>0</v>
      </c>
      <c r="AG733" s="12" t="n">
        <v>0</v>
      </c>
      <c r="AH733" s="22" t="s">
        <v>941</v>
      </c>
      <c r="AI733" s="12" t="str">
        <f>IF(AH733="","",IFERROR(RIGHT("0000"&amp;AH733,4)&amp;" - "&amp;UPPER(_xlfn.XLOOKUP(RIGHT("0000"&amp;AH733,4),CODEBOOK_CAP!$C$2:$C$212,CODEBOOK_CAP!$D$2:$D$212)),"Código CAP não encontrado"))</f>
        <v>1308 - POLÍTICAS SOCIAIS PARA FAMÍLIAS E INFÂNCIA</v>
      </c>
      <c r="AJ733" s="12" t="str">
        <f>IF(AH733="","",IFERROR(_xlfn.XLOOKUP(RIGHT("0000"&amp;AH733,4),CODEBOOK_CAP!$C$2:$C$212,CODEBOOK_CAP!$E$2:$E$212),"Código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733" s="22" t="s">
        <v>79</v>
      </c>
      <c r="AL733" s="26" t="s">
        <v>3981</v>
      </c>
      <c r="AM733" s="22" t="s">
        <v>79</v>
      </c>
      <c r="AN733" s="22" t="s">
        <v>79</v>
      </c>
      <c r="AO733" s="12" t="s">
        <v>3981</v>
      </c>
      <c r="AP733" s="22" t="s">
        <v>79</v>
      </c>
      <c r="AQ733" s="12" t="s">
        <v>1094</v>
      </c>
      <c r="AR733" s="22" t="s">
        <v>77</v>
      </c>
      <c r="AS733" s="10"/>
      <c r="AT733" s="2" t="s">
        <v>1814</v>
      </c>
      <c r="AU733" s="12" t="s">
        <v>83</v>
      </c>
      <c r="AV733" s="3" t="n">
        <v>46224</v>
      </c>
      <c r="AW733" s="21"/>
      <c r="AY733" s="1"/>
      <c r="BA733" s="1"/>
      <c r="BB733" s="1"/>
    </row>
    <row r="734" ht="210" customHeight="1">
      <c r="A734" s="20" t="s">
        <v>3982</v>
      </c>
      <c r="B734" s="20" t="n">
        <v>2023</v>
      </c>
      <c r="C734" s="20" t="n">
        <v>857</v>
      </c>
      <c r="D734" s="20" t="s">
        <v>50</v>
      </c>
      <c r="E734" s="20" t="s">
        <v>3901</v>
      </c>
      <c r="F734" s="20" t="s">
        <v>3983</v>
      </c>
      <c r="G734" s="20" t="s">
        <v>315</v>
      </c>
      <c r="H734" s="20" t="s">
        <v>3902</v>
      </c>
      <c r="I734" s="20"/>
      <c r="J734" s="20" t="s">
        <v>3984</v>
      </c>
      <c r="K734" s="20" t="s">
        <v>273</v>
      </c>
      <c r="L734" s="20" t="s">
        <v>274</v>
      </c>
      <c r="M734" s="20" t="s">
        <v>275</v>
      </c>
      <c r="N734" s="20" t="s">
        <v>276</v>
      </c>
      <c r="O734" s="20" t="s">
        <v>277</v>
      </c>
      <c r="P734" s="20" t="s">
        <v>278</v>
      </c>
      <c r="Q734" s="20" t="s">
        <v>279</v>
      </c>
      <c r="R734" s="20" t="s">
        <v>280</v>
      </c>
      <c r="S734" s="20" t="s">
        <v>281</v>
      </c>
      <c r="T734" s="20" t="s">
        <v>282</v>
      </c>
      <c r="U734" s="20" t="s">
        <v>283</v>
      </c>
      <c r="V734" s="20" t="s">
        <v>95</v>
      </c>
      <c r="W734" s="20" t="s">
        <v>96</v>
      </c>
      <c r="X734" s="20" t="s">
        <v>97</v>
      </c>
      <c r="Y734" s="20" t="s">
        <v>70</v>
      </c>
      <c r="Z734" s="20" t="s">
        <v>284</v>
      </c>
      <c r="AA734" s="20" t="s">
        <v>363</v>
      </c>
      <c r="AB734" s="20" t="s">
        <v>363</v>
      </c>
      <c r="AC734" s="20" t="s">
        <v>363</v>
      </c>
      <c r="AD734" s="20" t="s">
        <v>363</v>
      </c>
      <c r="AE734" s="20"/>
      <c r="AF734" s="9" t="n">
        <v>0</v>
      </c>
      <c r="AG734" s="12" t="n">
        <v>0</v>
      </c>
      <c r="AH734" s="22" t="s">
        <v>607</v>
      </c>
      <c r="AI734" s="12" t="str">
        <f>IF(AH734="","",IFERROR(RIGHT("0000"&amp;AH734,4)&amp;" - "&amp;UPPER(_xlfn.XLOOKUP(RIGHT("0000"&amp;AH734,4),CODEBOOK_CAP!$C$2:$C$212,CODEBOOK_CAP!$D$2:$D$212)),"Código CAP não encontrado"))</f>
        <v>1300 - GERAL</v>
      </c>
      <c r="AJ734" s="12" t="str">
        <f>IF(AH734="","",IFERROR(_xlfn.XLOOKUP(RIGHT("0000"&amp;AH734,4),CODEBOOK_CAP!$C$2:$C$212,CODEBOOK_CAP!$E$2:$E$212),"Código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34" s="22" t="s">
        <v>79</v>
      </c>
      <c r="AL734" s="26" t="s">
        <v>3985</v>
      </c>
      <c r="AM734" s="22" t="s">
        <v>79</v>
      </c>
      <c r="AN734" s="22" t="s">
        <v>79</v>
      </c>
      <c r="AO734" s="12" t="s">
        <v>3985</v>
      </c>
      <c r="AP734" s="22" t="s">
        <v>77</v>
      </c>
      <c r="AQ734" s="12"/>
      <c r="AR734" s="22" t="s">
        <v>77</v>
      </c>
      <c r="AS734" s="10"/>
      <c r="AT734" s="2" t="s">
        <v>1814</v>
      </c>
      <c r="AU734" s="12" t="s">
        <v>83</v>
      </c>
      <c r="AV734" s="3" t="n">
        <v>46224</v>
      </c>
      <c r="AW734" s="21"/>
      <c r="AY734" s="1"/>
      <c r="BA734" s="1"/>
      <c r="BB734" s="1"/>
    </row>
    <row r="735" ht="120" customHeight="1">
      <c r="A735" s="20" t="s">
        <v>3986</v>
      </c>
      <c r="B735" s="20" t="n">
        <v>2023</v>
      </c>
      <c r="C735" s="20" t="n">
        <v>858</v>
      </c>
      <c r="D735" s="20" t="s">
        <v>50</v>
      </c>
      <c r="E735" s="20" t="s">
        <v>3901</v>
      </c>
      <c r="F735" s="20" t="s">
        <v>3987</v>
      </c>
      <c r="G735" s="20" t="s">
        <v>86</v>
      </c>
      <c r="H735" s="20" t="s">
        <v>3902</v>
      </c>
      <c r="I735" s="20"/>
      <c r="J735" s="20" t="s">
        <v>3988</v>
      </c>
      <c r="K735" s="20" t="s">
        <v>853</v>
      </c>
      <c r="L735" s="20" t="s">
        <v>57</v>
      </c>
      <c r="M735" s="20" t="s">
        <v>58</v>
      </c>
      <c r="N735" s="20" t="s">
        <v>59</v>
      </c>
      <c r="O735" s="20" t="s">
        <v>60</v>
      </c>
      <c r="P735" s="20" t="s">
        <v>227</v>
      </c>
      <c r="Q735" s="20" t="s">
        <v>228</v>
      </c>
      <c r="R735" s="20" t="s">
        <v>229</v>
      </c>
      <c r="S735" s="20" t="s">
        <v>230</v>
      </c>
      <c r="T735" s="20" t="s">
        <v>231</v>
      </c>
      <c r="U735" s="20" t="s">
        <v>230</v>
      </c>
      <c r="V735" s="20" t="s">
        <v>854</v>
      </c>
      <c r="W735" s="20" t="s">
        <v>96</v>
      </c>
      <c r="X735" s="20" t="s">
        <v>97</v>
      </c>
      <c r="Y735" s="20" t="s">
        <v>70</v>
      </c>
      <c r="Z735" s="20" t="s">
        <v>98</v>
      </c>
      <c r="AA735" s="20" t="s">
        <v>233</v>
      </c>
      <c r="AB735" s="20" t="s">
        <v>3989</v>
      </c>
      <c r="AC735" s="20" t="s">
        <v>3989</v>
      </c>
      <c r="AD735" s="20" t="s">
        <v>3989</v>
      </c>
      <c r="AE735" s="20"/>
      <c r="AF735" s="9" t="n">
        <v>1</v>
      </c>
      <c r="AG735" s="12" t="n">
        <v>1</v>
      </c>
      <c r="AH735" s="22" t="s">
        <v>235</v>
      </c>
      <c r="AI735" s="12" t="str">
        <f>IF(AH735="","",IFERROR(RIGHT("0000"&amp;AH735,4)&amp;" - "&amp;UPPER(_xlfn.XLOOKUP(RIGHT("0000"&amp;AH735,4),CODEBOOK_CAP!$C$2:$C$212,CODEBOOK_CAP!$D$2:$D$212)),"Código CAP não encontrado"))</f>
        <v>0322 - ESTRUTURAS, HOSPITAIS, CLÍNICAS</v>
      </c>
      <c r="AJ735" s="12" t="str">
        <f>IF(AH735="","",IFERROR(_xlfn.XLOOKUP(RIGHT("0000"&amp;AH735,4),CODEBOOK_CAP!$C$2:$C$212,CODEBOOK_CAP!$E$2:$E$212),"Código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5" s="22" t="s">
        <v>79</v>
      </c>
      <c r="AL735" s="26" t="s">
        <v>3990</v>
      </c>
      <c r="AM735" s="22" t="s">
        <v>79</v>
      </c>
      <c r="AN735" s="22" t="s">
        <v>79</v>
      </c>
      <c r="AO735" s="12" t="s">
        <v>3991</v>
      </c>
      <c r="AP735" s="22" t="s">
        <v>77</v>
      </c>
      <c r="AQ735" s="12"/>
      <c r="AR735" s="22" t="s">
        <v>77</v>
      </c>
      <c r="AS735" s="10"/>
      <c r="AT735" s="2" t="s">
        <v>1814</v>
      </c>
      <c r="AU735" s="12" t="s">
        <v>83</v>
      </c>
      <c r="AV735" s="3" t="n">
        <v>46224</v>
      </c>
      <c r="AW735" s="21"/>
      <c r="AY735" s="1"/>
      <c r="BA735" s="1"/>
      <c r="BB735" s="1"/>
    </row>
    <row r="736" ht="120" customHeight="1">
      <c r="A736" s="20" t="s">
        <v>3992</v>
      </c>
      <c r="B736" s="20" t="n">
        <v>2023</v>
      </c>
      <c r="C736" s="20" t="n">
        <v>859</v>
      </c>
      <c r="D736" s="20" t="s">
        <v>50</v>
      </c>
      <c r="E736" s="20" t="s">
        <v>3901</v>
      </c>
      <c r="F736" s="20" t="s">
        <v>3993</v>
      </c>
      <c r="G736" s="20" t="s">
        <v>86</v>
      </c>
      <c r="H736" s="20" t="s">
        <v>3902</v>
      </c>
      <c r="I736" s="20"/>
      <c r="J736" s="20" t="s">
        <v>3994</v>
      </c>
      <c r="K736" s="20" t="s">
        <v>416</v>
      </c>
      <c r="L736" s="20" t="s">
        <v>57</v>
      </c>
      <c r="M736" s="20" t="s">
        <v>58</v>
      </c>
      <c r="N736" s="20" t="s">
        <v>59</v>
      </c>
      <c r="O736" s="20" t="s">
        <v>60</v>
      </c>
      <c r="P736" s="20" t="s">
        <v>89</v>
      </c>
      <c r="Q736" s="20" t="s">
        <v>90</v>
      </c>
      <c r="R736" s="20" t="s">
        <v>91</v>
      </c>
      <c r="S736" s="20" t="s">
        <v>92</v>
      </c>
      <c r="T736" s="20" t="s">
        <v>123</v>
      </c>
      <c r="U736" s="20" t="s">
        <v>124</v>
      </c>
      <c r="V736" s="20" t="s">
        <v>417</v>
      </c>
      <c r="W736" s="20" t="s">
        <v>96</v>
      </c>
      <c r="X736" s="20" t="s">
        <v>97</v>
      </c>
      <c r="Y736" s="20" t="s">
        <v>70</v>
      </c>
      <c r="Z736" s="20" t="s">
        <v>98</v>
      </c>
      <c r="AA736" s="20" t="s">
        <v>233</v>
      </c>
      <c r="AB736" s="20" t="s">
        <v>233</v>
      </c>
      <c r="AC736" s="20" t="s">
        <v>233</v>
      </c>
      <c r="AD736" s="20" t="s">
        <v>233</v>
      </c>
      <c r="AE736" s="20"/>
      <c r="AF736" s="9" t="n">
        <v>1</v>
      </c>
      <c r="AG736" s="12" t="n">
        <v>1</v>
      </c>
      <c r="AH736" s="22" t="s">
        <v>235</v>
      </c>
      <c r="AI736" s="12" t="str">
        <f>IF(AH736="","",IFERROR(RIGHT("0000"&amp;AH736,4)&amp;" - "&amp;UPPER(_xlfn.XLOOKUP(RIGHT("0000"&amp;AH736,4),CODEBOOK_CAP!$C$2:$C$212,CODEBOOK_CAP!$D$2:$D$212)),"Código CAP não encontrado"))</f>
        <v>0322 - ESTRUTURAS, HOSPITAIS, CLÍNICAS</v>
      </c>
      <c r="AJ736" s="12" t="str">
        <f>IF(AH736="","",IFERROR(_xlfn.XLOOKUP(RIGHT("0000"&amp;AH736,4),CODEBOOK_CAP!$C$2:$C$212,CODEBOOK_CAP!$E$2:$E$212),"Código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6" s="22" t="s">
        <v>79</v>
      </c>
      <c r="AL736" s="26" t="s">
        <v>3995</v>
      </c>
      <c r="AM736" s="22" t="s">
        <v>79</v>
      </c>
      <c r="AN736" s="22" t="s">
        <v>79</v>
      </c>
      <c r="AO736" s="12" t="s">
        <v>3996</v>
      </c>
      <c r="AP736" s="22" t="s">
        <v>77</v>
      </c>
      <c r="AQ736" s="12"/>
      <c r="AR736" s="22" t="s">
        <v>77</v>
      </c>
      <c r="AS736" s="10"/>
      <c r="AT736" s="2" t="s">
        <v>1814</v>
      </c>
      <c r="AU736" s="12" t="s">
        <v>83</v>
      </c>
      <c r="AV736" s="3" t="n">
        <v>46224</v>
      </c>
      <c r="AW736" s="21"/>
      <c r="AY736" s="1"/>
      <c r="BA736" s="1"/>
      <c r="BB736" s="1"/>
    </row>
    <row r="737" ht="120" customHeight="1">
      <c r="A737" s="20" t="s">
        <v>3997</v>
      </c>
      <c r="B737" s="20" t="n">
        <v>2023</v>
      </c>
      <c r="C737" s="20" t="n">
        <v>860</v>
      </c>
      <c r="D737" s="20" t="s">
        <v>50</v>
      </c>
      <c r="E737" s="20" t="s">
        <v>3901</v>
      </c>
      <c r="F737" s="20" t="s">
        <v>3998</v>
      </c>
      <c r="G737" s="20" t="s">
        <v>86</v>
      </c>
      <c r="H737" s="20" t="s">
        <v>3902</v>
      </c>
      <c r="I737" s="20"/>
      <c r="J737" s="20" t="s">
        <v>3999</v>
      </c>
      <c r="K737" s="20" t="s">
        <v>853</v>
      </c>
      <c r="L737" s="20" t="s">
        <v>57</v>
      </c>
      <c r="M737" s="20" t="s">
        <v>58</v>
      </c>
      <c r="N737" s="20" t="s">
        <v>59</v>
      </c>
      <c r="O737" s="20" t="s">
        <v>60</v>
      </c>
      <c r="P737" s="20" t="s">
        <v>227</v>
      </c>
      <c r="Q737" s="20" t="s">
        <v>228</v>
      </c>
      <c r="R737" s="20" t="s">
        <v>229</v>
      </c>
      <c r="S737" s="20" t="s">
        <v>230</v>
      </c>
      <c r="T737" s="20" t="s">
        <v>231</v>
      </c>
      <c r="U737" s="20" t="s">
        <v>230</v>
      </c>
      <c r="V737" s="20" t="s">
        <v>854</v>
      </c>
      <c r="W737" s="20" t="s">
        <v>96</v>
      </c>
      <c r="X737" s="20" t="s">
        <v>97</v>
      </c>
      <c r="Y737" s="20" t="s">
        <v>70</v>
      </c>
      <c r="Z737" s="20" t="s">
        <v>98</v>
      </c>
      <c r="AA737" s="20" t="s">
        <v>233</v>
      </c>
      <c r="AB737" s="20" t="s">
        <v>4000</v>
      </c>
      <c r="AC737" s="20" t="s">
        <v>4000</v>
      </c>
      <c r="AD737" s="20" t="s">
        <v>4000</v>
      </c>
      <c r="AE737" s="20"/>
      <c r="AF737" s="9" t="n">
        <v>1</v>
      </c>
      <c r="AG737" s="12" t="n">
        <v>1</v>
      </c>
      <c r="AH737" s="22" t="s">
        <v>235</v>
      </c>
      <c r="AI737" s="12" t="str">
        <f>IF(AH737="","",IFERROR(RIGHT("0000"&amp;AH737,4)&amp;" - "&amp;UPPER(_xlfn.XLOOKUP(RIGHT("0000"&amp;AH737,4),CODEBOOK_CAP!$C$2:$C$212,CODEBOOK_CAP!$D$2:$D$212)),"Código CAP não encontrado"))</f>
        <v>0322 - ESTRUTURAS, HOSPITAIS, CLÍNICAS</v>
      </c>
      <c r="AJ737" s="12" t="str">
        <f>IF(AH737="","",IFERROR(_xlfn.XLOOKUP(RIGHT("0000"&amp;AH737,4),CODEBOOK_CAP!$C$2:$C$212,CODEBOOK_CAP!$E$2:$E$212),"Código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7" s="22" t="s">
        <v>79</v>
      </c>
      <c r="AL737" s="26" t="s">
        <v>4001</v>
      </c>
      <c r="AM737" s="22" t="s">
        <v>79</v>
      </c>
      <c r="AN737" s="22" t="s">
        <v>79</v>
      </c>
      <c r="AO737" s="12" t="s">
        <v>4002</v>
      </c>
      <c r="AP737" s="22" t="s">
        <v>77</v>
      </c>
      <c r="AQ737" s="12"/>
      <c r="AR737" s="22" t="s">
        <v>77</v>
      </c>
      <c r="AS737" s="10"/>
      <c r="AT737" s="2" t="s">
        <v>1814</v>
      </c>
      <c r="AU737" s="12" t="s">
        <v>83</v>
      </c>
      <c r="AV737" s="3" t="n">
        <v>46224</v>
      </c>
      <c r="AW737" s="21"/>
      <c r="AY737" s="1"/>
      <c r="BA737" s="1"/>
      <c r="BB737" s="1"/>
    </row>
    <row r="738" ht="120" customHeight="1">
      <c r="A738" s="20" t="s">
        <v>4003</v>
      </c>
      <c r="B738" s="20" t="n">
        <v>2023</v>
      </c>
      <c r="C738" s="20" t="n">
        <v>861</v>
      </c>
      <c r="D738" s="20" t="s">
        <v>50</v>
      </c>
      <c r="E738" s="20" t="s">
        <v>3901</v>
      </c>
      <c r="F738" s="20" t="s">
        <v>4004</v>
      </c>
      <c r="G738" s="20" t="s">
        <v>86</v>
      </c>
      <c r="H738" s="20" t="s">
        <v>3902</v>
      </c>
      <c r="I738" s="20"/>
      <c r="J738" s="20" t="s">
        <v>4005</v>
      </c>
      <c r="K738" s="20" t="s">
        <v>853</v>
      </c>
      <c r="L738" s="20" t="s">
        <v>57</v>
      </c>
      <c r="M738" s="20" t="s">
        <v>58</v>
      </c>
      <c r="N738" s="20" t="s">
        <v>59</v>
      </c>
      <c r="O738" s="20" t="s">
        <v>60</v>
      </c>
      <c r="P738" s="20" t="s">
        <v>227</v>
      </c>
      <c r="Q738" s="20" t="s">
        <v>228</v>
      </c>
      <c r="R738" s="20" t="s">
        <v>229</v>
      </c>
      <c r="S738" s="20" t="s">
        <v>230</v>
      </c>
      <c r="T738" s="20" t="s">
        <v>231</v>
      </c>
      <c r="U738" s="20" t="s">
        <v>230</v>
      </c>
      <c r="V738" s="20" t="s">
        <v>854</v>
      </c>
      <c r="W738" s="20" t="s">
        <v>96</v>
      </c>
      <c r="X738" s="20" t="s">
        <v>97</v>
      </c>
      <c r="Y738" s="20" t="s">
        <v>70</v>
      </c>
      <c r="Z738" s="20" t="s">
        <v>98</v>
      </c>
      <c r="AA738" s="20" t="s">
        <v>233</v>
      </c>
      <c r="AB738" s="20" t="s">
        <v>4006</v>
      </c>
      <c r="AC738" s="20" t="s">
        <v>4006</v>
      </c>
      <c r="AD738" s="20" t="s">
        <v>4006</v>
      </c>
      <c r="AE738" s="20"/>
      <c r="AF738" s="9" t="n">
        <v>1</v>
      </c>
      <c r="AG738" s="12" t="n">
        <v>1</v>
      </c>
      <c r="AH738" s="22" t="s">
        <v>235</v>
      </c>
      <c r="AI738" s="12" t="str">
        <f>IF(AH738="","",IFERROR(RIGHT("0000"&amp;AH738,4)&amp;" - "&amp;UPPER(_xlfn.XLOOKUP(RIGHT("0000"&amp;AH738,4),CODEBOOK_CAP!$C$2:$C$212,CODEBOOK_CAP!$D$2:$D$212)),"Código CAP não encontrado"))</f>
        <v>0322 - ESTRUTURAS, HOSPITAIS, CLÍNICAS</v>
      </c>
      <c r="AJ738" s="12" t="str">
        <f>IF(AH738="","",IFERROR(_xlfn.XLOOKUP(RIGHT("0000"&amp;AH738,4),CODEBOOK_CAP!$C$2:$C$212,CODEBOOK_CAP!$E$2:$E$212),"Código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8" s="22" t="s">
        <v>79</v>
      </c>
      <c r="AL738" s="26" t="s">
        <v>4007</v>
      </c>
      <c r="AM738" s="22" t="s">
        <v>79</v>
      </c>
      <c r="AN738" s="22" t="s">
        <v>79</v>
      </c>
      <c r="AO738" s="12" t="s">
        <v>4008</v>
      </c>
      <c r="AP738" s="22" t="s">
        <v>77</v>
      </c>
      <c r="AQ738" s="12"/>
      <c r="AR738" s="22" t="s">
        <v>77</v>
      </c>
      <c r="AS738" s="10"/>
      <c r="AT738" s="2" t="s">
        <v>1814</v>
      </c>
      <c r="AU738" s="12" t="s">
        <v>83</v>
      </c>
      <c r="AV738" s="3" t="n">
        <v>46224</v>
      </c>
      <c r="AW738" s="21"/>
      <c r="AY738" s="1"/>
      <c r="BA738" s="1"/>
      <c r="BB738" s="1"/>
    </row>
    <row r="739" ht="120" customHeight="1">
      <c r="A739" s="20" t="s">
        <v>4009</v>
      </c>
      <c r="B739" s="20" t="n">
        <v>2023</v>
      </c>
      <c r="C739" s="20" t="n">
        <v>862</v>
      </c>
      <c r="D739" s="20" t="s">
        <v>50</v>
      </c>
      <c r="E739" s="20" t="s">
        <v>3901</v>
      </c>
      <c r="F739" s="20" t="s">
        <v>4010</v>
      </c>
      <c r="G739" s="20" t="s">
        <v>86</v>
      </c>
      <c r="H739" s="20" t="s">
        <v>3902</v>
      </c>
      <c r="I739" s="20"/>
      <c r="J739" s="20" t="s">
        <v>4011</v>
      </c>
      <c r="K739" s="20" t="s">
        <v>853</v>
      </c>
      <c r="L739" s="20" t="s">
        <v>57</v>
      </c>
      <c r="M739" s="20" t="s">
        <v>58</v>
      </c>
      <c r="N739" s="20" t="s">
        <v>59</v>
      </c>
      <c r="O739" s="20" t="s">
        <v>60</v>
      </c>
      <c r="P739" s="20" t="s">
        <v>227</v>
      </c>
      <c r="Q739" s="20" t="s">
        <v>228</v>
      </c>
      <c r="R739" s="20" t="s">
        <v>229</v>
      </c>
      <c r="S739" s="20" t="s">
        <v>230</v>
      </c>
      <c r="T739" s="20" t="s">
        <v>231</v>
      </c>
      <c r="U739" s="20" t="s">
        <v>230</v>
      </c>
      <c r="V739" s="20" t="s">
        <v>854</v>
      </c>
      <c r="W739" s="20" t="s">
        <v>96</v>
      </c>
      <c r="X739" s="20" t="s">
        <v>97</v>
      </c>
      <c r="Y739" s="20" t="s">
        <v>70</v>
      </c>
      <c r="Z739" s="20" t="s">
        <v>98</v>
      </c>
      <c r="AA739" s="20" t="s">
        <v>233</v>
      </c>
      <c r="AB739" s="20" t="s">
        <v>4012</v>
      </c>
      <c r="AC739" s="20" t="s">
        <v>4012</v>
      </c>
      <c r="AD739" s="20" t="s">
        <v>4012</v>
      </c>
      <c r="AE739" s="20"/>
      <c r="AF739" s="9" t="n">
        <v>1</v>
      </c>
      <c r="AG739" s="12" t="n">
        <v>1</v>
      </c>
      <c r="AH739" s="22" t="s">
        <v>235</v>
      </c>
      <c r="AI739" s="12" t="str">
        <f>IF(AH739="","",IFERROR(RIGHT("0000"&amp;AH739,4)&amp;" - "&amp;UPPER(_xlfn.XLOOKUP(RIGHT("0000"&amp;AH739,4),CODEBOOK_CAP!$C$2:$C$212,CODEBOOK_CAP!$D$2:$D$212)),"Código CAP não encontrado"))</f>
        <v>0322 - ESTRUTURAS, HOSPITAIS, CLÍNICAS</v>
      </c>
      <c r="AJ739" s="12" t="str">
        <f>IF(AH739="","",IFERROR(_xlfn.XLOOKUP(RIGHT("0000"&amp;AH739,4),CODEBOOK_CAP!$C$2:$C$212,CODEBOOK_CAP!$E$2:$E$212),"Código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39" s="22" t="s">
        <v>79</v>
      </c>
      <c r="AL739" s="26" t="s">
        <v>4013</v>
      </c>
      <c r="AM739" s="22" t="s">
        <v>79</v>
      </c>
      <c r="AN739" s="22" t="s">
        <v>79</v>
      </c>
      <c r="AO739" s="12" t="s">
        <v>4014</v>
      </c>
      <c r="AP739" s="22" t="s">
        <v>77</v>
      </c>
      <c r="AQ739" s="12"/>
      <c r="AR739" s="22" t="s">
        <v>77</v>
      </c>
      <c r="AS739" s="10"/>
      <c r="AT739" s="2" t="s">
        <v>1814</v>
      </c>
      <c r="AU739" s="12" t="s">
        <v>83</v>
      </c>
      <c r="AV739" s="3" t="n">
        <v>46224</v>
      </c>
      <c r="AW739" s="21"/>
      <c r="AY739" s="1"/>
      <c r="BA739" s="1"/>
      <c r="BB739" s="1"/>
    </row>
    <row r="740" ht="120" customHeight="1">
      <c r="A740" s="20" t="s">
        <v>4015</v>
      </c>
      <c r="B740" s="20" t="n">
        <v>2023</v>
      </c>
      <c r="C740" s="20" t="n">
        <v>772</v>
      </c>
      <c r="D740" s="20" t="s">
        <v>50</v>
      </c>
      <c r="E740" s="20" t="s">
        <v>3901</v>
      </c>
      <c r="F740" s="20" t="s">
        <v>4016</v>
      </c>
      <c r="G740" s="20" t="s">
        <v>86</v>
      </c>
      <c r="H740" s="20" t="s">
        <v>3902</v>
      </c>
      <c r="I740" s="20"/>
      <c r="J740" s="20" t="s">
        <v>4017</v>
      </c>
      <c r="K740" s="20" t="s">
        <v>853</v>
      </c>
      <c r="L740" s="20" t="s">
        <v>57</v>
      </c>
      <c r="M740" s="20" t="s">
        <v>58</v>
      </c>
      <c r="N740" s="20" t="s">
        <v>59</v>
      </c>
      <c r="O740" s="20" t="s">
        <v>60</v>
      </c>
      <c r="P740" s="20" t="s">
        <v>227</v>
      </c>
      <c r="Q740" s="20" t="s">
        <v>228</v>
      </c>
      <c r="R740" s="20" t="s">
        <v>229</v>
      </c>
      <c r="S740" s="20" t="s">
        <v>230</v>
      </c>
      <c r="T740" s="20" t="s">
        <v>231</v>
      </c>
      <c r="U740" s="20" t="s">
        <v>230</v>
      </c>
      <c r="V740" s="20" t="s">
        <v>854</v>
      </c>
      <c r="W740" s="20" t="s">
        <v>96</v>
      </c>
      <c r="X740" s="20" t="s">
        <v>97</v>
      </c>
      <c r="Y740" s="20" t="s">
        <v>70</v>
      </c>
      <c r="Z740" s="20" t="s">
        <v>98</v>
      </c>
      <c r="AA740" s="20" t="s">
        <v>580</v>
      </c>
      <c r="AB740" s="20" t="s">
        <v>4018</v>
      </c>
      <c r="AC740" s="20" t="s">
        <v>4018</v>
      </c>
      <c r="AD740" s="20" t="s">
        <v>4018</v>
      </c>
      <c r="AE740" s="20"/>
      <c r="AF740" s="9" t="n">
        <v>1</v>
      </c>
      <c r="AG740" s="12" t="n">
        <v>1</v>
      </c>
      <c r="AH740" s="22" t="s">
        <v>235</v>
      </c>
      <c r="AI740" s="12" t="str">
        <f>IF(AH740="","",IFERROR(RIGHT("0000"&amp;AH740,4)&amp;" - "&amp;UPPER(_xlfn.XLOOKUP(RIGHT("0000"&amp;AH740,4),CODEBOOK_CAP!$C$2:$C$212,CODEBOOK_CAP!$D$2:$D$212)),"Código CAP não encontrado"))</f>
        <v>0322 - ESTRUTURAS, HOSPITAIS, CLÍNICAS</v>
      </c>
      <c r="AJ740" s="12" t="str">
        <f>IF(AH740="","",IFERROR(_xlfn.XLOOKUP(RIGHT("0000"&amp;AH740,4),CODEBOOK_CAP!$C$2:$C$212,CODEBOOK_CAP!$E$2:$E$212),"Código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0" s="22" t="s">
        <v>79</v>
      </c>
      <c r="AL740" s="26" t="s">
        <v>4019</v>
      </c>
      <c r="AM740" s="22" t="s">
        <v>79</v>
      </c>
      <c r="AN740" s="22" t="s">
        <v>79</v>
      </c>
      <c r="AO740" s="12" t="s">
        <v>4020</v>
      </c>
      <c r="AP740" s="22" t="s">
        <v>77</v>
      </c>
      <c r="AQ740" s="12"/>
      <c r="AR740" s="22" t="s">
        <v>77</v>
      </c>
      <c r="AS740" s="10"/>
      <c r="AT740" s="2" t="s">
        <v>1814</v>
      </c>
      <c r="AU740" s="12" t="s">
        <v>83</v>
      </c>
      <c r="AV740" s="3" t="n">
        <v>46224</v>
      </c>
      <c r="AW740" s="21"/>
      <c r="AY740" s="1"/>
      <c r="BA740" s="1"/>
      <c r="BB740" s="1"/>
    </row>
    <row r="741" ht="120" customHeight="1">
      <c r="A741" s="20" t="s">
        <v>4021</v>
      </c>
      <c r="B741" s="20" t="n">
        <v>2023</v>
      </c>
      <c r="C741" s="20" t="n">
        <v>773</v>
      </c>
      <c r="D741" s="20" t="s">
        <v>50</v>
      </c>
      <c r="E741" s="20" t="s">
        <v>3901</v>
      </c>
      <c r="F741" s="20" t="s">
        <v>4022</v>
      </c>
      <c r="G741" s="20" t="s">
        <v>86</v>
      </c>
      <c r="H741" s="20" t="s">
        <v>3902</v>
      </c>
      <c r="I741" s="20"/>
      <c r="J741" s="20" t="s">
        <v>4023</v>
      </c>
      <c r="K741" s="20" t="s">
        <v>853</v>
      </c>
      <c r="L741" s="20" t="s">
        <v>57</v>
      </c>
      <c r="M741" s="20" t="s">
        <v>58</v>
      </c>
      <c r="N741" s="20" t="s">
        <v>59</v>
      </c>
      <c r="O741" s="20" t="s">
        <v>60</v>
      </c>
      <c r="P741" s="20" t="s">
        <v>227</v>
      </c>
      <c r="Q741" s="20" t="s">
        <v>228</v>
      </c>
      <c r="R741" s="20" t="s">
        <v>229</v>
      </c>
      <c r="S741" s="20" t="s">
        <v>230</v>
      </c>
      <c r="T741" s="20" t="s">
        <v>231</v>
      </c>
      <c r="U741" s="20" t="s">
        <v>230</v>
      </c>
      <c r="V741" s="20" t="s">
        <v>854</v>
      </c>
      <c r="W741" s="20" t="s">
        <v>96</v>
      </c>
      <c r="X741" s="20" t="s">
        <v>97</v>
      </c>
      <c r="Y741" s="20" t="s">
        <v>70</v>
      </c>
      <c r="Z741" s="20" t="s">
        <v>98</v>
      </c>
      <c r="AA741" s="20" t="s">
        <v>580</v>
      </c>
      <c r="AB741" s="20" t="s">
        <v>4024</v>
      </c>
      <c r="AC741" s="20" t="s">
        <v>4024</v>
      </c>
      <c r="AD741" s="20" t="s">
        <v>4024</v>
      </c>
      <c r="AE741" s="20"/>
      <c r="AF741" s="9" t="n">
        <v>1</v>
      </c>
      <c r="AG741" s="12" t="n">
        <v>1</v>
      </c>
      <c r="AH741" s="22" t="s">
        <v>235</v>
      </c>
      <c r="AI741" s="12" t="str">
        <f>IF(AH741="","",IFERROR(RIGHT("0000"&amp;AH741,4)&amp;" - "&amp;UPPER(_xlfn.XLOOKUP(RIGHT("0000"&amp;AH741,4),CODEBOOK_CAP!$C$2:$C$212,CODEBOOK_CAP!$D$2:$D$212)),"Código CAP não encontrado"))</f>
        <v>0322 - ESTRUTURAS, HOSPITAIS, CLÍNICAS</v>
      </c>
      <c r="AJ741" s="12" t="str">
        <f>IF(AH741="","",IFERROR(_xlfn.XLOOKUP(RIGHT("0000"&amp;AH741,4),CODEBOOK_CAP!$C$2:$C$212,CODEBOOK_CAP!$E$2:$E$212),"Código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1" s="22" t="s">
        <v>79</v>
      </c>
      <c r="AL741" s="26" t="s">
        <v>4025</v>
      </c>
      <c r="AM741" s="22" t="s">
        <v>79</v>
      </c>
      <c r="AN741" s="22" t="s">
        <v>79</v>
      </c>
      <c r="AO741" s="12" t="s">
        <v>4026</v>
      </c>
      <c r="AP741" s="22" t="s">
        <v>77</v>
      </c>
      <c r="AQ741" s="12"/>
      <c r="AR741" s="22" t="s">
        <v>77</v>
      </c>
      <c r="AS741" s="10"/>
      <c r="AT741" s="2" t="s">
        <v>1814</v>
      </c>
      <c r="AU741" s="12" t="s">
        <v>83</v>
      </c>
      <c r="AV741" s="3" t="n">
        <v>46224</v>
      </c>
      <c r="AW741" s="21"/>
      <c r="AY741" s="1"/>
      <c r="BA741" s="1"/>
      <c r="BB741" s="1"/>
    </row>
    <row r="742" ht="120" customHeight="1">
      <c r="A742" s="20" t="s">
        <v>4027</v>
      </c>
      <c r="B742" s="20" t="n">
        <v>2023</v>
      </c>
      <c r="C742" s="20" t="n">
        <v>774</v>
      </c>
      <c r="D742" s="20" t="s">
        <v>50</v>
      </c>
      <c r="E742" s="20" t="s">
        <v>3901</v>
      </c>
      <c r="F742" s="20" t="s">
        <v>4028</v>
      </c>
      <c r="G742" s="20" t="s">
        <v>86</v>
      </c>
      <c r="H742" s="20" t="s">
        <v>3902</v>
      </c>
      <c r="I742" s="20"/>
      <c r="J742" s="20" t="s">
        <v>4029</v>
      </c>
      <c r="K742" s="20" t="s">
        <v>853</v>
      </c>
      <c r="L742" s="20" t="s">
        <v>57</v>
      </c>
      <c r="M742" s="20" t="s">
        <v>58</v>
      </c>
      <c r="N742" s="20" t="s">
        <v>59</v>
      </c>
      <c r="O742" s="20" t="s">
        <v>60</v>
      </c>
      <c r="P742" s="20" t="s">
        <v>227</v>
      </c>
      <c r="Q742" s="20" t="s">
        <v>228</v>
      </c>
      <c r="R742" s="20" t="s">
        <v>229</v>
      </c>
      <c r="S742" s="20" t="s">
        <v>230</v>
      </c>
      <c r="T742" s="20" t="s">
        <v>231</v>
      </c>
      <c r="U742" s="20" t="s">
        <v>230</v>
      </c>
      <c r="V742" s="20" t="s">
        <v>854</v>
      </c>
      <c r="W742" s="20" t="s">
        <v>96</v>
      </c>
      <c r="X742" s="20" t="s">
        <v>97</v>
      </c>
      <c r="Y742" s="20" t="s">
        <v>70</v>
      </c>
      <c r="Z742" s="20" t="s">
        <v>98</v>
      </c>
      <c r="AA742" s="20" t="s">
        <v>580</v>
      </c>
      <c r="AB742" s="20" t="s">
        <v>4030</v>
      </c>
      <c r="AC742" s="20" t="s">
        <v>4030</v>
      </c>
      <c r="AD742" s="20" t="s">
        <v>4030</v>
      </c>
      <c r="AE742" s="20"/>
      <c r="AF742" s="9" t="n">
        <v>1</v>
      </c>
      <c r="AG742" s="12" t="n">
        <v>1</v>
      </c>
      <c r="AH742" s="22" t="s">
        <v>235</v>
      </c>
      <c r="AI742" s="12" t="str">
        <f>IF(AH742="","",IFERROR(RIGHT("0000"&amp;AH742,4)&amp;" - "&amp;UPPER(_xlfn.XLOOKUP(RIGHT("0000"&amp;AH742,4),CODEBOOK_CAP!$C$2:$C$212,CODEBOOK_CAP!$D$2:$D$212)),"Código CAP não encontrado"))</f>
        <v>0322 - ESTRUTURAS, HOSPITAIS, CLÍNICAS</v>
      </c>
      <c r="AJ742" s="12" t="str">
        <f>IF(AH742="","",IFERROR(_xlfn.XLOOKUP(RIGHT("0000"&amp;AH742,4),CODEBOOK_CAP!$C$2:$C$212,CODEBOOK_CAP!$E$2:$E$212),"Código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2" s="22" t="s">
        <v>79</v>
      </c>
      <c r="AL742" s="26" t="s">
        <v>4031</v>
      </c>
      <c r="AM742" s="22" t="s">
        <v>79</v>
      </c>
      <c r="AN742" s="22" t="s">
        <v>79</v>
      </c>
      <c r="AO742" s="12" t="s">
        <v>4032</v>
      </c>
      <c r="AP742" s="22" t="s">
        <v>77</v>
      </c>
      <c r="AQ742" s="12"/>
      <c r="AR742" s="22" t="s">
        <v>77</v>
      </c>
      <c r="AS742" s="10"/>
      <c r="AT742" s="2" t="s">
        <v>1814</v>
      </c>
      <c r="AU742" s="12" t="s">
        <v>83</v>
      </c>
      <c r="AV742" s="3" t="n">
        <v>46224</v>
      </c>
      <c r="AW742" s="21"/>
      <c r="AY742" s="1"/>
      <c r="BA742" s="1"/>
      <c r="BB742" s="1"/>
    </row>
    <row r="743" ht="120" customHeight="1">
      <c r="A743" s="20" t="s">
        <v>4033</v>
      </c>
      <c r="B743" s="20" t="n">
        <v>2023</v>
      </c>
      <c r="C743" s="20" t="n">
        <v>775</v>
      </c>
      <c r="D743" s="20" t="s">
        <v>50</v>
      </c>
      <c r="E743" s="20" t="s">
        <v>3901</v>
      </c>
      <c r="F743" s="20" t="s">
        <v>4034</v>
      </c>
      <c r="G743" s="20" t="s">
        <v>86</v>
      </c>
      <c r="H743" s="20" t="s">
        <v>3902</v>
      </c>
      <c r="I743" s="20"/>
      <c r="J743" s="20" t="s">
        <v>4035</v>
      </c>
      <c r="K743" s="20" t="s">
        <v>865</v>
      </c>
      <c r="L743" s="20" t="s">
        <v>57</v>
      </c>
      <c r="M743" s="20" t="s">
        <v>58</v>
      </c>
      <c r="N743" s="20" t="s">
        <v>59</v>
      </c>
      <c r="O743" s="20" t="s">
        <v>60</v>
      </c>
      <c r="P743" s="20" t="s">
        <v>227</v>
      </c>
      <c r="Q743" s="20" t="s">
        <v>228</v>
      </c>
      <c r="R743" s="20" t="s">
        <v>229</v>
      </c>
      <c r="S743" s="20" t="s">
        <v>230</v>
      </c>
      <c r="T743" s="20" t="s">
        <v>866</v>
      </c>
      <c r="U743" s="20" t="s">
        <v>867</v>
      </c>
      <c r="V743" s="20" t="s">
        <v>868</v>
      </c>
      <c r="W743" s="20" t="s">
        <v>96</v>
      </c>
      <c r="X743" s="20" t="s">
        <v>97</v>
      </c>
      <c r="Y743" s="20" t="s">
        <v>70</v>
      </c>
      <c r="Z743" s="20" t="s">
        <v>98</v>
      </c>
      <c r="AA743" s="20" t="s">
        <v>580</v>
      </c>
      <c r="AB743" s="20" t="s">
        <v>580</v>
      </c>
      <c r="AC743" s="20" t="s">
        <v>580</v>
      </c>
      <c r="AD743" s="20" t="s">
        <v>580</v>
      </c>
      <c r="AE743" s="20"/>
      <c r="AF743" s="9" t="n">
        <v>1</v>
      </c>
      <c r="AG743" s="12" t="n">
        <v>1</v>
      </c>
      <c r="AH743" s="22" t="s">
        <v>235</v>
      </c>
      <c r="AI743" s="12" t="str">
        <f>IF(AH743="","",IFERROR(RIGHT("0000"&amp;AH743,4)&amp;" - "&amp;UPPER(_xlfn.XLOOKUP(RIGHT("0000"&amp;AH743,4),CODEBOOK_CAP!$C$2:$C$212,CODEBOOK_CAP!$D$2:$D$212)),"Código CAP não encontrado"))</f>
        <v>0322 - ESTRUTURAS, HOSPITAIS, CLÍNICAS</v>
      </c>
      <c r="AJ743" s="12" t="str">
        <f>IF(AH743="","",IFERROR(_xlfn.XLOOKUP(RIGHT("0000"&amp;AH743,4),CODEBOOK_CAP!$C$2:$C$212,CODEBOOK_CAP!$E$2:$E$212),"Código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3" s="22" t="s">
        <v>79</v>
      </c>
      <c r="AL743" s="26" t="s">
        <v>4036</v>
      </c>
      <c r="AM743" s="22" t="s">
        <v>79</v>
      </c>
      <c r="AN743" s="22" t="s">
        <v>79</v>
      </c>
      <c r="AO743" s="12" t="s">
        <v>4037</v>
      </c>
      <c r="AP743" s="22" t="s">
        <v>77</v>
      </c>
      <c r="AQ743" s="12"/>
      <c r="AR743" s="22" t="s">
        <v>77</v>
      </c>
      <c r="AS743" s="10"/>
      <c r="AT743" s="2" t="s">
        <v>1814</v>
      </c>
      <c r="AU743" s="12" t="s">
        <v>83</v>
      </c>
      <c r="AV743" s="3" t="n">
        <v>46224</v>
      </c>
      <c r="AW743" s="21"/>
      <c r="AY743" s="1"/>
      <c r="BA743" s="1"/>
      <c r="BB743" s="1"/>
    </row>
    <row r="744" ht="120" customHeight="1">
      <c r="A744" s="20" t="s">
        <v>4038</v>
      </c>
      <c r="B744" s="20" t="n">
        <v>2023</v>
      </c>
      <c r="C744" s="20" t="n">
        <v>776</v>
      </c>
      <c r="D744" s="20" t="s">
        <v>50</v>
      </c>
      <c r="E744" s="20" t="s">
        <v>3901</v>
      </c>
      <c r="F744" s="20" t="s">
        <v>4039</v>
      </c>
      <c r="G744" s="20" t="s">
        <v>86</v>
      </c>
      <c r="H744" s="20" t="s">
        <v>3902</v>
      </c>
      <c r="I744" s="20"/>
      <c r="J744" s="20" t="s">
        <v>4040</v>
      </c>
      <c r="K744" s="20" t="s">
        <v>865</v>
      </c>
      <c r="L744" s="20" t="s">
        <v>57</v>
      </c>
      <c r="M744" s="20" t="s">
        <v>58</v>
      </c>
      <c r="N744" s="20" t="s">
        <v>59</v>
      </c>
      <c r="O744" s="20" t="s">
        <v>60</v>
      </c>
      <c r="P744" s="20" t="s">
        <v>227</v>
      </c>
      <c r="Q744" s="20" t="s">
        <v>228</v>
      </c>
      <c r="R744" s="20" t="s">
        <v>229</v>
      </c>
      <c r="S744" s="20" t="s">
        <v>230</v>
      </c>
      <c r="T744" s="20" t="s">
        <v>866</v>
      </c>
      <c r="U744" s="20" t="s">
        <v>867</v>
      </c>
      <c r="V744" s="20" t="s">
        <v>868</v>
      </c>
      <c r="W744" s="20" t="s">
        <v>96</v>
      </c>
      <c r="X744" s="20" t="s">
        <v>97</v>
      </c>
      <c r="Y744" s="20" t="s">
        <v>70</v>
      </c>
      <c r="Z744" s="20" t="s">
        <v>98</v>
      </c>
      <c r="AA744" s="20" t="s">
        <v>580</v>
      </c>
      <c r="AB744" s="20" t="s">
        <v>580</v>
      </c>
      <c r="AC744" s="20" t="s">
        <v>580</v>
      </c>
      <c r="AD744" s="20" t="s">
        <v>580</v>
      </c>
      <c r="AE744" s="20"/>
      <c r="AF744" s="9" t="n">
        <v>1</v>
      </c>
      <c r="AG744" s="12" t="n">
        <v>1</v>
      </c>
      <c r="AH744" s="22" t="s">
        <v>235</v>
      </c>
      <c r="AI744" s="12" t="str">
        <f>IF(AH744="","",IFERROR(RIGHT("0000"&amp;AH744,4)&amp;" - "&amp;UPPER(_xlfn.XLOOKUP(RIGHT("0000"&amp;AH744,4),CODEBOOK_CAP!$C$2:$C$212,CODEBOOK_CAP!$D$2:$D$212)),"Código CAP não encontrado"))</f>
        <v>0322 - ESTRUTURAS, HOSPITAIS, CLÍNICAS</v>
      </c>
      <c r="AJ744" s="12" t="str">
        <f>IF(AH744="","",IFERROR(_xlfn.XLOOKUP(RIGHT("0000"&amp;AH744,4),CODEBOOK_CAP!$C$2:$C$212,CODEBOOK_CAP!$E$2:$E$212),"Código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4" s="22" t="s">
        <v>79</v>
      </c>
      <c r="AL744" s="26" t="s">
        <v>4041</v>
      </c>
      <c r="AM744" s="22" t="s">
        <v>79</v>
      </c>
      <c r="AN744" s="22" t="s">
        <v>79</v>
      </c>
      <c r="AO744" s="12" t="s">
        <v>4042</v>
      </c>
      <c r="AP744" s="22" t="s">
        <v>77</v>
      </c>
      <c r="AQ744" s="12"/>
      <c r="AR744" s="22" t="s">
        <v>77</v>
      </c>
      <c r="AS744" s="10"/>
      <c r="AT744" s="2" t="s">
        <v>1814</v>
      </c>
      <c r="AU744" s="12" t="s">
        <v>83</v>
      </c>
      <c r="AV744" s="3" t="n">
        <v>46224</v>
      </c>
      <c r="AW744" s="21"/>
      <c r="AY744" s="1"/>
      <c r="BA744" s="1"/>
      <c r="BB744" s="1"/>
    </row>
    <row r="745" ht="120" customHeight="1">
      <c r="A745" s="20" t="s">
        <v>4043</v>
      </c>
      <c r="B745" s="20" t="n">
        <v>2023</v>
      </c>
      <c r="C745" s="20" t="n">
        <v>777</v>
      </c>
      <c r="D745" s="20" t="s">
        <v>50</v>
      </c>
      <c r="E745" s="20" t="s">
        <v>3901</v>
      </c>
      <c r="F745" s="20" t="s">
        <v>4044</v>
      </c>
      <c r="G745" s="20" t="s">
        <v>86</v>
      </c>
      <c r="H745" s="20" t="s">
        <v>3902</v>
      </c>
      <c r="I745" s="20"/>
      <c r="J745" s="20" t="s">
        <v>4045</v>
      </c>
      <c r="K745" s="20" t="s">
        <v>1141</v>
      </c>
      <c r="L745" s="20" t="s">
        <v>57</v>
      </c>
      <c r="M745" s="20" t="s">
        <v>58</v>
      </c>
      <c r="N745" s="20" t="s">
        <v>59</v>
      </c>
      <c r="O745" s="20" t="s">
        <v>60</v>
      </c>
      <c r="P745" s="20" t="s">
        <v>89</v>
      </c>
      <c r="Q745" s="20" t="s">
        <v>90</v>
      </c>
      <c r="R745" s="20" t="s">
        <v>91</v>
      </c>
      <c r="S745" s="20" t="s">
        <v>92</v>
      </c>
      <c r="T745" s="20" t="s">
        <v>341</v>
      </c>
      <c r="U745" s="20" t="s">
        <v>342</v>
      </c>
      <c r="V745" s="20" t="s">
        <v>854</v>
      </c>
      <c r="W745" s="20" t="s">
        <v>96</v>
      </c>
      <c r="X745" s="20" t="s">
        <v>97</v>
      </c>
      <c r="Y745" s="20" t="s">
        <v>70</v>
      </c>
      <c r="Z745" s="20" t="s">
        <v>98</v>
      </c>
      <c r="AA745" s="20" t="s">
        <v>4046</v>
      </c>
      <c r="AB745" s="20" t="s">
        <v>4046</v>
      </c>
      <c r="AC745" s="20" t="s">
        <v>4047</v>
      </c>
      <c r="AD745" s="20" t="s">
        <v>4046</v>
      </c>
      <c r="AE745" s="20"/>
      <c r="AF745" s="9" t="n">
        <v>1</v>
      </c>
      <c r="AG745" s="12" t="n">
        <v>1</v>
      </c>
      <c r="AH745" s="22" t="s">
        <v>235</v>
      </c>
      <c r="AI745" s="12" t="str">
        <f>IF(AH745="","",IFERROR(RIGHT("0000"&amp;AH745,4)&amp;" - "&amp;UPPER(_xlfn.XLOOKUP(RIGHT("0000"&amp;AH745,4),CODEBOOK_CAP!$C$2:$C$212,CODEBOOK_CAP!$D$2:$D$212)),"Código CAP não encontrado"))</f>
        <v>0322 - ESTRUTURAS, HOSPITAIS, CLÍNICAS</v>
      </c>
      <c r="AJ745" s="12" t="str">
        <f>IF(AH745="","",IFERROR(_xlfn.XLOOKUP(RIGHT("0000"&amp;AH745,4),CODEBOOK_CAP!$C$2:$C$212,CODEBOOK_CAP!$E$2:$E$212),"Código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45" s="22" t="s">
        <v>79</v>
      </c>
      <c r="AL745" s="26" t="s">
        <v>4048</v>
      </c>
      <c r="AM745" s="22" t="s">
        <v>79</v>
      </c>
      <c r="AN745" s="22" t="s">
        <v>79</v>
      </c>
      <c r="AO745" s="12" t="s">
        <v>4049</v>
      </c>
      <c r="AP745" s="22" t="s">
        <v>77</v>
      </c>
      <c r="AQ745" s="12"/>
      <c r="AR745" s="22" t="s">
        <v>77</v>
      </c>
      <c r="AS745" s="10"/>
      <c r="AT745" s="2" t="s">
        <v>1814</v>
      </c>
      <c r="AU745" s="12" t="s">
        <v>83</v>
      </c>
      <c r="AV745" s="3" t="n">
        <v>46224</v>
      </c>
      <c r="AW745" s="21"/>
      <c r="AY745" s="1"/>
      <c r="BA745" s="1"/>
      <c r="BB745" s="1"/>
    </row>
    <row r="746" ht="210" customHeight="1">
      <c r="A746" s="20" t="s">
        <v>4050</v>
      </c>
      <c r="B746" s="20" t="n">
        <v>2023</v>
      </c>
      <c r="C746" s="20" t="n">
        <v>874</v>
      </c>
      <c r="D746" s="20" t="s">
        <v>50</v>
      </c>
      <c r="E746" s="20" t="s">
        <v>4051</v>
      </c>
      <c r="F746" s="20" t="s">
        <v>4052</v>
      </c>
      <c r="G746" s="20" t="s">
        <v>315</v>
      </c>
      <c r="H746" s="20" t="s">
        <v>4053</v>
      </c>
      <c r="I746" s="20"/>
      <c r="J746" s="20" t="s">
        <v>4054</v>
      </c>
      <c r="K746" s="20" t="s">
        <v>4055</v>
      </c>
      <c r="L746" s="20" t="s">
        <v>274</v>
      </c>
      <c r="M746" s="20" t="s">
        <v>275</v>
      </c>
      <c r="N746" s="20" t="s">
        <v>276</v>
      </c>
      <c r="O746" s="20" t="s">
        <v>277</v>
      </c>
      <c r="P746" s="20" t="s">
        <v>278</v>
      </c>
      <c r="Q746" s="20" t="s">
        <v>279</v>
      </c>
      <c r="R746" s="20" t="s">
        <v>280</v>
      </c>
      <c r="S746" s="20" t="s">
        <v>281</v>
      </c>
      <c r="T746" s="20" t="s">
        <v>282</v>
      </c>
      <c r="U746" s="20" t="s">
        <v>283</v>
      </c>
      <c r="V746" s="20" t="s">
        <v>95</v>
      </c>
      <c r="W746" s="20" t="s">
        <v>96</v>
      </c>
      <c r="X746" s="20" t="s">
        <v>97</v>
      </c>
      <c r="Y746" s="20" t="s">
        <v>70</v>
      </c>
      <c r="Z746" s="20" t="s">
        <v>284</v>
      </c>
      <c r="AA746" s="20" t="s">
        <v>125</v>
      </c>
      <c r="AB746" s="20" t="s">
        <v>125</v>
      </c>
      <c r="AC746" s="20" t="s">
        <v>125</v>
      </c>
      <c r="AD746" s="20" t="s">
        <v>125</v>
      </c>
      <c r="AE746" s="20"/>
      <c r="AF746" s="9" t="n">
        <v>0</v>
      </c>
      <c r="AG746" s="12" t="n">
        <v>0</v>
      </c>
      <c r="AH746" s="22" t="s">
        <v>607</v>
      </c>
      <c r="AI746" s="12" t="str">
        <f>IF(AH746="","",IFERROR(RIGHT("0000"&amp;AH746,4)&amp;" - "&amp;UPPER(_xlfn.XLOOKUP(RIGHT("0000"&amp;AH746,4),CODEBOOK_CAP!$C$2:$C$212,CODEBOOK_CAP!$D$2:$D$212)),"Código CAP não encontrado"))</f>
        <v>1300 - GERAL</v>
      </c>
      <c r="AJ746" s="12" t="str">
        <f>IF(AH746="","",IFERROR(_xlfn.XLOOKUP(RIGHT("0000"&amp;AH746,4),CODEBOOK_CAP!$C$2:$C$212,CODEBOOK_CAP!$E$2:$E$212),"Código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746" s="22" t="s">
        <v>77</v>
      </c>
      <c r="AL746" s="26"/>
      <c r="AM746" s="22" t="s">
        <v>77</v>
      </c>
      <c r="AN746" s="22" t="s">
        <v>77</v>
      </c>
      <c r="AO746" s="12"/>
      <c r="AP746" s="22" t="s">
        <v>79</v>
      </c>
      <c r="AQ746" s="12" t="s">
        <v>4056</v>
      </c>
      <c r="AR746" s="22" t="s">
        <v>77</v>
      </c>
      <c r="AS746" s="10"/>
      <c r="AT746" s="2" t="s">
        <v>1814</v>
      </c>
      <c r="AU746" s="12" t="s">
        <v>83</v>
      </c>
      <c r="AV746" s="3" t="n">
        <v>46224</v>
      </c>
      <c r="AW746" s="21"/>
      <c r="AY746" s="1"/>
      <c r="BA746" s="1"/>
      <c r="BB746" s="1"/>
    </row>
    <row r="747" ht="90" customHeight="1">
      <c r="A747" s="20" t="s">
        <v>4057</v>
      </c>
      <c r="B747" s="20" t="n">
        <v>2023</v>
      </c>
      <c r="C747" s="20" t="n">
        <v>875</v>
      </c>
      <c r="D747" s="20" t="s">
        <v>50</v>
      </c>
      <c r="E747" s="20" t="s">
        <v>4051</v>
      </c>
      <c r="F747" s="20" t="s">
        <v>4058</v>
      </c>
      <c r="G747" s="20" t="s">
        <v>86</v>
      </c>
      <c r="H747" s="20" t="s">
        <v>4053</v>
      </c>
      <c r="I747" s="20"/>
      <c r="J747" s="20" t="s">
        <v>4059</v>
      </c>
      <c r="K747" s="20" t="s">
        <v>4060</v>
      </c>
      <c r="L747" s="20" t="s">
        <v>274</v>
      </c>
      <c r="M747" s="20" t="s">
        <v>275</v>
      </c>
      <c r="N747" s="20" t="s">
        <v>276</v>
      </c>
      <c r="O747" s="20" t="s">
        <v>277</v>
      </c>
      <c r="P747" s="20" t="s">
        <v>3782</v>
      </c>
      <c r="Q747" s="20" t="s">
        <v>4061</v>
      </c>
      <c r="R747" s="20" t="s">
        <v>1118</v>
      </c>
      <c r="S747" s="20" t="s">
        <v>1119</v>
      </c>
      <c r="T747" s="20" t="s">
        <v>1120</v>
      </c>
      <c r="U747" s="20" t="s">
        <v>1121</v>
      </c>
      <c r="V747" s="20" t="s">
        <v>95</v>
      </c>
      <c r="W747" s="20" t="s">
        <v>96</v>
      </c>
      <c r="X747" s="20" t="s">
        <v>97</v>
      </c>
      <c r="Y747" s="20" t="s">
        <v>70</v>
      </c>
      <c r="Z747" s="20" t="s">
        <v>284</v>
      </c>
      <c r="AA747" s="20" t="s">
        <v>125</v>
      </c>
      <c r="AB747" s="20" t="s">
        <v>125</v>
      </c>
      <c r="AC747" s="20" t="s">
        <v>125</v>
      </c>
      <c r="AD747" s="20" t="s">
        <v>125</v>
      </c>
      <c r="AE747" s="20"/>
      <c r="AF747" s="9" t="n">
        <v>0</v>
      </c>
      <c r="AG747" s="12" t="n">
        <v>0</v>
      </c>
      <c r="AH747" s="22" t="s">
        <v>941</v>
      </c>
      <c r="AI747" s="12" t="str">
        <f>IF(AH747="","",IFERROR(RIGHT("0000"&amp;AH747,4)&amp;" - "&amp;UPPER(_xlfn.XLOOKUP(RIGHT("0000"&amp;AH747,4),CODEBOOK_CAP!$C$2:$C$212,CODEBOOK_CAP!$D$2:$D$212)),"Código CAP não encontrado"))</f>
        <v>1308 - POLÍTICAS SOCIAIS PARA FAMÍLIAS E INFÂNCIA</v>
      </c>
      <c r="AJ747" s="12" t="str">
        <f>IF(AH747="","",IFERROR(_xlfn.XLOOKUP(RIGHT("0000"&amp;AH747,4),CODEBOOK_CAP!$C$2:$C$212,CODEBOOK_CAP!$E$2:$E$212),"Código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747" s="22" t="s">
        <v>77</v>
      </c>
      <c r="AL747" s="26"/>
      <c r="AM747" s="22" t="s">
        <v>79</v>
      </c>
      <c r="AN747" s="22" t="s">
        <v>79</v>
      </c>
      <c r="AO747" s="12" t="s">
        <v>4062</v>
      </c>
      <c r="AP747" s="22" t="s">
        <v>79</v>
      </c>
      <c r="AQ747" s="12" t="s">
        <v>901</v>
      </c>
      <c r="AR747" s="22" t="s">
        <v>77</v>
      </c>
      <c r="AS747" s="10"/>
      <c r="AT747" s="2" t="s">
        <v>1814</v>
      </c>
      <c r="AU747" s="12" t="s">
        <v>83</v>
      </c>
      <c r="AV747" s="3" t="n">
        <v>46224</v>
      </c>
      <c r="AW747" s="21"/>
      <c r="AY747" s="1"/>
      <c r="BA747" s="1"/>
      <c r="BB747" s="1"/>
    </row>
    <row r="748" ht="75" customHeight="1">
      <c r="A748" s="20" t="s">
        <v>4063</v>
      </c>
      <c r="B748" s="20" t="n">
        <v>2023</v>
      </c>
      <c r="C748" s="20" t="n">
        <v>876</v>
      </c>
      <c r="D748" s="20" t="s">
        <v>50</v>
      </c>
      <c r="E748" s="20" t="s">
        <v>4051</v>
      </c>
      <c r="F748" s="20" t="s">
        <v>4064</v>
      </c>
      <c r="G748" s="20" t="s">
        <v>86</v>
      </c>
      <c r="H748" s="20" t="s">
        <v>4053</v>
      </c>
      <c r="I748" s="20"/>
      <c r="J748" s="20" t="s">
        <v>4065</v>
      </c>
      <c r="K748" s="20" t="s">
        <v>299</v>
      </c>
      <c r="L748" s="20" t="s">
        <v>208</v>
      </c>
      <c r="M748" s="20" t="s">
        <v>209</v>
      </c>
      <c r="N748" s="20" t="s">
        <v>210</v>
      </c>
      <c r="O748" s="20" t="s">
        <v>211</v>
      </c>
      <c r="P748" s="20" t="s">
        <v>212</v>
      </c>
      <c r="Q748" s="20" t="s">
        <v>213</v>
      </c>
      <c r="R748" s="20" t="s">
        <v>251</v>
      </c>
      <c r="S748" s="20" t="s">
        <v>252</v>
      </c>
      <c r="T748" s="20" t="s">
        <v>300</v>
      </c>
      <c r="U748" s="20" t="s">
        <v>301</v>
      </c>
      <c r="V748" s="20" t="s">
        <v>67</v>
      </c>
      <c r="W748" s="20" t="s">
        <v>68</v>
      </c>
      <c r="X748" s="20" t="s">
        <v>69</v>
      </c>
      <c r="Y748" s="20" t="s">
        <v>70</v>
      </c>
      <c r="Z748" s="20" t="s">
        <v>177</v>
      </c>
      <c r="AA748" s="20" t="s">
        <v>4066</v>
      </c>
      <c r="AB748" s="20" t="s">
        <v>4067</v>
      </c>
      <c r="AC748" s="20" t="s">
        <v>4067</v>
      </c>
      <c r="AD748" s="20" t="s">
        <v>4067</v>
      </c>
      <c r="AE748" s="20"/>
      <c r="AF748" s="9" t="n">
        <v>0</v>
      </c>
      <c r="AG748" s="12" t="n">
        <v>0</v>
      </c>
      <c r="AH748" s="22" t="s">
        <v>304</v>
      </c>
      <c r="AI748" s="12" t="str">
        <f>IF(AH748="","",IFERROR(RIGHT("0000"&amp;AH748,4)&amp;" - "&amp;UPPER(_xlfn.XLOOKUP(RIGHT("0000"&amp;AH748,4),CODEBOOK_CAP!$C$2:$C$212,CODEBOOK_CAP!$D$2:$D$212)),"Código CAP não encontrado"))</f>
        <v>1403 - REABILITAÇÃO URBANA, ECONOMIA URBANA</v>
      </c>
      <c r="AJ748" s="12" t="str">
        <f>IF(AH748="","",IFERROR(_xlfn.XLOOKUP(RIGHT("0000"&amp;AH748,4),CODEBOOK_CAP!$C$2:$C$212,CODEBOOK_CAP!$E$2:$E$212),"Código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748" s="22" t="s">
        <v>79</v>
      </c>
      <c r="AL748" s="26" t="s">
        <v>4068</v>
      </c>
      <c r="AM748" s="22" t="s">
        <v>79</v>
      </c>
      <c r="AN748" s="22" t="s">
        <v>79</v>
      </c>
      <c r="AO748" s="12" t="s">
        <v>4069</v>
      </c>
      <c r="AP748" s="22" t="s">
        <v>77</v>
      </c>
      <c r="AQ748" s="12"/>
      <c r="AR748" s="22" t="s">
        <v>77</v>
      </c>
      <c r="AS748" s="10"/>
      <c r="AT748" s="2" t="s">
        <v>1814</v>
      </c>
      <c r="AU748" s="12" t="s">
        <v>83</v>
      </c>
      <c r="AV748" s="3" t="n">
        <v>46224</v>
      </c>
      <c r="AW748" s="21"/>
      <c r="AY748" s="1"/>
      <c r="BA748" s="1"/>
      <c r="BB748" s="1"/>
    </row>
    <row r="749" ht="75" customHeight="1">
      <c r="A749" s="20" t="s">
        <v>4070</v>
      </c>
      <c r="B749" s="20" t="n">
        <v>2023</v>
      </c>
      <c r="C749" s="20" t="n">
        <v>877</v>
      </c>
      <c r="D749" s="20" t="s">
        <v>50</v>
      </c>
      <c r="E749" s="20" t="s">
        <v>4051</v>
      </c>
      <c r="F749" s="20" t="s">
        <v>4071</v>
      </c>
      <c r="G749" s="20" t="s">
        <v>86</v>
      </c>
      <c r="H749" s="20" t="s">
        <v>4053</v>
      </c>
      <c r="I749" s="20"/>
      <c r="J749" s="20" t="s">
        <v>4072</v>
      </c>
      <c r="K749" s="20" t="s">
        <v>299</v>
      </c>
      <c r="L749" s="20" t="s">
        <v>208</v>
      </c>
      <c r="M749" s="20" t="s">
        <v>209</v>
      </c>
      <c r="N749" s="20" t="s">
        <v>210</v>
      </c>
      <c r="O749" s="20" t="s">
        <v>211</v>
      </c>
      <c r="P749" s="20" t="s">
        <v>212</v>
      </c>
      <c r="Q749" s="20" t="s">
        <v>213</v>
      </c>
      <c r="R749" s="20" t="s">
        <v>251</v>
      </c>
      <c r="S749" s="20" t="s">
        <v>252</v>
      </c>
      <c r="T749" s="20" t="s">
        <v>300</v>
      </c>
      <c r="U749" s="20" t="s">
        <v>301</v>
      </c>
      <c r="V749" s="20" t="s">
        <v>67</v>
      </c>
      <c r="W749" s="20" t="s">
        <v>68</v>
      </c>
      <c r="X749" s="20" t="s">
        <v>69</v>
      </c>
      <c r="Y749" s="20" t="s">
        <v>70</v>
      </c>
      <c r="Z749" s="20" t="s">
        <v>177</v>
      </c>
      <c r="AA749" s="20" t="s">
        <v>198</v>
      </c>
      <c r="AB749" s="20" t="s">
        <v>4073</v>
      </c>
      <c r="AC749" s="20" t="s">
        <v>4073</v>
      </c>
      <c r="AD749" s="20" t="s">
        <v>4073</v>
      </c>
      <c r="AE749" s="20" t="s">
        <v>3050</v>
      </c>
      <c r="AF749" s="9" t="n">
        <v>0</v>
      </c>
      <c r="AG749" s="12" t="n">
        <v>0</v>
      </c>
      <c r="AH749" s="22" t="s">
        <v>464</v>
      </c>
      <c r="AI749" s="12" t="str">
        <f>IF(AH749="","",IFERROR(RIGHT("0000"&amp;AH749,4)&amp;" - "&amp;UPPER(_xlfn.XLOOKUP(RIGHT("0000"&amp;AH749,4),CODEBOOK_CAP!$C$2:$C$212,CODEBOOK_CAP!$D$2:$D$212)),"Código CAP não encontrado"))</f>
        <v>2101 - PARQUES PÚBLICOS E RESERVAS DE PRESERVAÇÃO</v>
      </c>
      <c r="AJ749" s="12" t="str">
        <f>IF(AH749="","",IFERROR(_xlfn.XLOOKUP(RIGHT("0000"&amp;AH749,4),CODEBOOK_CAP!$C$2:$C$212,CODEBOOK_CAP!$E$2:$E$212),"Código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749" s="22" t="s">
        <v>79</v>
      </c>
      <c r="AL749" s="26" t="s">
        <v>4074</v>
      </c>
      <c r="AM749" s="22" t="s">
        <v>79</v>
      </c>
      <c r="AN749" s="22" t="s">
        <v>79</v>
      </c>
      <c r="AO749" s="12" t="s">
        <v>4074</v>
      </c>
      <c r="AP749" s="22" t="s">
        <v>77</v>
      </c>
      <c r="AQ749" s="12"/>
      <c r="AR749" s="22" t="s">
        <v>79</v>
      </c>
      <c r="AS749" s="10" t="s">
        <v>3050</v>
      </c>
      <c r="AT749" s="2" t="s">
        <v>1814</v>
      </c>
      <c r="AU749" s="12" t="s">
        <v>83</v>
      </c>
      <c r="AV749" s="3" t="n">
        <v>46224</v>
      </c>
      <c r="AW749" s="21"/>
      <c r="AY749" s="1"/>
      <c r="BA749" s="1"/>
      <c r="BB749" s="1"/>
    </row>
    <row r="750" ht="75" customHeight="1">
      <c r="A750" s="20" t="s">
        <v>4075</v>
      </c>
      <c r="B750" s="20" t="n">
        <v>2023</v>
      </c>
      <c r="C750" s="20" t="n">
        <v>878</v>
      </c>
      <c r="D750" s="20" t="s">
        <v>50</v>
      </c>
      <c r="E750" s="20" t="s">
        <v>4051</v>
      </c>
      <c r="F750" s="20" t="s">
        <v>4076</v>
      </c>
      <c r="G750" s="20" t="s">
        <v>86</v>
      </c>
      <c r="H750" s="20" t="s">
        <v>4053</v>
      </c>
      <c r="I750" s="20"/>
      <c r="J750" s="20" t="s">
        <v>4077</v>
      </c>
      <c r="K750" s="20" t="s">
        <v>299</v>
      </c>
      <c r="L750" s="20" t="s">
        <v>208</v>
      </c>
      <c r="M750" s="20" t="s">
        <v>209</v>
      </c>
      <c r="N750" s="20" t="s">
        <v>210</v>
      </c>
      <c r="O750" s="20" t="s">
        <v>211</v>
      </c>
      <c r="P750" s="20" t="s">
        <v>212</v>
      </c>
      <c r="Q750" s="20" t="s">
        <v>213</v>
      </c>
      <c r="R750" s="20" t="s">
        <v>251</v>
      </c>
      <c r="S750" s="20" t="s">
        <v>252</v>
      </c>
      <c r="T750" s="20" t="s">
        <v>300</v>
      </c>
      <c r="U750" s="20" t="s">
        <v>301</v>
      </c>
      <c r="V750" s="20" t="s">
        <v>67</v>
      </c>
      <c r="W750" s="20" t="s">
        <v>68</v>
      </c>
      <c r="X750" s="20" t="s">
        <v>69</v>
      </c>
      <c r="Y750" s="20" t="s">
        <v>70</v>
      </c>
      <c r="Z750" s="20" t="s">
        <v>177</v>
      </c>
      <c r="AA750" s="20" t="s">
        <v>198</v>
      </c>
      <c r="AB750" s="20" t="s">
        <v>4078</v>
      </c>
      <c r="AC750" s="20" t="s">
        <v>4078</v>
      </c>
      <c r="AD750" s="20" t="s">
        <v>4078</v>
      </c>
      <c r="AE750" s="20" t="s">
        <v>2081</v>
      </c>
      <c r="AF750" s="9" t="n">
        <v>0</v>
      </c>
      <c r="AG750" s="12" t="n">
        <v>0</v>
      </c>
      <c r="AH750" s="22" t="s">
        <v>464</v>
      </c>
      <c r="AI750" s="12" t="str">
        <f>IF(AH750="","",IFERROR(RIGHT("0000"&amp;AH750,4)&amp;" - "&amp;UPPER(_xlfn.XLOOKUP(RIGHT("0000"&amp;AH750,4),CODEBOOK_CAP!$C$2:$C$212,CODEBOOK_CAP!$D$2:$D$212)),"Código CAP não encontrado"))</f>
        <v>2101 - PARQUES PÚBLICOS E RESERVAS DE PRESERVAÇÃO</v>
      </c>
      <c r="AJ750" s="12" t="str">
        <f>IF(AH750="","",IFERROR(_xlfn.XLOOKUP(RIGHT("0000"&amp;AH750,4),CODEBOOK_CAP!$C$2:$C$212,CODEBOOK_CAP!$E$2:$E$212),"Código CAP não encontrado"))</f>
        <v>Regulação, normas, orinetações, manutenção em território publico aberto, como parques, reservas ambientais, áreas protegidas e de preservação ambiental. Regulação de parques naturais e áreas protegidas. Utilização de bosques e florestas públicas</v>
      </c>
      <c r="AK750" s="22" t="s">
        <v>79</v>
      </c>
      <c r="AL750" s="26" t="s">
        <v>4079</v>
      </c>
      <c r="AM750" s="22" t="s">
        <v>79</v>
      </c>
      <c r="AN750" s="22" t="s">
        <v>79</v>
      </c>
      <c r="AO750" s="12" t="s">
        <v>4079</v>
      </c>
      <c r="AP750" s="22" t="s">
        <v>77</v>
      </c>
      <c r="AQ750" s="12"/>
      <c r="AR750" s="22" t="s">
        <v>79</v>
      </c>
      <c r="AS750" s="10" t="s">
        <v>2081</v>
      </c>
      <c r="AT750" s="2" t="s">
        <v>1814</v>
      </c>
      <c r="AU750" s="12" t="s">
        <v>83</v>
      </c>
      <c r="AV750" s="3" t="n">
        <v>46224</v>
      </c>
      <c r="AW750" s="21"/>
      <c r="AY750" s="1"/>
      <c r="BA750" s="1"/>
      <c r="BB750" s="1"/>
    </row>
    <row r="751" ht="120" customHeight="1">
      <c r="A751" s="20" t="s">
        <v>4080</v>
      </c>
      <c r="B751" s="20" t="n">
        <v>2023</v>
      </c>
      <c r="C751" s="20" t="n">
        <v>879</v>
      </c>
      <c r="D751" s="20" t="s">
        <v>50</v>
      </c>
      <c r="E751" s="20" t="s">
        <v>4051</v>
      </c>
      <c r="F751" s="20" t="s">
        <v>4081</v>
      </c>
      <c r="G751" s="20" t="s">
        <v>183</v>
      </c>
      <c r="H751" s="20" t="s">
        <v>4053</v>
      </c>
      <c r="I751" s="20"/>
      <c r="J751" s="20" t="s">
        <v>4082</v>
      </c>
      <c r="K751" s="20" t="s">
        <v>4083</v>
      </c>
      <c r="L751" s="20" t="s">
        <v>57</v>
      </c>
      <c r="M751" s="20" t="s">
        <v>58</v>
      </c>
      <c r="N751" s="20" t="s">
        <v>59</v>
      </c>
      <c r="O751" s="20" t="s">
        <v>60</v>
      </c>
      <c r="P751" s="20" t="s">
        <v>61</v>
      </c>
      <c r="Q751" s="20" t="s">
        <v>62</v>
      </c>
      <c r="R751" s="20" t="s">
        <v>63</v>
      </c>
      <c r="S751" s="20" t="s">
        <v>64</v>
      </c>
      <c r="T751" s="20" t="s">
        <v>65</v>
      </c>
      <c r="U751" s="20" t="s">
        <v>66</v>
      </c>
      <c r="V751" s="20" t="s">
        <v>67</v>
      </c>
      <c r="W751" s="20" t="s">
        <v>68</v>
      </c>
      <c r="X751" s="20" t="s">
        <v>69</v>
      </c>
      <c r="Y751" s="20" t="s">
        <v>588</v>
      </c>
      <c r="Z751" s="20" t="s">
        <v>98</v>
      </c>
      <c r="AA751" s="20" t="s">
        <v>409</v>
      </c>
      <c r="AB751" s="20" t="s">
        <v>77</v>
      </c>
      <c r="AC751" s="20" t="s">
        <v>77</v>
      </c>
      <c r="AD751" s="20" t="s">
        <v>77</v>
      </c>
      <c r="AE751" s="20"/>
      <c r="AF751" s="9" t="n">
        <v>1</v>
      </c>
      <c r="AG751" s="12" t="n">
        <v>1</v>
      </c>
      <c r="AH751" s="22" t="s">
        <v>235</v>
      </c>
      <c r="AI751" s="12" t="str">
        <f>IF(AH751="","",IFERROR(RIGHT("0000"&amp;AH751,4)&amp;" - "&amp;UPPER(_xlfn.XLOOKUP(RIGHT("0000"&amp;AH751,4),CODEBOOK_CAP!$C$2:$C$212,CODEBOOK_CAP!$D$2:$D$212)),"Código CAP não encontrado"))</f>
        <v>0322 - ESTRUTURAS, HOSPITAIS, CLÍNICAS</v>
      </c>
      <c r="AJ751" s="12" t="str">
        <f>IF(AH751="","",IFERROR(_xlfn.XLOOKUP(RIGHT("0000"&amp;AH751,4),CODEBOOK_CAP!$C$2:$C$212,CODEBOOK_CAP!$E$2:$E$212),"Código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51" s="22" t="s">
        <v>79</v>
      </c>
      <c r="AL751" s="26" t="s">
        <v>4084</v>
      </c>
      <c r="AM751" s="22" t="s">
        <v>79</v>
      </c>
      <c r="AN751" s="22" t="s">
        <v>79</v>
      </c>
      <c r="AO751" s="12" t="s">
        <v>4085</v>
      </c>
      <c r="AP751" s="22" t="s">
        <v>77</v>
      </c>
      <c r="AQ751" s="12"/>
      <c r="AR751" s="22" t="s">
        <v>77</v>
      </c>
      <c r="AS751" s="10"/>
      <c r="AT751" s="2" t="s">
        <v>1814</v>
      </c>
      <c r="AU751" s="12" t="s">
        <v>83</v>
      </c>
      <c r="AV751" s="3" t="n">
        <v>46224</v>
      </c>
      <c r="AW751" s="21"/>
      <c r="AY751" s="1"/>
      <c r="BA751" s="1"/>
      <c r="BB751" s="1"/>
    </row>
    <row r="752">
      <c r="A752" s="14" t="s">
        <v>4086</v>
      </c>
      <c r="B752" s="14" t="n">
        <v>2023</v>
      </c>
      <c r="C752" s="14" t="n">
        <v>112</v>
      </c>
      <c r="D752" s="14" t="s">
        <v>50</v>
      </c>
      <c r="E752" s="14" t="s">
        <v>4087</v>
      </c>
      <c r="F752" s="14" t="s">
        <v>4088</v>
      </c>
      <c r="G752" s="14" t="s">
        <v>633</v>
      </c>
      <c r="H752" s="14" t="s">
        <v>4089</v>
      </c>
      <c r="I752" s="14"/>
      <c r="J752" s="14"/>
      <c r="K752" s="14"/>
      <c r="L752" s="14"/>
      <c r="M752" s="14"/>
      <c r="N752" s="14"/>
      <c r="O752" s="14"/>
      <c r="P752" s="14"/>
      <c r="Q752" s="14"/>
      <c r="R752" s="14"/>
      <c r="S752" s="14"/>
      <c r="T752" s="14"/>
      <c r="U752" s="14"/>
      <c r="V752" s="14"/>
      <c r="W752" s="14"/>
      <c r="X752" s="14"/>
      <c r="Y752" s="14"/>
      <c r="Z752" s="14"/>
      <c r="AA752" s="14"/>
      <c r="AB752" s="14" t="s">
        <v>77</v>
      </c>
      <c r="AC752" s="14" t="s">
        <v>77</v>
      </c>
      <c r="AD752" s="14" t="s">
        <v>77</v>
      </c>
      <c r="AE752" s="14"/>
      <c r="AF752" s="15"/>
      <c r="AG752" s="15"/>
      <c r="AH752" s="16"/>
      <c r="AI752" s="15" t="str">
        <f>IF(AH752="","",IFERROR(RIGHT("0000"&amp;AH752,4)&amp;" - "&amp;UPPER(_xlfn.XLOOKUP(RIGHT("0000"&amp;AH752,4),CODEBOOK_CAP!$C$2:$C$212,CODEBOOK_CAP!$D$2:$D$212)),"Código CAP não encontrado"))</f>
      </c>
      <c r="AJ752" s="15" t="str">
        <f>IF(AH752="","",IFERROR(_xlfn.XLOOKUP(RIGHT("0000"&amp;AH752,4),CODEBOOK_CAP!$C$2:$C$212,CODEBOOK_CAP!$E$2:$E$212),"Código CAP não encontrado"))</f>
      </c>
      <c r="AK752" s="16"/>
      <c r="AL752" s="17"/>
      <c r="AM752" s="16"/>
      <c r="AN752" s="16"/>
      <c r="AO752" s="15"/>
      <c r="AP752" s="16"/>
      <c r="AQ752" s="15"/>
      <c r="AR752" s="16"/>
      <c r="AS752" s="18"/>
      <c r="AT752" s="2" t="s">
        <v>1814</v>
      </c>
      <c r="AU752" s="12" t="s">
        <v>83</v>
      </c>
      <c r="AV752" s="3" t="n">
        <v>46224</v>
      </c>
    </row>
    <row r="753">
      <c r="A753" s="14" t="s">
        <v>4090</v>
      </c>
      <c r="B753" s="14" t="n">
        <v>2023</v>
      </c>
      <c r="C753" s="14" t="n">
        <v>113</v>
      </c>
      <c r="D753" s="14" t="s">
        <v>50</v>
      </c>
      <c r="E753" s="14" t="s">
        <v>4087</v>
      </c>
      <c r="F753" s="14" t="s">
        <v>4091</v>
      </c>
      <c r="G753" s="14" t="s">
        <v>633</v>
      </c>
      <c r="H753" s="14" t="s">
        <v>4089</v>
      </c>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5"/>
      <c r="AG753" s="15"/>
      <c r="AH753" s="16"/>
      <c r="AI753" s="15" t="str">
        <f>IF(AH753="","",IFERROR(RIGHT("0000"&amp;AH753,4)&amp;" - "&amp;UPPER(_xlfn.XLOOKUP(RIGHT("0000"&amp;AH753,4),CODEBOOK_CAP!$C$2:$C$212,CODEBOOK_CAP!$D$2:$D$212)),"Código CAP não encontrado"))</f>
      </c>
      <c r="AJ753" s="15" t="str">
        <f>IF(AH753="","",IFERROR(_xlfn.XLOOKUP(RIGHT("0000"&amp;AH753,4),CODEBOOK_CAP!$C$2:$C$212,CODEBOOK_CAP!$E$2:$E$212),"Código CAP não encontrado"))</f>
      </c>
      <c r="AK753" s="16"/>
      <c r="AL753" s="17"/>
      <c r="AM753" s="16"/>
      <c r="AN753" s="16"/>
      <c r="AO753" s="15"/>
      <c r="AP753" s="16"/>
      <c r="AQ753" s="15"/>
      <c r="AR753" s="16"/>
      <c r="AS753" s="18"/>
      <c r="AT753" s="2" t="s">
        <v>1814</v>
      </c>
      <c r="AU753" s="12" t="s">
        <v>83</v>
      </c>
      <c r="AV753" s="3" t="n">
        <v>46224</v>
      </c>
    </row>
    <row r="754" ht="255" customHeight="1">
      <c r="A754" s="20" t="s">
        <v>4092</v>
      </c>
      <c r="B754" s="20" t="n">
        <v>2023</v>
      </c>
      <c r="C754" s="20" t="n">
        <v>114</v>
      </c>
      <c r="D754" s="20" t="s">
        <v>50</v>
      </c>
      <c r="E754" s="20" t="s">
        <v>4087</v>
      </c>
      <c r="F754" s="20" t="s">
        <v>4093</v>
      </c>
      <c r="G754" s="20" t="s">
        <v>86</v>
      </c>
      <c r="H754" s="20" t="s">
        <v>4089</v>
      </c>
      <c r="I754" s="20"/>
      <c r="J754" s="20" t="s">
        <v>4094</v>
      </c>
      <c r="K754" s="20" t="s">
        <v>299</v>
      </c>
      <c r="L754" s="20" t="s">
        <v>208</v>
      </c>
      <c r="M754" s="20" t="s">
        <v>209</v>
      </c>
      <c r="N754" s="20" t="s">
        <v>210</v>
      </c>
      <c r="O754" s="20" t="s">
        <v>211</v>
      </c>
      <c r="P754" s="20" t="s">
        <v>212</v>
      </c>
      <c r="Q754" s="20" t="s">
        <v>213</v>
      </c>
      <c r="R754" s="20" t="s">
        <v>251</v>
      </c>
      <c r="S754" s="20" t="s">
        <v>252</v>
      </c>
      <c r="T754" s="20" t="s">
        <v>300</v>
      </c>
      <c r="U754" s="20" t="s">
        <v>301</v>
      </c>
      <c r="V754" s="20" t="s">
        <v>67</v>
      </c>
      <c r="W754" s="20" t="s">
        <v>68</v>
      </c>
      <c r="X754" s="20" t="s">
        <v>69</v>
      </c>
      <c r="Y754" s="20" t="s">
        <v>70</v>
      </c>
      <c r="Z754" s="20" t="s">
        <v>177</v>
      </c>
      <c r="AA754" s="20" t="s">
        <v>125</v>
      </c>
      <c r="AB754" s="20" t="s">
        <v>4095</v>
      </c>
      <c r="AC754" s="20" t="s">
        <v>4095</v>
      </c>
      <c r="AD754" s="20" t="s">
        <v>4095</v>
      </c>
      <c r="AE754" s="20"/>
      <c r="AF754" s="9" t="n">
        <v>0</v>
      </c>
      <c r="AG754" s="12" t="n">
        <v>0</v>
      </c>
      <c r="AH754" s="22" t="s">
        <v>219</v>
      </c>
      <c r="AI754" s="12" t="str">
        <f>IF(AH754="","",IFERROR(RIGHT("0000"&amp;AH754,4)&amp;" - "&amp;UPPER(_xlfn.XLOOKUP(RIGHT("0000"&amp;AH754,4),CODEBOOK_CAP!$C$2:$C$212,CODEBOOK_CAP!$D$2:$D$212)),"Código CAP não encontrado"))</f>
        <v>1002 - CARROS, TRÂNSITO, CONSTRUÇÃO E MANUTENÇÃO DE RUAS E ESTRADAS</v>
      </c>
      <c r="AJ754" s="12" t="str">
        <f>IF(AH754="","",IFERROR(_xlfn.XLOOKUP(RIGHT("0000"&amp;AH754,4),CODEBOOK_CAP!$C$2:$C$212,CODEBOOK_CAP!$E$2:$E$212),"Código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54" s="22" t="s">
        <v>79</v>
      </c>
      <c r="AL754" s="26" t="s">
        <v>4096</v>
      </c>
      <c r="AM754" s="22" t="s">
        <v>77</v>
      </c>
      <c r="AN754" s="22" t="s">
        <v>77</v>
      </c>
      <c r="AO754" s="12"/>
      <c r="AP754" s="22" t="s">
        <v>77</v>
      </c>
      <c r="AQ754" s="12"/>
      <c r="AR754" s="22" t="s">
        <v>77</v>
      </c>
      <c r="AS754" s="10"/>
      <c r="AT754" s="2" t="s">
        <v>1814</v>
      </c>
      <c r="AU754" s="12" t="s">
        <v>83</v>
      </c>
      <c r="AV754" s="3" t="n">
        <v>46224</v>
      </c>
      <c r="AW754" s="21"/>
      <c r="AY754" s="1"/>
      <c r="BA754" s="1"/>
      <c r="BB754" s="1"/>
    </row>
    <row r="755" ht="120" customHeight="1">
      <c r="A755" s="20" t="s">
        <v>4097</v>
      </c>
      <c r="B755" s="20" t="n">
        <v>2023</v>
      </c>
      <c r="C755" s="20" t="n">
        <v>115</v>
      </c>
      <c r="D755" s="20" t="s">
        <v>50</v>
      </c>
      <c r="E755" s="20" t="s">
        <v>4087</v>
      </c>
      <c r="F755" s="20" t="s">
        <v>4098</v>
      </c>
      <c r="G755" s="20" t="s">
        <v>53</v>
      </c>
      <c r="H755" s="20" t="s">
        <v>4089</v>
      </c>
      <c r="I755" s="20"/>
      <c r="J755" s="20" t="s">
        <v>4099</v>
      </c>
      <c r="K755" s="20" t="s">
        <v>4100</v>
      </c>
      <c r="L755" s="20" t="s">
        <v>1406</v>
      </c>
      <c r="M755" s="20" t="s">
        <v>1407</v>
      </c>
      <c r="N755" s="20" t="s">
        <v>1408</v>
      </c>
      <c r="O755" s="20" t="s">
        <v>1409</v>
      </c>
      <c r="P755" s="20" t="s">
        <v>1410</v>
      </c>
      <c r="Q755" s="20" t="s">
        <v>1411</v>
      </c>
      <c r="R755" s="20" t="s">
        <v>1412</v>
      </c>
      <c r="S755" s="20" t="s">
        <v>1413</v>
      </c>
      <c r="T755" s="20" t="s">
        <v>4101</v>
      </c>
      <c r="U755" s="20" t="s">
        <v>4102</v>
      </c>
      <c r="V755" s="20" t="s">
        <v>1687</v>
      </c>
      <c r="W755" s="20" t="s">
        <v>96</v>
      </c>
      <c r="X755" s="20" t="s">
        <v>97</v>
      </c>
      <c r="Y755" s="20" t="s">
        <v>70</v>
      </c>
      <c r="Z755" s="20" t="s">
        <v>284</v>
      </c>
      <c r="AA755" s="20" t="s">
        <v>409</v>
      </c>
      <c r="AB755" s="20" t="s">
        <v>77</v>
      </c>
      <c r="AC755" s="20" t="s">
        <v>77</v>
      </c>
      <c r="AD755" s="20" t="s">
        <v>77</v>
      </c>
      <c r="AE755" s="20"/>
      <c r="AF755" s="9" t="n">
        <v>0</v>
      </c>
      <c r="AG755" s="12" t="n">
        <v>0</v>
      </c>
      <c r="AH755" s="22" t="s">
        <v>821</v>
      </c>
      <c r="AI755" s="12" t="str">
        <f>IF(AH755="","",IFERROR(RIGHT("0000"&amp;AH755,4)&amp;" - "&amp;UPPER(_xlfn.XLOOKUP(RIGHT("0000"&amp;AH755,4),CODEBOOK_CAP!$C$2:$C$212,CODEBOOK_CAP!$D$2:$D$212)),"Código CAP não encontrado"))</f>
        <v>1304 - POLÍTICAS SOCIAIS DE ASSISTÊNCIA PARA PESSOAS COM DEFICIÊNCIAS</v>
      </c>
      <c r="AJ755" s="12" t="str">
        <f>IF(AH755="","",IFERROR(_xlfn.XLOOKUP(RIGHT("0000"&amp;AH755,4),CODEBOOK_CAP!$C$2:$C$212,CODEBOOK_CAP!$E$2:$E$212),"Código CAP não encontrado"))</f>
        <v>Questões relacionadas com políticas sociais e de assistência social para pessoas com deficiências físicias, intelectuais NÃO relacionadas com aposentadoria. Políticas específicas sobre tarifas, precos e acessos a sistemas específicos de assistência de pessoas com deficiência. Acessibilidade, demarcação de vagas para deficientes, filas prioritárias para deficientes, transporte específico. Não confundir com serviços de saúde.</v>
      </c>
      <c r="AK755" s="22" t="s">
        <v>77</v>
      </c>
      <c r="AL755" s="26"/>
      <c r="AM755" s="22" t="s">
        <v>77</v>
      </c>
      <c r="AN755" s="22" t="s">
        <v>77</v>
      </c>
      <c r="AO755" s="12"/>
      <c r="AP755" s="22" t="s">
        <v>79</v>
      </c>
      <c r="AQ755" s="12" t="s">
        <v>824</v>
      </c>
      <c r="AR755" s="22" t="s">
        <v>77</v>
      </c>
      <c r="AS755" s="10"/>
      <c r="AT755" s="2" t="s">
        <v>1814</v>
      </c>
      <c r="AU755" s="12" t="s">
        <v>83</v>
      </c>
      <c r="AV755" s="3" t="n">
        <v>46224</v>
      </c>
      <c r="AW755" s="21"/>
      <c r="AY755" s="1"/>
      <c r="BA755" s="1"/>
      <c r="BB755" s="1"/>
    </row>
    <row r="756" ht="105" customHeight="1">
      <c r="A756" s="20" t="s">
        <v>4103</v>
      </c>
      <c r="B756" s="20" t="n">
        <v>2023</v>
      </c>
      <c r="C756" s="20" t="n">
        <v>116</v>
      </c>
      <c r="D756" s="20" t="s">
        <v>50</v>
      </c>
      <c r="E756" s="20" t="s">
        <v>4087</v>
      </c>
      <c r="F756" s="20" t="s">
        <v>4104</v>
      </c>
      <c r="G756" s="20" t="s">
        <v>315</v>
      </c>
      <c r="H756" s="20" t="s">
        <v>4089</v>
      </c>
      <c r="I756" s="20"/>
      <c r="J756" s="20" t="s">
        <v>4105</v>
      </c>
      <c r="K756" s="20" t="s">
        <v>1551</v>
      </c>
      <c r="L756" s="20" t="s">
        <v>274</v>
      </c>
      <c r="M756" s="20" t="s">
        <v>275</v>
      </c>
      <c r="N756" s="20" t="s">
        <v>276</v>
      </c>
      <c r="O756" s="20" t="s">
        <v>277</v>
      </c>
      <c r="P756" s="20" t="s">
        <v>278</v>
      </c>
      <c r="Q756" s="20" t="s">
        <v>279</v>
      </c>
      <c r="R756" s="20" t="s">
        <v>280</v>
      </c>
      <c r="S756" s="20" t="s">
        <v>281</v>
      </c>
      <c r="T756" s="20" t="s">
        <v>1552</v>
      </c>
      <c r="U756" s="20" t="s">
        <v>1553</v>
      </c>
      <c r="V756" s="20" t="s">
        <v>95</v>
      </c>
      <c r="W756" s="20" t="s">
        <v>96</v>
      </c>
      <c r="X756" s="20" t="s">
        <v>97</v>
      </c>
      <c r="Y756" s="20" t="s">
        <v>70</v>
      </c>
      <c r="Z756" s="20" t="s">
        <v>284</v>
      </c>
      <c r="AA756" s="20" t="s">
        <v>125</v>
      </c>
      <c r="AB756" s="20" t="s">
        <v>125</v>
      </c>
      <c r="AC756" s="20" t="s">
        <v>125</v>
      </c>
      <c r="AD756" s="20" t="s">
        <v>125</v>
      </c>
      <c r="AE756" s="20"/>
      <c r="AF756" s="9" t="n">
        <v>0</v>
      </c>
      <c r="AG756" s="12" t="n">
        <v>0</v>
      </c>
      <c r="AH756" s="22" t="s">
        <v>941</v>
      </c>
      <c r="AI756" s="12" t="str">
        <f>IF(AH756="","",IFERROR(RIGHT("0000"&amp;AH756,4)&amp;" - "&amp;UPPER(_xlfn.XLOOKUP(RIGHT("0000"&amp;AH756,4),CODEBOOK_CAP!$C$2:$C$212,CODEBOOK_CAP!$D$2:$D$212)),"Código CAP não encontrado"))</f>
        <v>1308 - POLÍTICAS SOCIAIS PARA FAMÍLIAS E INFÂNCIA</v>
      </c>
      <c r="AJ756" s="12" t="str">
        <f>IF(AH756="","",IFERROR(_xlfn.XLOOKUP(RIGHT("0000"&amp;AH756,4),CODEBOOK_CAP!$C$2:$C$212,CODEBOOK_CAP!$E$2:$E$212),"Código CAP não encontrado"))</f>
        <v>Assuntos relacionados a guarda de crianças em casos de separação, assuntos relacionados a adoção de crianças, políticas para manutenção de crianças em lares, orfanatos, políticas voltadas para facilitar a adoção tardia. Licença maternidade, paternidade e auxilios que sejam derivados do trabalho formal, usar 503.</v>
      </c>
      <c r="AK756" s="22" t="s">
        <v>77</v>
      </c>
      <c r="AL756" s="26"/>
      <c r="AM756" s="22" t="s">
        <v>77</v>
      </c>
      <c r="AN756" s="22" t="s">
        <v>77</v>
      </c>
      <c r="AO756" s="12"/>
      <c r="AP756" s="22" t="s">
        <v>79</v>
      </c>
      <c r="AQ756" s="12" t="s">
        <v>901</v>
      </c>
      <c r="AR756" s="22" t="s">
        <v>77</v>
      </c>
      <c r="AS756" s="10"/>
      <c r="AT756" s="2" t="s">
        <v>1814</v>
      </c>
      <c r="AU756" s="12" t="s">
        <v>83</v>
      </c>
      <c r="AV756" s="3" t="n">
        <v>46224</v>
      </c>
      <c r="AW756" s="21"/>
      <c r="AY756" s="1"/>
      <c r="BA756" s="1"/>
      <c r="BB756" s="1"/>
    </row>
    <row r="757" ht="120" customHeight="1">
      <c r="A757" s="20" t="s">
        <v>4106</v>
      </c>
      <c r="B757" s="20" t="n">
        <v>2023</v>
      </c>
      <c r="C757" s="20" t="n">
        <v>117</v>
      </c>
      <c r="D757" s="20" t="s">
        <v>50</v>
      </c>
      <c r="E757" s="20" t="s">
        <v>4087</v>
      </c>
      <c r="F757" s="20" t="s">
        <v>4107</v>
      </c>
      <c r="G757" s="20" t="s">
        <v>86</v>
      </c>
      <c r="H757" s="20" t="s">
        <v>4089</v>
      </c>
      <c r="I757" s="20"/>
      <c r="J757" s="20" t="s">
        <v>4108</v>
      </c>
      <c r="K757" s="20" t="s">
        <v>865</v>
      </c>
      <c r="L757" s="20" t="s">
        <v>57</v>
      </c>
      <c r="M757" s="20" t="s">
        <v>58</v>
      </c>
      <c r="N757" s="20" t="s">
        <v>59</v>
      </c>
      <c r="O757" s="20" t="s">
        <v>60</v>
      </c>
      <c r="P757" s="20" t="s">
        <v>227</v>
      </c>
      <c r="Q757" s="20" t="s">
        <v>228</v>
      </c>
      <c r="R757" s="20" t="s">
        <v>229</v>
      </c>
      <c r="S757" s="20" t="s">
        <v>230</v>
      </c>
      <c r="T757" s="20" t="s">
        <v>866</v>
      </c>
      <c r="U757" s="20" t="s">
        <v>867</v>
      </c>
      <c r="V757" s="20" t="s">
        <v>868</v>
      </c>
      <c r="W757" s="20" t="s">
        <v>96</v>
      </c>
      <c r="X757" s="20" t="s">
        <v>97</v>
      </c>
      <c r="Y757" s="20" t="s">
        <v>70</v>
      </c>
      <c r="Z757" s="20" t="s">
        <v>98</v>
      </c>
      <c r="AA757" s="20" t="s">
        <v>125</v>
      </c>
      <c r="AB757" s="20" t="s">
        <v>125</v>
      </c>
      <c r="AC757" s="20" t="s">
        <v>125</v>
      </c>
      <c r="AD757" s="20" t="s">
        <v>125</v>
      </c>
      <c r="AE757" s="20"/>
      <c r="AF757" s="9" t="n">
        <v>1</v>
      </c>
      <c r="AG757" s="12" t="n">
        <v>1</v>
      </c>
      <c r="AH757" s="22" t="s">
        <v>235</v>
      </c>
      <c r="AI757" s="12" t="str">
        <f>IF(AH757="","",IFERROR(RIGHT("0000"&amp;AH757,4)&amp;" - "&amp;UPPER(_xlfn.XLOOKUP(RIGHT("0000"&amp;AH757,4),CODEBOOK_CAP!$C$2:$C$212,CODEBOOK_CAP!$D$2:$D$212)),"Código CAP não encontrado"))</f>
        <v>0322 - ESTRUTURAS, HOSPITAIS, CLÍNICAS</v>
      </c>
      <c r="AJ757" s="12" t="str">
        <f>IF(AH757="","",IFERROR(_xlfn.XLOOKUP(RIGHT("0000"&amp;AH757,4),CODEBOOK_CAP!$C$2:$C$212,CODEBOOK_CAP!$E$2:$E$212),"Código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57" s="22" t="s">
        <v>79</v>
      </c>
      <c r="AL757" s="26" t="s">
        <v>4109</v>
      </c>
      <c r="AM757" s="22" t="s">
        <v>79</v>
      </c>
      <c r="AN757" s="22" t="s">
        <v>79</v>
      </c>
      <c r="AO757" s="12" t="s">
        <v>4110</v>
      </c>
      <c r="AP757" s="22" t="s">
        <v>77</v>
      </c>
      <c r="AQ757" s="12"/>
      <c r="AR757" s="22" t="s">
        <v>77</v>
      </c>
      <c r="AS757" s="10"/>
      <c r="AT757" s="2" t="s">
        <v>1814</v>
      </c>
      <c r="AU757" s="12" t="s">
        <v>83</v>
      </c>
      <c r="AV757" s="3" t="n">
        <v>46224</v>
      </c>
      <c r="AW757" s="21"/>
      <c r="AY757" s="1"/>
      <c r="BA757" s="1"/>
      <c r="BB757" s="1"/>
    </row>
    <row r="758">
      <c r="A758" s="14" t="s">
        <v>4111</v>
      </c>
      <c r="B758" s="14" t="n">
        <v>2023</v>
      </c>
      <c r="C758" s="14" t="n">
        <v>118</v>
      </c>
      <c r="D758" s="14" t="s">
        <v>50</v>
      </c>
      <c r="E758" s="14" t="s">
        <v>4087</v>
      </c>
      <c r="F758" s="14" t="s">
        <v>4112</v>
      </c>
      <c r="G758" s="14" t="s">
        <v>633</v>
      </c>
      <c r="H758" s="14" t="s">
        <v>4089</v>
      </c>
      <c r="I758" s="14"/>
      <c r="J758" s="14"/>
      <c r="K758" s="14"/>
      <c r="L758" s="14"/>
      <c r="M758" s="14"/>
      <c r="N758" s="14"/>
      <c r="O758" s="14"/>
      <c r="P758" s="14"/>
      <c r="Q758" s="14"/>
      <c r="R758" s="14"/>
      <c r="S758" s="14"/>
      <c r="T758" s="14"/>
      <c r="U758" s="14"/>
      <c r="V758" s="14"/>
      <c r="W758" s="14"/>
      <c r="X758" s="14"/>
      <c r="Y758" s="14"/>
      <c r="Z758" s="14"/>
      <c r="AA758" s="14"/>
      <c r="AB758" s="14" t="s">
        <v>77</v>
      </c>
      <c r="AC758" s="14" t="s">
        <v>77</v>
      </c>
      <c r="AD758" s="14" t="s">
        <v>77</v>
      </c>
      <c r="AE758" s="14"/>
      <c r="AF758" s="15"/>
      <c r="AG758" s="15"/>
      <c r="AH758" s="16"/>
      <c r="AI758" s="15" t="str">
        <f>IF(AH758="","",IFERROR(RIGHT("0000"&amp;AH758,4)&amp;" - "&amp;UPPER(_xlfn.XLOOKUP(RIGHT("0000"&amp;AH758,4),CODEBOOK_CAP!$C$2:$C$212,CODEBOOK_CAP!$D$2:$D$212)),"Código CAP não encontrado"))</f>
      </c>
      <c r="AJ758" s="15" t="str">
        <f>IF(AH758="","",IFERROR(_xlfn.XLOOKUP(RIGHT("0000"&amp;AH758,4),CODEBOOK_CAP!$C$2:$C$212,CODEBOOK_CAP!$E$2:$E$212),"Código CAP não encontrado"))</f>
      </c>
      <c r="AK758" s="16"/>
      <c r="AL758" s="17"/>
      <c r="AM758" s="16"/>
      <c r="AN758" s="16"/>
      <c r="AO758" s="15"/>
      <c r="AP758" s="16"/>
      <c r="AQ758" s="15"/>
      <c r="AR758" s="16"/>
      <c r="AS758" s="18"/>
      <c r="AT758" s="2" t="s">
        <v>1814</v>
      </c>
      <c r="AU758" s="12" t="s">
        <v>83</v>
      </c>
      <c r="AV758" s="3" t="n">
        <v>46224</v>
      </c>
    </row>
    <row r="759" ht="120" customHeight="1">
      <c r="A759" s="20" t="s">
        <v>4113</v>
      </c>
      <c r="B759" s="20" t="n">
        <v>2023</v>
      </c>
      <c r="C759" s="20" t="n">
        <v>127</v>
      </c>
      <c r="D759" s="20" t="s">
        <v>50</v>
      </c>
      <c r="E759" s="20" t="s">
        <v>4087</v>
      </c>
      <c r="F759" s="20" t="s">
        <v>4114</v>
      </c>
      <c r="G759" s="20" t="s">
        <v>86</v>
      </c>
      <c r="H759" s="20" t="s">
        <v>4089</v>
      </c>
      <c r="I759" s="20"/>
      <c r="J759" s="20" t="s">
        <v>4115</v>
      </c>
      <c r="K759" s="20" t="s">
        <v>865</v>
      </c>
      <c r="L759" s="20" t="s">
        <v>57</v>
      </c>
      <c r="M759" s="20" t="s">
        <v>58</v>
      </c>
      <c r="N759" s="20" t="s">
        <v>59</v>
      </c>
      <c r="O759" s="20" t="s">
        <v>60</v>
      </c>
      <c r="P759" s="20" t="s">
        <v>227</v>
      </c>
      <c r="Q759" s="20" t="s">
        <v>228</v>
      </c>
      <c r="R759" s="20" t="s">
        <v>229</v>
      </c>
      <c r="S759" s="20" t="s">
        <v>230</v>
      </c>
      <c r="T759" s="20" t="s">
        <v>866</v>
      </c>
      <c r="U759" s="20" t="s">
        <v>867</v>
      </c>
      <c r="V759" s="20" t="s">
        <v>868</v>
      </c>
      <c r="W759" s="20" t="s">
        <v>96</v>
      </c>
      <c r="X759" s="20" t="s">
        <v>97</v>
      </c>
      <c r="Y759" s="20" t="s">
        <v>70</v>
      </c>
      <c r="Z759" s="20" t="s">
        <v>98</v>
      </c>
      <c r="AA759" s="20" t="s">
        <v>125</v>
      </c>
      <c r="AB759" s="20" t="s">
        <v>125</v>
      </c>
      <c r="AC759" s="20" t="s">
        <v>125</v>
      </c>
      <c r="AD759" s="20" t="s">
        <v>125</v>
      </c>
      <c r="AE759" s="20"/>
      <c r="AF759" s="9" t="n">
        <v>1</v>
      </c>
      <c r="AG759" s="12" t="n">
        <v>1</v>
      </c>
      <c r="AH759" s="22" t="s">
        <v>235</v>
      </c>
      <c r="AI759" s="12" t="str">
        <f>IF(AH759="","",IFERROR(RIGHT("0000"&amp;AH759,4)&amp;" - "&amp;UPPER(_xlfn.XLOOKUP(RIGHT("0000"&amp;AH759,4),CODEBOOK_CAP!$C$2:$C$212,CODEBOOK_CAP!$D$2:$D$212)),"Código CAP não encontrado"))</f>
        <v>0322 - ESTRUTURAS, HOSPITAIS, CLÍNICAS</v>
      </c>
      <c r="AJ759" s="12" t="str">
        <f>IF(AH759="","",IFERROR(_xlfn.XLOOKUP(RIGHT("0000"&amp;AH759,4),CODEBOOK_CAP!$C$2:$C$212,CODEBOOK_CAP!$E$2:$E$212),"Código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59" s="22" t="s">
        <v>79</v>
      </c>
      <c r="AL759" s="26" t="s">
        <v>4116</v>
      </c>
      <c r="AM759" s="22" t="s">
        <v>79</v>
      </c>
      <c r="AN759" s="22" t="s">
        <v>79</v>
      </c>
      <c r="AO759" s="12" t="s">
        <v>4117</v>
      </c>
      <c r="AP759" s="22" t="s">
        <v>77</v>
      </c>
      <c r="AQ759" s="12"/>
      <c r="AR759" s="22" t="s">
        <v>77</v>
      </c>
      <c r="AS759" s="10"/>
      <c r="AT759" s="2" t="s">
        <v>1814</v>
      </c>
      <c r="AU759" s="12" t="s">
        <v>83</v>
      </c>
      <c r="AV759" s="3" t="n">
        <v>46224</v>
      </c>
      <c r="AW759" s="21"/>
      <c r="AY759" s="1"/>
      <c r="BA759" s="1"/>
      <c r="BB759" s="1"/>
    </row>
    <row r="760" ht="120" customHeight="1">
      <c r="A760" s="20" t="s">
        <v>4118</v>
      </c>
      <c r="B760" s="20" t="n">
        <v>2023</v>
      </c>
      <c r="C760" s="20" t="n">
        <v>128</v>
      </c>
      <c r="D760" s="20" t="s">
        <v>50</v>
      </c>
      <c r="E760" s="20" t="s">
        <v>4087</v>
      </c>
      <c r="F760" s="20" t="s">
        <v>4119</v>
      </c>
      <c r="G760" s="20" t="s">
        <v>315</v>
      </c>
      <c r="H760" s="20" t="s">
        <v>4089</v>
      </c>
      <c r="I760" s="20"/>
      <c r="J760" s="20" t="s">
        <v>4120</v>
      </c>
      <c r="K760" s="20" t="s">
        <v>56</v>
      </c>
      <c r="L760" s="20" t="s">
        <v>57</v>
      </c>
      <c r="M760" s="20" t="s">
        <v>58</v>
      </c>
      <c r="N760" s="20" t="s">
        <v>59</v>
      </c>
      <c r="O760" s="20" t="s">
        <v>60</v>
      </c>
      <c r="P760" s="20" t="s">
        <v>61</v>
      </c>
      <c r="Q760" s="20" t="s">
        <v>62</v>
      </c>
      <c r="R760" s="20" t="s">
        <v>63</v>
      </c>
      <c r="S760" s="20" t="s">
        <v>64</v>
      </c>
      <c r="T760" s="20" t="s">
        <v>65</v>
      </c>
      <c r="U760" s="20" t="s">
        <v>66</v>
      </c>
      <c r="V760" s="20" t="s">
        <v>67</v>
      </c>
      <c r="W760" s="20" t="s">
        <v>68</v>
      </c>
      <c r="X760" s="20" t="s">
        <v>69</v>
      </c>
      <c r="Y760" s="20" t="s">
        <v>70</v>
      </c>
      <c r="Z760" s="20" t="s">
        <v>71</v>
      </c>
      <c r="AA760" s="20" t="s">
        <v>125</v>
      </c>
      <c r="AB760" s="20" t="s">
        <v>4121</v>
      </c>
      <c r="AC760" s="20" t="s">
        <v>4121</v>
      </c>
      <c r="AD760" s="20" t="s">
        <v>4121</v>
      </c>
      <c r="AE760" s="20" t="s">
        <v>4122</v>
      </c>
      <c r="AF760" s="9" t="n">
        <v>1</v>
      </c>
      <c r="AG760" s="12" t="n">
        <v>1</v>
      </c>
      <c r="AH760" s="22" t="s">
        <v>235</v>
      </c>
      <c r="AI760" s="12" t="str">
        <f>IF(AH760="","",IFERROR(RIGHT("0000"&amp;AH760,4)&amp;" - "&amp;UPPER(_xlfn.XLOOKUP(RIGHT("0000"&amp;AH760,4),CODEBOOK_CAP!$C$2:$C$212,CODEBOOK_CAP!$D$2:$D$212)),"Código CAP não encontrado"))</f>
        <v>0322 - ESTRUTURAS, HOSPITAIS, CLÍNICAS</v>
      </c>
      <c r="AJ760" s="12" t="str">
        <f>IF(AH760="","",IFERROR(_xlfn.XLOOKUP(RIGHT("0000"&amp;AH760,4),CODEBOOK_CAP!$C$2:$C$212,CODEBOOK_CAP!$E$2:$E$212),"Código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0" s="22" t="s">
        <v>79</v>
      </c>
      <c r="AL760" s="26" t="s">
        <v>4123</v>
      </c>
      <c r="AM760" s="22" t="s">
        <v>79</v>
      </c>
      <c r="AN760" s="22" t="s">
        <v>79</v>
      </c>
      <c r="AO760" s="12" t="s">
        <v>4124</v>
      </c>
      <c r="AP760" s="22" t="s">
        <v>77</v>
      </c>
      <c r="AQ760" s="12"/>
      <c r="AR760" s="22" t="s">
        <v>79</v>
      </c>
      <c r="AS760" s="10" t="s">
        <v>4122</v>
      </c>
      <c r="AT760" s="2" t="s">
        <v>1814</v>
      </c>
      <c r="AU760" s="12" t="s">
        <v>83</v>
      </c>
      <c r="AV760" s="3" t="n">
        <v>46224</v>
      </c>
      <c r="AW760" s="21"/>
      <c r="AY760" s="1"/>
      <c r="BA760" s="1"/>
      <c r="BB760" s="1"/>
    </row>
    <row r="761" ht="120" customHeight="1">
      <c r="A761" s="20" t="s">
        <v>4125</v>
      </c>
      <c r="B761" s="20" t="n">
        <v>2023</v>
      </c>
      <c r="C761" s="20" t="n">
        <v>129</v>
      </c>
      <c r="D761" s="20" t="s">
        <v>50</v>
      </c>
      <c r="E761" s="20" t="s">
        <v>4087</v>
      </c>
      <c r="F761" s="20" t="s">
        <v>111</v>
      </c>
      <c r="G761" s="20" t="s">
        <v>86</v>
      </c>
      <c r="H761" s="20" t="s">
        <v>4089</v>
      </c>
      <c r="I761" s="20"/>
      <c r="J761" s="20" t="s">
        <v>4126</v>
      </c>
      <c r="K761" s="20" t="s">
        <v>56</v>
      </c>
      <c r="L761" s="20" t="s">
        <v>57</v>
      </c>
      <c r="M761" s="20" t="s">
        <v>58</v>
      </c>
      <c r="N761" s="20" t="s">
        <v>59</v>
      </c>
      <c r="O761" s="20" t="s">
        <v>60</v>
      </c>
      <c r="P761" s="20" t="s">
        <v>61</v>
      </c>
      <c r="Q761" s="20" t="s">
        <v>62</v>
      </c>
      <c r="R761" s="20" t="s">
        <v>63</v>
      </c>
      <c r="S761" s="20" t="s">
        <v>64</v>
      </c>
      <c r="T761" s="20" t="s">
        <v>65</v>
      </c>
      <c r="U761" s="20" t="s">
        <v>66</v>
      </c>
      <c r="V761" s="20" t="s">
        <v>67</v>
      </c>
      <c r="W761" s="20" t="s">
        <v>68</v>
      </c>
      <c r="X761" s="20" t="s">
        <v>69</v>
      </c>
      <c r="Y761" s="20" t="s">
        <v>70</v>
      </c>
      <c r="Z761" s="20" t="s">
        <v>71</v>
      </c>
      <c r="AA761" s="20" t="s">
        <v>125</v>
      </c>
      <c r="AB761" s="20" t="s">
        <v>4127</v>
      </c>
      <c r="AC761" s="20" t="s">
        <v>4127</v>
      </c>
      <c r="AD761" s="20" t="s">
        <v>4127</v>
      </c>
      <c r="AE761" s="20"/>
      <c r="AF761" s="9" t="n">
        <v>1</v>
      </c>
      <c r="AG761" s="12" t="n">
        <v>1</v>
      </c>
      <c r="AH761" s="22" t="s">
        <v>235</v>
      </c>
      <c r="AI761" s="12" t="str">
        <f>IF(AH761="","",IFERROR(RIGHT("0000"&amp;AH761,4)&amp;" - "&amp;UPPER(_xlfn.XLOOKUP(RIGHT("0000"&amp;AH761,4),CODEBOOK_CAP!$C$2:$C$212,CODEBOOK_CAP!$D$2:$D$212)),"Código CAP não encontrado"))</f>
        <v>0322 - ESTRUTURAS, HOSPITAIS, CLÍNICAS</v>
      </c>
      <c r="AJ761" s="12" t="str">
        <f>IF(AH761="","",IFERROR(_xlfn.XLOOKUP(RIGHT("0000"&amp;AH761,4),CODEBOOK_CAP!$C$2:$C$212,CODEBOOK_CAP!$E$2:$E$212),"Código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1" s="22" t="s">
        <v>79</v>
      </c>
      <c r="AL761" s="26" t="s">
        <v>4128</v>
      </c>
      <c r="AM761" s="22" t="s">
        <v>79</v>
      </c>
      <c r="AN761" s="22" t="s">
        <v>79</v>
      </c>
      <c r="AO761" s="12" t="s">
        <v>4129</v>
      </c>
      <c r="AP761" s="22" t="s">
        <v>77</v>
      </c>
      <c r="AQ761" s="12"/>
      <c r="AR761" s="22" t="s">
        <v>77</v>
      </c>
      <c r="AS761" s="10"/>
      <c r="AT761" s="2" t="s">
        <v>1814</v>
      </c>
      <c r="AU761" s="12" t="s">
        <v>83</v>
      </c>
      <c r="AV761" s="3" t="n">
        <v>46224</v>
      </c>
      <c r="AW761" s="21"/>
      <c r="AY761" s="1"/>
      <c r="BA761" s="1"/>
      <c r="BB761" s="1"/>
    </row>
    <row r="762" ht="120" customHeight="1">
      <c r="A762" s="20" t="s">
        <v>4130</v>
      </c>
      <c r="B762" s="20" t="n">
        <v>2023</v>
      </c>
      <c r="C762" s="20" t="n">
        <v>130</v>
      </c>
      <c r="D762" s="20" t="s">
        <v>50</v>
      </c>
      <c r="E762" s="20" t="s">
        <v>4087</v>
      </c>
      <c r="F762" s="20" t="s">
        <v>4131</v>
      </c>
      <c r="G762" s="20" t="s">
        <v>86</v>
      </c>
      <c r="H762" s="20" t="s">
        <v>4089</v>
      </c>
      <c r="I762" s="20"/>
      <c r="J762" s="20" t="s">
        <v>4132</v>
      </c>
      <c r="K762" s="20" t="s">
        <v>56</v>
      </c>
      <c r="L762" s="20" t="s">
        <v>57</v>
      </c>
      <c r="M762" s="20" t="s">
        <v>58</v>
      </c>
      <c r="N762" s="20" t="s">
        <v>59</v>
      </c>
      <c r="O762" s="20" t="s">
        <v>60</v>
      </c>
      <c r="P762" s="20" t="s">
        <v>61</v>
      </c>
      <c r="Q762" s="20" t="s">
        <v>62</v>
      </c>
      <c r="R762" s="20" t="s">
        <v>63</v>
      </c>
      <c r="S762" s="20" t="s">
        <v>64</v>
      </c>
      <c r="T762" s="20" t="s">
        <v>65</v>
      </c>
      <c r="U762" s="20" t="s">
        <v>66</v>
      </c>
      <c r="V762" s="20" t="s">
        <v>67</v>
      </c>
      <c r="W762" s="20" t="s">
        <v>68</v>
      </c>
      <c r="X762" s="20" t="s">
        <v>69</v>
      </c>
      <c r="Y762" s="20" t="s">
        <v>70</v>
      </c>
      <c r="Z762" s="20" t="s">
        <v>71</v>
      </c>
      <c r="AA762" s="20" t="s">
        <v>125</v>
      </c>
      <c r="AB762" s="20" t="s">
        <v>4133</v>
      </c>
      <c r="AC762" s="20" t="s">
        <v>4133</v>
      </c>
      <c r="AD762" s="20" t="s">
        <v>4133</v>
      </c>
      <c r="AE762" s="20"/>
      <c r="AF762" s="9" t="n">
        <v>1</v>
      </c>
      <c r="AG762" s="12" t="n">
        <v>1</v>
      </c>
      <c r="AH762" s="22" t="s">
        <v>235</v>
      </c>
      <c r="AI762" s="12" t="str">
        <f>IF(AH762="","",IFERROR(RIGHT("0000"&amp;AH762,4)&amp;" - "&amp;UPPER(_xlfn.XLOOKUP(RIGHT("0000"&amp;AH762,4),CODEBOOK_CAP!$C$2:$C$212,CODEBOOK_CAP!$D$2:$D$212)),"Código CAP não encontrado"))</f>
        <v>0322 - ESTRUTURAS, HOSPITAIS, CLÍNICAS</v>
      </c>
      <c r="AJ762" s="12" t="str">
        <f>IF(AH762="","",IFERROR(_xlfn.XLOOKUP(RIGHT("0000"&amp;AH762,4),CODEBOOK_CAP!$C$2:$C$212,CODEBOOK_CAP!$E$2:$E$212),"Código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2" s="22" t="s">
        <v>79</v>
      </c>
      <c r="AL762" s="26" t="s">
        <v>4134</v>
      </c>
      <c r="AM762" s="22" t="s">
        <v>79</v>
      </c>
      <c r="AN762" s="22" t="s">
        <v>79</v>
      </c>
      <c r="AO762" s="12" t="s">
        <v>4135</v>
      </c>
      <c r="AP762" s="22" t="s">
        <v>77</v>
      </c>
      <c r="AQ762" s="12"/>
      <c r="AR762" s="22" t="s">
        <v>77</v>
      </c>
      <c r="AS762" s="10"/>
      <c r="AT762" s="2" t="s">
        <v>1814</v>
      </c>
      <c r="AU762" s="12" t="s">
        <v>83</v>
      </c>
      <c r="AV762" s="3" t="n">
        <v>46224</v>
      </c>
      <c r="AW762" s="21"/>
      <c r="AY762" s="1"/>
      <c r="BA762" s="1"/>
      <c r="BB762" s="1"/>
    </row>
    <row r="763">
      <c r="A763" s="14" t="s">
        <v>4136</v>
      </c>
      <c r="B763" s="14" t="n">
        <v>2023</v>
      </c>
      <c r="C763" s="14" t="n">
        <v>136</v>
      </c>
      <c r="D763" s="14" t="s">
        <v>50</v>
      </c>
      <c r="E763" s="14" t="s">
        <v>4087</v>
      </c>
      <c r="F763" s="14" t="s">
        <v>4137</v>
      </c>
      <c r="G763" s="14" t="s">
        <v>633</v>
      </c>
      <c r="H763" s="14" t="s">
        <v>4089</v>
      </c>
      <c r="I763" s="14"/>
      <c r="J763" s="14"/>
      <c r="K763" s="14"/>
      <c r="L763" s="14"/>
      <c r="M763" s="14"/>
      <c r="N763" s="14"/>
      <c r="O763" s="14"/>
      <c r="P763" s="14"/>
      <c r="Q763" s="14"/>
      <c r="R763" s="14"/>
      <c r="S763" s="14"/>
      <c r="T763" s="14"/>
      <c r="U763" s="14"/>
      <c r="V763" s="14"/>
      <c r="W763" s="14"/>
      <c r="X763" s="14"/>
      <c r="Y763" s="14"/>
      <c r="Z763" s="14"/>
      <c r="AA763" s="14"/>
      <c r="AB763" s="14" t="s">
        <v>77</v>
      </c>
      <c r="AC763" s="14" t="s">
        <v>77</v>
      </c>
      <c r="AD763" s="14" t="s">
        <v>77</v>
      </c>
      <c r="AE763" s="14"/>
      <c r="AF763" s="15"/>
      <c r="AG763" s="15"/>
      <c r="AH763" s="16"/>
      <c r="AI763" s="15" t="str">
        <f>IF(AH763="","",IFERROR(RIGHT("0000"&amp;AH763,4)&amp;" - "&amp;UPPER(_xlfn.XLOOKUP(RIGHT("0000"&amp;AH763,4),CODEBOOK_CAP!$C$2:$C$212,CODEBOOK_CAP!$D$2:$D$212)),"Código CAP não encontrado"))</f>
      </c>
      <c r="AJ763" s="15" t="str">
        <f>IF(AH763="","",IFERROR(_xlfn.XLOOKUP(RIGHT("0000"&amp;AH763,4),CODEBOOK_CAP!$C$2:$C$212,CODEBOOK_CAP!$E$2:$E$212),"Código CAP não encontrado"))</f>
      </c>
      <c r="AK763" s="16"/>
      <c r="AL763" s="17"/>
      <c r="AM763" s="16"/>
      <c r="AN763" s="16"/>
      <c r="AO763" s="15"/>
      <c r="AP763" s="16"/>
      <c r="AQ763" s="15"/>
      <c r="AR763" s="16"/>
      <c r="AS763" s="18"/>
      <c r="AT763" s="2" t="s">
        <v>1814</v>
      </c>
      <c r="AU763" s="12" t="s">
        <v>83</v>
      </c>
      <c r="AV763" s="3" t="n">
        <v>46224</v>
      </c>
    </row>
    <row r="764" ht="120" customHeight="1">
      <c r="A764" s="20" t="s">
        <v>4138</v>
      </c>
      <c r="B764" s="20" t="n">
        <v>2023</v>
      </c>
      <c r="C764" s="20" t="n">
        <v>137</v>
      </c>
      <c r="D764" s="20" t="s">
        <v>50</v>
      </c>
      <c r="E764" s="20" t="s">
        <v>4087</v>
      </c>
      <c r="F764" s="20" t="s">
        <v>4139</v>
      </c>
      <c r="G764" s="20" t="s">
        <v>86</v>
      </c>
      <c r="H764" s="20" t="s">
        <v>4089</v>
      </c>
      <c r="I764" s="20"/>
      <c r="J764" s="20" t="s">
        <v>4140</v>
      </c>
      <c r="K764" s="20" t="s">
        <v>56</v>
      </c>
      <c r="L764" s="20" t="s">
        <v>57</v>
      </c>
      <c r="M764" s="20" t="s">
        <v>58</v>
      </c>
      <c r="N764" s="20" t="s">
        <v>59</v>
      </c>
      <c r="O764" s="20" t="s">
        <v>60</v>
      </c>
      <c r="P764" s="20" t="s">
        <v>61</v>
      </c>
      <c r="Q764" s="20" t="s">
        <v>62</v>
      </c>
      <c r="R764" s="20" t="s">
        <v>63</v>
      </c>
      <c r="S764" s="20" t="s">
        <v>64</v>
      </c>
      <c r="T764" s="20" t="s">
        <v>65</v>
      </c>
      <c r="U764" s="20" t="s">
        <v>66</v>
      </c>
      <c r="V764" s="20" t="s">
        <v>67</v>
      </c>
      <c r="W764" s="20" t="s">
        <v>68</v>
      </c>
      <c r="X764" s="20" t="s">
        <v>69</v>
      </c>
      <c r="Y764" s="20" t="s">
        <v>70</v>
      </c>
      <c r="Z764" s="20" t="s">
        <v>71</v>
      </c>
      <c r="AA764" s="20" t="s">
        <v>125</v>
      </c>
      <c r="AB764" s="20" t="s">
        <v>125</v>
      </c>
      <c r="AC764" s="20" t="s">
        <v>4141</v>
      </c>
      <c r="AD764" s="20" t="s">
        <v>4141</v>
      </c>
      <c r="AE764" s="20" t="s">
        <v>1600</v>
      </c>
      <c r="AF764" s="9" t="n">
        <v>1</v>
      </c>
      <c r="AG764" s="12" t="n">
        <v>1</v>
      </c>
      <c r="AH764" s="22" t="s">
        <v>235</v>
      </c>
      <c r="AI764" s="12" t="str">
        <f>IF(AH764="","",IFERROR(RIGHT("0000"&amp;AH764,4)&amp;" - "&amp;UPPER(_xlfn.XLOOKUP(RIGHT("0000"&amp;AH764,4),CODEBOOK_CAP!$C$2:$C$212,CODEBOOK_CAP!$D$2:$D$212)),"Código CAP não encontrado"))</f>
        <v>0322 - ESTRUTURAS, HOSPITAIS, CLÍNICAS</v>
      </c>
      <c r="AJ764" s="12" t="str">
        <f>IF(AH764="","",IFERROR(_xlfn.XLOOKUP(RIGHT("0000"&amp;AH764,4),CODEBOOK_CAP!$C$2:$C$212,CODEBOOK_CAP!$E$2:$E$212),"Código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4" s="22" t="s">
        <v>79</v>
      </c>
      <c r="AL764" s="26" t="s">
        <v>4142</v>
      </c>
      <c r="AM764" s="22" t="s">
        <v>79</v>
      </c>
      <c r="AN764" s="22" t="s">
        <v>79</v>
      </c>
      <c r="AO764" s="12" t="s">
        <v>4143</v>
      </c>
      <c r="AP764" s="22" t="s">
        <v>77</v>
      </c>
      <c r="AQ764" s="12"/>
      <c r="AR764" s="22" t="s">
        <v>79</v>
      </c>
      <c r="AS764" s="10" t="s">
        <v>1600</v>
      </c>
      <c r="AT764" s="2" t="s">
        <v>1814</v>
      </c>
      <c r="AU764" s="12" t="s">
        <v>83</v>
      </c>
      <c r="AV764" s="3" t="n">
        <v>46224</v>
      </c>
      <c r="AW764" s="21"/>
      <c r="AY764" s="1"/>
      <c r="BA764" s="1"/>
      <c r="BB764" s="1"/>
    </row>
    <row r="765" ht="120" customHeight="1">
      <c r="A765" s="20" t="s">
        <v>4144</v>
      </c>
      <c r="B765" s="20" t="n">
        <v>2023</v>
      </c>
      <c r="C765" s="20" t="n">
        <v>138</v>
      </c>
      <c r="D765" s="20" t="s">
        <v>50</v>
      </c>
      <c r="E765" s="20" t="s">
        <v>4087</v>
      </c>
      <c r="F765" s="20" t="s">
        <v>4145</v>
      </c>
      <c r="G765" s="20" t="s">
        <v>86</v>
      </c>
      <c r="H765" s="20" t="s">
        <v>4089</v>
      </c>
      <c r="I765" s="20"/>
      <c r="J765" s="20" t="s">
        <v>4146</v>
      </c>
      <c r="K765" s="20" t="s">
        <v>56</v>
      </c>
      <c r="L765" s="20" t="s">
        <v>57</v>
      </c>
      <c r="M765" s="20" t="s">
        <v>58</v>
      </c>
      <c r="N765" s="20" t="s">
        <v>59</v>
      </c>
      <c r="O765" s="20" t="s">
        <v>60</v>
      </c>
      <c r="P765" s="20" t="s">
        <v>61</v>
      </c>
      <c r="Q765" s="20" t="s">
        <v>62</v>
      </c>
      <c r="R765" s="20" t="s">
        <v>63</v>
      </c>
      <c r="S765" s="20" t="s">
        <v>64</v>
      </c>
      <c r="T765" s="20" t="s">
        <v>65</v>
      </c>
      <c r="U765" s="20" t="s">
        <v>66</v>
      </c>
      <c r="V765" s="20" t="s">
        <v>67</v>
      </c>
      <c r="W765" s="20" t="s">
        <v>68</v>
      </c>
      <c r="X765" s="20" t="s">
        <v>69</v>
      </c>
      <c r="Y765" s="20" t="s">
        <v>70</v>
      </c>
      <c r="Z765" s="20" t="s">
        <v>71</v>
      </c>
      <c r="AA765" s="20" t="s">
        <v>125</v>
      </c>
      <c r="AB765" s="20" t="s">
        <v>125</v>
      </c>
      <c r="AC765" s="20" t="s">
        <v>4147</v>
      </c>
      <c r="AD765" s="20" t="s">
        <v>4147</v>
      </c>
      <c r="AE765" s="20" t="s">
        <v>811</v>
      </c>
      <c r="AF765" s="9" t="n">
        <v>1</v>
      </c>
      <c r="AG765" s="12" t="n">
        <v>1</v>
      </c>
      <c r="AH765" s="22" t="s">
        <v>235</v>
      </c>
      <c r="AI765" s="12" t="str">
        <f>IF(AH765="","",IFERROR(RIGHT("0000"&amp;AH765,4)&amp;" - "&amp;UPPER(_xlfn.XLOOKUP(RIGHT("0000"&amp;AH765,4),CODEBOOK_CAP!$C$2:$C$212,CODEBOOK_CAP!$D$2:$D$212)),"Código CAP não encontrado"))</f>
        <v>0322 - ESTRUTURAS, HOSPITAIS, CLÍNICAS</v>
      </c>
      <c r="AJ765" s="12" t="str">
        <f>IF(AH765="","",IFERROR(_xlfn.XLOOKUP(RIGHT("0000"&amp;AH765,4),CODEBOOK_CAP!$C$2:$C$212,CODEBOOK_CAP!$E$2:$E$212),"Código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65" s="22" t="s">
        <v>79</v>
      </c>
      <c r="AL765" s="26" t="s">
        <v>4148</v>
      </c>
      <c r="AM765" s="22" t="s">
        <v>79</v>
      </c>
      <c r="AN765" s="22" t="s">
        <v>79</v>
      </c>
      <c r="AO765" s="12" t="s">
        <v>4149</v>
      </c>
      <c r="AP765" s="22" t="s">
        <v>77</v>
      </c>
      <c r="AQ765" s="12"/>
      <c r="AR765" s="22" t="s">
        <v>79</v>
      </c>
      <c r="AS765" s="10" t="s">
        <v>811</v>
      </c>
      <c r="AT765" s="2" t="s">
        <v>1814</v>
      </c>
      <c r="AU765" s="12" t="s">
        <v>83</v>
      </c>
      <c r="AV765" s="3" t="n">
        <v>46224</v>
      </c>
      <c r="AW765" s="21"/>
      <c r="AY765" s="1"/>
      <c r="BA765" s="1"/>
      <c r="BB765" s="1"/>
    </row>
    <row r="766" ht="120" customHeight="1">
      <c r="A766" s="20" t="s">
        <v>4150</v>
      </c>
      <c r="B766" s="20" t="n">
        <v>2023</v>
      </c>
      <c r="C766" s="20" t="n">
        <v>139</v>
      </c>
      <c r="D766" s="20" t="s">
        <v>50</v>
      </c>
      <c r="E766" s="20" t="s">
        <v>4087</v>
      </c>
      <c r="F766" s="20" t="s">
        <v>4151</v>
      </c>
      <c r="G766" s="20" t="s">
        <v>86</v>
      </c>
      <c r="H766" s="20" t="s">
        <v>4089</v>
      </c>
      <c r="I766" s="20"/>
      <c r="J766" s="20" t="s">
        <v>4152</v>
      </c>
      <c r="K766" s="20" t="s">
        <v>441</v>
      </c>
      <c r="L766" s="20" t="s">
        <v>57</v>
      </c>
      <c r="M766" s="20" t="s">
        <v>58</v>
      </c>
      <c r="N766" s="20" t="s">
        <v>59</v>
      </c>
      <c r="O766" s="20" t="s">
        <v>60</v>
      </c>
      <c r="P766" s="20" t="s">
        <v>89</v>
      </c>
      <c r="Q766" s="20" t="s">
        <v>90</v>
      </c>
      <c r="R766" s="20" t="s">
        <v>91</v>
      </c>
      <c r="S766" s="20" t="s">
        <v>92</v>
      </c>
      <c r="T766" s="20" t="s">
        <v>341</v>
      </c>
      <c r="U766" s="20" t="s">
        <v>342</v>
      </c>
      <c r="V766" s="20" t="s">
        <v>95</v>
      </c>
      <c r="W766" s="20" t="s">
        <v>96</v>
      </c>
      <c r="X766" s="20" t="s">
        <v>97</v>
      </c>
      <c r="Y766" s="20" t="s">
        <v>70</v>
      </c>
      <c r="Z766" s="20" t="s">
        <v>98</v>
      </c>
      <c r="AA766" s="20" t="s">
        <v>125</v>
      </c>
      <c r="AB766" s="20" t="s">
        <v>125</v>
      </c>
      <c r="AC766" s="20" t="s">
        <v>125</v>
      </c>
      <c r="AD766" s="20" t="s">
        <v>125</v>
      </c>
      <c r="AE766" s="20"/>
      <c r="AF766" s="9" t="n">
        <v>1</v>
      </c>
      <c r="AG766" s="12" t="n">
        <v>1</v>
      </c>
      <c r="AH766" s="22" t="s">
        <v>800</v>
      </c>
      <c r="AI766" s="12" t="str">
        <f>IF(AH766="","",IFERROR(RIGHT("0000"&amp;AH766,4)&amp;" - "&amp;UPPER(_xlfn.XLOOKUP(RIGHT("0000"&amp;AH766,4),CODEBOOK_CAP!$C$2:$C$212,CODEBOOK_CAP!$D$2:$D$212)),"Código CAP não encontrado"))</f>
        <v>0334 - TRATAMENTOS, CIRUGIAS, ATENDIMENTOS, DOENÇAS E REABILITAÇÃO</v>
      </c>
      <c r="AJ766" s="12" t="str">
        <f>IF(AH766="","",IFERROR(_xlfn.XLOOKUP(RIGHT("0000"&amp;AH766,4),CODEBOOK_CAP!$C$2:$C$212,CODEBOOK_CAP!$E$2:$E$212),"Código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766" s="22" t="s">
        <v>77</v>
      </c>
      <c r="AL766" s="26"/>
      <c r="AM766" s="22" t="s">
        <v>77</v>
      </c>
      <c r="AN766" s="22" t="s">
        <v>77</v>
      </c>
      <c r="AO766" s="12"/>
      <c r="AP766" s="22" t="s">
        <v>77</v>
      </c>
      <c r="AQ766" s="12"/>
      <c r="AR766" s="22" t="s">
        <v>77</v>
      </c>
      <c r="AS766" s="10"/>
      <c r="AT766" s="2" t="s">
        <v>1814</v>
      </c>
      <c r="AU766" s="12" t="s">
        <v>83</v>
      </c>
      <c r="AV766" s="3" t="n">
        <v>46224</v>
      </c>
      <c r="AW766" s="21"/>
      <c r="AY766" s="1"/>
      <c r="BA766" s="1"/>
      <c r="BB766" s="1"/>
    </row>
    <row r="767" ht="120" customHeight="1">
      <c r="A767" s="20" t="s">
        <v>4153</v>
      </c>
      <c r="B767" s="20" t="n">
        <v>2023</v>
      </c>
      <c r="C767" s="20" t="n">
        <v>140</v>
      </c>
      <c r="D767" s="20" t="s">
        <v>50</v>
      </c>
      <c r="E767" s="20" t="s">
        <v>4087</v>
      </c>
      <c r="F767" s="20" t="s">
        <v>4154</v>
      </c>
      <c r="G767" s="20" t="s">
        <v>86</v>
      </c>
      <c r="H767" s="20" t="s">
        <v>4089</v>
      </c>
      <c r="I767" s="20"/>
      <c r="J767" s="20" t="s">
        <v>4152</v>
      </c>
      <c r="K767" s="20" t="s">
        <v>441</v>
      </c>
      <c r="L767" s="20" t="s">
        <v>57</v>
      </c>
      <c r="M767" s="20" t="s">
        <v>58</v>
      </c>
      <c r="N767" s="20" t="s">
        <v>59</v>
      </c>
      <c r="O767" s="20" t="s">
        <v>60</v>
      </c>
      <c r="P767" s="20" t="s">
        <v>89</v>
      </c>
      <c r="Q767" s="20" t="s">
        <v>90</v>
      </c>
      <c r="R767" s="20" t="s">
        <v>91</v>
      </c>
      <c r="S767" s="20" t="s">
        <v>92</v>
      </c>
      <c r="T767" s="20" t="s">
        <v>341</v>
      </c>
      <c r="U767" s="20" t="s">
        <v>342</v>
      </c>
      <c r="V767" s="20" t="s">
        <v>95</v>
      </c>
      <c r="W767" s="20" t="s">
        <v>96</v>
      </c>
      <c r="X767" s="20" t="s">
        <v>97</v>
      </c>
      <c r="Y767" s="20" t="s">
        <v>70</v>
      </c>
      <c r="Z767" s="20" t="s">
        <v>98</v>
      </c>
      <c r="AA767" s="20" t="s">
        <v>125</v>
      </c>
      <c r="AB767" s="20" t="s">
        <v>125</v>
      </c>
      <c r="AC767" s="20" t="s">
        <v>125</v>
      </c>
      <c r="AD767" s="20" t="s">
        <v>125</v>
      </c>
      <c r="AE767" s="20"/>
      <c r="AF767" s="9" t="n">
        <v>1</v>
      </c>
      <c r="AG767" s="12" t="n">
        <v>1</v>
      </c>
      <c r="AH767" s="22" t="s">
        <v>800</v>
      </c>
      <c r="AI767" s="12" t="str">
        <f>IF(AH767="","",IFERROR(RIGHT("0000"&amp;AH767,4)&amp;" - "&amp;UPPER(_xlfn.XLOOKUP(RIGHT("0000"&amp;AH767,4),CODEBOOK_CAP!$C$2:$C$212,CODEBOOK_CAP!$D$2:$D$212)),"Código CAP não encontrado"))</f>
        <v>0334 - TRATAMENTOS, CIRUGIAS, ATENDIMENTOS, DOENÇAS E REABILITAÇÃO</v>
      </c>
      <c r="AJ767" s="12" t="str">
        <f>IF(AH767="","",IFERROR(_xlfn.XLOOKUP(RIGHT("0000"&amp;AH767,4),CODEBOOK_CAP!$C$2:$C$212,CODEBOOK_CAP!$E$2:$E$212),"Código CAP não encontrado"))</f>
        <v>Questões gerais sobre atendimentos emergenciais, cirurgias, Tratamento de pessoas com doenças terminais, tratamentos longos que necessitam internação e atendimento assistido, home- care, reabilitação, concultas, fisioterapia, tratamentos de dialose, tratamentos contra cancer, doenças degenerativas, ELA, Alzhaimer. Tratamentos continuados de doencas cronicas, HIV.</v>
      </c>
      <c r="AK767" s="22" t="s">
        <v>77</v>
      </c>
      <c r="AL767" s="26"/>
      <c r="AM767" s="22" t="s">
        <v>77</v>
      </c>
      <c r="AN767" s="22" t="s">
        <v>77</v>
      </c>
      <c r="AO767" s="12"/>
      <c r="AP767" s="22" t="s">
        <v>77</v>
      </c>
      <c r="AQ767" s="12"/>
      <c r="AR767" s="22" t="s">
        <v>77</v>
      </c>
      <c r="AS767" s="10"/>
      <c r="AT767" s="2" t="s">
        <v>1814</v>
      </c>
      <c r="AU767" s="12" t="s">
        <v>83</v>
      </c>
      <c r="AV767" s="3" t="n">
        <v>46224</v>
      </c>
      <c r="AW767" s="21"/>
      <c r="AY767" s="1"/>
      <c r="BA767" s="1"/>
      <c r="BB767" s="1"/>
    </row>
    <row r="768" ht="165" customHeight="1">
      <c r="A768" s="20" t="s">
        <v>4155</v>
      </c>
      <c r="B768" s="20" t="n">
        <v>2023</v>
      </c>
      <c r="C768" s="20" t="n">
        <v>141</v>
      </c>
      <c r="D768" s="20" t="s">
        <v>50</v>
      </c>
      <c r="E768" s="20" t="s">
        <v>4087</v>
      </c>
      <c r="F768" s="20" t="s">
        <v>4156</v>
      </c>
      <c r="G768" s="20" t="s">
        <v>53</v>
      </c>
      <c r="H768" s="20" t="s">
        <v>4089</v>
      </c>
      <c r="I768" s="20"/>
      <c r="J768" s="20" t="s">
        <v>4157</v>
      </c>
      <c r="K768" s="20" t="s">
        <v>2789</v>
      </c>
      <c r="L768" s="20" t="s">
        <v>57</v>
      </c>
      <c r="M768" s="20" t="s">
        <v>58</v>
      </c>
      <c r="N768" s="20" t="s">
        <v>59</v>
      </c>
      <c r="O768" s="20" t="s">
        <v>60</v>
      </c>
      <c r="P768" s="20" t="s">
        <v>111</v>
      </c>
      <c r="Q768" s="20" t="s">
        <v>112</v>
      </c>
      <c r="R768" s="20" t="s">
        <v>113</v>
      </c>
      <c r="S768" s="20" t="s">
        <v>114</v>
      </c>
      <c r="T768" s="20" t="s">
        <v>115</v>
      </c>
      <c r="U768" s="20" t="s">
        <v>114</v>
      </c>
      <c r="V768" s="20" t="s">
        <v>196</v>
      </c>
      <c r="W768" s="20" t="s">
        <v>68</v>
      </c>
      <c r="X768" s="20" t="s">
        <v>69</v>
      </c>
      <c r="Y768" s="20" t="s">
        <v>70</v>
      </c>
      <c r="Z768" s="20" t="s">
        <v>98</v>
      </c>
      <c r="AA768" s="20" t="s">
        <v>1830</v>
      </c>
      <c r="AB768" s="20" t="s">
        <v>77</v>
      </c>
      <c r="AC768" s="20" t="s">
        <v>77</v>
      </c>
      <c r="AD768" s="20" t="s">
        <v>77</v>
      </c>
      <c r="AE768" s="20"/>
      <c r="AF768" s="9" t="n">
        <v>1</v>
      </c>
      <c r="AG768" s="12" t="n">
        <v>0</v>
      </c>
      <c r="AH768" s="22" t="s">
        <v>1269</v>
      </c>
      <c r="AI768" s="12" t="str">
        <f>IF(AH768="","",IFERROR(RIGHT("0000"&amp;AH768,4)&amp;" - "&amp;UPPER(_xlfn.XLOOKUP(RIGHT("0000"&amp;AH768,4),CODEBOOK_CAP!$C$2:$C$212,CODEBOOK_CAP!$D$2:$D$212)),"Código CAP não encontrado"))</f>
        <v>0405 - CONTROLE DE DOENÇAS ANIMAIS</v>
      </c>
      <c r="AJ768" s="12" t="str">
        <f>IF(AH768="","",IFERROR(_xlfn.XLOOKUP(RIGHT("0000"&amp;AH768,4),CODEBOOK_CAP!$C$2:$C$212,CODEBOOK_CAP!$E$2:$E$212),"Código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68" s="22" t="s">
        <v>79</v>
      </c>
      <c r="AL768" s="26" t="s">
        <v>4158</v>
      </c>
      <c r="AM768" s="22" t="s">
        <v>79</v>
      </c>
      <c r="AN768" s="22" t="s">
        <v>79</v>
      </c>
      <c r="AO768" s="12" t="s">
        <v>4158</v>
      </c>
      <c r="AP768" s="22" t="s">
        <v>79</v>
      </c>
      <c r="AQ768" s="12" t="s">
        <v>2150</v>
      </c>
      <c r="AR768" s="22" t="s">
        <v>77</v>
      </c>
      <c r="AS768" s="10"/>
      <c r="AT768" s="2" t="s">
        <v>1814</v>
      </c>
      <c r="AU768" s="12" t="s">
        <v>83</v>
      </c>
      <c r="AV768" s="3" t="n">
        <v>46224</v>
      </c>
      <c r="AW768" s="21"/>
      <c r="AY768" s="1"/>
      <c r="BA768" s="1"/>
      <c r="BB768" s="1"/>
    </row>
    <row r="769" ht="105" customHeight="1">
      <c r="A769" s="20" t="s">
        <v>4159</v>
      </c>
      <c r="B769" s="20" t="n">
        <v>2023</v>
      </c>
      <c r="C769" s="20" t="n">
        <v>142</v>
      </c>
      <c r="D769" s="20" t="s">
        <v>50</v>
      </c>
      <c r="E769" s="20" t="s">
        <v>4087</v>
      </c>
      <c r="F769" s="20" t="s">
        <v>4160</v>
      </c>
      <c r="G769" s="20" t="s">
        <v>86</v>
      </c>
      <c r="H769" s="20" t="s">
        <v>4089</v>
      </c>
      <c r="I769" s="20"/>
      <c r="J769" s="20" t="s">
        <v>4161</v>
      </c>
      <c r="K769" s="20" t="s">
        <v>4162</v>
      </c>
      <c r="L769" s="20" t="s">
        <v>785</v>
      </c>
      <c r="M769" s="20" t="s">
        <v>786</v>
      </c>
      <c r="N769" s="20" t="s">
        <v>787</v>
      </c>
      <c r="O769" s="20" t="s">
        <v>788</v>
      </c>
      <c r="P769" s="20" t="s">
        <v>552</v>
      </c>
      <c r="Q769" s="20" t="s">
        <v>1987</v>
      </c>
      <c r="R769" s="20" t="s">
        <v>1988</v>
      </c>
      <c r="S769" s="20" t="s">
        <v>1989</v>
      </c>
      <c r="T769" s="20" t="s">
        <v>792</v>
      </c>
      <c r="U769" s="20" t="s">
        <v>793</v>
      </c>
      <c r="V769" s="20" t="s">
        <v>1152</v>
      </c>
      <c r="W769" s="20" t="s">
        <v>68</v>
      </c>
      <c r="X769" s="20" t="s">
        <v>69</v>
      </c>
      <c r="Y769" s="20" t="s">
        <v>70</v>
      </c>
      <c r="Z769" s="20" t="s">
        <v>794</v>
      </c>
      <c r="AA769" s="20" t="s">
        <v>125</v>
      </c>
      <c r="AB769" s="20" t="s">
        <v>125</v>
      </c>
      <c r="AC769" s="20" t="s">
        <v>409</v>
      </c>
      <c r="AD769" s="20" t="s">
        <v>125</v>
      </c>
      <c r="AE769" s="20"/>
      <c r="AF769" s="9" t="n">
        <v>0</v>
      </c>
      <c r="AG769" s="12" t="n">
        <v>0</v>
      </c>
      <c r="AH769" s="22" t="s">
        <v>1990</v>
      </c>
      <c r="AI769" s="12" t="str">
        <f>IF(AH769="","",IFERROR(RIGHT("0000"&amp;AH769,4)&amp;" - "&amp;UPPER(_xlfn.XLOOKUP(RIGHT("0000"&amp;AH769,4),CODEBOOK_CAP!$C$2:$C$212,CODEBOOK_CAP!$D$2:$D$212)),"Código CAP não encontrado"))</f>
        <v>0603 - EDUCAÇÃO ESPECIAL, INCLUSÃO</v>
      </c>
      <c r="AJ769" s="12" t="str">
        <f>IF(AH769="","",IFERROR(_xlfn.XLOOKUP(RIGHT("0000"&amp;AH769,4),CODEBOOK_CAP!$C$2:$C$212,CODEBOOK_CAP!$E$2:$E$212),"Código CAP não encontrado"))</f>
        <v>Observações relacionadas ao ensino especial, alfabetização de de adultos, EJA, jovens fora do período escolar adequado, educação e ensino especial para cegos, surdos e criancas com dificuldades de aprendizagem, programas para criancas especiais, portadores de deficiência, reforço escolar, apoio especializado, APAE.</v>
      </c>
      <c r="AK769" s="22" t="s">
        <v>79</v>
      </c>
      <c r="AL769" s="26" t="s">
        <v>4163</v>
      </c>
      <c r="AM769" s="22" t="s">
        <v>79</v>
      </c>
      <c r="AN769" s="22" t="s">
        <v>79</v>
      </c>
      <c r="AO769" s="12" t="s">
        <v>4164</v>
      </c>
      <c r="AP769" s="22" t="s">
        <v>79</v>
      </c>
      <c r="AQ769" s="12" t="s">
        <v>901</v>
      </c>
      <c r="AR769" s="22" t="s">
        <v>77</v>
      </c>
      <c r="AS769" s="10"/>
      <c r="AT769" s="2" t="s">
        <v>1814</v>
      </c>
      <c r="AU769" s="12" t="s">
        <v>83</v>
      </c>
      <c r="AV769" s="3" t="n">
        <v>46224</v>
      </c>
      <c r="AW769" s="21"/>
      <c r="AY769" s="1"/>
      <c r="BA769" s="1"/>
      <c r="BB769" s="1"/>
    </row>
    <row r="770" ht="210" customHeight="1">
      <c r="A770" s="20" t="s">
        <v>4165</v>
      </c>
      <c r="B770" s="20" t="n">
        <v>2023</v>
      </c>
      <c r="C770" s="20" t="n">
        <v>143</v>
      </c>
      <c r="D770" s="20" t="s">
        <v>50</v>
      </c>
      <c r="E770" s="20" t="s">
        <v>4087</v>
      </c>
      <c r="F770" s="20" t="s">
        <v>4166</v>
      </c>
      <c r="G770" s="20" t="s">
        <v>183</v>
      </c>
      <c r="H770" s="20" t="s">
        <v>4089</v>
      </c>
      <c r="I770" s="20"/>
      <c r="J770" s="20" t="s">
        <v>4167</v>
      </c>
      <c r="K770" s="20" t="s">
        <v>4168</v>
      </c>
      <c r="L770" s="20" t="s">
        <v>785</v>
      </c>
      <c r="M770" s="20" t="s">
        <v>786</v>
      </c>
      <c r="N770" s="20" t="s">
        <v>787</v>
      </c>
      <c r="O770" s="20" t="s">
        <v>788</v>
      </c>
      <c r="P770" s="20" t="s">
        <v>517</v>
      </c>
      <c r="Q770" s="20" t="s">
        <v>893</v>
      </c>
      <c r="R770" s="20" t="s">
        <v>894</v>
      </c>
      <c r="S770" s="20" t="s">
        <v>895</v>
      </c>
      <c r="T770" s="20" t="s">
        <v>792</v>
      </c>
      <c r="U770" s="20" t="s">
        <v>793</v>
      </c>
      <c r="V770" s="20" t="s">
        <v>1152</v>
      </c>
      <c r="W770" s="20" t="s">
        <v>68</v>
      </c>
      <c r="X770" s="20" t="s">
        <v>69</v>
      </c>
      <c r="Y770" s="20" t="s">
        <v>70</v>
      </c>
      <c r="Z770" s="20" t="s">
        <v>794</v>
      </c>
      <c r="AA770" s="20" t="s">
        <v>388</v>
      </c>
      <c r="AB770" s="20" t="s">
        <v>388</v>
      </c>
      <c r="AC770" s="20" t="s">
        <v>388</v>
      </c>
      <c r="AD770" s="20" t="s">
        <v>388</v>
      </c>
      <c r="AE770" s="20" t="s">
        <v>4169</v>
      </c>
      <c r="AF770" s="9" t="n">
        <v>0</v>
      </c>
      <c r="AG770" s="12" t="n">
        <v>0</v>
      </c>
      <c r="AH770" s="22" t="s">
        <v>899</v>
      </c>
      <c r="AI770" s="12" t="str">
        <f>IF(AH770="","",IFERROR(RIGHT("0000"&amp;AH770,4)&amp;" - "&amp;UPPER(_xlfn.XLOOKUP(RIGHT("0000"&amp;AH770,4),CODEBOOK_CAP!$C$2:$C$212,CODEBOOK_CAP!$D$2:$D$212)),"Código CAP não encontrado"))</f>
        <v>0602 - ENSINO BÁSICO, FUNDAMENTAL E MÉDIO</v>
      </c>
      <c r="AJ770" s="12" t="str">
        <f>IF(AH770="","",IFERROR(_xlfn.XLOOKUP(RIGHT("0000"&amp;AH770,4),CODEBOOK_CAP!$C$2:$C$212,CODEBOOK_CAP!$E$2:$E$212),"Código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70" s="22" t="s">
        <v>79</v>
      </c>
      <c r="AL770" s="26" t="s">
        <v>4170</v>
      </c>
      <c r="AM770" s="22" t="s">
        <v>79</v>
      </c>
      <c r="AN770" s="22" t="s">
        <v>79</v>
      </c>
      <c r="AO770" s="12" t="s">
        <v>4171</v>
      </c>
      <c r="AP770" s="22" t="s">
        <v>79</v>
      </c>
      <c r="AQ770" s="12" t="s">
        <v>901</v>
      </c>
      <c r="AR770" s="22" t="s">
        <v>77</v>
      </c>
      <c r="AS770" s="10"/>
      <c r="AT770" s="2" t="s">
        <v>1814</v>
      </c>
      <c r="AU770" s="12" t="s">
        <v>83</v>
      </c>
      <c r="AV770" s="3" t="n">
        <v>46224</v>
      </c>
      <c r="AW770" s="21"/>
      <c r="AY770" s="1"/>
      <c r="BA770" s="1"/>
      <c r="BB770" s="1"/>
    </row>
    <row r="771" ht="210" customHeight="1">
      <c r="A771" s="20" t="s">
        <v>4172</v>
      </c>
      <c r="B771" s="20" t="n">
        <v>2023</v>
      </c>
      <c r="C771" s="20" t="n">
        <v>144</v>
      </c>
      <c r="D771" s="20" t="s">
        <v>50</v>
      </c>
      <c r="E771" s="20" t="s">
        <v>4087</v>
      </c>
      <c r="F771" s="20" t="s">
        <v>4173</v>
      </c>
      <c r="G771" s="20" t="s">
        <v>86</v>
      </c>
      <c r="H771" s="20" t="s">
        <v>4089</v>
      </c>
      <c r="I771" s="20"/>
      <c r="J771" s="20" t="s">
        <v>4174</v>
      </c>
      <c r="K771" s="20" t="s">
        <v>4168</v>
      </c>
      <c r="L771" s="20" t="s">
        <v>785</v>
      </c>
      <c r="M771" s="20" t="s">
        <v>786</v>
      </c>
      <c r="N771" s="20" t="s">
        <v>787</v>
      </c>
      <c r="O771" s="20" t="s">
        <v>788</v>
      </c>
      <c r="P771" s="20" t="s">
        <v>517</v>
      </c>
      <c r="Q771" s="20" t="s">
        <v>893</v>
      </c>
      <c r="R771" s="20" t="s">
        <v>894</v>
      </c>
      <c r="S771" s="20" t="s">
        <v>895</v>
      </c>
      <c r="T771" s="20" t="s">
        <v>792</v>
      </c>
      <c r="U771" s="20" t="s">
        <v>793</v>
      </c>
      <c r="V771" s="20" t="s">
        <v>1152</v>
      </c>
      <c r="W771" s="20" t="s">
        <v>68</v>
      </c>
      <c r="X771" s="20" t="s">
        <v>69</v>
      </c>
      <c r="Y771" s="20" t="s">
        <v>70</v>
      </c>
      <c r="Z771" s="20" t="s">
        <v>794</v>
      </c>
      <c r="AA771" s="20" t="s">
        <v>125</v>
      </c>
      <c r="AB771" s="20" t="s">
        <v>125</v>
      </c>
      <c r="AC771" s="20" t="s">
        <v>409</v>
      </c>
      <c r="AD771" s="20" t="s">
        <v>125</v>
      </c>
      <c r="AE771" s="20"/>
      <c r="AF771" s="9" t="n">
        <v>0</v>
      </c>
      <c r="AG771" s="12" t="n">
        <v>0</v>
      </c>
      <c r="AH771" s="22" t="s">
        <v>899</v>
      </c>
      <c r="AI771" s="12" t="str">
        <f>IF(AH771="","",IFERROR(RIGHT("0000"&amp;AH771,4)&amp;" - "&amp;UPPER(_xlfn.XLOOKUP(RIGHT("0000"&amp;AH771,4),CODEBOOK_CAP!$C$2:$C$212,CODEBOOK_CAP!$D$2:$D$212)),"Código CAP não encontrado"))</f>
        <v>0602 - ENSINO BÁSICO, FUNDAMENTAL E MÉDIO</v>
      </c>
      <c r="AJ771" s="12" t="str">
        <f>IF(AH771="","",IFERROR(_xlfn.XLOOKUP(RIGHT("0000"&amp;AH771,4),CODEBOOK_CAP!$C$2:$C$212,CODEBOOK_CAP!$E$2:$E$212),"Código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71" s="22" t="s">
        <v>79</v>
      </c>
      <c r="AL771" s="26" t="s">
        <v>4175</v>
      </c>
      <c r="AM771" s="22" t="s">
        <v>79</v>
      </c>
      <c r="AN771" s="22" t="s">
        <v>79</v>
      </c>
      <c r="AO771" s="12" t="s">
        <v>4176</v>
      </c>
      <c r="AP771" s="22" t="s">
        <v>79</v>
      </c>
      <c r="AQ771" s="12" t="s">
        <v>901</v>
      </c>
      <c r="AR771" s="22" t="s">
        <v>77</v>
      </c>
      <c r="AS771" s="10"/>
      <c r="AT771" s="2" t="s">
        <v>1814</v>
      </c>
      <c r="AU771" s="12" t="s">
        <v>83</v>
      </c>
      <c r="AV771" s="3" t="n">
        <v>46224</v>
      </c>
      <c r="AW771" s="21"/>
      <c r="AY771" s="1"/>
      <c r="BA771" s="1"/>
      <c r="BB771" s="1"/>
    </row>
    <row r="772" ht="210" customHeight="1">
      <c r="A772" s="20" t="s">
        <v>4177</v>
      </c>
      <c r="B772" s="20" t="n">
        <v>2023</v>
      </c>
      <c r="C772" s="20" t="n">
        <v>145</v>
      </c>
      <c r="D772" s="20" t="s">
        <v>50</v>
      </c>
      <c r="E772" s="20" t="s">
        <v>4087</v>
      </c>
      <c r="F772" s="20" t="s">
        <v>4178</v>
      </c>
      <c r="G772" s="20" t="s">
        <v>86</v>
      </c>
      <c r="H772" s="20" t="s">
        <v>4089</v>
      </c>
      <c r="I772" s="20"/>
      <c r="J772" s="20" t="s">
        <v>4179</v>
      </c>
      <c r="K772" s="20" t="s">
        <v>4180</v>
      </c>
      <c r="L772" s="20" t="s">
        <v>785</v>
      </c>
      <c r="M772" s="20" t="s">
        <v>786</v>
      </c>
      <c r="N772" s="20" t="s">
        <v>787</v>
      </c>
      <c r="O772" s="20" t="s">
        <v>788</v>
      </c>
      <c r="P772" s="20" t="s">
        <v>541</v>
      </c>
      <c r="Q772" s="20" t="s">
        <v>789</v>
      </c>
      <c r="R772" s="20" t="s">
        <v>790</v>
      </c>
      <c r="S772" s="20" t="s">
        <v>791</v>
      </c>
      <c r="T772" s="20" t="s">
        <v>792</v>
      </c>
      <c r="U772" s="20" t="s">
        <v>793</v>
      </c>
      <c r="V772" s="20" t="s">
        <v>1152</v>
      </c>
      <c r="W772" s="20" t="s">
        <v>68</v>
      </c>
      <c r="X772" s="20" t="s">
        <v>69</v>
      </c>
      <c r="Y772" s="20" t="s">
        <v>70</v>
      </c>
      <c r="Z772" s="20" t="s">
        <v>794</v>
      </c>
      <c r="AA772" s="20" t="s">
        <v>125</v>
      </c>
      <c r="AB772" s="20" t="s">
        <v>125</v>
      </c>
      <c r="AC772" s="20" t="s">
        <v>409</v>
      </c>
      <c r="AD772" s="20" t="s">
        <v>125</v>
      </c>
      <c r="AE772" s="20"/>
      <c r="AF772" s="9" t="n">
        <v>0</v>
      </c>
      <c r="AG772" s="12" t="n">
        <v>0</v>
      </c>
      <c r="AH772" s="22" t="s">
        <v>899</v>
      </c>
      <c r="AI772" s="12" t="str">
        <f>IF(AH772="","",IFERROR(RIGHT("0000"&amp;AH772,4)&amp;" - "&amp;UPPER(_xlfn.XLOOKUP(RIGHT("0000"&amp;AH772,4),CODEBOOK_CAP!$C$2:$C$212,CODEBOOK_CAP!$D$2:$D$212)),"Código CAP não encontrado"))</f>
        <v>0602 - ENSINO BÁSICO, FUNDAMENTAL E MÉDIO</v>
      </c>
      <c r="AJ772" s="12" t="str">
        <f>IF(AH772="","",IFERROR(_xlfn.XLOOKUP(RIGHT("0000"&amp;AH772,4),CODEBOOK_CAP!$C$2:$C$212,CODEBOOK_CAP!$E$2:$E$212),"Código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72" s="22" t="s">
        <v>79</v>
      </c>
      <c r="AL772" s="26" t="s">
        <v>4181</v>
      </c>
      <c r="AM772" s="22" t="s">
        <v>79</v>
      </c>
      <c r="AN772" s="22" t="s">
        <v>79</v>
      </c>
      <c r="AO772" s="12" t="s">
        <v>4182</v>
      </c>
      <c r="AP772" s="22" t="s">
        <v>79</v>
      </c>
      <c r="AQ772" s="12" t="s">
        <v>1094</v>
      </c>
      <c r="AR772" s="22" t="s">
        <v>77</v>
      </c>
      <c r="AS772" s="10"/>
      <c r="AT772" s="2" t="s">
        <v>1814</v>
      </c>
      <c r="AU772" s="12" t="s">
        <v>83</v>
      </c>
      <c r="AV772" s="3" t="n">
        <v>46224</v>
      </c>
      <c r="AW772" s="21"/>
      <c r="AY772" s="1"/>
      <c r="BA772" s="1"/>
      <c r="BB772" s="1"/>
    </row>
    <row r="773" ht="210" customHeight="1">
      <c r="A773" s="20" t="s">
        <v>4183</v>
      </c>
      <c r="B773" s="20" t="n">
        <v>2023</v>
      </c>
      <c r="C773" s="20" t="n">
        <v>146</v>
      </c>
      <c r="D773" s="20" t="s">
        <v>50</v>
      </c>
      <c r="E773" s="20" t="s">
        <v>4087</v>
      </c>
      <c r="F773" s="20" t="s">
        <v>4184</v>
      </c>
      <c r="G773" s="20" t="s">
        <v>86</v>
      </c>
      <c r="H773" s="20" t="s">
        <v>4089</v>
      </c>
      <c r="I773" s="20"/>
      <c r="J773" s="20" t="s">
        <v>4185</v>
      </c>
      <c r="K773" s="20" t="s">
        <v>4180</v>
      </c>
      <c r="L773" s="20" t="s">
        <v>785</v>
      </c>
      <c r="M773" s="20" t="s">
        <v>786</v>
      </c>
      <c r="N773" s="20" t="s">
        <v>787</v>
      </c>
      <c r="O773" s="20" t="s">
        <v>788</v>
      </c>
      <c r="P773" s="20" t="s">
        <v>541</v>
      </c>
      <c r="Q773" s="20" t="s">
        <v>789</v>
      </c>
      <c r="R773" s="20" t="s">
        <v>790</v>
      </c>
      <c r="S773" s="20" t="s">
        <v>791</v>
      </c>
      <c r="T773" s="20" t="s">
        <v>792</v>
      </c>
      <c r="U773" s="20" t="s">
        <v>793</v>
      </c>
      <c r="V773" s="20" t="s">
        <v>1152</v>
      </c>
      <c r="W773" s="20" t="s">
        <v>68</v>
      </c>
      <c r="X773" s="20" t="s">
        <v>69</v>
      </c>
      <c r="Y773" s="20" t="s">
        <v>70</v>
      </c>
      <c r="Z773" s="20" t="s">
        <v>794</v>
      </c>
      <c r="AA773" s="20" t="s">
        <v>125</v>
      </c>
      <c r="AB773" s="20" t="s">
        <v>125</v>
      </c>
      <c r="AC773" s="20" t="s">
        <v>409</v>
      </c>
      <c r="AD773" s="20" t="s">
        <v>125</v>
      </c>
      <c r="AE773" s="20"/>
      <c r="AF773" s="9" t="n">
        <v>0</v>
      </c>
      <c r="AG773" s="12" t="n">
        <v>0</v>
      </c>
      <c r="AH773" s="22" t="s">
        <v>899</v>
      </c>
      <c r="AI773" s="12" t="str">
        <f>IF(AH773="","",IFERROR(RIGHT("0000"&amp;AH773,4)&amp;" - "&amp;UPPER(_xlfn.XLOOKUP(RIGHT("0000"&amp;AH773,4),CODEBOOK_CAP!$C$2:$C$212,CODEBOOK_CAP!$D$2:$D$212)),"Código CAP não encontrado"))</f>
        <v>0602 - ENSINO BÁSICO, FUNDAMENTAL E MÉDIO</v>
      </c>
      <c r="AJ773" s="12" t="str">
        <f>IF(AH773="","",IFERROR(_xlfn.XLOOKUP(RIGHT("0000"&amp;AH773,4),CODEBOOK_CAP!$C$2:$C$212,CODEBOOK_CAP!$E$2:$E$212),"Código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73" s="22" t="s">
        <v>79</v>
      </c>
      <c r="AL773" s="26" t="s">
        <v>4186</v>
      </c>
      <c r="AM773" s="22" t="s">
        <v>79</v>
      </c>
      <c r="AN773" s="22" t="s">
        <v>79</v>
      </c>
      <c r="AO773" s="12" t="s">
        <v>4187</v>
      </c>
      <c r="AP773" s="22" t="s">
        <v>79</v>
      </c>
      <c r="AQ773" s="12" t="s">
        <v>1094</v>
      </c>
      <c r="AR773" s="22" t="s">
        <v>77</v>
      </c>
      <c r="AS773" s="10"/>
      <c r="AT773" s="2" t="s">
        <v>1814</v>
      </c>
      <c r="AU773" s="12" t="s">
        <v>83</v>
      </c>
      <c r="AV773" s="3" t="n">
        <v>46224</v>
      </c>
      <c r="AW773" s="21"/>
      <c r="AY773" s="1"/>
      <c r="BA773" s="1"/>
      <c r="BB773" s="1"/>
    </row>
    <row r="774" ht="210" customHeight="1">
      <c r="A774" s="20" t="s">
        <v>4188</v>
      </c>
      <c r="B774" s="20" t="n">
        <v>2023</v>
      </c>
      <c r="C774" s="20" t="n">
        <v>148</v>
      </c>
      <c r="D774" s="20" t="s">
        <v>50</v>
      </c>
      <c r="E774" s="20" t="s">
        <v>4087</v>
      </c>
      <c r="F774" s="20" t="s">
        <v>3314</v>
      </c>
      <c r="G774" s="20" t="s">
        <v>86</v>
      </c>
      <c r="H774" s="20" t="s">
        <v>4089</v>
      </c>
      <c r="I774" s="20"/>
      <c r="J774" s="20" t="s">
        <v>4189</v>
      </c>
      <c r="K774" s="20" t="s">
        <v>4180</v>
      </c>
      <c r="L774" s="20" t="s">
        <v>785</v>
      </c>
      <c r="M774" s="20" t="s">
        <v>786</v>
      </c>
      <c r="N774" s="20" t="s">
        <v>787</v>
      </c>
      <c r="O774" s="20" t="s">
        <v>788</v>
      </c>
      <c r="P774" s="20" t="s">
        <v>541</v>
      </c>
      <c r="Q774" s="20" t="s">
        <v>789</v>
      </c>
      <c r="R774" s="20" t="s">
        <v>790</v>
      </c>
      <c r="S774" s="20" t="s">
        <v>791</v>
      </c>
      <c r="T774" s="20" t="s">
        <v>792</v>
      </c>
      <c r="U774" s="20" t="s">
        <v>793</v>
      </c>
      <c r="V774" s="20" t="s">
        <v>1152</v>
      </c>
      <c r="W774" s="20" t="s">
        <v>68</v>
      </c>
      <c r="X774" s="20" t="s">
        <v>69</v>
      </c>
      <c r="Y774" s="20" t="s">
        <v>70</v>
      </c>
      <c r="Z774" s="20" t="s">
        <v>794</v>
      </c>
      <c r="AA774" s="20" t="s">
        <v>125</v>
      </c>
      <c r="AB774" s="20" t="s">
        <v>125</v>
      </c>
      <c r="AC774" s="20" t="s">
        <v>409</v>
      </c>
      <c r="AD774" s="20" t="s">
        <v>125</v>
      </c>
      <c r="AE774" s="20"/>
      <c r="AF774" s="9" t="n">
        <v>0</v>
      </c>
      <c r="AG774" s="12" t="n">
        <v>0</v>
      </c>
      <c r="AH774" s="22" t="s">
        <v>899</v>
      </c>
      <c r="AI774" s="12" t="str">
        <f>IF(AH774="","",IFERROR(RIGHT("0000"&amp;AH774,4)&amp;" - "&amp;UPPER(_xlfn.XLOOKUP(RIGHT("0000"&amp;AH774,4),CODEBOOK_CAP!$C$2:$C$212,CODEBOOK_CAP!$D$2:$D$212)),"Código CAP não encontrado"))</f>
        <v>0602 - ENSINO BÁSICO, FUNDAMENTAL E MÉDIO</v>
      </c>
      <c r="AJ774" s="12" t="str">
        <f>IF(AH774="","",IFERROR(_xlfn.XLOOKUP(RIGHT("0000"&amp;AH774,4),CODEBOOK_CAP!$C$2:$C$212,CODEBOOK_CAP!$E$2:$E$212),"Código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74" s="22" t="s">
        <v>79</v>
      </c>
      <c r="AL774" s="26" t="s">
        <v>4190</v>
      </c>
      <c r="AM774" s="22" t="s">
        <v>79</v>
      </c>
      <c r="AN774" s="22" t="s">
        <v>79</v>
      </c>
      <c r="AO774" s="12" t="s">
        <v>4191</v>
      </c>
      <c r="AP774" s="22" t="s">
        <v>79</v>
      </c>
      <c r="AQ774" s="12" t="s">
        <v>1094</v>
      </c>
      <c r="AR774" s="22" t="s">
        <v>77</v>
      </c>
      <c r="AS774" s="10"/>
      <c r="AT774" s="2" t="s">
        <v>1814</v>
      </c>
      <c r="AU774" s="12" t="s">
        <v>83</v>
      </c>
      <c r="AV774" s="3" t="n">
        <v>46224</v>
      </c>
      <c r="AW774" s="21"/>
      <c r="AY774" s="1"/>
      <c r="BA774" s="1"/>
      <c r="BB774" s="1"/>
    </row>
    <row r="775" ht="120" customHeight="1">
      <c r="A775" s="20" t="s">
        <v>4192</v>
      </c>
      <c r="B775" s="20" t="n">
        <v>2023</v>
      </c>
      <c r="C775" s="20" t="n">
        <v>273</v>
      </c>
      <c r="D775" s="20" t="s">
        <v>50</v>
      </c>
      <c r="E775" s="20" t="s">
        <v>4087</v>
      </c>
      <c r="F775" s="20" t="s">
        <v>4193</v>
      </c>
      <c r="G775" s="20" t="s">
        <v>86</v>
      </c>
      <c r="H775" s="20" t="s">
        <v>4089</v>
      </c>
      <c r="I775" s="20"/>
      <c r="J775" s="20" t="s">
        <v>4194</v>
      </c>
      <c r="K775" s="20" t="s">
        <v>56</v>
      </c>
      <c r="L775" s="20" t="s">
        <v>57</v>
      </c>
      <c r="M775" s="20" t="s">
        <v>58</v>
      </c>
      <c r="N775" s="20" t="s">
        <v>59</v>
      </c>
      <c r="O775" s="20" t="s">
        <v>60</v>
      </c>
      <c r="P775" s="20" t="s">
        <v>61</v>
      </c>
      <c r="Q775" s="20" t="s">
        <v>62</v>
      </c>
      <c r="R775" s="20" t="s">
        <v>63</v>
      </c>
      <c r="S775" s="20" t="s">
        <v>64</v>
      </c>
      <c r="T775" s="20" t="s">
        <v>65</v>
      </c>
      <c r="U775" s="20" t="s">
        <v>66</v>
      </c>
      <c r="V775" s="20" t="s">
        <v>67</v>
      </c>
      <c r="W775" s="20" t="s">
        <v>68</v>
      </c>
      <c r="X775" s="20" t="s">
        <v>69</v>
      </c>
      <c r="Y775" s="20" t="s">
        <v>70</v>
      </c>
      <c r="Z775" s="20" t="s">
        <v>71</v>
      </c>
      <c r="AA775" s="20" t="s">
        <v>160</v>
      </c>
      <c r="AB775" s="20" t="s">
        <v>4195</v>
      </c>
      <c r="AC775" s="20" t="s">
        <v>4195</v>
      </c>
      <c r="AD775" s="20" t="s">
        <v>4195</v>
      </c>
      <c r="AE775" s="20" t="s">
        <v>4196</v>
      </c>
      <c r="AF775" s="9" t="n">
        <v>1</v>
      </c>
      <c r="AG775" s="12" t="n">
        <v>1</v>
      </c>
      <c r="AH775" s="22" t="s">
        <v>235</v>
      </c>
      <c r="AI775" s="12" t="str">
        <f>IF(AH775="","",IFERROR(RIGHT("0000"&amp;AH775,4)&amp;" - "&amp;UPPER(_xlfn.XLOOKUP(RIGHT("0000"&amp;AH775,4),CODEBOOK_CAP!$C$2:$C$212,CODEBOOK_CAP!$D$2:$D$212)),"Código CAP não encontrado"))</f>
        <v>0322 - ESTRUTURAS, HOSPITAIS, CLÍNICAS</v>
      </c>
      <c r="AJ775" s="12" t="str">
        <f>IF(AH775="","",IFERROR(_xlfn.XLOOKUP(RIGHT("0000"&amp;AH775,4),CODEBOOK_CAP!$C$2:$C$212,CODEBOOK_CAP!$E$2:$E$212),"Código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75" s="22" t="s">
        <v>79</v>
      </c>
      <c r="AL775" s="26" t="s">
        <v>4197</v>
      </c>
      <c r="AM775" s="22" t="s">
        <v>79</v>
      </c>
      <c r="AN775" s="22" t="s">
        <v>79</v>
      </c>
      <c r="AO775" s="12" t="s">
        <v>4198</v>
      </c>
      <c r="AP775" s="22" t="s">
        <v>77</v>
      </c>
      <c r="AQ775" s="12"/>
      <c r="AR775" s="22" t="s">
        <v>77</v>
      </c>
      <c r="AS775" s="10"/>
      <c r="AT775" s="2" t="s">
        <v>1814</v>
      </c>
      <c r="AU775" s="12" t="s">
        <v>83</v>
      </c>
      <c r="AV775" s="3" t="n">
        <v>46224</v>
      </c>
      <c r="AW775" s="21"/>
      <c r="AY775" s="1"/>
      <c r="BA775" s="1"/>
      <c r="BB775" s="1"/>
    </row>
    <row r="776" ht="210" customHeight="1">
      <c r="A776" s="20" t="s">
        <v>4199</v>
      </c>
      <c r="B776" s="20" t="n">
        <v>2023</v>
      </c>
      <c r="C776" s="20" t="n">
        <v>302</v>
      </c>
      <c r="D776" s="20" t="s">
        <v>50</v>
      </c>
      <c r="E776" s="20" t="s">
        <v>4087</v>
      </c>
      <c r="F776" s="20" t="s">
        <v>588</v>
      </c>
      <c r="G776" s="20" t="s">
        <v>86</v>
      </c>
      <c r="H776" s="20" t="s">
        <v>4089</v>
      </c>
      <c r="I776" s="20"/>
      <c r="J776" s="20" t="s">
        <v>4200</v>
      </c>
      <c r="K776" s="20" t="s">
        <v>4201</v>
      </c>
      <c r="L776" s="20" t="s">
        <v>785</v>
      </c>
      <c r="M776" s="20" t="s">
        <v>786</v>
      </c>
      <c r="N776" s="20" t="s">
        <v>787</v>
      </c>
      <c r="O776" s="20" t="s">
        <v>788</v>
      </c>
      <c r="P776" s="20" t="s">
        <v>517</v>
      </c>
      <c r="Q776" s="20" t="s">
        <v>893</v>
      </c>
      <c r="R776" s="20" t="s">
        <v>894</v>
      </c>
      <c r="S776" s="20" t="s">
        <v>895</v>
      </c>
      <c r="T776" s="20" t="s">
        <v>792</v>
      </c>
      <c r="U776" s="20" t="s">
        <v>793</v>
      </c>
      <c r="V776" s="20" t="s">
        <v>1152</v>
      </c>
      <c r="W776" s="20" t="s">
        <v>68</v>
      </c>
      <c r="X776" s="20" t="s">
        <v>69</v>
      </c>
      <c r="Y776" s="20" t="s">
        <v>70</v>
      </c>
      <c r="Z776" s="20" t="s">
        <v>794</v>
      </c>
      <c r="AA776" s="20" t="s">
        <v>388</v>
      </c>
      <c r="AB776" s="20" t="s">
        <v>388</v>
      </c>
      <c r="AC776" s="20" t="s">
        <v>388</v>
      </c>
      <c r="AD776" s="20" t="s">
        <v>388</v>
      </c>
      <c r="AE776" s="20"/>
      <c r="AF776" s="9" t="n">
        <v>0</v>
      </c>
      <c r="AG776" s="12" t="n">
        <v>0</v>
      </c>
      <c r="AH776" s="22" t="s">
        <v>899</v>
      </c>
      <c r="AI776" s="12" t="str">
        <f>IF(AH776="","",IFERROR(RIGHT("0000"&amp;AH776,4)&amp;" - "&amp;UPPER(_xlfn.XLOOKUP(RIGHT("0000"&amp;AH776,4),CODEBOOK_CAP!$C$2:$C$212,CODEBOOK_CAP!$D$2:$D$212)),"Código CAP não encontrado"))</f>
        <v>0602 - ENSINO BÁSICO, FUNDAMENTAL E MÉDIO</v>
      </c>
      <c r="AJ776" s="12" t="str">
        <f>IF(AH776="","",IFERROR(_xlfn.XLOOKUP(RIGHT("0000"&amp;AH776,4),CODEBOOK_CAP!$C$2:$C$212,CODEBOOK_CAP!$E$2:$E$212),"Código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776" s="22" t="s">
        <v>79</v>
      </c>
      <c r="AL776" s="26" t="s">
        <v>4202</v>
      </c>
      <c r="AM776" s="22" t="s">
        <v>79</v>
      </c>
      <c r="AN776" s="22" t="s">
        <v>79</v>
      </c>
      <c r="AO776" s="12" t="s">
        <v>4203</v>
      </c>
      <c r="AP776" s="22" t="s">
        <v>79</v>
      </c>
      <c r="AQ776" s="12" t="s">
        <v>901</v>
      </c>
      <c r="AR776" s="22" t="s">
        <v>77</v>
      </c>
      <c r="AS776" s="10"/>
      <c r="AT776" s="2" t="s">
        <v>1814</v>
      </c>
      <c r="AU776" s="12" t="s">
        <v>83</v>
      </c>
      <c r="AV776" s="3" t="n">
        <v>46224</v>
      </c>
      <c r="AW776" s="21"/>
      <c r="AY776" s="1"/>
      <c r="BA776" s="1"/>
      <c r="BB776" s="1"/>
    </row>
    <row r="777" ht="165" customHeight="1">
      <c r="A777" s="20" t="s">
        <v>4204</v>
      </c>
      <c r="B777" s="20" t="n">
        <v>2023</v>
      </c>
      <c r="C777" s="20" t="n">
        <v>6</v>
      </c>
      <c r="D777" s="20" t="s">
        <v>50</v>
      </c>
      <c r="E777" s="20" t="s">
        <v>4205</v>
      </c>
      <c r="F777" s="20" t="s">
        <v>4206</v>
      </c>
      <c r="G777" s="20" t="s">
        <v>86</v>
      </c>
      <c r="H777" s="20" t="s">
        <v>4207</v>
      </c>
      <c r="I777" s="20"/>
      <c r="J777" s="20" t="s">
        <v>4208</v>
      </c>
      <c r="K777" s="20" t="s">
        <v>1267</v>
      </c>
      <c r="L777" s="20" t="s">
        <v>57</v>
      </c>
      <c r="M777" s="20" t="s">
        <v>58</v>
      </c>
      <c r="N777" s="20" t="s">
        <v>59</v>
      </c>
      <c r="O777" s="20" t="s">
        <v>60</v>
      </c>
      <c r="P777" s="20" t="s">
        <v>111</v>
      </c>
      <c r="Q777" s="20" t="s">
        <v>112</v>
      </c>
      <c r="R777" s="20" t="s">
        <v>113</v>
      </c>
      <c r="S777" s="20" t="s">
        <v>114</v>
      </c>
      <c r="T777" s="20" t="s">
        <v>115</v>
      </c>
      <c r="U777" s="20" t="s">
        <v>114</v>
      </c>
      <c r="V777" s="20" t="s">
        <v>854</v>
      </c>
      <c r="W777" s="20" t="s">
        <v>96</v>
      </c>
      <c r="X777" s="20" t="s">
        <v>97</v>
      </c>
      <c r="Y777" s="20" t="s">
        <v>70</v>
      </c>
      <c r="Z777" s="20" t="s">
        <v>98</v>
      </c>
      <c r="AA777" s="20" t="s">
        <v>409</v>
      </c>
      <c r="AB777" s="20" t="s">
        <v>4209</v>
      </c>
      <c r="AC777" s="20" t="s">
        <v>4209</v>
      </c>
      <c r="AD777" s="20" t="s">
        <v>4209</v>
      </c>
      <c r="AE777" s="20"/>
      <c r="AF777" s="9" t="n">
        <v>1</v>
      </c>
      <c r="AG777" s="12" t="n">
        <v>0</v>
      </c>
      <c r="AH777" s="22" t="s">
        <v>1269</v>
      </c>
      <c r="AI777" s="12" t="str">
        <f>IF(AH777="","",IFERROR(RIGHT("0000"&amp;AH777,4)&amp;" - "&amp;UPPER(_xlfn.XLOOKUP(RIGHT("0000"&amp;AH777,4),CODEBOOK_CAP!$C$2:$C$212,CODEBOOK_CAP!$D$2:$D$212)),"Código CAP não encontrado"))</f>
        <v>0405 - CONTROLE DE DOENÇAS ANIMAIS</v>
      </c>
      <c r="AJ777" s="12" t="str">
        <f>IF(AH777="","",IFERROR(_xlfn.XLOOKUP(RIGHT("0000"&amp;AH777,4),CODEBOOK_CAP!$C$2:$C$212,CODEBOOK_CAP!$E$2:$E$212),"Código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77" s="22" t="s">
        <v>77</v>
      </c>
      <c r="AL777" s="26"/>
      <c r="AM777" s="22" t="s">
        <v>77</v>
      </c>
      <c r="AN777" s="22" t="s">
        <v>77</v>
      </c>
      <c r="AO777" s="12"/>
      <c r="AP777" s="22" t="s">
        <v>79</v>
      </c>
      <c r="AQ777" s="12" t="s">
        <v>2150</v>
      </c>
      <c r="AR777" s="22" t="s">
        <v>77</v>
      </c>
      <c r="AS777" s="10"/>
      <c r="AT777" s="2" t="s">
        <v>1814</v>
      </c>
      <c r="AU777" s="12" t="s">
        <v>83</v>
      </c>
      <c r="AV777" s="3" t="n">
        <v>46224</v>
      </c>
      <c r="AW777" s="21"/>
      <c r="AY777" s="1"/>
      <c r="BA777" s="1"/>
      <c r="BB777" s="1"/>
    </row>
    <row r="778" ht="165" customHeight="1">
      <c r="A778" s="20" t="s">
        <v>4210</v>
      </c>
      <c r="B778" s="20" t="n">
        <v>2023</v>
      </c>
      <c r="C778" s="20" t="n">
        <v>7</v>
      </c>
      <c r="D778" s="20" t="s">
        <v>50</v>
      </c>
      <c r="E778" s="20" t="s">
        <v>4205</v>
      </c>
      <c r="F778" s="20" t="s">
        <v>4211</v>
      </c>
      <c r="G778" s="20" t="s">
        <v>86</v>
      </c>
      <c r="H778" s="20" t="s">
        <v>4207</v>
      </c>
      <c r="I778" s="20"/>
      <c r="J778" s="20" t="s">
        <v>4212</v>
      </c>
      <c r="K778" s="20" t="s">
        <v>1267</v>
      </c>
      <c r="L778" s="20" t="s">
        <v>57</v>
      </c>
      <c r="M778" s="20" t="s">
        <v>58</v>
      </c>
      <c r="N778" s="20" t="s">
        <v>59</v>
      </c>
      <c r="O778" s="20" t="s">
        <v>60</v>
      </c>
      <c r="P778" s="20" t="s">
        <v>111</v>
      </c>
      <c r="Q778" s="20" t="s">
        <v>112</v>
      </c>
      <c r="R778" s="20" t="s">
        <v>113</v>
      </c>
      <c r="S778" s="20" t="s">
        <v>114</v>
      </c>
      <c r="T778" s="20" t="s">
        <v>115</v>
      </c>
      <c r="U778" s="20" t="s">
        <v>114</v>
      </c>
      <c r="V778" s="20" t="s">
        <v>854</v>
      </c>
      <c r="W778" s="20" t="s">
        <v>96</v>
      </c>
      <c r="X778" s="20" t="s">
        <v>97</v>
      </c>
      <c r="Y778" s="20" t="s">
        <v>70</v>
      </c>
      <c r="Z778" s="20" t="s">
        <v>98</v>
      </c>
      <c r="AA778" s="20" t="s">
        <v>409</v>
      </c>
      <c r="AB778" s="20" t="s">
        <v>4213</v>
      </c>
      <c r="AC778" s="20" t="s">
        <v>4213</v>
      </c>
      <c r="AD778" s="20" t="s">
        <v>4213</v>
      </c>
      <c r="AE778" s="20" t="s">
        <v>1800</v>
      </c>
      <c r="AF778" s="9" t="n">
        <v>1</v>
      </c>
      <c r="AG778" s="12" t="n">
        <v>0</v>
      </c>
      <c r="AH778" s="22" t="s">
        <v>1269</v>
      </c>
      <c r="AI778" s="12" t="str">
        <f>IF(AH778="","",IFERROR(RIGHT("0000"&amp;AH778,4)&amp;" - "&amp;UPPER(_xlfn.XLOOKUP(RIGHT("0000"&amp;AH778,4),CODEBOOK_CAP!$C$2:$C$212,CODEBOOK_CAP!$D$2:$D$212)),"Código CAP não encontrado"))</f>
        <v>0405 - CONTROLE DE DOENÇAS ANIMAIS</v>
      </c>
      <c r="AJ778" s="12" t="str">
        <f>IF(AH778="","",IFERROR(_xlfn.XLOOKUP(RIGHT("0000"&amp;AH778,4),CODEBOOK_CAP!$C$2:$C$212,CODEBOOK_CAP!$E$2:$E$212),"Código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78" s="22" t="n">
        <v>1</v>
      </c>
      <c r="AL778" s="26" t="s">
        <v>10094</v>
      </c>
      <c r="AM778" s="22" t="n">
        <v>1</v>
      </c>
      <c r="AN778" s="22" t="n">
        <v>1</v>
      </c>
      <c r="AO778" s="12" t="s">
        <v>10095</v>
      </c>
      <c r="AP778" s="22" t="s">
        <v>79</v>
      </c>
      <c r="AQ778" s="12" t="s">
        <v>1270</v>
      </c>
      <c r="AR778" s="22" t="s">
        <v>79</v>
      </c>
      <c r="AS778" s="10" t="s">
        <v>1800</v>
      </c>
      <c r="AT778" s="2" t="s">
        <v>1814</v>
      </c>
      <c r="AU778" s="12" t="s">
        <v>83</v>
      </c>
      <c r="AV778" s="3" t="n">
        <v>46224</v>
      </c>
      <c r="AW778" s="21"/>
      <c r="AY778" s="1"/>
      <c r="BA778" s="1"/>
      <c r="BB778" s="1"/>
    </row>
    <row r="779" ht="165" customHeight="1">
      <c r="A779" s="20" t="s">
        <v>4214</v>
      </c>
      <c r="B779" s="20" t="n">
        <v>2023</v>
      </c>
      <c r="C779" s="20" t="n">
        <v>8</v>
      </c>
      <c r="D779" s="20" t="s">
        <v>50</v>
      </c>
      <c r="E779" s="20" t="s">
        <v>4205</v>
      </c>
      <c r="F779" s="20" t="s">
        <v>4215</v>
      </c>
      <c r="G779" s="20" t="s">
        <v>86</v>
      </c>
      <c r="H779" s="20" t="s">
        <v>4207</v>
      </c>
      <c r="I779" s="20"/>
      <c r="J779" s="20" t="s">
        <v>4216</v>
      </c>
      <c r="K779" s="20" t="s">
        <v>2137</v>
      </c>
      <c r="L779" s="20" t="s">
        <v>1254</v>
      </c>
      <c r="M779" s="20" t="s">
        <v>1255</v>
      </c>
      <c r="N779" s="20" t="s">
        <v>660</v>
      </c>
      <c r="O779" s="20" t="s">
        <v>661</v>
      </c>
      <c r="P779" s="20" t="s">
        <v>2138</v>
      </c>
      <c r="Q779" s="20" t="s">
        <v>2139</v>
      </c>
      <c r="R779" s="20" t="s">
        <v>2140</v>
      </c>
      <c r="S779" s="20" t="s">
        <v>2141</v>
      </c>
      <c r="T779" s="20" t="s">
        <v>2142</v>
      </c>
      <c r="U779" s="20" t="s">
        <v>2143</v>
      </c>
      <c r="V779" s="20" t="s">
        <v>95</v>
      </c>
      <c r="W779" s="20" t="s">
        <v>96</v>
      </c>
      <c r="X779" s="20" t="s">
        <v>97</v>
      </c>
      <c r="Y779" s="20" t="s">
        <v>70</v>
      </c>
      <c r="Z779" s="20" t="s">
        <v>1260</v>
      </c>
      <c r="AA779" s="20" t="s">
        <v>160</v>
      </c>
      <c r="AB779" s="20" t="s">
        <v>160</v>
      </c>
      <c r="AC779" s="20" t="s">
        <v>160</v>
      </c>
      <c r="AD779" s="20" t="s">
        <v>160</v>
      </c>
      <c r="AE779" s="20"/>
      <c r="AF779" s="9" t="n">
        <v>0</v>
      </c>
      <c r="AG779" s="12" t="n">
        <v>0</v>
      </c>
      <c r="AH779" s="22" t="s">
        <v>1269</v>
      </c>
      <c r="AI779" s="12" t="str">
        <f>IF(AH779="","",IFERROR(RIGHT("0000"&amp;AH779,4)&amp;" - "&amp;UPPER(_xlfn.XLOOKUP(RIGHT("0000"&amp;AH779,4),CODEBOOK_CAP!$C$2:$C$212,CODEBOOK_CAP!$D$2:$D$212)),"Código CAP não encontrado"))</f>
        <v>0405 - CONTROLE DE DOENÇAS ANIMAIS</v>
      </c>
      <c r="AJ779" s="12" t="str">
        <f>IF(AH779="","",IFERROR(_xlfn.XLOOKUP(RIGHT("0000"&amp;AH779,4),CODEBOOK_CAP!$C$2:$C$212,CODEBOOK_CAP!$E$2:$E$212),"Código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779" s="22" t="s">
        <v>77</v>
      </c>
      <c r="AL779" s="26"/>
      <c r="AM779" s="22" t="s">
        <v>77</v>
      </c>
      <c r="AN779" s="22" t="s">
        <v>77</v>
      </c>
      <c r="AO779" s="12"/>
      <c r="AP779" s="22" t="s">
        <v>79</v>
      </c>
      <c r="AQ779" s="12" t="s">
        <v>1270</v>
      </c>
      <c r="AR779" s="22" t="s">
        <v>77</v>
      </c>
      <c r="AS779" s="10"/>
      <c r="AT779" s="2" t="s">
        <v>1814</v>
      </c>
      <c r="AU779" s="12" t="s">
        <v>83</v>
      </c>
      <c r="AV779" s="3" t="n">
        <v>46224</v>
      </c>
      <c r="AW779" s="21"/>
      <c r="AY779" s="1"/>
      <c r="BA779" s="1"/>
      <c r="BB779" s="1"/>
    </row>
    <row r="780" ht="255" customHeight="1">
      <c r="A780" s="20" t="s">
        <v>4217</v>
      </c>
      <c r="B780" s="20" t="n">
        <v>2023</v>
      </c>
      <c r="C780" s="20" t="n">
        <v>9</v>
      </c>
      <c r="D780" s="20" t="s">
        <v>50</v>
      </c>
      <c r="E780" s="20" t="s">
        <v>4205</v>
      </c>
      <c r="F780" s="20" t="s">
        <v>4218</v>
      </c>
      <c r="G780" s="20" t="s">
        <v>86</v>
      </c>
      <c r="H780" s="20" t="s">
        <v>4207</v>
      </c>
      <c r="I780" s="20"/>
      <c r="J780" s="20" t="s">
        <v>4219</v>
      </c>
      <c r="K780" s="20" t="s">
        <v>1189</v>
      </c>
      <c r="L780" s="20" t="s">
        <v>208</v>
      </c>
      <c r="M780" s="20" t="s">
        <v>209</v>
      </c>
      <c r="N780" s="20" t="s">
        <v>210</v>
      </c>
      <c r="O780" s="20" t="s">
        <v>211</v>
      </c>
      <c r="P780" s="20" t="s">
        <v>212</v>
      </c>
      <c r="Q780" s="20" t="s">
        <v>213</v>
      </c>
      <c r="R780" s="20" t="s">
        <v>251</v>
      </c>
      <c r="S780" s="20" t="s">
        <v>252</v>
      </c>
      <c r="T780" s="20" t="s">
        <v>1190</v>
      </c>
      <c r="U780" s="20" t="s">
        <v>1191</v>
      </c>
      <c r="V780" s="20" t="s">
        <v>67</v>
      </c>
      <c r="W780" s="20" t="s">
        <v>68</v>
      </c>
      <c r="X780" s="20" t="s">
        <v>69</v>
      </c>
      <c r="Y780" s="20" t="s">
        <v>70</v>
      </c>
      <c r="Z780" s="20" t="s">
        <v>177</v>
      </c>
      <c r="AA780" s="20" t="s">
        <v>1399</v>
      </c>
      <c r="AB780" s="20" t="s">
        <v>4220</v>
      </c>
      <c r="AC780" s="20" t="s">
        <v>4220</v>
      </c>
      <c r="AD780" s="20" t="s">
        <v>4220</v>
      </c>
      <c r="AE780" s="20"/>
      <c r="AF780" s="9" t="n">
        <v>0</v>
      </c>
      <c r="AG780" s="12" t="n">
        <v>0</v>
      </c>
      <c r="AH780" s="22" t="s">
        <v>219</v>
      </c>
      <c r="AI780" s="12" t="str">
        <f>IF(AH780="","",IFERROR(RIGHT("0000"&amp;AH780,4)&amp;" - "&amp;UPPER(_xlfn.XLOOKUP(RIGHT("0000"&amp;AH780,4),CODEBOOK_CAP!$C$2:$C$212,CODEBOOK_CAP!$D$2:$D$212)),"Código CAP não encontrado"))</f>
        <v>1002 - CARROS, TRÂNSITO, CONSTRUÇÃO E MANUTENÇÃO DE RUAS E ESTRADAS</v>
      </c>
      <c r="AJ780" s="12" t="str">
        <f>IF(AH780="","",IFERROR(_xlfn.XLOOKUP(RIGHT("0000"&amp;AH780,4),CODEBOOK_CAP!$C$2:$C$212,CODEBOOK_CAP!$E$2:$E$212),"Código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0" s="22" t="s">
        <v>79</v>
      </c>
      <c r="AL780" s="26" t="s">
        <v>4221</v>
      </c>
      <c r="AM780" s="22" t="s">
        <v>79</v>
      </c>
      <c r="AN780" s="22" t="s">
        <v>79</v>
      </c>
      <c r="AO780" s="12" t="s">
        <v>4222</v>
      </c>
      <c r="AP780" s="22" t="s">
        <v>77</v>
      </c>
      <c r="AQ780" s="12"/>
      <c r="AR780" s="22" t="s">
        <v>77</v>
      </c>
      <c r="AS780" s="10"/>
      <c r="AT780" s="2" t="s">
        <v>1814</v>
      </c>
      <c r="AU780" s="12" t="s">
        <v>83</v>
      </c>
      <c r="AV780" s="3" t="n">
        <v>46224</v>
      </c>
      <c r="AW780" s="21"/>
      <c r="AY780" s="1"/>
      <c r="BA780" s="1"/>
      <c r="BB780" s="1"/>
    </row>
    <row r="781" ht="255" customHeight="1">
      <c r="A781" s="20" t="s">
        <v>4223</v>
      </c>
      <c r="B781" s="20" t="n">
        <v>2023</v>
      </c>
      <c r="C781" s="20" t="n">
        <v>10</v>
      </c>
      <c r="D781" s="20" t="s">
        <v>50</v>
      </c>
      <c r="E781" s="20" t="s">
        <v>4205</v>
      </c>
      <c r="F781" s="20" t="s">
        <v>4224</v>
      </c>
      <c r="G781" s="20" t="s">
        <v>183</v>
      </c>
      <c r="H781" s="20" t="s">
        <v>4207</v>
      </c>
      <c r="I781" s="20"/>
      <c r="J781" s="20" t="s">
        <v>4225</v>
      </c>
      <c r="K781" s="20" t="s">
        <v>1189</v>
      </c>
      <c r="L781" s="20" t="s">
        <v>208</v>
      </c>
      <c r="M781" s="20" t="s">
        <v>209</v>
      </c>
      <c r="N781" s="20" t="s">
        <v>210</v>
      </c>
      <c r="O781" s="20" t="s">
        <v>211</v>
      </c>
      <c r="P781" s="20" t="s">
        <v>212</v>
      </c>
      <c r="Q781" s="20" t="s">
        <v>213</v>
      </c>
      <c r="R781" s="20" t="s">
        <v>251</v>
      </c>
      <c r="S781" s="20" t="s">
        <v>252</v>
      </c>
      <c r="T781" s="20" t="s">
        <v>1190</v>
      </c>
      <c r="U781" s="20" t="s">
        <v>1191</v>
      </c>
      <c r="V781" s="20" t="s">
        <v>67</v>
      </c>
      <c r="W781" s="20" t="s">
        <v>68</v>
      </c>
      <c r="X781" s="20" t="s">
        <v>69</v>
      </c>
      <c r="Y781" s="20" t="s">
        <v>70</v>
      </c>
      <c r="Z781" s="20" t="s">
        <v>177</v>
      </c>
      <c r="AA781" s="20" t="s">
        <v>292</v>
      </c>
      <c r="AB781" s="20" t="s">
        <v>77</v>
      </c>
      <c r="AC781" s="20" t="s">
        <v>77</v>
      </c>
      <c r="AD781" s="20" t="s">
        <v>77</v>
      </c>
      <c r="AE781" s="20"/>
      <c r="AF781" s="9" t="n">
        <v>0</v>
      </c>
      <c r="AG781" s="12" t="n">
        <v>0</v>
      </c>
      <c r="AH781" s="22" t="s">
        <v>219</v>
      </c>
      <c r="AI781" s="12" t="str">
        <f>IF(AH781="","",IFERROR(RIGHT("0000"&amp;AH781,4)&amp;" - "&amp;UPPER(_xlfn.XLOOKUP(RIGHT("0000"&amp;AH781,4),CODEBOOK_CAP!$C$2:$C$212,CODEBOOK_CAP!$D$2:$D$212)),"Código CAP não encontrado"))</f>
        <v>1002 - CARROS, TRÂNSITO, CONSTRUÇÃO E MANUTENÇÃO DE RUAS E ESTRADAS</v>
      </c>
      <c r="AJ781" s="12" t="str">
        <f>IF(AH781="","",IFERROR(_xlfn.XLOOKUP(RIGHT("0000"&amp;AH781,4),CODEBOOK_CAP!$C$2:$C$212,CODEBOOK_CAP!$E$2:$E$212),"Código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1" s="22" t="s">
        <v>79</v>
      </c>
      <c r="AL781" s="26" t="s">
        <v>4226</v>
      </c>
      <c r="AM781" s="22" t="s">
        <v>79</v>
      </c>
      <c r="AN781" s="22" t="s">
        <v>79</v>
      </c>
      <c r="AO781" s="12" t="s">
        <v>4227</v>
      </c>
      <c r="AP781" s="22" t="s">
        <v>77</v>
      </c>
      <c r="AQ781" s="12"/>
      <c r="AR781" s="22" t="s">
        <v>77</v>
      </c>
      <c r="AS781" s="10"/>
      <c r="AT781" s="2" t="s">
        <v>1814</v>
      </c>
      <c r="AU781" s="12" t="s">
        <v>83</v>
      </c>
      <c r="AV781" s="3" t="n">
        <v>46224</v>
      </c>
      <c r="AW781" s="21"/>
      <c r="AY781" s="1"/>
      <c r="BA781" s="1"/>
      <c r="BB781" s="1"/>
    </row>
    <row r="782" ht="255" customHeight="1">
      <c r="A782" s="20" t="s">
        <v>4228</v>
      </c>
      <c r="B782" s="20" t="n">
        <v>2023</v>
      </c>
      <c r="C782" s="20" t="n">
        <v>11</v>
      </c>
      <c r="D782" s="20" t="s">
        <v>50</v>
      </c>
      <c r="E782" s="20" t="s">
        <v>4205</v>
      </c>
      <c r="F782" s="20" t="s">
        <v>4229</v>
      </c>
      <c r="G782" s="20" t="s">
        <v>86</v>
      </c>
      <c r="H782" s="20" t="s">
        <v>4207</v>
      </c>
      <c r="I782" s="20"/>
      <c r="J782" s="20" t="s">
        <v>4230</v>
      </c>
      <c r="K782" s="20" t="s">
        <v>1189</v>
      </c>
      <c r="L782" s="20" t="s">
        <v>208</v>
      </c>
      <c r="M782" s="20" t="s">
        <v>209</v>
      </c>
      <c r="N782" s="20" t="s">
        <v>210</v>
      </c>
      <c r="O782" s="20" t="s">
        <v>211</v>
      </c>
      <c r="P782" s="20" t="s">
        <v>212</v>
      </c>
      <c r="Q782" s="20" t="s">
        <v>213</v>
      </c>
      <c r="R782" s="20" t="s">
        <v>251</v>
      </c>
      <c r="S782" s="20" t="s">
        <v>252</v>
      </c>
      <c r="T782" s="20" t="s">
        <v>1190</v>
      </c>
      <c r="U782" s="20" t="s">
        <v>1191</v>
      </c>
      <c r="V782" s="20" t="s">
        <v>67</v>
      </c>
      <c r="W782" s="20" t="s">
        <v>68</v>
      </c>
      <c r="X782" s="20" t="s">
        <v>69</v>
      </c>
      <c r="Y782" s="20" t="s">
        <v>70</v>
      </c>
      <c r="Z782" s="20" t="s">
        <v>177</v>
      </c>
      <c r="AA782" s="20" t="s">
        <v>388</v>
      </c>
      <c r="AB782" s="20" t="s">
        <v>4231</v>
      </c>
      <c r="AC782" s="20" t="s">
        <v>4231</v>
      </c>
      <c r="AD782" s="20" t="s">
        <v>4231</v>
      </c>
      <c r="AE782" s="20"/>
      <c r="AF782" s="9" t="n">
        <v>0</v>
      </c>
      <c r="AG782" s="12" t="n">
        <v>0</v>
      </c>
      <c r="AH782" s="22" t="s">
        <v>219</v>
      </c>
      <c r="AI782" s="12" t="str">
        <f>IF(AH782="","",IFERROR(RIGHT("0000"&amp;AH782,4)&amp;" - "&amp;UPPER(_xlfn.XLOOKUP(RIGHT("0000"&amp;AH782,4),CODEBOOK_CAP!$C$2:$C$212,CODEBOOK_CAP!$D$2:$D$212)),"Código CAP não encontrado"))</f>
        <v>1002 - CARROS, TRÂNSITO, CONSTRUÇÃO E MANUTENÇÃO DE RUAS E ESTRADAS</v>
      </c>
      <c r="AJ782" s="12" t="str">
        <f>IF(AH782="","",IFERROR(_xlfn.XLOOKUP(RIGHT("0000"&amp;AH782,4),CODEBOOK_CAP!$C$2:$C$212,CODEBOOK_CAP!$E$2:$E$212),"Código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2" s="22" t="s">
        <v>79</v>
      </c>
      <c r="AL782" s="26" t="s">
        <v>4232</v>
      </c>
      <c r="AM782" s="22" t="s">
        <v>79</v>
      </c>
      <c r="AN782" s="22" t="s">
        <v>79</v>
      </c>
      <c r="AO782" s="12" t="s">
        <v>4233</v>
      </c>
      <c r="AP782" s="22" t="s">
        <v>77</v>
      </c>
      <c r="AQ782" s="12"/>
      <c r="AR782" s="22" t="s">
        <v>77</v>
      </c>
      <c r="AS782" s="10"/>
      <c r="AT782" s="2" t="s">
        <v>1814</v>
      </c>
      <c r="AU782" s="12" t="s">
        <v>83</v>
      </c>
      <c r="AV782" s="3" t="n">
        <v>46224</v>
      </c>
      <c r="AW782" s="21"/>
      <c r="AY782" s="1"/>
      <c r="BA782" s="1"/>
      <c r="BB782" s="1"/>
    </row>
    <row r="783" ht="255" customHeight="1">
      <c r="A783" s="20" t="s">
        <v>4234</v>
      </c>
      <c r="B783" s="20" t="n">
        <v>2023</v>
      </c>
      <c r="C783" s="20" t="n">
        <v>12</v>
      </c>
      <c r="D783" s="20" t="s">
        <v>50</v>
      </c>
      <c r="E783" s="20" t="s">
        <v>4205</v>
      </c>
      <c r="F783" s="20" t="s">
        <v>4235</v>
      </c>
      <c r="G783" s="20" t="s">
        <v>86</v>
      </c>
      <c r="H783" s="20" t="s">
        <v>4207</v>
      </c>
      <c r="I783" s="20"/>
      <c r="J783" s="20" t="s">
        <v>4236</v>
      </c>
      <c r="K783" s="20" t="s">
        <v>1189</v>
      </c>
      <c r="L783" s="20" t="s">
        <v>208</v>
      </c>
      <c r="M783" s="20" t="s">
        <v>209</v>
      </c>
      <c r="N783" s="20" t="s">
        <v>210</v>
      </c>
      <c r="O783" s="20" t="s">
        <v>211</v>
      </c>
      <c r="P783" s="20" t="s">
        <v>212</v>
      </c>
      <c r="Q783" s="20" t="s">
        <v>213</v>
      </c>
      <c r="R783" s="20" t="s">
        <v>251</v>
      </c>
      <c r="S783" s="20" t="s">
        <v>252</v>
      </c>
      <c r="T783" s="20" t="s">
        <v>1190</v>
      </c>
      <c r="U783" s="20" t="s">
        <v>1191</v>
      </c>
      <c r="V783" s="20" t="s">
        <v>67</v>
      </c>
      <c r="W783" s="20" t="s">
        <v>68</v>
      </c>
      <c r="X783" s="20" t="s">
        <v>69</v>
      </c>
      <c r="Y783" s="20" t="s">
        <v>70</v>
      </c>
      <c r="Z783" s="20" t="s">
        <v>177</v>
      </c>
      <c r="AA783" s="20" t="s">
        <v>4237</v>
      </c>
      <c r="AB783" s="20" t="s">
        <v>4238</v>
      </c>
      <c r="AC783" s="20" t="s">
        <v>4238</v>
      </c>
      <c r="AD783" s="20" t="s">
        <v>4238</v>
      </c>
      <c r="AE783" s="20"/>
      <c r="AF783" s="9" t="n">
        <v>0</v>
      </c>
      <c r="AG783" s="12" t="n">
        <v>0</v>
      </c>
      <c r="AH783" s="22" t="s">
        <v>219</v>
      </c>
      <c r="AI783" s="12" t="str">
        <f>IF(AH783="","",IFERROR(RIGHT("0000"&amp;AH783,4)&amp;" - "&amp;UPPER(_xlfn.XLOOKUP(RIGHT("0000"&amp;AH783,4),CODEBOOK_CAP!$C$2:$C$212,CODEBOOK_CAP!$D$2:$D$212)),"Código CAP não encontrado"))</f>
        <v>1002 - CARROS, TRÂNSITO, CONSTRUÇÃO E MANUTENÇÃO DE RUAS E ESTRADAS</v>
      </c>
      <c r="AJ783" s="12" t="str">
        <f>IF(AH783="","",IFERROR(_xlfn.XLOOKUP(RIGHT("0000"&amp;AH783,4),CODEBOOK_CAP!$C$2:$C$212,CODEBOOK_CAP!$E$2:$E$212),"Código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3" s="22" t="s">
        <v>79</v>
      </c>
      <c r="AL783" s="26" t="s">
        <v>4239</v>
      </c>
      <c r="AM783" s="22" t="s">
        <v>79</v>
      </c>
      <c r="AN783" s="22" t="s">
        <v>79</v>
      </c>
      <c r="AO783" s="26" t="s">
        <v>4239</v>
      </c>
      <c r="AP783" s="22" t="s">
        <v>77</v>
      </c>
      <c r="AQ783" s="12"/>
      <c r="AR783" s="22" t="s">
        <v>77</v>
      </c>
      <c r="AS783" s="10"/>
      <c r="AT783" s="2" t="s">
        <v>1814</v>
      </c>
      <c r="AU783" s="12" t="s">
        <v>83</v>
      </c>
      <c r="AV783" s="3" t="n">
        <v>46224</v>
      </c>
      <c r="AW783" s="21"/>
      <c r="AY783" s="1"/>
      <c r="BA783" s="1"/>
      <c r="BB783" s="1"/>
    </row>
    <row r="784" ht="255" customHeight="1">
      <c r="A784" s="20" t="s">
        <v>4240</v>
      </c>
      <c r="B784" s="20" t="n">
        <v>2023</v>
      </c>
      <c r="C784" s="20" t="n">
        <v>13</v>
      </c>
      <c r="D784" s="20" t="s">
        <v>50</v>
      </c>
      <c r="E784" s="20" t="s">
        <v>4205</v>
      </c>
      <c r="F784" s="20" t="s">
        <v>4241</v>
      </c>
      <c r="G784" s="20" t="s">
        <v>86</v>
      </c>
      <c r="H784" s="20" t="s">
        <v>4207</v>
      </c>
      <c r="I784" s="20"/>
      <c r="J784" s="20" t="s">
        <v>4242</v>
      </c>
      <c r="K784" s="20" t="s">
        <v>1189</v>
      </c>
      <c r="L784" s="20" t="s">
        <v>208</v>
      </c>
      <c r="M784" s="20" t="s">
        <v>209</v>
      </c>
      <c r="N784" s="20" t="s">
        <v>210</v>
      </c>
      <c r="O784" s="20" t="s">
        <v>211</v>
      </c>
      <c r="P784" s="20" t="s">
        <v>212</v>
      </c>
      <c r="Q784" s="20" t="s">
        <v>213</v>
      </c>
      <c r="R784" s="20" t="s">
        <v>251</v>
      </c>
      <c r="S784" s="20" t="s">
        <v>252</v>
      </c>
      <c r="T784" s="20" t="s">
        <v>1190</v>
      </c>
      <c r="U784" s="20" t="s">
        <v>1191</v>
      </c>
      <c r="V784" s="20" t="s">
        <v>67</v>
      </c>
      <c r="W784" s="20" t="s">
        <v>68</v>
      </c>
      <c r="X784" s="20" t="s">
        <v>69</v>
      </c>
      <c r="Y784" s="20" t="s">
        <v>70</v>
      </c>
      <c r="Z784" s="20" t="s">
        <v>177</v>
      </c>
      <c r="AA784" s="20" t="s">
        <v>1568</v>
      </c>
      <c r="AB784" s="20" t="s">
        <v>4243</v>
      </c>
      <c r="AC784" s="20" t="s">
        <v>4243</v>
      </c>
      <c r="AD784" s="20" t="s">
        <v>4243</v>
      </c>
      <c r="AE784" s="20"/>
      <c r="AF784" s="9" t="n">
        <v>0</v>
      </c>
      <c r="AG784" s="12" t="n">
        <v>0</v>
      </c>
      <c r="AH784" s="22" t="s">
        <v>219</v>
      </c>
      <c r="AI784" s="12" t="str">
        <f>IF(AH784="","",IFERROR(RIGHT("0000"&amp;AH784,4)&amp;" - "&amp;UPPER(_xlfn.XLOOKUP(RIGHT("0000"&amp;AH784,4),CODEBOOK_CAP!$C$2:$C$212,CODEBOOK_CAP!$D$2:$D$212)),"Código CAP não encontrado"))</f>
        <v>1002 - CARROS, TRÂNSITO, CONSTRUÇÃO E MANUTENÇÃO DE RUAS E ESTRADAS</v>
      </c>
      <c r="AJ784" s="12" t="str">
        <f>IF(AH784="","",IFERROR(_xlfn.XLOOKUP(RIGHT("0000"&amp;AH784,4),CODEBOOK_CAP!$C$2:$C$212,CODEBOOK_CAP!$E$2:$E$212),"Código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4" s="22" t="s">
        <v>79</v>
      </c>
      <c r="AL784" s="26" t="s">
        <v>4244</v>
      </c>
      <c r="AM784" s="22" t="s">
        <v>79</v>
      </c>
      <c r="AN784" s="22" t="s">
        <v>79</v>
      </c>
      <c r="AO784" s="12" t="s">
        <v>4244</v>
      </c>
      <c r="AP784" s="22" t="s">
        <v>77</v>
      </c>
      <c r="AQ784" s="12"/>
      <c r="AR784" s="22" t="s">
        <v>77</v>
      </c>
      <c r="AS784" s="10"/>
      <c r="AT784" s="2" t="s">
        <v>1814</v>
      </c>
      <c r="AU784" s="12" t="s">
        <v>83</v>
      </c>
      <c r="AV784" s="3" t="n">
        <v>46224</v>
      </c>
      <c r="AW784" s="21"/>
      <c r="AY784" s="1"/>
      <c r="BA784" s="1"/>
      <c r="BB784" s="1"/>
    </row>
    <row r="785" ht="255" customHeight="1">
      <c r="A785" s="20" t="s">
        <v>4245</v>
      </c>
      <c r="B785" s="20" t="n">
        <v>2023</v>
      </c>
      <c r="C785" s="20" t="n">
        <v>14</v>
      </c>
      <c r="D785" s="20" t="s">
        <v>50</v>
      </c>
      <c r="E785" s="20" t="s">
        <v>4205</v>
      </c>
      <c r="F785" s="20" t="s">
        <v>4246</v>
      </c>
      <c r="G785" s="20" t="s">
        <v>183</v>
      </c>
      <c r="H785" s="20" t="s">
        <v>4207</v>
      </c>
      <c r="I785" s="20"/>
      <c r="J785" s="20" t="s">
        <v>4247</v>
      </c>
      <c r="K785" s="20" t="s">
        <v>1189</v>
      </c>
      <c r="L785" s="20" t="s">
        <v>208</v>
      </c>
      <c r="M785" s="20" t="s">
        <v>209</v>
      </c>
      <c r="N785" s="20" t="s">
        <v>210</v>
      </c>
      <c r="O785" s="20" t="s">
        <v>211</v>
      </c>
      <c r="P785" s="20" t="s">
        <v>212</v>
      </c>
      <c r="Q785" s="20" t="s">
        <v>213</v>
      </c>
      <c r="R785" s="20" t="s">
        <v>251</v>
      </c>
      <c r="S785" s="20" t="s">
        <v>252</v>
      </c>
      <c r="T785" s="20" t="s">
        <v>1190</v>
      </c>
      <c r="U785" s="20" t="s">
        <v>1191</v>
      </c>
      <c r="V785" s="20" t="s">
        <v>67</v>
      </c>
      <c r="W785" s="20" t="s">
        <v>68</v>
      </c>
      <c r="X785" s="20" t="s">
        <v>69</v>
      </c>
      <c r="Y785" s="20" t="s">
        <v>70</v>
      </c>
      <c r="Z785" s="20" t="s">
        <v>177</v>
      </c>
      <c r="AA785" s="20" t="s">
        <v>4248</v>
      </c>
      <c r="AB785" s="20" t="s">
        <v>77</v>
      </c>
      <c r="AC785" s="20" t="s">
        <v>77</v>
      </c>
      <c r="AD785" s="20" t="s">
        <v>77</v>
      </c>
      <c r="AE785" s="20"/>
      <c r="AF785" s="9" t="n">
        <v>0</v>
      </c>
      <c r="AG785" s="12" t="n">
        <v>0</v>
      </c>
      <c r="AH785" s="22" t="s">
        <v>219</v>
      </c>
      <c r="AI785" s="12" t="str">
        <f>IF(AH785="","",IFERROR(RIGHT("0000"&amp;AH785,4)&amp;" - "&amp;UPPER(_xlfn.XLOOKUP(RIGHT("0000"&amp;AH785,4),CODEBOOK_CAP!$C$2:$C$212,CODEBOOK_CAP!$D$2:$D$212)),"Código CAP não encontrado"))</f>
        <v>1002 - CARROS, TRÂNSITO, CONSTRUÇÃO E MANUTENÇÃO DE RUAS E ESTRADAS</v>
      </c>
      <c r="AJ785" s="12" t="str">
        <f>IF(AH785="","",IFERROR(_xlfn.XLOOKUP(RIGHT("0000"&amp;AH785,4),CODEBOOK_CAP!$C$2:$C$212,CODEBOOK_CAP!$E$2:$E$212),"Código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5" s="22" t="s">
        <v>79</v>
      </c>
      <c r="AL785" s="26" t="s">
        <v>4249</v>
      </c>
      <c r="AM785" s="22" t="s">
        <v>79</v>
      </c>
      <c r="AN785" s="22" t="s">
        <v>79</v>
      </c>
      <c r="AO785" s="12" t="s">
        <v>4249</v>
      </c>
      <c r="AP785" s="22" t="s">
        <v>77</v>
      </c>
      <c r="AQ785" s="12"/>
      <c r="AR785" s="22" t="s">
        <v>77</v>
      </c>
      <c r="AS785" s="10"/>
      <c r="AT785" s="2" t="s">
        <v>1814</v>
      </c>
      <c r="AU785" s="12" t="s">
        <v>83</v>
      </c>
      <c r="AV785" s="3" t="n">
        <v>46224</v>
      </c>
      <c r="AW785" s="21"/>
      <c r="AY785" s="1"/>
      <c r="BA785" s="1"/>
      <c r="BB785" s="1"/>
    </row>
    <row r="786" ht="255" customHeight="1">
      <c r="A786" s="20" t="s">
        <v>4250</v>
      </c>
      <c r="B786" s="20" t="n">
        <v>2023</v>
      </c>
      <c r="C786" s="20" t="n">
        <v>15</v>
      </c>
      <c r="D786" s="20" t="s">
        <v>50</v>
      </c>
      <c r="E786" s="20" t="s">
        <v>4205</v>
      </c>
      <c r="F786" s="20" t="s">
        <v>4251</v>
      </c>
      <c r="G786" s="20" t="s">
        <v>86</v>
      </c>
      <c r="H786" s="20" t="s">
        <v>4207</v>
      </c>
      <c r="I786" s="20"/>
      <c r="J786" s="20" t="s">
        <v>4252</v>
      </c>
      <c r="K786" s="20" t="s">
        <v>1189</v>
      </c>
      <c r="L786" s="20" t="s">
        <v>208</v>
      </c>
      <c r="M786" s="20" t="s">
        <v>209</v>
      </c>
      <c r="N786" s="20" t="s">
        <v>210</v>
      </c>
      <c r="O786" s="20" t="s">
        <v>211</v>
      </c>
      <c r="P786" s="20" t="s">
        <v>212</v>
      </c>
      <c r="Q786" s="20" t="s">
        <v>213</v>
      </c>
      <c r="R786" s="20" t="s">
        <v>251</v>
      </c>
      <c r="S786" s="20" t="s">
        <v>252</v>
      </c>
      <c r="T786" s="20" t="s">
        <v>1190</v>
      </c>
      <c r="U786" s="20" t="s">
        <v>1191</v>
      </c>
      <c r="V786" s="20" t="s">
        <v>67</v>
      </c>
      <c r="W786" s="20" t="s">
        <v>68</v>
      </c>
      <c r="X786" s="20" t="s">
        <v>69</v>
      </c>
      <c r="Y786" s="20" t="s">
        <v>70</v>
      </c>
      <c r="Z786" s="20" t="s">
        <v>177</v>
      </c>
      <c r="AA786" s="20" t="s">
        <v>4253</v>
      </c>
      <c r="AB786" s="20" t="s">
        <v>4254</v>
      </c>
      <c r="AC786" s="20" t="s">
        <v>4254</v>
      </c>
      <c r="AD786" s="20" t="s">
        <v>4254</v>
      </c>
      <c r="AE786" s="20"/>
      <c r="AF786" s="9" t="n">
        <v>0</v>
      </c>
      <c r="AG786" s="12" t="n">
        <v>0</v>
      </c>
      <c r="AH786" s="22" t="s">
        <v>219</v>
      </c>
      <c r="AI786" s="12" t="str">
        <f>IF(AH786="","",IFERROR(RIGHT("0000"&amp;AH786,4)&amp;" - "&amp;UPPER(_xlfn.XLOOKUP(RIGHT("0000"&amp;AH786,4),CODEBOOK_CAP!$C$2:$C$212,CODEBOOK_CAP!$D$2:$D$212)),"Código CAP não encontrado"))</f>
        <v>1002 - CARROS, TRÂNSITO, CONSTRUÇÃO E MANUTENÇÃO DE RUAS E ESTRADAS</v>
      </c>
      <c r="AJ786" s="12" t="str">
        <f>IF(AH786="","",IFERROR(_xlfn.XLOOKUP(RIGHT("0000"&amp;AH786,4),CODEBOOK_CAP!$C$2:$C$212,CODEBOOK_CAP!$E$2:$E$212),"Código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6" s="22" t="s">
        <v>79</v>
      </c>
      <c r="AL786" s="26" t="s">
        <v>4255</v>
      </c>
      <c r="AM786" s="22" t="s">
        <v>79</v>
      </c>
      <c r="AN786" s="22" t="s">
        <v>79</v>
      </c>
      <c r="AO786" s="12" t="s">
        <v>4255</v>
      </c>
      <c r="AP786" s="22" t="s">
        <v>77</v>
      </c>
      <c r="AQ786" s="12"/>
      <c r="AR786" s="22" t="s">
        <v>77</v>
      </c>
      <c r="AS786" s="10"/>
      <c r="AT786" s="2" t="s">
        <v>1814</v>
      </c>
      <c r="AU786" s="12" t="s">
        <v>83</v>
      </c>
      <c r="AV786" s="3" t="n">
        <v>46224</v>
      </c>
      <c r="AW786" s="21"/>
      <c r="AY786" s="1"/>
      <c r="BA786" s="1"/>
      <c r="BB786" s="1"/>
    </row>
    <row r="787" ht="255" customHeight="1">
      <c r="A787" s="20" t="s">
        <v>4256</v>
      </c>
      <c r="B787" s="20" t="n">
        <v>2023</v>
      </c>
      <c r="C787" s="20" t="n">
        <v>16</v>
      </c>
      <c r="D787" s="20" t="s">
        <v>50</v>
      </c>
      <c r="E787" s="20" t="s">
        <v>4205</v>
      </c>
      <c r="F787" s="20" t="s">
        <v>4257</v>
      </c>
      <c r="G787" s="20" t="s">
        <v>86</v>
      </c>
      <c r="H787" s="20" t="s">
        <v>4207</v>
      </c>
      <c r="I787" s="20"/>
      <c r="J787" s="20" t="s">
        <v>4258</v>
      </c>
      <c r="K787" s="20" t="s">
        <v>1189</v>
      </c>
      <c r="L787" s="20" t="s">
        <v>208</v>
      </c>
      <c r="M787" s="20" t="s">
        <v>209</v>
      </c>
      <c r="N787" s="20" t="s">
        <v>210</v>
      </c>
      <c r="O787" s="20" t="s">
        <v>211</v>
      </c>
      <c r="P787" s="20" t="s">
        <v>212</v>
      </c>
      <c r="Q787" s="20" t="s">
        <v>213</v>
      </c>
      <c r="R787" s="20" t="s">
        <v>251</v>
      </c>
      <c r="S787" s="20" t="s">
        <v>252</v>
      </c>
      <c r="T787" s="20" t="s">
        <v>1190</v>
      </c>
      <c r="U787" s="20" t="s">
        <v>1191</v>
      </c>
      <c r="V787" s="20" t="s">
        <v>67</v>
      </c>
      <c r="W787" s="20" t="s">
        <v>68</v>
      </c>
      <c r="X787" s="20" t="s">
        <v>69</v>
      </c>
      <c r="Y787" s="20" t="s">
        <v>70</v>
      </c>
      <c r="Z787" s="20" t="s">
        <v>177</v>
      </c>
      <c r="AA787" s="20" t="s">
        <v>4259</v>
      </c>
      <c r="AB787" s="20" t="s">
        <v>4260</v>
      </c>
      <c r="AC787" s="20" t="s">
        <v>4260</v>
      </c>
      <c r="AD787" s="20" t="s">
        <v>4260</v>
      </c>
      <c r="AE787" s="20"/>
      <c r="AF787" s="9" t="n">
        <v>0</v>
      </c>
      <c r="AG787" s="12" t="n">
        <v>0</v>
      </c>
      <c r="AH787" s="22" t="s">
        <v>219</v>
      </c>
      <c r="AI787" s="12" t="str">
        <f>IF(AH787="","",IFERROR(RIGHT("0000"&amp;AH787,4)&amp;" - "&amp;UPPER(_xlfn.XLOOKUP(RIGHT("0000"&amp;AH787,4),CODEBOOK_CAP!$C$2:$C$212,CODEBOOK_CAP!$D$2:$D$212)),"Código CAP não encontrado"))</f>
        <v>1002 - CARROS, TRÂNSITO, CONSTRUÇÃO E MANUTENÇÃO DE RUAS E ESTRADAS</v>
      </c>
      <c r="AJ787" s="12" t="str">
        <f>IF(AH787="","",IFERROR(_xlfn.XLOOKUP(RIGHT("0000"&amp;AH787,4),CODEBOOK_CAP!$C$2:$C$212,CODEBOOK_CAP!$E$2:$E$212),"Código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7" s="22" t="s">
        <v>79</v>
      </c>
      <c r="AL787" s="26" t="s">
        <v>4261</v>
      </c>
      <c r="AM787" s="22" t="s">
        <v>79</v>
      </c>
      <c r="AN787" s="22" t="s">
        <v>79</v>
      </c>
      <c r="AO787" s="12" t="s">
        <v>4261</v>
      </c>
      <c r="AP787" s="22" t="s">
        <v>77</v>
      </c>
      <c r="AQ787" s="12"/>
      <c r="AR787" s="22" t="s">
        <v>77</v>
      </c>
      <c r="AS787" s="10"/>
      <c r="AT787" s="2" t="s">
        <v>1814</v>
      </c>
      <c r="AU787" s="12" t="s">
        <v>83</v>
      </c>
      <c r="AV787" s="3" t="n">
        <v>46224</v>
      </c>
      <c r="AW787" s="21"/>
      <c r="AY787" s="1"/>
      <c r="BA787" s="1"/>
      <c r="BB787" s="1"/>
    </row>
    <row r="788" ht="255" customHeight="1">
      <c r="A788" s="20" t="s">
        <v>4262</v>
      </c>
      <c r="B788" s="20" t="n">
        <v>2023</v>
      </c>
      <c r="C788" s="20" t="n">
        <v>17</v>
      </c>
      <c r="D788" s="20" t="s">
        <v>50</v>
      </c>
      <c r="E788" s="20" t="s">
        <v>4205</v>
      </c>
      <c r="F788" s="20" t="s">
        <v>4263</v>
      </c>
      <c r="G788" s="20" t="s">
        <v>86</v>
      </c>
      <c r="H788" s="20" t="s">
        <v>4207</v>
      </c>
      <c r="I788" s="20"/>
      <c r="J788" s="20" t="s">
        <v>4264</v>
      </c>
      <c r="K788" s="20" t="s">
        <v>1189</v>
      </c>
      <c r="L788" s="20" t="s">
        <v>208</v>
      </c>
      <c r="M788" s="20" t="s">
        <v>209</v>
      </c>
      <c r="N788" s="20" t="s">
        <v>210</v>
      </c>
      <c r="O788" s="20" t="s">
        <v>211</v>
      </c>
      <c r="P788" s="20" t="s">
        <v>212</v>
      </c>
      <c r="Q788" s="20" t="s">
        <v>213</v>
      </c>
      <c r="R788" s="20" t="s">
        <v>251</v>
      </c>
      <c r="S788" s="20" t="s">
        <v>252</v>
      </c>
      <c r="T788" s="20" t="s">
        <v>1190</v>
      </c>
      <c r="U788" s="20" t="s">
        <v>1191</v>
      </c>
      <c r="V788" s="20" t="s">
        <v>67</v>
      </c>
      <c r="W788" s="20" t="s">
        <v>68</v>
      </c>
      <c r="X788" s="20" t="s">
        <v>69</v>
      </c>
      <c r="Y788" s="20" t="s">
        <v>70</v>
      </c>
      <c r="Z788" s="20" t="s">
        <v>177</v>
      </c>
      <c r="AA788" s="20" t="s">
        <v>202</v>
      </c>
      <c r="AB788" s="20" t="s">
        <v>4265</v>
      </c>
      <c r="AC788" s="20" t="s">
        <v>4265</v>
      </c>
      <c r="AD788" s="20" t="s">
        <v>4265</v>
      </c>
      <c r="AE788" s="20"/>
      <c r="AF788" s="9" t="n">
        <v>0</v>
      </c>
      <c r="AG788" s="12" t="n">
        <v>0</v>
      </c>
      <c r="AH788" s="22" t="s">
        <v>219</v>
      </c>
      <c r="AI788" s="12" t="str">
        <f>IF(AH788="","",IFERROR(RIGHT("0000"&amp;AH788,4)&amp;" - "&amp;UPPER(_xlfn.XLOOKUP(RIGHT("0000"&amp;AH788,4),CODEBOOK_CAP!$C$2:$C$212,CODEBOOK_CAP!$D$2:$D$212)),"Código CAP não encontrado"))</f>
        <v>1002 - CARROS, TRÂNSITO, CONSTRUÇÃO E MANUTENÇÃO DE RUAS E ESTRADAS</v>
      </c>
      <c r="AJ788" s="12" t="str">
        <f>IF(AH788="","",IFERROR(_xlfn.XLOOKUP(RIGHT("0000"&amp;AH788,4),CODEBOOK_CAP!$C$2:$C$212,CODEBOOK_CAP!$E$2:$E$212),"Código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8" s="22" t="s">
        <v>79</v>
      </c>
      <c r="AL788" s="26" t="s">
        <v>4266</v>
      </c>
      <c r="AM788" s="22" t="s">
        <v>79</v>
      </c>
      <c r="AN788" s="22" t="s">
        <v>79</v>
      </c>
      <c r="AO788" s="12" t="s">
        <v>4266</v>
      </c>
      <c r="AP788" s="22" t="s">
        <v>77</v>
      </c>
      <c r="AQ788" s="12"/>
      <c r="AR788" s="22" t="s">
        <v>77</v>
      </c>
      <c r="AS788" s="10"/>
      <c r="AT788" s="2" t="s">
        <v>1814</v>
      </c>
      <c r="AU788" s="12" t="s">
        <v>83</v>
      </c>
      <c r="AV788" s="3" t="n">
        <v>46224</v>
      </c>
      <c r="AW788" s="21"/>
      <c r="AY788" s="1"/>
      <c r="BA788" s="1"/>
      <c r="BB788" s="1"/>
    </row>
    <row r="789" ht="255" customHeight="1">
      <c r="A789" s="20" t="s">
        <v>4267</v>
      </c>
      <c r="B789" s="20" t="n">
        <v>2023</v>
      </c>
      <c r="C789" s="20" t="n">
        <v>18</v>
      </c>
      <c r="D789" s="20" t="s">
        <v>50</v>
      </c>
      <c r="E789" s="20" t="s">
        <v>4205</v>
      </c>
      <c r="F789" s="20" t="s">
        <v>4268</v>
      </c>
      <c r="G789" s="20" t="s">
        <v>86</v>
      </c>
      <c r="H789" s="20" t="s">
        <v>4207</v>
      </c>
      <c r="I789" s="20"/>
      <c r="J789" s="20" t="s">
        <v>4269</v>
      </c>
      <c r="K789" s="20" t="s">
        <v>299</v>
      </c>
      <c r="L789" s="20" t="s">
        <v>208</v>
      </c>
      <c r="M789" s="20" t="s">
        <v>209</v>
      </c>
      <c r="N789" s="20" t="s">
        <v>210</v>
      </c>
      <c r="O789" s="20" t="s">
        <v>211</v>
      </c>
      <c r="P789" s="20" t="s">
        <v>212</v>
      </c>
      <c r="Q789" s="20" t="s">
        <v>213</v>
      </c>
      <c r="R789" s="20" t="s">
        <v>251</v>
      </c>
      <c r="S789" s="20" t="s">
        <v>252</v>
      </c>
      <c r="T789" s="20" t="s">
        <v>300</v>
      </c>
      <c r="U789" s="20" t="s">
        <v>301</v>
      </c>
      <c r="V789" s="20" t="s">
        <v>67</v>
      </c>
      <c r="W789" s="20" t="s">
        <v>68</v>
      </c>
      <c r="X789" s="20" t="s">
        <v>69</v>
      </c>
      <c r="Y789" s="20" t="s">
        <v>70</v>
      </c>
      <c r="Z789" s="20" t="s">
        <v>177</v>
      </c>
      <c r="AA789" s="20" t="s">
        <v>125</v>
      </c>
      <c r="AB789" s="20" t="s">
        <v>125</v>
      </c>
      <c r="AC789" s="20" t="s">
        <v>125</v>
      </c>
      <c r="AD789" s="20" t="s">
        <v>125</v>
      </c>
      <c r="AE789" s="20"/>
      <c r="AF789" s="9" t="n">
        <v>0</v>
      </c>
      <c r="AG789" s="12" t="n">
        <v>0</v>
      </c>
      <c r="AH789" s="22" t="s">
        <v>219</v>
      </c>
      <c r="AI789" s="12" t="str">
        <f>IF(AH789="","",IFERROR(RIGHT("0000"&amp;AH789,4)&amp;" - "&amp;UPPER(_xlfn.XLOOKUP(RIGHT("0000"&amp;AH789,4),CODEBOOK_CAP!$C$2:$C$212,CODEBOOK_CAP!$D$2:$D$212)),"Código CAP não encontrado"))</f>
        <v>1002 - CARROS, TRÂNSITO, CONSTRUÇÃO E MANUTENÇÃO DE RUAS E ESTRADAS</v>
      </c>
      <c r="AJ789" s="12" t="str">
        <f>IF(AH789="","",IFERROR(_xlfn.XLOOKUP(RIGHT("0000"&amp;AH789,4),CODEBOOK_CAP!$C$2:$C$212,CODEBOOK_CAP!$E$2:$E$212),"Código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789" s="22" t="s">
        <v>79</v>
      </c>
      <c r="AL789" s="26" t="s">
        <v>4270</v>
      </c>
      <c r="AM789" s="22" t="s">
        <v>79</v>
      </c>
      <c r="AN789" s="22" t="s">
        <v>79</v>
      </c>
      <c r="AO789" s="12" t="s">
        <v>4270</v>
      </c>
      <c r="AP789" s="22" t="s">
        <v>77</v>
      </c>
      <c r="AQ789" s="12"/>
      <c r="AR789" s="22" t="s">
        <v>77</v>
      </c>
      <c r="AS789" s="10"/>
      <c r="AT789" s="2" t="s">
        <v>1814</v>
      </c>
      <c r="AU789" s="12" t="s">
        <v>83</v>
      </c>
      <c r="AV789" s="3" t="n">
        <v>46224</v>
      </c>
      <c r="AW789" s="21"/>
      <c r="AY789" s="1"/>
      <c r="BA789" s="1"/>
      <c r="BB789" s="1"/>
    </row>
    <row r="790" ht="315" customHeight="1">
      <c r="A790" s="20" t="s">
        <v>4271</v>
      </c>
      <c r="B790" s="20" t="n">
        <v>2023</v>
      </c>
      <c r="C790" s="20" t="n">
        <v>19</v>
      </c>
      <c r="D790" s="20" t="s">
        <v>50</v>
      </c>
      <c r="E790" s="20" t="s">
        <v>4205</v>
      </c>
      <c r="F790" s="20" t="s">
        <v>4272</v>
      </c>
      <c r="G790" s="20" t="s">
        <v>86</v>
      </c>
      <c r="H790" s="20" t="s">
        <v>4207</v>
      </c>
      <c r="I790" s="20"/>
      <c r="J790" s="20" t="s">
        <v>4273</v>
      </c>
      <c r="K790" s="20" t="s">
        <v>299</v>
      </c>
      <c r="L790" s="20" t="s">
        <v>208</v>
      </c>
      <c r="M790" s="20" t="s">
        <v>209</v>
      </c>
      <c r="N790" s="20" t="s">
        <v>210</v>
      </c>
      <c r="O790" s="20" t="s">
        <v>211</v>
      </c>
      <c r="P790" s="20" t="s">
        <v>212</v>
      </c>
      <c r="Q790" s="20" t="s">
        <v>213</v>
      </c>
      <c r="R790" s="20" t="s">
        <v>251</v>
      </c>
      <c r="S790" s="20" t="s">
        <v>252</v>
      </c>
      <c r="T790" s="20" t="s">
        <v>300</v>
      </c>
      <c r="U790" s="20" t="s">
        <v>301</v>
      </c>
      <c r="V790" s="20" t="s">
        <v>67</v>
      </c>
      <c r="W790" s="20" t="s">
        <v>68</v>
      </c>
      <c r="X790" s="20" t="s">
        <v>69</v>
      </c>
      <c r="Y790" s="20" t="s">
        <v>70</v>
      </c>
      <c r="Z790" s="20" t="s">
        <v>177</v>
      </c>
      <c r="AA790" s="20" t="s">
        <v>125</v>
      </c>
      <c r="AB790" s="20" t="s">
        <v>125</v>
      </c>
      <c r="AC790" s="20" t="s">
        <v>125</v>
      </c>
      <c r="AD790" s="20" t="s">
        <v>125</v>
      </c>
      <c r="AE790" s="20"/>
      <c r="AF790" s="9" t="n">
        <v>0</v>
      </c>
      <c r="AG790" s="12" t="n">
        <v>0</v>
      </c>
      <c r="AH790" s="22" t="s">
        <v>304</v>
      </c>
      <c r="AI790" s="12" t="str">
        <f>IF(AH790="","",IFERROR(RIGHT("0000"&amp;AH790,4)&amp;" - "&amp;UPPER(_xlfn.XLOOKUP(RIGHT("0000"&amp;AH790,4),CODEBOOK_CAP!$C$2:$C$212,CODEBOOK_CAP!$D$2:$D$212)),"Código CAP não encontrado"))</f>
        <v>1403 - REABILITAÇÃO URBANA, ECONOMIA URBANA</v>
      </c>
      <c r="AJ790" s="12" t="str">
        <f>IF(AH790="","",IFERROR(_xlfn.XLOOKUP(RIGHT("0000"&amp;AH790,4),CODEBOOK_CAP!$C$2:$C$212,CODEBOOK_CAP!$E$2:$E$212),"Código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790" s="22" t="s">
        <v>79</v>
      </c>
      <c r="AL790" s="26" t="s">
        <v>4274</v>
      </c>
      <c r="AM790" s="22" t="s">
        <v>4275</v>
      </c>
      <c r="AN790" s="22" t="s">
        <v>79</v>
      </c>
      <c r="AO790" s="12" t="s">
        <v>4274</v>
      </c>
      <c r="AP790" s="22" t="s">
        <v>77</v>
      </c>
      <c r="AQ790" s="12"/>
      <c r="AR790" s="22" t="s">
        <v>77</v>
      </c>
      <c r="AS790" s="10"/>
      <c r="AT790" s="2" t="s">
        <v>1814</v>
      </c>
      <c r="AU790" s="12" t="s">
        <v>83</v>
      </c>
      <c r="AV790" s="3" t="n">
        <v>46224</v>
      </c>
      <c r="AW790" s="21"/>
      <c r="AY790" s="1"/>
      <c r="BA790" s="1"/>
      <c r="BB790" s="1"/>
    </row>
    <row r="791" ht="75" customHeight="1">
      <c r="A791" s="20" t="s">
        <v>4276</v>
      </c>
      <c r="B791" s="20" t="n">
        <v>2023</v>
      </c>
      <c r="C791" s="20" t="n">
        <v>20</v>
      </c>
      <c r="D791" s="20" t="s">
        <v>50</v>
      </c>
      <c r="E791" s="20" t="s">
        <v>4205</v>
      </c>
      <c r="F791" s="20" t="s">
        <v>4277</v>
      </c>
      <c r="G791" s="20" t="s">
        <v>86</v>
      </c>
      <c r="H791" s="20" t="s">
        <v>4207</v>
      </c>
      <c r="I791" s="20"/>
      <c r="J791" s="20" t="s">
        <v>4278</v>
      </c>
      <c r="K791" s="20" t="s">
        <v>299</v>
      </c>
      <c r="L791" s="20" t="s">
        <v>208</v>
      </c>
      <c r="M791" s="20" t="s">
        <v>209</v>
      </c>
      <c r="N791" s="20" t="s">
        <v>210</v>
      </c>
      <c r="O791" s="20" t="s">
        <v>211</v>
      </c>
      <c r="P791" s="20" t="s">
        <v>212</v>
      </c>
      <c r="Q791" s="20" t="s">
        <v>213</v>
      </c>
      <c r="R791" s="20" t="s">
        <v>251</v>
      </c>
      <c r="S791" s="20" t="s">
        <v>252</v>
      </c>
      <c r="T791" s="20" t="s">
        <v>300</v>
      </c>
      <c r="U791" s="20" t="s">
        <v>301</v>
      </c>
      <c r="V791" s="20" t="s">
        <v>67</v>
      </c>
      <c r="W791" s="20" t="s">
        <v>68</v>
      </c>
      <c r="X791" s="20" t="s">
        <v>69</v>
      </c>
      <c r="Y791" s="20" t="s">
        <v>70</v>
      </c>
      <c r="Z791" s="20" t="s">
        <v>177</v>
      </c>
      <c r="AA791" s="20" t="s">
        <v>125</v>
      </c>
      <c r="AB791" s="20" t="s">
        <v>125</v>
      </c>
      <c r="AC791" s="20" t="s">
        <v>125</v>
      </c>
      <c r="AD791" s="20" t="s">
        <v>125</v>
      </c>
      <c r="AE791" s="20"/>
      <c r="AF791" s="9" t="n">
        <v>0</v>
      </c>
      <c r="AG791" s="12" t="n">
        <v>0</v>
      </c>
      <c r="AH791" s="22" t="s">
        <v>304</v>
      </c>
      <c r="AI791" s="12" t="str">
        <f>IF(AH791="","",IFERROR(RIGHT("0000"&amp;AH791,4)&amp;" - "&amp;UPPER(_xlfn.XLOOKUP(RIGHT("0000"&amp;AH791,4),CODEBOOK_CAP!$C$2:$C$212,CODEBOOK_CAP!$D$2:$D$212)),"Código CAP não encontrado"))</f>
        <v>1403 - REABILITAÇÃO URBANA, ECONOMIA URBANA</v>
      </c>
      <c r="AJ791" s="12" t="str">
        <f>IF(AH791="","",IFERROR(_xlfn.XLOOKUP(RIGHT("0000"&amp;AH791,4),CODEBOOK_CAP!$C$2:$C$212,CODEBOOK_CAP!$E$2:$E$212),"Código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791" s="22" t="s">
        <v>79</v>
      </c>
      <c r="AL791" s="26" t="s">
        <v>4279</v>
      </c>
      <c r="AM791" s="22" t="s">
        <v>79</v>
      </c>
      <c r="AN791" s="22" t="s">
        <v>79</v>
      </c>
      <c r="AO791" s="12" t="s">
        <v>4279</v>
      </c>
      <c r="AP791" s="22" t="s">
        <v>77</v>
      </c>
      <c r="AQ791" s="12"/>
      <c r="AR791" s="22" t="s">
        <v>77</v>
      </c>
      <c r="AS791" s="10"/>
      <c r="AT791" s="2" t="s">
        <v>1814</v>
      </c>
      <c r="AU791" s="12" t="s">
        <v>83</v>
      </c>
      <c r="AV791" s="3" t="n">
        <v>46224</v>
      </c>
      <c r="AW791" s="21"/>
      <c r="AY791" s="1"/>
      <c r="BA791" s="1"/>
      <c r="BB791" s="1"/>
    </row>
    <row r="792" ht="105" customHeight="1">
      <c r="A792" s="20" t="s">
        <v>4280</v>
      </c>
      <c r="B792" s="20" t="n">
        <v>2023</v>
      </c>
      <c r="C792" s="20" t="n">
        <v>21</v>
      </c>
      <c r="D792" s="20" t="s">
        <v>50</v>
      </c>
      <c r="E792" s="20" t="s">
        <v>4205</v>
      </c>
      <c r="F792" s="20" t="s">
        <v>4281</v>
      </c>
      <c r="G792" s="20" t="s">
        <v>86</v>
      </c>
      <c r="H792" s="20" t="s">
        <v>4207</v>
      </c>
      <c r="I792" s="20"/>
      <c r="J792" s="20" t="s">
        <v>4282</v>
      </c>
      <c r="K792" s="20" t="s">
        <v>185</v>
      </c>
      <c r="L792" s="20" t="s">
        <v>186</v>
      </c>
      <c r="M792" s="20" t="s">
        <v>187</v>
      </c>
      <c r="N792" s="20" t="s">
        <v>188</v>
      </c>
      <c r="O792" s="20" t="s">
        <v>189</v>
      </c>
      <c r="P792" s="20" t="s">
        <v>190</v>
      </c>
      <c r="Q792" s="20" t="s">
        <v>191</v>
      </c>
      <c r="R792" s="20" t="s">
        <v>192</v>
      </c>
      <c r="S792" s="20" t="s">
        <v>193</v>
      </c>
      <c r="T792" s="20" t="s">
        <v>194</v>
      </c>
      <c r="U792" s="20" t="s">
        <v>195</v>
      </c>
      <c r="V792" s="20" t="s">
        <v>196</v>
      </c>
      <c r="W792" s="20" t="s">
        <v>68</v>
      </c>
      <c r="X792" s="20" t="s">
        <v>69</v>
      </c>
      <c r="Y792" s="20" t="s">
        <v>70</v>
      </c>
      <c r="Z792" s="20" t="s">
        <v>197</v>
      </c>
      <c r="AA792" s="20" t="s">
        <v>292</v>
      </c>
      <c r="AB792" s="20" t="s">
        <v>1432</v>
      </c>
      <c r="AC792" s="20" t="s">
        <v>1432</v>
      </c>
      <c r="AD792" s="20" t="s">
        <v>1432</v>
      </c>
      <c r="AE792" s="20"/>
      <c r="AF792" s="9" t="n">
        <v>0</v>
      </c>
      <c r="AG792" s="12" t="n">
        <v>0</v>
      </c>
      <c r="AH792" s="22" t="s">
        <v>161</v>
      </c>
      <c r="AI792" s="12" t="str">
        <f>IF(AH792="","",IFERROR(RIGHT("0000"&amp;AH792,4)&amp;" - "&amp;UPPER(_xlfn.XLOOKUP(RIGHT("0000"&amp;AH792,4),CODEBOOK_CAP!$C$2:$C$212,CODEBOOK_CAP!$D$2:$D$212)),"Código CAP não encontrado"))</f>
        <v>2300 - GERAL</v>
      </c>
      <c r="AJ792" s="12" t="str">
        <f>IF(AH792="","",IFERROR(_xlfn.XLOOKUP(RIGHT("0000"&amp;AH792,4),CODEBOOK_CAP!$C$2:$C$212,CODEBOOK_CAP!$E$2:$E$212),"Código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92" s="22" t="s">
        <v>79</v>
      </c>
      <c r="AL792" s="26" t="s">
        <v>4283</v>
      </c>
      <c r="AM792" s="22" t="s">
        <v>79</v>
      </c>
      <c r="AN792" s="22" t="s">
        <v>79</v>
      </c>
      <c r="AO792" s="12" t="s">
        <v>4283</v>
      </c>
      <c r="AP792" s="22" t="s">
        <v>77</v>
      </c>
      <c r="AQ792" s="12"/>
      <c r="AR792" s="22" t="s">
        <v>77</v>
      </c>
      <c r="AS792" s="10"/>
      <c r="AT792" s="2" t="s">
        <v>1814</v>
      </c>
      <c r="AU792" s="12" t="s">
        <v>83</v>
      </c>
      <c r="AV792" s="3" t="n">
        <v>46224</v>
      </c>
      <c r="AW792" s="21"/>
      <c r="AX792" s="1" t="s">
        <v>6956</v>
      </c>
      <c r="AY792" s="1"/>
      <c r="BA792" s="1"/>
      <c r="BB792" s="1"/>
    </row>
    <row r="793" ht="105" customHeight="1">
      <c r="A793" s="20" t="s">
        <v>4284</v>
      </c>
      <c r="B793" s="20" t="n">
        <v>2023</v>
      </c>
      <c r="C793" s="20" t="n">
        <v>22</v>
      </c>
      <c r="D793" s="20" t="s">
        <v>50</v>
      </c>
      <c r="E793" s="20" t="s">
        <v>4205</v>
      </c>
      <c r="F793" s="20" t="s">
        <v>4285</v>
      </c>
      <c r="G793" s="20" t="s">
        <v>86</v>
      </c>
      <c r="H793" s="20" t="s">
        <v>4207</v>
      </c>
      <c r="I793" s="20"/>
      <c r="J793" s="20" t="s">
        <v>4286</v>
      </c>
      <c r="K793" s="20" t="s">
        <v>1587</v>
      </c>
      <c r="L793" s="20" t="s">
        <v>186</v>
      </c>
      <c r="M793" s="20" t="s">
        <v>187</v>
      </c>
      <c r="N793" s="20" t="s">
        <v>188</v>
      </c>
      <c r="O793" s="20" t="s">
        <v>189</v>
      </c>
      <c r="P793" s="20" t="s">
        <v>190</v>
      </c>
      <c r="Q793" s="20" t="s">
        <v>191</v>
      </c>
      <c r="R793" s="20" t="s">
        <v>192</v>
      </c>
      <c r="S793" s="20" t="s">
        <v>193</v>
      </c>
      <c r="T793" s="20" t="s">
        <v>194</v>
      </c>
      <c r="U793" s="20" t="s">
        <v>195</v>
      </c>
      <c r="V793" s="20" t="s">
        <v>196</v>
      </c>
      <c r="W793" s="20" t="s">
        <v>68</v>
      </c>
      <c r="X793" s="20" t="s">
        <v>69</v>
      </c>
      <c r="Y793" s="20" t="s">
        <v>70</v>
      </c>
      <c r="Z793" s="20" t="s">
        <v>197</v>
      </c>
      <c r="AA793" s="20" t="s">
        <v>292</v>
      </c>
      <c r="AB793" s="20" t="s">
        <v>1432</v>
      </c>
      <c r="AC793" s="20" t="s">
        <v>1432</v>
      </c>
      <c r="AD793" s="20" t="s">
        <v>1432</v>
      </c>
      <c r="AE793" s="20"/>
      <c r="AF793" s="9" t="n">
        <v>0</v>
      </c>
      <c r="AG793" s="12" t="n">
        <v>0</v>
      </c>
      <c r="AH793" s="22" t="s">
        <v>161</v>
      </c>
      <c r="AI793" s="12" t="str">
        <f>IF(AH793="","",IFERROR(RIGHT("0000"&amp;AH793,4)&amp;" - "&amp;UPPER(_xlfn.XLOOKUP(RIGHT("0000"&amp;AH793,4),CODEBOOK_CAP!$C$2:$C$212,CODEBOOK_CAP!$D$2:$D$212)),"Código CAP não encontrado"))</f>
        <v>2300 - GERAL</v>
      </c>
      <c r="AJ793" s="12" t="str">
        <f>IF(AH793="","",IFERROR(_xlfn.XLOOKUP(RIGHT("0000"&amp;AH793,4),CODEBOOK_CAP!$C$2:$C$212,CODEBOOK_CAP!$E$2:$E$212),"Código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93" s="22" t="s">
        <v>79</v>
      </c>
      <c r="AL793" s="26" t="s">
        <v>4287</v>
      </c>
      <c r="AM793" s="22" t="s">
        <v>79</v>
      </c>
      <c r="AN793" s="22" t="s">
        <v>79</v>
      </c>
      <c r="AO793" s="12" t="s">
        <v>4287</v>
      </c>
      <c r="AP793" s="22" t="s">
        <v>77</v>
      </c>
      <c r="AQ793" s="12"/>
      <c r="AR793" s="22" t="s">
        <v>77</v>
      </c>
      <c r="AS793" s="10"/>
      <c r="AT793" s="2" t="s">
        <v>1814</v>
      </c>
      <c r="AU793" s="12" t="s">
        <v>83</v>
      </c>
      <c r="AV793" s="3" t="n">
        <v>46224</v>
      </c>
      <c r="AW793" s="21"/>
      <c r="AX793" s="1" t="s">
        <v>6956</v>
      </c>
      <c r="AY793" s="1"/>
      <c r="BA793" s="1"/>
      <c r="BB793" s="1"/>
    </row>
    <row r="794" ht="105" customHeight="1">
      <c r="A794" s="20" t="s">
        <v>4288</v>
      </c>
      <c r="B794" s="20" t="n">
        <v>2023</v>
      </c>
      <c r="C794" s="20" t="n">
        <v>23</v>
      </c>
      <c r="D794" s="20" t="s">
        <v>50</v>
      </c>
      <c r="E794" s="20" t="s">
        <v>4205</v>
      </c>
      <c r="F794" s="20" t="s">
        <v>4289</v>
      </c>
      <c r="G794" s="20" t="s">
        <v>86</v>
      </c>
      <c r="H794" s="20" t="s">
        <v>4207</v>
      </c>
      <c r="I794" s="20"/>
      <c r="J794" s="20" t="s">
        <v>4290</v>
      </c>
      <c r="K794" s="20" t="s">
        <v>185</v>
      </c>
      <c r="L794" s="20" t="s">
        <v>186</v>
      </c>
      <c r="M794" s="20" t="s">
        <v>187</v>
      </c>
      <c r="N794" s="20" t="s">
        <v>188</v>
      </c>
      <c r="O794" s="20" t="s">
        <v>189</v>
      </c>
      <c r="P794" s="20" t="s">
        <v>190</v>
      </c>
      <c r="Q794" s="20" t="s">
        <v>191</v>
      </c>
      <c r="R794" s="20" t="s">
        <v>192</v>
      </c>
      <c r="S794" s="20" t="s">
        <v>193</v>
      </c>
      <c r="T794" s="20" t="s">
        <v>194</v>
      </c>
      <c r="U794" s="20" t="s">
        <v>195</v>
      </c>
      <c r="V794" s="20" t="s">
        <v>196</v>
      </c>
      <c r="W794" s="20" t="s">
        <v>68</v>
      </c>
      <c r="X794" s="20" t="s">
        <v>69</v>
      </c>
      <c r="Y794" s="20" t="s">
        <v>70</v>
      </c>
      <c r="Z794" s="20" t="s">
        <v>197</v>
      </c>
      <c r="AA794" s="20" t="s">
        <v>292</v>
      </c>
      <c r="AB794" s="20" t="s">
        <v>1432</v>
      </c>
      <c r="AC794" s="20" t="s">
        <v>1432</v>
      </c>
      <c r="AD794" s="20" t="s">
        <v>1432</v>
      </c>
      <c r="AE794" s="20"/>
      <c r="AF794" s="9" t="n">
        <v>0</v>
      </c>
      <c r="AG794" s="12" t="n">
        <v>0</v>
      </c>
      <c r="AH794" s="22" t="s">
        <v>161</v>
      </c>
      <c r="AI794" s="12" t="str">
        <f>IF(AH794="","",IFERROR(RIGHT("0000"&amp;AH794,4)&amp;" - "&amp;UPPER(_xlfn.XLOOKUP(RIGHT("0000"&amp;AH794,4),CODEBOOK_CAP!$C$2:$C$212,CODEBOOK_CAP!$D$2:$D$212)),"Código CAP não encontrado"))</f>
        <v>2300 - GERAL</v>
      </c>
      <c r="AJ794" s="12" t="str">
        <f>IF(AH794="","",IFERROR(_xlfn.XLOOKUP(RIGHT("0000"&amp;AH794,4),CODEBOOK_CAP!$C$2:$C$212,CODEBOOK_CAP!$E$2:$E$212),"Código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94" s="22" t="s">
        <v>79</v>
      </c>
      <c r="AL794" s="26" t="s">
        <v>4291</v>
      </c>
      <c r="AM794" s="22" t="s">
        <v>79</v>
      </c>
      <c r="AN794" s="22" t="s">
        <v>79</v>
      </c>
      <c r="AO794" s="12" t="s">
        <v>4291</v>
      </c>
      <c r="AP794" s="22" t="s">
        <v>77</v>
      </c>
      <c r="AQ794" s="12"/>
      <c r="AR794" s="22" t="s">
        <v>77</v>
      </c>
      <c r="AS794" s="10"/>
      <c r="AT794" s="2" t="s">
        <v>1814</v>
      </c>
      <c r="AU794" s="12" t="s">
        <v>83</v>
      </c>
      <c r="AV794" s="3" t="n">
        <v>46224</v>
      </c>
      <c r="AW794" s="21"/>
      <c r="AX794" s="1" t="s">
        <v>6956</v>
      </c>
      <c r="AY794" s="1"/>
      <c r="BA794" s="1"/>
      <c r="BB794" s="1"/>
    </row>
    <row r="795" ht="105" customHeight="1">
      <c r="A795" s="20" t="s">
        <v>4292</v>
      </c>
      <c r="B795" s="20" t="n">
        <v>2023</v>
      </c>
      <c r="C795" s="20" t="n">
        <v>24</v>
      </c>
      <c r="D795" s="20" t="s">
        <v>50</v>
      </c>
      <c r="E795" s="20" t="s">
        <v>4205</v>
      </c>
      <c r="F795" s="20" t="s">
        <v>4293</v>
      </c>
      <c r="G795" s="20" t="s">
        <v>86</v>
      </c>
      <c r="H795" s="20" t="s">
        <v>4207</v>
      </c>
      <c r="I795" s="20"/>
      <c r="J795" s="20" t="s">
        <v>4294</v>
      </c>
      <c r="K795" s="20" t="s">
        <v>1587</v>
      </c>
      <c r="L795" s="20" t="s">
        <v>186</v>
      </c>
      <c r="M795" s="20" t="s">
        <v>187</v>
      </c>
      <c r="N795" s="20" t="s">
        <v>188</v>
      </c>
      <c r="O795" s="20" t="s">
        <v>189</v>
      </c>
      <c r="P795" s="20" t="s">
        <v>190</v>
      </c>
      <c r="Q795" s="20" t="s">
        <v>191</v>
      </c>
      <c r="R795" s="20" t="s">
        <v>192</v>
      </c>
      <c r="S795" s="20" t="s">
        <v>193</v>
      </c>
      <c r="T795" s="20" t="s">
        <v>194</v>
      </c>
      <c r="U795" s="20" t="s">
        <v>195</v>
      </c>
      <c r="V795" s="20" t="s">
        <v>196</v>
      </c>
      <c r="W795" s="20" t="s">
        <v>68</v>
      </c>
      <c r="X795" s="20" t="s">
        <v>69</v>
      </c>
      <c r="Y795" s="20" t="s">
        <v>70</v>
      </c>
      <c r="Z795" s="20" t="s">
        <v>197</v>
      </c>
      <c r="AA795" s="20" t="s">
        <v>292</v>
      </c>
      <c r="AB795" s="20" t="s">
        <v>1432</v>
      </c>
      <c r="AC795" s="20" t="s">
        <v>1432</v>
      </c>
      <c r="AD795" s="20" t="s">
        <v>1432</v>
      </c>
      <c r="AE795" s="20"/>
      <c r="AF795" s="9" t="n">
        <v>0</v>
      </c>
      <c r="AG795" s="12" t="n">
        <v>0</v>
      </c>
      <c r="AH795" s="22" t="s">
        <v>161</v>
      </c>
      <c r="AI795" s="12" t="str">
        <f>IF(AH795="","",IFERROR(RIGHT("0000"&amp;AH795,4)&amp;" - "&amp;UPPER(_xlfn.XLOOKUP(RIGHT("0000"&amp;AH795,4),CODEBOOK_CAP!$C$2:$C$212,CODEBOOK_CAP!$D$2:$D$212)),"Código CAP não encontrado"))</f>
        <v>2300 - GERAL</v>
      </c>
      <c r="AJ795" s="12" t="str">
        <f>IF(AH795="","",IFERROR(_xlfn.XLOOKUP(RIGHT("0000"&amp;AH795,4),CODEBOOK_CAP!$C$2:$C$212,CODEBOOK_CAP!$E$2:$E$212),"Código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95" s="22" t="s">
        <v>79</v>
      </c>
      <c r="AL795" s="26" t="s">
        <v>4295</v>
      </c>
      <c r="AM795" s="22" t="s">
        <v>79</v>
      </c>
      <c r="AN795" s="22" t="s">
        <v>79</v>
      </c>
      <c r="AO795" s="12" t="s">
        <v>4295</v>
      </c>
      <c r="AP795" s="22" t="s">
        <v>77</v>
      </c>
      <c r="AQ795" s="12"/>
      <c r="AR795" s="22" t="s">
        <v>77</v>
      </c>
      <c r="AS795" s="10"/>
      <c r="AT795" s="2" t="s">
        <v>1814</v>
      </c>
      <c r="AU795" s="12" t="s">
        <v>83</v>
      </c>
      <c r="AV795" s="3" t="n">
        <v>46224</v>
      </c>
      <c r="AW795" s="21"/>
      <c r="AX795" s="1" t="s">
        <v>6956</v>
      </c>
      <c r="AY795" s="1"/>
      <c r="BA795" s="1"/>
      <c r="BB795" s="1"/>
    </row>
    <row r="796" ht="105" customHeight="1">
      <c r="A796" s="20" t="s">
        <v>4296</v>
      </c>
      <c r="B796" s="20" t="n">
        <v>2023</v>
      </c>
      <c r="C796" s="20" t="n">
        <v>25</v>
      </c>
      <c r="D796" s="20" t="s">
        <v>50</v>
      </c>
      <c r="E796" s="20" t="s">
        <v>4205</v>
      </c>
      <c r="F796" s="20" t="s">
        <v>4297</v>
      </c>
      <c r="G796" s="20" t="s">
        <v>86</v>
      </c>
      <c r="H796" s="20" t="s">
        <v>4207</v>
      </c>
      <c r="I796" s="20"/>
      <c r="J796" s="20" t="s">
        <v>4298</v>
      </c>
      <c r="K796" s="20" t="s">
        <v>1587</v>
      </c>
      <c r="L796" s="20" t="s">
        <v>186</v>
      </c>
      <c r="M796" s="20" t="s">
        <v>187</v>
      </c>
      <c r="N796" s="20" t="s">
        <v>188</v>
      </c>
      <c r="O796" s="20" t="s">
        <v>189</v>
      </c>
      <c r="P796" s="20" t="s">
        <v>190</v>
      </c>
      <c r="Q796" s="20" t="s">
        <v>191</v>
      </c>
      <c r="R796" s="20" t="s">
        <v>192</v>
      </c>
      <c r="S796" s="20" t="s">
        <v>193</v>
      </c>
      <c r="T796" s="20" t="s">
        <v>194</v>
      </c>
      <c r="U796" s="20" t="s">
        <v>195</v>
      </c>
      <c r="V796" s="20" t="s">
        <v>196</v>
      </c>
      <c r="W796" s="20" t="s">
        <v>68</v>
      </c>
      <c r="X796" s="20" t="s">
        <v>69</v>
      </c>
      <c r="Y796" s="20" t="s">
        <v>70</v>
      </c>
      <c r="Z796" s="20" t="s">
        <v>197</v>
      </c>
      <c r="AA796" s="20" t="s">
        <v>292</v>
      </c>
      <c r="AB796" s="20" t="s">
        <v>1432</v>
      </c>
      <c r="AC796" s="20" t="s">
        <v>1432</v>
      </c>
      <c r="AD796" s="20" t="s">
        <v>1432</v>
      </c>
      <c r="AE796" s="20"/>
      <c r="AF796" s="9" t="n">
        <v>0</v>
      </c>
      <c r="AG796" s="12" t="n">
        <v>0</v>
      </c>
      <c r="AH796" s="22" t="s">
        <v>161</v>
      </c>
      <c r="AI796" s="12" t="str">
        <f>IF(AH796="","",IFERROR(RIGHT("0000"&amp;AH796,4)&amp;" - "&amp;UPPER(_xlfn.XLOOKUP(RIGHT("0000"&amp;AH796,4),CODEBOOK_CAP!$C$2:$C$212,CODEBOOK_CAP!$D$2:$D$212)),"Código CAP não encontrado"))</f>
        <v>2300 - GERAL</v>
      </c>
      <c r="AJ796" s="12" t="str">
        <f>IF(AH796="","",IFERROR(_xlfn.XLOOKUP(RIGHT("0000"&amp;AH796,4),CODEBOOK_CAP!$C$2:$C$212,CODEBOOK_CAP!$E$2:$E$212),"Código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96" s="22" t="s">
        <v>79</v>
      </c>
      <c r="AL796" s="26" t="s">
        <v>4299</v>
      </c>
      <c r="AM796" s="22" t="s">
        <v>79</v>
      </c>
      <c r="AN796" s="22" t="s">
        <v>79</v>
      </c>
      <c r="AO796" s="12" t="s">
        <v>4299</v>
      </c>
      <c r="AP796" s="22" t="s">
        <v>77</v>
      </c>
      <c r="AQ796" s="12"/>
      <c r="AR796" s="22" t="s">
        <v>77</v>
      </c>
      <c r="AS796" s="10"/>
      <c r="AT796" s="2" t="s">
        <v>1814</v>
      </c>
      <c r="AU796" s="12" t="s">
        <v>83</v>
      </c>
      <c r="AV796" s="3" t="n">
        <v>46224</v>
      </c>
      <c r="AW796" s="21"/>
      <c r="AX796" s="1" t="s">
        <v>6956</v>
      </c>
      <c r="AY796" s="1"/>
      <c r="BA796" s="1"/>
      <c r="BB796" s="1"/>
    </row>
    <row r="797" ht="105" customHeight="1">
      <c r="A797" s="20" t="s">
        <v>4300</v>
      </c>
      <c r="B797" s="20" t="n">
        <v>2023</v>
      </c>
      <c r="C797" s="20" t="n">
        <v>26</v>
      </c>
      <c r="D797" s="20" t="s">
        <v>50</v>
      </c>
      <c r="E797" s="20" t="s">
        <v>4205</v>
      </c>
      <c r="F797" s="20" t="s">
        <v>4301</v>
      </c>
      <c r="G797" s="20" t="s">
        <v>86</v>
      </c>
      <c r="H797" s="20" t="s">
        <v>4207</v>
      </c>
      <c r="I797" s="20"/>
      <c r="J797" s="20" t="s">
        <v>4302</v>
      </c>
      <c r="K797" s="20" t="s">
        <v>185</v>
      </c>
      <c r="L797" s="20" t="s">
        <v>186</v>
      </c>
      <c r="M797" s="20" t="s">
        <v>187</v>
      </c>
      <c r="N797" s="20" t="s">
        <v>188</v>
      </c>
      <c r="O797" s="20" t="s">
        <v>189</v>
      </c>
      <c r="P797" s="20" t="s">
        <v>190</v>
      </c>
      <c r="Q797" s="20" t="s">
        <v>191</v>
      </c>
      <c r="R797" s="20" t="s">
        <v>192</v>
      </c>
      <c r="S797" s="20" t="s">
        <v>193</v>
      </c>
      <c r="T797" s="20" t="s">
        <v>194</v>
      </c>
      <c r="U797" s="20" t="s">
        <v>195</v>
      </c>
      <c r="V797" s="20" t="s">
        <v>196</v>
      </c>
      <c r="W797" s="20" t="s">
        <v>68</v>
      </c>
      <c r="X797" s="20" t="s">
        <v>69</v>
      </c>
      <c r="Y797" s="20" t="s">
        <v>70</v>
      </c>
      <c r="Z797" s="20" t="s">
        <v>197</v>
      </c>
      <c r="AA797" s="20" t="s">
        <v>292</v>
      </c>
      <c r="AB797" s="20" t="s">
        <v>2773</v>
      </c>
      <c r="AC797" s="20" t="s">
        <v>2773</v>
      </c>
      <c r="AD797" s="20" t="s">
        <v>2773</v>
      </c>
      <c r="AE797" s="20"/>
      <c r="AF797" s="9" t="n">
        <v>0</v>
      </c>
      <c r="AG797" s="12" t="n">
        <v>0</v>
      </c>
      <c r="AH797" s="22" t="s">
        <v>161</v>
      </c>
      <c r="AI797" s="12" t="str">
        <f>IF(AH797="","",IFERROR(RIGHT("0000"&amp;AH797,4)&amp;" - "&amp;UPPER(_xlfn.XLOOKUP(RIGHT("0000"&amp;AH797,4),CODEBOOK_CAP!$C$2:$C$212,CODEBOOK_CAP!$D$2:$D$212)),"Código CAP não encontrado"))</f>
        <v>2300 - GERAL</v>
      </c>
      <c r="AJ797" s="12" t="str">
        <f>IF(AH797="","",IFERROR(_xlfn.XLOOKUP(RIGHT("0000"&amp;AH797,4),CODEBOOK_CAP!$C$2:$C$212,CODEBOOK_CAP!$E$2:$E$212),"Código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797" s="22" t="s">
        <v>79</v>
      </c>
      <c r="AL797" s="26" t="s">
        <v>4303</v>
      </c>
      <c r="AM797" s="22" t="s">
        <v>79</v>
      </c>
      <c r="AN797" s="22" t="s">
        <v>79</v>
      </c>
      <c r="AO797" s="12" t="s">
        <v>4303</v>
      </c>
      <c r="AP797" s="22" t="s">
        <v>77</v>
      </c>
      <c r="AQ797" s="12"/>
      <c r="AR797" s="22" t="s">
        <v>77</v>
      </c>
      <c r="AS797" s="10"/>
      <c r="AT797" s="2" t="s">
        <v>1814</v>
      </c>
      <c r="AU797" s="12" t="s">
        <v>83</v>
      </c>
      <c r="AV797" s="3" t="n">
        <v>46224</v>
      </c>
      <c r="AW797" s="21"/>
      <c r="AX797" s="1" t="s">
        <v>6956</v>
      </c>
      <c r="AY797" s="1"/>
      <c r="BA797" s="1"/>
      <c r="BB797" s="1"/>
    </row>
    <row r="798" ht="120" customHeight="1">
      <c r="A798" s="20" t="s">
        <v>4304</v>
      </c>
      <c r="B798" s="20" t="n">
        <v>2023</v>
      </c>
      <c r="C798" s="20" t="n">
        <v>27</v>
      </c>
      <c r="D798" s="20" t="s">
        <v>50</v>
      </c>
      <c r="E798" s="20" t="s">
        <v>4205</v>
      </c>
      <c r="F798" s="20" t="s">
        <v>4305</v>
      </c>
      <c r="G798" s="20" t="s">
        <v>86</v>
      </c>
      <c r="H798" s="20" t="s">
        <v>4207</v>
      </c>
      <c r="I798" s="20"/>
      <c r="J798" s="20" t="s">
        <v>4306</v>
      </c>
      <c r="K798" s="20" t="s">
        <v>56</v>
      </c>
      <c r="L798" s="20" t="s">
        <v>57</v>
      </c>
      <c r="M798" s="20" t="s">
        <v>58</v>
      </c>
      <c r="N798" s="20" t="s">
        <v>59</v>
      </c>
      <c r="O798" s="20" t="s">
        <v>60</v>
      </c>
      <c r="P798" s="20" t="s">
        <v>61</v>
      </c>
      <c r="Q798" s="20" t="s">
        <v>62</v>
      </c>
      <c r="R798" s="20" t="s">
        <v>63</v>
      </c>
      <c r="S798" s="20" t="s">
        <v>64</v>
      </c>
      <c r="T798" s="20" t="s">
        <v>65</v>
      </c>
      <c r="U798" s="20" t="s">
        <v>66</v>
      </c>
      <c r="V798" s="20" t="s">
        <v>67</v>
      </c>
      <c r="W798" s="20" t="s">
        <v>68</v>
      </c>
      <c r="X798" s="20" t="s">
        <v>69</v>
      </c>
      <c r="Y798" s="20" t="s">
        <v>70</v>
      </c>
      <c r="Z798" s="20" t="s">
        <v>71</v>
      </c>
      <c r="AA798" s="20" t="s">
        <v>160</v>
      </c>
      <c r="AB798" s="20" t="s">
        <v>4307</v>
      </c>
      <c r="AC798" s="20" t="s">
        <v>4308</v>
      </c>
      <c r="AD798" s="20" t="s">
        <v>4308</v>
      </c>
      <c r="AE798" s="20"/>
      <c r="AF798" s="9" t="n">
        <v>1</v>
      </c>
      <c r="AG798" s="12" t="n">
        <v>1</v>
      </c>
      <c r="AH798" s="22" t="s">
        <v>235</v>
      </c>
      <c r="AI798" s="12" t="str">
        <f>IF(AH798="","",IFERROR(RIGHT("0000"&amp;AH798,4)&amp;" - "&amp;UPPER(_xlfn.XLOOKUP(RIGHT("0000"&amp;AH798,4),CODEBOOK_CAP!$C$2:$C$212,CODEBOOK_CAP!$D$2:$D$212)),"Código CAP não encontrado"))</f>
        <v>0322 - ESTRUTURAS, HOSPITAIS, CLÍNICAS</v>
      </c>
      <c r="AJ798" s="12" t="str">
        <f>IF(AH798="","",IFERROR(_xlfn.XLOOKUP(RIGHT("0000"&amp;AH798,4),CODEBOOK_CAP!$C$2:$C$212,CODEBOOK_CAP!$E$2:$E$212),"Código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8" s="22" t="s">
        <v>77</v>
      </c>
      <c r="AL798" s="26"/>
      <c r="AM798" s="22" t="s">
        <v>79</v>
      </c>
      <c r="AN798" s="22" t="s">
        <v>79</v>
      </c>
      <c r="AO798" s="12" t="s">
        <v>4309</v>
      </c>
      <c r="AP798" s="22" t="s">
        <v>77</v>
      </c>
      <c r="AQ798" s="12"/>
      <c r="AR798" s="22" t="s">
        <v>77</v>
      </c>
      <c r="AS798" s="10"/>
      <c r="AT798" s="2" t="s">
        <v>1814</v>
      </c>
      <c r="AU798" s="12" t="s">
        <v>83</v>
      </c>
      <c r="AV798" s="3" t="n">
        <v>46224</v>
      </c>
      <c r="AW798" s="21"/>
      <c r="AY798" s="1"/>
      <c r="BA798" s="1"/>
      <c r="BB798" s="1"/>
    </row>
    <row r="799" ht="120" customHeight="1">
      <c r="A799" s="20" t="s">
        <v>4310</v>
      </c>
      <c r="B799" s="20" t="n">
        <v>2023</v>
      </c>
      <c r="C799" s="20" t="n">
        <v>28</v>
      </c>
      <c r="D799" s="20" t="s">
        <v>50</v>
      </c>
      <c r="E799" s="20" t="s">
        <v>4205</v>
      </c>
      <c r="F799" s="20" t="s">
        <v>4311</v>
      </c>
      <c r="G799" s="20" t="s">
        <v>86</v>
      </c>
      <c r="H799" s="20" t="s">
        <v>4207</v>
      </c>
      <c r="I799" s="20"/>
      <c r="J799" s="20" t="s">
        <v>4312</v>
      </c>
      <c r="K799" s="20" t="s">
        <v>122</v>
      </c>
      <c r="L799" s="20" t="s">
        <v>57</v>
      </c>
      <c r="M799" s="20" t="s">
        <v>58</v>
      </c>
      <c r="N799" s="20" t="s">
        <v>59</v>
      </c>
      <c r="O799" s="20" t="s">
        <v>60</v>
      </c>
      <c r="P799" s="20" t="s">
        <v>89</v>
      </c>
      <c r="Q799" s="20" t="s">
        <v>90</v>
      </c>
      <c r="R799" s="20" t="s">
        <v>91</v>
      </c>
      <c r="S799" s="20" t="s">
        <v>92</v>
      </c>
      <c r="T799" s="20" t="s">
        <v>123</v>
      </c>
      <c r="U799" s="20" t="s">
        <v>124</v>
      </c>
      <c r="V799" s="20" t="s">
        <v>95</v>
      </c>
      <c r="W799" s="20" t="s">
        <v>96</v>
      </c>
      <c r="X799" s="20" t="s">
        <v>97</v>
      </c>
      <c r="Y799" s="20" t="s">
        <v>70</v>
      </c>
      <c r="Z799" s="20" t="s">
        <v>98</v>
      </c>
      <c r="AA799" s="20" t="s">
        <v>4313</v>
      </c>
      <c r="AB799" s="20" t="s">
        <v>4313</v>
      </c>
      <c r="AC799" s="20" t="s">
        <v>4313</v>
      </c>
      <c r="AD799" s="20" t="s">
        <v>4313</v>
      </c>
      <c r="AE799" s="20"/>
      <c r="AF799" s="9" t="n">
        <v>1</v>
      </c>
      <c r="AG799" s="12" t="n">
        <v>1</v>
      </c>
      <c r="AH799" s="22" t="s">
        <v>235</v>
      </c>
      <c r="AI799" s="12" t="str">
        <f>IF(AH799="","",IFERROR(RIGHT("0000"&amp;AH799,4)&amp;" - "&amp;UPPER(_xlfn.XLOOKUP(RIGHT("0000"&amp;AH799,4),CODEBOOK_CAP!$C$2:$C$212,CODEBOOK_CAP!$D$2:$D$212)),"Código CAP não encontrado"))</f>
        <v>0322 - ESTRUTURAS, HOSPITAIS, CLÍNICAS</v>
      </c>
      <c r="AJ799" s="12" t="str">
        <f>IF(AH799="","",IFERROR(_xlfn.XLOOKUP(RIGHT("0000"&amp;AH799,4),CODEBOOK_CAP!$C$2:$C$212,CODEBOOK_CAP!$E$2:$E$212),"Código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799" s="22" t="s">
        <v>77</v>
      </c>
      <c r="AL799" s="26"/>
      <c r="AM799" s="22" t="s">
        <v>79</v>
      </c>
      <c r="AN799" s="22" t="s">
        <v>79</v>
      </c>
      <c r="AO799" s="12" t="s">
        <v>4314</v>
      </c>
      <c r="AP799" s="22" t="s">
        <v>77</v>
      </c>
      <c r="AQ799" s="12"/>
      <c r="AR799" s="22" t="s">
        <v>77</v>
      </c>
      <c r="AS799" s="10"/>
      <c r="AT799" s="2" t="s">
        <v>1814</v>
      </c>
      <c r="AU799" s="12" t="s">
        <v>83</v>
      </c>
      <c r="AV799" s="3" t="n">
        <v>46224</v>
      </c>
      <c r="AW799" s="21"/>
      <c r="AY799" s="1"/>
      <c r="BA799" s="1"/>
      <c r="BB799" s="1"/>
    </row>
    <row r="800" ht="165" customHeight="1">
      <c r="A800" s="20" t="s">
        <v>4315</v>
      </c>
      <c r="B800" s="20" t="n">
        <v>2023</v>
      </c>
      <c r="C800" s="20" t="n">
        <v>29</v>
      </c>
      <c r="D800" s="20" t="s">
        <v>50</v>
      </c>
      <c r="E800" s="20" t="s">
        <v>4205</v>
      </c>
      <c r="F800" s="20" t="s">
        <v>4316</v>
      </c>
      <c r="G800" s="20" t="s">
        <v>86</v>
      </c>
      <c r="H800" s="20" t="s">
        <v>4207</v>
      </c>
      <c r="I800" s="20"/>
      <c r="J800" s="20" t="s">
        <v>4317</v>
      </c>
      <c r="K800" s="20" t="s">
        <v>1267</v>
      </c>
      <c r="L800" s="20" t="s">
        <v>57</v>
      </c>
      <c r="M800" s="20" t="s">
        <v>58</v>
      </c>
      <c r="N800" s="20" t="s">
        <v>59</v>
      </c>
      <c r="O800" s="20" t="s">
        <v>60</v>
      </c>
      <c r="P800" s="20" t="s">
        <v>111</v>
      </c>
      <c r="Q800" s="20" t="s">
        <v>112</v>
      </c>
      <c r="R800" s="20" t="s">
        <v>113</v>
      </c>
      <c r="S800" s="20" t="s">
        <v>114</v>
      </c>
      <c r="T800" s="20" t="s">
        <v>115</v>
      </c>
      <c r="U800" s="20" t="s">
        <v>114</v>
      </c>
      <c r="V800" s="20" t="s">
        <v>854</v>
      </c>
      <c r="W800" s="20" t="s">
        <v>96</v>
      </c>
      <c r="X800" s="20" t="s">
        <v>97</v>
      </c>
      <c r="Y800" s="20" t="s">
        <v>70</v>
      </c>
      <c r="Z800" s="20" t="s">
        <v>98</v>
      </c>
      <c r="AA800" s="20" t="s">
        <v>160</v>
      </c>
      <c r="AB800" s="20" t="s">
        <v>4318</v>
      </c>
      <c r="AC800" s="20" t="s">
        <v>4319</v>
      </c>
      <c r="AD800" s="20" t="s">
        <v>4319</v>
      </c>
      <c r="AE800" s="20" t="s">
        <v>1800</v>
      </c>
      <c r="AF800" s="9" t="n">
        <v>1</v>
      </c>
      <c r="AG800" s="12" t="n">
        <v>0</v>
      </c>
      <c r="AH800" s="22" t="s">
        <v>1269</v>
      </c>
      <c r="AI800" s="12" t="str">
        <f>IF(AH800="","",IFERROR(RIGHT("0000"&amp;AH800,4)&amp;" - "&amp;UPPER(_xlfn.XLOOKUP(RIGHT("0000"&amp;AH800,4),CODEBOOK_CAP!$C$2:$C$212,CODEBOOK_CAP!$D$2:$D$212)),"Código CAP não encontrado"))</f>
        <v>0405 - CONTROLE DE DOENÇAS ANIMAIS</v>
      </c>
      <c r="AJ800" s="12" t="str">
        <f>IF(AH800="","",IFERROR(_xlfn.XLOOKUP(RIGHT("0000"&amp;AH800,4),CODEBOOK_CAP!$C$2:$C$212,CODEBOOK_CAP!$E$2:$E$212),"Código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800" s="22" t="s">
        <v>77</v>
      </c>
      <c r="AL800" s="26"/>
      <c r="AM800" s="22" t="s">
        <v>77</v>
      </c>
      <c r="AN800" s="22" t="s">
        <v>77</v>
      </c>
      <c r="AO800" s="12"/>
      <c r="AP800" s="22" t="s">
        <v>79</v>
      </c>
      <c r="AQ800" s="12" t="s">
        <v>1270</v>
      </c>
      <c r="AR800" s="22" t="s">
        <v>79</v>
      </c>
      <c r="AS800" s="10" t="s">
        <v>1800</v>
      </c>
      <c r="AT800" s="2" t="s">
        <v>1814</v>
      </c>
      <c r="AU800" s="12" t="s">
        <v>83</v>
      </c>
      <c r="AV800" s="3" t="n">
        <v>46224</v>
      </c>
      <c r="AW800" s="21"/>
      <c r="AY800" s="1"/>
      <c r="BA800" s="1"/>
      <c r="BB800" s="1"/>
    </row>
    <row r="801" ht="165" customHeight="1">
      <c r="A801" s="20" t="s">
        <v>4320</v>
      </c>
      <c r="B801" s="20" t="n">
        <v>2023</v>
      </c>
      <c r="C801" s="20" t="n">
        <v>30</v>
      </c>
      <c r="D801" s="20" t="s">
        <v>50</v>
      </c>
      <c r="E801" s="20" t="s">
        <v>4205</v>
      </c>
      <c r="F801" s="20" t="s">
        <v>4321</v>
      </c>
      <c r="G801" s="20" t="s">
        <v>86</v>
      </c>
      <c r="H801" s="20" t="s">
        <v>4207</v>
      </c>
      <c r="I801" s="20"/>
      <c r="J801" s="20" t="s">
        <v>4322</v>
      </c>
      <c r="K801" s="20" t="s">
        <v>1267</v>
      </c>
      <c r="L801" s="20" t="s">
        <v>57</v>
      </c>
      <c r="M801" s="20" t="s">
        <v>58</v>
      </c>
      <c r="N801" s="20" t="s">
        <v>59</v>
      </c>
      <c r="O801" s="20" t="s">
        <v>60</v>
      </c>
      <c r="P801" s="20" t="s">
        <v>111</v>
      </c>
      <c r="Q801" s="20" t="s">
        <v>112</v>
      </c>
      <c r="R801" s="20" t="s">
        <v>113</v>
      </c>
      <c r="S801" s="20" t="s">
        <v>114</v>
      </c>
      <c r="T801" s="20" t="s">
        <v>115</v>
      </c>
      <c r="U801" s="20" t="s">
        <v>114</v>
      </c>
      <c r="V801" s="20" t="s">
        <v>854</v>
      </c>
      <c r="W801" s="20" t="s">
        <v>96</v>
      </c>
      <c r="X801" s="20" t="s">
        <v>97</v>
      </c>
      <c r="Y801" s="20" t="s">
        <v>70</v>
      </c>
      <c r="Z801" s="20" t="s">
        <v>98</v>
      </c>
      <c r="AA801" s="20" t="s">
        <v>125</v>
      </c>
      <c r="AB801" s="20" t="s">
        <v>4323</v>
      </c>
      <c r="AC801" s="20" t="s">
        <v>4323</v>
      </c>
      <c r="AD801" s="20" t="s">
        <v>4323</v>
      </c>
      <c r="AE801" s="20" t="s">
        <v>4324</v>
      </c>
      <c r="AF801" s="9" t="n">
        <v>1</v>
      </c>
      <c r="AG801" s="12" t="n">
        <v>0</v>
      </c>
      <c r="AH801" s="22" t="s">
        <v>1269</v>
      </c>
      <c r="AI801" s="12" t="str">
        <f>IF(AH801="","",IFERROR(RIGHT("0000"&amp;AH801,4)&amp;" - "&amp;UPPER(_xlfn.XLOOKUP(RIGHT("0000"&amp;AH801,4),CODEBOOK_CAP!$C$2:$C$212,CODEBOOK_CAP!$D$2:$D$212)),"Código CAP não encontrado"))</f>
        <v>0405 - CONTROLE DE DOENÇAS ANIMAIS</v>
      </c>
      <c r="AJ801" s="12" t="str">
        <f>IF(AH801="","",IFERROR(_xlfn.XLOOKUP(RIGHT("0000"&amp;AH801,4),CODEBOOK_CAP!$C$2:$C$212,CODEBOOK_CAP!$E$2:$E$212),"Código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801" s="22" t="s">
        <v>77</v>
      </c>
      <c r="AL801" s="26"/>
      <c r="AM801" s="22" t="s">
        <v>77</v>
      </c>
      <c r="AN801" s="22" t="s">
        <v>77</v>
      </c>
      <c r="AO801" s="12"/>
      <c r="AP801" s="22" t="s">
        <v>79</v>
      </c>
      <c r="AQ801" s="12" t="s">
        <v>2331</v>
      </c>
      <c r="AR801" s="22" t="s">
        <v>79</v>
      </c>
      <c r="AS801" s="10" t="s">
        <v>4324</v>
      </c>
      <c r="AT801" s="2" t="s">
        <v>1814</v>
      </c>
      <c r="AU801" s="12" t="s">
        <v>83</v>
      </c>
      <c r="AV801" s="3" t="n">
        <v>46224</v>
      </c>
      <c r="AW801" s="21"/>
      <c r="AY801" s="1"/>
      <c r="BA801" s="1"/>
      <c r="BB801" s="1"/>
    </row>
    <row r="802" ht="165" customHeight="1">
      <c r="A802" s="20" t="s">
        <v>4325</v>
      </c>
      <c r="B802" s="20" t="n">
        <v>2023</v>
      </c>
      <c r="C802" s="20" t="n">
        <v>31</v>
      </c>
      <c r="D802" s="20" t="s">
        <v>50</v>
      </c>
      <c r="E802" s="20" t="s">
        <v>4205</v>
      </c>
      <c r="F802" s="20" t="s">
        <v>4326</v>
      </c>
      <c r="G802" s="20" t="s">
        <v>86</v>
      </c>
      <c r="H802" s="20" t="s">
        <v>4207</v>
      </c>
      <c r="I802" s="20"/>
      <c r="J802" s="20" t="s">
        <v>4327</v>
      </c>
      <c r="K802" s="20" t="s">
        <v>2137</v>
      </c>
      <c r="L802" s="20" t="s">
        <v>1254</v>
      </c>
      <c r="M802" s="20" t="s">
        <v>1255</v>
      </c>
      <c r="N802" s="20" t="s">
        <v>660</v>
      </c>
      <c r="O802" s="20" t="s">
        <v>661</v>
      </c>
      <c r="P802" s="20" t="s">
        <v>2138</v>
      </c>
      <c r="Q802" s="20" t="s">
        <v>2139</v>
      </c>
      <c r="R802" s="20" t="s">
        <v>2140</v>
      </c>
      <c r="S802" s="20" t="s">
        <v>2141</v>
      </c>
      <c r="T802" s="20" t="s">
        <v>2142</v>
      </c>
      <c r="U802" s="20" t="s">
        <v>2143</v>
      </c>
      <c r="V802" s="20" t="s">
        <v>95</v>
      </c>
      <c r="W802" s="20" t="s">
        <v>96</v>
      </c>
      <c r="X802" s="20" t="s">
        <v>97</v>
      </c>
      <c r="Y802" s="20" t="s">
        <v>70</v>
      </c>
      <c r="Z802" s="20" t="s">
        <v>1260</v>
      </c>
      <c r="AA802" s="20" t="s">
        <v>409</v>
      </c>
      <c r="AB802" s="20" t="s">
        <v>409</v>
      </c>
      <c r="AC802" s="20" t="s">
        <v>409</v>
      </c>
      <c r="AD802" s="20" t="s">
        <v>409</v>
      </c>
      <c r="AE802" s="20"/>
      <c r="AF802" s="9" t="n">
        <v>0</v>
      </c>
      <c r="AG802" s="12" t="n">
        <v>0</v>
      </c>
      <c r="AH802" s="22" t="s">
        <v>1269</v>
      </c>
      <c r="AI802" s="12" t="str">
        <f>IF(AH802="","",IFERROR(RIGHT("0000"&amp;AH802,4)&amp;" - "&amp;UPPER(_xlfn.XLOOKUP(RIGHT("0000"&amp;AH802,4),CODEBOOK_CAP!$C$2:$C$212,CODEBOOK_CAP!$D$2:$D$212)),"Código CAP não encontrado"))</f>
        <v>0405 - CONTROLE DE DOENÇAS ANIMAIS</v>
      </c>
      <c r="AJ802" s="12" t="str">
        <f>IF(AH802="","",IFERROR(_xlfn.XLOOKUP(RIGHT("0000"&amp;AH802,4),CODEBOOK_CAP!$C$2:$C$212,CODEBOOK_CAP!$E$2:$E$212),"Código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802" s="22" t="n">
        <v>1</v>
      </c>
      <c r="AL802" s="26" t="s">
        <v>10100</v>
      </c>
      <c r="AM802" s="22" t="n">
        <v>1</v>
      </c>
      <c r="AN802" s="22" t="n">
        <v>1</v>
      </c>
      <c r="AO802" s="12" t="s">
        <v>10101</v>
      </c>
      <c r="AP802" s="22" t="s">
        <v>79</v>
      </c>
      <c r="AQ802" s="12" t="s">
        <v>1270</v>
      </c>
      <c r="AR802" s="22" t="s">
        <v>77</v>
      </c>
      <c r="AS802" s="10"/>
      <c r="AT802" s="2" t="s">
        <v>1814</v>
      </c>
      <c r="AU802" s="12" t="s">
        <v>83</v>
      </c>
      <c r="AV802" s="3" t="n">
        <v>46224</v>
      </c>
      <c r="AW802" s="21"/>
      <c r="AY802" s="1"/>
      <c r="BA802" s="1"/>
      <c r="BB802" s="1"/>
    </row>
    <row r="803" ht="120" customHeight="1">
      <c r="A803" s="20" t="s">
        <v>4328</v>
      </c>
      <c r="B803" s="20" t="n">
        <v>2023</v>
      </c>
      <c r="C803" s="20" t="n">
        <v>32</v>
      </c>
      <c r="D803" s="20" t="s">
        <v>50</v>
      </c>
      <c r="E803" s="20" t="s">
        <v>4205</v>
      </c>
      <c r="F803" s="20" t="s">
        <v>4329</v>
      </c>
      <c r="G803" s="20" t="s">
        <v>86</v>
      </c>
      <c r="H803" s="20" t="s">
        <v>4207</v>
      </c>
      <c r="I803" s="20"/>
      <c r="J803" s="20" t="s">
        <v>4330</v>
      </c>
      <c r="K803" s="20" t="s">
        <v>56</v>
      </c>
      <c r="L803" s="20" t="s">
        <v>57</v>
      </c>
      <c r="M803" s="20" t="s">
        <v>58</v>
      </c>
      <c r="N803" s="20" t="s">
        <v>59</v>
      </c>
      <c r="O803" s="20" t="s">
        <v>60</v>
      </c>
      <c r="P803" s="20" t="s">
        <v>61</v>
      </c>
      <c r="Q803" s="20" t="s">
        <v>62</v>
      </c>
      <c r="R803" s="20" t="s">
        <v>63</v>
      </c>
      <c r="S803" s="20" t="s">
        <v>64</v>
      </c>
      <c r="T803" s="20" t="s">
        <v>65</v>
      </c>
      <c r="U803" s="20" t="s">
        <v>66</v>
      </c>
      <c r="V803" s="20" t="s">
        <v>67</v>
      </c>
      <c r="W803" s="20" t="s">
        <v>68</v>
      </c>
      <c r="X803" s="20" t="s">
        <v>69</v>
      </c>
      <c r="Y803" s="20" t="s">
        <v>70</v>
      </c>
      <c r="Z803" s="20" t="s">
        <v>71</v>
      </c>
      <c r="AA803" s="20" t="s">
        <v>4331</v>
      </c>
      <c r="AB803" s="20" t="s">
        <v>4332</v>
      </c>
      <c r="AC803" s="20" t="s">
        <v>4332</v>
      </c>
      <c r="AD803" s="20" t="s">
        <v>4332</v>
      </c>
      <c r="AE803" s="20" t="s">
        <v>4333</v>
      </c>
      <c r="AF803" s="9" t="n">
        <v>1</v>
      </c>
      <c r="AG803" s="12" t="n">
        <v>1</v>
      </c>
      <c r="AH803" s="22" t="s">
        <v>235</v>
      </c>
      <c r="AI803" s="12" t="str">
        <f>IF(AH803="","",IFERROR(RIGHT("0000"&amp;AH803,4)&amp;" - "&amp;UPPER(_xlfn.XLOOKUP(RIGHT("0000"&amp;AH803,4),CODEBOOK_CAP!$C$2:$C$212,CODEBOOK_CAP!$D$2:$D$212)),"Código CAP não encontrado"))</f>
        <v>0322 - ESTRUTURAS, HOSPITAIS, CLÍNICAS</v>
      </c>
      <c r="AJ803" s="12" t="str">
        <f>IF(AH803="","",IFERROR(_xlfn.XLOOKUP(RIGHT("0000"&amp;AH803,4),CODEBOOK_CAP!$C$2:$C$212,CODEBOOK_CAP!$E$2:$E$212),"Código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03" s="22" t="s">
        <v>77</v>
      </c>
      <c r="AL803" s="26"/>
      <c r="AM803" s="22" t="s">
        <v>79</v>
      </c>
      <c r="AN803" s="22" t="s">
        <v>79</v>
      </c>
      <c r="AO803" s="12" t="s">
        <v>4334</v>
      </c>
      <c r="AP803" s="22" t="s">
        <v>77</v>
      </c>
      <c r="AQ803" s="12"/>
      <c r="AR803" s="22" t="s">
        <v>79</v>
      </c>
      <c r="AS803" s="10" t="s">
        <v>4333</v>
      </c>
      <c r="AT803" s="2" t="s">
        <v>1814</v>
      </c>
      <c r="AU803" s="12" t="s">
        <v>83</v>
      </c>
      <c r="AV803" s="3" t="n">
        <v>46224</v>
      </c>
      <c r="AW803" s="21"/>
      <c r="AY803" s="1"/>
      <c r="BA803" s="1"/>
      <c r="BB803" s="1"/>
    </row>
    <row r="804" ht="105" customHeight="1">
      <c r="A804" s="20" t="s">
        <v>4335</v>
      </c>
      <c r="B804" s="20" t="n">
        <v>2023</v>
      </c>
      <c r="C804" s="20" t="n">
        <v>850</v>
      </c>
      <c r="D804" s="20" t="s">
        <v>50</v>
      </c>
      <c r="E804" s="20" t="s">
        <v>4336</v>
      </c>
      <c r="F804" s="20" t="s">
        <v>4337</v>
      </c>
      <c r="G804" s="20" t="s">
        <v>183</v>
      </c>
      <c r="H804" s="20" t="s">
        <v>4338</v>
      </c>
      <c r="I804" s="20"/>
      <c r="J804" s="20" t="s">
        <v>4339</v>
      </c>
      <c r="K804" s="20" t="s">
        <v>4340</v>
      </c>
      <c r="L804" s="20" t="s">
        <v>785</v>
      </c>
      <c r="M804" s="20" t="s">
        <v>786</v>
      </c>
      <c r="N804" s="20" t="s">
        <v>787</v>
      </c>
      <c r="O804" s="20" t="s">
        <v>788</v>
      </c>
      <c r="P804" s="20" t="s">
        <v>517</v>
      </c>
      <c r="Q804" s="20" t="s">
        <v>893</v>
      </c>
      <c r="R804" s="20" t="s">
        <v>894</v>
      </c>
      <c r="S804" s="20" t="s">
        <v>895</v>
      </c>
      <c r="T804" s="20" t="s">
        <v>792</v>
      </c>
      <c r="U804" s="20" t="s">
        <v>793</v>
      </c>
      <c r="V804" s="20" t="s">
        <v>1152</v>
      </c>
      <c r="W804" s="20" t="s">
        <v>68</v>
      </c>
      <c r="X804" s="20" t="s">
        <v>69</v>
      </c>
      <c r="Y804" s="20" t="s">
        <v>70</v>
      </c>
      <c r="Z804" s="20" t="s">
        <v>794</v>
      </c>
      <c r="AA804" s="20" t="s">
        <v>740</v>
      </c>
      <c r="AB804" s="20" t="s">
        <v>77</v>
      </c>
      <c r="AC804" s="20" t="s">
        <v>77</v>
      </c>
      <c r="AD804" s="20" t="s">
        <v>77</v>
      </c>
      <c r="AE804" s="20"/>
      <c r="AF804" s="9" t="n">
        <v>0</v>
      </c>
      <c r="AG804" s="12" t="n">
        <v>0</v>
      </c>
      <c r="AH804" s="22" t="s">
        <v>161</v>
      </c>
      <c r="AI804" s="12" t="str">
        <f>IF(AH804="","",IFERROR(RIGHT("0000"&amp;AH804,4)&amp;" - "&amp;UPPER(_xlfn.XLOOKUP(RIGHT("0000"&amp;AH804,4),CODEBOOK_CAP!$C$2:$C$212,CODEBOOK_CAP!$D$2:$D$212)),"Código CAP não encontrado"))</f>
        <v>2300 - GERAL</v>
      </c>
      <c r="AJ804" s="12" t="str">
        <f>IF(AH804="","",IFERROR(_xlfn.XLOOKUP(RIGHT("0000"&amp;AH804,4),CODEBOOK_CAP!$C$2:$C$212,CODEBOOK_CAP!$E$2:$E$212),"Código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04" s="22" t="s">
        <v>77</v>
      </c>
      <c r="AL804" s="26"/>
      <c r="AM804" s="22" t="s">
        <v>77</v>
      </c>
      <c r="AN804" s="22" t="s">
        <v>77</v>
      </c>
      <c r="AO804" s="12"/>
      <c r="AP804" s="22" t="s">
        <v>77</v>
      </c>
      <c r="AQ804" s="12"/>
      <c r="AR804" s="22" t="s">
        <v>77</v>
      </c>
      <c r="AS804" s="10"/>
      <c r="AT804" s="2" t="s">
        <v>1814</v>
      </c>
      <c r="AU804" s="12" t="s">
        <v>83</v>
      </c>
      <c r="AV804" s="3" t="n">
        <v>46224</v>
      </c>
      <c r="AW804" s="21"/>
      <c r="AX804" s="1" t="s">
        <v>6956</v>
      </c>
      <c r="AY804" s="1"/>
      <c r="BA804" s="1"/>
      <c r="BB804" s="1"/>
    </row>
    <row r="805" ht="120" customHeight="1">
      <c r="A805" s="20" t="s">
        <v>4341</v>
      </c>
      <c r="B805" s="20" t="n">
        <v>2023</v>
      </c>
      <c r="C805" s="20" t="n">
        <v>274</v>
      </c>
      <c r="D805" s="20" t="s">
        <v>50</v>
      </c>
      <c r="E805" s="20" t="s">
        <v>4336</v>
      </c>
      <c r="F805" s="20" t="s">
        <v>4342</v>
      </c>
      <c r="G805" s="20" t="s">
        <v>86</v>
      </c>
      <c r="H805" s="20" t="s">
        <v>4338</v>
      </c>
      <c r="I805" s="20"/>
      <c r="J805" s="20" t="s">
        <v>4343</v>
      </c>
      <c r="K805" s="20" t="s">
        <v>122</v>
      </c>
      <c r="L805" s="20" t="s">
        <v>57</v>
      </c>
      <c r="M805" s="20" t="s">
        <v>58</v>
      </c>
      <c r="N805" s="20" t="s">
        <v>59</v>
      </c>
      <c r="O805" s="20" t="s">
        <v>60</v>
      </c>
      <c r="P805" s="20" t="s">
        <v>89</v>
      </c>
      <c r="Q805" s="20" t="s">
        <v>90</v>
      </c>
      <c r="R805" s="20" t="s">
        <v>91</v>
      </c>
      <c r="S805" s="20" t="s">
        <v>92</v>
      </c>
      <c r="T805" s="20" t="s">
        <v>123</v>
      </c>
      <c r="U805" s="20" t="s">
        <v>124</v>
      </c>
      <c r="V805" s="20" t="s">
        <v>95</v>
      </c>
      <c r="W805" s="20" t="s">
        <v>96</v>
      </c>
      <c r="X805" s="20" t="s">
        <v>97</v>
      </c>
      <c r="Y805" s="20" t="s">
        <v>70</v>
      </c>
      <c r="Z805" s="20" t="s">
        <v>98</v>
      </c>
      <c r="AA805" s="20" t="s">
        <v>409</v>
      </c>
      <c r="AB805" s="20" t="s">
        <v>409</v>
      </c>
      <c r="AC805" s="20" t="s">
        <v>409</v>
      </c>
      <c r="AD805" s="20" t="s">
        <v>409</v>
      </c>
      <c r="AE805" s="20"/>
      <c r="AF805" s="9" t="n">
        <v>1</v>
      </c>
      <c r="AG805" s="12" t="n">
        <v>1</v>
      </c>
      <c r="AH805" s="22" t="s">
        <v>235</v>
      </c>
      <c r="AI805" s="12" t="str">
        <f>IF(AH805="","",IFERROR(RIGHT("0000"&amp;AH805,4)&amp;" - "&amp;UPPER(_xlfn.XLOOKUP(RIGHT("0000"&amp;AH805,4),CODEBOOK_CAP!$C$2:$C$212,CODEBOOK_CAP!$D$2:$D$212)),"Código CAP não encontrado"))</f>
        <v>0322 - ESTRUTURAS, HOSPITAIS, CLÍNICAS</v>
      </c>
      <c r="AJ805" s="12" t="str">
        <f>IF(AH805="","",IFERROR(_xlfn.XLOOKUP(RIGHT("0000"&amp;AH805,4),CODEBOOK_CAP!$C$2:$C$212,CODEBOOK_CAP!$E$2:$E$212),"Código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05" s="22" t="s">
        <v>77</v>
      </c>
      <c r="AL805" s="26"/>
      <c r="AM805" s="22" t="s">
        <v>79</v>
      </c>
      <c r="AN805" s="22" t="s">
        <v>79</v>
      </c>
      <c r="AO805" s="12" t="s">
        <v>4344</v>
      </c>
      <c r="AP805" s="22" t="s">
        <v>77</v>
      </c>
      <c r="AQ805" s="12"/>
      <c r="AR805" s="22" t="s">
        <v>77</v>
      </c>
      <c r="AS805" s="10"/>
      <c r="AT805" s="2" t="s">
        <v>1814</v>
      </c>
      <c r="AU805" s="12" t="s">
        <v>83</v>
      </c>
      <c r="AV805" s="3" t="n">
        <v>46224</v>
      </c>
      <c r="AW805" s="21"/>
      <c r="AY805" s="1"/>
      <c r="BA805" s="1"/>
      <c r="BB805" s="1"/>
    </row>
    <row r="806" ht="120" customHeight="1">
      <c r="A806" s="20" t="s">
        <v>4345</v>
      </c>
      <c r="B806" s="20" t="n">
        <v>2023</v>
      </c>
      <c r="C806" s="20" t="n">
        <v>275</v>
      </c>
      <c r="D806" s="20" t="s">
        <v>50</v>
      </c>
      <c r="E806" s="20" t="s">
        <v>4336</v>
      </c>
      <c r="F806" s="20" t="s">
        <v>4346</v>
      </c>
      <c r="G806" s="20" t="s">
        <v>86</v>
      </c>
      <c r="H806" s="20" t="s">
        <v>4338</v>
      </c>
      <c r="I806" s="20"/>
      <c r="J806" s="20" t="s">
        <v>4347</v>
      </c>
      <c r="K806" s="20" t="s">
        <v>122</v>
      </c>
      <c r="L806" s="20" t="s">
        <v>57</v>
      </c>
      <c r="M806" s="20" t="s">
        <v>58</v>
      </c>
      <c r="N806" s="20" t="s">
        <v>59</v>
      </c>
      <c r="O806" s="20" t="s">
        <v>60</v>
      </c>
      <c r="P806" s="20" t="s">
        <v>89</v>
      </c>
      <c r="Q806" s="20" t="s">
        <v>90</v>
      </c>
      <c r="R806" s="20" t="s">
        <v>91</v>
      </c>
      <c r="S806" s="20" t="s">
        <v>92</v>
      </c>
      <c r="T806" s="20" t="s">
        <v>123</v>
      </c>
      <c r="U806" s="20" t="s">
        <v>124</v>
      </c>
      <c r="V806" s="20" t="s">
        <v>95</v>
      </c>
      <c r="W806" s="20" t="s">
        <v>96</v>
      </c>
      <c r="X806" s="20" t="s">
        <v>97</v>
      </c>
      <c r="Y806" s="20" t="s">
        <v>70</v>
      </c>
      <c r="Z806" s="20" t="s">
        <v>98</v>
      </c>
      <c r="AA806" s="20" t="s">
        <v>125</v>
      </c>
      <c r="AB806" s="20" t="s">
        <v>125</v>
      </c>
      <c r="AC806" s="20" t="s">
        <v>125</v>
      </c>
      <c r="AD806" s="20" t="s">
        <v>125</v>
      </c>
      <c r="AE806" s="20"/>
      <c r="AF806" s="9" t="n">
        <v>1</v>
      </c>
      <c r="AG806" s="12" t="n">
        <v>1</v>
      </c>
      <c r="AH806" s="22" t="s">
        <v>235</v>
      </c>
      <c r="AI806" s="12" t="str">
        <f>IF(AH806="","",IFERROR(RIGHT("0000"&amp;AH806,4)&amp;" - "&amp;UPPER(_xlfn.XLOOKUP(RIGHT("0000"&amp;AH806,4),CODEBOOK_CAP!$C$2:$C$212,CODEBOOK_CAP!$D$2:$D$212)),"Código CAP não encontrado"))</f>
        <v>0322 - ESTRUTURAS, HOSPITAIS, CLÍNICAS</v>
      </c>
      <c r="AJ806" s="12" t="str">
        <f>IF(AH806="","",IFERROR(_xlfn.XLOOKUP(RIGHT("0000"&amp;AH806,4),CODEBOOK_CAP!$C$2:$C$212,CODEBOOK_CAP!$E$2:$E$212),"Código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06" s="22" t="s">
        <v>77</v>
      </c>
      <c r="AL806" s="26"/>
      <c r="AM806" s="22" t="s">
        <v>79</v>
      </c>
      <c r="AN806" s="22" t="s">
        <v>79</v>
      </c>
      <c r="AO806" s="12" t="s">
        <v>4348</v>
      </c>
      <c r="AP806" s="22" t="s">
        <v>77</v>
      </c>
      <c r="AQ806" s="12"/>
      <c r="AR806" s="22" t="s">
        <v>77</v>
      </c>
      <c r="AS806" s="10"/>
      <c r="AT806" s="2" t="s">
        <v>1814</v>
      </c>
      <c r="AU806" s="12" t="s">
        <v>83</v>
      </c>
      <c r="AV806" s="3" t="n">
        <v>46224</v>
      </c>
      <c r="AW806" s="21"/>
      <c r="AY806" s="1"/>
      <c r="BA806" s="1"/>
      <c r="BB806" s="1"/>
    </row>
    <row r="807" ht="120" customHeight="1">
      <c r="A807" s="20" t="s">
        <v>4349</v>
      </c>
      <c r="B807" s="20" t="n">
        <v>2023</v>
      </c>
      <c r="C807" s="20" t="n">
        <v>276</v>
      </c>
      <c r="D807" s="20" t="s">
        <v>50</v>
      </c>
      <c r="E807" s="20" t="s">
        <v>4336</v>
      </c>
      <c r="F807" s="20" t="s">
        <v>4350</v>
      </c>
      <c r="G807" s="20" t="s">
        <v>86</v>
      </c>
      <c r="H807" s="20" t="s">
        <v>4338</v>
      </c>
      <c r="I807" s="20"/>
      <c r="J807" s="20" t="s">
        <v>4351</v>
      </c>
      <c r="K807" s="20" t="s">
        <v>122</v>
      </c>
      <c r="L807" s="20" t="s">
        <v>57</v>
      </c>
      <c r="M807" s="20" t="s">
        <v>58</v>
      </c>
      <c r="N807" s="20" t="s">
        <v>59</v>
      </c>
      <c r="O807" s="20" t="s">
        <v>60</v>
      </c>
      <c r="P807" s="20" t="s">
        <v>89</v>
      </c>
      <c r="Q807" s="20" t="s">
        <v>90</v>
      </c>
      <c r="R807" s="20" t="s">
        <v>91</v>
      </c>
      <c r="S807" s="20" t="s">
        <v>92</v>
      </c>
      <c r="T807" s="20" t="s">
        <v>123</v>
      </c>
      <c r="U807" s="20" t="s">
        <v>124</v>
      </c>
      <c r="V807" s="20" t="s">
        <v>95</v>
      </c>
      <c r="W807" s="20" t="s">
        <v>96</v>
      </c>
      <c r="X807" s="20" t="s">
        <v>97</v>
      </c>
      <c r="Y807" s="20" t="s">
        <v>70</v>
      </c>
      <c r="Z807" s="20" t="s">
        <v>98</v>
      </c>
      <c r="AA807" s="20" t="s">
        <v>125</v>
      </c>
      <c r="AB807" s="20" t="s">
        <v>125</v>
      </c>
      <c r="AC807" s="20" t="s">
        <v>125</v>
      </c>
      <c r="AD807" s="20" t="s">
        <v>125</v>
      </c>
      <c r="AE807" s="20"/>
      <c r="AF807" s="9" t="n">
        <v>1</v>
      </c>
      <c r="AG807" s="12" t="n">
        <v>1</v>
      </c>
      <c r="AH807" s="22" t="s">
        <v>235</v>
      </c>
      <c r="AI807" s="12" t="str">
        <f>IF(AH807="","",IFERROR(RIGHT("0000"&amp;AH807,4)&amp;" - "&amp;UPPER(_xlfn.XLOOKUP(RIGHT("0000"&amp;AH807,4),CODEBOOK_CAP!$C$2:$C$212,CODEBOOK_CAP!$D$2:$D$212)),"Código CAP não encontrado"))</f>
        <v>0322 - ESTRUTURAS, HOSPITAIS, CLÍNICAS</v>
      </c>
      <c r="AJ807" s="12" t="str">
        <f>IF(AH807="","",IFERROR(_xlfn.XLOOKUP(RIGHT("0000"&amp;AH807,4),CODEBOOK_CAP!$C$2:$C$212,CODEBOOK_CAP!$E$2:$E$212),"Código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07" s="22" t="s">
        <v>77</v>
      </c>
      <c r="AL807" s="26"/>
      <c r="AM807" s="22" t="s">
        <v>79</v>
      </c>
      <c r="AN807" s="22" t="s">
        <v>79</v>
      </c>
      <c r="AO807" s="12" t="s">
        <v>4352</v>
      </c>
      <c r="AP807" s="22" t="s">
        <v>77</v>
      </c>
      <c r="AQ807" s="12"/>
      <c r="AR807" s="22" t="s">
        <v>77</v>
      </c>
      <c r="AS807" s="10"/>
      <c r="AT807" s="2" t="s">
        <v>1814</v>
      </c>
      <c r="AU807" s="12" t="s">
        <v>83</v>
      </c>
      <c r="AV807" s="3" t="n">
        <v>46224</v>
      </c>
      <c r="AW807" s="21"/>
      <c r="AY807" s="1"/>
      <c r="BA807" s="1"/>
      <c r="BB807" s="1"/>
    </row>
    <row r="808" ht="120" customHeight="1">
      <c r="A808" s="20" t="s">
        <v>4353</v>
      </c>
      <c r="B808" s="20" t="n">
        <v>2023</v>
      </c>
      <c r="C808" s="20" t="n">
        <v>277</v>
      </c>
      <c r="D808" s="20" t="s">
        <v>50</v>
      </c>
      <c r="E808" s="20" t="s">
        <v>4336</v>
      </c>
      <c r="F808" s="20" t="s">
        <v>4354</v>
      </c>
      <c r="G808" s="20" t="s">
        <v>86</v>
      </c>
      <c r="H808" s="20" t="s">
        <v>4338</v>
      </c>
      <c r="I808" s="20"/>
      <c r="J808" s="20" t="s">
        <v>4355</v>
      </c>
      <c r="K808" s="20" t="s">
        <v>122</v>
      </c>
      <c r="L808" s="20" t="s">
        <v>57</v>
      </c>
      <c r="M808" s="20" t="s">
        <v>58</v>
      </c>
      <c r="N808" s="20" t="s">
        <v>59</v>
      </c>
      <c r="O808" s="20" t="s">
        <v>60</v>
      </c>
      <c r="P808" s="20" t="s">
        <v>89</v>
      </c>
      <c r="Q808" s="20" t="s">
        <v>90</v>
      </c>
      <c r="R808" s="20" t="s">
        <v>91</v>
      </c>
      <c r="S808" s="20" t="s">
        <v>92</v>
      </c>
      <c r="T808" s="20" t="s">
        <v>123</v>
      </c>
      <c r="U808" s="20" t="s">
        <v>124</v>
      </c>
      <c r="V808" s="20" t="s">
        <v>95</v>
      </c>
      <c r="W808" s="20" t="s">
        <v>96</v>
      </c>
      <c r="X808" s="20" t="s">
        <v>97</v>
      </c>
      <c r="Y808" s="20" t="s">
        <v>70</v>
      </c>
      <c r="Z808" s="20" t="s">
        <v>98</v>
      </c>
      <c r="AA808" s="20" t="s">
        <v>606</v>
      </c>
      <c r="AB808" s="20" t="s">
        <v>606</v>
      </c>
      <c r="AC808" s="20" t="s">
        <v>606</v>
      </c>
      <c r="AD808" s="20" t="s">
        <v>606</v>
      </c>
      <c r="AE808" s="20"/>
      <c r="AF808" s="9" t="n">
        <v>1</v>
      </c>
      <c r="AG808" s="12" t="n">
        <v>1</v>
      </c>
      <c r="AH808" s="22" t="s">
        <v>235</v>
      </c>
      <c r="AI808" s="12" t="str">
        <f>IF(AH808="","",IFERROR(RIGHT("0000"&amp;AH808,4)&amp;" - "&amp;UPPER(_xlfn.XLOOKUP(RIGHT("0000"&amp;AH808,4),CODEBOOK_CAP!$C$2:$C$212,CODEBOOK_CAP!$D$2:$D$212)),"Código CAP não encontrado"))</f>
        <v>0322 - ESTRUTURAS, HOSPITAIS, CLÍNICAS</v>
      </c>
      <c r="AJ808" s="12" t="str">
        <f>IF(AH808="","",IFERROR(_xlfn.XLOOKUP(RIGHT("0000"&amp;AH808,4),CODEBOOK_CAP!$C$2:$C$212,CODEBOOK_CAP!$E$2:$E$212),"Código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08" s="22" t="s">
        <v>77</v>
      </c>
      <c r="AL808" s="26"/>
      <c r="AM808" s="22" t="s">
        <v>79</v>
      </c>
      <c r="AN808" s="22" t="s">
        <v>79</v>
      </c>
      <c r="AO808" s="12" t="s">
        <v>985</v>
      </c>
      <c r="AP808" s="22" t="s">
        <v>77</v>
      </c>
      <c r="AQ808" s="12"/>
      <c r="AR808" s="22" t="s">
        <v>77</v>
      </c>
      <c r="AS808" s="10"/>
      <c r="AT808" s="2" t="s">
        <v>1814</v>
      </c>
      <c r="AU808" s="12" t="s">
        <v>83</v>
      </c>
      <c r="AV808" s="3" t="n">
        <v>46224</v>
      </c>
      <c r="AW808" s="21"/>
      <c r="AY808" s="1"/>
      <c r="BA808" s="1"/>
      <c r="BB808" s="1"/>
    </row>
    <row r="809" ht="120" customHeight="1">
      <c r="A809" s="20" t="s">
        <v>4356</v>
      </c>
      <c r="B809" s="20" t="n">
        <v>2023</v>
      </c>
      <c r="C809" s="20" t="n">
        <v>278</v>
      </c>
      <c r="D809" s="20" t="s">
        <v>50</v>
      </c>
      <c r="E809" s="20" t="s">
        <v>4336</v>
      </c>
      <c r="F809" s="20" t="s">
        <v>4357</v>
      </c>
      <c r="G809" s="20" t="s">
        <v>86</v>
      </c>
      <c r="H809" s="20" t="s">
        <v>4338</v>
      </c>
      <c r="I809" s="20"/>
      <c r="J809" s="20" t="s">
        <v>4358</v>
      </c>
      <c r="K809" s="20" t="s">
        <v>122</v>
      </c>
      <c r="L809" s="20" t="s">
        <v>57</v>
      </c>
      <c r="M809" s="20" t="s">
        <v>58</v>
      </c>
      <c r="N809" s="20" t="s">
        <v>59</v>
      </c>
      <c r="O809" s="20" t="s">
        <v>60</v>
      </c>
      <c r="P809" s="20" t="s">
        <v>89</v>
      </c>
      <c r="Q809" s="20" t="s">
        <v>90</v>
      </c>
      <c r="R809" s="20" t="s">
        <v>91</v>
      </c>
      <c r="S809" s="20" t="s">
        <v>92</v>
      </c>
      <c r="T809" s="20" t="s">
        <v>123</v>
      </c>
      <c r="U809" s="20" t="s">
        <v>124</v>
      </c>
      <c r="V809" s="20" t="s">
        <v>95</v>
      </c>
      <c r="W809" s="20" t="s">
        <v>96</v>
      </c>
      <c r="X809" s="20" t="s">
        <v>97</v>
      </c>
      <c r="Y809" s="20" t="s">
        <v>70</v>
      </c>
      <c r="Z809" s="20" t="s">
        <v>98</v>
      </c>
      <c r="AA809" s="20" t="s">
        <v>125</v>
      </c>
      <c r="AB809" s="20" t="s">
        <v>125</v>
      </c>
      <c r="AC809" s="20" t="s">
        <v>125</v>
      </c>
      <c r="AD809" s="20" t="s">
        <v>125</v>
      </c>
      <c r="AE809" s="20"/>
      <c r="AF809" s="9" t="n">
        <v>1</v>
      </c>
      <c r="AG809" s="12" t="n">
        <v>1</v>
      </c>
      <c r="AH809" s="22" t="s">
        <v>235</v>
      </c>
      <c r="AI809" s="12" t="str">
        <f>IF(AH809="","",IFERROR(RIGHT("0000"&amp;AH809,4)&amp;" - "&amp;UPPER(_xlfn.XLOOKUP(RIGHT("0000"&amp;AH809,4),CODEBOOK_CAP!$C$2:$C$212,CODEBOOK_CAP!$D$2:$D$212)),"Código CAP não encontrado"))</f>
        <v>0322 - ESTRUTURAS, HOSPITAIS, CLÍNICAS</v>
      </c>
      <c r="AJ809" s="12" t="str">
        <f>IF(AH809="","",IFERROR(_xlfn.XLOOKUP(RIGHT("0000"&amp;AH809,4),CODEBOOK_CAP!$C$2:$C$212,CODEBOOK_CAP!$E$2:$E$212),"Código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09" s="22" t="s">
        <v>77</v>
      </c>
      <c r="AL809" s="26"/>
      <c r="AM809" s="22" t="s">
        <v>79</v>
      </c>
      <c r="AN809" s="22" t="s">
        <v>79</v>
      </c>
      <c r="AO809" s="12" t="s">
        <v>4359</v>
      </c>
      <c r="AP809" s="22" t="s">
        <v>77</v>
      </c>
      <c r="AQ809" s="12"/>
      <c r="AR809" s="22" t="s">
        <v>77</v>
      </c>
      <c r="AS809" s="10"/>
      <c r="AT809" s="2" t="s">
        <v>1814</v>
      </c>
      <c r="AU809" s="12" t="s">
        <v>83</v>
      </c>
      <c r="AV809" s="3" t="n">
        <v>46224</v>
      </c>
      <c r="AW809" s="21"/>
      <c r="AY809" s="1"/>
      <c r="BA809" s="1"/>
      <c r="BB809" s="1"/>
    </row>
    <row r="810" ht="120" customHeight="1">
      <c r="A810" s="20" t="s">
        <v>4360</v>
      </c>
      <c r="B810" s="20" t="n">
        <v>2023</v>
      </c>
      <c r="C810" s="20" t="n">
        <v>279</v>
      </c>
      <c r="D810" s="20" t="s">
        <v>50</v>
      </c>
      <c r="E810" s="20" t="s">
        <v>4336</v>
      </c>
      <c r="F810" s="20" t="s">
        <v>4361</v>
      </c>
      <c r="G810" s="20" t="s">
        <v>86</v>
      </c>
      <c r="H810" s="20" t="s">
        <v>4338</v>
      </c>
      <c r="I810" s="20"/>
      <c r="J810" s="20" t="s">
        <v>4362</v>
      </c>
      <c r="K810" s="20" t="s">
        <v>853</v>
      </c>
      <c r="L810" s="20" t="s">
        <v>57</v>
      </c>
      <c r="M810" s="20" t="s">
        <v>58</v>
      </c>
      <c r="N810" s="20" t="s">
        <v>59</v>
      </c>
      <c r="O810" s="20" t="s">
        <v>60</v>
      </c>
      <c r="P810" s="20" t="s">
        <v>227</v>
      </c>
      <c r="Q810" s="20" t="s">
        <v>228</v>
      </c>
      <c r="R810" s="20" t="s">
        <v>229</v>
      </c>
      <c r="S810" s="20" t="s">
        <v>230</v>
      </c>
      <c r="T810" s="20" t="s">
        <v>231</v>
      </c>
      <c r="U810" s="20" t="s">
        <v>230</v>
      </c>
      <c r="V810" s="20" t="s">
        <v>854</v>
      </c>
      <c r="W810" s="20" t="s">
        <v>96</v>
      </c>
      <c r="X810" s="20" t="s">
        <v>97</v>
      </c>
      <c r="Y810" s="20" t="s">
        <v>70</v>
      </c>
      <c r="Z810" s="20" t="s">
        <v>98</v>
      </c>
      <c r="AA810" s="20" t="s">
        <v>4363</v>
      </c>
      <c r="AB810" s="20" t="s">
        <v>4364</v>
      </c>
      <c r="AC810" s="20" t="s">
        <v>4364</v>
      </c>
      <c r="AD810" s="20" t="s">
        <v>4364</v>
      </c>
      <c r="AE810" s="20"/>
      <c r="AF810" s="9" t="n">
        <v>1</v>
      </c>
      <c r="AG810" s="12" t="n">
        <v>1</v>
      </c>
      <c r="AH810" s="22" t="s">
        <v>235</v>
      </c>
      <c r="AI810" s="12" t="str">
        <f>IF(AH810="","",IFERROR(RIGHT("0000"&amp;AH810,4)&amp;" - "&amp;UPPER(_xlfn.XLOOKUP(RIGHT("0000"&amp;AH810,4),CODEBOOK_CAP!$C$2:$C$212,CODEBOOK_CAP!$D$2:$D$212)),"Código CAP não encontrado"))</f>
        <v>0322 - ESTRUTURAS, HOSPITAIS, CLÍNICAS</v>
      </c>
      <c r="AJ810" s="12" t="str">
        <f>IF(AH810="","",IFERROR(_xlfn.XLOOKUP(RIGHT("0000"&amp;AH810,4),CODEBOOK_CAP!$C$2:$C$212,CODEBOOK_CAP!$E$2:$E$212),"Código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0" s="22" t="s">
        <v>79</v>
      </c>
      <c r="AL810" s="26" t="s">
        <v>4365</v>
      </c>
      <c r="AM810" s="22" t="s">
        <v>79</v>
      </c>
      <c r="AN810" s="22" t="s">
        <v>79</v>
      </c>
      <c r="AO810" s="12" t="s">
        <v>4366</v>
      </c>
      <c r="AP810" s="22" t="s">
        <v>77</v>
      </c>
      <c r="AQ810" s="12"/>
      <c r="AR810" s="22" t="s">
        <v>77</v>
      </c>
      <c r="AS810" s="10"/>
      <c r="AT810" s="2" t="s">
        <v>1814</v>
      </c>
      <c r="AU810" s="12" t="s">
        <v>83</v>
      </c>
      <c r="AV810" s="3" t="n">
        <v>46224</v>
      </c>
      <c r="AW810" s="21"/>
      <c r="AY810" s="1"/>
      <c r="BA810" s="1"/>
      <c r="BB810" s="1"/>
    </row>
    <row r="811" ht="120" customHeight="1">
      <c r="A811" s="20" t="s">
        <v>4367</v>
      </c>
      <c r="B811" s="20" t="n">
        <v>2023</v>
      </c>
      <c r="C811" s="20" t="n">
        <v>280</v>
      </c>
      <c r="D811" s="20" t="s">
        <v>50</v>
      </c>
      <c r="E811" s="20" t="s">
        <v>4336</v>
      </c>
      <c r="F811" s="20" t="s">
        <v>4368</v>
      </c>
      <c r="G811" s="20" t="s">
        <v>86</v>
      </c>
      <c r="H811" s="20" t="s">
        <v>4338</v>
      </c>
      <c r="I811" s="20"/>
      <c r="J811" s="20" t="s">
        <v>4369</v>
      </c>
      <c r="K811" s="20" t="s">
        <v>853</v>
      </c>
      <c r="L811" s="20" t="s">
        <v>57</v>
      </c>
      <c r="M811" s="20" t="s">
        <v>58</v>
      </c>
      <c r="N811" s="20" t="s">
        <v>59</v>
      </c>
      <c r="O811" s="20" t="s">
        <v>60</v>
      </c>
      <c r="P811" s="20" t="s">
        <v>227</v>
      </c>
      <c r="Q811" s="20" t="s">
        <v>228</v>
      </c>
      <c r="R811" s="20" t="s">
        <v>229</v>
      </c>
      <c r="S811" s="20" t="s">
        <v>230</v>
      </c>
      <c r="T811" s="20" t="s">
        <v>231</v>
      </c>
      <c r="U811" s="20" t="s">
        <v>230</v>
      </c>
      <c r="V811" s="20" t="s">
        <v>854</v>
      </c>
      <c r="W811" s="20" t="s">
        <v>96</v>
      </c>
      <c r="X811" s="20" t="s">
        <v>97</v>
      </c>
      <c r="Y811" s="20" t="s">
        <v>70</v>
      </c>
      <c r="Z811" s="20" t="s">
        <v>98</v>
      </c>
      <c r="AA811" s="20" t="s">
        <v>125</v>
      </c>
      <c r="AB811" s="20" t="s">
        <v>4370</v>
      </c>
      <c r="AC811" s="20" t="s">
        <v>4370</v>
      </c>
      <c r="AD811" s="20" t="s">
        <v>4370</v>
      </c>
      <c r="AE811" s="20"/>
      <c r="AF811" s="9" t="n">
        <v>1</v>
      </c>
      <c r="AG811" s="12" t="n">
        <v>1</v>
      </c>
      <c r="AH811" s="22" t="s">
        <v>235</v>
      </c>
      <c r="AI811" s="12" t="str">
        <f>IF(AH811="","",IFERROR(RIGHT("0000"&amp;AH811,4)&amp;" - "&amp;UPPER(_xlfn.XLOOKUP(RIGHT("0000"&amp;AH811,4),CODEBOOK_CAP!$C$2:$C$212,CODEBOOK_CAP!$D$2:$D$212)),"Código CAP não encontrado"))</f>
        <v>0322 - ESTRUTURAS, HOSPITAIS, CLÍNICAS</v>
      </c>
      <c r="AJ811" s="12" t="str">
        <f>IF(AH811="","",IFERROR(_xlfn.XLOOKUP(RIGHT("0000"&amp;AH811,4),CODEBOOK_CAP!$C$2:$C$212,CODEBOOK_CAP!$E$2:$E$212),"Código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1" s="22" t="s">
        <v>79</v>
      </c>
      <c r="AL811" s="26" t="s">
        <v>4371</v>
      </c>
      <c r="AM811" s="22" t="s">
        <v>79</v>
      </c>
      <c r="AN811" s="22" t="s">
        <v>79</v>
      </c>
      <c r="AO811" s="12" t="s">
        <v>4372</v>
      </c>
      <c r="AP811" s="22" t="s">
        <v>77</v>
      </c>
      <c r="AQ811" s="12"/>
      <c r="AR811" s="22" t="s">
        <v>77</v>
      </c>
      <c r="AS811" s="10"/>
      <c r="AT811" s="2" t="s">
        <v>1814</v>
      </c>
      <c r="AU811" s="12" t="s">
        <v>83</v>
      </c>
      <c r="AV811" s="3" t="n">
        <v>46224</v>
      </c>
      <c r="AW811" s="21"/>
      <c r="AY811" s="1"/>
      <c r="BA811" s="1"/>
      <c r="BB811" s="1"/>
    </row>
    <row r="812" ht="120" customHeight="1">
      <c r="A812" s="20" t="s">
        <v>4373</v>
      </c>
      <c r="B812" s="20" t="n">
        <v>2023</v>
      </c>
      <c r="C812" s="20" t="n">
        <v>281</v>
      </c>
      <c r="D812" s="20" t="s">
        <v>50</v>
      </c>
      <c r="E812" s="20" t="s">
        <v>4336</v>
      </c>
      <c r="F812" s="20" t="s">
        <v>4374</v>
      </c>
      <c r="G812" s="20" t="s">
        <v>86</v>
      </c>
      <c r="H812" s="20" t="s">
        <v>4338</v>
      </c>
      <c r="I812" s="20"/>
      <c r="J812" s="20" t="s">
        <v>4375</v>
      </c>
      <c r="K812" s="20" t="s">
        <v>865</v>
      </c>
      <c r="L812" s="20" t="s">
        <v>57</v>
      </c>
      <c r="M812" s="20" t="s">
        <v>58</v>
      </c>
      <c r="N812" s="20" t="s">
        <v>59</v>
      </c>
      <c r="O812" s="20" t="s">
        <v>60</v>
      </c>
      <c r="P812" s="20" t="s">
        <v>227</v>
      </c>
      <c r="Q812" s="20" t="s">
        <v>228</v>
      </c>
      <c r="R812" s="20" t="s">
        <v>229</v>
      </c>
      <c r="S812" s="20" t="s">
        <v>230</v>
      </c>
      <c r="T812" s="20" t="s">
        <v>866</v>
      </c>
      <c r="U812" s="20" t="s">
        <v>867</v>
      </c>
      <c r="V812" s="20" t="s">
        <v>868</v>
      </c>
      <c r="W812" s="20" t="s">
        <v>96</v>
      </c>
      <c r="X812" s="20" t="s">
        <v>97</v>
      </c>
      <c r="Y812" s="20" t="s">
        <v>70</v>
      </c>
      <c r="Z812" s="20" t="s">
        <v>98</v>
      </c>
      <c r="AA812" s="20" t="s">
        <v>125</v>
      </c>
      <c r="AB812" s="20" t="s">
        <v>125</v>
      </c>
      <c r="AC812" s="20" t="s">
        <v>125</v>
      </c>
      <c r="AD812" s="20" t="s">
        <v>125</v>
      </c>
      <c r="AE812" s="20"/>
      <c r="AF812" s="9" t="n">
        <v>1</v>
      </c>
      <c r="AG812" s="12" t="n">
        <v>1</v>
      </c>
      <c r="AH812" s="22" t="s">
        <v>235</v>
      </c>
      <c r="AI812" s="12" t="str">
        <f>IF(AH812="","",IFERROR(RIGHT("0000"&amp;AH812,4)&amp;" - "&amp;UPPER(_xlfn.XLOOKUP(RIGHT("0000"&amp;AH812,4),CODEBOOK_CAP!$C$2:$C$212,CODEBOOK_CAP!$D$2:$D$212)),"Código CAP não encontrado"))</f>
        <v>0322 - ESTRUTURAS, HOSPITAIS, CLÍNICAS</v>
      </c>
      <c r="AJ812" s="12" t="str">
        <f>IF(AH812="","",IFERROR(_xlfn.XLOOKUP(RIGHT("0000"&amp;AH812,4),CODEBOOK_CAP!$C$2:$C$212,CODEBOOK_CAP!$E$2:$E$212),"Código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2" s="22" t="s">
        <v>79</v>
      </c>
      <c r="AL812" s="26" t="s">
        <v>4376</v>
      </c>
      <c r="AM812" s="22" t="s">
        <v>79</v>
      </c>
      <c r="AN812" s="22" t="s">
        <v>79</v>
      </c>
      <c r="AO812" s="26" t="s">
        <v>4377</v>
      </c>
      <c r="AP812" s="22" t="s">
        <v>77</v>
      </c>
      <c r="AQ812" s="12"/>
      <c r="AR812" s="22" t="s">
        <v>77</v>
      </c>
      <c r="AS812" s="10"/>
      <c r="AT812" s="2" t="s">
        <v>1814</v>
      </c>
      <c r="AU812" s="12" t="s">
        <v>83</v>
      </c>
      <c r="AV812" s="3" t="n">
        <v>46224</v>
      </c>
      <c r="AW812" s="21"/>
      <c r="AY812" s="1"/>
      <c r="BA812" s="1"/>
      <c r="BB812" s="1"/>
    </row>
    <row r="813" ht="120" customHeight="1">
      <c r="A813" s="20" t="s">
        <v>4378</v>
      </c>
      <c r="B813" s="20" t="n">
        <v>2023</v>
      </c>
      <c r="C813" s="20" t="n">
        <v>282</v>
      </c>
      <c r="D813" s="20" t="s">
        <v>50</v>
      </c>
      <c r="E813" s="20" t="s">
        <v>4336</v>
      </c>
      <c r="F813" s="20" t="s">
        <v>4379</v>
      </c>
      <c r="G813" s="20" t="s">
        <v>86</v>
      </c>
      <c r="H813" s="20" t="s">
        <v>4338</v>
      </c>
      <c r="I813" s="20"/>
      <c r="J813" s="20" t="s">
        <v>4380</v>
      </c>
      <c r="K813" s="20" t="s">
        <v>1141</v>
      </c>
      <c r="L813" s="20" t="s">
        <v>57</v>
      </c>
      <c r="M813" s="20" t="s">
        <v>58</v>
      </c>
      <c r="N813" s="20" t="s">
        <v>59</v>
      </c>
      <c r="O813" s="20" t="s">
        <v>60</v>
      </c>
      <c r="P813" s="20" t="s">
        <v>89</v>
      </c>
      <c r="Q813" s="20" t="s">
        <v>90</v>
      </c>
      <c r="R813" s="20" t="s">
        <v>91</v>
      </c>
      <c r="S813" s="20" t="s">
        <v>92</v>
      </c>
      <c r="T813" s="20" t="s">
        <v>341</v>
      </c>
      <c r="U813" s="20" t="s">
        <v>342</v>
      </c>
      <c r="V813" s="20" t="s">
        <v>854</v>
      </c>
      <c r="W813" s="20" t="s">
        <v>96</v>
      </c>
      <c r="X813" s="20" t="s">
        <v>97</v>
      </c>
      <c r="Y813" s="20" t="s">
        <v>70</v>
      </c>
      <c r="Z813" s="20" t="s">
        <v>98</v>
      </c>
      <c r="AA813" s="20" t="s">
        <v>4381</v>
      </c>
      <c r="AB813" s="20" t="s">
        <v>4382</v>
      </c>
      <c r="AC813" s="20" t="s">
        <v>4382</v>
      </c>
      <c r="AD813" s="20" t="s">
        <v>4382</v>
      </c>
      <c r="AE813" s="20"/>
      <c r="AF813" s="9" t="n">
        <v>1</v>
      </c>
      <c r="AG813" s="12" t="n">
        <v>1</v>
      </c>
      <c r="AH813" s="22" t="s">
        <v>235</v>
      </c>
      <c r="AI813" s="12" t="str">
        <f>IF(AH813="","",IFERROR(RIGHT("0000"&amp;AH813,4)&amp;" - "&amp;UPPER(_xlfn.XLOOKUP(RIGHT("0000"&amp;AH813,4),CODEBOOK_CAP!$C$2:$C$212,CODEBOOK_CAP!$D$2:$D$212)),"Código CAP não encontrado"))</f>
        <v>0322 - ESTRUTURAS, HOSPITAIS, CLÍNICAS</v>
      </c>
      <c r="AJ813" s="12" t="str">
        <f>IF(AH813="","",IFERROR(_xlfn.XLOOKUP(RIGHT("0000"&amp;AH813,4),CODEBOOK_CAP!$C$2:$C$212,CODEBOOK_CAP!$E$2:$E$212),"Código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3" s="22" t="s">
        <v>79</v>
      </c>
      <c r="AL813" s="26" t="s">
        <v>4383</v>
      </c>
      <c r="AM813" s="22" t="s">
        <v>79</v>
      </c>
      <c r="AN813" s="22" t="s">
        <v>79</v>
      </c>
      <c r="AO813" s="12" t="s">
        <v>4384</v>
      </c>
      <c r="AP813" s="22" t="s">
        <v>77</v>
      </c>
      <c r="AQ813" s="12"/>
      <c r="AR813" s="22" t="s">
        <v>77</v>
      </c>
      <c r="AS813" s="10"/>
      <c r="AT813" s="2" t="s">
        <v>1814</v>
      </c>
      <c r="AU813" s="12" t="s">
        <v>83</v>
      </c>
      <c r="AV813" s="3" t="n">
        <v>46224</v>
      </c>
      <c r="AW813" s="21"/>
      <c r="AY813" s="1"/>
      <c r="BA813" s="1"/>
      <c r="BB813" s="1"/>
    </row>
    <row r="814" ht="120" customHeight="1">
      <c r="A814" s="20" t="s">
        <v>4385</v>
      </c>
      <c r="B814" s="20" t="n">
        <v>2023</v>
      </c>
      <c r="C814" s="20" t="n">
        <v>283</v>
      </c>
      <c r="D814" s="20" t="s">
        <v>50</v>
      </c>
      <c r="E814" s="20" t="s">
        <v>4336</v>
      </c>
      <c r="F814" s="20" t="s">
        <v>170</v>
      </c>
      <c r="G814" s="20" t="s">
        <v>86</v>
      </c>
      <c r="H814" s="20" t="s">
        <v>4338</v>
      </c>
      <c r="I814" s="20"/>
      <c r="J814" s="20" t="s">
        <v>4386</v>
      </c>
      <c r="K814" s="20" t="s">
        <v>853</v>
      </c>
      <c r="L814" s="20" t="s">
        <v>57</v>
      </c>
      <c r="M814" s="20" t="s">
        <v>58</v>
      </c>
      <c r="N814" s="20" t="s">
        <v>59</v>
      </c>
      <c r="O814" s="20" t="s">
        <v>60</v>
      </c>
      <c r="P814" s="20" t="s">
        <v>227</v>
      </c>
      <c r="Q814" s="20" t="s">
        <v>228</v>
      </c>
      <c r="R814" s="20" t="s">
        <v>229</v>
      </c>
      <c r="S814" s="20" t="s">
        <v>230</v>
      </c>
      <c r="T814" s="20" t="s">
        <v>231</v>
      </c>
      <c r="U814" s="20" t="s">
        <v>230</v>
      </c>
      <c r="V814" s="20" t="s">
        <v>854</v>
      </c>
      <c r="W814" s="20" t="s">
        <v>96</v>
      </c>
      <c r="X814" s="20" t="s">
        <v>97</v>
      </c>
      <c r="Y814" s="20" t="s">
        <v>70</v>
      </c>
      <c r="Z814" s="20" t="s">
        <v>98</v>
      </c>
      <c r="AA814" s="20" t="s">
        <v>125</v>
      </c>
      <c r="AB814" s="20" t="s">
        <v>4387</v>
      </c>
      <c r="AC814" s="20" t="s">
        <v>4387</v>
      </c>
      <c r="AD814" s="20" t="s">
        <v>4387</v>
      </c>
      <c r="AE814" s="20"/>
      <c r="AF814" s="9" t="n">
        <v>1</v>
      </c>
      <c r="AG814" s="12" t="n">
        <v>1</v>
      </c>
      <c r="AH814" s="22" t="s">
        <v>235</v>
      </c>
      <c r="AI814" s="12" t="str">
        <f>IF(AH814="","",IFERROR(RIGHT("0000"&amp;AH814,4)&amp;" - "&amp;UPPER(_xlfn.XLOOKUP(RIGHT("0000"&amp;AH814,4),CODEBOOK_CAP!$C$2:$C$212,CODEBOOK_CAP!$D$2:$D$212)),"Código CAP não encontrado"))</f>
        <v>0322 - ESTRUTURAS, HOSPITAIS, CLÍNICAS</v>
      </c>
      <c r="AJ814" s="12" t="str">
        <f>IF(AH814="","",IFERROR(_xlfn.XLOOKUP(RIGHT("0000"&amp;AH814,4),CODEBOOK_CAP!$C$2:$C$212,CODEBOOK_CAP!$E$2:$E$212),"Código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4" s="22" t="s">
        <v>79</v>
      </c>
      <c r="AL814" s="26" t="s">
        <v>4388</v>
      </c>
      <c r="AM814" s="22" t="s">
        <v>79</v>
      </c>
      <c r="AN814" s="22" t="s">
        <v>79</v>
      </c>
      <c r="AO814" s="12" t="s">
        <v>4389</v>
      </c>
      <c r="AP814" s="22" t="s">
        <v>77</v>
      </c>
      <c r="AQ814" s="12"/>
      <c r="AR814" s="22" t="s">
        <v>77</v>
      </c>
      <c r="AS814" s="10"/>
      <c r="AT814" s="2" t="s">
        <v>1814</v>
      </c>
      <c r="AU814" s="12" t="s">
        <v>83</v>
      </c>
      <c r="AV814" s="3" t="n">
        <v>46224</v>
      </c>
      <c r="AW814" s="21"/>
      <c r="AY814" s="1"/>
      <c r="BA814" s="1"/>
      <c r="BB814" s="1"/>
    </row>
    <row r="815" ht="120" customHeight="1">
      <c r="A815" s="20" t="s">
        <v>4390</v>
      </c>
      <c r="B815" s="20" t="n">
        <v>2023</v>
      </c>
      <c r="C815" s="20" t="n">
        <v>284</v>
      </c>
      <c r="D815" s="20" t="s">
        <v>50</v>
      </c>
      <c r="E815" s="20" t="s">
        <v>4336</v>
      </c>
      <c r="F815" s="20" t="s">
        <v>4391</v>
      </c>
      <c r="G815" s="20" t="s">
        <v>86</v>
      </c>
      <c r="H815" s="20" t="s">
        <v>4338</v>
      </c>
      <c r="I815" s="20"/>
      <c r="J815" s="20" t="s">
        <v>4392</v>
      </c>
      <c r="K815" s="20" t="s">
        <v>853</v>
      </c>
      <c r="L815" s="20" t="s">
        <v>57</v>
      </c>
      <c r="M815" s="20" t="s">
        <v>58</v>
      </c>
      <c r="N815" s="20" t="s">
        <v>59</v>
      </c>
      <c r="O815" s="20" t="s">
        <v>60</v>
      </c>
      <c r="P815" s="20" t="s">
        <v>227</v>
      </c>
      <c r="Q815" s="20" t="s">
        <v>228</v>
      </c>
      <c r="R815" s="20" t="s">
        <v>229</v>
      </c>
      <c r="S815" s="20" t="s">
        <v>230</v>
      </c>
      <c r="T815" s="20" t="s">
        <v>231</v>
      </c>
      <c r="U815" s="20" t="s">
        <v>230</v>
      </c>
      <c r="V815" s="20" t="s">
        <v>854</v>
      </c>
      <c r="W815" s="20" t="s">
        <v>96</v>
      </c>
      <c r="X815" s="20" t="s">
        <v>97</v>
      </c>
      <c r="Y815" s="20" t="s">
        <v>70</v>
      </c>
      <c r="Z815" s="20" t="s">
        <v>98</v>
      </c>
      <c r="AA815" s="20" t="s">
        <v>125</v>
      </c>
      <c r="AB815" s="20" t="s">
        <v>4393</v>
      </c>
      <c r="AC815" s="20" t="s">
        <v>4393</v>
      </c>
      <c r="AD815" s="20" t="s">
        <v>4393</v>
      </c>
      <c r="AE815" s="20"/>
      <c r="AF815" s="9" t="n">
        <v>1</v>
      </c>
      <c r="AG815" s="12" t="n">
        <v>1</v>
      </c>
      <c r="AH815" s="22" t="s">
        <v>235</v>
      </c>
      <c r="AI815" s="12" t="str">
        <f>IF(AH815="","",IFERROR(RIGHT("0000"&amp;AH815,4)&amp;" - "&amp;UPPER(_xlfn.XLOOKUP(RIGHT("0000"&amp;AH815,4),CODEBOOK_CAP!$C$2:$C$212,CODEBOOK_CAP!$D$2:$D$212)),"Código CAP não encontrado"))</f>
        <v>0322 - ESTRUTURAS, HOSPITAIS, CLÍNICAS</v>
      </c>
      <c r="AJ815" s="12" t="str">
        <f>IF(AH815="","",IFERROR(_xlfn.XLOOKUP(RIGHT("0000"&amp;AH815,4),CODEBOOK_CAP!$C$2:$C$212,CODEBOOK_CAP!$E$2:$E$212),"Código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5" s="22" t="s">
        <v>79</v>
      </c>
      <c r="AL815" s="26" t="s">
        <v>4394</v>
      </c>
      <c r="AM815" s="22" t="s">
        <v>79</v>
      </c>
      <c r="AN815" s="22" t="s">
        <v>79</v>
      </c>
      <c r="AO815" s="12" t="s">
        <v>4395</v>
      </c>
      <c r="AP815" s="22" t="s">
        <v>77</v>
      </c>
      <c r="AQ815" s="12"/>
      <c r="AR815" s="22" t="s">
        <v>77</v>
      </c>
      <c r="AS815" s="10"/>
      <c r="AT815" s="2" t="s">
        <v>1814</v>
      </c>
      <c r="AU815" s="12" t="s">
        <v>83</v>
      </c>
      <c r="AV815" s="3" t="n">
        <v>46224</v>
      </c>
      <c r="AW815" s="21"/>
      <c r="AY815" s="1"/>
      <c r="BA815" s="1"/>
      <c r="BB815" s="1"/>
    </row>
    <row r="816" ht="120" customHeight="1">
      <c r="A816" s="20" t="s">
        <v>4396</v>
      </c>
      <c r="B816" s="20" t="n">
        <v>2023</v>
      </c>
      <c r="C816" s="20" t="n">
        <v>285</v>
      </c>
      <c r="D816" s="20" t="s">
        <v>50</v>
      </c>
      <c r="E816" s="20" t="s">
        <v>4336</v>
      </c>
      <c r="F816" s="20" t="s">
        <v>4397</v>
      </c>
      <c r="G816" s="20" t="s">
        <v>86</v>
      </c>
      <c r="H816" s="20" t="s">
        <v>4338</v>
      </c>
      <c r="I816" s="20"/>
      <c r="J816" s="20" t="s">
        <v>4398</v>
      </c>
      <c r="K816" s="20" t="s">
        <v>853</v>
      </c>
      <c r="L816" s="20" t="s">
        <v>57</v>
      </c>
      <c r="M816" s="20" t="s">
        <v>58</v>
      </c>
      <c r="N816" s="20" t="s">
        <v>59</v>
      </c>
      <c r="O816" s="20" t="s">
        <v>60</v>
      </c>
      <c r="P816" s="20" t="s">
        <v>227</v>
      </c>
      <c r="Q816" s="20" t="s">
        <v>228</v>
      </c>
      <c r="R816" s="20" t="s">
        <v>229</v>
      </c>
      <c r="S816" s="20" t="s">
        <v>230</v>
      </c>
      <c r="T816" s="20" t="s">
        <v>231</v>
      </c>
      <c r="U816" s="20" t="s">
        <v>230</v>
      </c>
      <c r="V816" s="20" t="s">
        <v>854</v>
      </c>
      <c r="W816" s="20" t="s">
        <v>96</v>
      </c>
      <c r="X816" s="20" t="s">
        <v>97</v>
      </c>
      <c r="Y816" s="20" t="s">
        <v>70</v>
      </c>
      <c r="Z816" s="20" t="s">
        <v>98</v>
      </c>
      <c r="AA816" s="20" t="s">
        <v>125</v>
      </c>
      <c r="AB816" s="20" t="s">
        <v>4399</v>
      </c>
      <c r="AC816" s="20" t="s">
        <v>4399</v>
      </c>
      <c r="AD816" s="20" t="s">
        <v>4399</v>
      </c>
      <c r="AE816" s="20"/>
      <c r="AF816" s="9" t="n">
        <v>1</v>
      </c>
      <c r="AG816" s="12" t="n">
        <v>1</v>
      </c>
      <c r="AH816" s="22" t="s">
        <v>235</v>
      </c>
      <c r="AI816" s="12" t="str">
        <f>IF(AH816="","",IFERROR(RIGHT("0000"&amp;AH816,4)&amp;" - "&amp;UPPER(_xlfn.XLOOKUP(RIGHT("0000"&amp;AH816,4),CODEBOOK_CAP!$C$2:$C$212,CODEBOOK_CAP!$D$2:$D$212)),"Código CAP não encontrado"))</f>
        <v>0322 - ESTRUTURAS, HOSPITAIS, CLÍNICAS</v>
      </c>
      <c r="AJ816" s="12" t="str">
        <f>IF(AH816="","",IFERROR(_xlfn.XLOOKUP(RIGHT("0000"&amp;AH816,4),CODEBOOK_CAP!$C$2:$C$212,CODEBOOK_CAP!$E$2:$E$212),"Código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6" s="22" t="s">
        <v>79</v>
      </c>
      <c r="AL816" s="26" t="s">
        <v>4400</v>
      </c>
      <c r="AM816" s="22" t="s">
        <v>79</v>
      </c>
      <c r="AN816" s="22" t="s">
        <v>79</v>
      </c>
      <c r="AO816" s="12" t="s">
        <v>4401</v>
      </c>
      <c r="AP816" s="22" t="s">
        <v>77</v>
      </c>
      <c r="AQ816" s="12"/>
      <c r="AR816" s="22" t="s">
        <v>77</v>
      </c>
      <c r="AS816" s="10"/>
      <c r="AT816" s="2" t="s">
        <v>1814</v>
      </c>
      <c r="AU816" s="12" t="s">
        <v>83</v>
      </c>
      <c r="AV816" s="3" t="n">
        <v>46224</v>
      </c>
      <c r="AW816" s="21"/>
      <c r="AY816" s="1"/>
      <c r="BA816" s="1"/>
      <c r="BB816" s="1"/>
    </row>
    <row r="817" ht="120" customHeight="1">
      <c r="A817" s="20" t="s">
        <v>4402</v>
      </c>
      <c r="B817" s="20" t="n">
        <v>2023</v>
      </c>
      <c r="C817" s="20" t="n">
        <v>286</v>
      </c>
      <c r="D817" s="20" t="s">
        <v>50</v>
      </c>
      <c r="E817" s="20" t="s">
        <v>4336</v>
      </c>
      <c r="F817" s="20" t="s">
        <v>4403</v>
      </c>
      <c r="G817" s="20" t="s">
        <v>86</v>
      </c>
      <c r="H817" s="20" t="s">
        <v>4338</v>
      </c>
      <c r="I817" s="20"/>
      <c r="J817" s="20" t="s">
        <v>4404</v>
      </c>
      <c r="K817" s="20" t="s">
        <v>853</v>
      </c>
      <c r="L817" s="20" t="s">
        <v>57</v>
      </c>
      <c r="M817" s="20" t="s">
        <v>58</v>
      </c>
      <c r="N817" s="20" t="s">
        <v>59</v>
      </c>
      <c r="O817" s="20" t="s">
        <v>60</v>
      </c>
      <c r="P817" s="20" t="s">
        <v>227</v>
      </c>
      <c r="Q817" s="20" t="s">
        <v>228</v>
      </c>
      <c r="R817" s="20" t="s">
        <v>229</v>
      </c>
      <c r="S817" s="20" t="s">
        <v>230</v>
      </c>
      <c r="T817" s="20" t="s">
        <v>231</v>
      </c>
      <c r="U817" s="20" t="s">
        <v>230</v>
      </c>
      <c r="V817" s="20" t="s">
        <v>854</v>
      </c>
      <c r="W817" s="20" t="s">
        <v>96</v>
      </c>
      <c r="X817" s="20" t="s">
        <v>97</v>
      </c>
      <c r="Y817" s="20" t="s">
        <v>70</v>
      </c>
      <c r="Z817" s="20" t="s">
        <v>98</v>
      </c>
      <c r="AA817" s="20" t="s">
        <v>125</v>
      </c>
      <c r="AB817" s="20" t="s">
        <v>4405</v>
      </c>
      <c r="AC817" s="20" t="s">
        <v>4405</v>
      </c>
      <c r="AD817" s="20" t="s">
        <v>4405</v>
      </c>
      <c r="AE817" s="20"/>
      <c r="AF817" s="9" t="n">
        <v>1</v>
      </c>
      <c r="AG817" s="12" t="n">
        <v>1</v>
      </c>
      <c r="AH817" s="22" t="s">
        <v>235</v>
      </c>
      <c r="AI817" s="12" t="str">
        <f>IF(AH817="","",IFERROR(RIGHT("0000"&amp;AH817,4)&amp;" - "&amp;UPPER(_xlfn.XLOOKUP(RIGHT("0000"&amp;AH817,4),CODEBOOK_CAP!$C$2:$C$212,CODEBOOK_CAP!$D$2:$D$212)),"Código CAP não encontrado"))</f>
        <v>0322 - ESTRUTURAS, HOSPITAIS, CLÍNICAS</v>
      </c>
      <c r="AJ817" s="12" t="str">
        <f>IF(AH817="","",IFERROR(_xlfn.XLOOKUP(RIGHT("0000"&amp;AH817,4),CODEBOOK_CAP!$C$2:$C$212,CODEBOOK_CAP!$E$2:$E$212),"Código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7" s="22" t="s">
        <v>79</v>
      </c>
      <c r="AL817" s="26" t="s">
        <v>4406</v>
      </c>
      <c r="AM817" s="22" t="s">
        <v>79</v>
      </c>
      <c r="AN817" s="22" t="s">
        <v>79</v>
      </c>
      <c r="AO817" s="12" t="s">
        <v>4407</v>
      </c>
      <c r="AP817" s="22" t="s">
        <v>77</v>
      </c>
      <c r="AQ817" s="12"/>
      <c r="AR817" s="22" t="s">
        <v>77</v>
      </c>
      <c r="AS817" s="10"/>
      <c r="AT817" s="2" t="s">
        <v>1814</v>
      </c>
      <c r="AU817" s="12" t="s">
        <v>83</v>
      </c>
      <c r="AV817" s="3" t="n">
        <v>46224</v>
      </c>
      <c r="AW817" s="21"/>
      <c r="AY817" s="1"/>
      <c r="BA817" s="1"/>
      <c r="BB817" s="1"/>
    </row>
    <row r="818" ht="120" customHeight="1">
      <c r="A818" s="20" t="s">
        <v>4408</v>
      </c>
      <c r="B818" s="20" t="n">
        <v>2023</v>
      </c>
      <c r="C818" s="20" t="n">
        <v>287</v>
      </c>
      <c r="D818" s="20" t="s">
        <v>50</v>
      </c>
      <c r="E818" s="20" t="s">
        <v>4336</v>
      </c>
      <c r="F818" s="20" t="s">
        <v>4409</v>
      </c>
      <c r="G818" s="20" t="s">
        <v>86</v>
      </c>
      <c r="H818" s="20" t="s">
        <v>4338</v>
      </c>
      <c r="I818" s="20"/>
      <c r="J818" s="20" t="s">
        <v>4410</v>
      </c>
      <c r="K818" s="20" t="s">
        <v>865</v>
      </c>
      <c r="L818" s="20" t="s">
        <v>57</v>
      </c>
      <c r="M818" s="20" t="s">
        <v>58</v>
      </c>
      <c r="N818" s="20" t="s">
        <v>59</v>
      </c>
      <c r="O818" s="20" t="s">
        <v>60</v>
      </c>
      <c r="P818" s="20" t="s">
        <v>227</v>
      </c>
      <c r="Q818" s="20" t="s">
        <v>228</v>
      </c>
      <c r="R818" s="20" t="s">
        <v>229</v>
      </c>
      <c r="S818" s="20" t="s">
        <v>230</v>
      </c>
      <c r="T818" s="20" t="s">
        <v>866</v>
      </c>
      <c r="U818" s="20" t="s">
        <v>867</v>
      </c>
      <c r="V818" s="20" t="s">
        <v>868</v>
      </c>
      <c r="W818" s="20" t="s">
        <v>96</v>
      </c>
      <c r="X818" s="20" t="s">
        <v>97</v>
      </c>
      <c r="Y818" s="20" t="s">
        <v>70</v>
      </c>
      <c r="Z818" s="20" t="s">
        <v>98</v>
      </c>
      <c r="AA818" s="20" t="s">
        <v>125</v>
      </c>
      <c r="AB818" s="20" t="s">
        <v>125</v>
      </c>
      <c r="AC818" s="20" t="s">
        <v>125</v>
      </c>
      <c r="AD818" s="20" t="s">
        <v>125</v>
      </c>
      <c r="AE818" s="20"/>
      <c r="AF818" s="9" t="n">
        <v>1</v>
      </c>
      <c r="AG818" s="12" t="n">
        <v>1</v>
      </c>
      <c r="AH818" s="22" t="s">
        <v>235</v>
      </c>
      <c r="AI818" s="12" t="str">
        <f>IF(AH818="","",IFERROR(RIGHT("0000"&amp;AH818,4)&amp;" - "&amp;UPPER(_xlfn.XLOOKUP(RIGHT("0000"&amp;AH818,4),CODEBOOK_CAP!$C$2:$C$212,CODEBOOK_CAP!$D$2:$D$212)),"Código CAP não encontrado"))</f>
        <v>0322 - ESTRUTURAS, HOSPITAIS, CLÍNICAS</v>
      </c>
      <c r="AJ818" s="12" t="str">
        <f>IF(AH818="","",IFERROR(_xlfn.XLOOKUP(RIGHT("0000"&amp;AH818,4),CODEBOOK_CAP!$C$2:$C$212,CODEBOOK_CAP!$E$2:$E$212),"Código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18" s="22" t="s">
        <v>79</v>
      </c>
      <c r="AL818" s="26" t="s">
        <v>4411</v>
      </c>
      <c r="AM818" s="22" t="s">
        <v>79</v>
      </c>
      <c r="AN818" s="22" t="s">
        <v>79</v>
      </c>
      <c r="AO818" s="12" t="s">
        <v>4412</v>
      </c>
      <c r="AP818" s="22" t="s">
        <v>77</v>
      </c>
      <c r="AQ818" s="12"/>
      <c r="AR818" s="22" t="s">
        <v>77</v>
      </c>
      <c r="AS818" s="10"/>
      <c r="AT818" s="2" t="s">
        <v>1814</v>
      </c>
      <c r="AU818" s="12" t="s">
        <v>83</v>
      </c>
      <c r="AV818" s="3" t="n">
        <v>46224</v>
      </c>
      <c r="AW818" s="21"/>
      <c r="AY818" s="1"/>
      <c r="BA818" s="1"/>
      <c r="BB818" s="1"/>
    </row>
    <row r="819" ht="210" customHeight="1">
      <c r="A819" s="20" t="s">
        <v>4413</v>
      </c>
      <c r="B819" s="20" t="n">
        <v>2023</v>
      </c>
      <c r="C819" s="20" t="n">
        <v>288</v>
      </c>
      <c r="D819" s="20" t="s">
        <v>50</v>
      </c>
      <c r="E819" s="20" t="s">
        <v>4336</v>
      </c>
      <c r="F819" s="20" t="s">
        <v>4414</v>
      </c>
      <c r="G819" s="20" t="s">
        <v>86</v>
      </c>
      <c r="H819" s="20" t="s">
        <v>4338</v>
      </c>
      <c r="I819" s="20"/>
      <c r="J819" s="20" t="s">
        <v>4415</v>
      </c>
      <c r="K819" s="20" t="s">
        <v>1551</v>
      </c>
      <c r="L819" s="20" t="s">
        <v>274</v>
      </c>
      <c r="M819" s="20" t="s">
        <v>275</v>
      </c>
      <c r="N819" s="20" t="s">
        <v>276</v>
      </c>
      <c r="O819" s="20" t="s">
        <v>277</v>
      </c>
      <c r="P819" s="20" t="s">
        <v>278</v>
      </c>
      <c r="Q819" s="20" t="s">
        <v>279</v>
      </c>
      <c r="R819" s="20" t="s">
        <v>280</v>
      </c>
      <c r="S819" s="20" t="s">
        <v>281</v>
      </c>
      <c r="T819" s="20" t="s">
        <v>1552</v>
      </c>
      <c r="U819" s="20" t="s">
        <v>1553</v>
      </c>
      <c r="V819" s="20" t="s">
        <v>95</v>
      </c>
      <c r="W819" s="20" t="s">
        <v>96</v>
      </c>
      <c r="X819" s="20" t="s">
        <v>97</v>
      </c>
      <c r="Y819" s="20" t="s">
        <v>70</v>
      </c>
      <c r="Z819" s="20" t="s">
        <v>284</v>
      </c>
      <c r="AA819" s="20" t="s">
        <v>372</v>
      </c>
      <c r="AB819" s="20" t="s">
        <v>372</v>
      </c>
      <c r="AC819" s="20" t="s">
        <v>372</v>
      </c>
      <c r="AD819" s="20" t="s">
        <v>372</v>
      </c>
      <c r="AE819" s="20"/>
      <c r="AF819" s="9" t="n">
        <v>0</v>
      </c>
      <c r="AG819" s="12" t="n">
        <v>0</v>
      </c>
      <c r="AH819" s="22" t="s">
        <v>607</v>
      </c>
      <c r="AI819" s="12" t="str">
        <f>IF(AH819="","",IFERROR(RIGHT("0000"&amp;AH819,4)&amp;" - "&amp;UPPER(_xlfn.XLOOKUP(RIGHT("0000"&amp;AH819,4),CODEBOOK_CAP!$C$2:$C$212,CODEBOOK_CAP!$D$2:$D$212)),"Código CAP não encontrado"))</f>
        <v>1300 - GERAL</v>
      </c>
      <c r="AJ819" s="12" t="str">
        <f>IF(AH819="","",IFERROR(_xlfn.XLOOKUP(RIGHT("0000"&amp;AH819,4),CODEBOOK_CAP!$C$2:$C$212,CODEBOOK_CAP!$E$2:$E$212),"Código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19" s="22" t="s">
        <v>79</v>
      </c>
      <c r="AL819" s="26" t="s">
        <v>4416</v>
      </c>
      <c r="AM819" s="22" t="s">
        <v>79</v>
      </c>
      <c r="AN819" s="22" t="s">
        <v>79</v>
      </c>
      <c r="AO819" s="12" t="s">
        <v>4416</v>
      </c>
      <c r="AP819" s="22" t="s">
        <v>77</v>
      </c>
      <c r="AQ819" s="12"/>
      <c r="AR819" s="22" t="s">
        <v>77</v>
      </c>
      <c r="AS819" s="10"/>
      <c r="AT819" s="2" t="s">
        <v>1814</v>
      </c>
      <c r="AU819" s="12" t="s">
        <v>83</v>
      </c>
      <c r="AV819" s="3" t="n">
        <v>46224</v>
      </c>
      <c r="AW819" s="21"/>
      <c r="AY819" s="1"/>
      <c r="BA819" s="1"/>
      <c r="BB819" s="1"/>
    </row>
    <row r="820" ht="105" customHeight="1">
      <c r="A820" s="20" t="s">
        <v>4417</v>
      </c>
      <c r="B820" s="20" t="n">
        <v>2023</v>
      </c>
      <c r="C820" s="20" t="n">
        <v>289</v>
      </c>
      <c r="D820" s="20" t="s">
        <v>50</v>
      </c>
      <c r="E820" s="20" t="s">
        <v>4336</v>
      </c>
      <c r="F820" s="20" t="s">
        <v>4418</v>
      </c>
      <c r="G820" s="20" t="s">
        <v>86</v>
      </c>
      <c r="H820" s="20" t="s">
        <v>4338</v>
      </c>
      <c r="I820" s="20"/>
      <c r="J820" s="20" t="s">
        <v>4419</v>
      </c>
      <c r="K820" s="20" t="s">
        <v>241</v>
      </c>
      <c r="L820" s="20" t="s">
        <v>208</v>
      </c>
      <c r="M820" s="20" t="s">
        <v>209</v>
      </c>
      <c r="N820" s="20" t="s">
        <v>188</v>
      </c>
      <c r="O820" s="20" t="s">
        <v>189</v>
      </c>
      <c r="P820" s="20" t="s">
        <v>190</v>
      </c>
      <c r="Q820" s="20" t="s">
        <v>191</v>
      </c>
      <c r="R820" s="20" t="s">
        <v>192</v>
      </c>
      <c r="S820" s="20" t="s">
        <v>193</v>
      </c>
      <c r="T820" s="20" t="s">
        <v>242</v>
      </c>
      <c r="U820" s="20" t="s">
        <v>243</v>
      </c>
      <c r="V820" s="20" t="s">
        <v>67</v>
      </c>
      <c r="W820" s="20" t="s">
        <v>68</v>
      </c>
      <c r="X820" s="20" t="s">
        <v>69</v>
      </c>
      <c r="Y820" s="20" t="s">
        <v>70</v>
      </c>
      <c r="Z820" s="20" t="s">
        <v>177</v>
      </c>
      <c r="AA820" s="20" t="s">
        <v>351</v>
      </c>
      <c r="AB820" s="20" t="s">
        <v>4420</v>
      </c>
      <c r="AC820" s="20" t="s">
        <v>4420</v>
      </c>
      <c r="AD820" s="20" t="s">
        <v>4420</v>
      </c>
      <c r="AE820" s="20"/>
      <c r="AF820" s="9" t="n">
        <v>0</v>
      </c>
      <c r="AG820" s="12" t="n">
        <v>0</v>
      </c>
      <c r="AH820" s="22" t="s">
        <v>161</v>
      </c>
      <c r="AI820" s="12" t="str">
        <f>IF(AH820="","",IFERROR(RIGHT("0000"&amp;AH820,4)&amp;" - "&amp;UPPER(_xlfn.XLOOKUP(RIGHT("0000"&amp;AH820,4),CODEBOOK_CAP!$C$2:$C$212,CODEBOOK_CAP!$D$2:$D$212)),"Código CAP não encontrado"))</f>
        <v>2300 - GERAL</v>
      </c>
      <c r="AJ820" s="12" t="str">
        <f>IF(AH820="","",IFERROR(_xlfn.XLOOKUP(RIGHT("0000"&amp;AH820,4),CODEBOOK_CAP!$C$2:$C$212,CODEBOOK_CAP!$E$2:$E$212),"Código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20" s="22" t="s">
        <v>79</v>
      </c>
      <c r="AL820" s="26" t="s">
        <v>4421</v>
      </c>
      <c r="AM820" s="22" t="s">
        <v>79</v>
      </c>
      <c r="AN820" s="22" t="s">
        <v>79</v>
      </c>
      <c r="AO820" s="12" t="s">
        <v>4421</v>
      </c>
      <c r="AP820" s="22" t="s">
        <v>77</v>
      </c>
      <c r="AQ820" s="12"/>
      <c r="AR820" s="22" t="s">
        <v>77</v>
      </c>
      <c r="AS820" s="10"/>
      <c r="AT820" s="2" t="s">
        <v>1814</v>
      </c>
      <c r="AU820" s="12" t="s">
        <v>83</v>
      </c>
      <c r="AV820" s="3" t="n">
        <v>46224</v>
      </c>
      <c r="AW820" s="21"/>
      <c r="AX820" s="1" t="s">
        <v>6956</v>
      </c>
      <c r="AY820" s="1"/>
      <c r="BA820" s="1"/>
      <c r="BB820" s="1"/>
    </row>
    <row r="821" ht="255" customHeight="1">
      <c r="A821" s="20" t="s">
        <v>4422</v>
      </c>
      <c r="B821" s="20" t="n">
        <v>2023</v>
      </c>
      <c r="C821" s="20" t="n">
        <v>290</v>
      </c>
      <c r="D821" s="20" t="s">
        <v>50</v>
      </c>
      <c r="E821" s="20" t="s">
        <v>4336</v>
      </c>
      <c r="F821" s="20" t="s">
        <v>4423</v>
      </c>
      <c r="G821" s="20" t="s">
        <v>86</v>
      </c>
      <c r="H821" s="20" t="s">
        <v>4338</v>
      </c>
      <c r="I821" s="20"/>
      <c r="J821" s="20" t="s">
        <v>4424</v>
      </c>
      <c r="K821" s="20" t="s">
        <v>2274</v>
      </c>
      <c r="L821" s="20" t="s">
        <v>479</v>
      </c>
      <c r="M821" s="20" t="s">
        <v>480</v>
      </c>
      <c r="N821" s="20" t="s">
        <v>481</v>
      </c>
      <c r="O821" s="20" t="s">
        <v>482</v>
      </c>
      <c r="P821" s="20" t="s">
        <v>483</v>
      </c>
      <c r="Q821" s="20" t="s">
        <v>484</v>
      </c>
      <c r="R821" s="20" t="s">
        <v>485</v>
      </c>
      <c r="S821" s="20" t="s">
        <v>486</v>
      </c>
      <c r="T821" s="20" t="s">
        <v>487</v>
      </c>
      <c r="U821" s="20" t="s">
        <v>488</v>
      </c>
      <c r="V821" s="20" t="s">
        <v>95</v>
      </c>
      <c r="W821" s="20" t="s">
        <v>96</v>
      </c>
      <c r="X821" s="20" t="s">
        <v>97</v>
      </c>
      <c r="Y821" s="20" t="s">
        <v>70</v>
      </c>
      <c r="Z821" s="20" t="s">
        <v>489</v>
      </c>
      <c r="AA821" s="20" t="s">
        <v>430</v>
      </c>
      <c r="AB821" s="20" t="s">
        <v>4425</v>
      </c>
      <c r="AC821" s="20" t="s">
        <v>4425</v>
      </c>
      <c r="AD821" s="20" t="s">
        <v>4425</v>
      </c>
      <c r="AE821" s="20"/>
      <c r="AF821" s="9" t="n">
        <v>0</v>
      </c>
      <c r="AG821" s="12" t="n">
        <v>0</v>
      </c>
      <c r="AH821" s="22" t="s">
        <v>219</v>
      </c>
      <c r="AI821" s="12" t="str">
        <f>IF(AH821="","",IFERROR(RIGHT("0000"&amp;AH821,4)&amp;" - "&amp;UPPER(_xlfn.XLOOKUP(RIGHT("0000"&amp;AH821,4),CODEBOOK_CAP!$C$2:$C$212,CODEBOOK_CAP!$D$2:$D$212)),"Código CAP não encontrado"))</f>
        <v>1002 - CARROS, TRÂNSITO, CONSTRUÇÃO E MANUTENÇÃO DE RUAS E ESTRADAS</v>
      </c>
      <c r="AJ821" s="12" t="str">
        <f>IF(AH821="","",IFERROR(_xlfn.XLOOKUP(RIGHT("0000"&amp;AH821,4),CODEBOOK_CAP!$C$2:$C$212,CODEBOOK_CAP!$E$2:$E$212),"Código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21" s="22" t="s">
        <v>79</v>
      </c>
      <c r="AL821" s="26" t="s">
        <v>4426</v>
      </c>
      <c r="AM821" s="22" t="s">
        <v>79</v>
      </c>
      <c r="AN821" s="22" t="s">
        <v>79</v>
      </c>
      <c r="AO821" s="12" t="s">
        <v>4426</v>
      </c>
      <c r="AP821" s="22" t="s">
        <v>77</v>
      </c>
      <c r="AQ821" s="12"/>
      <c r="AR821" s="22" t="s">
        <v>77</v>
      </c>
      <c r="AS821" s="10"/>
      <c r="AT821" s="2" t="s">
        <v>1814</v>
      </c>
      <c r="AU821" s="12" t="s">
        <v>83</v>
      </c>
      <c r="AV821" s="3" t="n">
        <v>46224</v>
      </c>
      <c r="AW821" s="21"/>
      <c r="AY821" s="1"/>
      <c r="BA821" s="1"/>
      <c r="BB821" s="1"/>
    </row>
    <row r="822" ht="105" customHeight="1">
      <c r="A822" s="20" t="s">
        <v>4427</v>
      </c>
      <c r="B822" s="20" t="n">
        <v>2023</v>
      </c>
      <c r="C822" s="20" t="n">
        <v>292</v>
      </c>
      <c r="D822" s="20" t="s">
        <v>50</v>
      </c>
      <c r="E822" s="20" t="s">
        <v>4336</v>
      </c>
      <c r="F822" s="20" t="s">
        <v>4428</v>
      </c>
      <c r="G822" s="20" t="s">
        <v>183</v>
      </c>
      <c r="H822" s="20" t="s">
        <v>4338</v>
      </c>
      <c r="I822" s="20"/>
      <c r="J822" s="20" t="s">
        <v>4429</v>
      </c>
      <c r="K822" s="20" t="s">
        <v>241</v>
      </c>
      <c r="L822" s="20" t="s">
        <v>208</v>
      </c>
      <c r="M822" s="20" t="s">
        <v>209</v>
      </c>
      <c r="N822" s="20" t="s">
        <v>188</v>
      </c>
      <c r="O822" s="20" t="s">
        <v>189</v>
      </c>
      <c r="P822" s="20" t="s">
        <v>190</v>
      </c>
      <c r="Q822" s="20" t="s">
        <v>191</v>
      </c>
      <c r="R822" s="20" t="s">
        <v>192</v>
      </c>
      <c r="S822" s="20" t="s">
        <v>193</v>
      </c>
      <c r="T822" s="20" t="s">
        <v>242</v>
      </c>
      <c r="U822" s="20" t="s">
        <v>243</v>
      </c>
      <c r="V822" s="20" t="s">
        <v>67</v>
      </c>
      <c r="W822" s="20" t="s">
        <v>68</v>
      </c>
      <c r="X822" s="20" t="s">
        <v>69</v>
      </c>
      <c r="Y822" s="20" t="s">
        <v>70</v>
      </c>
      <c r="Z822" s="20" t="s">
        <v>177</v>
      </c>
      <c r="AA822" s="20" t="s">
        <v>4430</v>
      </c>
      <c r="AB822" s="20" t="s">
        <v>77</v>
      </c>
      <c r="AC822" s="20" t="s">
        <v>77</v>
      </c>
      <c r="AD822" s="20" t="s">
        <v>77</v>
      </c>
      <c r="AE822" s="20"/>
      <c r="AF822" s="9" t="n">
        <v>0</v>
      </c>
      <c r="AG822" s="12" t="n">
        <v>0</v>
      </c>
      <c r="AH822" s="22" t="s">
        <v>161</v>
      </c>
      <c r="AI822" s="12" t="str">
        <f>IF(AH822="","",IFERROR(RIGHT("0000"&amp;AH822,4)&amp;" - "&amp;UPPER(_xlfn.XLOOKUP(RIGHT("0000"&amp;AH822,4),CODEBOOK_CAP!$C$2:$C$212,CODEBOOK_CAP!$D$2:$D$212)),"Código CAP não encontrado"))</f>
        <v>2300 - GERAL</v>
      </c>
      <c r="AJ822" s="12" t="str">
        <f>IF(AH822="","",IFERROR(_xlfn.XLOOKUP(RIGHT("0000"&amp;AH822,4),CODEBOOK_CAP!$C$2:$C$212,CODEBOOK_CAP!$E$2:$E$212),"Código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22" s="22" t="s">
        <v>79</v>
      </c>
      <c r="AL822" s="26" t="s">
        <v>4431</v>
      </c>
      <c r="AM822" s="22" t="s">
        <v>79</v>
      </c>
      <c r="AN822" s="22" t="s">
        <v>79</v>
      </c>
      <c r="AO822" s="12" t="s">
        <v>4431</v>
      </c>
      <c r="AP822" s="22" t="s">
        <v>77</v>
      </c>
      <c r="AQ822" s="12"/>
      <c r="AR822" s="22" t="s">
        <v>77</v>
      </c>
      <c r="AS822" s="10"/>
      <c r="AT822" s="2" t="s">
        <v>1814</v>
      </c>
      <c r="AU822" s="12" t="s">
        <v>83</v>
      </c>
      <c r="AV822" s="3" t="n">
        <v>46224</v>
      </c>
      <c r="AW822" s="21"/>
      <c r="AX822" s="1" t="s">
        <v>6956</v>
      </c>
      <c r="AY822" s="1"/>
      <c r="BA822" s="1"/>
      <c r="BB822" s="1"/>
    </row>
    <row r="823" ht="105" customHeight="1">
      <c r="A823" s="20" t="s">
        <v>4432</v>
      </c>
      <c r="B823" s="20" t="n">
        <v>2023</v>
      </c>
      <c r="C823" s="20" t="n">
        <v>294</v>
      </c>
      <c r="D823" s="20" t="s">
        <v>50</v>
      </c>
      <c r="E823" s="20" t="s">
        <v>4336</v>
      </c>
      <c r="F823" s="20" t="s">
        <v>4433</v>
      </c>
      <c r="G823" s="20" t="s">
        <v>86</v>
      </c>
      <c r="H823" s="20" t="s">
        <v>4338</v>
      </c>
      <c r="I823" s="20"/>
      <c r="J823" s="20" t="s">
        <v>4434</v>
      </c>
      <c r="K823" s="20" t="s">
        <v>241</v>
      </c>
      <c r="L823" s="20" t="s">
        <v>208</v>
      </c>
      <c r="M823" s="20" t="s">
        <v>209</v>
      </c>
      <c r="N823" s="20" t="s">
        <v>188</v>
      </c>
      <c r="O823" s="20" t="s">
        <v>189</v>
      </c>
      <c r="P823" s="20" t="s">
        <v>190</v>
      </c>
      <c r="Q823" s="20" t="s">
        <v>191</v>
      </c>
      <c r="R823" s="20" t="s">
        <v>192</v>
      </c>
      <c r="S823" s="20" t="s">
        <v>193</v>
      </c>
      <c r="T823" s="20" t="s">
        <v>242</v>
      </c>
      <c r="U823" s="20" t="s">
        <v>243</v>
      </c>
      <c r="V823" s="20" t="s">
        <v>67</v>
      </c>
      <c r="W823" s="20" t="s">
        <v>68</v>
      </c>
      <c r="X823" s="20" t="s">
        <v>69</v>
      </c>
      <c r="Y823" s="20" t="s">
        <v>70</v>
      </c>
      <c r="Z823" s="20" t="s">
        <v>177</v>
      </c>
      <c r="AA823" s="20" t="s">
        <v>388</v>
      </c>
      <c r="AB823" s="20" t="s">
        <v>4435</v>
      </c>
      <c r="AC823" s="20" t="s">
        <v>4435</v>
      </c>
      <c r="AD823" s="20" t="s">
        <v>4435</v>
      </c>
      <c r="AE823" s="20"/>
      <c r="AF823" s="9" t="n">
        <v>0</v>
      </c>
      <c r="AG823" s="12" t="n">
        <v>0</v>
      </c>
      <c r="AH823" s="22" t="s">
        <v>161</v>
      </c>
      <c r="AI823" s="12" t="str">
        <f>IF(AH823="","",IFERROR(RIGHT("0000"&amp;AH823,4)&amp;" - "&amp;UPPER(_xlfn.XLOOKUP(RIGHT("0000"&amp;AH823,4),CODEBOOK_CAP!$C$2:$C$212,CODEBOOK_CAP!$D$2:$D$212)),"Código CAP não encontrado"))</f>
        <v>2300 - GERAL</v>
      </c>
      <c r="AJ823" s="12" t="str">
        <f>IF(AH823="","",IFERROR(_xlfn.XLOOKUP(RIGHT("0000"&amp;AH823,4),CODEBOOK_CAP!$C$2:$C$212,CODEBOOK_CAP!$E$2:$E$212),"Código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23" s="22" t="s">
        <v>79</v>
      </c>
      <c r="AL823" s="26" t="s">
        <v>4436</v>
      </c>
      <c r="AM823" s="22" t="s">
        <v>79</v>
      </c>
      <c r="AN823" s="22" t="s">
        <v>79</v>
      </c>
      <c r="AO823" s="26" t="s">
        <v>4436</v>
      </c>
      <c r="AP823" s="22" t="s">
        <v>77</v>
      </c>
      <c r="AQ823" s="12"/>
      <c r="AR823" s="22" t="s">
        <v>77</v>
      </c>
      <c r="AS823" s="10"/>
      <c r="AT823" s="2" t="s">
        <v>1814</v>
      </c>
      <c r="AU823" s="12" t="s">
        <v>83</v>
      </c>
      <c r="AV823" s="3" t="n">
        <v>46224</v>
      </c>
      <c r="AW823" s="21"/>
      <c r="AX823" s="1" t="s">
        <v>6956</v>
      </c>
      <c r="AY823" s="1"/>
      <c r="BA823" s="1"/>
      <c r="BB823" s="1"/>
    </row>
    <row r="824" ht="90" customHeight="1">
      <c r="A824" s="20" t="s">
        <v>4437</v>
      </c>
      <c r="B824" s="20" t="n">
        <v>2023</v>
      </c>
      <c r="C824" s="20" t="n">
        <v>295</v>
      </c>
      <c r="D824" s="20" t="s">
        <v>50</v>
      </c>
      <c r="E824" s="20" t="s">
        <v>4336</v>
      </c>
      <c r="F824" s="20" t="s">
        <v>4438</v>
      </c>
      <c r="G824" s="20" t="s">
        <v>53</v>
      </c>
      <c r="H824" s="20" t="s">
        <v>4338</v>
      </c>
      <c r="I824" s="20"/>
      <c r="J824" s="20" t="s">
        <v>4439</v>
      </c>
      <c r="K824" s="20" t="s">
        <v>4440</v>
      </c>
      <c r="L824" s="20" t="s">
        <v>208</v>
      </c>
      <c r="M824" s="20" t="s">
        <v>209</v>
      </c>
      <c r="N824" s="20" t="s">
        <v>660</v>
      </c>
      <c r="O824" s="20" t="s">
        <v>661</v>
      </c>
      <c r="P824" s="20" t="s">
        <v>662</v>
      </c>
      <c r="Q824" s="20" t="s">
        <v>663</v>
      </c>
      <c r="R824" s="20" t="s">
        <v>1378</v>
      </c>
      <c r="S824" s="20" t="s">
        <v>1379</v>
      </c>
      <c r="T824" s="20" t="s">
        <v>300</v>
      </c>
      <c r="U824" s="20" t="s">
        <v>301</v>
      </c>
      <c r="V824" s="20" t="s">
        <v>67</v>
      </c>
      <c r="W824" s="20" t="s">
        <v>68</v>
      </c>
      <c r="X824" s="20" t="s">
        <v>69</v>
      </c>
      <c r="Y824" s="20" t="s">
        <v>70</v>
      </c>
      <c r="Z824" s="20" t="s">
        <v>177</v>
      </c>
      <c r="AA824" s="20" t="s">
        <v>601</v>
      </c>
      <c r="AB824" s="20" t="s">
        <v>77</v>
      </c>
      <c r="AC824" s="20" t="s">
        <v>77</v>
      </c>
      <c r="AD824" s="20" t="s">
        <v>77</v>
      </c>
      <c r="AE824" s="20"/>
      <c r="AF824" s="9" t="n">
        <v>0</v>
      </c>
      <c r="AG824" s="12" t="n">
        <v>0</v>
      </c>
      <c r="AH824" s="22" t="s">
        <v>304</v>
      </c>
      <c r="AI824" s="12" t="str">
        <f>IF(AH824="","",IFERROR(RIGHT("0000"&amp;AH824,4)&amp;" - "&amp;UPPER(_xlfn.XLOOKUP(RIGHT("0000"&amp;AH824,4),CODEBOOK_CAP!$C$2:$C$212,CODEBOOK_CAP!$D$2:$D$212)),"Código CAP não encontrado"))</f>
        <v>1403 - REABILITAÇÃO URBANA, ECONOMIA URBANA</v>
      </c>
      <c r="AJ824" s="12" t="str">
        <f>IF(AH824="","",IFERROR(_xlfn.XLOOKUP(RIGHT("0000"&amp;AH824,4),CODEBOOK_CAP!$C$2:$C$212,CODEBOOK_CAP!$E$2:$E$212),"Código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24" s="22" t="s">
        <v>79</v>
      </c>
      <c r="AL824" s="26" t="s">
        <v>4441</v>
      </c>
      <c r="AM824" s="22" t="s">
        <v>79</v>
      </c>
      <c r="AN824" s="22" t="s">
        <v>79</v>
      </c>
      <c r="AO824" s="12" t="s">
        <v>4441</v>
      </c>
      <c r="AP824" s="22" t="s">
        <v>77</v>
      </c>
      <c r="AQ824" s="12"/>
      <c r="AR824" s="22" t="s">
        <v>77</v>
      </c>
      <c r="AS824" s="10"/>
      <c r="AT824" s="2" t="s">
        <v>1814</v>
      </c>
      <c r="AU824" s="12" t="s">
        <v>83</v>
      </c>
      <c r="AV824" s="3" t="n">
        <v>46224</v>
      </c>
      <c r="AW824" s="21"/>
      <c r="AY824" s="1"/>
      <c r="BA824" s="1"/>
      <c r="BB824" s="1"/>
    </row>
    <row r="825" ht="105" customHeight="1">
      <c r="A825" s="20" t="s">
        <v>4442</v>
      </c>
      <c r="B825" s="20" t="n">
        <v>2023</v>
      </c>
      <c r="C825" s="20" t="n">
        <v>296</v>
      </c>
      <c r="D825" s="20" t="s">
        <v>50</v>
      </c>
      <c r="E825" s="20" t="s">
        <v>4336</v>
      </c>
      <c r="F825" s="20" t="s">
        <v>4443</v>
      </c>
      <c r="G825" s="20" t="s">
        <v>86</v>
      </c>
      <c r="H825" s="20" t="s">
        <v>4338</v>
      </c>
      <c r="I825" s="20"/>
      <c r="J825" s="20" t="s">
        <v>4444</v>
      </c>
      <c r="K825" s="20" t="s">
        <v>241</v>
      </c>
      <c r="L825" s="20" t="s">
        <v>208</v>
      </c>
      <c r="M825" s="20" t="s">
        <v>209</v>
      </c>
      <c r="N825" s="20" t="s">
        <v>188</v>
      </c>
      <c r="O825" s="20" t="s">
        <v>189</v>
      </c>
      <c r="P825" s="20" t="s">
        <v>190</v>
      </c>
      <c r="Q825" s="20" t="s">
        <v>191</v>
      </c>
      <c r="R825" s="20" t="s">
        <v>192</v>
      </c>
      <c r="S825" s="20" t="s">
        <v>193</v>
      </c>
      <c r="T825" s="20" t="s">
        <v>242</v>
      </c>
      <c r="U825" s="20" t="s">
        <v>243</v>
      </c>
      <c r="V825" s="20" t="s">
        <v>67</v>
      </c>
      <c r="W825" s="20" t="s">
        <v>68</v>
      </c>
      <c r="X825" s="20" t="s">
        <v>69</v>
      </c>
      <c r="Y825" s="20" t="s">
        <v>70</v>
      </c>
      <c r="Z825" s="20" t="s">
        <v>177</v>
      </c>
      <c r="AA825" s="20" t="s">
        <v>351</v>
      </c>
      <c r="AB825" s="20" t="s">
        <v>4445</v>
      </c>
      <c r="AC825" s="20" t="s">
        <v>4445</v>
      </c>
      <c r="AD825" s="20" t="s">
        <v>4445</v>
      </c>
      <c r="AE825" s="20"/>
      <c r="AF825" s="9" t="n">
        <v>0</v>
      </c>
      <c r="AG825" s="12" t="n">
        <v>0</v>
      </c>
      <c r="AH825" s="22" t="s">
        <v>161</v>
      </c>
      <c r="AI825" s="12" t="str">
        <f>IF(AH825="","",IFERROR(RIGHT("0000"&amp;AH825,4)&amp;" - "&amp;UPPER(_xlfn.XLOOKUP(RIGHT("0000"&amp;AH825,4),CODEBOOK_CAP!$C$2:$C$212,CODEBOOK_CAP!$D$2:$D$212)),"Código CAP não encontrado"))</f>
        <v>2300 - GERAL</v>
      </c>
      <c r="AJ825" s="12" t="str">
        <f>IF(AH825="","",IFERROR(_xlfn.XLOOKUP(RIGHT("0000"&amp;AH825,4),CODEBOOK_CAP!$C$2:$C$212,CODEBOOK_CAP!$E$2:$E$212),"Código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25" s="22" t="s">
        <v>79</v>
      </c>
      <c r="AL825" s="26" t="s">
        <v>4446</v>
      </c>
      <c r="AM825" s="22" t="s">
        <v>79</v>
      </c>
      <c r="AN825" s="22" t="s">
        <v>79</v>
      </c>
      <c r="AO825" s="12" t="s">
        <v>4446</v>
      </c>
      <c r="AP825" s="22" t="s">
        <v>77</v>
      </c>
      <c r="AQ825" s="12"/>
      <c r="AR825" s="22" t="s">
        <v>77</v>
      </c>
      <c r="AS825" s="10"/>
      <c r="AT825" s="2" t="s">
        <v>1814</v>
      </c>
      <c r="AU825" s="12" t="s">
        <v>83</v>
      </c>
      <c r="AV825" s="3" t="n">
        <v>46224</v>
      </c>
      <c r="AW825" s="21"/>
      <c r="AX825" s="1" t="s">
        <v>6956</v>
      </c>
      <c r="AY825" s="1"/>
      <c r="BA825" s="1"/>
      <c r="BB825" s="1"/>
    </row>
    <row r="826">
      <c r="A826" s="14" t="s">
        <v>4447</v>
      </c>
      <c r="B826" s="14" t="n">
        <v>2023</v>
      </c>
      <c r="C826" s="14" t="n">
        <v>297</v>
      </c>
      <c r="D826" s="14" t="s">
        <v>50</v>
      </c>
      <c r="E826" s="14" t="s">
        <v>4336</v>
      </c>
      <c r="F826" s="14" t="s">
        <v>4448</v>
      </c>
      <c r="G826" s="14" t="s">
        <v>633</v>
      </c>
      <c r="H826" s="14" t="s">
        <v>4338</v>
      </c>
      <c r="I826" s="14"/>
      <c r="J826" s="14"/>
      <c r="K826" s="14"/>
      <c r="L826" s="14"/>
      <c r="M826" s="14"/>
      <c r="N826" s="14"/>
      <c r="O826" s="14"/>
      <c r="P826" s="14"/>
      <c r="Q826" s="14"/>
      <c r="R826" s="14"/>
      <c r="S826" s="14"/>
      <c r="T826" s="14"/>
      <c r="U826" s="14"/>
      <c r="V826" s="14"/>
      <c r="W826" s="14"/>
      <c r="X826" s="14"/>
      <c r="Y826" s="14"/>
      <c r="Z826" s="14"/>
      <c r="AA826" s="14"/>
      <c r="AB826" s="14" t="s">
        <v>77</v>
      </c>
      <c r="AC826" s="14" t="s">
        <v>77</v>
      </c>
      <c r="AD826" s="14" t="s">
        <v>77</v>
      </c>
      <c r="AE826" s="14"/>
      <c r="AF826" s="15"/>
      <c r="AG826" s="15"/>
      <c r="AH826" s="16"/>
      <c r="AI826" s="15" t="str">
        <f>IF(AH826="","",IFERROR(RIGHT("0000"&amp;AH826,4)&amp;" - "&amp;UPPER(_xlfn.XLOOKUP(RIGHT("0000"&amp;AH826,4),CODEBOOK_CAP!$C$2:$C$212,CODEBOOK_CAP!$D$2:$D$212)),"Código CAP não encontrado"))</f>
      </c>
      <c r="AJ826" s="15" t="str">
        <f>IF(AH826="","",IFERROR(_xlfn.XLOOKUP(RIGHT("0000"&amp;AH826,4),CODEBOOK_CAP!$C$2:$C$212,CODEBOOK_CAP!$E$2:$E$212),"Código CAP não encontrado"))</f>
      </c>
      <c r="AK826" s="16"/>
      <c r="AL826" s="17"/>
      <c r="AM826" s="16"/>
      <c r="AN826" s="16"/>
      <c r="AO826" s="15"/>
      <c r="AP826" s="16"/>
      <c r="AQ826" s="15"/>
      <c r="AR826" s="16"/>
      <c r="AS826" s="18"/>
      <c r="AT826" s="2" t="s">
        <v>1814</v>
      </c>
      <c r="AU826" s="12" t="s">
        <v>83</v>
      </c>
      <c r="AV826" s="3" t="n">
        <v>46224</v>
      </c>
    </row>
    <row r="827" ht="255" customHeight="1">
      <c r="A827" s="20" t="s">
        <v>4449</v>
      </c>
      <c r="B827" s="20" t="n">
        <v>2023</v>
      </c>
      <c r="C827" s="20" t="n">
        <v>298</v>
      </c>
      <c r="D827" s="20" t="s">
        <v>50</v>
      </c>
      <c r="E827" s="20" t="s">
        <v>4336</v>
      </c>
      <c r="F827" s="20" t="s">
        <v>4450</v>
      </c>
      <c r="G827" s="20" t="s">
        <v>86</v>
      </c>
      <c r="H827" s="20" t="s">
        <v>4338</v>
      </c>
      <c r="I827" s="20"/>
      <c r="J827" s="20" t="s">
        <v>4451</v>
      </c>
      <c r="K827" s="20" t="s">
        <v>207</v>
      </c>
      <c r="L827" s="20" t="s">
        <v>208</v>
      </c>
      <c r="M827" s="20" t="s">
        <v>209</v>
      </c>
      <c r="N827" s="20" t="s">
        <v>210</v>
      </c>
      <c r="O827" s="20" t="s">
        <v>211</v>
      </c>
      <c r="P827" s="20" t="s">
        <v>212</v>
      </c>
      <c r="Q827" s="20" t="s">
        <v>213</v>
      </c>
      <c r="R827" s="20" t="s">
        <v>214</v>
      </c>
      <c r="S827" s="20" t="s">
        <v>215</v>
      </c>
      <c r="T827" s="20" t="s">
        <v>216</v>
      </c>
      <c r="U827" s="20" t="s">
        <v>217</v>
      </c>
      <c r="V827" s="20" t="s">
        <v>67</v>
      </c>
      <c r="W827" s="20" t="s">
        <v>68</v>
      </c>
      <c r="X827" s="20" t="s">
        <v>69</v>
      </c>
      <c r="Y827" s="20" t="s">
        <v>70</v>
      </c>
      <c r="Z827" s="20" t="s">
        <v>177</v>
      </c>
      <c r="AA827" s="20" t="s">
        <v>4452</v>
      </c>
      <c r="AB827" s="20" t="s">
        <v>4453</v>
      </c>
      <c r="AC827" s="20" t="s">
        <v>4453</v>
      </c>
      <c r="AD827" s="20" t="s">
        <v>4453</v>
      </c>
      <c r="AE827" s="20"/>
      <c r="AF827" s="9" t="n">
        <v>0</v>
      </c>
      <c r="AG827" s="12" t="n">
        <v>0</v>
      </c>
      <c r="AH827" s="22" t="s">
        <v>219</v>
      </c>
      <c r="AI827" s="12" t="str">
        <f>IF(AH827="","",IFERROR(RIGHT("0000"&amp;AH827,4)&amp;" - "&amp;UPPER(_xlfn.XLOOKUP(RIGHT("0000"&amp;AH827,4),CODEBOOK_CAP!$C$2:$C$212,CODEBOOK_CAP!$D$2:$D$212)),"Código CAP não encontrado"))</f>
        <v>1002 - CARROS, TRÂNSITO, CONSTRUÇÃO E MANUTENÇÃO DE RUAS E ESTRADAS</v>
      </c>
      <c r="AJ827" s="12" t="str">
        <f>IF(AH827="","",IFERROR(_xlfn.XLOOKUP(RIGHT("0000"&amp;AH827,4),CODEBOOK_CAP!$C$2:$C$212,CODEBOOK_CAP!$E$2:$E$212),"Código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27" s="22" t="s">
        <v>79</v>
      </c>
      <c r="AL827" s="26" t="s">
        <v>4454</v>
      </c>
      <c r="AM827" s="22" t="s">
        <v>79</v>
      </c>
      <c r="AN827" s="22" t="s">
        <v>79</v>
      </c>
      <c r="AO827" s="26" t="s">
        <v>4454</v>
      </c>
      <c r="AP827" s="22" t="s">
        <v>77</v>
      </c>
      <c r="AQ827" s="12"/>
      <c r="AR827" s="22" t="s">
        <v>77</v>
      </c>
      <c r="AS827" s="10"/>
      <c r="AT827" s="2" t="s">
        <v>1814</v>
      </c>
      <c r="AU827" s="12" t="s">
        <v>83</v>
      </c>
      <c r="AV827" s="3" t="n">
        <v>46224</v>
      </c>
      <c r="AW827" s="21"/>
      <c r="AY827" s="1"/>
      <c r="BA827" s="1"/>
      <c r="BB827" s="1"/>
    </row>
    <row r="828" ht="105" customHeight="1">
      <c r="A828" s="20" t="s">
        <v>4455</v>
      </c>
      <c r="B828" s="20" t="n">
        <v>2023</v>
      </c>
      <c r="C828" s="20" t="n">
        <v>299</v>
      </c>
      <c r="D828" s="20" t="s">
        <v>50</v>
      </c>
      <c r="E828" s="20" t="s">
        <v>4336</v>
      </c>
      <c r="F828" s="20" t="s">
        <v>4456</v>
      </c>
      <c r="G828" s="20" t="s">
        <v>86</v>
      </c>
      <c r="H828" s="20" t="s">
        <v>4338</v>
      </c>
      <c r="I828" s="20"/>
      <c r="J828" s="20" t="s">
        <v>4457</v>
      </c>
      <c r="K828" s="20" t="s">
        <v>241</v>
      </c>
      <c r="L828" s="20" t="s">
        <v>208</v>
      </c>
      <c r="M828" s="20" t="s">
        <v>209</v>
      </c>
      <c r="N828" s="20" t="s">
        <v>188</v>
      </c>
      <c r="O828" s="20" t="s">
        <v>189</v>
      </c>
      <c r="P828" s="20" t="s">
        <v>190</v>
      </c>
      <c r="Q828" s="20" t="s">
        <v>191</v>
      </c>
      <c r="R828" s="20" t="s">
        <v>192</v>
      </c>
      <c r="S828" s="20" t="s">
        <v>193</v>
      </c>
      <c r="T828" s="20" t="s">
        <v>242</v>
      </c>
      <c r="U828" s="20" t="s">
        <v>243</v>
      </c>
      <c r="V828" s="20" t="s">
        <v>67</v>
      </c>
      <c r="W828" s="20" t="s">
        <v>68</v>
      </c>
      <c r="X828" s="20" t="s">
        <v>69</v>
      </c>
      <c r="Y828" s="20" t="s">
        <v>70</v>
      </c>
      <c r="Z828" s="20" t="s">
        <v>177</v>
      </c>
      <c r="AA828" s="20" t="s">
        <v>351</v>
      </c>
      <c r="AB828" s="20" t="s">
        <v>4458</v>
      </c>
      <c r="AC828" s="20" t="s">
        <v>4458</v>
      </c>
      <c r="AD828" s="20" t="s">
        <v>4458</v>
      </c>
      <c r="AE828" s="20"/>
      <c r="AF828" s="9" t="n">
        <v>0</v>
      </c>
      <c r="AG828" s="12" t="n">
        <v>0</v>
      </c>
      <c r="AH828" s="22" t="s">
        <v>161</v>
      </c>
      <c r="AI828" s="12" t="str">
        <f>IF(AH828="","",IFERROR(RIGHT("0000"&amp;AH828,4)&amp;" - "&amp;UPPER(_xlfn.XLOOKUP(RIGHT("0000"&amp;AH828,4),CODEBOOK_CAP!$C$2:$C$212,CODEBOOK_CAP!$D$2:$D$212)),"Código CAP não encontrado"))</f>
        <v>2300 - GERAL</v>
      </c>
      <c r="AJ828" s="12" t="str">
        <f>IF(AH828="","",IFERROR(_xlfn.XLOOKUP(RIGHT("0000"&amp;AH828,4),CODEBOOK_CAP!$C$2:$C$212,CODEBOOK_CAP!$E$2:$E$212),"Código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28" s="22" t="s">
        <v>79</v>
      </c>
      <c r="AL828" s="26" t="s">
        <v>4459</v>
      </c>
      <c r="AM828" s="22" t="s">
        <v>79</v>
      </c>
      <c r="AN828" s="22" t="s">
        <v>79</v>
      </c>
      <c r="AO828" s="12" t="s">
        <v>4459</v>
      </c>
      <c r="AP828" s="22" t="s">
        <v>77</v>
      </c>
      <c r="AQ828" s="12"/>
      <c r="AR828" s="22" t="s">
        <v>77</v>
      </c>
      <c r="AS828" s="10"/>
      <c r="AT828" s="2" t="s">
        <v>1814</v>
      </c>
      <c r="AU828" s="12" t="s">
        <v>83</v>
      </c>
      <c r="AV828" s="3" t="n">
        <v>46224</v>
      </c>
      <c r="AW828" s="21"/>
      <c r="AX828" s="1" t="s">
        <v>6956</v>
      </c>
      <c r="AY828" s="1"/>
      <c r="BA828" s="1"/>
      <c r="BB828" s="1"/>
    </row>
    <row r="829" ht="210" customHeight="1">
      <c r="A829" s="20" t="s">
        <v>4460</v>
      </c>
      <c r="B829" s="20" t="n">
        <v>2023</v>
      </c>
      <c r="C829" s="20" t="n">
        <v>300</v>
      </c>
      <c r="D829" s="20" t="s">
        <v>50</v>
      </c>
      <c r="E829" s="20" t="s">
        <v>4336</v>
      </c>
      <c r="F829" s="20" t="s">
        <v>4461</v>
      </c>
      <c r="G829" s="20" t="s">
        <v>86</v>
      </c>
      <c r="H829" s="20" t="s">
        <v>4338</v>
      </c>
      <c r="I829" s="20"/>
      <c r="J829" s="20" t="s">
        <v>4462</v>
      </c>
      <c r="K829" s="20" t="s">
        <v>3725</v>
      </c>
      <c r="L829" s="20" t="s">
        <v>785</v>
      </c>
      <c r="M829" s="20" t="s">
        <v>786</v>
      </c>
      <c r="N829" s="20" t="s">
        <v>787</v>
      </c>
      <c r="O829" s="20" t="s">
        <v>788</v>
      </c>
      <c r="P829" s="20" t="s">
        <v>517</v>
      </c>
      <c r="Q829" s="20" t="s">
        <v>893</v>
      </c>
      <c r="R829" s="20" t="s">
        <v>894</v>
      </c>
      <c r="S829" s="20" t="s">
        <v>895</v>
      </c>
      <c r="T829" s="20" t="s">
        <v>896</v>
      </c>
      <c r="U829" s="20" t="s">
        <v>897</v>
      </c>
      <c r="V829" s="20" t="s">
        <v>854</v>
      </c>
      <c r="W829" s="20" t="s">
        <v>96</v>
      </c>
      <c r="X829" s="20" t="s">
        <v>97</v>
      </c>
      <c r="Y829" s="20" t="s">
        <v>70</v>
      </c>
      <c r="Z829" s="20" t="s">
        <v>794</v>
      </c>
      <c r="AA829" s="20" t="s">
        <v>363</v>
      </c>
      <c r="AB829" s="20" t="s">
        <v>4463</v>
      </c>
      <c r="AC829" s="20" t="s">
        <v>4463</v>
      </c>
      <c r="AD829" s="20" t="s">
        <v>4463</v>
      </c>
      <c r="AE829" s="20"/>
      <c r="AF829" s="9" t="n">
        <v>0</v>
      </c>
      <c r="AG829" s="12" t="n">
        <v>0</v>
      </c>
      <c r="AH829" s="22" t="s">
        <v>899</v>
      </c>
      <c r="AI829" s="12" t="str">
        <f>IF(AH829="","",IFERROR(RIGHT("0000"&amp;AH829,4)&amp;" - "&amp;UPPER(_xlfn.XLOOKUP(RIGHT("0000"&amp;AH829,4),CODEBOOK_CAP!$C$2:$C$212,CODEBOOK_CAP!$D$2:$D$212)),"Código CAP não encontrado"))</f>
        <v>0602 - ENSINO BÁSICO, FUNDAMENTAL E MÉDIO</v>
      </c>
      <c r="AJ829" s="12" t="str">
        <f>IF(AH829="","",IFERROR(_xlfn.XLOOKUP(RIGHT("0000"&amp;AH829,4),CODEBOOK_CAP!$C$2:$C$212,CODEBOOK_CAP!$E$2:$E$212),"Código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829" s="22" t="s">
        <v>79</v>
      </c>
      <c r="AL829" s="26" t="s">
        <v>4464</v>
      </c>
      <c r="AM829" s="22" t="s">
        <v>79</v>
      </c>
      <c r="AN829" s="22" t="s">
        <v>79</v>
      </c>
      <c r="AO829" s="12" t="s">
        <v>4465</v>
      </c>
      <c r="AP829" s="22" t="s">
        <v>79</v>
      </c>
      <c r="AQ829" s="12" t="s">
        <v>901</v>
      </c>
      <c r="AR829" s="22" t="s">
        <v>77</v>
      </c>
      <c r="AS829" s="10"/>
      <c r="AT829" s="2" t="s">
        <v>1814</v>
      </c>
      <c r="AU829" s="12" t="s">
        <v>83</v>
      </c>
      <c r="AV829" s="3" t="n">
        <v>46224</v>
      </c>
      <c r="AW829" s="21"/>
      <c r="AY829" s="1"/>
      <c r="BA829" s="1"/>
      <c r="BB829" s="1"/>
    </row>
    <row r="830" ht="210" customHeight="1">
      <c r="A830" s="20" t="s">
        <v>4466</v>
      </c>
      <c r="B830" s="20" t="n">
        <v>2023</v>
      </c>
      <c r="C830" s="20" t="n">
        <v>301</v>
      </c>
      <c r="D830" s="20" t="s">
        <v>50</v>
      </c>
      <c r="E830" s="20" t="s">
        <v>4336</v>
      </c>
      <c r="F830" s="20" t="s">
        <v>70</v>
      </c>
      <c r="G830" s="20" t="s">
        <v>86</v>
      </c>
      <c r="H830" s="20" t="s">
        <v>4338</v>
      </c>
      <c r="I830" s="20"/>
      <c r="J830" s="20" t="s">
        <v>4467</v>
      </c>
      <c r="K830" s="20" t="s">
        <v>3725</v>
      </c>
      <c r="L830" s="20" t="s">
        <v>785</v>
      </c>
      <c r="M830" s="20" t="s">
        <v>786</v>
      </c>
      <c r="N830" s="20" t="s">
        <v>787</v>
      </c>
      <c r="O830" s="20" t="s">
        <v>788</v>
      </c>
      <c r="P830" s="20" t="s">
        <v>517</v>
      </c>
      <c r="Q830" s="20" t="s">
        <v>893</v>
      </c>
      <c r="R830" s="20" t="s">
        <v>894</v>
      </c>
      <c r="S830" s="20" t="s">
        <v>895</v>
      </c>
      <c r="T830" s="20" t="s">
        <v>896</v>
      </c>
      <c r="U830" s="20" t="s">
        <v>897</v>
      </c>
      <c r="V830" s="20" t="s">
        <v>854</v>
      </c>
      <c r="W830" s="20" t="s">
        <v>96</v>
      </c>
      <c r="X830" s="20" t="s">
        <v>97</v>
      </c>
      <c r="Y830" s="20" t="s">
        <v>70</v>
      </c>
      <c r="Z830" s="20" t="s">
        <v>794</v>
      </c>
      <c r="AA830" s="20" t="s">
        <v>363</v>
      </c>
      <c r="AB830" s="20" t="s">
        <v>4468</v>
      </c>
      <c r="AC830" s="20" t="s">
        <v>4468</v>
      </c>
      <c r="AD830" s="20" t="s">
        <v>4468</v>
      </c>
      <c r="AE830" s="20"/>
      <c r="AF830" s="9" t="n">
        <v>0</v>
      </c>
      <c r="AG830" s="12" t="n">
        <v>0</v>
      </c>
      <c r="AH830" s="22" t="s">
        <v>899</v>
      </c>
      <c r="AI830" s="12" t="str">
        <f>IF(AH830="","",IFERROR(RIGHT("0000"&amp;AH830,4)&amp;" - "&amp;UPPER(_xlfn.XLOOKUP(RIGHT("0000"&amp;AH830,4),CODEBOOK_CAP!$C$2:$C$212,CODEBOOK_CAP!$D$2:$D$212)),"Código CAP não encontrado"))</f>
        <v>0602 - ENSINO BÁSICO, FUNDAMENTAL E MÉDIO</v>
      </c>
      <c r="AJ830" s="12" t="str">
        <f>IF(AH830="","",IFERROR(_xlfn.XLOOKUP(RIGHT("0000"&amp;AH830,4),CODEBOOK_CAP!$C$2:$C$212,CODEBOOK_CAP!$E$2:$E$212),"Código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830" s="22" t="s">
        <v>79</v>
      </c>
      <c r="AL830" s="26" t="s">
        <v>4469</v>
      </c>
      <c r="AM830" s="22" t="s">
        <v>79</v>
      </c>
      <c r="AN830" s="22" t="s">
        <v>79</v>
      </c>
      <c r="AO830" s="12" t="s">
        <v>4470</v>
      </c>
      <c r="AP830" s="22" t="s">
        <v>79</v>
      </c>
      <c r="AQ830" s="12" t="s">
        <v>901</v>
      </c>
      <c r="AR830" s="22" t="s">
        <v>77</v>
      </c>
      <c r="AS830" s="10"/>
      <c r="AT830" s="2" t="s">
        <v>1814</v>
      </c>
      <c r="AU830" s="12" t="s">
        <v>83</v>
      </c>
      <c r="AV830" s="3" t="n">
        <v>46224</v>
      </c>
      <c r="AW830" s="21"/>
      <c r="AY830" s="1"/>
      <c r="BA830" s="1"/>
      <c r="BB830" s="1"/>
    </row>
    <row r="831" ht="210" customHeight="1">
      <c r="A831" s="20" t="s">
        <v>4471</v>
      </c>
      <c r="B831" s="20" t="n">
        <v>2023</v>
      </c>
      <c r="C831" s="20" t="n">
        <v>303</v>
      </c>
      <c r="D831" s="20" t="s">
        <v>50</v>
      </c>
      <c r="E831" s="20" t="s">
        <v>4336</v>
      </c>
      <c r="F831" s="20" t="s">
        <v>4472</v>
      </c>
      <c r="G831" s="20" t="s">
        <v>86</v>
      </c>
      <c r="H831" s="20" t="s">
        <v>4338</v>
      </c>
      <c r="I831" s="20"/>
      <c r="J831" s="20" t="s">
        <v>4473</v>
      </c>
      <c r="K831" s="20" t="s">
        <v>3725</v>
      </c>
      <c r="L831" s="20" t="s">
        <v>785</v>
      </c>
      <c r="M831" s="20" t="s">
        <v>786</v>
      </c>
      <c r="N831" s="20" t="s">
        <v>787</v>
      </c>
      <c r="O831" s="20" t="s">
        <v>788</v>
      </c>
      <c r="P831" s="20" t="s">
        <v>517</v>
      </c>
      <c r="Q831" s="20" t="s">
        <v>893</v>
      </c>
      <c r="R831" s="20" t="s">
        <v>894</v>
      </c>
      <c r="S831" s="20" t="s">
        <v>895</v>
      </c>
      <c r="T831" s="20" t="s">
        <v>896</v>
      </c>
      <c r="U831" s="20" t="s">
        <v>897</v>
      </c>
      <c r="V831" s="20" t="s">
        <v>854</v>
      </c>
      <c r="W831" s="20" t="s">
        <v>96</v>
      </c>
      <c r="X831" s="20" t="s">
        <v>97</v>
      </c>
      <c r="Y831" s="20" t="s">
        <v>70</v>
      </c>
      <c r="Z831" s="20" t="s">
        <v>794</v>
      </c>
      <c r="AA831" s="20" t="s">
        <v>363</v>
      </c>
      <c r="AB831" s="20" t="s">
        <v>4474</v>
      </c>
      <c r="AC831" s="20" t="s">
        <v>4474</v>
      </c>
      <c r="AD831" s="20" t="s">
        <v>4474</v>
      </c>
      <c r="AE831" s="20"/>
      <c r="AF831" s="9" t="n">
        <v>0</v>
      </c>
      <c r="AG831" s="12" t="n">
        <v>0</v>
      </c>
      <c r="AH831" s="22" t="s">
        <v>899</v>
      </c>
      <c r="AI831" s="12" t="str">
        <f>IF(AH831="","",IFERROR(RIGHT("0000"&amp;AH831,4)&amp;" - "&amp;UPPER(_xlfn.XLOOKUP(RIGHT("0000"&amp;AH831,4),CODEBOOK_CAP!$C$2:$C$212,CODEBOOK_CAP!$D$2:$D$212)),"Código CAP não encontrado"))</f>
        <v>0602 - ENSINO BÁSICO, FUNDAMENTAL E MÉDIO</v>
      </c>
      <c r="AJ831" s="12" t="str">
        <f>IF(AH831="","",IFERROR(_xlfn.XLOOKUP(RIGHT("0000"&amp;AH831,4),CODEBOOK_CAP!$C$2:$C$212,CODEBOOK_CAP!$E$2:$E$212),"Código CAP não encontrado"))</f>
        <v>Programas de ensino básico, fundamental e médio, ENEM quando usado como forma de avaliação do ensino médio, FUNDEF, FUNDEB, Atividades escolares e extra-curriculares, transporte escolar, uniforme, acesso a escolas, creches, garantias de vagas, ingresso, aprovação, critérios mínimos, estrutura curricular, professores e funcionários de ensino básico, fundamental e médio, modelos de gestão escolar nessas faixas de ensino, metas de aprendizagem, indicadores e avaliação de ensino básico, fundamental e medio, taxa de evasão, taxas de matrículas, bolsas, parceria público privado, olimpíadas de matemática, concursos nacionais, vestibulinhos, equipamentos de ensino e de esportes em escolas e colégios. ENCCEJA</v>
      </c>
      <c r="AK831" s="22" t="s">
        <v>79</v>
      </c>
      <c r="AL831" s="26" t="s">
        <v>4475</v>
      </c>
      <c r="AM831" s="22" t="s">
        <v>79</v>
      </c>
      <c r="AN831" s="22" t="s">
        <v>79</v>
      </c>
      <c r="AO831" s="12" t="s">
        <v>4476</v>
      </c>
      <c r="AP831" s="22" t="s">
        <v>79</v>
      </c>
      <c r="AQ831" s="12" t="s">
        <v>901</v>
      </c>
      <c r="AR831" s="22" t="s">
        <v>77</v>
      </c>
      <c r="AS831" s="10"/>
      <c r="AT831" s="2" t="s">
        <v>1814</v>
      </c>
      <c r="AU831" s="12" t="s">
        <v>83</v>
      </c>
      <c r="AV831" s="3" t="n">
        <v>46224</v>
      </c>
      <c r="AW831" s="21"/>
      <c r="AY831" s="1"/>
      <c r="BA831" s="1"/>
      <c r="BB831" s="1"/>
    </row>
    <row r="832">
      <c r="A832" s="14" t="s">
        <v>4477</v>
      </c>
      <c r="B832" s="14" t="n">
        <v>2023</v>
      </c>
      <c r="C832" s="14" t="n">
        <v>321</v>
      </c>
      <c r="D832" s="14" t="s">
        <v>50</v>
      </c>
      <c r="E832" s="14" t="s">
        <v>4336</v>
      </c>
      <c r="F832" s="14" t="s">
        <v>4478</v>
      </c>
      <c r="G832" s="14" t="s">
        <v>633</v>
      </c>
      <c r="H832" s="14" t="s">
        <v>4338</v>
      </c>
      <c r="I832" s="14"/>
      <c r="J832" s="14"/>
      <c r="K832" s="14"/>
      <c r="L832" s="14"/>
      <c r="M832" s="14"/>
      <c r="N832" s="14"/>
      <c r="O832" s="14"/>
      <c r="P832" s="14"/>
      <c r="Q832" s="14"/>
      <c r="R832" s="14"/>
      <c r="S832" s="14"/>
      <c r="T832" s="14"/>
      <c r="U832" s="14"/>
      <c r="V832" s="14"/>
      <c r="W832" s="14"/>
      <c r="X832" s="14"/>
      <c r="Y832" s="14"/>
      <c r="Z832" s="14"/>
      <c r="AA832" s="14"/>
      <c r="AB832" s="14" t="s">
        <v>77</v>
      </c>
      <c r="AC832" s="14" t="s">
        <v>77</v>
      </c>
      <c r="AD832" s="14" t="s">
        <v>77</v>
      </c>
      <c r="AE832" s="14"/>
      <c r="AF832" s="15"/>
      <c r="AG832" s="15"/>
      <c r="AH832" s="16"/>
      <c r="AI832" s="15" t="str">
        <f>IF(AH832="","",IFERROR(RIGHT("0000"&amp;AH832,4)&amp;" - "&amp;UPPER(_xlfn.XLOOKUP(RIGHT("0000"&amp;AH832,4),CODEBOOK_CAP!$C$2:$C$212,CODEBOOK_CAP!$D$2:$D$212)),"Código CAP não encontrado"))</f>
      </c>
      <c r="AJ832" s="15" t="str">
        <f>IF(AH832="","",IFERROR(_xlfn.XLOOKUP(RIGHT("0000"&amp;AH832,4),CODEBOOK_CAP!$C$2:$C$212,CODEBOOK_CAP!$E$2:$E$212),"Código CAP não encontrado"))</f>
      </c>
      <c r="AK832" s="16"/>
      <c r="AL832" s="17"/>
      <c r="AM832" s="16"/>
      <c r="AN832" s="16"/>
      <c r="AO832" s="15"/>
      <c r="AP832" s="16"/>
      <c r="AQ832" s="15"/>
      <c r="AR832" s="16"/>
      <c r="AS832" s="18"/>
      <c r="AT832" s="2" t="s">
        <v>1814</v>
      </c>
      <c r="AU832" s="12" t="s">
        <v>83</v>
      </c>
      <c r="AV832" s="3" t="n">
        <v>46224</v>
      </c>
    </row>
    <row r="833" ht="105" customHeight="1">
      <c r="A833" s="20" t="s">
        <v>4479</v>
      </c>
      <c r="B833" s="20" t="n">
        <v>2023</v>
      </c>
      <c r="C833" s="20" t="n">
        <v>322</v>
      </c>
      <c r="D833" s="20" t="s">
        <v>50</v>
      </c>
      <c r="E833" s="20" t="s">
        <v>4336</v>
      </c>
      <c r="F833" s="20" t="s">
        <v>4480</v>
      </c>
      <c r="G833" s="20" t="s">
        <v>86</v>
      </c>
      <c r="H833" s="20" t="s">
        <v>4338</v>
      </c>
      <c r="I833" s="20"/>
      <c r="J833" s="20" t="s">
        <v>4481</v>
      </c>
      <c r="K833" s="20" t="s">
        <v>241</v>
      </c>
      <c r="L833" s="20" t="s">
        <v>208</v>
      </c>
      <c r="M833" s="20" t="s">
        <v>209</v>
      </c>
      <c r="N833" s="20" t="s">
        <v>188</v>
      </c>
      <c r="O833" s="20" t="s">
        <v>189</v>
      </c>
      <c r="P833" s="20" t="s">
        <v>190</v>
      </c>
      <c r="Q833" s="20" t="s">
        <v>191</v>
      </c>
      <c r="R833" s="20" t="s">
        <v>192</v>
      </c>
      <c r="S833" s="20" t="s">
        <v>193</v>
      </c>
      <c r="T833" s="20" t="s">
        <v>242</v>
      </c>
      <c r="U833" s="20" t="s">
        <v>243</v>
      </c>
      <c r="V833" s="20" t="s">
        <v>67</v>
      </c>
      <c r="W833" s="20" t="s">
        <v>68</v>
      </c>
      <c r="X833" s="20" t="s">
        <v>69</v>
      </c>
      <c r="Y833" s="20" t="s">
        <v>70</v>
      </c>
      <c r="Z833" s="20" t="s">
        <v>177</v>
      </c>
      <c r="AA833" s="20" t="s">
        <v>4482</v>
      </c>
      <c r="AB833" s="20" t="s">
        <v>4483</v>
      </c>
      <c r="AC833" s="20" t="s">
        <v>4483</v>
      </c>
      <c r="AD833" s="20" t="s">
        <v>4483</v>
      </c>
      <c r="AE833" s="20"/>
      <c r="AF833" s="9" t="n">
        <v>0</v>
      </c>
      <c r="AG833" s="12" t="n">
        <v>0</v>
      </c>
      <c r="AH833" s="22" t="s">
        <v>161</v>
      </c>
      <c r="AI833" s="12" t="str">
        <f>IF(AH833="","",IFERROR(RIGHT("0000"&amp;AH833,4)&amp;" - "&amp;UPPER(_xlfn.XLOOKUP(RIGHT("0000"&amp;AH833,4),CODEBOOK_CAP!$C$2:$C$212,CODEBOOK_CAP!$D$2:$D$212)),"Código CAP não encontrado"))</f>
        <v>2300 - GERAL</v>
      </c>
      <c r="AJ833" s="12" t="str">
        <f>IF(AH833="","",IFERROR(_xlfn.XLOOKUP(RIGHT("0000"&amp;AH833,4),CODEBOOK_CAP!$C$2:$C$212,CODEBOOK_CAP!$E$2:$E$212),"Código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33" s="22" t="s">
        <v>79</v>
      </c>
      <c r="AL833" s="26" t="s">
        <v>4484</v>
      </c>
      <c r="AM833" s="22" t="s">
        <v>79</v>
      </c>
      <c r="AN833" s="22" t="s">
        <v>79</v>
      </c>
      <c r="AO833" s="12" t="s">
        <v>4485</v>
      </c>
      <c r="AP833" s="22" t="s">
        <v>77</v>
      </c>
      <c r="AQ833" s="12"/>
      <c r="AR833" s="22" t="s">
        <v>77</v>
      </c>
      <c r="AS833" s="10"/>
      <c r="AT833" s="2" t="s">
        <v>1814</v>
      </c>
      <c r="AU833" s="12" t="s">
        <v>83</v>
      </c>
      <c r="AV833" s="3" t="n">
        <v>46224</v>
      </c>
      <c r="AW833" s="21"/>
      <c r="AX833" s="1" t="s">
        <v>6956</v>
      </c>
      <c r="AY833" s="1"/>
      <c r="BA833" s="1"/>
      <c r="BB833" s="1"/>
    </row>
    <row r="834" ht="90" customHeight="1">
      <c r="A834" s="20" t="s">
        <v>4486</v>
      </c>
      <c r="B834" s="20" t="n">
        <v>2023</v>
      </c>
      <c r="C834" s="20" t="n">
        <v>323</v>
      </c>
      <c r="D834" s="20" t="s">
        <v>50</v>
      </c>
      <c r="E834" s="20" t="s">
        <v>4336</v>
      </c>
      <c r="F834" s="20" t="s">
        <v>4487</v>
      </c>
      <c r="G834" s="20" t="s">
        <v>315</v>
      </c>
      <c r="H834" s="20" t="s">
        <v>4338</v>
      </c>
      <c r="I834" s="20"/>
      <c r="J834" s="20" t="s">
        <v>4488</v>
      </c>
      <c r="K834" s="20" t="s">
        <v>816</v>
      </c>
      <c r="L834" s="20" t="s">
        <v>274</v>
      </c>
      <c r="M834" s="20" t="s">
        <v>275</v>
      </c>
      <c r="N834" s="20" t="s">
        <v>276</v>
      </c>
      <c r="O834" s="20" t="s">
        <v>277</v>
      </c>
      <c r="P834" s="20" t="s">
        <v>278</v>
      </c>
      <c r="Q834" s="20" t="s">
        <v>279</v>
      </c>
      <c r="R834" s="20" t="s">
        <v>817</v>
      </c>
      <c r="S834" s="20" t="s">
        <v>818</v>
      </c>
      <c r="T834" s="20" t="s">
        <v>819</v>
      </c>
      <c r="U834" s="20" t="s">
        <v>820</v>
      </c>
      <c r="V834" s="20" t="s">
        <v>95</v>
      </c>
      <c r="W834" s="20" t="s">
        <v>96</v>
      </c>
      <c r="X834" s="20" t="s">
        <v>97</v>
      </c>
      <c r="Y834" s="20" t="s">
        <v>70</v>
      </c>
      <c r="Z834" s="20" t="s">
        <v>284</v>
      </c>
      <c r="AA834" s="20" t="s">
        <v>363</v>
      </c>
      <c r="AB834" s="20" t="s">
        <v>363</v>
      </c>
      <c r="AC834" s="20" t="s">
        <v>363</v>
      </c>
      <c r="AD834" s="20" t="s">
        <v>363</v>
      </c>
      <c r="AE834" s="20"/>
      <c r="AF834" s="9" t="n">
        <v>0</v>
      </c>
      <c r="AG834" s="12" t="n">
        <v>0</v>
      </c>
      <c r="AH834" s="22" t="s">
        <v>2043</v>
      </c>
      <c r="AI834" s="12" t="str">
        <f>IF(AH834="","",IFERROR(RIGHT("0000"&amp;AH834,4)&amp;" - "&amp;UPPER(_xlfn.XLOOKUP(RIGHT("0000"&amp;AH834,4),CODEBOOK_CAP!$C$2:$C$212,CODEBOOK_CAP!$D$2:$D$212)),"Código CAP não encontrado"))</f>
        <v>1303 - POLÍTICAS SOCIAIS DE ASSISTÊNCIA PARA IDOSOS</v>
      </c>
      <c r="AJ834" s="12" t="str">
        <f>IF(AH834="","",IFERROR(_xlfn.XLOOKUP(RIGHT("0000"&amp;AH834,4),CODEBOOK_CAP!$C$2:$C$212,CODEBOOK_CAP!$E$2:$E$212),"Código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34" s="22" t="s">
        <v>79</v>
      </c>
      <c r="AL834" s="26" t="s">
        <v>4489</v>
      </c>
      <c r="AM834" s="22" t="s">
        <v>79</v>
      </c>
      <c r="AN834" s="22" t="s">
        <v>79</v>
      </c>
      <c r="AO834" s="12" t="s">
        <v>4490</v>
      </c>
      <c r="AP834" s="22" t="s">
        <v>79</v>
      </c>
      <c r="AQ834" s="12" t="s">
        <v>2044</v>
      </c>
      <c r="AR834" s="22" t="s">
        <v>77</v>
      </c>
      <c r="AS834" s="10"/>
      <c r="AT834" s="2" t="s">
        <v>1814</v>
      </c>
      <c r="AU834" s="12" t="s">
        <v>83</v>
      </c>
      <c r="AV834" s="3" t="n">
        <v>46224</v>
      </c>
      <c r="AW834" s="21"/>
      <c r="AY834" s="1"/>
      <c r="BA834" s="1"/>
      <c r="BB834" s="1"/>
    </row>
    <row r="835" ht="120" customHeight="1">
      <c r="A835" s="20" t="s">
        <v>4491</v>
      </c>
      <c r="B835" s="20" t="n">
        <v>2023</v>
      </c>
      <c r="C835" s="20" t="n">
        <v>324</v>
      </c>
      <c r="D835" s="20" t="s">
        <v>50</v>
      </c>
      <c r="E835" s="20" t="s">
        <v>4336</v>
      </c>
      <c r="F835" s="20" t="s">
        <v>4492</v>
      </c>
      <c r="G835" s="20" t="s">
        <v>86</v>
      </c>
      <c r="H835" s="20" t="s">
        <v>4338</v>
      </c>
      <c r="I835" s="20"/>
      <c r="J835" s="20" t="s">
        <v>4493</v>
      </c>
      <c r="K835" s="20" t="s">
        <v>122</v>
      </c>
      <c r="L835" s="20" t="s">
        <v>57</v>
      </c>
      <c r="M835" s="20" t="s">
        <v>58</v>
      </c>
      <c r="N835" s="20" t="s">
        <v>59</v>
      </c>
      <c r="O835" s="20" t="s">
        <v>60</v>
      </c>
      <c r="P835" s="20" t="s">
        <v>89</v>
      </c>
      <c r="Q835" s="20" t="s">
        <v>90</v>
      </c>
      <c r="R835" s="20" t="s">
        <v>91</v>
      </c>
      <c r="S835" s="20" t="s">
        <v>92</v>
      </c>
      <c r="T835" s="20" t="s">
        <v>123</v>
      </c>
      <c r="U835" s="20" t="s">
        <v>124</v>
      </c>
      <c r="V835" s="20" t="s">
        <v>95</v>
      </c>
      <c r="W835" s="20" t="s">
        <v>96</v>
      </c>
      <c r="X835" s="20" t="s">
        <v>97</v>
      </c>
      <c r="Y835" s="20" t="s">
        <v>70</v>
      </c>
      <c r="Z835" s="20" t="s">
        <v>98</v>
      </c>
      <c r="AA835" s="20" t="s">
        <v>125</v>
      </c>
      <c r="AB835" s="20" t="s">
        <v>125</v>
      </c>
      <c r="AC835" s="20" t="s">
        <v>125</v>
      </c>
      <c r="AD835" s="20" t="s">
        <v>125</v>
      </c>
      <c r="AE835" s="20"/>
      <c r="AF835" s="9" t="n">
        <v>1</v>
      </c>
      <c r="AG835" s="12" t="n">
        <v>1</v>
      </c>
      <c r="AH835" s="22" t="s">
        <v>235</v>
      </c>
      <c r="AI835" s="12" t="str">
        <f>IF(AH835="","",IFERROR(RIGHT("0000"&amp;AH835,4)&amp;" - "&amp;UPPER(_xlfn.XLOOKUP(RIGHT("0000"&amp;AH835,4),CODEBOOK_CAP!$C$2:$C$212,CODEBOOK_CAP!$D$2:$D$212)),"Código CAP não encontrado"))</f>
        <v>0322 - ESTRUTURAS, HOSPITAIS, CLÍNICAS</v>
      </c>
      <c r="AJ835" s="12" t="str">
        <f>IF(AH835="","",IFERROR(_xlfn.XLOOKUP(RIGHT("0000"&amp;AH835,4),CODEBOOK_CAP!$C$2:$C$212,CODEBOOK_CAP!$E$2:$E$212),"Código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35" s="22" t="s">
        <v>77</v>
      </c>
      <c r="AL835" s="26"/>
      <c r="AM835" s="22" t="s">
        <v>79</v>
      </c>
      <c r="AN835" s="22" t="s">
        <v>79</v>
      </c>
      <c r="AO835" s="12" t="s">
        <v>4494</v>
      </c>
      <c r="AP835" s="22" t="s">
        <v>77</v>
      </c>
      <c r="AQ835" s="12"/>
      <c r="AR835" s="22" t="s">
        <v>77</v>
      </c>
      <c r="AS835" s="10"/>
      <c r="AT835" s="2" t="s">
        <v>1814</v>
      </c>
      <c r="AU835" s="12" t="s">
        <v>83</v>
      </c>
      <c r="AV835" s="3" t="n">
        <v>46224</v>
      </c>
      <c r="AW835" s="21"/>
      <c r="AY835" s="1"/>
      <c r="BA835" s="1"/>
      <c r="BB835" s="1"/>
    </row>
    <row r="836" ht="120" customHeight="1">
      <c r="A836" s="20" t="s">
        <v>4495</v>
      </c>
      <c r="B836" s="20" t="n">
        <v>2023</v>
      </c>
      <c r="C836" s="20" t="n">
        <v>489</v>
      </c>
      <c r="D836" s="20" t="s">
        <v>50</v>
      </c>
      <c r="E836" s="20" t="s">
        <v>4496</v>
      </c>
      <c r="F836" s="20" t="s">
        <v>4497</v>
      </c>
      <c r="G836" s="20" t="s">
        <v>86</v>
      </c>
      <c r="H836" s="20" t="s">
        <v>4498</v>
      </c>
      <c r="I836" s="20"/>
      <c r="J836" s="20" t="s">
        <v>1001</v>
      </c>
      <c r="K836" s="20" t="s">
        <v>122</v>
      </c>
      <c r="L836" s="20" t="s">
        <v>57</v>
      </c>
      <c r="M836" s="20" t="s">
        <v>58</v>
      </c>
      <c r="N836" s="20" t="s">
        <v>59</v>
      </c>
      <c r="O836" s="20" t="s">
        <v>60</v>
      </c>
      <c r="P836" s="20" t="s">
        <v>89</v>
      </c>
      <c r="Q836" s="20" t="s">
        <v>90</v>
      </c>
      <c r="R836" s="20" t="s">
        <v>91</v>
      </c>
      <c r="S836" s="20" t="s">
        <v>92</v>
      </c>
      <c r="T836" s="20" t="s">
        <v>123</v>
      </c>
      <c r="U836" s="20" t="s">
        <v>124</v>
      </c>
      <c r="V836" s="20" t="s">
        <v>95</v>
      </c>
      <c r="W836" s="20" t="s">
        <v>96</v>
      </c>
      <c r="X836" s="20" t="s">
        <v>97</v>
      </c>
      <c r="Y836" s="20" t="s">
        <v>70</v>
      </c>
      <c r="Z836" s="20" t="s">
        <v>98</v>
      </c>
      <c r="AA836" s="20" t="s">
        <v>2936</v>
      </c>
      <c r="AB836" s="20" t="s">
        <v>2936</v>
      </c>
      <c r="AC836" s="20" t="s">
        <v>2936</v>
      </c>
      <c r="AD836" s="20" t="s">
        <v>2936</v>
      </c>
      <c r="AE836" s="20"/>
      <c r="AF836" s="9" t="n">
        <v>1</v>
      </c>
      <c r="AG836" s="12" t="n">
        <v>1</v>
      </c>
      <c r="AH836" s="22" t="s">
        <v>235</v>
      </c>
      <c r="AI836" s="12" t="str">
        <f>IF(AH836="","",IFERROR(RIGHT("0000"&amp;AH836,4)&amp;" - "&amp;UPPER(_xlfn.XLOOKUP(RIGHT("0000"&amp;AH836,4),CODEBOOK_CAP!$C$2:$C$212,CODEBOOK_CAP!$D$2:$D$212)),"Código CAP não encontrado"))</f>
        <v>0322 - ESTRUTURAS, HOSPITAIS, CLÍNICAS</v>
      </c>
      <c r="AJ836" s="12" t="str">
        <f>IF(AH836="","",IFERROR(_xlfn.XLOOKUP(RIGHT("0000"&amp;AH836,4),CODEBOOK_CAP!$C$2:$C$212,CODEBOOK_CAP!$E$2:$E$212),"Código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36" s="22" t="s">
        <v>77</v>
      </c>
      <c r="AL836" s="26"/>
      <c r="AM836" s="22" t="s">
        <v>79</v>
      </c>
      <c r="AN836" s="22" t="s">
        <v>79</v>
      </c>
      <c r="AO836" s="12" t="s">
        <v>1854</v>
      </c>
      <c r="AP836" s="22" t="s">
        <v>77</v>
      </c>
      <c r="AQ836" s="12"/>
      <c r="AR836" s="22" t="s">
        <v>77</v>
      </c>
      <c r="AS836" s="10"/>
      <c r="AT836" s="2" t="s">
        <v>1814</v>
      </c>
      <c r="AU836" s="12" t="s">
        <v>83</v>
      </c>
      <c r="AV836" s="3" t="n">
        <v>46224</v>
      </c>
      <c r="AW836" s="21"/>
      <c r="AY836" s="1"/>
      <c r="BA836" s="1"/>
      <c r="BB836" s="1"/>
    </row>
    <row r="837" ht="120" customHeight="1">
      <c r="A837" s="20" t="s">
        <v>4499</v>
      </c>
      <c r="B837" s="20" t="n">
        <v>2023</v>
      </c>
      <c r="C837" s="20" t="n">
        <v>490</v>
      </c>
      <c r="D837" s="20" t="s">
        <v>50</v>
      </c>
      <c r="E837" s="20" t="s">
        <v>4496</v>
      </c>
      <c r="F837" s="20" t="s">
        <v>4500</v>
      </c>
      <c r="G837" s="20" t="s">
        <v>86</v>
      </c>
      <c r="H837" s="20" t="s">
        <v>4498</v>
      </c>
      <c r="I837" s="20"/>
      <c r="J837" s="20" t="s">
        <v>994</v>
      </c>
      <c r="K837" s="20" t="s">
        <v>122</v>
      </c>
      <c r="L837" s="20" t="s">
        <v>57</v>
      </c>
      <c r="M837" s="20" t="s">
        <v>58</v>
      </c>
      <c r="N837" s="20" t="s">
        <v>59</v>
      </c>
      <c r="O837" s="20" t="s">
        <v>60</v>
      </c>
      <c r="P837" s="20" t="s">
        <v>89</v>
      </c>
      <c r="Q837" s="20" t="s">
        <v>90</v>
      </c>
      <c r="R837" s="20" t="s">
        <v>91</v>
      </c>
      <c r="S837" s="20" t="s">
        <v>92</v>
      </c>
      <c r="T837" s="20" t="s">
        <v>123</v>
      </c>
      <c r="U837" s="20" t="s">
        <v>124</v>
      </c>
      <c r="V837" s="20" t="s">
        <v>95</v>
      </c>
      <c r="W837" s="20" t="s">
        <v>96</v>
      </c>
      <c r="X837" s="20" t="s">
        <v>97</v>
      </c>
      <c r="Y837" s="20" t="s">
        <v>70</v>
      </c>
      <c r="Z837" s="20" t="s">
        <v>98</v>
      </c>
      <c r="AA837" s="20" t="s">
        <v>4501</v>
      </c>
      <c r="AB837" s="20" t="s">
        <v>4501</v>
      </c>
      <c r="AC837" s="20" t="s">
        <v>4501</v>
      </c>
      <c r="AD837" s="20" t="s">
        <v>4501</v>
      </c>
      <c r="AE837" s="20"/>
      <c r="AF837" s="9" t="n">
        <v>1</v>
      </c>
      <c r="AG837" s="12" t="n">
        <v>1</v>
      </c>
      <c r="AH837" s="22" t="s">
        <v>235</v>
      </c>
      <c r="AI837" s="12" t="str">
        <f>IF(AH837="","",IFERROR(RIGHT("0000"&amp;AH837,4)&amp;" - "&amp;UPPER(_xlfn.XLOOKUP(RIGHT("0000"&amp;AH837,4),CODEBOOK_CAP!$C$2:$C$212,CODEBOOK_CAP!$D$2:$D$212)),"Código CAP não encontrado"))</f>
        <v>0322 - ESTRUTURAS, HOSPITAIS, CLÍNICAS</v>
      </c>
      <c r="AJ837" s="12" t="str">
        <f>IF(AH837="","",IFERROR(_xlfn.XLOOKUP(RIGHT("0000"&amp;AH837,4),CODEBOOK_CAP!$C$2:$C$212,CODEBOOK_CAP!$E$2:$E$212),"Código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37" s="22" t="s">
        <v>77</v>
      </c>
      <c r="AL837" s="26"/>
      <c r="AM837" s="22" t="s">
        <v>79</v>
      </c>
      <c r="AN837" s="22" t="s">
        <v>79</v>
      </c>
      <c r="AO837" s="12" t="s">
        <v>840</v>
      </c>
      <c r="AP837" s="22" t="s">
        <v>77</v>
      </c>
      <c r="AQ837" s="12"/>
      <c r="AR837" s="22" t="s">
        <v>77</v>
      </c>
      <c r="AS837" s="10"/>
      <c r="AT837" s="2" t="s">
        <v>1814</v>
      </c>
      <c r="AU837" s="12" t="s">
        <v>83</v>
      </c>
      <c r="AV837" s="3" t="n">
        <v>46224</v>
      </c>
      <c r="AW837" s="21"/>
      <c r="AY837" s="1"/>
      <c r="BA837" s="1"/>
      <c r="BB837" s="1"/>
    </row>
    <row r="838" ht="120" customHeight="1">
      <c r="A838" s="20" t="s">
        <v>4502</v>
      </c>
      <c r="B838" s="20" t="n">
        <v>2023</v>
      </c>
      <c r="C838" s="20" t="n">
        <v>491</v>
      </c>
      <c r="D838" s="20" t="s">
        <v>50</v>
      </c>
      <c r="E838" s="20" t="s">
        <v>4496</v>
      </c>
      <c r="F838" s="20" t="s">
        <v>4503</v>
      </c>
      <c r="G838" s="20" t="s">
        <v>86</v>
      </c>
      <c r="H838" s="20" t="s">
        <v>4498</v>
      </c>
      <c r="I838" s="20"/>
      <c r="J838" s="20" t="s">
        <v>4504</v>
      </c>
      <c r="K838" s="20" t="s">
        <v>122</v>
      </c>
      <c r="L838" s="20" t="s">
        <v>57</v>
      </c>
      <c r="M838" s="20" t="s">
        <v>58</v>
      </c>
      <c r="N838" s="20" t="s">
        <v>59</v>
      </c>
      <c r="O838" s="20" t="s">
        <v>60</v>
      </c>
      <c r="P838" s="20" t="s">
        <v>89</v>
      </c>
      <c r="Q838" s="20" t="s">
        <v>90</v>
      </c>
      <c r="R838" s="20" t="s">
        <v>91</v>
      </c>
      <c r="S838" s="20" t="s">
        <v>92</v>
      </c>
      <c r="T838" s="20" t="s">
        <v>123</v>
      </c>
      <c r="U838" s="20" t="s">
        <v>124</v>
      </c>
      <c r="V838" s="20" t="s">
        <v>95</v>
      </c>
      <c r="W838" s="20" t="s">
        <v>96</v>
      </c>
      <c r="X838" s="20" t="s">
        <v>97</v>
      </c>
      <c r="Y838" s="20" t="s">
        <v>70</v>
      </c>
      <c r="Z838" s="20" t="s">
        <v>98</v>
      </c>
      <c r="AA838" s="20" t="s">
        <v>388</v>
      </c>
      <c r="AB838" s="20" t="s">
        <v>388</v>
      </c>
      <c r="AC838" s="20" t="s">
        <v>388</v>
      </c>
      <c r="AD838" s="20" t="s">
        <v>388</v>
      </c>
      <c r="AE838" s="20"/>
      <c r="AF838" s="9" t="n">
        <v>1</v>
      </c>
      <c r="AG838" s="12" t="n">
        <v>1</v>
      </c>
      <c r="AH838" s="22" t="s">
        <v>235</v>
      </c>
      <c r="AI838" s="12" t="str">
        <f>IF(AH838="","",IFERROR(RIGHT("0000"&amp;AH838,4)&amp;" - "&amp;UPPER(_xlfn.XLOOKUP(RIGHT("0000"&amp;AH838,4),CODEBOOK_CAP!$C$2:$C$212,CODEBOOK_CAP!$D$2:$D$212)),"Código CAP não encontrado"))</f>
        <v>0322 - ESTRUTURAS, HOSPITAIS, CLÍNICAS</v>
      </c>
      <c r="AJ838" s="12" t="str">
        <f>IF(AH838="","",IFERROR(_xlfn.XLOOKUP(RIGHT("0000"&amp;AH838,4),CODEBOOK_CAP!$C$2:$C$212,CODEBOOK_CAP!$E$2:$E$212),"Código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38" s="22" t="s">
        <v>77</v>
      </c>
      <c r="AL838" s="26"/>
      <c r="AM838" s="22" t="s">
        <v>79</v>
      </c>
      <c r="AN838" s="22" t="s">
        <v>79</v>
      </c>
      <c r="AO838" s="12" t="s">
        <v>985</v>
      </c>
      <c r="AP838" s="22" t="s">
        <v>77</v>
      </c>
      <c r="AQ838" s="12"/>
      <c r="AR838" s="22" t="s">
        <v>77</v>
      </c>
      <c r="AS838" s="10"/>
      <c r="AT838" s="2" t="s">
        <v>1814</v>
      </c>
      <c r="AU838" s="12" t="s">
        <v>83</v>
      </c>
      <c r="AV838" s="3" t="n">
        <v>46224</v>
      </c>
      <c r="AW838" s="21"/>
      <c r="AY838" s="1"/>
      <c r="BA838" s="1"/>
      <c r="BB838" s="1"/>
    </row>
    <row r="839" ht="120" customHeight="1">
      <c r="A839" s="20" t="s">
        <v>4505</v>
      </c>
      <c r="B839" s="20" t="n">
        <v>2023</v>
      </c>
      <c r="C839" s="20" t="n">
        <v>492</v>
      </c>
      <c r="D839" s="20" t="s">
        <v>50</v>
      </c>
      <c r="E839" s="20" t="s">
        <v>4496</v>
      </c>
      <c r="F839" s="20" t="s">
        <v>4506</v>
      </c>
      <c r="G839" s="20" t="s">
        <v>86</v>
      </c>
      <c r="H839" s="20" t="s">
        <v>4498</v>
      </c>
      <c r="I839" s="20"/>
      <c r="J839" s="20" t="s">
        <v>1011</v>
      </c>
      <c r="K839" s="20" t="s">
        <v>122</v>
      </c>
      <c r="L839" s="20" t="s">
        <v>57</v>
      </c>
      <c r="M839" s="20" t="s">
        <v>58</v>
      </c>
      <c r="N839" s="20" t="s">
        <v>59</v>
      </c>
      <c r="O839" s="20" t="s">
        <v>60</v>
      </c>
      <c r="P839" s="20" t="s">
        <v>89</v>
      </c>
      <c r="Q839" s="20" t="s">
        <v>90</v>
      </c>
      <c r="R839" s="20" t="s">
        <v>91</v>
      </c>
      <c r="S839" s="20" t="s">
        <v>92</v>
      </c>
      <c r="T839" s="20" t="s">
        <v>123</v>
      </c>
      <c r="U839" s="20" t="s">
        <v>124</v>
      </c>
      <c r="V839" s="20" t="s">
        <v>95</v>
      </c>
      <c r="W839" s="20" t="s">
        <v>96</v>
      </c>
      <c r="X839" s="20" t="s">
        <v>97</v>
      </c>
      <c r="Y839" s="20" t="s">
        <v>70</v>
      </c>
      <c r="Z839" s="20" t="s">
        <v>98</v>
      </c>
      <c r="AA839" s="20" t="s">
        <v>233</v>
      </c>
      <c r="AB839" s="20" t="s">
        <v>233</v>
      </c>
      <c r="AC839" s="20" t="s">
        <v>233</v>
      </c>
      <c r="AD839" s="20" t="s">
        <v>233</v>
      </c>
      <c r="AE839" s="20"/>
      <c r="AF839" s="9" t="n">
        <v>1</v>
      </c>
      <c r="AG839" s="12" t="n">
        <v>1</v>
      </c>
      <c r="AH839" s="22" t="s">
        <v>235</v>
      </c>
      <c r="AI839" s="12" t="str">
        <f>IF(AH839="","",IFERROR(RIGHT("0000"&amp;AH839,4)&amp;" - "&amp;UPPER(_xlfn.XLOOKUP(RIGHT("0000"&amp;AH839,4),CODEBOOK_CAP!$C$2:$C$212,CODEBOOK_CAP!$D$2:$D$212)),"Código CAP não encontrado"))</f>
        <v>0322 - ESTRUTURAS, HOSPITAIS, CLÍNICAS</v>
      </c>
      <c r="AJ839" s="12" t="str">
        <f>IF(AH839="","",IFERROR(_xlfn.XLOOKUP(RIGHT("0000"&amp;AH839,4),CODEBOOK_CAP!$C$2:$C$212,CODEBOOK_CAP!$E$2:$E$212),"Código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39" s="22" t="s">
        <v>77</v>
      </c>
      <c r="AL839" s="26"/>
      <c r="AM839" s="22" t="s">
        <v>79</v>
      </c>
      <c r="AN839" s="22" t="s">
        <v>79</v>
      </c>
      <c r="AO839" s="12" t="s">
        <v>741</v>
      </c>
      <c r="AP839" s="22" t="s">
        <v>77</v>
      </c>
      <c r="AQ839" s="12"/>
      <c r="AR839" s="22" t="s">
        <v>77</v>
      </c>
      <c r="AS839" s="10"/>
      <c r="AT839" s="2" t="s">
        <v>1814</v>
      </c>
      <c r="AU839" s="12" t="s">
        <v>83</v>
      </c>
      <c r="AV839" s="3" t="n">
        <v>46224</v>
      </c>
      <c r="AW839" s="21"/>
      <c r="AY839" s="1"/>
      <c r="BA839" s="1"/>
      <c r="BB839" s="1"/>
    </row>
    <row r="840" ht="120" customHeight="1">
      <c r="A840" s="20" t="s">
        <v>4507</v>
      </c>
      <c r="B840" s="20" t="n">
        <v>2023</v>
      </c>
      <c r="C840" s="20" t="n">
        <v>493</v>
      </c>
      <c r="D840" s="20" t="s">
        <v>50</v>
      </c>
      <c r="E840" s="20" t="s">
        <v>4496</v>
      </c>
      <c r="F840" s="20" t="s">
        <v>4508</v>
      </c>
      <c r="G840" s="20" t="s">
        <v>86</v>
      </c>
      <c r="H840" s="20" t="s">
        <v>4498</v>
      </c>
      <c r="I840" s="20"/>
      <c r="J840" s="20" t="s">
        <v>4509</v>
      </c>
      <c r="K840" s="20" t="s">
        <v>122</v>
      </c>
      <c r="L840" s="20" t="s">
        <v>57</v>
      </c>
      <c r="M840" s="20" t="s">
        <v>58</v>
      </c>
      <c r="N840" s="20" t="s">
        <v>59</v>
      </c>
      <c r="O840" s="20" t="s">
        <v>60</v>
      </c>
      <c r="P840" s="20" t="s">
        <v>89</v>
      </c>
      <c r="Q840" s="20" t="s">
        <v>90</v>
      </c>
      <c r="R840" s="20" t="s">
        <v>91</v>
      </c>
      <c r="S840" s="20" t="s">
        <v>92</v>
      </c>
      <c r="T840" s="20" t="s">
        <v>123</v>
      </c>
      <c r="U840" s="20" t="s">
        <v>124</v>
      </c>
      <c r="V840" s="20" t="s">
        <v>95</v>
      </c>
      <c r="W840" s="20" t="s">
        <v>96</v>
      </c>
      <c r="X840" s="20" t="s">
        <v>97</v>
      </c>
      <c r="Y840" s="20" t="s">
        <v>70</v>
      </c>
      <c r="Z840" s="20" t="s">
        <v>98</v>
      </c>
      <c r="AA840" s="20" t="s">
        <v>388</v>
      </c>
      <c r="AB840" s="20" t="s">
        <v>388</v>
      </c>
      <c r="AC840" s="20" t="s">
        <v>388</v>
      </c>
      <c r="AD840" s="20" t="s">
        <v>388</v>
      </c>
      <c r="AE840" s="20"/>
      <c r="AF840" s="9" t="n">
        <v>1</v>
      </c>
      <c r="AG840" s="12" t="n">
        <v>1</v>
      </c>
      <c r="AH840" s="22" t="s">
        <v>235</v>
      </c>
      <c r="AI840" s="12" t="str">
        <f>IF(AH840="","",IFERROR(RIGHT("0000"&amp;AH840,4)&amp;" - "&amp;UPPER(_xlfn.XLOOKUP(RIGHT("0000"&amp;AH840,4),CODEBOOK_CAP!$C$2:$C$212,CODEBOOK_CAP!$D$2:$D$212)),"Código CAP não encontrado"))</f>
        <v>0322 - ESTRUTURAS, HOSPITAIS, CLÍNICAS</v>
      </c>
      <c r="AJ840" s="12" t="str">
        <f>IF(AH840="","",IFERROR(_xlfn.XLOOKUP(RIGHT("0000"&amp;AH840,4),CODEBOOK_CAP!$C$2:$C$212,CODEBOOK_CAP!$E$2:$E$212),"Código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40" s="22" t="s">
        <v>77</v>
      </c>
      <c r="AL840" s="26"/>
      <c r="AM840" s="22" t="s">
        <v>79</v>
      </c>
      <c r="AN840" s="22" t="s">
        <v>79</v>
      </c>
      <c r="AO840" s="12" t="s">
        <v>4510</v>
      </c>
      <c r="AP840" s="22" t="s">
        <v>77</v>
      </c>
      <c r="AQ840" s="12"/>
      <c r="AR840" s="22" t="s">
        <v>77</v>
      </c>
      <c r="AS840" s="10"/>
      <c r="AT840" s="2" t="s">
        <v>1814</v>
      </c>
      <c r="AU840" s="12" t="s">
        <v>83</v>
      </c>
      <c r="AV840" s="3" t="n">
        <v>46224</v>
      </c>
      <c r="AW840" s="21"/>
      <c r="AY840" s="1"/>
      <c r="BA840" s="1"/>
      <c r="BB840" s="1"/>
    </row>
    <row r="841">
      <c r="A841" s="14" t="s">
        <v>4511</v>
      </c>
      <c r="B841" s="14" t="n">
        <v>2023</v>
      </c>
      <c r="C841" s="14" t="n">
        <v>494</v>
      </c>
      <c r="D841" s="14" t="s">
        <v>50</v>
      </c>
      <c r="E841" s="14" t="s">
        <v>4496</v>
      </c>
      <c r="F841" s="14" t="s">
        <v>4512</v>
      </c>
      <c r="G841" s="14" t="s">
        <v>633</v>
      </c>
      <c r="H841" s="14" t="s">
        <v>4498</v>
      </c>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5"/>
      <c r="AG841" s="15"/>
      <c r="AH841" s="16"/>
      <c r="AI841" s="15" t="str">
        <f>IF(AH841="","",IFERROR(RIGHT("0000"&amp;AH841,4)&amp;" - "&amp;UPPER(_xlfn.XLOOKUP(RIGHT("0000"&amp;AH841,4),CODEBOOK_CAP!$C$2:$C$212,CODEBOOK_CAP!$D$2:$D$212)),"Código CAP não encontrado"))</f>
      </c>
      <c r="AJ841" s="15" t="str">
        <f>IF(AH841="","",IFERROR(_xlfn.XLOOKUP(RIGHT("0000"&amp;AH841,4),CODEBOOK_CAP!$C$2:$C$212,CODEBOOK_CAP!$E$2:$E$212),"Código CAP não encontrado"))</f>
      </c>
      <c r="AK841" s="16"/>
      <c r="AL841" s="17"/>
      <c r="AM841" s="16"/>
      <c r="AN841" s="16"/>
      <c r="AO841" s="15"/>
      <c r="AP841" s="16"/>
      <c r="AQ841" s="15"/>
      <c r="AR841" s="16"/>
      <c r="AS841" s="18"/>
      <c r="AT841" s="2" t="s">
        <v>1814</v>
      </c>
      <c r="AU841" s="12" t="s">
        <v>83</v>
      </c>
      <c r="AV841" s="3" t="n">
        <v>46224</v>
      </c>
    </row>
    <row r="842" ht="120" customHeight="1">
      <c r="A842" s="20" t="s">
        <v>4513</v>
      </c>
      <c r="B842" s="20" t="n">
        <v>2023</v>
      </c>
      <c r="C842" s="20" t="n">
        <v>495</v>
      </c>
      <c r="D842" s="20" t="s">
        <v>50</v>
      </c>
      <c r="E842" s="20" t="s">
        <v>4496</v>
      </c>
      <c r="F842" s="20" t="s">
        <v>4514</v>
      </c>
      <c r="G842" s="20" t="s">
        <v>86</v>
      </c>
      <c r="H842" s="20" t="s">
        <v>4498</v>
      </c>
      <c r="I842" s="20"/>
      <c r="J842" s="20" t="s">
        <v>4515</v>
      </c>
      <c r="K842" s="20" t="s">
        <v>122</v>
      </c>
      <c r="L842" s="20" t="s">
        <v>57</v>
      </c>
      <c r="M842" s="20" t="s">
        <v>58</v>
      </c>
      <c r="N842" s="20" t="s">
        <v>59</v>
      </c>
      <c r="O842" s="20" t="s">
        <v>60</v>
      </c>
      <c r="P842" s="20" t="s">
        <v>89</v>
      </c>
      <c r="Q842" s="20" t="s">
        <v>90</v>
      </c>
      <c r="R842" s="20" t="s">
        <v>91</v>
      </c>
      <c r="S842" s="20" t="s">
        <v>92</v>
      </c>
      <c r="T842" s="20" t="s">
        <v>123</v>
      </c>
      <c r="U842" s="20" t="s">
        <v>124</v>
      </c>
      <c r="V842" s="20" t="s">
        <v>95</v>
      </c>
      <c r="W842" s="20" t="s">
        <v>96</v>
      </c>
      <c r="X842" s="20" t="s">
        <v>97</v>
      </c>
      <c r="Y842" s="20" t="s">
        <v>70</v>
      </c>
      <c r="Z842" s="20" t="s">
        <v>98</v>
      </c>
      <c r="AA842" s="20" t="s">
        <v>388</v>
      </c>
      <c r="AB842" s="20" t="s">
        <v>388</v>
      </c>
      <c r="AC842" s="20" t="s">
        <v>388</v>
      </c>
      <c r="AD842" s="20" t="s">
        <v>388</v>
      </c>
      <c r="AE842" s="20"/>
      <c r="AF842" s="9" t="n">
        <v>1</v>
      </c>
      <c r="AG842" s="12" t="n">
        <v>1</v>
      </c>
      <c r="AH842" s="22" t="s">
        <v>235</v>
      </c>
      <c r="AI842" s="12" t="str">
        <f>IF(AH842="","",IFERROR(RIGHT("0000"&amp;AH842,4)&amp;" - "&amp;UPPER(_xlfn.XLOOKUP(RIGHT("0000"&amp;AH842,4),CODEBOOK_CAP!$C$2:$C$212,CODEBOOK_CAP!$D$2:$D$212)),"Código CAP não encontrado"))</f>
        <v>0322 - ESTRUTURAS, HOSPITAIS, CLÍNICAS</v>
      </c>
      <c r="AJ842" s="12" t="str">
        <f>IF(AH842="","",IFERROR(_xlfn.XLOOKUP(RIGHT("0000"&amp;AH842,4),CODEBOOK_CAP!$C$2:$C$212,CODEBOOK_CAP!$E$2:$E$212),"Código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42" s="22" t="s">
        <v>77</v>
      </c>
      <c r="AL842" s="26"/>
      <c r="AM842" s="22" t="s">
        <v>79</v>
      </c>
      <c r="AN842" s="22" t="s">
        <v>79</v>
      </c>
      <c r="AO842" s="12" t="s">
        <v>4516</v>
      </c>
      <c r="AP842" s="22" t="s">
        <v>77</v>
      </c>
      <c r="AQ842" s="12"/>
      <c r="AR842" s="22" t="s">
        <v>77</v>
      </c>
      <c r="AS842" s="10"/>
      <c r="AT842" s="2" t="s">
        <v>1814</v>
      </c>
      <c r="AU842" s="12" t="s">
        <v>83</v>
      </c>
      <c r="AV842" s="3" t="n">
        <v>46224</v>
      </c>
      <c r="AW842" s="21"/>
      <c r="AY842" s="1"/>
      <c r="BA842" s="1"/>
      <c r="BB842" s="1"/>
    </row>
    <row r="843" ht="150" customHeight="1">
      <c r="A843" s="20" t="s">
        <v>4517</v>
      </c>
      <c r="B843" s="20" t="n">
        <v>2023</v>
      </c>
      <c r="C843" s="20" t="n">
        <v>496</v>
      </c>
      <c r="D843" s="20" t="s">
        <v>50</v>
      </c>
      <c r="E843" s="20" t="s">
        <v>4496</v>
      </c>
      <c r="F843" s="20" t="s">
        <v>4518</v>
      </c>
      <c r="G843" s="20" t="s">
        <v>86</v>
      </c>
      <c r="H843" s="20" t="s">
        <v>4498</v>
      </c>
      <c r="I843" s="20"/>
      <c r="J843" s="20" t="s">
        <v>4519</v>
      </c>
      <c r="K843" s="20" t="s">
        <v>122</v>
      </c>
      <c r="L843" s="20" t="s">
        <v>57</v>
      </c>
      <c r="M843" s="20" t="s">
        <v>58</v>
      </c>
      <c r="N843" s="20" t="s">
        <v>59</v>
      </c>
      <c r="O843" s="20" t="s">
        <v>60</v>
      </c>
      <c r="P843" s="20" t="s">
        <v>89</v>
      </c>
      <c r="Q843" s="20" t="s">
        <v>90</v>
      </c>
      <c r="R843" s="20" t="s">
        <v>91</v>
      </c>
      <c r="S843" s="20" t="s">
        <v>92</v>
      </c>
      <c r="T843" s="20" t="s">
        <v>123</v>
      </c>
      <c r="U843" s="20" t="s">
        <v>124</v>
      </c>
      <c r="V843" s="20" t="s">
        <v>95</v>
      </c>
      <c r="W843" s="20" t="s">
        <v>96</v>
      </c>
      <c r="X843" s="20" t="s">
        <v>97</v>
      </c>
      <c r="Y843" s="20" t="s">
        <v>70</v>
      </c>
      <c r="Z843" s="20" t="s">
        <v>98</v>
      </c>
      <c r="AA843" s="20" t="s">
        <v>580</v>
      </c>
      <c r="AB843" s="20" t="s">
        <v>580</v>
      </c>
      <c r="AC843" s="20" t="s">
        <v>580</v>
      </c>
      <c r="AD843" s="20" t="s">
        <v>580</v>
      </c>
      <c r="AE843" s="20"/>
      <c r="AF843" s="9" t="n">
        <v>1</v>
      </c>
      <c r="AG843" s="12" t="n">
        <v>1</v>
      </c>
      <c r="AH843" s="22" t="s">
        <v>620</v>
      </c>
      <c r="AI843" s="12" t="str">
        <f>IF(AH843="","",IFERROR(RIGHT("0000"&amp;AH843,4)&amp;" - "&amp;UPPER(_xlfn.XLOOKUP(RIGHT("0000"&amp;AH843,4),CODEBOOK_CAP!$C$2:$C$212,CODEBOOK_CAP!$D$2:$D$212)),"Código CAP não encontrado"))</f>
        <v>0332 - SAÚDE INFANTIL, GRAVIDEZ E PRÉ-NATAL</v>
      </c>
      <c r="AJ843" s="12" t="str">
        <f>IF(AH843="","",IFERROR(_xlfn.XLOOKUP(RIGHT("0000"&amp;AH843,4),CODEBOOK_CAP!$C$2:$C$212,CODEBOOK_CAP!$E$2:$E$212),"Código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843" s="22" t="s">
        <v>77</v>
      </c>
      <c r="AL843" s="26"/>
      <c r="AM843" s="22" t="s">
        <v>79</v>
      </c>
      <c r="AN843" s="22" t="s">
        <v>79</v>
      </c>
      <c r="AO843" s="12" t="s">
        <v>1901</v>
      </c>
      <c r="AP843" s="22" t="s">
        <v>79</v>
      </c>
      <c r="AQ843" s="12" t="s">
        <v>622</v>
      </c>
      <c r="AR843" s="22" t="s">
        <v>77</v>
      </c>
      <c r="AS843" s="10"/>
      <c r="AT843" s="2" t="s">
        <v>1814</v>
      </c>
      <c r="AU843" s="12" t="s">
        <v>83</v>
      </c>
      <c r="AV843" s="3" t="n">
        <v>46224</v>
      </c>
      <c r="AW843" s="21"/>
      <c r="AY843" s="1"/>
      <c r="BA843" s="1"/>
      <c r="BB843" s="1"/>
    </row>
    <row r="844" ht="210" customHeight="1">
      <c r="A844" s="20" t="s">
        <v>4520</v>
      </c>
      <c r="B844" s="20" t="n">
        <v>2023</v>
      </c>
      <c r="C844" s="20" t="n">
        <v>497</v>
      </c>
      <c r="D844" s="20" t="s">
        <v>50</v>
      </c>
      <c r="E844" s="20" t="s">
        <v>4496</v>
      </c>
      <c r="F844" s="20" t="s">
        <v>4521</v>
      </c>
      <c r="G844" s="20" t="s">
        <v>315</v>
      </c>
      <c r="H844" s="20" t="s">
        <v>4498</v>
      </c>
      <c r="I844" s="20"/>
      <c r="J844" s="20" t="s">
        <v>4522</v>
      </c>
      <c r="K844" s="20" t="s">
        <v>273</v>
      </c>
      <c r="L844" s="20" t="s">
        <v>274</v>
      </c>
      <c r="M844" s="20" t="s">
        <v>275</v>
      </c>
      <c r="N844" s="20" t="s">
        <v>276</v>
      </c>
      <c r="O844" s="20" t="s">
        <v>277</v>
      </c>
      <c r="P844" s="20" t="s">
        <v>278</v>
      </c>
      <c r="Q844" s="20" t="s">
        <v>279</v>
      </c>
      <c r="R844" s="20" t="s">
        <v>280</v>
      </c>
      <c r="S844" s="20" t="s">
        <v>281</v>
      </c>
      <c r="T844" s="20" t="s">
        <v>282</v>
      </c>
      <c r="U844" s="20" t="s">
        <v>283</v>
      </c>
      <c r="V844" s="20" t="s">
        <v>95</v>
      </c>
      <c r="W844" s="20" t="s">
        <v>96</v>
      </c>
      <c r="X844" s="20" t="s">
        <v>97</v>
      </c>
      <c r="Y844" s="20" t="s">
        <v>70</v>
      </c>
      <c r="Z844" s="20" t="s">
        <v>284</v>
      </c>
      <c r="AA844" s="20" t="s">
        <v>611</v>
      </c>
      <c r="AB844" s="20" t="s">
        <v>611</v>
      </c>
      <c r="AC844" s="20" t="s">
        <v>611</v>
      </c>
      <c r="AD844" s="20" t="s">
        <v>611</v>
      </c>
      <c r="AE844" s="20"/>
      <c r="AF844" s="9" t="n">
        <v>0</v>
      </c>
      <c r="AG844" s="12" t="n">
        <v>0</v>
      </c>
      <c r="AH844" s="22" t="s">
        <v>607</v>
      </c>
      <c r="AI844" s="12" t="str">
        <f>IF(AH844="","",IFERROR(RIGHT("0000"&amp;AH844,4)&amp;" - "&amp;UPPER(_xlfn.XLOOKUP(RIGHT("0000"&amp;AH844,4),CODEBOOK_CAP!$C$2:$C$212,CODEBOOK_CAP!$D$2:$D$212)),"Código CAP não encontrado"))</f>
        <v>1300 - GERAL</v>
      </c>
      <c r="AJ844" s="12" t="str">
        <f>IF(AH844="","",IFERROR(_xlfn.XLOOKUP(RIGHT("0000"&amp;AH844,4),CODEBOOK_CAP!$C$2:$C$212,CODEBOOK_CAP!$E$2:$E$212),"Código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44" s="22" t="s">
        <v>77</v>
      </c>
      <c r="AL844" s="26"/>
      <c r="AM844" s="22" t="s">
        <v>77</v>
      </c>
      <c r="AN844" s="22" t="s">
        <v>77</v>
      </c>
      <c r="AO844" s="12"/>
      <c r="AP844" s="22"/>
      <c r="AQ844" s="12"/>
      <c r="AR844" s="22" t="s">
        <v>77</v>
      </c>
      <c r="AS844" s="10"/>
      <c r="AT844" s="2" t="s">
        <v>1814</v>
      </c>
      <c r="AU844" s="12" t="s">
        <v>83</v>
      </c>
      <c r="AV844" s="3" t="n">
        <v>46224</v>
      </c>
      <c r="AW844" s="21"/>
      <c r="AY844" s="1"/>
      <c r="BA844" s="1"/>
      <c r="BB844" s="1"/>
    </row>
    <row r="845" ht="120" customHeight="1">
      <c r="A845" s="20" t="s">
        <v>4523</v>
      </c>
      <c r="B845" s="20" t="n">
        <v>2023</v>
      </c>
      <c r="C845" s="20" t="n">
        <v>498</v>
      </c>
      <c r="D845" s="20" t="s">
        <v>50</v>
      </c>
      <c r="E845" s="20" t="s">
        <v>4496</v>
      </c>
      <c r="F845" s="20" t="s">
        <v>4524</v>
      </c>
      <c r="G845" s="20" t="s">
        <v>86</v>
      </c>
      <c r="H845" s="20" t="s">
        <v>4498</v>
      </c>
      <c r="I845" s="20"/>
      <c r="J845" s="20" t="s">
        <v>4525</v>
      </c>
      <c r="K845" s="20" t="s">
        <v>273</v>
      </c>
      <c r="L845" s="20" t="s">
        <v>274</v>
      </c>
      <c r="M845" s="20" t="s">
        <v>275</v>
      </c>
      <c r="N845" s="20" t="s">
        <v>276</v>
      </c>
      <c r="O845" s="20" t="s">
        <v>277</v>
      </c>
      <c r="P845" s="20" t="s">
        <v>278</v>
      </c>
      <c r="Q845" s="20" t="s">
        <v>279</v>
      </c>
      <c r="R845" s="20" t="s">
        <v>280</v>
      </c>
      <c r="S845" s="20" t="s">
        <v>281</v>
      </c>
      <c r="T845" s="20" t="s">
        <v>282</v>
      </c>
      <c r="U845" s="20" t="s">
        <v>283</v>
      </c>
      <c r="V845" s="20" t="s">
        <v>95</v>
      </c>
      <c r="W845" s="20" t="s">
        <v>96</v>
      </c>
      <c r="X845" s="20" t="s">
        <v>97</v>
      </c>
      <c r="Y845" s="20" t="s">
        <v>70</v>
      </c>
      <c r="Z845" s="20" t="s">
        <v>284</v>
      </c>
      <c r="AA845" s="20" t="s">
        <v>4526</v>
      </c>
      <c r="AB845" s="20" t="s">
        <v>4526</v>
      </c>
      <c r="AC845" s="20" t="s">
        <v>4526</v>
      </c>
      <c r="AD845" s="20" t="s">
        <v>4526</v>
      </c>
      <c r="AE845" s="20"/>
      <c r="AF845" s="9" t="n">
        <v>0</v>
      </c>
      <c r="AG845" s="12" t="n">
        <v>0</v>
      </c>
      <c r="AH845" s="22" t="s">
        <v>2043</v>
      </c>
      <c r="AI845" s="12" t="str">
        <f>IF(AH845="","",IFERROR(RIGHT("0000"&amp;AH845,4)&amp;" - "&amp;UPPER(_xlfn.XLOOKUP(RIGHT("0000"&amp;AH845,4),CODEBOOK_CAP!$C$2:$C$212,CODEBOOK_CAP!$D$2:$D$212)),"Código CAP não encontrado"))</f>
        <v>1303 - POLÍTICAS SOCIAIS DE ASSISTÊNCIA PARA IDOSOS</v>
      </c>
      <c r="AJ845" s="12" t="str">
        <f>IF(AH845="","",IFERROR(_xlfn.XLOOKUP(RIGHT("0000"&amp;AH845,4),CODEBOOK_CAP!$C$2:$C$212,CODEBOOK_CAP!$E$2:$E$212),"Código CAP não encontrado"))</f>
        <v>Políticas sociais de atenção ao idoso. Beneficio assistencial ao idoso acima de 65 anos que NÃO envolva aposentadoria (trabalho) , políticas de isenção de tarifas e de pagamentos, direitos de idosos, núcleos de atenção ao idoso, políticas de assistência social da terceira idade NÃO CONFUNDIR COM SAÚDE DO IDOSO, CÓDIGO 3.</v>
      </c>
      <c r="AK845" s="22" t="s">
        <v>77</v>
      </c>
      <c r="AL845" s="26"/>
      <c r="AM845" s="22" t="s">
        <v>77</v>
      </c>
      <c r="AN845" s="22" t="s">
        <v>77</v>
      </c>
      <c r="AO845" s="12"/>
      <c r="AP845" s="22" t="s">
        <v>79</v>
      </c>
      <c r="AQ845" s="12" t="s">
        <v>2044</v>
      </c>
      <c r="AR845" s="22" t="s">
        <v>77</v>
      </c>
      <c r="AS845" s="10"/>
      <c r="AT845" s="2" t="s">
        <v>1814</v>
      </c>
      <c r="AU845" s="12" t="s">
        <v>83</v>
      </c>
      <c r="AV845" s="3" t="n">
        <v>46224</v>
      </c>
      <c r="AW845" s="21"/>
      <c r="AY845" s="1"/>
      <c r="BA845" s="1"/>
      <c r="BB845" s="1"/>
    </row>
    <row r="846" ht="165" customHeight="1">
      <c r="A846" s="20" t="s">
        <v>4527</v>
      </c>
      <c r="B846" s="20" t="n">
        <v>2023</v>
      </c>
      <c r="C846" s="20" t="n">
        <v>501</v>
      </c>
      <c r="D846" s="20" t="s">
        <v>50</v>
      </c>
      <c r="E846" s="20" t="s">
        <v>4496</v>
      </c>
      <c r="F846" s="20" t="s">
        <v>4528</v>
      </c>
      <c r="G846" s="20" t="s">
        <v>315</v>
      </c>
      <c r="H846" s="20" t="s">
        <v>4498</v>
      </c>
      <c r="I846" s="20"/>
      <c r="J846" s="20" t="s">
        <v>4529</v>
      </c>
      <c r="K846" s="20" t="s">
        <v>1267</v>
      </c>
      <c r="L846" s="20" t="s">
        <v>57</v>
      </c>
      <c r="M846" s="20" t="s">
        <v>58</v>
      </c>
      <c r="N846" s="20" t="s">
        <v>59</v>
      </c>
      <c r="O846" s="20" t="s">
        <v>60</v>
      </c>
      <c r="P846" s="20" t="s">
        <v>111</v>
      </c>
      <c r="Q846" s="20" t="s">
        <v>112</v>
      </c>
      <c r="R846" s="20" t="s">
        <v>113</v>
      </c>
      <c r="S846" s="20" t="s">
        <v>114</v>
      </c>
      <c r="T846" s="20" t="s">
        <v>115</v>
      </c>
      <c r="U846" s="20" t="s">
        <v>114</v>
      </c>
      <c r="V846" s="20" t="s">
        <v>854</v>
      </c>
      <c r="W846" s="20" t="s">
        <v>96</v>
      </c>
      <c r="X846" s="20" t="s">
        <v>97</v>
      </c>
      <c r="Y846" s="20" t="s">
        <v>70</v>
      </c>
      <c r="Z846" s="20" t="s">
        <v>98</v>
      </c>
      <c r="AA846" s="20" t="s">
        <v>580</v>
      </c>
      <c r="AB846" s="20" t="s">
        <v>4530</v>
      </c>
      <c r="AC846" s="20" t="s">
        <v>4530</v>
      </c>
      <c r="AD846" s="20" t="s">
        <v>4530</v>
      </c>
      <c r="AE846" s="20" t="s">
        <v>4531</v>
      </c>
      <c r="AF846" s="9" t="n">
        <v>1</v>
      </c>
      <c r="AG846" s="12" t="n">
        <v>0</v>
      </c>
      <c r="AH846" s="22" t="s">
        <v>1269</v>
      </c>
      <c r="AI846" s="12" t="str">
        <f>IF(AH846="","",IFERROR(RIGHT("0000"&amp;AH846,4)&amp;" - "&amp;UPPER(_xlfn.XLOOKUP(RIGHT("0000"&amp;AH846,4),CODEBOOK_CAP!$C$2:$C$212,CODEBOOK_CAP!$D$2:$D$212)),"Código CAP não encontrado"))</f>
        <v>0405 - CONTROLE DE DOENÇAS ANIMAIS</v>
      </c>
      <c r="AJ846" s="12" t="str">
        <f>IF(AH846="","",IFERROR(_xlfn.XLOOKUP(RIGHT("0000"&amp;AH846,4),CODEBOOK_CAP!$C$2:$C$212,CODEBOOK_CAP!$E$2:$E$212),"Código CAP não encontrado"))</f>
        <v>Questões relacionadas a doenças animais, como febre aftosa, verminoses, controle sanitário de estábulos, matadouros. Remedios e drogas de dministração pecuária para controle de pragas e doenças. Controle de epidemias, sacrifício animal em casos de doença, uso de animais para testes laboratoriais, transporte de animais vivos, controle de predadores, controle de insetos, atuação direta contra proliferação de larvas e mosquito da dengue, barbeiro e doenças tropicais de contaminação ou hospedagem em animais e insetos. Animais em circo, animais domésticos.</v>
      </c>
      <c r="AK846" s="22" t="n">
        <v>1</v>
      </c>
      <c r="AL846" s="26" t="s">
        <v>10094</v>
      </c>
      <c r="AM846" s="22" t="n">
        <v>1</v>
      </c>
      <c r="AN846" s="22" t="n">
        <v>1</v>
      </c>
      <c r="AO846" s="12" t="s">
        <v>10095</v>
      </c>
      <c r="AP846" s="22" t="s">
        <v>79</v>
      </c>
      <c r="AQ846" s="12" t="s">
        <v>1270</v>
      </c>
      <c r="AR846" s="22" t="s">
        <v>79</v>
      </c>
      <c r="AS846" s="10" t="s">
        <v>4531</v>
      </c>
      <c r="AT846" s="2" t="s">
        <v>1814</v>
      </c>
      <c r="AU846" s="12" t="s">
        <v>83</v>
      </c>
      <c r="AV846" s="3" t="n">
        <v>46224</v>
      </c>
      <c r="AW846" s="21"/>
      <c r="AY846" s="1"/>
      <c r="BA846" s="1"/>
      <c r="BB846" s="1"/>
    </row>
    <row r="847" ht="105" customHeight="1">
      <c r="A847" s="20" t="s">
        <v>4532</v>
      </c>
      <c r="B847" s="20" t="n">
        <v>2023</v>
      </c>
      <c r="C847" s="20" t="n">
        <v>502</v>
      </c>
      <c r="D847" s="20" t="s">
        <v>50</v>
      </c>
      <c r="E847" s="20" t="s">
        <v>4496</v>
      </c>
      <c r="F847" s="20" t="s">
        <v>4533</v>
      </c>
      <c r="G847" s="20" t="s">
        <v>86</v>
      </c>
      <c r="H847" s="20" t="s">
        <v>4498</v>
      </c>
      <c r="I847" s="20"/>
      <c r="J847" s="20" t="s">
        <v>4534</v>
      </c>
      <c r="K847" s="20" t="s">
        <v>4535</v>
      </c>
      <c r="L847" s="20" t="s">
        <v>186</v>
      </c>
      <c r="M847" s="20" t="s">
        <v>187</v>
      </c>
      <c r="N847" s="20" t="s">
        <v>188</v>
      </c>
      <c r="O847" s="20" t="s">
        <v>189</v>
      </c>
      <c r="P847" s="20" t="s">
        <v>338</v>
      </c>
      <c r="Q847" s="20" t="s">
        <v>683</v>
      </c>
      <c r="R847" s="20" t="s">
        <v>192</v>
      </c>
      <c r="S847" s="20" t="s">
        <v>193</v>
      </c>
      <c r="T847" s="20" t="s">
        <v>684</v>
      </c>
      <c r="U847" s="20" t="s">
        <v>685</v>
      </c>
      <c r="V847" s="20" t="s">
        <v>854</v>
      </c>
      <c r="W847" s="20" t="s">
        <v>96</v>
      </c>
      <c r="X847" s="20" t="s">
        <v>97</v>
      </c>
      <c r="Y847" s="20" t="s">
        <v>70</v>
      </c>
      <c r="Z847" s="20" t="s">
        <v>197</v>
      </c>
      <c r="AA847" s="20" t="s">
        <v>4536</v>
      </c>
      <c r="AB847" s="20" t="s">
        <v>4537</v>
      </c>
      <c r="AC847" s="20" t="s">
        <v>4537</v>
      </c>
      <c r="AD847" s="20" t="s">
        <v>4537</v>
      </c>
      <c r="AE847" s="20"/>
      <c r="AF847" s="9" t="n">
        <v>0</v>
      </c>
      <c r="AG847" s="12" t="n">
        <v>0</v>
      </c>
      <c r="AH847" s="22" t="s">
        <v>161</v>
      </c>
      <c r="AI847" s="12" t="str">
        <f>IF(AH847="","",IFERROR(RIGHT("0000"&amp;AH847,4)&amp;" - "&amp;UPPER(_xlfn.XLOOKUP(RIGHT("0000"&amp;AH847,4),CODEBOOK_CAP!$C$2:$C$212,CODEBOOK_CAP!$D$2:$D$212)),"Código CAP não encontrado"))</f>
        <v>2300 - GERAL</v>
      </c>
      <c r="AJ847" s="12" t="str">
        <f>IF(AH847="","",IFERROR(_xlfn.XLOOKUP(RIGHT("0000"&amp;AH847,4),CODEBOOK_CAP!$C$2:$C$212,CODEBOOK_CAP!$E$2:$E$212),"Código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47" s="22" t="s">
        <v>79</v>
      </c>
      <c r="AL847" s="26" t="s">
        <v>4538</v>
      </c>
      <c r="AM847" s="22" t="s">
        <v>79</v>
      </c>
      <c r="AN847" s="22" t="s">
        <v>79</v>
      </c>
      <c r="AO847" s="12" t="s">
        <v>4538</v>
      </c>
      <c r="AP847" s="22" t="s">
        <v>77</v>
      </c>
      <c r="AQ847" s="12"/>
      <c r="AR847" s="22" t="s">
        <v>77</v>
      </c>
      <c r="AS847" s="10"/>
      <c r="AT847" s="2" t="s">
        <v>1814</v>
      </c>
      <c r="AU847" s="12" t="s">
        <v>83</v>
      </c>
      <c r="AV847" s="3" t="n">
        <v>46224</v>
      </c>
      <c r="AW847" s="21"/>
      <c r="AX847" s="1" t="s">
        <v>6956</v>
      </c>
      <c r="AY847" s="1"/>
      <c r="BA847" s="1"/>
      <c r="BB847" s="1"/>
    </row>
    <row r="848" ht="105" customHeight="1">
      <c r="A848" s="20" t="s">
        <v>4539</v>
      </c>
      <c r="B848" s="20" t="n">
        <v>2023</v>
      </c>
      <c r="C848" s="20" t="n">
        <v>503</v>
      </c>
      <c r="D848" s="20" t="s">
        <v>50</v>
      </c>
      <c r="E848" s="20" t="s">
        <v>4496</v>
      </c>
      <c r="F848" s="20" t="s">
        <v>4540</v>
      </c>
      <c r="G848" s="20" t="s">
        <v>86</v>
      </c>
      <c r="H848" s="20" t="s">
        <v>4498</v>
      </c>
      <c r="I848" s="20"/>
      <c r="J848" s="20" t="s">
        <v>4541</v>
      </c>
      <c r="K848" s="20" t="s">
        <v>3725</v>
      </c>
      <c r="L848" s="20" t="s">
        <v>785</v>
      </c>
      <c r="M848" s="20" t="s">
        <v>786</v>
      </c>
      <c r="N848" s="20" t="s">
        <v>787</v>
      </c>
      <c r="O848" s="20" t="s">
        <v>788</v>
      </c>
      <c r="P848" s="20" t="s">
        <v>517</v>
      </c>
      <c r="Q848" s="20" t="s">
        <v>893</v>
      </c>
      <c r="R848" s="20" t="s">
        <v>894</v>
      </c>
      <c r="S848" s="20" t="s">
        <v>895</v>
      </c>
      <c r="T848" s="20" t="s">
        <v>896</v>
      </c>
      <c r="U848" s="20" t="s">
        <v>897</v>
      </c>
      <c r="V848" s="20" t="s">
        <v>854</v>
      </c>
      <c r="W848" s="20" t="s">
        <v>96</v>
      </c>
      <c r="X848" s="20" t="s">
        <v>97</v>
      </c>
      <c r="Y848" s="20" t="s">
        <v>70</v>
      </c>
      <c r="Z848" s="20" t="s">
        <v>794</v>
      </c>
      <c r="AA848" s="20" t="s">
        <v>3726</v>
      </c>
      <c r="AB848" s="20" t="s">
        <v>4542</v>
      </c>
      <c r="AC848" s="20" t="s">
        <v>4542</v>
      </c>
      <c r="AD848" s="20" t="s">
        <v>4542</v>
      </c>
      <c r="AE848" s="20"/>
      <c r="AF848" s="9" t="n">
        <v>0</v>
      </c>
      <c r="AG848" s="12" t="n">
        <v>0</v>
      </c>
      <c r="AH848" s="22" t="s">
        <v>161</v>
      </c>
      <c r="AI848" s="12" t="str">
        <f>IF(AH848="","",IFERROR(RIGHT("0000"&amp;AH848,4)&amp;" - "&amp;UPPER(_xlfn.XLOOKUP(RIGHT("0000"&amp;AH848,4),CODEBOOK_CAP!$C$2:$C$212,CODEBOOK_CAP!$D$2:$D$212)),"Código CAP não encontrado"))</f>
        <v>2300 - GERAL</v>
      </c>
      <c r="AJ848" s="12" t="str">
        <f>IF(AH848="","",IFERROR(_xlfn.XLOOKUP(RIGHT("0000"&amp;AH848,4),CODEBOOK_CAP!$C$2:$C$212,CODEBOOK_CAP!$E$2:$E$212),"Código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48" s="22" t="s">
        <v>79</v>
      </c>
      <c r="AL848" s="26" t="s">
        <v>4543</v>
      </c>
      <c r="AM848" s="22" t="s">
        <v>79</v>
      </c>
      <c r="AN848" s="22" t="s">
        <v>79</v>
      </c>
      <c r="AO848" s="12" t="s">
        <v>4544</v>
      </c>
      <c r="AP848" s="22" t="s">
        <v>79</v>
      </c>
      <c r="AQ848" s="12" t="s">
        <v>901</v>
      </c>
      <c r="AR848" s="22" t="s">
        <v>77</v>
      </c>
      <c r="AS848" s="10"/>
      <c r="AT848" s="2" t="s">
        <v>1814</v>
      </c>
      <c r="AU848" s="12" t="s">
        <v>83</v>
      </c>
      <c r="AV848" s="3" t="n">
        <v>46224</v>
      </c>
      <c r="AW848" s="21"/>
      <c r="AX848" s="1" t="s">
        <v>6956</v>
      </c>
      <c r="AY848" s="1"/>
      <c r="BA848" s="1"/>
      <c r="BB848" s="1"/>
    </row>
    <row r="849" ht="105" customHeight="1">
      <c r="A849" s="20" t="s">
        <v>4545</v>
      </c>
      <c r="B849" s="20" t="n">
        <v>2023</v>
      </c>
      <c r="C849" s="20" t="n">
        <v>504</v>
      </c>
      <c r="D849" s="20" t="s">
        <v>50</v>
      </c>
      <c r="E849" s="20" t="s">
        <v>4496</v>
      </c>
      <c r="F849" s="20" t="s">
        <v>4546</v>
      </c>
      <c r="G849" s="20" t="s">
        <v>86</v>
      </c>
      <c r="H849" s="20" t="s">
        <v>4498</v>
      </c>
      <c r="I849" s="20"/>
      <c r="J849" s="20" t="s">
        <v>4547</v>
      </c>
      <c r="K849" s="20" t="s">
        <v>3725</v>
      </c>
      <c r="L849" s="20" t="s">
        <v>785</v>
      </c>
      <c r="M849" s="20" t="s">
        <v>786</v>
      </c>
      <c r="N849" s="20" t="s">
        <v>787</v>
      </c>
      <c r="O849" s="20" t="s">
        <v>788</v>
      </c>
      <c r="P849" s="20" t="s">
        <v>517</v>
      </c>
      <c r="Q849" s="20" t="s">
        <v>893</v>
      </c>
      <c r="R849" s="20" t="s">
        <v>894</v>
      </c>
      <c r="S849" s="20" t="s">
        <v>895</v>
      </c>
      <c r="T849" s="20" t="s">
        <v>896</v>
      </c>
      <c r="U849" s="20" t="s">
        <v>897</v>
      </c>
      <c r="V849" s="20" t="s">
        <v>854</v>
      </c>
      <c r="W849" s="20" t="s">
        <v>96</v>
      </c>
      <c r="X849" s="20" t="s">
        <v>97</v>
      </c>
      <c r="Y849" s="20" t="s">
        <v>70</v>
      </c>
      <c r="Z849" s="20" t="s">
        <v>794</v>
      </c>
      <c r="AA849" s="20" t="s">
        <v>4548</v>
      </c>
      <c r="AB849" s="20" t="s">
        <v>4549</v>
      </c>
      <c r="AC849" s="20" t="s">
        <v>4549</v>
      </c>
      <c r="AD849" s="20" t="s">
        <v>4549</v>
      </c>
      <c r="AE849" s="20"/>
      <c r="AF849" s="9" t="n">
        <v>0</v>
      </c>
      <c r="AG849" s="12" t="n">
        <v>0</v>
      </c>
      <c r="AH849" s="22" t="s">
        <v>161</v>
      </c>
      <c r="AI849" s="12" t="str">
        <f>IF(AH849="","",IFERROR(RIGHT("0000"&amp;AH849,4)&amp;" - "&amp;UPPER(_xlfn.XLOOKUP(RIGHT("0000"&amp;AH849,4),CODEBOOK_CAP!$C$2:$C$212,CODEBOOK_CAP!$D$2:$D$212)),"Código CAP não encontrado"))</f>
        <v>2300 - GERAL</v>
      </c>
      <c r="AJ849" s="12" t="str">
        <f>IF(AH849="","",IFERROR(_xlfn.XLOOKUP(RIGHT("0000"&amp;AH849,4),CODEBOOK_CAP!$C$2:$C$212,CODEBOOK_CAP!$E$2:$E$212),"Código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49" s="22" t="s">
        <v>79</v>
      </c>
      <c r="AL849" s="26" t="s">
        <v>4550</v>
      </c>
      <c r="AM849" s="22" t="s">
        <v>79</v>
      </c>
      <c r="AN849" s="22" t="s">
        <v>79</v>
      </c>
      <c r="AO849" s="12" t="s">
        <v>4544</v>
      </c>
      <c r="AP849" s="22" t="s">
        <v>79</v>
      </c>
      <c r="AQ849" s="12" t="s">
        <v>901</v>
      </c>
      <c r="AR849" s="22" t="s">
        <v>77</v>
      </c>
      <c r="AS849" s="10"/>
      <c r="AT849" s="2" t="s">
        <v>1814</v>
      </c>
      <c r="AU849" s="12" t="s">
        <v>83</v>
      </c>
      <c r="AV849" s="3" t="n">
        <v>46224</v>
      </c>
      <c r="AW849" s="21"/>
      <c r="AX849" s="1" t="s">
        <v>6956</v>
      </c>
      <c r="AY849" s="1"/>
      <c r="BA849" s="1"/>
      <c r="BB849" s="1"/>
    </row>
    <row r="850" ht="105" customHeight="1">
      <c r="A850" s="20" t="s">
        <v>4551</v>
      </c>
      <c r="B850" s="20" t="n">
        <v>2023</v>
      </c>
      <c r="C850" s="20" t="n">
        <v>505</v>
      </c>
      <c r="D850" s="20" t="s">
        <v>50</v>
      </c>
      <c r="E850" s="20" t="s">
        <v>4496</v>
      </c>
      <c r="F850" s="20" t="s">
        <v>4552</v>
      </c>
      <c r="G850" s="20" t="s">
        <v>86</v>
      </c>
      <c r="H850" s="20" t="s">
        <v>4498</v>
      </c>
      <c r="I850" s="20"/>
      <c r="J850" s="20" t="s">
        <v>4553</v>
      </c>
      <c r="K850" s="20" t="s">
        <v>3725</v>
      </c>
      <c r="L850" s="20" t="s">
        <v>785</v>
      </c>
      <c r="M850" s="20" t="s">
        <v>786</v>
      </c>
      <c r="N850" s="20" t="s">
        <v>787</v>
      </c>
      <c r="O850" s="20" t="s">
        <v>788</v>
      </c>
      <c r="P850" s="20" t="s">
        <v>517</v>
      </c>
      <c r="Q850" s="20" t="s">
        <v>893</v>
      </c>
      <c r="R850" s="20" t="s">
        <v>894</v>
      </c>
      <c r="S850" s="20" t="s">
        <v>895</v>
      </c>
      <c r="T850" s="20" t="s">
        <v>896</v>
      </c>
      <c r="U850" s="20" t="s">
        <v>897</v>
      </c>
      <c r="V850" s="20" t="s">
        <v>854</v>
      </c>
      <c r="W850" s="20" t="s">
        <v>96</v>
      </c>
      <c r="X850" s="20" t="s">
        <v>97</v>
      </c>
      <c r="Y850" s="20" t="s">
        <v>70</v>
      </c>
      <c r="Z850" s="20" t="s">
        <v>794</v>
      </c>
      <c r="AA850" s="20" t="s">
        <v>3726</v>
      </c>
      <c r="AB850" s="20" t="s">
        <v>4542</v>
      </c>
      <c r="AC850" s="20" t="s">
        <v>4542</v>
      </c>
      <c r="AD850" s="20" t="s">
        <v>4542</v>
      </c>
      <c r="AE850" s="20"/>
      <c r="AF850" s="9" t="n">
        <v>0</v>
      </c>
      <c r="AG850" s="12" t="n">
        <v>0</v>
      </c>
      <c r="AH850" s="22" t="s">
        <v>161</v>
      </c>
      <c r="AI850" s="12" t="str">
        <f>IF(AH850="","",IFERROR(RIGHT("0000"&amp;AH850,4)&amp;" - "&amp;UPPER(_xlfn.XLOOKUP(RIGHT("0000"&amp;AH850,4),CODEBOOK_CAP!$C$2:$C$212,CODEBOOK_CAP!$D$2:$D$212)),"Código CAP não encontrado"))</f>
        <v>2300 - GERAL</v>
      </c>
      <c r="AJ850" s="12" t="str">
        <f>IF(AH850="","",IFERROR(_xlfn.XLOOKUP(RIGHT("0000"&amp;AH850,4),CODEBOOK_CAP!$C$2:$C$212,CODEBOOK_CAP!$E$2:$E$212),"Código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50" s="22" t="s">
        <v>79</v>
      </c>
      <c r="AL850" s="26" t="s">
        <v>4554</v>
      </c>
      <c r="AM850" s="22" t="s">
        <v>79</v>
      </c>
      <c r="AN850" s="22" t="s">
        <v>79</v>
      </c>
      <c r="AO850" s="12" t="s">
        <v>4555</v>
      </c>
      <c r="AP850" s="22" t="s">
        <v>79</v>
      </c>
      <c r="AQ850" s="12" t="s">
        <v>901</v>
      </c>
      <c r="AR850" s="22" t="s">
        <v>77</v>
      </c>
      <c r="AS850" s="10"/>
      <c r="AT850" s="2" t="s">
        <v>1814</v>
      </c>
      <c r="AU850" s="12" t="s">
        <v>83</v>
      </c>
      <c r="AV850" s="3" t="n">
        <v>46224</v>
      </c>
      <c r="AW850" s="21"/>
      <c r="AX850" s="1" t="s">
        <v>6956</v>
      </c>
      <c r="AY850" s="1"/>
      <c r="BA850" s="1"/>
      <c r="BB850" s="1"/>
    </row>
    <row r="851" ht="105" customHeight="1">
      <c r="A851" s="20" t="s">
        <v>4556</v>
      </c>
      <c r="B851" s="20" t="n">
        <v>2023</v>
      </c>
      <c r="C851" s="20" t="n">
        <v>506</v>
      </c>
      <c r="D851" s="20" t="s">
        <v>50</v>
      </c>
      <c r="E851" s="20" t="s">
        <v>4496</v>
      </c>
      <c r="F851" s="20" t="s">
        <v>4557</v>
      </c>
      <c r="G851" s="20" t="s">
        <v>86</v>
      </c>
      <c r="H851" s="20" t="s">
        <v>4498</v>
      </c>
      <c r="I851" s="20"/>
      <c r="J851" s="20" t="s">
        <v>4558</v>
      </c>
      <c r="K851" s="20" t="s">
        <v>3725</v>
      </c>
      <c r="L851" s="20" t="s">
        <v>785</v>
      </c>
      <c r="M851" s="20" t="s">
        <v>786</v>
      </c>
      <c r="N851" s="20" t="s">
        <v>787</v>
      </c>
      <c r="O851" s="20" t="s">
        <v>788</v>
      </c>
      <c r="P851" s="20" t="s">
        <v>517</v>
      </c>
      <c r="Q851" s="20" t="s">
        <v>893</v>
      </c>
      <c r="R851" s="20" t="s">
        <v>894</v>
      </c>
      <c r="S851" s="20" t="s">
        <v>895</v>
      </c>
      <c r="T851" s="20" t="s">
        <v>896</v>
      </c>
      <c r="U851" s="20" t="s">
        <v>897</v>
      </c>
      <c r="V851" s="20" t="s">
        <v>854</v>
      </c>
      <c r="W851" s="20" t="s">
        <v>96</v>
      </c>
      <c r="X851" s="20" t="s">
        <v>97</v>
      </c>
      <c r="Y851" s="20" t="s">
        <v>70</v>
      </c>
      <c r="Z851" s="20" t="s">
        <v>794</v>
      </c>
      <c r="AA851" s="20" t="s">
        <v>4548</v>
      </c>
      <c r="AB851" s="20" t="s">
        <v>4549</v>
      </c>
      <c r="AC851" s="20" t="s">
        <v>4549</v>
      </c>
      <c r="AD851" s="20" t="s">
        <v>4549</v>
      </c>
      <c r="AE851" s="20"/>
      <c r="AF851" s="9" t="n">
        <v>0</v>
      </c>
      <c r="AG851" s="12" t="n">
        <v>0</v>
      </c>
      <c r="AH851" s="22" t="s">
        <v>161</v>
      </c>
      <c r="AI851" s="12" t="str">
        <f>IF(AH851="","",IFERROR(RIGHT("0000"&amp;AH851,4)&amp;" - "&amp;UPPER(_xlfn.XLOOKUP(RIGHT("0000"&amp;AH851,4),CODEBOOK_CAP!$C$2:$C$212,CODEBOOK_CAP!$D$2:$D$212)),"Código CAP não encontrado"))</f>
        <v>2300 - GERAL</v>
      </c>
      <c r="AJ851" s="12" t="str">
        <f>IF(AH851="","",IFERROR(_xlfn.XLOOKUP(RIGHT("0000"&amp;AH851,4),CODEBOOK_CAP!$C$2:$C$212,CODEBOOK_CAP!$E$2:$E$212),"Código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51" s="22" t="s">
        <v>79</v>
      </c>
      <c r="AL851" s="26" t="s">
        <v>4554</v>
      </c>
      <c r="AM851" s="22" t="s">
        <v>79</v>
      </c>
      <c r="AN851" s="22" t="s">
        <v>79</v>
      </c>
      <c r="AO851" s="12" t="s">
        <v>4555</v>
      </c>
      <c r="AP851" s="22" t="s">
        <v>79</v>
      </c>
      <c r="AQ851" s="12" t="s">
        <v>901</v>
      </c>
      <c r="AR851" s="22" t="s">
        <v>77</v>
      </c>
      <c r="AS851" s="10"/>
      <c r="AT851" s="2" t="s">
        <v>1814</v>
      </c>
      <c r="AU851" s="12" t="s">
        <v>83</v>
      </c>
      <c r="AV851" s="3" t="n">
        <v>46224</v>
      </c>
      <c r="AW851" s="21"/>
      <c r="AX851" s="1" t="s">
        <v>6956</v>
      </c>
      <c r="AY851" s="1"/>
      <c r="BA851" s="1"/>
      <c r="BB851" s="1"/>
    </row>
    <row r="852" ht="105" customHeight="1">
      <c r="A852" s="20" t="s">
        <v>4559</v>
      </c>
      <c r="B852" s="20" t="n">
        <v>2023</v>
      </c>
      <c r="C852" s="20" t="n">
        <v>507</v>
      </c>
      <c r="D852" s="20" t="s">
        <v>50</v>
      </c>
      <c r="E852" s="20" t="s">
        <v>4496</v>
      </c>
      <c r="F852" s="20" t="s">
        <v>4560</v>
      </c>
      <c r="G852" s="20" t="s">
        <v>86</v>
      </c>
      <c r="H852" s="20" t="s">
        <v>4498</v>
      </c>
      <c r="I852" s="20"/>
      <c r="J852" s="20" t="s">
        <v>4561</v>
      </c>
      <c r="K852" s="20" t="s">
        <v>4562</v>
      </c>
      <c r="L852" s="20" t="s">
        <v>785</v>
      </c>
      <c r="M852" s="20" t="s">
        <v>786</v>
      </c>
      <c r="N852" s="20" t="s">
        <v>787</v>
      </c>
      <c r="O852" s="20" t="s">
        <v>788</v>
      </c>
      <c r="P852" s="20" t="s">
        <v>517</v>
      </c>
      <c r="Q852" s="20" t="s">
        <v>893</v>
      </c>
      <c r="R852" s="20" t="s">
        <v>894</v>
      </c>
      <c r="S852" s="20" t="s">
        <v>895</v>
      </c>
      <c r="T852" s="20" t="s">
        <v>896</v>
      </c>
      <c r="U852" s="20" t="s">
        <v>897</v>
      </c>
      <c r="V852" s="20" t="s">
        <v>854</v>
      </c>
      <c r="W852" s="20" t="s">
        <v>96</v>
      </c>
      <c r="X852" s="20" t="s">
        <v>97</v>
      </c>
      <c r="Y852" s="20" t="s">
        <v>70</v>
      </c>
      <c r="Z852" s="20" t="s">
        <v>794</v>
      </c>
      <c r="AA852" s="20" t="s">
        <v>3726</v>
      </c>
      <c r="AB852" s="20" t="s">
        <v>4542</v>
      </c>
      <c r="AC852" s="20" t="s">
        <v>4542</v>
      </c>
      <c r="AD852" s="20" t="s">
        <v>4542</v>
      </c>
      <c r="AE852" s="20"/>
      <c r="AF852" s="9" t="n">
        <v>0</v>
      </c>
      <c r="AG852" s="12" t="n">
        <v>0</v>
      </c>
      <c r="AH852" s="22" t="s">
        <v>161</v>
      </c>
      <c r="AI852" s="12" t="str">
        <f>IF(AH852="","",IFERROR(RIGHT("0000"&amp;AH852,4)&amp;" - "&amp;UPPER(_xlfn.XLOOKUP(RIGHT("0000"&amp;AH852,4),CODEBOOK_CAP!$C$2:$C$212,CODEBOOK_CAP!$D$2:$D$212)),"Código CAP não encontrado"))</f>
        <v>2300 - GERAL</v>
      </c>
      <c r="AJ852" s="12" t="str">
        <f>IF(AH852="","",IFERROR(_xlfn.XLOOKUP(RIGHT("0000"&amp;AH852,4),CODEBOOK_CAP!$C$2:$C$212,CODEBOOK_CAP!$E$2:$E$212),"Código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52" s="22" t="s">
        <v>79</v>
      </c>
      <c r="AL852" s="26" t="s">
        <v>4563</v>
      </c>
      <c r="AM852" s="22" t="s">
        <v>79</v>
      </c>
      <c r="AN852" s="22" t="s">
        <v>79</v>
      </c>
      <c r="AO852" s="12" t="s">
        <v>4564</v>
      </c>
      <c r="AP852" s="22" t="s">
        <v>79</v>
      </c>
      <c r="AQ852" s="12" t="s">
        <v>901</v>
      </c>
      <c r="AR852" s="22" t="s">
        <v>77</v>
      </c>
      <c r="AS852" s="10"/>
      <c r="AT852" s="2" t="s">
        <v>1814</v>
      </c>
      <c r="AU852" s="12" t="s">
        <v>83</v>
      </c>
      <c r="AV852" s="3" t="n">
        <v>46224</v>
      </c>
      <c r="AW852" s="21"/>
      <c r="AX852" s="1" t="s">
        <v>6956</v>
      </c>
      <c r="AY852" s="1"/>
      <c r="BA852" s="1"/>
      <c r="BB852" s="1"/>
    </row>
    <row r="853" ht="105" customHeight="1">
      <c r="A853" s="20" t="s">
        <v>4565</v>
      </c>
      <c r="B853" s="20" t="n">
        <v>2023</v>
      </c>
      <c r="C853" s="20" t="n">
        <v>508</v>
      </c>
      <c r="D853" s="20" t="s">
        <v>50</v>
      </c>
      <c r="E853" s="20" t="s">
        <v>4496</v>
      </c>
      <c r="F853" s="20" t="s">
        <v>4566</v>
      </c>
      <c r="G853" s="20" t="s">
        <v>86</v>
      </c>
      <c r="H853" s="20" t="s">
        <v>4498</v>
      </c>
      <c r="I853" s="20"/>
      <c r="J853" s="20" t="s">
        <v>4567</v>
      </c>
      <c r="K853" s="20" t="s">
        <v>4562</v>
      </c>
      <c r="L853" s="20" t="s">
        <v>785</v>
      </c>
      <c r="M853" s="20" t="s">
        <v>786</v>
      </c>
      <c r="N853" s="20" t="s">
        <v>787</v>
      </c>
      <c r="O853" s="20" t="s">
        <v>788</v>
      </c>
      <c r="P853" s="20" t="s">
        <v>517</v>
      </c>
      <c r="Q853" s="20" t="s">
        <v>893</v>
      </c>
      <c r="R853" s="20" t="s">
        <v>894</v>
      </c>
      <c r="S853" s="20" t="s">
        <v>895</v>
      </c>
      <c r="T853" s="20" t="s">
        <v>896</v>
      </c>
      <c r="U853" s="20" t="s">
        <v>897</v>
      </c>
      <c r="V853" s="20" t="s">
        <v>854</v>
      </c>
      <c r="W853" s="20" t="s">
        <v>96</v>
      </c>
      <c r="X853" s="20" t="s">
        <v>97</v>
      </c>
      <c r="Y853" s="20" t="s">
        <v>70</v>
      </c>
      <c r="Z853" s="20" t="s">
        <v>794</v>
      </c>
      <c r="AA853" s="20" t="s">
        <v>4548</v>
      </c>
      <c r="AB853" s="20" t="s">
        <v>4549</v>
      </c>
      <c r="AC853" s="20" t="s">
        <v>4549</v>
      </c>
      <c r="AD853" s="20" t="s">
        <v>4549</v>
      </c>
      <c r="AE853" s="20"/>
      <c r="AF853" s="9" t="n">
        <v>0</v>
      </c>
      <c r="AG853" s="12" t="n">
        <v>0</v>
      </c>
      <c r="AH853" s="22" t="s">
        <v>161</v>
      </c>
      <c r="AI853" s="12" t="str">
        <f>IF(AH853="","",IFERROR(RIGHT("0000"&amp;AH853,4)&amp;" - "&amp;UPPER(_xlfn.XLOOKUP(RIGHT("0000"&amp;AH853,4),CODEBOOK_CAP!$C$2:$C$212,CODEBOOK_CAP!$D$2:$D$212)),"Código CAP não encontrado"))</f>
        <v>2300 - GERAL</v>
      </c>
      <c r="AJ853" s="12" t="str">
        <f>IF(AH853="","",IFERROR(_xlfn.XLOOKUP(RIGHT("0000"&amp;AH853,4),CODEBOOK_CAP!$C$2:$C$212,CODEBOOK_CAP!$E$2:$E$212),"Código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53" s="22" t="s">
        <v>79</v>
      </c>
      <c r="AL853" s="26" t="s">
        <v>4568</v>
      </c>
      <c r="AM853" s="22" t="s">
        <v>79</v>
      </c>
      <c r="AN853" s="22" t="s">
        <v>79</v>
      </c>
      <c r="AO853" s="12" t="s">
        <v>4564</v>
      </c>
      <c r="AP853" s="22" t="s">
        <v>79</v>
      </c>
      <c r="AQ853" s="12" t="s">
        <v>901</v>
      </c>
      <c r="AR853" s="22" t="s">
        <v>77</v>
      </c>
      <c r="AS853" s="10"/>
      <c r="AT853" s="2" t="s">
        <v>1814</v>
      </c>
      <c r="AU853" s="12" t="s">
        <v>83</v>
      </c>
      <c r="AV853" s="3" t="n">
        <v>46224</v>
      </c>
      <c r="AW853" s="21"/>
      <c r="AX853" s="1" t="s">
        <v>6956</v>
      </c>
      <c r="AY853" s="1"/>
      <c r="BA853" s="1"/>
      <c r="BB853" s="1"/>
    </row>
    <row r="854" ht="210" customHeight="1">
      <c r="A854" s="20" t="s">
        <v>4569</v>
      </c>
      <c r="B854" s="20" t="n">
        <v>2023</v>
      </c>
      <c r="C854" s="20" t="n">
        <v>509</v>
      </c>
      <c r="D854" s="20" t="s">
        <v>50</v>
      </c>
      <c r="E854" s="20" t="s">
        <v>4496</v>
      </c>
      <c r="F854" s="20" t="s">
        <v>4570</v>
      </c>
      <c r="G854" s="20" t="s">
        <v>86</v>
      </c>
      <c r="H854" s="20" t="s">
        <v>4498</v>
      </c>
      <c r="I854" s="20"/>
      <c r="J854" s="20" t="s">
        <v>4571</v>
      </c>
      <c r="K854" s="20" t="s">
        <v>1532</v>
      </c>
      <c r="L854" s="20" t="s">
        <v>274</v>
      </c>
      <c r="M854" s="20" t="s">
        <v>275</v>
      </c>
      <c r="N854" s="20" t="s">
        <v>276</v>
      </c>
      <c r="O854" s="20" t="s">
        <v>277</v>
      </c>
      <c r="P854" s="20" t="s">
        <v>278</v>
      </c>
      <c r="Q854" s="20" t="s">
        <v>279</v>
      </c>
      <c r="R854" s="20" t="s">
        <v>1118</v>
      </c>
      <c r="S854" s="20" t="s">
        <v>1119</v>
      </c>
      <c r="T854" s="20" t="s">
        <v>1533</v>
      </c>
      <c r="U854" s="20" t="s">
        <v>1534</v>
      </c>
      <c r="V854" s="20" t="s">
        <v>95</v>
      </c>
      <c r="W854" s="20" t="s">
        <v>96</v>
      </c>
      <c r="X854" s="20" t="s">
        <v>97</v>
      </c>
      <c r="Y854" s="20" t="s">
        <v>70</v>
      </c>
      <c r="Z854" s="20" t="s">
        <v>284</v>
      </c>
      <c r="AA854" s="20" t="s">
        <v>2936</v>
      </c>
      <c r="AB854" s="20" t="s">
        <v>2936</v>
      </c>
      <c r="AC854" s="20" t="s">
        <v>2936</v>
      </c>
      <c r="AD854" s="20" t="s">
        <v>2936</v>
      </c>
      <c r="AE854" s="20"/>
      <c r="AF854" s="9" t="n">
        <v>0</v>
      </c>
      <c r="AG854" s="12" t="n">
        <v>0</v>
      </c>
      <c r="AH854" s="22" t="s">
        <v>607</v>
      </c>
      <c r="AI854" s="12" t="str">
        <f>IF(AH854="","",IFERROR(RIGHT("0000"&amp;AH854,4)&amp;" - "&amp;UPPER(_xlfn.XLOOKUP(RIGHT("0000"&amp;AH854,4),CODEBOOK_CAP!$C$2:$C$212,CODEBOOK_CAP!$D$2:$D$212)),"Código CAP não encontrado"))</f>
        <v>1300 - GERAL</v>
      </c>
      <c r="AJ854" s="12" t="str">
        <f>IF(AH854="","",IFERROR(_xlfn.XLOOKUP(RIGHT("0000"&amp;AH854,4),CODEBOOK_CAP!$C$2:$C$212,CODEBOOK_CAP!$E$2:$E$212),"Código CAP não encontrado"))</f>
        <v>Observações gerais sobre políticas sociais que envolvam mais de um casos dos subtópicos, políticas gerais de assistência social, welfare state, bem estar social, Ministérios e orcamentos como do Desenvolvimento social e combate e fome, desenvolvimento social, sistemas de gestão de políticas de assistencia, CAD UNICO, cadastros, sistemas computacionais para desenvolvimento de ações e políticas sociais, BPC - Benefício de Prestação Continuada geral para idosos e deficientes. NÃO CONFUNDIR POLÍTICAS SOCIAIS COM POLÍTICA DE EMPREGO E RENDA. Todas as questões, direitos, políticas que se relacionem com o TRABALHO como contrapartida, estão no código 5. Maternidade, Paternidade aposentadoria por tempo de serviço, INSS.</v>
      </c>
      <c r="AK854" s="22" t="s">
        <v>77</v>
      </c>
      <c r="AL854" s="26"/>
      <c r="AM854" s="22" t="s">
        <v>77</v>
      </c>
      <c r="AN854" s="22" t="s">
        <v>77</v>
      </c>
      <c r="AO854" s="12"/>
      <c r="AP854" s="22" t="s">
        <v>77</v>
      </c>
      <c r="AQ854" s="12"/>
      <c r="AR854" s="22" t="s">
        <v>77</v>
      </c>
      <c r="AS854" s="10"/>
      <c r="AT854" s="2" t="s">
        <v>1814</v>
      </c>
      <c r="AU854" s="12" t="s">
        <v>83</v>
      </c>
      <c r="AV854" s="3" t="n">
        <v>46224</v>
      </c>
      <c r="AW854" s="21"/>
      <c r="AY854" s="1"/>
      <c r="BA854" s="1"/>
      <c r="BB854" s="1"/>
    </row>
    <row r="855" ht="120" customHeight="1">
      <c r="A855" s="20" t="s">
        <v>4572</v>
      </c>
      <c r="B855" s="20" t="n">
        <v>2023</v>
      </c>
      <c r="C855" s="20" t="n">
        <v>510</v>
      </c>
      <c r="D855" s="20" t="s">
        <v>50</v>
      </c>
      <c r="E855" s="20" t="s">
        <v>4496</v>
      </c>
      <c r="F855" s="20" t="s">
        <v>4573</v>
      </c>
      <c r="G855" s="20" t="s">
        <v>315</v>
      </c>
      <c r="H855" s="20" t="s">
        <v>4498</v>
      </c>
      <c r="I855" s="20"/>
      <c r="J855" s="20" t="s">
        <v>4574</v>
      </c>
      <c r="K855" s="20" t="s">
        <v>402</v>
      </c>
      <c r="L855" s="20" t="s">
        <v>57</v>
      </c>
      <c r="M855" s="20" t="s">
        <v>58</v>
      </c>
      <c r="N855" s="20" t="s">
        <v>59</v>
      </c>
      <c r="O855" s="20" t="s">
        <v>60</v>
      </c>
      <c r="P855" s="20" t="s">
        <v>89</v>
      </c>
      <c r="Q855" s="20" t="s">
        <v>90</v>
      </c>
      <c r="R855" s="20" t="s">
        <v>91</v>
      </c>
      <c r="S855" s="20" t="s">
        <v>92</v>
      </c>
      <c r="T855" s="20" t="s">
        <v>93</v>
      </c>
      <c r="U855" s="20" t="s">
        <v>94</v>
      </c>
      <c r="V855" s="20" t="s">
        <v>196</v>
      </c>
      <c r="W855" s="20" t="s">
        <v>68</v>
      </c>
      <c r="X855" s="20" t="s">
        <v>69</v>
      </c>
      <c r="Y855" s="20" t="s">
        <v>70</v>
      </c>
      <c r="Z855" s="20" t="s">
        <v>98</v>
      </c>
      <c r="AA855" s="20" t="s">
        <v>160</v>
      </c>
      <c r="AB855" s="20" t="s">
        <v>4575</v>
      </c>
      <c r="AC855" s="20" t="s">
        <v>4576</v>
      </c>
      <c r="AD855" s="20" t="s">
        <v>4575</v>
      </c>
      <c r="AE855" s="20"/>
      <c r="AF855" s="9" t="n">
        <v>1</v>
      </c>
      <c r="AG855" s="12" t="n">
        <v>1</v>
      </c>
      <c r="AH855" s="22" t="s">
        <v>235</v>
      </c>
      <c r="AI855" s="12" t="str">
        <f>IF(AH855="","",IFERROR(RIGHT("0000"&amp;AH855,4)&amp;" - "&amp;UPPER(_xlfn.XLOOKUP(RIGHT("0000"&amp;AH855,4),CODEBOOK_CAP!$C$2:$C$212,CODEBOOK_CAP!$D$2:$D$212)),"Código CAP não encontrado"))</f>
        <v>0322 - ESTRUTURAS, HOSPITAIS, CLÍNICAS</v>
      </c>
      <c r="AJ855" s="12" t="str">
        <f>IF(AH855="","",IFERROR(_xlfn.XLOOKUP(RIGHT("0000"&amp;AH855,4),CODEBOOK_CAP!$C$2:$C$212,CODEBOOK_CAP!$E$2:$E$212),"Código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5" s="22" t="s">
        <v>77</v>
      </c>
      <c r="AL855" s="26"/>
      <c r="AM855" s="22" t="s">
        <v>77</v>
      </c>
      <c r="AN855" s="22" t="s">
        <v>77</v>
      </c>
      <c r="AO855" s="12"/>
      <c r="AP855" s="22" t="s">
        <v>77</v>
      </c>
      <c r="AQ855" s="12"/>
      <c r="AR855" s="22" t="s">
        <v>77</v>
      </c>
      <c r="AS855" s="10"/>
      <c r="AT855" s="2" t="s">
        <v>1814</v>
      </c>
      <c r="AU855" s="12" t="s">
        <v>83</v>
      </c>
      <c r="AV855" s="3" t="n">
        <v>46224</v>
      </c>
      <c r="AW855" s="21"/>
      <c r="AY855" s="1"/>
      <c r="BA855" s="1"/>
      <c r="BB855" s="1"/>
    </row>
    <row r="856" ht="105" customHeight="1">
      <c r="A856" s="20" t="s">
        <v>4577</v>
      </c>
      <c r="B856" s="20" t="n">
        <v>2023</v>
      </c>
      <c r="C856" s="20" t="n">
        <v>511</v>
      </c>
      <c r="D856" s="20" t="s">
        <v>50</v>
      </c>
      <c r="E856" s="20" t="s">
        <v>4496</v>
      </c>
      <c r="F856" s="20" t="s">
        <v>4578</v>
      </c>
      <c r="G856" s="20" t="s">
        <v>315</v>
      </c>
      <c r="H856" s="20" t="s">
        <v>4498</v>
      </c>
      <c r="I856" s="20"/>
      <c r="J856" s="20" t="s">
        <v>4579</v>
      </c>
      <c r="K856" s="20" t="s">
        <v>402</v>
      </c>
      <c r="L856" s="20" t="s">
        <v>57</v>
      </c>
      <c r="M856" s="20" t="s">
        <v>58</v>
      </c>
      <c r="N856" s="20" t="s">
        <v>59</v>
      </c>
      <c r="O856" s="20" t="s">
        <v>60</v>
      </c>
      <c r="P856" s="20" t="s">
        <v>89</v>
      </c>
      <c r="Q856" s="20" t="s">
        <v>90</v>
      </c>
      <c r="R856" s="20" t="s">
        <v>91</v>
      </c>
      <c r="S856" s="20" t="s">
        <v>92</v>
      </c>
      <c r="T856" s="20" t="s">
        <v>93</v>
      </c>
      <c r="U856" s="20" t="s">
        <v>94</v>
      </c>
      <c r="V856" s="20" t="s">
        <v>196</v>
      </c>
      <c r="W856" s="20" t="s">
        <v>68</v>
      </c>
      <c r="X856" s="20" t="s">
        <v>69</v>
      </c>
      <c r="Y856" s="20" t="s">
        <v>70</v>
      </c>
      <c r="Z856" s="20" t="s">
        <v>98</v>
      </c>
      <c r="AA856" s="20" t="s">
        <v>4580</v>
      </c>
      <c r="AB856" s="20" t="s">
        <v>4581</v>
      </c>
      <c r="AC856" s="20" t="s">
        <v>4581</v>
      </c>
      <c r="AD856" s="20" t="s">
        <v>4581</v>
      </c>
      <c r="AE856" s="20"/>
      <c r="AF856" s="9" t="n">
        <v>1</v>
      </c>
      <c r="AG856" s="12" t="n">
        <v>1</v>
      </c>
      <c r="AH856" s="22" t="s">
        <v>76</v>
      </c>
      <c r="AI856" s="12" t="str">
        <f>IF(AH856="","",IFERROR(RIGHT("0000"&amp;AH856,4)&amp;" - "&amp;UPPER(_xlfn.XLOOKUP(RIGHT("0000"&amp;AH856,4),CODEBOOK_CAP!$C$2:$C$212,CODEBOOK_CAP!$D$2:$D$212)),"Código CAP não encontrado"))</f>
        <v>0333 - SAÚDE MENTAL</v>
      </c>
      <c r="AJ856" s="12" t="str">
        <f>IF(AH856="","",IFERROR(_xlfn.XLOOKUP(RIGHT("0000"&amp;AH856,4),CODEBOOK_CAP!$C$2:$C$212,CODEBOOK_CAP!$E$2:$E$212),"Código CAP não encontrado"))</f>
        <v>Serviços de atendimento a saúde mental e psico-social. CAPS, Controle de qualidade mental, esquizofrenia, bipolaridade, transtornos mentais, ansiedade, alucinançao, depressão, suicídio, CVV, atendimento psicológico e psiquiátrico, sanatório, manicomio. Não confundir com dependências de alcool (342) e drogas (343)</v>
      </c>
      <c r="AK856" s="22" t="s">
        <v>77</v>
      </c>
      <c r="AL856" s="26"/>
      <c r="AM856" s="22" t="s">
        <v>77</v>
      </c>
      <c r="AN856" s="22" t="s">
        <v>77</v>
      </c>
      <c r="AO856" s="12"/>
      <c r="AP856" s="22" t="s">
        <v>77</v>
      </c>
      <c r="AQ856" s="12"/>
      <c r="AR856" s="22" t="s">
        <v>77</v>
      </c>
      <c r="AS856" s="10"/>
      <c r="AT856" s="2" t="s">
        <v>1814</v>
      </c>
      <c r="AU856" s="12" t="s">
        <v>83</v>
      </c>
      <c r="AV856" s="3" t="n">
        <v>46224</v>
      </c>
      <c r="AW856" s="21"/>
      <c r="AY856" s="1"/>
      <c r="BA856" s="1"/>
      <c r="BB856" s="1"/>
    </row>
    <row r="857" ht="120" customHeight="1">
      <c r="A857" s="20" t="s">
        <v>4582</v>
      </c>
      <c r="B857" s="20" t="n">
        <v>2023</v>
      </c>
      <c r="C857" s="20" t="n">
        <v>512</v>
      </c>
      <c r="D857" s="20" t="s">
        <v>50</v>
      </c>
      <c r="E857" s="20" t="s">
        <v>4496</v>
      </c>
      <c r="F857" s="20" t="s">
        <v>4583</v>
      </c>
      <c r="G857" s="20" t="s">
        <v>315</v>
      </c>
      <c r="H857" s="20" t="s">
        <v>4498</v>
      </c>
      <c r="I857" s="20"/>
      <c r="J857" s="20" t="s">
        <v>4584</v>
      </c>
      <c r="K857" s="20" t="s">
        <v>309</v>
      </c>
      <c r="L857" s="20" t="s">
        <v>57</v>
      </c>
      <c r="M857" s="20" t="s">
        <v>58</v>
      </c>
      <c r="N857" s="20" t="s">
        <v>59</v>
      </c>
      <c r="O857" s="20" t="s">
        <v>60</v>
      </c>
      <c r="P857" s="20" t="s">
        <v>227</v>
      </c>
      <c r="Q857" s="20" t="s">
        <v>228</v>
      </c>
      <c r="R857" s="20" t="s">
        <v>229</v>
      </c>
      <c r="S857" s="20" t="s">
        <v>230</v>
      </c>
      <c r="T857" s="20" t="s">
        <v>231</v>
      </c>
      <c r="U857" s="20" t="s">
        <v>230</v>
      </c>
      <c r="V857" s="20" t="s">
        <v>196</v>
      </c>
      <c r="W857" s="20" t="s">
        <v>68</v>
      </c>
      <c r="X857" s="20" t="s">
        <v>69</v>
      </c>
      <c r="Y857" s="20" t="s">
        <v>70</v>
      </c>
      <c r="Z857" s="20" t="s">
        <v>98</v>
      </c>
      <c r="AA857" s="20" t="s">
        <v>125</v>
      </c>
      <c r="AB857" s="20" t="s">
        <v>4585</v>
      </c>
      <c r="AC857" s="20" t="s">
        <v>4586</v>
      </c>
      <c r="AD857" s="20" t="s">
        <v>4586</v>
      </c>
      <c r="AE857" s="20" t="s">
        <v>4587</v>
      </c>
      <c r="AF857" s="9" t="n">
        <v>1</v>
      </c>
      <c r="AG857" s="12" t="n">
        <v>1</v>
      </c>
      <c r="AH857" s="22" t="s">
        <v>235</v>
      </c>
      <c r="AI857" s="12" t="str">
        <f>IF(AH857="","",IFERROR(RIGHT("0000"&amp;AH857,4)&amp;" - "&amp;UPPER(_xlfn.XLOOKUP(RIGHT("0000"&amp;AH857,4),CODEBOOK_CAP!$C$2:$C$212,CODEBOOK_CAP!$D$2:$D$212)),"Código CAP não encontrado"))</f>
        <v>0322 - ESTRUTURAS, HOSPITAIS, CLÍNICAS</v>
      </c>
      <c r="AJ857" s="12" t="str">
        <f>IF(AH857="","",IFERROR(_xlfn.XLOOKUP(RIGHT("0000"&amp;AH857,4),CODEBOOK_CAP!$C$2:$C$212,CODEBOOK_CAP!$E$2:$E$212),"Código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7" s="22" t="s">
        <v>79</v>
      </c>
      <c r="AL857" s="26" t="s">
        <v>4588</v>
      </c>
      <c r="AM857" s="22" t="s">
        <v>79</v>
      </c>
      <c r="AN857" s="22" t="s">
        <v>79</v>
      </c>
      <c r="AO857" s="12" t="s">
        <v>4589</v>
      </c>
      <c r="AP857" s="22" t="s">
        <v>77</v>
      </c>
      <c r="AQ857" s="12"/>
      <c r="AR857" s="22" t="s">
        <v>79</v>
      </c>
      <c r="AS857" s="10" t="s">
        <v>4587</v>
      </c>
      <c r="AT857" s="2" t="s">
        <v>1814</v>
      </c>
      <c r="AU857" s="12" t="s">
        <v>83</v>
      </c>
      <c r="AV857" s="3" t="n">
        <v>46224</v>
      </c>
      <c r="AW857" s="21"/>
      <c r="AY857" s="1"/>
      <c r="BA857" s="1"/>
      <c r="BB857" s="1"/>
    </row>
    <row r="858" ht="120" customHeight="1">
      <c r="A858" s="20" t="s">
        <v>4590</v>
      </c>
      <c r="B858" s="20" t="n">
        <v>2023</v>
      </c>
      <c r="C858" s="20" t="n">
        <v>513</v>
      </c>
      <c r="D858" s="20" t="s">
        <v>50</v>
      </c>
      <c r="E858" s="20" t="s">
        <v>4496</v>
      </c>
      <c r="F858" s="20" t="s">
        <v>4591</v>
      </c>
      <c r="G858" s="20" t="s">
        <v>86</v>
      </c>
      <c r="H858" s="20" t="s">
        <v>4498</v>
      </c>
      <c r="I858" s="20"/>
      <c r="J858" s="20" t="s">
        <v>4592</v>
      </c>
      <c r="K858" s="20" t="s">
        <v>56</v>
      </c>
      <c r="L858" s="20" t="s">
        <v>57</v>
      </c>
      <c r="M858" s="20" t="s">
        <v>58</v>
      </c>
      <c r="N858" s="20" t="s">
        <v>59</v>
      </c>
      <c r="O858" s="20" t="s">
        <v>60</v>
      </c>
      <c r="P858" s="20" t="s">
        <v>61</v>
      </c>
      <c r="Q858" s="20" t="s">
        <v>62</v>
      </c>
      <c r="R858" s="20" t="s">
        <v>63</v>
      </c>
      <c r="S858" s="20" t="s">
        <v>64</v>
      </c>
      <c r="T858" s="20" t="s">
        <v>65</v>
      </c>
      <c r="U858" s="20" t="s">
        <v>66</v>
      </c>
      <c r="V858" s="20" t="s">
        <v>67</v>
      </c>
      <c r="W858" s="20" t="s">
        <v>68</v>
      </c>
      <c r="X858" s="20" t="s">
        <v>69</v>
      </c>
      <c r="Y858" s="20" t="s">
        <v>70</v>
      </c>
      <c r="Z858" s="20" t="s">
        <v>71</v>
      </c>
      <c r="AA858" s="20" t="s">
        <v>160</v>
      </c>
      <c r="AB858" s="20" t="s">
        <v>4593</v>
      </c>
      <c r="AC858" s="20" t="s">
        <v>4594</v>
      </c>
      <c r="AD858" s="20" t="s">
        <v>4594</v>
      </c>
      <c r="AE858" s="20"/>
      <c r="AF858" s="9" t="n">
        <v>1</v>
      </c>
      <c r="AG858" s="12" t="n">
        <v>1</v>
      </c>
      <c r="AH858" s="22" t="s">
        <v>235</v>
      </c>
      <c r="AI858" s="12" t="str">
        <f>IF(AH858="","",IFERROR(RIGHT("0000"&amp;AH858,4)&amp;" - "&amp;UPPER(_xlfn.XLOOKUP(RIGHT("0000"&amp;AH858,4),CODEBOOK_CAP!$C$2:$C$212,CODEBOOK_CAP!$D$2:$D$212)),"Código CAP não encontrado"))</f>
        <v>0322 - ESTRUTURAS, HOSPITAIS, CLÍNICAS</v>
      </c>
      <c r="AJ858" s="12" t="str">
        <f>IF(AH858="","",IFERROR(_xlfn.XLOOKUP(RIGHT("0000"&amp;AH858,4),CODEBOOK_CAP!$C$2:$C$212,CODEBOOK_CAP!$E$2:$E$212),"Código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8" s="22" t="s">
        <v>79</v>
      </c>
      <c r="AL858" s="26" t="s">
        <v>4595</v>
      </c>
      <c r="AM858" s="22" t="s">
        <v>79</v>
      </c>
      <c r="AN858" s="22" t="s">
        <v>79</v>
      </c>
      <c r="AO858" s="12" t="s">
        <v>4596</v>
      </c>
      <c r="AP858" s="22" t="s">
        <v>77</v>
      </c>
      <c r="AQ858" s="12"/>
      <c r="AR858" s="22" t="s">
        <v>77</v>
      </c>
      <c r="AS858" s="10"/>
      <c r="AT858" s="2" t="s">
        <v>1814</v>
      </c>
      <c r="AU858" s="12" t="s">
        <v>83</v>
      </c>
      <c r="AV858" s="3" t="n">
        <v>46224</v>
      </c>
      <c r="AW858" s="21"/>
      <c r="AY858" s="1"/>
      <c r="BA858" s="1"/>
      <c r="BB858" s="1"/>
    </row>
    <row r="859" ht="120" customHeight="1">
      <c r="A859" s="20" t="s">
        <v>4597</v>
      </c>
      <c r="B859" s="20" t="n">
        <v>2023</v>
      </c>
      <c r="C859" s="20" t="n">
        <v>514</v>
      </c>
      <c r="D859" s="20" t="s">
        <v>50</v>
      </c>
      <c r="E859" s="20" t="s">
        <v>4496</v>
      </c>
      <c r="F859" s="20" t="s">
        <v>4598</v>
      </c>
      <c r="G859" s="20" t="s">
        <v>315</v>
      </c>
      <c r="H859" s="20" t="s">
        <v>4498</v>
      </c>
      <c r="I859" s="20"/>
      <c r="J859" s="20" t="s">
        <v>4599</v>
      </c>
      <c r="K859" s="20" t="s">
        <v>309</v>
      </c>
      <c r="L859" s="20" t="s">
        <v>57</v>
      </c>
      <c r="M859" s="20" t="s">
        <v>58</v>
      </c>
      <c r="N859" s="20" t="s">
        <v>59</v>
      </c>
      <c r="O859" s="20" t="s">
        <v>60</v>
      </c>
      <c r="P859" s="20" t="s">
        <v>227</v>
      </c>
      <c r="Q859" s="20" t="s">
        <v>228</v>
      </c>
      <c r="R859" s="20" t="s">
        <v>229</v>
      </c>
      <c r="S859" s="20" t="s">
        <v>230</v>
      </c>
      <c r="T859" s="20" t="s">
        <v>231</v>
      </c>
      <c r="U859" s="20" t="s">
        <v>230</v>
      </c>
      <c r="V859" s="20" t="s">
        <v>196</v>
      </c>
      <c r="W859" s="20" t="s">
        <v>68</v>
      </c>
      <c r="X859" s="20" t="s">
        <v>69</v>
      </c>
      <c r="Y859" s="20" t="s">
        <v>70</v>
      </c>
      <c r="Z859" s="20" t="s">
        <v>98</v>
      </c>
      <c r="AA859" s="20" t="s">
        <v>202</v>
      </c>
      <c r="AB859" s="20" t="s">
        <v>4600</v>
      </c>
      <c r="AC859" s="20" t="s">
        <v>4600</v>
      </c>
      <c r="AD859" s="20" t="s">
        <v>4600</v>
      </c>
      <c r="AE859" s="20" t="s">
        <v>4601</v>
      </c>
      <c r="AF859" s="9" t="n">
        <v>1</v>
      </c>
      <c r="AG859" s="12" t="n">
        <v>1</v>
      </c>
      <c r="AH859" s="22" t="s">
        <v>235</v>
      </c>
      <c r="AI859" s="12" t="str">
        <f>IF(AH859="","",IFERROR(RIGHT("0000"&amp;AH859,4)&amp;" - "&amp;UPPER(_xlfn.XLOOKUP(RIGHT("0000"&amp;AH859,4),CODEBOOK_CAP!$C$2:$C$212,CODEBOOK_CAP!$D$2:$D$212)),"Código CAP não encontrado"))</f>
        <v>0322 - ESTRUTURAS, HOSPITAIS, CLÍNICAS</v>
      </c>
      <c r="AJ859" s="12" t="str">
        <f>IF(AH859="","",IFERROR(_xlfn.XLOOKUP(RIGHT("0000"&amp;AH859,4),CODEBOOK_CAP!$C$2:$C$212,CODEBOOK_CAP!$E$2:$E$212),"Código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59" s="22" t="s">
        <v>79</v>
      </c>
      <c r="AL859" s="26" t="s">
        <v>4602</v>
      </c>
      <c r="AM859" s="22" t="s">
        <v>79</v>
      </c>
      <c r="AN859" s="22" t="s">
        <v>79</v>
      </c>
      <c r="AO859" s="12" t="s">
        <v>4603</v>
      </c>
      <c r="AP859" s="22" t="s">
        <v>77</v>
      </c>
      <c r="AQ859" s="12"/>
      <c r="AR859" s="22" t="s">
        <v>79</v>
      </c>
      <c r="AS859" s="10" t="s">
        <v>4601</v>
      </c>
      <c r="AT859" s="2" t="s">
        <v>1814</v>
      </c>
      <c r="AU859" s="12" t="s">
        <v>83</v>
      </c>
      <c r="AV859" s="3" t="n">
        <v>46224</v>
      </c>
      <c r="AW859" s="21"/>
      <c r="AY859" s="1"/>
      <c r="BA859" s="1"/>
      <c r="BB859" s="1"/>
    </row>
    <row r="860" ht="120" customHeight="1">
      <c r="A860" s="20" t="s">
        <v>4604</v>
      </c>
      <c r="B860" s="20" t="n">
        <v>2023</v>
      </c>
      <c r="C860" s="20" t="n">
        <v>515</v>
      </c>
      <c r="D860" s="20" t="s">
        <v>50</v>
      </c>
      <c r="E860" s="20" t="s">
        <v>4496</v>
      </c>
      <c r="F860" s="20" t="s">
        <v>4605</v>
      </c>
      <c r="G860" s="20" t="s">
        <v>315</v>
      </c>
      <c r="H860" s="20" t="s">
        <v>4498</v>
      </c>
      <c r="I860" s="20"/>
      <c r="J860" s="20" t="s">
        <v>4606</v>
      </c>
      <c r="K860" s="20" t="s">
        <v>340</v>
      </c>
      <c r="L860" s="20" t="s">
        <v>57</v>
      </c>
      <c r="M860" s="20" t="s">
        <v>58</v>
      </c>
      <c r="N860" s="20" t="s">
        <v>59</v>
      </c>
      <c r="O860" s="20" t="s">
        <v>60</v>
      </c>
      <c r="P860" s="20" t="s">
        <v>89</v>
      </c>
      <c r="Q860" s="20" t="s">
        <v>90</v>
      </c>
      <c r="R860" s="20" t="s">
        <v>91</v>
      </c>
      <c r="S860" s="20" t="s">
        <v>92</v>
      </c>
      <c r="T860" s="20" t="s">
        <v>341</v>
      </c>
      <c r="U860" s="20" t="s">
        <v>342</v>
      </c>
      <c r="V860" s="20" t="s">
        <v>196</v>
      </c>
      <c r="W860" s="20" t="s">
        <v>68</v>
      </c>
      <c r="X860" s="20" t="s">
        <v>69</v>
      </c>
      <c r="Y860" s="20" t="s">
        <v>70</v>
      </c>
      <c r="Z860" s="20" t="s">
        <v>98</v>
      </c>
      <c r="AA860" s="20" t="s">
        <v>198</v>
      </c>
      <c r="AB860" s="20" t="s">
        <v>4607</v>
      </c>
      <c r="AC860" s="20" t="s">
        <v>4608</v>
      </c>
      <c r="AD860" s="20" t="s">
        <v>4608</v>
      </c>
      <c r="AE860" s="20" t="s">
        <v>4609</v>
      </c>
      <c r="AF860" s="9" t="n">
        <v>1</v>
      </c>
      <c r="AG860" s="12" t="n">
        <v>1</v>
      </c>
      <c r="AH860" s="22" t="s">
        <v>235</v>
      </c>
      <c r="AI860" s="12" t="str">
        <f>IF(AH860="","",IFERROR(RIGHT("0000"&amp;AH860,4)&amp;" - "&amp;UPPER(_xlfn.XLOOKUP(RIGHT("0000"&amp;AH860,4),CODEBOOK_CAP!$C$2:$C$212,CODEBOOK_CAP!$D$2:$D$212)),"Código CAP não encontrado"))</f>
        <v>0322 - ESTRUTURAS, HOSPITAIS, CLÍNICAS</v>
      </c>
      <c r="AJ860" s="12" t="str">
        <f>IF(AH860="","",IFERROR(_xlfn.XLOOKUP(RIGHT("0000"&amp;AH860,4),CODEBOOK_CAP!$C$2:$C$212,CODEBOOK_CAP!$E$2:$E$212),"Código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60" s="22" t="s">
        <v>79</v>
      </c>
      <c r="AL860" s="26" t="s">
        <v>4610</v>
      </c>
      <c r="AM860" s="22" t="s">
        <v>79</v>
      </c>
      <c r="AN860" s="22" t="s">
        <v>79</v>
      </c>
      <c r="AO860" s="12" t="s">
        <v>4611</v>
      </c>
      <c r="AP860" s="22" t="s">
        <v>77</v>
      </c>
      <c r="AQ860" s="12"/>
      <c r="AR860" s="22" t="s">
        <v>79</v>
      </c>
      <c r="AS860" s="12" t="s">
        <v>4609</v>
      </c>
      <c r="AT860" s="2" t="s">
        <v>1814</v>
      </c>
      <c r="AU860" s="12" t="s">
        <v>83</v>
      </c>
      <c r="AV860" s="3" t="n">
        <v>46224</v>
      </c>
      <c r="AW860" s="21"/>
      <c r="AY860" s="1"/>
      <c r="BA860" s="1"/>
      <c r="BB860" s="1"/>
    </row>
    <row r="861" ht="120" customHeight="1">
      <c r="A861" s="20" t="s">
        <v>4612</v>
      </c>
      <c r="B861" s="20" t="n">
        <v>2023</v>
      </c>
      <c r="C861" s="20" t="n">
        <v>516</v>
      </c>
      <c r="D861" s="20" t="s">
        <v>50</v>
      </c>
      <c r="E861" s="20" t="s">
        <v>4496</v>
      </c>
      <c r="F861" s="20" t="s">
        <v>4613</v>
      </c>
      <c r="G861" s="20" t="s">
        <v>315</v>
      </c>
      <c r="H861" s="20" t="s">
        <v>4498</v>
      </c>
      <c r="I861" s="20"/>
      <c r="J861" s="20" t="s">
        <v>4614</v>
      </c>
      <c r="K861" s="20" t="s">
        <v>56</v>
      </c>
      <c r="L861" s="20" t="s">
        <v>57</v>
      </c>
      <c r="M861" s="20" t="s">
        <v>58</v>
      </c>
      <c r="N861" s="20" t="s">
        <v>59</v>
      </c>
      <c r="O861" s="20" t="s">
        <v>60</v>
      </c>
      <c r="P861" s="20" t="s">
        <v>61</v>
      </c>
      <c r="Q861" s="20" t="s">
        <v>62</v>
      </c>
      <c r="R861" s="20" t="s">
        <v>63</v>
      </c>
      <c r="S861" s="20" t="s">
        <v>64</v>
      </c>
      <c r="T861" s="20" t="s">
        <v>65</v>
      </c>
      <c r="U861" s="20" t="s">
        <v>66</v>
      </c>
      <c r="V861" s="20" t="s">
        <v>67</v>
      </c>
      <c r="W861" s="20" t="s">
        <v>68</v>
      </c>
      <c r="X861" s="20" t="s">
        <v>69</v>
      </c>
      <c r="Y861" s="20" t="s">
        <v>70</v>
      </c>
      <c r="Z861" s="20" t="s">
        <v>71</v>
      </c>
      <c r="AA861" s="20" t="s">
        <v>125</v>
      </c>
      <c r="AB861" s="20" t="s">
        <v>4615</v>
      </c>
      <c r="AC861" s="20" t="s">
        <v>4615</v>
      </c>
      <c r="AD861" s="20" t="s">
        <v>4615</v>
      </c>
      <c r="AE861" s="20" t="s">
        <v>4616</v>
      </c>
      <c r="AF861" s="9" t="n">
        <v>1</v>
      </c>
      <c r="AG861" s="12" t="n">
        <v>1</v>
      </c>
      <c r="AH861" s="22" t="s">
        <v>235</v>
      </c>
      <c r="AI861" s="12" t="str">
        <f>IF(AH861="","",IFERROR(RIGHT("0000"&amp;AH861,4)&amp;" - "&amp;UPPER(_xlfn.XLOOKUP(RIGHT("0000"&amp;AH861,4),CODEBOOK_CAP!$C$2:$C$212,CODEBOOK_CAP!$D$2:$D$212)),"Código CAP não encontrado"))</f>
        <v>0322 - ESTRUTURAS, HOSPITAIS, CLÍNICAS</v>
      </c>
      <c r="AJ861" s="12" t="str">
        <f>IF(AH861="","",IFERROR(_xlfn.XLOOKUP(RIGHT("0000"&amp;AH861,4),CODEBOOK_CAP!$C$2:$C$212,CODEBOOK_CAP!$E$2:$E$212),"Código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61" s="22" t="s">
        <v>79</v>
      </c>
      <c r="AL861" s="26" t="s">
        <v>4617</v>
      </c>
      <c r="AM861" s="22" t="s">
        <v>79</v>
      </c>
      <c r="AN861" s="22" t="s">
        <v>79</v>
      </c>
      <c r="AO861" s="12" t="s">
        <v>4618</v>
      </c>
      <c r="AP861" s="22" t="s">
        <v>77</v>
      </c>
      <c r="AQ861" s="12"/>
      <c r="AR861" s="12" t="s">
        <v>79</v>
      </c>
      <c r="AS861" s="12" t="s">
        <v>4616</v>
      </c>
      <c r="AT861" s="2" t="s">
        <v>1814</v>
      </c>
      <c r="AU861" s="12" t="s">
        <v>83</v>
      </c>
      <c r="AV861" s="3" t="n">
        <v>46224</v>
      </c>
      <c r="AW861" s="21"/>
      <c r="AY861" s="1"/>
      <c r="BA861" s="1"/>
      <c r="BB861" s="1"/>
    </row>
    <row r="862" ht="120" customHeight="1">
      <c r="A862" s="20" t="s">
        <v>4619</v>
      </c>
      <c r="B862" s="20" t="n">
        <v>2023</v>
      </c>
      <c r="C862" s="20" t="n">
        <v>517</v>
      </c>
      <c r="D862" s="20" t="s">
        <v>50</v>
      </c>
      <c r="E862" s="20" t="s">
        <v>4496</v>
      </c>
      <c r="F862" s="20" t="s">
        <v>4620</v>
      </c>
      <c r="G862" s="20" t="s">
        <v>86</v>
      </c>
      <c r="H862" s="20" t="s">
        <v>4498</v>
      </c>
      <c r="I862" s="20"/>
      <c r="J862" s="20" t="s">
        <v>4621</v>
      </c>
      <c r="K862" s="20" t="s">
        <v>122</v>
      </c>
      <c r="L862" s="20" t="s">
        <v>57</v>
      </c>
      <c r="M862" s="20" t="s">
        <v>58</v>
      </c>
      <c r="N862" s="20" t="s">
        <v>59</v>
      </c>
      <c r="O862" s="20" t="s">
        <v>60</v>
      </c>
      <c r="P862" s="20" t="s">
        <v>89</v>
      </c>
      <c r="Q862" s="20" t="s">
        <v>90</v>
      </c>
      <c r="R862" s="20" t="s">
        <v>91</v>
      </c>
      <c r="S862" s="20" t="s">
        <v>92</v>
      </c>
      <c r="T862" s="20" t="s">
        <v>123</v>
      </c>
      <c r="U862" s="20" t="s">
        <v>124</v>
      </c>
      <c r="V862" s="20" t="s">
        <v>95</v>
      </c>
      <c r="W862" s="20" t="s">
        <v>96</v>
      </c>
      <c r="X862" s="20" t="s">
        <v>97</v>
      </c>
      <c r="Y862" s="20" t="s">
        <v>70</v>
      </c>
      <c r="Z862" s="20" t="s">
        <v>98</v>
      </c>
      <c r="AA862" s="20" t="s">
        <v>409</v>
      </c>
      <c r="AB862" s="20" t="s">
        <v>409</v>
      </c>
      <c r="AC862" s="20" t="s">
        <v>409</v>
      </c>
      <c r="AD862" s="20" t="s">
        <v>409</v>
      </c>
      <c r="AE862" s="20"/>
      <c r="AF862" s="9" t="n">
        <v>1</v>
      </c>
      <c r="AG862" s="12" t="n">
        <v>1</v>
      </c>
      <c r="AH862" s="22" t="s">
        <v>235</v>
      </c>
      <c r="AI862" s="12" t="str">
        <f>IF(AH862="","",IFERROR(RIGHT("0000"&amp;AH862,4)&amp;" - "&amp;UPPER(_xlfn.XLOOKUP(RIGHT("0000"&amp;AH862,4),CODEBOOK_CAP!$C$2:$C$212,CODEBOOK_CAP!$D$2:$D$212)),"Código CAP não encontrado"))</f>
        <v>0322 - ESTRUTURAS, HOSPITAIS, CLÍNICAS</v>
      </c>
      <c r="AJ862" s="12" t="str">
        <f>IF(AH862="","",IFERROR(_xlfn.XLOOKUP(RIGHT("0000"&amp;AH862,4),CODEBOOK_CAP!$C$2:$C$212,CODEBOOK_CAP!$E$2:$E$212),"Código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62" s="22" t="s">
        <v>77</v>
      </c>
      <c r="AL862" s="26"/>
      <c r="AM862" s="22" t="s">
        <v>79</v>
      </c>
      <c r="AN862" s="22" t="s">
        <v>79</v>
      </c>
      <c r="AO862" s="12" t="s">
        <v>2396</v>
      </c>
      <c r="AP862" s="22" t="s">
        <v>77</v>
      </c>
      <c r="AQ862" s="12"/>
      <c r="AR862" s="22" t="s">
        <v>77</v>
      </c>
      <c r="AS862" s="10"/>
      <c r="AT862" s="2" t="s">
        <v>1814</v>
      </c>
      <c r="AU862" s="12" t="s">
        <v>83</v>
      </c>
      <c r="AV862" s="3" t="n">
        <v>46224</v>
      </c>
      <c r="AW862" s="21"/>
      <c r="AY862" s="1"/>
      <c r="BA862" s="1"/>
      <c r="BB862" s="1"/>
    </row>
    <row r="863" ht="150" customHeight="1">
      <c r="A863" s="20" t="s">
        <v>4622</v>
      </c>
      <c r="B863" s="20" t="n">
        <v>2023</v>
      </c>
      <c r="C863" s="20" t="n">
        <v>518</v>
      </c>
      <c r="D863" s="20" t="s">
        <v>50</v>
      </c>
      <c r="E863" s="20" t="s">
        <v>4496</v>
      </c>
      <c r="F863" s="20" t="s">
        <v>4623</v>
      </c>
      <c r="G863" s="20" t="s">
        <v>86</v>
      </c>
      <c r="H863" s="20" t="s">
        <v>4498</v>
      </c>
      <c r="I863" s="20"/>
      <c r="J863" s="20" t="s">
        <v>4624</v>
      </c>
      <c r="K863" s="20" t="s">
        <v>4625</v>
      </c>
      <c r="L863" s="20" t="s">
        <v>57</v>
      </c>
      <c r="M863" s="20" t="s">
        <v>58</v>
      </c>
      <c r="N863" s="20" t="s">
        <v>59</v>
      </c>
      <c r="O863" s="20" t="s">
        <v>60</v>
      </c>
      <c r="P863" s="20" t="s">
        <v>89</v>
      </c>
      <c r="Q863" s="20" t="s">
        <v>90</v>
      </c>
      <c r="R863" s="20" t="s">
        <v>91</v>
      </c>
      <c r="S863" s="20" t="s">
        <v>92</v>
      </c>
      <c r="T863" s="20" t="s">
        <v>4626</v>
      </c>
      <c r="U863" s="20"/>
      <c r="V863" s="20" t="s">
        <v>104</v>
      </c>
      <c r="W863" s="20" t="s">
        <v>96</v>
      </c>
      <c r="X863" s="20" t="s">
        <v>97</v>
      </c>
      <c r="Y863" s="20" t="s">
        <v>70</v>
      </c>
      <c r="Z863" s="20" t="s">
        <v>98</v>
      </c>
      <c r="AA863" s="20" t="s">
        <v>372</v>
      </c>
      <c r="AB863" s="20" t="s">
        <v>372</v>
      </c>
      <c r="AC863" s="20" t="s">
        <v>372</v>
      </c>
      <c r="AD863" s="20" t="s">
        <v>372</v>
      </c>
      <c r="AE863" s="20"/>
      <c r="AF863" s="9" t="n">
        <v>1</v>
      </c>
      <c r="AG863" s="12" t="n">
        <v>1</v>
      </c>
      <c r="AH863" s="22" t="s">
        <v>620</v>
      </c>
      <c r="AI863" s="12" t="str">
        <f>IF(AH863="","",IFERROR(RIGHT("0000"&amp;AH863,4)&amp;" - "&amp;UPPER(_xlfn.XLOOKUP(RIGHT("0000"&amp;AH863,4),CODEBOOK_CAP!$C$2:$C$212,CODEBOOK_CAP!$D$2:$D$212)),"Código CAP não encontrado"))</f>
        <v>0332 - SAÚDE INFANTIL, GRAVIDEZ E PRÉ-NATAL</v>
      </c>
      <c r="AJ863" s="12" t="str">
        <f>IF(AH863="","",IFERROR(_xlfn.XLOOKUP(RIGHT("0000"&amp;AH863,4),CODEBOOK_CAP!$C$2:$C$212,CODEBOOK_CAP!$E$2:$E$212),"Código CAP não encontrado"))</f>
        <v>Questões relacionadas a saúde da mãe, bebê e criança desde a gravidez. Campanhas de prevenção de gravidez indesejada, gravidez na adolescencia, Vacinação infantil ou vacina para doenças já existentes, atendimento pediátrico, atendimento obstétrico, parto, parto normal, cesariana, parto natural, pré-natal, consultas e exames pré-natal, atividades relacionadas a gravidez, saúde da mãe e do bebê, cuidados dentários infantís. Quando a política de prevenção for sobre crianças ou gravidez, codificar aqui 332.</v>
      </c>
      <c r="AK863" s="22" t="s">
        <v>77</v>
      </c>
      <c r="AL863" s="26"/>
      <c r="AM863" s="22" t="s">
        <v>77</v>
      </c>
      <c r="AN863" s="22" t="s">
        <v>77</v>
      </c>
      <c r="AO863" s="12"/>
      <c r="AP863" s="22" t="s">
        <v>77</v>
      </c>
      <c r="AQ863" s="12"/>
      <c r="AR863" s="22" t="s">
        <v>77</v>
      </c>
      <c r="AS863" s="10"/>
      <c r="AT863" s="2" t="s">
        <v>1814</v>
      </c>
      <c r="AU863" s="12" t="s">
        <v>83</v>
      </c>
      <c r="AV863" s="3" t="n">
        <v>46224</v>
      </c>
      <c r="AW863" s="21"/>
      <c r="AY863" s="1"/>
      <c r="BA863" s="1"/>
      <c r="BB863" s="1"/>
    </row>
    <row r="864" ht="120" customHeight="1">
      <c r="A864" s="20" t="s">
        <v>4627</v>
      </c>
      <c r="B864" s="20" t="n">
        <v>2023</v>
      </c>
      <c r="C864" s="20" t="n">
        <v>519</v>
      </c>
      <c r="D864" s="20" t="s">
        <v>50</v>
      </c>
      <c r="E864" s="20" t="s">
        <v>4496</v>
      </c>
      <c r="F864" s="20" t="s">
        <v>4628</v>
      </c>
      <c r="G864" s="20" t="s">
        <v>86</v>
      </c>
      <c r="H864" s="20" t="s">
        <v>4498</v>
      </c>
      <c r="I864" s="20"/>
      <c r="J864" s="20" t="s">
        <v>4629</v>
      </c>
      <c r="K864" s="20" t="s">
        <v>309</v>
      </c>
      <c r="L864" s="20" t="s">
        <v>57</v>
      </c>
      <c r="M864" s="20" t="s">
        <v>58</v>
      </c>
      <c r="N864" s="20" t="s">
        <v>59</v>
      </c>
      <c r="O864" s="20" t="s">
        <v>60</v>
      </c>
      <c r="P864" s="20" t="s">
        <v>227</v>
      </c>
      <c r="Q864" s="20" t="s">
        <v>228</v>
      </c>
      <c r="R864" s="20" t="s">
        <v>229</v>
      </c>
      <c r="S864" s="20" t="s">
        <v>230</v>
      </c>
      <c r="T864" s="20" t="s">
        <v>231</v>
      </c>
      <c r="U864" s="20" t="s">
        <v>230</v>
      </c>
      <c r="V864" s="20" t="s">
        <v>196</v>
      </c>
      <c r="W864" s="20" t="s">
        <v>68</v>
      </c>
      <c r="X864" s="20" t="s">
        <v>69</v>
      </c>
      <c r="Y864" s="20" t="s">
        <v>70</v>
      </c>
      <c r="Z864" s="20" t="s">
        <v>98</v>
      </c>
      <c r="AA864" s="20" t="s">
        <v>125</v>
      </c>
      <c r="AB864" s="20" t="s">
        <v>4630</v>
      </c>
      <c r="AC864" s="20" t="s">
        <v>4630</v>
      </c>
      <c r="AD864" s="20" t="s">
        <v>4630</v>
      </c>
      <c r="AE864" s="20"/>
      <c r="AF864" s="9" t="n">
        <v>1</v>
      </c>
      <c r="AG864" s="12" t="n">
        <v>1</v>
      </c>
      <c r="AH864" s="22" t="s">
        <v>235</v>
      </c>
      <c r="AI864" s="12" t="str">
        <f>IF(AH864="","",IFERROR(RIGHT("0000"&amp;AH864,4)&amp;" - "&amp;UPPER(_xlfn.XLOOKUP(RIGHT("0000"&amp;AH864,4),CODEBOOK_CAP!$C$2:$C$212,CODEBOOK_CAP!$D$2:$D$212)),"Código CAP não encontrado"))</f>
        <v>0322 - ESTRUTURAS, HOSPITAIS, CLÍNICAS</v>
      </c>
      <c r="AJ864" s="12" t="str">
        <f>IF(AH864="","",IFERROR(_xlfn.XLOOKUP(RIGHT("0000"&amp;AH864,4),CODEBOOK_CAP!$C$2:$C$212,CODEBOOK_CAP!$E$2:$E$212),"Código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64" s="22" t="s">
        <v>79</v>
      </c>
      <c r="AL864" s="26" t="s">
        <v>4631</v>
      </c>
      <c r="AM864" s="22" t="s">
        <v>79</v>
      </c>
      <c r="AN864" s="22" t="s">
        <v>79</v>
      </c>
      <c r="AO864" s="12" t="s">
        <v>4632</v>
      </c>
      <c r="AP864" s="22" t="s">
        <v>77</v>
      </c>
      <c r="AQ864" s="12"/>
      <c r="AR864" s="22" t="s">
        <v>77</v>
      </c>
      <c r="AS864" s="10"/>
      <c r="AT864" s="2" t="s">
        <v>1814</v>
      </c>
      <c r="AU864" s="12" t="s">
        <v>83</v>
      </c>
      <c r="AV864" s="3" t="n">
        <v>46224</v>
      </c>
      <c r="AW864" s="21"/>
      <c r="AY864" s="1"/>
      <c r="BA864" s="1"/>
      <c r="BB864" s="1"/>
    </row>
    <row r="865" ht="120" customHeight="1">
      <c r="A865" s="20" t="s">
        <v>4633</v>
      </c>
      <c r="B865" s="20" t="n">
        <v>2023</v>
      </c>
      <c r="C865" s="20" t="n">
        <v>520</v>
      </c>
      <c r="D865" s="20" t="s">
        <v>50</v>
      </c>
      <c r="E865" s="20" t="s">
        <v>4496</v>
      </c>
      <c r="F865" s="20" t="s">
        <v>4634</v>
      </c>
      <c r="G865" s="20" t="s">
        <v>86</v>
      </c>
      <c r="H865" s="20" t="s">
        <v>4498</v>
      </c>
      <c r="I865" s="20"/>
      <c r="J865" s="20" t="s">
        <v>4635</v>
      </c>
      <c r="K865" s="20" t="s">
        <v>865</v>
      </c>
      <c r="L865" s="20" t="s">
        <v>57</v>
      </c>
      <c r="M865" s="20" t="s">
        <v>58</v>
      </c>
      <c r="N865" s="20" t="s">
        <v>59</v>
      </c>
      <c r="O865" s="20" t="s">
        <v>60</v>
      </c>
      <c r="P865" s="20" t="s">
        <v>227</v>
      </c>
      <c r="Q865" s="20" t="s">
        <v>228</v>
      </c>
      <c r="R865" s="20" t="s">
        <v>229</v>
      </c>
      <c r="S865" s="20" t="s">
        <v>230</v>
      </c>
      <c r="T865" s="20" t="s">
        <v>866</v>
      </c>
      <c r="U865" s="20" t="s">
        <v>867</v>
      </c>
      <c r="V865" s="20" t="s">
        <v>868</v>
      </c>
      <c r="W865" s="20" t="s">
        <v>96</v>
      </c>
      <c r="X865" s="20" t="s">
        <v>97</v>
      </c>
      <c r="Y865" s="20" t="s">
        <v>70</v>
      </c>
      <c r="Z865" s="20" t="s">
        <v>98</v>
      </c>
      <c r="AA865" s="20" t="s">
        <v>363</v>
      </c>
      <c r="AB865" s="20" t="s">
        <v>363</v>
      </c>
      <c r="AC865" s="20" t="s">
        <v>363</v>
      </c>
      <c r="AD865" s="20" t="s">
        <v>363</v>
      </c>
      <c r="AE865" s="20"/>
      <c r="AF865" s="9" t="n">
        <v>1</v>
      </c>
      <c r="AG865" s="12" t="n">
        <v>1</v>
      </c>
      <c r="AH865" s="22" t="s">
        <v>235</v>
      </c>
      <c r="AI865" s="12" t="str">
        <f>IF(AH865="","",IFERROR(RIGHT("0000"&amp;AH865,4)&amp;" - "&amp;UPPER(_xlfn.XLOOKUP(RIGHT("0000"&amp;AH865,4),CODEBOOK_CAP!$C$2:$C$212,CODEBOOK_CAP!$D$2:$D$212)),"Código CAP não encontrado"))</f>
        <v>0322 - ESTRUTURAS, HOSPITAIS, CLÍNICAS</v>
      </c>
      <c r="AJ865" s="12" t="str">
        <f>IF(AH865="","",IFERROR(_xlfn.XLOOKUP(RIGHT("0000"&amp;AH865,4),CODEBOOK_CAP!$C$2:$C$212,CODEBOOK_CAP!$E$2:$E$212),"Código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65" s="22" t="s">
        <v>79</v>
      </c>
      <c r="AL865" s="26" t="s">
        <v>4636</v>
      </c>
      <c r="AM865" s="22" t="s">
        <v>79</v>
      </c>
      <c r="AN865" s="22" t="s">
        <v>79</v>
      </c>
      <c r="AO865" s="12" t="s">
        <v>4637</v>
      </c>
      <c r="AP865" s="22" t="s">
        <v>77</v>
      </c>
      <c r="AQ865" s="12"/>
      <c r="AR865" s="22" t="s">
        <v>77</v>
      </c>
      <c r="AS865" s="10"/>
      <c r="AT865" s="2" t="s">
        <v>1814</v>
      </c>
      <c r="AU865" s="12" t="s">
        <v>83</v>
      </c>
      <c r="AV865" s="3" t="n">
        <v>46224</v>
      </c>
      <c r="AW865" s="21"/>
      <c r="AY865" s="1"/>
      <c r="BA865" s="1"/>
      <c r="BB865" s="1"/>
    </row>
    <row r="866" ht="120" customHeight="1">
      <c r="A866" s="20" t="s">
        <v>4638</v>
      </c>
      <c r="B866" s="20" t="n">
        <v>2023</v>
      </c>
      <c r="C866" s="20" t="n">
        <v>521</v>
      </c>
      <c r="D866" s="20" t="s">
        <v>50</v>
      </c>
      <c r="E866" s="20" t="s">
        <v>4496</v>
      </c>
      <c r="F866" s="20" t="s">
        <v>4639</v>
      </c>
      <c r="G866" s="20" t="s">
        <v>86</v>
      </c>
      <c r="H866" s="20" t="s">
        <v>4498</v>
      </c>
      <c r="I866" s="20"/>
      <c r="J866" s="20" t="s">
        <v>4640</v>
      </c>
      <c r="K866" s="20" t="s">
        <v>865</v>
      </c>
      <c r="L866" s="20" t="s">
        <v>57</v>
      </c>
      <c r="M866" s="20" t="s">
        <v>58</v>
      </c>
      <c r="N866" s="20" t="s">
        <v>59</v>
      </c>
      <c r="O866" s="20" t="s">
        <v>60</v>
      </c>
      <c r="P866" s="20" t="s">
        <v>227</v>
      </c>
      <c r="Q866" s="20" t="s">
        <v>228</v>
      </c>
      <c r="R866" s="20" t="s">
        <v>229</v>
      </c>
      <c r="S866" s="20" t="s">
        <v>230</v>
      </c>
      <c r="T866" s="20" t="s">
        <v>866</v>
      </c>
      <c r="U866" s="20" t="s">
        <v>867</v>
      </c>
      <c r="V866" s="20" t="s">
        <v>868</v>
      </c>
      <c r="W866" s="20" t="s">
        <v>96</v>
      </c>
      <c r="X866" s="20" t="s">
        <v>97</v>
      </c>
      <c r="Y866" s="20" t="s">
        <v>70</v>
      </c>
      <c r="Z866" s="20" t="s">
        <v>98</v>
      </c>
      <c r="AA866" s="20" t="s">
        <v>363</v>
      </c>
      <c r="AB866" s="20" t="s">
        <v>363</v>
      </c>
      <c r="AC866" s="20" t="s">
        <v>363</v>
      </c>
      <c r="AD866" s="20" t="s">
        <v>363</v>
      </c>
      <c r="AE866" s="20"/>
      <c r="AF866" s="9" t="n">
        <v>1</v>
      </c>
      <c r="AG866" s="12" t="n">
        <v>1</v>
      </c>
      <c r="AH866" s="22" t="s">
        <v>235</v>
      </c>
      <c r="AI866" s="12" t="str">
        <f>IF(AH866="","",IFERROR(RIGHT("0000"&amp;AH866,4)&amp;" - "&amp;UPPER(_xlfn.XLOOKUP(RIGHT("0000"&amp;AH866,4),CODEBOOK_CAP!$C$2:$C$212,CODEBOOK_CAP!$D$2:$D$212)),"Código CAP não encontrado"))</f>
        <v>0322 - ESTRUTURAS, HOSPITAIS, CLÍNICAS</v>
      </c>
      <c r="AJ866" s="12" t="str">
        <f>IF(AH866="","",IFERROR(_xlfn.XLOOKUP(RIGHT("0000"&amp;AH866,4),CODEBOOK_CAP!$C$2:$C$212,CODEBOOK_CAP!$E$2:$E$212),"Código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66" s="22" t="s">
        <v>79</v>
      </c>
      <c r="AL866" s="26" t="s">
        <v>4641</v>
      </c>
      <c r="AM866" s="22" t="s">
        <v>79</v>
      </c>
      <c r="AN866" s="22" t="s">
        <v>79</v>
      </c>
      <c r="AO866" s="12" t="s">
        <v>4642</v>
      </c>
      <c r="AP866" s="22" t="s">
        <v>77</v>
      </c>
      <c r="AQ866" s="12"/>
      <c r="AR866" s="22" t="s">
        <v>77</v>
      </c>
      <c r="AS866" s="10"/>
      <c r="AT866" s="2" t="s">
        <v>1814</v>
      </c>
      <c r="AU866" s="12" t="s">
        <v>83</v>
      </c>
      <c r="AV866" s="3" t="n">
        <v>46224</v>
      </c>
      <c r="AW866" s="21"/>
      <c r="AY866" s="1"/>
      <c r="BA866" s="1"/>
      <c r="BB866" s="1"/>
    </row>
    <row r="867" ht="120" customHeight="1">
      <c r="A867" s="20" t="s">
        <v>4643</v>
      </c>
      <c r="B867" s="20" t="n">
        <v>2023</v>
      </c>
      <c r="C867" s="20" t="n">
        <v>522</v>
      </c>
      <c r="D867" s="20" t="s">
        <v>50</v>
      </c>
      <c r="E867" s="20" t="s">
        <v>4496</v>
      </c>
      <c r="F867" s="20" t="s">
        <v>4644</v>
      </c>
      <c r="G867" s="20" t="s">
        <v>86</v>
      </c>
      <c r="H867" s="20" t="s">
        <v>4498</v>
      </c>
      <c r="I867" s="20"/>
      <c r="J867" s="20" t="s">
        <v>979</v>
      </c>
      <c r="K867" s="20" t="s">
        <v>122</v>
      </c>
      <c r="L867" s="20" t="s">
        <v>57</v>
      </c>
      <c r="M867" s="20" t="s">
        <v>58</v>
      </c>
      <c r="N867" s="20" t="s">
        <v>59</v>
      </c>
      <c r="O867" s="20" t="s">
        <v>60</v>
      </c>
      <c r="P867" s="20" t="s">
        <v>89</v>
      </c>
      <c r="Q867" s="20" t="s">
        <v>90</v>
      </c>
      <c r="R867" s="20" t="s">
        <v>91</v>
      </c>
      <c r="S867" s="20" t="s">
        <v>92</v>
      </c>
      <c r="T867" s="20" t="s">
        <v>123</v>
      </c>
      <c r="U867" s="20" t="s">
        <v>124</v>
      </c>
      <c r="V867" s="20" t="s">
        <v>95</v>
      </c>
      <c r="W867" s="20" t="s">
        <v>96</v>
      </c>
      <c r="X867" s="20" t="s">
        <v>97</v>
      </c>
      <c r="Y867" s="20" t="s">
        <v>70</v>
      </c>
      <c r="Z867" s="20" t="s">
        <v>98</v>
      </c>
      <c r="AA867" s="20" t="s">
        <v>611</v>
      </c>
      <c r="AB867" s="20" t="s">
        <v>611</v>
      </c>
      <c r="AC867" s="20" t="s">
        <v>611</v>
      </c>
      <c r="AD867" s="20" t="s">
        <v>611</v>
      </c>
      <c r="AE867" s="20"/>
      <c r="AF867" s="9" t="n">
        <v>1</v>
      </c>
      <c r="AG867" s="12" t="n">
        <v>1</v>
      </c>
      <c r="AH867" s="22" t="s">
        <v>235</v>
      </c>
      <c r="AI867" s="12" t="str">
        <f>IF(AH867="","",IFERROR(RIGHT("0000"&amp;AH867,4)&amp;" - "&amp;UPPER(_xlfn.XLOOKUP(RIGHT("0000"&amp;AH867,4),CODEBOOK_CAP!$C$2:$C$212,CODEBOOK_CAP!$D$2:$D$212)),"Código CAP não encontrado"))</f>
        <v>0322 - ESTRUTURAS, HOSPITAIS, CLÍNICAS</v>
      </c>
      <c r="AJ867" s="12" t="str">
        <f>IF(AH867="","",IFERROR(_xlfn.XLOOKUP(RIGHT("0000"&amp;AH867,4),CODEBOOK_CAP!$C$2:$C$212,CODEBOOK_CAP!$E$2:$E$212),"Código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67" s="22" t="s">
        <v>77</v>
      </c>
      <c r="AL867" s="26"/>
      <c r="AM867" s="22" t="s">
        <v>79</v>
      </c>
      <c r="AN867" s="22" t="s">
        <v>79</v>
      </c>
      <c r="AO867" s="12" t="s">
        <v>981</v>
      </c>
      <c r="AP867" s="22" t="s">
        <v>77</v>
      </c>
      <c r="AQ867" s="12"/>
      <c r="AR867" s="22" t="s">
        <v>77</v>
      </c>
      <c r="AS867" s="10"/>
      <c r="AT867" s="2" t="s">
        <v>1814</v>
      </c>
      <c r="AU867" s="12" t="s">
        <v>83</v>
      </c>
      <c r="AV867" s="3" t="n">
        <v>46224</v>
      </c>
      <c r="AW867" s="21"/>
      <c r="AY867" s="1"/>
      <c r="BA867" s="1"/>
      <c r="BB867" s="1"/>
    </row>
    <row r="868" ht="105" customHeight="1">
      <c r="A868" s="20" t="s">
        <v>4645</v>
      </c>
      <c r="B868" s="20" t="n">
        <v>2023</v>
      </c>
      <c r="C868" s="20" t="n">
        <v>523</v>
      </c>
      <c r="D868" s="20" t="s">
        <v>50</v>
      </c>
      <c r="E868" s="20" t="s">
        <v>4496</v>
      </c>
      <c r="F868" s="20" t="s">
        <v>4646</v>
      </c>
      <c r="G868" s="20" t="s">
        <v>86</v>
      </c>
      <c r="H868" s="20" t="s">
        <v>4498</v>
      </c>
      <c r="I868" s="20"/>
      <c r="J868" s="20" t="s">
        <v>4647</v>
      </c>
      <c r="K868" s="20" t="s">
        <v>299</v>
      </c>
      <c r="L868" s="20" t="s">
        <v>208</v>
      </c>
      <c r="M868" s="20" t="s">
        <v>209</v>
      </c>
      <c r="N868" s="20" t="s">
        <v>210</v>
      </c>
      <c r="O868" s="20" t="s">
        <v>211</v>
      </c>
      <c r="P868" s="20" t="s">
        <v>212</v>
      </c>
      <c r="Q868" s="20" t="s">
        <v>213</v>
      </c>
      <c r="R868" s="20" t="s">
        <v>251</v>
      </c>
      <c r="S868" s="20" t="s">
        <v>252</v>
      </c>
      <c r="T868" s="20" t="s">
        <v>300</v>
      </c>
      <c r="U868" s="20" t="s">
        <v>301</v>
      </c>
      <c r="V868" s="20" t="s">
        <v>67</v>
      </c>
      <c r="W868" s="20" t="s">
        <v>68</v>
      </c>
      <c r="X868" s="20" t="s">
        <v>69</v>
      </c>
      <c r="Y868" s="20" t="s">
        <v>70</v>
      </c>
      <c r="Z868" s="20" t="s">
        <v>177</v>
      </c>
      <c r="AA868" s="20" t="s">
        <v>244</v>
      </c>
      <c r="AB868" s="20" t="s">
        <v>4648</v>
      </c>
      <c r="AC868" s="20" t="s">
        <v>4648</v>
      </c>
      <c r="AD868" s="20" t="s">
        <v>4648</v>
      </c>
      <c r="AE868" s="20"/>
      <c r="AF868" s="9" t="n">
        <v>0</v>
      </c>
      <c r="AG868" s="12" t="n">
        <v>0</v>
      </c>
      <c r="AH868" s="22" t="s">
        <v>161</v>
      </c>
      <c r="AI868" s="12" t="str">
        <f>IF(AH868="","",IFERROR(RIGHT("0000"&amp;AH868,4)&amp;" - "&amp;UPPER(_xlfn.XLOOKUP(RIGHT("0000"&amp;AH868,4),CODEBOOK_CAP!$C$2:$C$212,CODEBOOK_CAP!$D$2:$D$212)),"Código CAP não encontrado"))</f>
        <v>2300 - GERAL</v>
      </c>
      <c r="AJ868" s="12" t="str">
        <f>IF(AH868="","",IFERROR(_xlfn.XLOOKUP(RIGHT("0000"&amp;AH868,4),CODEBOOK_CAP!$C$2:$C$212,CODEBOOK_CAP!$E$2:$E$212),"Código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68" s="22" t="s">
        <v>79</v>
      </c>
      <c r="AL868" s="26" t="s">
        <v>4649</v>
      </c>
      <c r="AM868" s="22" t="s">
        <v>77</v>
      </c>
      <c r="AN868" s="22" t="s">
        <v>77</v>
      </c>
      <c r="AO868" s="12"/>
      <c r="AP868" s="22" t="s">
        <v>77</v>
      </c>
      <c r="AQ868" s="12"/>
      <c r="AR868" s="22" t="s">
        <v>77</v>
      </c>
      <c r="AS868" s="10"/>
      <c r="AT868" s="2" t="s">
        <v>1814</v>
      </c>
      <c r="AU868" s="12" t="s">
        <v>83</v>
      </c>
      <c r="AV868" s="3" t="n">
        <v>46224</v>
      </c>
      <c r="AW868" s="21"/>
      <c r="AX868" s="1" t="s">
        <v>6956</v>
      </c>
      <c r="AY868" s="1"/>
      <c r="BA868" s="1"/>
      <c r="BB868" s="1"/>
    </row>
    <row r="869" ht="75" customHeight="1">
      <c r="A869" s="20" t="s">
        <v>4650</v>
      </c>
      <c r="B869" s="20" t="n">
        <v>2023</v>
      </c>
      <c r="C869" s="20" t="n">
        <v>524</v>
      </c>
      <c r="D869" s="20" t="s">
        <v>50</v>
      </c>
      <c r="E869" s="20" t="s">
        <v>4496</v>
      </c>
      <c r="F869" s="20" t="s">
        <v>4651</v>
      </c>
      <c r="G869" s="20" t="s">
        <v>86</v>
      </c>
      <c r="H869" s="20" t="s">
        <v>4498</v>
      </c>
      <c r="I869" s="20"/>
      <c r="J869" s="20" t="s">
        <v>4652</v>
      </c>
      <c r="K869" s="20" t="s">
        <v>299</v>
      </c>
      <c r="L869" s="20" t="s">
        <v>208</v>
      </c>
      <c r="M869" s="20" t="s">
        <v>209</v>
      </c>
      <c r="N869" s="20" t="s">
        <v>210</v>
      </c>
      <c r="O869" s="20" t="s">
        <v>211</v>
      </c>
      <c r="P869" s="20" t="s">
        <v>212</v>
      </c>
      <c r="Q869" s="20" t="s">
        <v>213</v>
      </c>
      <c r="R869" s="20" t="s">
        <v>251</v>
      </c>
      <c r="S869" s="20" t="s">
        <v>252</v>
      </c>
      <c r="T869" s="20" t="s">
        <v>300</v>
      </c>
      <c r="U869" s="20" t="s">
        <v>301</v>
      </c>
      <c r="V869" s="20" t="s">
        <v>67</v>
      </c>
      <c r="W869" s="20" t="s">
        <v>68</v>
      </c>
      <c r="X869" s="20" t="s">
        <v>69</v>
      </c>
      <c r="Y869" s="20" t="s">
        <v>70</v>
      </c>
      <c r="Z869" s="20" t="s">
        <v>177</v>
      </c>
      <c r="AA869" s="20" t="s">
        <v>430</v>
      </c>
      <c r="AB869" s="20" t="s">
        <v>430</v>
      </c>
      <c r="AC869" s="20" t="s">
        <v>430</v>
      </c>
      <c r="AD869" s="20" t="s">
        <v>430</v>
      </c>
      <c r="AE869" s="20"/>
      <c r="AF869" s="9" t="n">
        <v>0</v>
      </c>
      <c r="AG869" s="12" t="n">
        <v>0</v>
      </c>
      <c r="AH869" s="22" t="s">
        <v>304</v>
      </c>
      <c r="AI869" s="12" t="str">
        <f>IF(AH869="","",IFERROR(RIGHT("0000"&amp;AH869,4)&amp;" - "&amp;UPPER(_xlfn.XLOOKUP(RIGHT("0000"&amp;AH869,4),CODEBOOK_CAP!$C$2:$C$212,CODEBOOK_CAP!$D$2:$D$212)),"Código CAP não encontrado"))</f>
        <v>1403 - REABILITAÇÃO URBANA, ECONOMIA URBANA</v>
      </c>
      <c r="AJ869" s="12" t="str">
        <f>IF(AH869="","",IFERROR(_xlfn.XLOOKUP(RIGHT("0000"&amp;AH869,4),CODEBOOK_CAP!$C$2:$C$212,CODEBOOK_CAP!$E$2:$E$212),"Código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69" s="22" t="s">
        <v>79</v>
      </c>
      <c r="AL869" s="26" t="s">
        <v>4653</v>
      </c>
      <c r="AM869" s="22" t="s">
        <v>79</v>
      </c>
      <c r="AN869" s="22" t="s">
        <v>79</v>
      </c>
      <c r="AO869" s="12" t="s">
        <v>4654</v>
      </c>
      <c r="AP869" s="22" t="s">
        <v>77</v>
      </c>
      <c r="AQ869" s="12"/>
      <c r="AR869" s="22" t="s">
        <v>77</v>
      </c>
      <c r="AS869" s="10"/>
      <c r="AT869" s="2" t="s">
        <v>1814</v>
      </c>
      <c r="AU869" s="12" t="s">
        <v>83</v>
      </c>
      <c r="AV869" s="3" t="n">
        <v>46224</v>
      </c>
      <c r="AW869" s="21"/>
      <c r="AY869" s="1"/>
      <c r="BA869" s="1"/>
      <c r="BB869" s="1"/>
    </row>
    <row r="870" ht="75" customHeight="1">
      <c r="A870" s="20" t="s">
        <v>4655</v>
      </c>
      <c r="B870" s="20" t="n">
        <v>2023</v>
      </c>
      <c r="C870" s="20" t="n">
        <v>525</v>
      </c>
      <c r="D870" s="20" t="s">
        <v>50</v>
      </c>
      <c r="E870" s="20" t="s">
        <v>4496</v>
      </c>
      <c r="F870" s="20" t="s">
        <v>4656</v>
      </c>
      <c r="G870" s="20" t="s">
        <v>86</v>
      </c>
      <c r="H870" s="20" t="s">
        <v>4498</v>
      </c>
      <c r="I870" s="20"/>
      <c r="J870" s="20" t="s">
        <v>4657</v>
      </c>
      <c r="K870" s="20" t="s">
        <v>299</v>
      </c>
      <c r="L870" s="20" t="s">
        <v>208</v>
      </c>
      <c r="M870" s="20" t="s">
        <v>209</v>
      </c>
      <c r="N870" s="20" t="s">
        <v>210</v>
      </c>
      <c r="O870" s="20" t="s">
        <v>211</v>
      </c>
      <c r="P870" s="20" t="s">
        <v>212</v>
      </c>
      <c r="Q870" s="20" t="s">
        <v>213</v>
      </c>
      <c r="R870" s="20" t="s">
        <v>251</v>
      </c>
      <c r="S870" s="20" t="s">
        <v>252</v>
      </c>
      <c r="T870" s="20" t="s">
        <v>300</v>
      </c>
      <c r="U870" s="20" t="s">
        <v>301</v>
      </c>
      <c r="V870" s="20" t="s">
        <v>67</v>
      </c>
      <c r="W870" s="20" t="s">
        <v>68</v>
      </c>
      <c r="X870" s="20" t="s">
        <v>69</v>
      </c>
      <c r="Y870" s="20" t="s">
        <v>70</v>
      </c>
      <c r="Z870" s="20" t="s">
        <v>177</v>
      </c>
      <c r="AA870" s="20" t="s">
        <v>363</v>
      </c>
      <c r="AB870" s="20" t="s">
        <v>4658</v>
      </c>
      <c r="AC870" s="20" t="s">
        <v>4658</v>
      </c>
      <c r="AD870" s="20" t="s">
        <v>4658</v>
      </c>
      <c r="AE870" s="20"/>
      <c r="AF870" s="9" t="n">
        <v>0</v>
      </c>
      <c r="AG870" s="12" t="n">
        <v>0</v>
      </c>
      <c r="AH870" s="22" t="s">
        <v>304</v>
      </c>
      <c r="AI870" s="12" t="str">
        <f>IF(AH870="","",IFERROR(RIGHT("0000"&amp;AH870,4)&amp;" - "&amp;UPPER(_xlfn.XLOOKUP(RIGHT("0000"&amp;AH870,4),CODEBOOK_CAP!$C$2:$C$212,CODEBOOK_CAP!$D$2:$D$212)),"Código CAP não encontrado"))</f>
        <v>1403 - REABILITAÇÃO URBANA, ECONOMIA URBANA</v>
      </c>
      <c r="AJ870" s="12" t="str">
        <f>IF(AH870="","",IFERROR(_xlfn.XLOOKUP(RIGHT("0000"&amp;AH870,4),CODEBOOK_CAP!$C$2:$C$212,CODEBOOK_CAP!$E$2:$E$212),"Código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70" s="22" t="s">
        <v>79</v>
      </c>
      <c r="AL870" s="26" t="s">
        <v>4659</v>
      </c>
      <c r="AM870" s="22" t="s">
        <v>79</v>
      </c>
      <c r="AN870" s="22" t="s">
        <v>79</v>
      </c>
      <c r="AO870" s="12" t="s">
        <v>4659</v>
      </c>
      <c r="AP870" s="22" t="s">
        <v>77</v>
      </c>
      <c r="AQ870" s="12"/>
      <c r="AR870" s="22" t="s">
        <v>77</v>
      </c>
      <c r="AS870" s="10"/>
      <c r="AT870" s="2" t="s">
        <v>1814</v>
      </c>
      <c r="AU870" s="12" t="s">
        <v>83</v>
      </c>
      <c r="AV870" s="3" t="n">
        <v>46224</v>
      </c>
      <c r="AW870" s="21"/>
      <c r="AY870" s="1"/>
      <c r="BA870" s="1"/>
      <c r="BB870" s="1"/>
    </row>
    <row r="871" ht="75" customHeight="1">
      <c r="A871" s="20" t="s">
        <v>4660</v>
      </c>
      <c r="B871" s="20" t="n">
        <v>2023</v>
      </c>
      <c r="C871" s="20" t="n">
        <v>526</v>
      </c>
      <c r="D871" s="20" t="s">
        <v>50</v>
      </c>
      <c r="E871" s="20" t="s">
        <v>4496</v>
      </c>
      <c r="F871" s="20" t="s">
        <v>4661</v>
      </c>
      <c r="G871" s="20" t="s">
        <v>86</v>
      </c>
      <c r="H871" s="20" t="s">
        <v>4498</v>
      </c>
      <c r="I871" s="20"/>
      <c r="J871" s="20" t="s">
        <v>4662</v>
      </c>
      <c r="K871" s="20" t="s">
        <v>299</v>
      </c>
      <c r="L871" s="20" t="s">
        <v>208</v>
      </c>
      <c r="M871" s="20" t="s">
        <v>209</v>
      </c>
      <c r="N871" s="20" t="s">
        <v>210</v>
      </c>
      <c r="O871" s="20" t="s">
        <v>211</v>
      </c>
      <c r="P871" s="20" t="s">
        <v>212</v>
      </c>
      <c r="Q871" s="20" t="s">
        <v>213</v>
      </c>
      <c r="R871" s="20" t="s">
        <v>251</v>
      </c>
      <c r="S871" s="20" t="s">
        <v>252</v>
      </c>
      <c r="T871" s="20" t="s">
        <v>300</v>
      </c>
      <c r="U871" s="20" t="s">
        <v>301</v>
      </c>
      <c r="V871" s="20" t="s">
        <v>67</v>
      </c>
      <c r="W871" s="20" t="s">
        <v>68</v>
      </c>
      <c r="X871" s="20" t="s">
        <v>69</v>
      </c>
      <c r="Y871" s="20" t="s">
        <v>70</v>
      </c>
      <c r="Z871" s="20" t="s">
        <v>177</v>
      </c>
      <c r="AA871" s="20" t="s">
        <v>125</v>
      </c>
      <c r="AB871" s="20" t="s">
        <v>4663</v>
      </c>
      <c r="AC871" s="20" t="s">
        <v>4663</v>
      </c>
      <c r="AD871" s="20" t="s">
        <v>4663</v>
      </c>
      <c r="AE871" s="20"/>
      <c r="AF871" s="9" t="n">
        <v>0</v>
      </c>
      <c r="AG871" s="12" t="n">
        <v>0</v>
      </c>
      <c r="AH871" s="22" t="s">
        <v>304</v>
      </c>
      <c r="AI871" s="12" t="str">
        <f>IF(AH871="","",IFERROR(RIGHT("0000"&amp;AH871,4)&amp;" - "&amp;UPPER(_xlfn.XLOOKUP(RIGHT("0000"&amp;AH871,4),CODEBOOK_CAP!$C$2:$C$212,CODEBOOK_CAP!$D$2:$D$212)),"Código CAP não encontrado"))</f>
        <v>1403 - REABILITAÇÃO URBANA, ECONOMIA URBANA</v>
      </c>
      <c r="AJ871" s="12" t="str">
        <f>IF(AH871="","",IFERROR(_xlfn.XLOOKUP(RIGHT("0000"&amp;AH871,4),CODEBOOK_CAP!$C$2:$C$212,CODEBOOK_CAP!$E$2:$E$212),"Código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71" s="22" t="s">
        <v>79</v>
      </c>
      <c r="AL871" s="26" t="s">
        <v>4664</v>
      </c>
      <c r="AM871" s="22" t="s">
        <v>79</v>
      </c>
      <c r="AN871" s="22" t="s">
        <v>79</v>
      </c>
      <c r="AO871" s="12" t="s">
        <v>4664</v>
      </c>
      <c r="AP871" s="22" t="s">
        <v>77</v>
      </c>
      <c r="AQ871" s="12"/>
      <c r="AR871" s="22" t="s">
        <v>77</v>
      </c>
      <c r="AS871" s="10"/>
      <c r="AT871" s="2" t="s">
        <v>1814</v>
      </c>
      <c r="AU871" s="12" t="s">
        <v>83</v>
      </c>
      <c r="AV871" s="3" t="n">
        <v>46224</v>
      </c>
      <c r="AW871" s="21"/>
      <c r="AY871" s="1"/>
      <c r="BA871" s="1"/>
      <c r="BB871" s="1"/>
    </row>
    <row r="872" ht="75" customHeight="1">
      <c r="A872" s="20" t="s">
        <v>4665</v>
      </c>
      <c r="B872" s="20" t="n">
        <v>2023</v>
      </c>
      <c r="C872" s="20" t="n">
        <v>527</v>
      </c>
      <c r="D872" s="20" t="s">
        <v>50</v>
      </c>
      <c r="E872" s="20" t="s">
        <v>4496</v>
      </c>
      <c r="F872" s="20" t="s">
        <v>4666</v>
      </c>
      <c r="G872" s="20" t="s">
        <v>53</v>
      </c>
      <c r="H872" s="20" t="s">
        <v>4498</v>
      </c>
      <c r="I872" s="20"/>
      <c r="J872" s="20" t="s">
        <v>4667</v>
      </c>
      <c r="K872" s="20" t="s">
        <v>299</v>
      </c>
      <c r="L872" s="20" t="s">
        <v>208</v>
      </c>
      <c r="M872" s="20" t="s">
        <v>209</v>
      </c>
      <c r="N872" s="20" t="s">
        <v>210</v>
      </c>
      <c r="O872" s="20" t="s">
        <v>211</v>
      </c>
      <c r="P872" s="20" t="s">
        <v>212</v>
      </c>
      <c r="Q872" s="20" t="s">
        <v>213</v>
      </c>
      <c r="R872" s="20" t="s">
        <v>251</v>
      </c>
      <c r="S872" s="20" t="s">
        <v>252</v>
      </c>
      <c r="T872" s="20" t="s">
        <v>300</v>
      </c>
      <c r="U872" s="20" t="s">
        <v>301</v>
      </c>
      <c r="V872" s="20" t="s">
        <v>67</v>
      </c>
      <c r="W872" s="20" t="s">
        <v>68</v>
      </c>
      <c r="X872" s="20" t="s">
        <v>69</v>
      </c>
      <c r="Y872" s="20" t="s">
        <v>70</v>
      </c>
      <c r="Z872" s="20" t="s">
        <v>177</v>
      </c>
      <c r="AA872" s="20" t="s">
        <v>125</v>
      </c>
      <c r="AB872" s="20" t="s">
        <v>77</v>
      </c>
      <c r="AC872" s="20" t="s">
        <v>77</v>
      </c>
      <c r="AD872" s="20" t="s">
        <v>77</v>
      </c>
      <c r="AE872" s="20"/>
      <c r="AF872" s="9" t="n">
        <v>0</v>
      </c>
      <c r="AG872" s="12" t="n">
        <v>0</v>
      </c>
      <c r="AH872" s="22" t="s">
        <v>304</v>
      </c>
      <c r="AI872" s="12" t="str">
        <f>IF(AH872="","",IFERROR(RIGHT("0000"&amp;AH872,4)&amp;" - "&amp;UPPER(_xlfn.XLOOKUP(RIGHT("0000"&amp;AH872,4),CODEBOOK_CAP!$C$2:$C$212,CODEBOOK_CAP!$D$2:$D$212)),"Código CAP não encontrado"))</f>
        <v>1403 - REABILITAÇÃO URBANA, ECONOMIA URBANA</v>
      </c>
      <c r="AJ872" s="12" t="str">
        <f>IF(AH872="","",IFERROR(_xlfn.XLOOKUP(RIGHT("0000"&amp;AH872,4),CODEBOOK_CAP!$C$2:$C$212,CODEBOOK_CAP!$E$2:$E$212),"Código CAP não encontrado"))</f>
        <v>Reabilitação de áreas urbanas, revitalização urbana, modernização de áreas, mercados públicos, revitalização de praças, política urbana nacional, desenvolvimento urbano , desenvolvimento econômico de estados e cidades, modernização de espaços urbanos</v>
      </c>
      <c r="AK872" s="22" t="s">
        <v>79</v>
      </c>
      <c r="AL872" s="26" t="s">
        <v>4668</v>
      </c>
      <c r="AM872" s="22" t="s">
        <v>79</v>
      </c>
      <c r="AN872" s="22" t="s">
        <v>79</v>
      </c>
      <c r="AO872" s="12" t="s">
        <v>4668</v>
      </c>
      <c r="AP872" s="22" t="s">
        <v>77</v>
      </c>
      <c r="AQ872" s="12"/>
      <c r="AR872" s="22" t="s">
        <v>77</v>
      </c>
      <c r="AS872" s="10"/>
      <c r="AT872" s="2" t="s">
        <v>1814</v>
      </c>
      <c r="AU872" s="12" t="s">
        <v>83</v>
      </c>
      <c r="AV872" s="3" t="n">
        <v>46224</v>
      </c>
      <c r="AW872" s="21"/>
      <c r="AY872" s="1"/>
      <c r="BA872" s="1"/>
      <c r="BB872" s="1"/>
    </row>
    <row r="873" ht="75" customHeight="1">
      <c r="A873" s="20" t="s">
        <v>4669</v>
      </c>
      <c r="B873" s="20" t="n">
        <v>2023</v>
      </c>
      <c r="C873" s="20" t="n">
        <v>528</v>
      </c>
      <c r="D873" s="20" t="s">
        <v>50</v>
      </c>
      <c r="E873" s="20" t="s">
        <v>4496</v>
      </c>
      <c r="F873" s="20" t="s">
        <v>4670</v>
      </c>
      <c r="G873" s="20" t="s">
        <v>86</v>
      </c>
      <c r="H873" s="20" t="s">
        <v>4498</v>
      </c>
      <c r="I873" s="20"/>
      <c r="J873" s="20" t="s">
        <v>4671</v>
      </c>
      <c r="K873" s="20" t="s">
        <v>4672</v>
      </c>
      <c r="L873" s="20" t="s">
        <v>702</v>
      </c>
      <c r="M873" s="20" t="s">
        <v>703</v>
      </c>
      <c r="N873" s="20" t="s">
        <v>704</v>
      </c>
      <c r="O873" s="20" t="s">
        <v>705</v>
      </c>
      <c r="P873" s="20" t="s">
        <v>706</v>
      </c>
      <c r="Q873" s="20" t="s">
        <v>707</v>
      </c>
      <c r="R873" s="20" t="s">
        <v>708</v>
      </c>
      <c r="S873" s="20" t="s">
        <v>709</v>
      </c>
      <c r="T873" s="20" t="s">
        <v>710</v>
      </c>
      <c r="U873" s="20" t="s">
        <v>711</v>
      </c>
      <c r="V873" s="20" t="s">
        <v>854</v>
      </c>
      <c r="W873" s="20" t="s">
        <v>96</v>
      </c>
      <c r="X873" s="20" t="s">
        <v>97</v>
      </c>
      <c r="Y873" s="20" t="s">
        <v>70</v>
      </c>
      <c r="Z873" s="20" t="s">
        <v>141</v>
      </c>
      <c r="AA873" s="20" t="s">
        <v>198</v>
      </c>
      <c r="AB873" s="20" t="s">
        <v>198</v>
      </c>
      <c r="AC873" s="20" t="s">
        <v>198</v>
      </c>
      <c r="AD873" s="20" t="s">
        <v>198</v>
      </c>
      <c r="AE873" s="20"/>
      <c r="AF873" s="9" t="n">
        <v>0</v>
      </c>
      <c r="AG873" s="12" t="n">
        <v>0</v>
      </c>
      <c r="AH873" s="22" t="s">
        <v>143</v>
      </c>
      <c r="AI873" s="12" t="str">
        <f>IF(AH873="","",IFERROR(RIGHT("0000"&amp;AH873,4)&amp;" - "&amp;UPPER(_xlfn.XLOOKUP(RIGHT("0000"&amp;AH873,4),CODEBOOK_CAP!$C$2:$C$212,CODEBOOK_CAP!$D$2:$D$212)),"Código CAP não encontrado"))</f>
        <v>0502 - FORMAÇÃO E DESENVOLVIMENTO PROFISSIONAL</v>
      </c>
      <c r="AJ873" s="12" t="str">
        <f>IF(AH873="","",IFERROR(_xlfn.XLOOKUP(RIGHT("0000"&amp;AH873,4),CODEBOOK_CAP!$C$2:$C$212,CODEBOOK_CAP!$E$2:$E$212),"Código CAP não encontrado"))</f>
        <v>Programas de capacitação profissional, programas de incentivo ao emprego geral, reciclagem, realocação profissional em outra área, acordos e parcerias do estado com empresas privadas na capacitação, formação e treinamento profissional.</v>
      </c>
      <c r="AK873" s="22" t="s">
        <v>77</v>
      </c>
      <c r="AL873" s="26"/>
      <c r="AM873" s="22" t="s">
        <v>77</v>
      </c>
      <c r="AN873" s="22" t="s">
        <v>77</v>
      </c>
      <c r="AO873" s="12"/>
      <c r="AP873" s="22" t="s">
        <v>77</v>
      </c>
      <c r="AQ873" s="12"/>
      <c r="AR873" s="22" t="s">
        <v>77</v>
      </c>
      <c r="AS873" s="10"/>
      <c r="AT873" s="2" t="s">
        <v>1814</v>
      </c>
      <c r="AU873" s="12" t="s">
        <v>83</v>
      </c>
      <c r="AV873" s="3" t="n">
        <v>46224</v>
      </c>
      <c r="AW873" s="21"/>
      <c r="AY873" s="1"/>
      <c r="BA873" s="1"/>
      <c r="BB873" s="1"/>
    </row>
    <row r="874" ht="255" customHeight="1">
      <c r="A874" s="20" t="s">
        <v>4673</v>
      </c>
      <c r="B874" s="20" t="n">
        <v>2023</v>
      </c>
      <c r="C874" s="20" t="n">
        <v>827</v>
      </c>
      <c r="D874" s="20" t="s">
        <v>50</v>
      </c>
      <c r="E874" s="20" t="s">
        <v>4674</v>
      </c>
      <c r="F874" s="20" t="s">
        <v>4675</v>
      </c>
      <c r="G874" s="20" t="s">
        <v>86</v>
      </c>
      <c r="H874" s="20" t="s">
        <v>4676</v>
      </c>
      <c r="I874" s="20"/>
      <c r="J874" s="20" t="s">
        <v>4677</v>
      </c>
      <c r="K874" s="20" t="s">
        <v>1189</v>
      </c>
      <c r="L874" s="20" t="s">
        <v>208</v>
      </c>
      <c r="M874" s="20" t="s">
        <v>209</v>
      </c>
      <c r="N874" s="20" t="s">
        <v>210</v>
      </c>
      <c r="O874" s="20" t="s">
        <v>211</v>
      </c>
      <c r="P874" s="20" t="s">
        <v>212</v>
      </c>
      <c r="Q874" s="20" t="s">
        <v>213</v>
      </c>
      <c r="R874" s="20" t="s">
        <v>251</v>
      </c>
      <c r="S874" s="20" t="s">
        <v>252</v>
      </c>
      <c r="T874" s="20" t="s">
        <v>1190</v>
      </c>
      <c r="U874" s="20" t="s">
        <v>1191</v>
      </c>
      <c r="V874" s="20" t="s">
        <v>67</v>
      </c>
      <c r="W874" s="20" t="s">
        <v>68</v>
      </c>
      <c r="X874" s="20" t="s">
        <v>69</v>
      </c>
      <c r="Y874" s="20" t="s">
        <v>70</v>
      </c>
      <c r="Z874" s="20" t="s">
        <v>177</v>
      </c>
      <c r="AA874" s="20" t="s">
        <v>4678</v>
      </c>
      <c r="AB874" s="20" t="s">
        <v>4679</v>
      </c>
      <c r="AC874" s="20" t="s">
        <v>4679</v>
      </c>
      <c r="AD874" s="20" t="s">
        <v>4679</v>
      </c>
      <c r="AE874" s="20"/>
      <c r="AF874" s="9" t="n">
        <v>0</v>
      </c>
      <c r="AG874" s="12" t="n">
        <v>0</v>
      </c>
      <c r="AH874" s="22" t="s">
        <v>219</v>
      </c>
      <c r="AI874" s="12" t="str">
        <f>IF(AH874="","",IFERROR(RIGHT("0000"&amp;AH874,4)&amp;" - "&amp;UPPER(_xlfn.XLOOKUP(RIGHT("0000"&amp;AH874,4),CODEBOOK_CAP!$C$2:$C$212,CODEBOOK_CAP!$D$2:$D$212)),"Código CAP não encontrado"))</f>
        <v>1002 - CARROS, TRÂNSITO, CONSTRUÇÃO E MANUTENÇÃO DE RUAS E ESTRADAS</v>
      </c>
      <c r="AJ874" s="12" t="str">
        <f>IF(AH874="","",IFERROR(_xlfn.XLOOKUP(RIGHT("0000"&amp;AH874,4),CODEBOOK_CAP!$C$2:$C$212,CODEBOOK_CAP!$E$2:$E$212),"Código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74" s="22" t="s">
        <v>79</v>
      </c>
      <c r="AL874" s="26" t="s">
        <v>4680</v>
      </c>
      <c r="AM874" s="22" t="s">
        <v>79</v>
      </c>
      <c r="AN874" s="22" t="s">
        <v>79</v>
      </c>
      <c r="AO874" s="12" t="s">
        <v>4680</v>
      </c>
      <c r="AP874" s="22" t="s">
        <v>77</v>
      </c>
      <c r="AQ874" s="12"/>
      <c r="AR874" s="22" t="s">
        <v>77</v>
      </c>
      <c r="AS874" s="10"/>
      <c r="AT874" s="2" t="s">
        <v>1814</v>
      </c>
      <c r="AU874" s="12" t="s">
        <v>83</v>
      </c>
      <c r="AV874" s="3" t="n">
        <v>46224</v>
      </c>
      <c r="AW874" s="21"/>
      <c r="AY874" s="1"/>
      <c r="BA874" s="1"/>
      <c r="BB874" s="1"/>
    </row>
    <row r="875" ht="255" customHeight="1">
      <c r="A875" s="20" t="s">
        <v>4681</v>
      </c>
      <c r="B875" s="20" t="n">
        <v>2023</v>
      </c>
      <c r="C875" s="20" t="n">
        <v>828</v>
      </c>
      <c r="D875" s="20" t="s">
        <v>50</v>
      </c>
      <c r="E875" s="20" t="s">
        <v>4674</v>
      </c>
      <c r="F875" s="20" t="s">
        <v>4682</v>
      </c>
      <c r="G875" s="20" t="s">
        <v>86</v>
      </c>
      <c r="H875" s="20" t="s">
        <v>4676</v>
      </c>
      <c r="I875" s="20"/>
      <c r="J875" s="20" t="s">
        <v>4683</v>
      </c>
      <c r="K875" s="20" t="s">
        <v>1189</v>
      </c>
      <c r="L875" s="20" t="s">
        <v>208</v>
      </c>
      <c r="M875" s="20" t="s">
        <v>209</v>
      </c>
      <c r="N875" s="20" t="s">
        <v>210</v>
      </c>
      <c r="O875" s="20" t="s">
        <v>211</v>
      </c>
      <c r="P875" s="20" t="s">
        <v>212</v>
      </c>
      <c r="Q875" s="20" t="s">
        <v>213</v>
      </c>
      <c r="R875" s="20" t="s">
        <v>251</v>
      </c>
      <c r="S875" s="20" t="s">
        <v>252</v>
      </c>
      <c r="T875" s="20" t="s">
        <v>1190</v>
      </c>
      <c r="U875" s="20" t="s">
        <v>1191</v>
      </c>
      <c r="V875" s="20" t="s">
        <v>67</v>
      </c>
      <c r="W875" s="20" t="s">
        <v>68</v>
      </c>
      <c r="X875" s="20" t="s">
        <v>69</v>
      </c>
      <c r="Y875" s="20" t="s">
        <v>70</v>
      </c>
      <c r="Z875" s="20" t="s">
        <v>177</v>
      </c>
      <c r="AA875" s="20" t="s">
        <v>343</v>
      </c>
      <c r="AB875" s="20" t="s">
        <v>4684</v>
      </c>
      <c r="AC875" s="20" t="s">
        <v>4684</v>
      </c>
      <c r="AD875" s="20" t="s">
        <v>4684</v>
      </c>
      <c r="AE875" s="20"/>
      <c r="AF875" s="9" t="n">
        <v>0</v>
      </c>
      <c r="AG875" s="12" t="n">
        <v>0</v>
      </c>
      <c r="AH875" s="22" t="s">
        <v>219</v>
      </c>
      <c r="AI875" s="12" t="str">
        <f>IF(AH875="","",IFERROR(RIGHT("0000"&amp;AH875,4)&amp;" - "&amp;UPPER(_xlfn.XLOOKUP(RIGHT("0000"&amp;AH875,4),CODEBOOK_CAP!$C$2:$C$212,CODEBOOK_CAP!$D$2:$D$212)),"Código CAP não encontrado"))</f>
        <v>1002 - CARROS, TRÂNSITO, CONSTRUÇÃO E MANUTENÇÃO DE RUAS E ESTRADAS</v>
      </c>
      <c r="AJ875" s="12" t="str">
        <f>IF(AH875="","",IFERROR(_xlfn.XLOOKUP(RIGHT("0000"&amp;AH875,4),CODEBOOK_CAP!$C$2:$C$212,CODEBOOK_CAP!$E$2:$E$212),"Código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75" s="22" t="s">
        <v>79</v>
      </c>
      <c r="AL875" s="26" t="s">
        <v>4685</v>
      </c>
      <c r="AM875" s="22" t="s">
        <v>79</v>
      </c>
      <c r="AN875" s="22" t="s">
        <v>79</v>
      </c>
      <c r="AO875" s="12" t="s">
        <v>4685</v>
      </c>
      <c r="AP875" s="22" t="s">
        <v>77</v>
      </c>
      <c r="AQ875" s="12"/>
      <c r="AR875" s="22" t="s">
        <v>77</v>
      </c>
      <c r="AS875" s="10"/>
      <c r="AT875" s="2" t="s">
        <v>1814</v>
      </c>
      <c r="AU875" s="12" t="s">
        <v>83</v>
      </c>
      <c r="AV875" s="3" t="n">
        <v>46224</v>
      </c>
      <c r="AW875" s="21"/>
      <c r="AY875" s="1"/>
      <c r="BA875" s="1"/>
      <c r="BB875" s="1"/>
    </row>
    <row r="876" ht="255" customHeight="1">
      <c r="A876" s="20" t="s">
        <v>4686</v>
      </c>
      <c r="B876" s="20" t="n">
        <v>2023</v>
      </c>
      <c r="C876" s="20" t="n">
        <v>829</v>
      </c>
      <c r="D876" s="20" t="s">
        <v>50</v>
      </c>
      <c r="E876" s="20" t="s">
        <v>4674</v>
      </c>
      <c r="F876" s="20" t="s">
        <v>4687</v>
      </c>
      <c r="G876" s="20" t="s">
        <v>86</v>
      </c>
      <c r="H876" s="20" t="s">
        <v>4676</v>
      </c>
      <c r="I876" s="20"/>
      <c r="J876" s="20" t="s">
        <v>4688</v>
      </c>
      <c r="K876" s="20" t="s">
        <v>1189</v>
      </c>
      <c r="L876" s="20" t="s">
        <v>208</v>
      </c>
      <c r="M876" s="20" t="s">
        <v>209</v>
      </c>
      <c r="N876" s="20" t="s">
        <v>210</v>
      </c>
      <c r="O876" s="20" t="s">
        <v>211</v>
      </c>
      <c r="P876" s="20" t="s">
        <v>212</v>
      </c>
      <c r="Q876" s="20" t="s">
        <v>213</v>
      </c>
      <c r="R876" s="20" t="s">
        <v>251</v>
      </c>
      <c r="S876" s="20" t="s">
        <v>252</v>
      </c>
      <c r="T876" s="20" t="s">
        <v>1190</v>
      </c>
      <c r="U876" s="20" t="s">
        <v>1191</v>
      </c>
      <c r="V876" s="20" t="s">
        <v>67</v>
      </c>
      <c r="W876" s="20" t="s">
        <v>68</v>
      </c>
      <c r="X876" s="20" t="s">
        <v>69</v>
      </c>
      <c r="Y876" s="20" t="s">
        <v>70</v>
      </c>
      <c r="Z876" s="20" t="s">
        <v>177</v>
      </c>
      <c r="AA876" s="20" t="s">
        <v>4689</v>
      </c>
      <c r="AB876" s="20" t="s">
        <v>4690</v>
      </c>
      <c r="AC876" s="20" t="s">
        <v>4690</v>
      </c>
      <c r="AD876" s="20" t="s">
        <v>4690</v>
      </c>
      <c r="AE876" s="20" t="s">
        <v>4691</v>
      </c>
      <c r="AF876" s="9" t="n">
        <v>0</v>
      </c>
      <c r="AG876" s="12" t="n">
        <v>0</v>
      </c>
      <c r="AH876" s="22" t="s">
        <v>219</v>
      </c>
      <c r="AI876" s="12" t="str">
        <f>IF(AH876="","",IFERROR(RIGHT("0000"&amp;AH876,4)&amp;" - "&amp;UPPER(_xlfn.XLOOKUP(RIGHT("0000"&amp;AH876,4),CODEBOOK_CAP!$C$2:$C$212,CODEBOOK_CAP!$D$2:$D$212)),"Código CAP não encontrado"))</f>
        <v>1002 - CARROS, TRÂNSITO, CONSTRUÇÃO E MANUTENÇÃO DE RUAS E ESTRADAS</v>
      </c>
      <c r="AJ876" s="12" t="str">
        <f>IF(AH876="","",IFERROR(_xlfn.XLOOKUP(RIGHT("0000"&amp;AH876,4),CODEBOOK_CAP!$C$2:$C$212,CODEBOOK_CAP!$E$2:$E$212),"Código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76" s="22" t="s">
        <v>79</v>
      </c>
      <c r="AL876" s="26" t="s">
        <v>4692</v>
      </c>
      <c r="AM876" s="22" t="s">
        <v>79</v>
      </c>
      <c r="AN876" s="22" t="s">
        <v>79</v>
      </c>
      <c r="AO876" s="12" t="s">
        <v>4692</v>
      </c>
      <c r="AP876" s="22" t="s">
        <v>77</v>
      </c>
      <c r="AQ876" s="12"/>
      <c r="AR876" s="22" t="s">
        <v>77</v>
      </c>
      <c r="AS876" s="10"/>
      <c r="AT876" s="2" t="s">
        <v>1814</v>
      </c>
      <c r="AU876" s="12" t="s">
        <v>83</v>
      </c>
      <c r="AV876" s="3" t="n">
        <v>46224</v>
      </c>
      <c r="AW876" s="21"/>
      <c r="AY876" s="1"/>
      <c r="BA876" s="1"/>
      <c r="BB876" s="1"/>
    </row>
    <row r="877">
      <c r="A877" s="14" t="s">
        <v>4693</v>
      </c>
      <c r="B877" s="14" t="n">
        <v>2023</v>
      </c>
      <c r="C877" s="14" t="n">
        <v>830</v>
      </c>
      <c r="D877" s="14" t="s">
        <v>50</v>
      </c>
      <c r="E877" s="14" t="s">
        <v>4674</v>
      </c>
      <c r="F877" s="14" t="s">
        <v>4694</v>
      </c>
      <c r="G877" s="14" t="s">
        <v>633</v>
      </c>
      <c r="H877" s="14" t="s">
        <v>4676</v>
      </c>
      <c r="I877" s="14"/>
      <c r="J877" s="14"/>
      <c r="K877" s="14"/>
      <c r="L877" s="14"/>
      <c r="M877" s="14"/>
      <c r="N877" s="14"/>
      <c r="O877" s="14"/>
      <c r="P877" s="14"/>
      <c r="Q877" s="14"/>
      <c r="R877" s="14"/>
      <c r="S877" s="14"/>
      <c r="T877" s="14"/>
      <c r="U877" s="14"/>
      <c r="V877" s="14"/>
      <c r="W877" s="14"/>
      <c r="X877" s="14"/>
      <c r="Y877" s="14"/>
      <c r="Z877" s="14"/>
      <c r="AA877" s="14"/>
      <c r="AB877" s="14" t="s">
        <v>77</v>
      </c>
      <c r="AC877" s="14" t="s">
        <v>77</v>
      </c>
      <c r="AD877" s="14" t="s">
        <v>77</v>
      </c>
      <c r="AE877" s="14"/>
      <c r="AF877" s="15"/>
      <c r="AG877" s="15"/>
      <c r="AH877" s="16"/>
      <c r="AI877" s="15" t="str">
        <f>IF(AH877="","",IFERROR(RIGHT("0000"&amp;AH877,4)&amp;" - "&amp;UPPER(_xlfn.XLOOKUP(RIGHT("0000"&amp;AH877,4),CODEBOOK_CAP!$C$2:$C$212,CODEBOOK_CAP!$D$2:$D$212)),"Código CAP não encontrado"))</f>
      </c>
      <c r="AJ877" s="15" t="str">
        <f>IF(AH877="","",IFERROR(_xlfn.XLOOKUP(RIGHT("0000"&amp;AH877,4),CODEBOOK_CAP!$C$2:$C$212,CODEBOOK_CAP!$E$2:$E$212),"Código CAP não encontrado"))</f>
      </c>
      <c r="AK877" s="16"/>
      <c r="AL877" s="17"/>
      <c r="AM877" s="16"/>
      <c r="AN877" s="16"/>
      <c r="AO877" s="15"/>
      <c r="AP877" s="16"/>
      <c r="AQ877" s="15"/>
      <c r="AR877" s="16"/>
      <c r="AS877" s="18"/>
      <c r="AT877" s="2" t="s">
        <v>1814</v>
      </c>
      <c r="AU877" s="12" t="s">
        <v>83</v>
      </c>
      <c r="AV877" s="3" t="n">
        <v>46224</v>
      </c>
    </row>
    <row r="878" ht="255" customHeight="1">
      <c r="A878" s="20" t="s">
        <v>4695</v>
      </c>
      <c r="B878" s="20" t="n">
        <v>2023</v>
      </c>
      <c r="C878" s="20" t="n">
        <v>831</v>
      </c>
      <c r="D878" s="20" t="s">
        <v>50</v>
      </c>
      <c r="E878" s="20" t="s">
        <v>4674</v>
      </c>
      <c r="F878" s="20" t="s">
        <v>4696</v>
      </c>
      <c r="G878" s="20" t="s">
        <v>86</v>
      </c>
      <c r="H878" s="20" t="s">
        <v>4676</v>
      </c>
      <c r="I878" s="20"/>
      <c r="J878" s="20" t="s">
        <v>4697</v>
      </c>
      <c r="K878" s="20" t="s">
        <v>1189</v>
      </c>
      <c r="L878" s="20" t="s">
        <v>208</v>
      </c>
      <c r="M878" s="20" t="s">
        <v>209</v>
      </c>
      <c r="N878" s="20" t="s">
        <v>210</v>
      </c>
      <c r="O878" s="20" t="s">
        <v>211</v>
      </c>
      <c r="P878" s="20" t="s">
        <v>212</v>
      </c>
      <c r="Q878" s="20" t="s">
        <v>213</v>
      </c>
      <c r="R878" s="20" t="s">
        <v>251</v>
      </c>
      <c r="S878" s="20" t="s">
        <v>252</v>
      </c>
      <c r="T878" s="20" t="s">
        <v>1190</v>
      </c>
      <c r="U878" s="20" t="s">
        <v>1191</v>
      </c>
      <c r="V878" s="20" t="s">
        <v>67</v>
      </c>
      <c r="W878" s="20" t="s">
        <v>68</v>
      </c>
      <c r="X878" s="20" t="s">
        <v>69</v>
      </c>
      <c r="Y878" s="20" t="s">
        <v>70</v>
      </c>
      <c r="Z878" s="20" t="s">
        <v>177</v>
      </c>
      <c r="AA878" s="20" t="s">
        <v>4698</v>
      </c>
      <c r="AB878" s="20" t="s">
        <v>351</v>
      </c>
      <c r="AC878" s="20" t="s">
        <v>351</v>
      </c>
      <c r="AD878" s="20" t="s">
        <v>351</v>
      </c>
      <c r="AE878" s="20"/>
      <c r="AF878" s="9" t="n">
        <v>0</v>
      </c>
      <c r="AG878" s="12" t="n">
        <v>0</v>
      </c>
      <c r="AH878" s="22" t="s">
        <v>219</v>
      </c>
      <c r="AI878" s="12" t="str">
        <f>IF(AH878="","",IFERROR(RIGHT("0000"&amp;AH878,4)&amp;" - "&amp;UPPER(_xlfn.XLOOKUP(RIGHT("0000"&amp;AH878,4),CODEBOOK_CAP!$C$2:$C$212,CODEBOOK_CAP!$D$2:$D$212)),"Código CAP não encontrado"))</f>
        <v>1002 - CARROS, TRÂNSITO, CONSTRUÇÃO E MANUTENÇÃO DE RUAS E ESTRADAS</v>
      </c>
      <c r="AJ878" s="12" t="str">
        <f>IF(AH878="","",IFERROR(_xlfn.XLOOKUP(RIGHT("0000"&amp;AH878,4),CODEBOOK_CAP!$C$2:$C$212,CODEBOOK_CAP!$E$2:$E$212),"Código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78" s="22" t="s">
        <v>79</v>
      </c>
      <c r="AL878" s="26" t="s">
        <v>4699</v>
      </c>
      <c r="AM878" s="22" t="s">
        <v>79</v>
      </c>
      <c r="AN878" s="22" t="s">
        <v>79</v>
      </c>
      <c r="AO878" s="12" t="s">
        <v>4699</v>
      </c>
      <c r="AP878" s="22" t="s">
        <v>77</v>
      </c>
      <c r="AQ878" s="12"/>
      <c r="AR878" s="22" t="s">
        <v>77</v>
      </c>
      <c r="AS878" s="10"/>
      <c r="AT878" s="2" t="s">
        <v>1814</v>
      </c>
      <c r="AU878" s="12" t="s">
        <v>83</v>
      </c>
      <c r="AV878" s="3" t="n">
        <v>46224</v>
      </c>
      <c r="AW878" s="21"/>
      <c r="AY878" s="1"/>
      <c r="BA878" s="1"/>
      <c r="BB878" s="1"/>
    </row>
    <row r="879">
      <c r="A879" s="14" t="s">
        <v>4700</v>
      </c>
      <c r="B879" s="14" t="n">
        <v>2023</v>
      </c>
      <c r="C879" s="14" t="n">
        <v>832</v>
      </c>
      <c r="D879" s="14" t="s">
        <v>50</v>
      </c>
      <c r="E879" s="14" t="s">
        <v>4674</v>
      </c>
      <c r="F879" s="14" t="s">
        <v>4701</v>
      </c>
      <c r="G879" s="14" t="s">
        <v>633</v>
      </c>
      <c r="H879" s="14" t="s">
        <v>4676</v>
      </c>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5"/>
      <c r="AG879" s="15"/>
      <c r="AH879" s="16"/>
      <c r="AI879" s="15" t="str">
        <f>IF(AH879="","",IFERROR(RIGHT("0000"&amp;AH879,4)&amp;" - "&amp;UPPER(_xlfn.XLOOKUP(RIGHT("0000"&amp;AH879,4),CODEBOOK_CAP!$C$2:$C$212,CODEBOOK_CAP!$D$2:$D$212)),"Código CAP não encontrado"))</f>
      </c>
      <c r="AJ879" s="15" t="str">
        <f>IF(AH879="","",IFERROR(_xlfn.XLOOKUP(RIGHT("0000"&amp;AH879,4),CODEBOOK_CAP!$C$2:$C$212,CODEBOOK_CAP!$E$2:$E$212),"Código CAP não encontrado"))</f>
      </c>
      <c r="AK879" s="16"/>
      <c r="AL879" s="17"/>
      <c r="AM879" s="16"/>
      <c r="AN879" s="16"/>
      <c r="AO879" s="15"/>
      <c r="AP879" s="16"/>
      <c r="AQ879" s="15"/>
      <c r="AR879" s="16"/>
      <c r="AS879" s="18"/>
      <c r="AT879" s="2" t="s">
        <v>1814</v>
      </c>
      <c r="AU879" s="12" t="s">
        <v>83</v>
      </c>
      <c r="AV879" s="3" t="n">
        <v>46224</v>
      </c>
    </row>
    <row r="880" ht="165" customHeight="1">
      <c r="A880" s="20" t="s">
        <v>4702</v>
      </c>
      <c r="B880" s="20" t="n">
        <v>2023</v>
      </c>
      <c r="C880" s="20" t="n">
        <v>833</v>
      </c>
      <c r="D880" s="20" t="s">
        <v>50</v>
      </c>
      <c r="E880" s="20" t="s">
        <v>4674</v>
      </c>
      <c r="F880" s="20" t="s">
        <v>4703</v>
      </c>
      <c r="G880" s="20" t="s">
        <v>315</v>
      </c>
      <c r="H880" s="20" t="s">
        <v>4676</v>
      </c>
      <c r="I880" s="20"/>
      <c r="J880" s="20" t="s">
        <v>4704</v>
      </c>
      <c r="K880" s="20" t="s">
        <v>309</v>
      </c>
      <c r="L880" s="20" t="s">
        <v>57</v>
      </c>
      <c r="M880" s="20" t="s">
        <v>58</v>
      </c>
      <c r="N880" s="20" t="s">
        <v>59</v>
      </c>
      <c r="O880" s="20" t="s">
        <v>60</v>
      </c>
      <c r="P880" s="20" t="s">
        <v>227</v>
      </c>
      <c r="Q880" s="20" t="s">
        <v>228</v>
      </c>
      <c r="R880" s="20" t="s">
        <v>229</v>
      </c>
      <c r="S880" s="20" t="s">
        <v>230</v>
      </c>
      <c r="T880" s="20" t="s">
        <v>231</v>
      </c>
      <c r="U880" s="20" t="s">
        <v>230</v>
      </c>
      <c r="V880" s="20" t="s">
        <v>196</v>
      </c>
      <c r="W880" s="20" t="s">
        <v>68</v>
      </c>
      <c r="X880" s="20" t="s">
        <v>69</v>
      </c>
      <c r="Y880" s="20" t="s">
        <v>70</v>
      </c>
      <c r="Z880" s="20" t="s">
        <v>98</v>
      </c>
      <c r="AA880" s="20" t="s">
        <v>4705</v>
      </c>
      <c r="AB880" s="20" t="s">
        <v>4706</v>
      </c>
      <c r="AC880" s="20" t="s">
        <v>4707</v>
      </c>
      <c r="AD880" s="20" t="s">
        <v>4707</v>
      </c>
      <c r="AE880" s="20" t="s">
        <v>4708</v>
      </c>
      <c r="AF880" s="9" t="n">
        <v>1</v>
      </c>
      <c r="AG880" s="12" t="n">
        <v>1</v>
      </c>
      <c r="AH880" s="22" t="s">
        <v>235</v>
      </c>
      <c r="AI880" s="12" t="str">
        <f>IF(AH880="","",IFERROR(RIGHT("0000"&amp;AH880,4)&amp;" - "&amp;UPPER(_xlfn.XLOOKUP(RIGHT("0000"&amp;AH880,4),CODEBOOK_CAP!$C$2:$C$212,CODEBOOK_CAP!$D$2:$D$212)),"Código CAP não encontrado"))</f>
        <v>0322 - ESTRUTURAS, HOSPITAIS, CLÍNICAS</v>
      </c>
      <c r="AJ880" s="12" t="str">
        <f>IF(AH880="","",IFERROR(_xlfn.XLOOKUP(RIGHT("0000"&amp;AH880,4),CODEBOOK_CAP!$C$2:$C$212,CODEBOOK_CAP!$E$2:$E$212),"Código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80" s="22" t="s">
        <v>79</v>
      </c>
      <c r="AL880" s="26" t="s">
        <v>4709</v>
      </c>
      <c r="AM880" s="22" t="s">
        <v>79</v>
      </c>
      <c r="AN880" s="22" t="s">
        <v>79</v>
      </c>
      <c r="AO880" s="12" t="s">
        <v>4710</v>
      </c>
      <c r="AP880" s="22" t="s">
        <v>77</v>
      </c>
      <c r="AQ880" s="12"/>
      <c r="AR880" s="22" t="s">
        <v>79</v>
      </c>
      <c r="AS880" s="10" t="s">
        <v>4708</v>
      </c>
      <c r="AT880" s="2" t="s">
        <v>1814</v>
      </c>
      <c r="AU880" s="12" t="s">
        <v>83</v>
      </c>
      <c r="AV880" s="3" t="n">
        <v>46224</v>
      </c>
      <c r="AW880" s="21"/>
      <c r="AY880" s="1"/>
      <c r="BA880" s="1"/>
      <c r="BB880" s="1"/>
    </row>
    <row r="881" ht="255" customHeight="1">
      <c r="A881" s="20" t="s">
        <v>4711</v>
      </c>
      <c r="B881" s="20" t="n">
        <v>2023</v>
      </c>
      <c r="C881" s="20" t="n">
        <v>834</v>
      </c>
      <c r="D881" s="20" t="s">
        <v>50</v>
      </c>
      <c r="E881" s="20" t="s">
        <v>4674</v>
      </c>
      <c r="F881" s="20" t="s">
        <v>4712</v>
      </c>
      <c r="G881" s="20" t="s">
        <v>86</v>
      </c>
      <c r="H881" s="20" t="s">
        <v>4676</v>
      </c>
      <c r="I881" s="20"/>
      <c r="J881" s="20" t="s">
        <v>4713</v>
      </c>
      <c r="K881" s="20" t="s">
        <v>1189</v>
      </c>
      <c r="L881" s="20" t="s">
        <v>208</v>
      </c>
      <c r="M881" s="20" t="s">
        <v>209</v>
      </c>
      <c r="N881" s="20" t="s">
        <v>210</v>
      </c>
      <c r="O881" s="20" t="s">
        <v>211</v>
      </c>
      <c r="P881" s="20" t="s">
        <v>212</v>
      </c>
      <c r="Q881" s="20" t="s">
        <v>213</v>
      </c>
      <c r="R881" s="20" t="s">
        <v>251</v>
      </c>
      <c r="S881" s="20" t="s">
        <v>252</v>
      </c>
      <c r="T881" s="20" t="s">
        <v>1190</v>
      </c>
      <c r="U881" s="20" t="s">
        <v>1191</v>
      </c>
      <c r="V881" s="20" t="s">
        <v>67</v>
      </c>
      <c r="W881" s="20" t="s">
        <v>68</v>
      </c>
      <c r="X881" s="20" t="s">
        <v>69</v>
      </c>
      <c r="Y881" s="20" t="s">
        <v>70</v>
      </c>
      <c r="Z881" s="20" t="s">
        <v>177</v>
      </c>
      <c r="AA881" s="20" t="s">
        <v>244</v>
      </c>
      <c r="AB881" s="20" t="s">
        <v>77</v>
      </c>
      <c r="AC881" s="20" t="s">
        <v>77</v>
      </c>
      <c r="AD881" s="20" t="s">
        <v>77</v>
      </c>
      <c r="AE881" s="20"/>
      <c r="AF881" s="9" t="n">
        <v>0</v>
      </c>
      <c r="AG881" s="12" t="n">
        <v>0</v>
      </c>
      <c r="AH881" s="22" t="s">
        <v>219</v>
      </c>
      <c r="AI881" s="12" t="str">
        <f>IF(AH881="","",IFERROR(RIGHT("0000"&amp;AH881,4)&amp;" - "&amp;UPPER(_xlfn.XLOOKUP(RIGHT("0000"&amp;AH881,4),CODEBOOK_CAP!$C$2:$C$212,CODEBOOK_CAP!$D$2:$D$212)),"Código CAP não encontrado"))</f>
        <v>1002 - CARROS, TRÂNSITO, CONSTRUÇÃO E MANUTENÇÃO DE RUAS E ESTRADAS</v>
      </c>
      <c r="AJ881" s="12" t="str">
        <f>IF(AH881="","",IFERROR(_xlfn.XLOOKUP(RIGHT("0000"&amp;AH881,4),CODEBOOK_CAP!$C$2:$C$212,CODEBOOK_CAP!$E$2:$E$212),"Código CAP não encontrado"))</f>
        <v>Construção, manutenção de ruas, avenidas, estradas. BRs, pedágios, privatizações, concessinárias, segurança nas estradas, leis de trânsito relacionadas a via, limite de velocidade, sinalização, recapeamento de ruas, pavimentação estradas de terra, não pavimentadas, acidentes e camapanhas de prevencao contra acidentes de transito. Observações sobre regulação de transportes não públicos de carros, veículos de passeio, uber, taxi, transporte de cargas terrestre, frete, trânsito em vias públicas, regulamentação de tipos de carteira de motorista, especificações para caminhoneiros, testes e exames de habilitação, exigências de carteira de habilitação, obrigatoriedade de itens em veículos (extintor, kit primeiros socorros, airbag, freios abs) Quando tratar de grandes obras de construções de rodovias, olhar codigo 1010 para ver qual se encaixa melhor.</v>
      </c>
      <c r="AK881" s="22" t="s">
        <v>79</v>
      </c>
      <c r="AL881" s="26" t="s">
        <v>4714</v>
      </c>
      <c r="AM881" s="22" t="s">
        <v>79</v>
      </c>
      <c r="AN881" s="22" t="s">
        <v>79</v>
      </c>
      <c r="AO881" s="12" t="s">
        <v>4714</v>
      </c>
      <c r="AP881" s="22" t="s">
        <v>77</v>
      </c>
      <c r="AQ881" s="12"/>
      <c r="AR881" s="22" t="s">
        <v>77</v>
      </c>
      <c r="AS881" s="10"/>
      <c r="AT881" s="2" t="s">
        <v>1814</v>
      </c>
      <c r="AU881" s="12" t="s">
        <v>83</v>
      </c>
      <c r="AV881" s="3" t="n">
        <v>46224</v>
      </c>
      <c r="AW881" s="21"/>
      <c r="AY881" s="1"/>
      <c r="BA881" s="1"/>
      <c r="BB881" s="1"/>
    </row>
    <row r="882" ht="75" customHeight="1">
      <c r="A882" s="20" t="s">
        <v>4715</v>
      </c>
      <c r="B882" s="20" t="n">
        <v>2023</v>
      </c>
      <c r="C882" s="20" t="n">
        <v>835</v>
      </c>
      <c r="D882" s="20" t="s">
        <v>50</v>
      </c>
      <c r="E882" s="20" t="s">
        <v>4674</v>
      </c>
      <c r="F882" s="20" t="s">
        <v>4716</v>
      </c>
      <c r="G882" s="20" t="s">
        <v>86</v>
      </c>
      <c r="H882" s="20" t="s">
        <v>4676</v>
      </c>
      <c r="I882" s="20"/>
      <c r="J882" s="20" t="s">
        <v>4717</v>
      </c>
      <c r="K882" s="20" t="s">
        <v>4718</v>
      </c>
      <c r="L882" s="20" t="s">
        <v>722</v>
      </c>
      <c r="M882" s="20" t="s">
        <v>723</v>
      </c>
      <c r="N882" s="20" t="s">
        <v>724</v>
      </c>
      <c r="O882" s="20" t="s">
        <v>725</v>
      </c>
      <c r="P882" s="20" t="s">
        <v>61</v>
      </c>
      <c r="Q882" s="20" t="s">
        <v>62</v>
      </c>
      <c r="R882" s="20" t="s">
        <v>726</v>
      </c>
      <c r="S882" s="20" t="s">
        <v>727</v>
      </c>
      <c r="T882" s="20" t="s">
        <v>728</v>
      </c>
      <c r="U882" s="20" t="s">
        <v>729</v>
      </c>
      <c r="V882" s="20"/>
      <c r="W882" s="20"/>
      <c r="X882" s="20"/>
      <c r="Y882" s="20"/>
      <c r="Z882" s="20" t="s">
        <v>730</v>
      </c>
      <c r="AA882" s="20" t="s">
        <v>4046</v>
      </c>
      <c r="AB882" s="20" t="s">
        <v>4719</v>
      </c>
      <c r="AC882" s="20" t="s">
        <v>4719</v>
      </c>
      <c r="AD882" s="20" t="s">
        <v>4719</v>
      </c>
      <c r="AE882" s="20"/>
      <c r="AF882" s="9" t="n">
        <v>0</v>
      </c>
      <c r="AG882" s="12" t="n">
        <v>0</v>
      </c>
      <c r="AH882" s="22" t="s">
        <v>732</v>
      </c>
      <c r="AI882" s="12" t="str">
        <f>IF(AH882="","",IFERROR(RIGHT("0000"&amp;AH882,4)&amp;" - "&amp;UPPER(_xlfn.XLOOKUP(RIGHT("0000"&amp;AH882,4),CODEBOOK_CAP!$C$2:$C$212,CODEBOOK_CAP!$D$2:$D$212)),"Código CAP não encontrado"))</f>
        <v>1211 - CRIME COMUM , VIOLÊNCIA E PREVENÇÃO</v>
      </c>
      <c r="AJ882" s="12" t="str">
        <f>IF(AH882="","",IFERROR(_xlfn.XLOOKUP(RIGHT("0000"&amp;AH882,4),CODEBOOK_CAP!$C$2:$C$212,CODEBOOK_CAP!$E$2:$E$212),"Código CAP não encontrado"))</f>
        <v>Crime comum, roubo, furto, estelionato, assassinatos. Programas de prevenção de crimes gerais, que não sejam crimes específicos listados acima. Programas de prevenção, anuncios, panfletos sobre roubo, furto, violência e crimes.</v>
      </c>
      <c r="AK882" s="22" t="s">
        <v>77</v>
      </c>
      <c r="AL882" s="26"/>
      <c r="AM882" s="22" t="s">
        <v>77</v>
      </c>
      <c r="AN882" s="22" t="s">
        <v>77</v>
      </c>
      <c r="AO882" s="12"/>
      <c r="AP882" s="22" t="s">
        <v>77</v>
      </c>
      <c r="AQ882" s="12"/>
      <c r="AR882" s="22" t="s">
        <v>77</v>
      </c>
      <c r="AS882" s="10"/>
      <c r="AT882" s="2" t="s">
        <v>1814</v>
      </c>
      <c r="AU882" s="12" t="s">
        <v>83</v>
      </c>
      <c r="AV882" s="3" t="n">
        <v>46224</v>
      </c>
      <c r="AW882" s="21"/>
      <c r="AY882" s="1"/>
      <c r="BA882" s="1"/>
      <c r="BB882" s="1"/>
    </row>
    <row r="883" ht="120" customHeight="1">
      <c r="A883" s="20" t="s">
        <v>4720</v>
      </c>
      <c r="B883" s="20" t="n">
        <v>2023</v>
      </c>
      <c r="C883" s="20" t="n">
        <v>838</v>
      </c>
      <c r="D883" s="20" t="s">
        <v>50</v>
      </c>
      <c r="E883" s="20" t="s">
        <v>4674</v>
      </c>
      <c r="F883" s="20" t="s">
        <v>4721</v>
      </c>
      <c r="G883" s="20" t="s">
        <v>86</v>
      </c>
      <c r="H883" s="20" t="s">
        <v>4676</v>
      </c>
      <c r="I883" s="20"/>
      <c r="J883" s="20" t="s">
        <v>1037</v>
      </c>
      <c r="K883" s="20" t="s">
        <v>416</v>
      </c>
      <c r="L883" s="20" t="s">
        <v>57</v>
      </c>
      <c r="M883" s="20" t="s">
        <v>58</v>
      </c>
      <c r="N883" s="20" t="s">
        <v>59</v>
      </c>
      <c r="O883" s="20" t="s">
        <v>60</v>
      </c>
      <c r="P883" s="20" t="s">
        <v>89</v>
      </c>
      <c r="Q883" s="20" t="s">
        <v>90</v>
      </c>
      <c r="R883" s="20" t="s">
        <v>91</v>
      </c>
      <c r="S883" s="20" t="s">
        <v>92</v>
      </c>
      <c r="T883" s="20" t="s">
        <v>123</v>
      </c>
      <c r="U883" s="20" t="s">
        <v>124</v>
      </c>
      <c r="V883" s="20" t="s">
        <v>417</v>
      </c>
      <c r="W883" s="20" t="s">
        <v>96</v>
      </c>
      <c r="X883" s="20" t="s">
        <v>97</v>
      </c>
      <c r="Y883" s="20" t="s">
        <v>70</v>
      </c>
      <c r="Z883" s="20" t="s">
        <v>98</v>
      </c>
      <c r="AA883" s="20" t="s">
        <v>4722</v>
      </c>
      <c r="AB883" s="20" t="s">
        <v>4722</v>
      </c>
      <c r="AC883" s="20" t="s">
        <v>4722</v>
      </c>
      <c r="AD883" s="20" t="s">
        <v>4722</v>
      </c>
      <c r="AE883" s="20"/>
      <c r="AF883" s="9" t="n">
        <v>1</v>
      </c>
      <c r="AG883" s="12" t="n">
        <v>1</v>
      </c>
      <c r="AH883" s="22" t="s">
        <v>235</v>
      </c>
      <c r="AI883" s="12" t="str">
        <f>IF(AH883="","",IFERROR(RIGHT("0000"&amp;AH883,4)&amp;" - "&amp;UPPER(_xlfn.XLOOKUP(RIGHT("0000"&amp;AH883,4),CODEBOOK_CAP!$C$2:$C$212,CODEBOOK_CAP!$D$2:$D$212)),"Código CAP não encontrado"))</f>
        <v>0322 - ESTRUTURAS, HOSPITAIS, CLÍNICAS</v>
      </c>
      <c r="AJ883" s="12" t="str">
        <f>IF(AH883="","",IFERROR(_xlfn.XLOOKUP(RIGHT("0000"&amp;AH883,4),CODEBOOK_CAP!$C$2:$C$212,CODEBOOK_CAP!$E$2:$E$212),"Código CAP não encontrado"))</f>
        <v>Observações relacionadas as estruturas do sistema de saúde, como a construção de hospitais, postos de saúde, construção de maternidades, laboratórios, centros de saúde avançado, SAMU, Ambulâncias, UTI Móveis, leitos, compra de equipamentos médicos, Raio X, Ultrasom, equipamentos de diálise, capacidade de atendimento, estrutura e funcionamento de equipamentos públicos de saúde.</v>
      </c>
      <c r="AK883" s="22" t="s">
        <v>77</v>
      </c>
      <c r="AL883" s="26"/>
      <c r="AM883" s="22" t="s">
        <v>79</v>
      </c>
      <c r="AN883" s="22" t="s">
        <v>79</v>
      </c>
      <c r="AO883" s="12" t="s">
        <v>1890</v>
      </c>
      <c r="AP883" s="22" t="s">
        <v>77</v>
      </c>
      <c r="AQ883" s="12"/>
      <c r="AR883" s="22" t="s">
        <v>77</v>
      </c>
      <c r="AS883" s="10"/>
      <c r="AT883" s="2" t="s">
        <v>1814</v>
      </c>
      <c r="AU883" s="12" t="s">
        <v>83</v>
      </c>
      <c r="AV883" s="3" t="n">
        <v>46224</v>
      </c>
      <c r="AW883" s="21"/>
      <c r="AY883" s="1"/>
      <c r="BA883" s="1"/>
      <c r="BB883" s="1"/>
    </row>
    <row r="884" ht="105" customHeight="1">
      <c r="A884" s="20" t="s">
        <v>4723</v>
      </c>
      <c r="B884" s="20" t="n">
        <v>2023</v>
      </c>
      <c r="C884" s="20" t="n">
        <v>839</v>
      </c>
      <c r="D884" s="20" t="s">
        <v>50</v>
      </c>
      <c r="E884" s="20" t="s">
        <v>4674</v>
      </c>
      <c r="F884" s="20" t="s">
        <v>4724</v>
      </c>
      <c r="G884" s="20" t="s">
        <v>86</v>
      </c>
      <c r="H884" s="20" t="s">
        <v>4676</v>
      </c>
      <c r="I884" s="20"/>
      <c r="J884" s="20" t="s">
        <v>4725</v>
      </c>
      <c r="K884" s="20" t="s">
        <v>4726</v>
      </c>
      <c r="L884" s="20" t="s">
        <v>208</v>
      </c>
      <c r="M884" s="20" t="s">
        <v>209</v>
      </c>
      <c r="N884" s="20" t="s">
        <v>188</v>
      </c>
      <c r="O884" s="20" t="s">
        <v>189</v>
      </c>
      <c r="P884" s="20" t="s">
        <v>190</v>
      </c>
      <c r="Q884" s="20" t="s">
        <v>191</v>
      </c>
      <c r="R884" s="20" t="s">
        <v>192</v>
      </c>
      <c r="S884" s="20" t="s">
        <v>193</v>
      </c>
      <c r="T884" s="20" t="s">
        <v>242</v>
      </c>
      <c r="U884" s="20" t="s">
        <v>243</v>
      </c>
      <c r="V884" s="20" t="s">
        <v>67</v>
      </c>
      <c r="W884" s="20" t="s">
        <v>68</v>
      </c>
      <c r="X884" s="20" t="s">
        <v>69</v>
      </c>
      <c r="Y884" s="20" t="s">
        <v>70</v>
      </c>
      <c r="Z884" s="20" t="s">
        <v>177</v>
      </c>
      <c r="AA884" s="20" t="s">
        <v>388</v>
      </c>
      <c r="AB884" s="20" t="s">
        <v>4727</v>
      </c>
      <c r="AC884" s="20" t="s">
        <v>4727</v>
      </c>
      <c r="AD884" s="20" t="s">
        <v>4727</v>
      </c>
      <c r="AE884" s="20"/>
      <c r="AF884" s="9" t="n">
        <v>0</v>
      </c>
      <c r="AG884" s="12" t="n">
        <v>0</v>
      </c>
      <c r="AH884" s="22" t="s">
        <v>161</v>
      </c>
      <c r="AI884" s="12" t="str">
        <f>IF(AH884="","",IFERROR(RIGHT("0000"&amp;AH884,4)&amp;" - "&amp;UPPER(_xlfn.XLOOKUP(RIGHT("0000"&amp;AH884,4),CODEBOOK_CAP!$C$2:$C$212,CODEBOOK_CAP!$D$2:$D$212)),"Código CAP não encontrado"))</f>
        <v>2300 - GERAL</v>
      </c>
      <c r="AJ884" s="12" t="str">
        <f>IF(AH884="","",IFERROR(_xlfn.XLOOKUP(RIGHT("0000"&amp;AH884,4),CODEBOOK_CAP!$C$2:$C$212,CODEBOOK_CAP!$E$2:$E$212),"Código CAP não encontrado"))</f>
        <v>Observações relativas as políticas de cultura, Lei rouanet, patrimônio cultural, imaterial, políticas de artes, incentivos fiscais para artes, promoção de eventos culturais, amostras, teatro, dança, artes plásticas, artes visuais, museus, galerias públicas, idioma, lingua portuguesa. Grandes eventos esportivos, Copa do Mundo, Olimpiadas, Esporte e Lazer.</v>
      </c>
      <c r="AK884" s="22" t="s">
        <v>77</v>
      </c>
      <c r="AL884" s="26"/>
      <c r="AM884" s="22" t="s">
        <v>77</v>
      </c>
      <c r="AN884" s="22" t="s">
        <v>77</v>
      </c>
      <c r="AO884" s="12"/>
      <c r="AP884" s="22" t="s">
        <v>77</v>
      </c>
      <c r="AQ884" s="12"/>
      <c r="AR884" s="22" t="s">
        <v>77</v>
      </c>
      <c r="AS884" s="10"/>
      <c r="AT884" s="2" t="s">
        <v>1814</v>
      </c>
      <c r="AU884" s="12" t="s">
        <v>83</v>
      </c>
      <c r="AV884" s="3" t="n">
        <v>46224</v>
      </c>
      <c r="AW884" s="21"/>
      <c r="AX884" s="1" t="s">
        <v>6956</v>
      </c>
      <c r="AY884" s="1"/>
      <c r="BA884" s="1"/>
      <c r="BB884" s="1"/>
    </row>
  </sheetData>
  <conditionalFormatting sqref="AT1:AT1048576">
    <cfRule type="containsText" dxfId="7" priority="3" operator="containsText" text="Sem informação suficiente">
      <formula>NOT(ISERROR(SEARCH("Sem informação suficiente",AT1)))</formula>
    </cfRule>
    <cfRule type="containsText" dxfId="6" priority="4" operator="containsText" text="Revisado">
      <formula>NOT(ISERROR(SEARCH("Revisado",AT1)))</formula>
    </cfRule>
    <cfRule type="containsText" dxfId="5" priority="5" operator="containsText" text="Dúvida">
      <formula>NOT(ISERROR(SEARCH("Dúvida",AT1)))</formula>
    </cfRule>
    <cfRule type="containsText" dxfId="4" priority="6" operator="containsText" text="Codificado">
      <formula>NOT(ISERROR(SEARCH("Codificado",AT1)))</formula>
    </cfRule>
  </conditionalFormatting>
  <conditionalFormatting sqref="AT2:AT1048576">
    <cfRule type="containsText" dxfId="3" priority="7" operator="containsText" text="Revisar">
      <formula>NOT(ISERROR(SEARCH("Revisar",AT2)))</formula>
    </cfRule>
    <cfRule type="containsText" dxfId="2" priority="8" operator="containsText" text="Pendente">
      <formula>NOT(ISERROR(SEARCH("Pendente",AT2)))</formula>
    </cfRule>
  </conditionalFormatting>
  <conditionalFormatting sqref="AU1:AU1048576">
    <cfRule type="containsText" dxfId="1" priority="1" operator="containsText" text="Alta">
      <formula>NOT(ISERROR(SEARCH("Alta",AU1)))</formula>
    </cfRule>
    <cfRule type="containsText" dxfId="0" priority="2" operator="containsText" text="Média">
      <formula>NOT(ISERROR(SEARCH("Média",AU1)))</formula>
    </cfRule>
  </conditionalFormatting>
  <pageMargins left="0.7" right="0.7" top="0.75" bottom="0.75" header="0.3" footer="0.3"/>
  <pageSetup paperSize="9" orientation="portrait" horizontalDpi="300" verticalDpi="300"/>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5.7109375" hidden="0" customWidth="1"/>
    <col min="2" max="2" width="65.42578125" hidden="0" customWidth="1"/>
    <col min="3" max="3" width="12.28515625" hidden="0" customWidth="1"/>
    <col min="4" max="4" width="101.85546875" hidden="0" customWidth="1"/>
    <col min="5" max="5" width="255" hidden="0" customWidth="1"/>
    <col min="6" max="6" width="8.140625" hidden="0" customWidth="1"/>
    <col min="7" max="7" width="12.42578125" hidden="0" customWidth="1"/>
    <col min="8" max="8" width="12" hidden="0" customWidth="1"/>
    <col min="9" max="9" width="18.5703125" hidden="0" customWidth="1"/>
    <col min="10" max="10" width="7.7109375" hidden="0" customWidth="1"/>
  </cols>
  <sheetData>
    <row r="1">
      <c r="A1" s="32" t="s">
        <v>4728</v>
      </c>
      <c r="B1" s="33" t="s">
        <v>4729</v>
      </c>
      <c r="C1" s="33" t="s">
        <v>4730</v>
      </c>
      <c r="D1" s="33" t="s">
        <v>4731</v>
      </c>
      <c r="E1" s="29" t="s">
        <v>4732</v>
      </c>
      <c r="F1" s="33" t="s">
        <v>4733</v>
      </c>
      <c r="G1" s="33" t="s">
        <v>4734</v>
      </c>
      <c r="H1" s="33" t="s">
        <v>4735</v>
      </c>
      <c r="I1" s="33" t="s">
        <v>4736</v>
      </c>
      <c r="J1" s="34" t="s">
        <v>4737</v>
      </c>
    </row>
    <row r="2" ht="45" customHeight="1">
      <c r="A2" s="35" t="s">
        <v>4738</v>
      </c>
      <c r="B2" s="1" t="s">
        <v>4739</v>
      </c>
      <c r="C2" s="1" t="s">
        <v>4740</v>
      </c>
      <c r="D2" s="1" t="s">
        <v>4741</v>
      </c>
      <c r="E2" s="30" t="s">
        <v>4742</v>
      </c>
      <c r="F2" s="1"/>
      <c r="G2" s="1"/>
      <c r="H2" s="1"/>
      <c r="I2" s="1"/>
      <c r="J2" s="36" t="s">
        <v>79</v>
      </c>
    </row>
    <row r="3" ht="45" customHeight="1">
      <c r="A3" s="35" t="s">
        <v>4738</v>
      </c>
      <c r="B3" s="1" t="s">
        <v>4739</v>
      </c>
      <c r="C3" s="1" t="s">
        <v>192</v>
      </c>
      <c r="D3" s="1" t="s">
        <v>4743</v>
      </c>
      <c r="E3" s="30" t="s">
        <v>4744</v>
      </c>
      <c r="F3" s="1"/>
      <c r="G3" s="1"/>
      <c r="H3" s="1"/>
      <c r="I3" s="1"/>
      <c r="J3" s="36" t="s">
        <v>79</v>
      </c>
    </row>
    <row r="4" ht="30" customHeight="1">
      <c r="A4" s="35" t="s">
        <v>4738</v>
      </c>
      <c r="B4" s="1" t="s">
        <v>4739</v>
      </c>
      <c r="C4" s="1" t="s">
        <v>4745</v>
      </c>
      <c r="D4" s="1" t="s">
        <v>4746</v>
      </c>
      <c r="E4" s="30" t="s">
        <v>4747</v>
      </c>
      <c r="F4" s="1"/>
      <c r="G4" s="1"/>
      <c r="H4" s="1"/>
      <c r="I4" s="1"/>
      <c r="J4" s="36" t="s">
        <v>79</v>
      </c>
    </row>
    <row r="5" ht="30" customHeight="1">
      <c r="A5" s="35" t="s">
        <v>4738</v>
      </c>
      <c r="B5" s="1" t="s">
        <v>4739</v>
      </c>
      <c r="C5" s="1" t="s">
        <v>4748</v>
      </c>
      <c r="D5" s="1" t="s">
        <v>4749</v>
      </c>
      <c r="E5" s="30" t="s">
        <v>4750</v>
      </c>
      <c r="F5" s="1"/>
      <c r="G5" s="1"/>
      <c r="H5" s="1"/>
      <c r="I5" s="1"/>
      <c r="J5" s="36" t="s">
        <v>79</v>
      </c>
    </row>
    <row r="6" ht="45" customHeight="1">
      <c r="A6" s="35" t="s">
        <v>4738</v>
      </c>
      <c r="B6" s="1" t="s">
        <v>4739</v>
      </c>
      <c r="C6" s="1" t="s">
        <v>4751</v>
      </c>
      <c r="D6" s="1" t="s">
        <v>4752</v>
      </c>
      <c r="E6" s="30" t="s">
        <v>4753</v>
      </c>
      <c r="F6" s="1"/>
      <c r="G6" s="1"/>
      <c r="H6" s="1"/>
      <c r="I6" s="1"/>
      <c r="J6" s="36" t="s">
        <v>79</v>
      </c>
    </row>
    <row r="7" ht="60" customHeight="1">
      <c r="A7" s="35" t="s">
        <v>4738</v>
      </c>
      <c r="B7" s="1" t="s">
        <v>4739</v>
      </c>
      <c r="C7" s="1" t="s">
        <v>4754</v>
      </c>
      <c r="D7" s="1" t="s">
        <v>4755</v>
      </c>
      <c r="E7" s="30" t="s">
        <v>4756</v>
      </c>
      <c r="F7" s="1"/>
      <c r="G7" s="1"/>
      <c r="H7" s="1"/>
      <c r="I7" s="1"/>
      <c r="J7" s="36" t="s">
        <v>79</v>
      </c>
    </row>
    <row r="8" ht="30" customHeight="1">
      <c r="A8" s="35" t="s">
        <v>4738</v>
      </c>
      <c r="B8" s="1" t="s">
        <v>4739</v>
      </c>
      <c r="C8" s="1" t="s">
        <v>4757</v>
      </c>
      <c r="D8" s="1" t="s">
        <v>4758</v>
      </c>
      <c r="E8" s="30" t="s">
        <v>4759</v>
      </c>
      <c r="F8" s="1"/>
      <c r="G8" s="1"/>
      <c r="H8" s="1"/>
      <c r="I8" s="1"/>
      <c r="J8" s="36" t="s">
        <v>79</v>
      </c>
    </row>
    <row r="9" ht="30" customHeight="1">
      <c r="A9" s="35" t="s">
        <v>4738</v>
      </c>
      <c r="B9" s="1" t="s">
        <v>4739</v>
      </c>
      <c r="C9" s="1" t="s">
        <v>4760</v>
      </c>
      <c r="D9" s="1" t="s">
        <v>4761</v>
      </c>
      <c r="E9" s="30" t="s">
        <v>4762</v>
      </c>
      <c r="F9" s="1"/>
      <c r="G9" s="1"/>
      <c r="H9" s="1"/>
      <c r="I9" s="1"/>
      <c r="J9" s="36" t="s">
        <v>79</v>
      </c>
    </row>
    <row r="10">
      <c r="A10" s="35" t="s">
        <v>4738</v>
      </c>
      <c r="B10" s="1" t="s">
        <v>4739</v>
      </c>
      <c r="C10" s="1" t="s">
        <v>4763</v>
      </c>
      <c r="D10" s="1" t="s">
        <v>4764</v>
      </c>
      <c r="E10" s="30" t="s">
        <v>4765</v>
      </c>
      <c r="F10" s="1"/>
      <c r="G10" s="1"/>
      <c r="H10" s="1"/>
      <c r="I10" s="1"/>
      <c r="J10" s="36" t="s">
        <v>79</v>
      </c>
    </row>
    <row r="11" ht="60" customHeight="1">
      <c r="A11" s="35" t="s">
        <v>4766</v>
      </c>
      <c r="B11" s="1" t="s">
        <v>4767</v>
      </c>
      <c r="C11" s="1" t="s">
        <v>4768</v>
      </c>
      <c r="D11" s="1" t="s">
        <v>4741</v>
      </c>
      <c r="E11" s="30" t="s">
        <v>4769</v>
      </c>
      <c r="F11" s="1"/>
      <c r="G11" s="1"/>
      <c r="H11" s="1"/>
      <c r="I11" s="1"/>
      <c r="J11" s="36" t="s">
        <v>79</v>
      </c>
    </row>
    <row r="12" ht="45" customHeight="1">
      <c r="A12" s="35" t="s">
        <v>4766</v>
      </c>
      <c r="B12" s="1" t="s">
        <v>4767</v>
      </c>
      <c r="C12" s="1" t="s">
        <v>1346</v>
      </c>
      <c r="D12" s="1" t="s">
        <v>4770</v>
      </c>
      <c r="E12" s="30" t="s">
        <v>4771</v>
      </c>
      <c r="F12" s="1"/>
      <c r="G12" s="1"/>
      <c r="H12" s="1"/>
      <c r="I12" s="1"/>
      <c r="J12" s="36" t="s">
        <v>79</v>
      </c>
    </row>
    <row r="13" ht="30" customHeight="1">
      <c r="A13" s="35" t="s">
        <v>4766</v>
      </c>
      <c r="B13" s="1" t="s">
        <v>4767</v>
      </c>
      <c r="C13" s="1" t="s">
        <v>3290</v>
      </c>
      <c r="D13" s="1" t="s">
        <v>4772</v>
      </c>
      <c r="E13" s="30" t="s">
        <v>4773</v>
      </c>
      <c r="F13" s="1"/>
      <c r="G13" s="1"/>
      <c r="H13" s="1"/>
      <c r="I13" s="1"/>
      <c r="J13" s="36" t="s">
        <v>79</v>
      </c>
    </row>
    <row r="14">
      <c r="A14" s="35" t="s">
        <v>4766</v>
      </c>
      <c r="B14" s="1" t="s">
        <v>4767</v>
      </c>
      <c r="C14" s="1" t="s">
        <v>4774</v>
      </c>
      <c r="D14" s="1" t="s">
        <v>4775</v>
      </c>
      <c r="E14" s="30" t="s">
        <v>4776</v>
      </c>
      <c r="F14" s="1"/>
      <c r="G14" s="1"/>
      <c r="H14" s="1"/>
      <c r="I14" s="1"/>
      <c r="J14" s="36" t="s">
        <v>79</v>
      </c>
    </row>
    <row r="15" ht="30" customHeight="1">
      <c r="A15" s="35" t="s">
        <v>4766</v>
      </c>
      <c r="B15" s="1" t="s">
        <v>4767</v>
      </c>
      <c r="C15" s="1" t="s">
        <v>4777</v>
      </c>
      <c r="D15" s="1" t="s">
        <v>4778</v>
      </c>
      <c r="E15" s="30" t="s">
        <v>4779</v>
      </c>
      <c r="F15" s="1"/>
      <c r="G15" s="1"/>
      <c r="H15" s="1"/>
      <c r="I15" s="1"/>
      <c r="J15" s="36" t="s">
        <v>79</v>
      </c>
    </row>
    <row r="16" ht="60" customHeight="1">
      <c r="A16" s="35" t="s">
        <v>4766</v>
      </c>
      <c r="B16" s="1" t="s">
        <v>4767</v>
      </c>
      <c r="C16" s="1" t="s">
        <v>4780</v>
      </c>
      <c r="D16" s="1" t="s">
        <v>4781</v>
      </c>
      <c r="E16" s="30" t="s">
        <v>4782</v>
      </c>
      <c r="F16" s="1"/>
      <c r="G16" s="1"/>
      <c r="H16" s="1"/>
      <c r="I16" s="1"/>
      <c r="J16" s="36" t="s">
        <v>79</v>
      </c>
    </row>
    <row r="17" ht="30" customHeight="1">
      <c r="A17" s="35" t="s">
        <v>4766</v>
      </c>
      <c r="B17" s="1" t="s">
        <v>4767</v>
      </c>
      <c r="C17" s="1" t="s">
        <v>4783</v>
      </c>
      <c r="D17" s="1" t="s">
        <v>4784</v>
      </c>
      <c r="E17" s="30" t="s">
        <v>4785</v>
      </c>
      <c r="F17" s="1"/>
      <c r="G17" s="1"/>
      <c r="H17" s="1"/>
      <c r="I17" s="1"/>
      <c r="J17" s="36" t="s">
        <v>79</v>
      </c>
    </row>
    <row r="18" ht="45" customHeight="1">
      <c r="A18" s="35" t="s">
        <v>4766</v>
      </c>
      <c r="B18" s="1" t="s">
        <v>4767</v>
      </c>
      <c r="C18" s="1" t="s">
        <v>4786</v>
      </c>
      <c r="D18" s="1" t="s">
        <v>4787</v>
      </c>
      <c r="E18" s="30" t="s">
        <v>4788</v>
      </c>
      <c r="F18" s="1"/>
      <c r="G18" s="1"/>
      <c r="H18" s="1"/>
      <c r="I18" s="1"/>
      <c r="J18" s="36" t="s">
        <v>79</v>
      </c>
    </row>
    <row r="19">
      <c r="A19" s="35" t="s">
        <v>4766</v>
      </c>
      <c r="B19" s="1" t="s">
        <v>4767</v>
      </c>
      <c r="C19" s="1" t="s">
        <v>4789</v>
      </c>
      <c r="D19" s="1" t="s">
        <v>4790</v>
      </c>
      <c r="E19" s="30" t="s">
        <v>4791</v>
      </c>
      <c r="F19" s="1"/>
      <c r="G19" s="1"/>
      <c r="H19" s="1"/>
      <c r="I19" s="1"/>
      <c r="J19" s="36" t="s">
        <v>79</v>
      </c>
    </row>
    <row r="20">
      <c r="A20" s="35" t="s">
        <v>4766</v>
      </c>
      <c r="B20" s="1" t="s">
        <v>4767</v>
      </c>
      <c r="C20" s="1" t="s">
        <v>2107</v>
      </c>
      <c r="D20" s="1" t="s">
        <v>4764</v>
      </c>
      <c r="E20" s="30" t="s">
        <v>4792</v>
      </c>
      <c r="F20" s="1"/>
      <c r="G20" s="1"/>
      <c r="H20" s="1"/>
      <c r="I20" s="1"/>
      <c r="J20" s="36" t="s">
        <v>79</v>
      </c>
    </row>
    <row r="21" ht="30" customHeight="1">
      <c r="A21" s="35" t="s">
        <v>4793</v>
      </c>
      <c r="B21" s="1" t="s">
        <v>60</v>
      </c>
      <c r="C21" s="1" t="s">
        <v>3949</v>
      </c>
      <c r="D21" s="1" t="s">
        <v>4741</v>
      </c>
      <c r="E21" s="30" t="s">
        <v>4794</v>
      </c>
      <c r="F21" s="1"/>
      <c r="G21" s="1"/>
      <c r="H21" s="1"/>
      <c r="I21" s="1"/>
      <c r="J21" s="36" t="s">
        <v>79</v>
      </c>
    </row>
    <row r="22" ht="30" customHeight="1">
      <c r="A22" s="35" t="s">
        <v>4793</v>
      </c>
      <c r="B22" s="1" t="s">
        <v>60</v>
      </c>
      <c r="C22" s="1" t="s">
        <v>4795</v>
      </c>
      <c r="D22" s="1" t="s">
        <v>4796</v>
      </c>
      <c r="E22" s="30" t="s">
        <v>4797</v>
      </c>
      <c r="F22" s="1"/>
      <c r="G22" s="1"/>
      <c r="H22" s="1"/>
      <c r="I22" s="1"/>
      <c r="J22" s="36" t="s">
        <v>79</v>
      </c>
    </row>
    <row r="23" ht="30" customHeight="1">
      <c r="A23" s="35" t="s">
        <v>4793</v>
      </c>
      <c r="B23" s="1" t="s">
        <v>60</v>
      </c>
      <c r="C23" s="1" t="s">
        <v>726</v>
      </c>
      <c r="D23" s="1" t="s">
        <v>4798</v>
      </c>
      <c r="E23" s="30" t="s">
        <v>4799</v>
      </c>
      <c r="F23" s="1"/>
      <c r="G23" s="1"/>
      <c r="H23" s="1"/>
      <c r="I23" s="1"/>
      <c r="J23" s="36" t="s">
        <v>79</v>
      </c>
    </row>
    <row r="24" ht="45" customHeight="1">
      <c r="A24" s="35" t="s">
        <v>4793</v>
      </c>
      <c r="B24" s="1" t="s">
        <v>60</v>
      </c>
      <c r="C24" s="1" t="s">
        <v>106</v>
      </c>
      <c r="D24" s="1" t="s">
        <v>4800</v>
      </c>
      <c r="E24" s="30" t="s">
        <v>4801</v>
      </c>
      <c r="F24" s="1"/>
      <c r="G24" s="1"/>
      <c r="H24" s="1"/>
      <c r="I24" s="1"/>
      <c r="J24" s="36" t="s">
        <v>79</v>
      </c>
    </row>
    <row r="25" ht="30" customHeight="1">
      <c r="A25" s="35" t="s">
        <v>4793</v>
      </c>
      <c r="B25" s="1" t="s">
        <v>60</v>
      </c>
      <c r="C25" s="1" t="s">
        <v>4802</v>
      </c>
      <c r="D25" s="1" t="s">
        <v>4803</v>
      </c>
      <c r="E25" s="30" t="s">
        <v>4804</v>
      </c>
      <c r="F25" s="1"/>
      <c r="G25" s="1"/>
      <c r="H25" s="1"/>
      <c r="I25" s="1"/>
      <c r="J25" s="36" t="s">
        <v>79</v>
      </c>
    </row>
    <row r="26" ht="30" customHeight="1">
      <c r="A26" s="35" t="s">
        <v>4793</v>
      </c>
      <c r="B26" s="1" t="s">
        <v>60</v>
      </c>
      <c r="C26" s="1" t="s">
        <v>235</v>
      </c>
      <c r="D26" s="1" t="s">
        <v>4805</v>
      </c>
      <c r="E26" s="30" t="s">
        <v>4806</v>
      </c>
      <c r="F26" s="1"/>
      <c r="G26" s="1"/>
      <c r="H26" s="1"/>
      <c r="I26" s="1"/>
      <c r="J26" s="36" t="s">
        <v>79</v>
      </c>
    </row>
    <row r="27" ht="30" customHeight="1">
      <c r="A27" s="35" t="s">
        <v>4793</v>
      </c>
      <c r="B27" s="1" t="s">
        <v>60</v>
      </c>
      <c r="C27" s="1" t="s">
        <v>581</v>
      </c>
      <c r="D27" s="1" t="s">
        <v>4807</v>
      </c>
      <c r="E27" s="30" t="s">
        <v>4808</v>
      </c>
      <c r="F27" s="1"/>
      <c r="G27" s="1"/>
      <c r="H27" s="1"/>
      <c r="I27" s="1"/>
      <c r="J27" s="36" t="s">
        <v>79</v>
      </c>
    </row>
    <row r="28">
      <c r="A28" s="35" t="s">
        <v>4793</v>
      </c>
      <c r="B28" s="1" t="s">
        <v>60</v>
      </c>
      <c r="C28" s="1" t="s">
        <v>4809</v>
      </c>
      <c r="D28" s="1" t="s">
        <v>4810</v>
      </c>
      <c r="E28" s="30" t="s">
        <v>4811</v>
      </c>
      <c r="F28" s="1"/>
      <c r="G28" s="1"/>
      <c r="H28" s="1"/>
      <c r="I28" s="1"/>
      <c r="J28" s="36" t="s">
        <v>79</v>
      </c>
    </row>
    <row r="29" ht="30" customHeight="1">
      <c r="A29" s="35" t="s">
        <v>4793</v>
      </c>
      <c r="B29" s="1" t="s">
        <v>60</v>
      </c>
      <c r="C29" s="1" t="s">
        <v>4812</v>
      </c>
      <c r="D29" s="1" t="s">
        <v>4813</v>
      </c>
      <c r="E29" s="30" t="s">
        <v>4814</v>
      </c>
      <c r="F29" s="1"/>
      <c r="G29" s="1"/>
      <c r="H29" s="1"/>
      <c r="I29" s="1"/>
      <c r="J29" s="36" t="s">
        <v>79</v>
      </c>
    </row>
    <row r="30" ht="45" customHeight="1">
      <c r="A30" s="35" t="s">
        <v>4793</v>
      </c>
      <c r="B30" s="1" t="s">
        <v>60</v>
      </c>
      <c r="C30" s="1" t="s">
        <v>117</v>
      </c>
      <c r="D30" s="1" t="s">
        <v>4815</v>
      </c>
      <c r="E30" s="30" t="s">
        <v>4816</v>
      </c>
      <c r="F30" s="1"/>
      <c r="G30" s="1"/>
      <c r="H30" s="1"/>
      <c r="I30" s="1"/>
      <c r="J30" s="36" t="s">
        <v>79</v>
      </c>
    </row>
    <row r="31" ht="30" customHeight="1">
      <c r="A31" s="35" t="s">
        <v>4793</v>
      </c>
      <c r="B31" s="1" t="s">
        <v>60</v>
      </c>
      <c r="C31" s="1" t="s">
        <v>620</v>
      </c>
      <c r="D31" s="1" t="s">
        <v>4817</v>
      </c>
      <c r="E31" s="30" t="s">
        <v>4818</v>
      </c>
      <c r="F31" s="1"/>
      <c r="G31" s="1"/>
      <c r="H31" s="1"/>
      <c r="I31" s="1"/>
      <c r="J31" s="36" t="s">
        <v>79</v>
      </c>
    </row>
    <row r="32" ht="30" customHeight="1">
      <c r="A32" s="35" t="s">
        <v>4793</v>
      </c>
      <c r="B32" s="1" t="s">
        <v>60</v>
      </c>
      <c r="C32" s="1" t="s">
        <v>76</v>
      </c>
      <c r="D32" s="1" t="s">
        <v>4819</v>
      </c>
      <c r="E32" s="30" t="s">
        <v>4820</v>
      </c>
      <c r="F32" s="1"/>
      <c r="G32" s="1"/>
      <c r="H32" s="1"/>
      <c r="I32" s="1"/>
      <c r="J32" s="36" t="s">
        <v>79</v>
      </c>
    </row>
    <row r="33" ht="30" customHeight="1">
      <c r="A33" s="35" t="s">
        <v>4793</v>
      </c>
      <c r="B33" s="1" t="s">
        <v>60</v>
      </c>
      <c r="C33" s="1" t="s">
        <v>800</v>
      </c>
      <c r="D33" s="1" t="s">
        <v>4821</v>
      </c>
      <c r="E33" s="30" t="s">
        <v>4822</v>
      </c>
      <c r="F33" s="1"/>
      <c r="G33" s="1"/>
      <c r="H33" s="1"/>
      <c r="I33" s="1"/>
      <c r="J33" s="36" t="s">
        <v>79</v>
      </c>
    </row>
    <row r="34" ht="45" customHeight="1">
      <c r="A34" s="35" t="s">
        <v>4793</v>
      </c>
      <c r="B34" s="1" t="s">
        <v>60</v>
      </c>
      <c r="C34" s="1" t="s">
        <v>126</v>
      </c>
      <c r="D34" s="1" t="s">
        <v>4823</v>
      </c>
      <c r="E34" s="30" t="s">
        <v>4824</v>
      </c>
      <c r="F34" s="1"/>
      <c r="G34" s="1"/>
      <c r="H34" s="1"/>
      <c r="I34" s="1"/>
      <c r="J34" s="36" t="s">
        <v>79</v>
      </c>
    </row>
    <row r="35" ht="30" customHeight="1">
      <c r="A35" s="35" t="s">
        <v>4793</v>
      </c>
      <c r="B35" s="1" t="s">
        <v>60</v>
      </c>
      <c r="C35" s="1" t="s">
        <v>4825</v>
      </c>
      <c r="D35" s="1" t="s">
        <v>4826</v>
      </c>
      <c r="E35" s="30" t="s">
        <v>4827</v>
      </c>
      <c r="F35" s="1"/>
      <c r="G35" s="1"/>
      <c r="H35" s="1"/>
      <c r="I35" s="1"/>
      <c r="J35" s="36" t="s">
        <v>79</v>
      </c>
    </row>
    <row r="36" ht="45" customHeight="1">
      <c r="A36" s="35" t="s">
        <v>4793</v>
      </c>
      <c r="B36" s="1" t="s">
        <v>60</v>
      </c>
      <c r="C36" s="1" t="s">
        <v>4828</v>
      </c>
      <c r="D36" s="1" t="s">
        <v>4829</v>
      </c>
      <c r="E36" s="30" t="s">
        <v>4830</v>
      </c>
      <c r="F36" s="1"/>
      <c r="G36" s="1"/>
      <c r="H36" s="1"/>
      <c r="I36" s="1"/>
      <c r="J36" s="36" t="s">
        <v>79</v>
      </c>
    </row>
    <row r="37" ht="30" customHeight="1">
      <c r="A37" s="35" t="s">
        <v>4793</v>
      </c>
      <c r="B37" s="1" t="s">
        <v>60</v>
      </c>
      <c r="C37" s="1" t="s">
        <v>4831</v>
      </c>
      <c r="D37" s="1" t="s">
        <v>4832</v>
      </c>
      <c r="E37" s="30" t="s">
        <v>4833</v>
      </c>
      <c r="F37" s="1"/>
      <c r="G37" s="1"/>
      <c r="H37" s="1"/>
      <c r="I37" s="1"/>
      <c r="J37" s="36" t="s">
        <v>79</v>
      </c>
    </row>
    <row r="38">
      <c r="A38" s="35" t="s">
        <v>4793</v>
      </c>
      <c r="B38" s="1" t="s">
        <v>60</v>
      </c>
      <c r="C38" s="1" t="s">
        <v>4834</v>
      </c>
      <c r="D38" s="1" t="s">
        <v>4764</v>
      </c>
      <c r="E38" s="30" t="s">
        <v>4835</v>
      </c>
      <c r="F38" s="1"/>
      <c r="G38" s="1"/>
      <c r="H38" s="1"/>
      <c r="I38" s="1"/>
      <c r="J38" s="36" t="s">
        <v>79</v>
      </c>
    </row>
    <row r="39" ht="30" customHeight="1">
      <c r="A39" s="35" t="s">
        <v>135</v>
      </c>
      <c r="B39" s="1" t="s">
        <v>4836</v>
      </c>
      <c r="C39" s="1" t="s">
        <v>4837</v>
      </c>
      <c r="D39" s="1" t="s">
        <v>4741</v>
      </c>
      <c r="E39" s="30" t="s">
        <v>4838</v>
      </c>
      <c r="F39" s="1"/>
      <c r="G39" s="1"/>
      <c r="H39" s="1"/>
      <c r="I39" s="1"/>
      <c r="J39" s="36" t="s">
        <v>79</v>
      </c>
    </row>
    <row r="40">
      <c r="A40" s="35" t="s">
        <v>135</v>
      </c>
      <c r="B40" s="1" t="s">
        <v>4836</v>
      </c>
      <c r="C40" s="1" t="s">
        <v>4839</v>
      </c>
      <c r="D40" s="1" t="s">
        <v>4840</v>
      </c>
      <c r="E40" s="30" t="s">
        <v>4841</v>
      </c>
      <c r="F40" s="1"/>
      <c r="G40" s="1"/>
      <c r="H40" s="1"/>
      <c r="I40" s="1"/>
      <c r="J40" s="36" t="s">
        <v>79</v>
      </c>
    </row>
    <row r="41" ht="45" customHeight="1">
      <c r="A41" s="35" t="s">
        <v>135</v>
      </c>
      <c r="B41" s="1" t="s">
        <v>4836</v>
      </c>
      <c r="C41" s="1" t="s">
        <v>4842</v>
      </c>
      <c r="D41" s="1" t="s">
        <v>4843</v>
      </c>
      <c r="E41" s="30" t="s">
        <v>4844</v>
      </c>
      <c r="F41" s="1"/>
      <c r="G41" s="1"/>
      <c r="H41" s="1"/>
      <c r="I41" s="1"/>
      <c r="J41" s="36" t="s">
        <v>79</v>
      </c>
    </row>
    <row r="42" ht="30" customHeight="1">
      <c r="A42" s="35" t="s">
        <v>135</v>
      </c>
      <c r="B42" s="1" t="s">
        <v>4836</v>
      </c>
      <c r="C42" s="1" t="s">
        <v>4845</v>
      </c>
      <c r="D42" s="1" t="s">
        <v>4846</v>
      </c>
      <c r="E42" s="30" t="s">
        <v>4847</v>
      </c>
      <c r="F42" s="1"/>
      <c r="G42" s="1"/>
      <c r="H42" s="1"/>
      <c r="I42" s="1"/>
      <c r="J42" s="36" t="s">
        <v>79</v>
      </c>
    </row>
    <row r="43">
      <c r="A43" s="35" t="s">
        <v>135</v>
      </c>
      <c r="B43" s="1" t="s">
        <v>4836</v>
      </c>
      <c r="C43" s="1" t="s">
        <v>4848</v>
      </c>
      <c r="D43" s="1" t="s">
        <v>4849</v>
      </c>
      <c r="E43" s="30" t="s">
        <v>4850</v>
      </c>
      <c r="F43" s="1"/>
      <c r="G43" s="1"/>
      <c r="H43" s="1"/>
      <c r="I43" s="1"/>
      <c r="J43" s="36" t="s">
        <v>79</v>
      </c>
    </row>
    <row r="44" ht="45" customHeight="1">
      <c r="A44" s="35" t="s">
        <v>135</v>
      </c>
      <c r="B44" s="1" t="s">
        <v>4836</v>
      </c>
      <c r="C44" s="1" t="s">
        <v>1269</v>
      </c>
      <c r="D44" s="1" t="s">
        <v>4851</v>
      </c>
      <c r="E44" s="30" t="s">
        <v>4852</v>
      </c>
      <c r="F44" s="1"/>
      <c r="G44" s="1"/>
      <c r="H44" s="1"/>
      <c r="I44" s="1"/>
      <c r="J44" s="36" t="s">
        <v>79</v>
      </c>
    </row>
    <row r="45">
      <c r="A45" s="35" t="s">
        <v>135</v>
      </c>
      <c r="B45" s="1" t="s">
        <v>4836</v>
      </c>
      <c r="C45" s="1" t="s">
        <v>4853</v>
      </c>
      <c r="D45" s="1" t="s">
        <v>4854</v>
      </c>
      <c r="E45" s="30" t="s">
        <v>4855</v>
      </c>
      <c r="F45" s="1"/>
      <c r="G45" s="1"/>
      <c r="H45" s="1"/>
      <c r="I45" s="1"/>
      <c r="J45" s="36" t="s">
        <v>79</v>
      </c>
    </row>
    <row r="46">
      <c r="A46" s="35" t="s">
        <v>135</v>
      </c>
      <c r="B46" s="1" t="s">
        <v>4836</v>
      </c>
      <c r="C46" s="1" t="s">
        <v>4856</v>
      </c>
      <c r="D46" s="1" t="s">
        <v>4857</v>
      </c>
      <c r="E46" s="30" t="s">
        <v>4858</v>
      </c>
      <c r="F46" s="1"/>
      <c r="G46" s="1"/>
      <c r="H46" s="1"/>
      <c r="I46" s="1"/>
      <c r="J46" s="36" t="s">
        <v>79</v>
      </c>
    </row>
    <row r="47">
      <c r="A47" s="35" t="s">
        <v>135</v>
      </c>
      <c r="B47" s="1" t="s">
        <v>4836</v>
      </c>
      <c r="C47" s="1" t="s">
        <v>1289</v>
      </c>
      <c r="D47" s="1" t="s">
        <v>4764</v>
      </c>
      <c r="E47" s="30" t="s">
        <v>4859</v>
      </c>
      <c r="F47" s="1"/>
      <c r="G47" s="1"/>
      <c r="H47" s="1"/>
      <c r="I47" s="1"/>
      <c r="J47" s="36" t="s">
        <v>79</v>
      </c>
    </row>
    <row r="48" ht="30" customHeight="1">
      <c r="A48" s="35" t="s">
        <v>4860</v>
      </c>
      <c r="B48" s="1" t="s">
        <v>4861</v>
      </c>
      <c r="C48" s="1" t="s">
        <v>4862</v>
      </c>
      <c r="D48" s="1" t="s">
        <v>4741</v>
      </c>
      <c r="E48" s="30" t="s">
        <v>4863</v>
      </c>
      <c r="F48" s="1"/>
      <c r="G48" s="1"/>
      <c r="H48" s="1"/>
      <c r="I48" s="1"/>
      <c r="J48" s="36" t="s">
        <v>79</v>
      </c>
    </row>
    <row r="49" ht="30" customHeight="1">
      <c r="A49" s="35" t="s">
        <v>4860</v>
      </c>
      <c r="B49" s="1" t="s">
        <v>4861</v>
      </c>
      <c r="C49" s="1" t="s">
        <v>4864</v>
      </c>
      <c r="D49" s="1" t="s">
        <v>4865</v>
      </c>
      <c r="E49" s="30" t="s">
        <v>4866</v>
      </c>
      <c r="F49" s="1"/>
      <c r="G49" s="1"/>
      <c r="H49" s="1"/>
      <c r="I49" s="1"/>
      <c r="J49" s="36" t="s">
        <v>79</v>
      </c>
    </row>
    <row r="50">
      <c r="A50" s="35" t="s">
        <v>4860</v>
      </c>
      <c r="B50" s="1" t="s">
        <v>4861</v>
      </c>
      <c r="C50" s="1" t="s">
        <v>143</v>
      </c>
      <c r="D50" s="1" t="s">
        <v>4867</v>
      </c>
      <c r="E50" s="30" t="s">
        <v>4868</v>
      </c>
      <c r="F50" s="1"/>
      <c r="G50" s="1"/>
      <c r="H50" s="1"/>
      <c r="I50" s="1"/>
      <c r="J50" s="36" t="s">
        <v>79</v>
      </c>
    </row>
    <row r="51" ht="60" customHeight="1">
      <c r="A51" s="35" t="s">
        <v>4860</v>
      </c>
      <c r="B51" s="1" t="s">
        <v>4861</v>
      </c>
      <c r="C51" s="1" t="s">
        <v>4869</v>
      </c>
      <c r="D51" s="1" t="s">
        <v>4870</v>
      </c>
      <c r="E51" s="30" t="s">
        <v>4871</v>
      </c>
      <c r="F51" s="1"/>
      <c r="G51" s="1"/>
      <c r="H51" s="1"/>
      <c r="I51" s="1"/>
      <c r="J51" s="36" t="s">
        <v>79</v>
      </c>
    </row>
    <row r="52" ht="30" customHeight="1">
      <c r="A52" s="35" t="s">
        <v>4860</v>
      </c>
      <c r="B52" s="1" t="s">
        <v>4861</v>
      </c>
      <c r="C52" s="1" t="s">
        <v>4872</v>
      </c>
      <c r="D52" s="1" t="s">
        <v>4873</v>
      </c>
      <c r="E52" s="30" t="s">
        <v>4874</v>
      </c>
      <c r="F52" s="1"/>
      <c r="G52" s="1"/>
      <c r="H52" s="1"/>
      <c r="I52" s="1"/>
      <c r="J52" s="36" t="s">
        <v>79</v>
      </c>
    </row>
    <row r="53" ht="45" customHeight="1">
      <c r="A53" s="35" t="s">
        <v>4860</v>
      </c>
      <c r="B53" s="1" t="s">
        <v>4861</v>
      </c>
      <c r="C53" s="1" t="s">
        <v>4875</v>
      </c>
      <c r="D53" s="1" t="s">
        <v>4876</v>
      </c>
      <c r="E53" s="30" t="s">
        <v>4877</v>
      </c>
      <c r="F53" s="1"/>
      <c r="G53" s="1"/>
      <c r="H53" s="1"/>
      <c r="I53" s="1"/>
      <c r="J53" s="36" t="s">
        <v>79</v>
      </c>
    </row>
    <row r="54">
      <c r="A54" s="35" t="s">
        <v>4860</v>
      </c>
      <c r="B54" s="1" t="s">
        <v>4861</v>
      </c>
      <c r="C54" s="1" t="s">
        <v>4878</v>
      </c>
      <c r="D54" s="1" t="s">
        <v>4879</v>
      </c>
      <c r="E54" s="30" t="s">
        <v>4880</v>
      </c>
      <c r="F54" s="1"/>
      <c r="G54" s="1"/>
      <c r="H54" s="1"/>
      <c r="I54" s="1"/>
      <c r="J54" s="36" t="s">
        <v>79</v>
      </c>
    </row>
    <row r="55">
      <c r="A55" s="35" t="s">
        <v>4860</v>
      </c>
      <c r="B55" s="1" t="s">
        <v>4861</v>
      </c>
      <c r="C55" s="1" t="s">
        <v>4881</v>
      </c>
      <c r="D55" s="1" t="s">
        <v>4882</v>
      </c>
      <c r="E55" s="30" t="s">
        <v>4883</v>
      </c>
      <c r="F55" s="1"/>
      <c r="G55" s="1"/>
      <c r="H55" s="1"/>
      <c r="I55" s="1"/>
      <c r="J55" s="36" t="s">
        <v>79</v>
      </c>
    </row>
    <row r="56">
      <c r="A56" s="35" t="s">
        <v>4860</v>
      </c>
      <c r="B56" s="1" t="s">
        <v>4861</v>
      </c>
      <c r="C56" s="1" t="s">
        <v>263</v>
      </c>
      <c r="D56" s="1" t="s">
        <v>4764</v>
      </c>
      <c r="E56" s="30" t="s">
        <v>4884</v>
      </c>
      <c r="F56" s="1"/>
      <c r="G56" s="1"/>
      <c r="H56" s="1"/>
      <c r="I56" s="1"/>
      <c r="J56" s="36" t="s">
        <v>79</v>
      </c>
    </row>
    <row r="57" ht="30" customHeight="1">
      <c r="A57" s="35" t="s">
        <v>724</v>
      </c>
      <c r="B57" s="1" t="s">
        <v>788</v>
      </c>
      <c r="C57" s="1" t="s">
        <v>4885</v>
      </c>
      <c r="D57" s="1" t="s">
        <v>4741</v>
      </c>
      <c r="E57" s="30" t="s">
        <v>4886</v>
      </c>
      <c r="F57" s="1"/>
      <c r="G57" s="1"/>
      <c r="H57" s="1"/>
      <c r="I57" s="1"/>
      <c r="J57" s="36" t="s">
        <v>79</v>
      </c>
    </row>
    <row r="58" ht="60" customHeight="1">
      <c r="A58" s="35" t="s">
        <v>724</v>
      </c>
      <c r="B58" s="1" t="s">
        <v>788</v>
      </c>
      <c r="C58" s="1" t="s">
        <v>4887</v>
      </c>
      <c r="D58" s="1" t="s">
        <v>4888</v>
      </c>
      <c r="E58" s="30" t="s">
        <v>4889</v>
      </c>
      <c r="F58" s="1"/>
      <c r="G58" s="1"/>
      <c r="H58" s="1"/>
      <c r="I58" s="1"/>
      <c r="J58" s="36" t="s">
        <v>79</v>
      </c>
    </row>
    <row r="59" ht="45" customHeight="1">
      <c r="A59" s="35" t="s">
        <v>724</v>
      </c>
      <c r="B59" s="1" t="s">
        <v>788</v>
      </c>
      <c r="C59" s="1" t="s">
        <v>899</v>
      </c>
      <c r="D59" s="1" t="s">
        <v>4890</v>
      </c>
      <c r="E59" s="30" t="s">
        <v>4891</v>
      </c>
      <c r="F59" s="1"/>
      <c r="G59" s="1"/>
      <c r="H59" s="1"/>
      <c r="I59" s="1"/>
      <c r="J59" s="36" t="s">
        <v>79</v>
      </c>
    </row>
    <row r="60" ht="30" customHeight="1">
      <c r="A60" s="35" t="s">
        <v>724</v>
      </c>
      <c r="B60" s="1" t="s">
        <v>788</v>
      </c>
      <c r="C60" s="1" t="s">
        <v>1990</v>
      </c>
      <c r="D60" s="1" t="s">
        <v>4892</v>
      </c>
      <c r="E60" s="30" t="s">
        <v>4893</v>
      </c>
      <c r="F60" s="1"/>
      <c r="G60" s="1"/>
      <c r="H60" s="1"/>
      <c r="I60" s="1"/>
      <c r="J60" s="36" t="s">
        <v>79</v>
      </c>
    </row>
    <row r="61">
      <c r="A61" s="35" t="s">
        <v>724</v>
      </c>
      <c r="B61" s="1" t="s">
        <v>788</v>
      </c>
      <c r="C61" s="1" t="s">
        <v>4894</v>
      </c>
      <c r="D61" s="1" t="s">
        <v>4895</v>
      </c>
      <c r="E61" s="30" t="s">
        <v>4896</v>
      </c>
      <c r="F61" s="1"/>
      <c r="G61" s="1"/>
      <c r="H61" s="1"/>
      <c r="I61" s="1"/>
      <c r="J61" s="36" t="s">
        <v>79</v>
      </c>
    </row>
    <row r="62" ht="30" customHeight="1">
      <c r="A62" s="35" t="s">
        <v>724</v>
      </c>
      <c r="B62" s="1" t="s">
        <v>788</v>
      </c>
      <c r="C62" s="1" t="s">
        <v>1333</v>
      </c>
      <c r="D62" s="1" t="s">
        <v>4897</v>
      </c>
      <c r="E62" s="30" t="s">
        <v>4898</v>
      </c>
      <c r="F62" s="1"/>
      <c r="G62" s="1"/>
      <c r="H62" s="1"/>
      <c r="I62" s="1"/>
      <c r="J62" s="36" t="s">
        <v>79</v>
      </c>
    </row>
    <row r="63">
      <c r="A63" s="35" t="s">
        <v>724</v>
      </c>
      <c r="B63" s="1" t="s">
        <v>788</v>
      </c>
      <c r="C63" s="1" t="s">
        <v>4899</v>
      </c>
      <c r="D63" s="1" t="s">
        <v>4832</v>
      </c>
      <c r="E63" s="30" t="s">
        <v>4900</v>
      </c>
      <c r="F63" s="1"/>
      <c r="G63" s="1"/>
      <c r="H63" s="1"/>
      <c r="I63" s="1"/>
      <c r="J63" s="36" t="s">
        <v>79</v>
      </c>
    </row>
    <row r="64">
      <c r="A64" s="35" t="s">
        <v>724</v>
      </c>
      <c r="B64" s="1" t="s">
        <v>788</v>
      </c>
      <c r="C64" s="1" t="s">
        <v>4901</v>
      </c>
      <c r="D64" s="1" t="s">
        <v>4764</v>
      </c>
      <c r="E64" s="30" t="s">
        <v>4902</v>
      </c>
      <c r="F64" s="1"/>
      <c r="G64" s="1"/>
      <c r="H64" s="1"/>
      <c r="I64" s="1"/>
      <c r="J64" s="36" t="s">
        <v>79</v>
      </c>
    </row>
    <row r="65" ht="45" customHeight="1">
      <c r="A65" s="35" t="s">
        <v>4903</v>
      </c>
      <c r="B65" s="1" t="s">
        <v>4904</v>
      </c>
      <c r="C65" s="1" t="s">
        <v>1317</v>
      </c>
      <c r="D65" s="1" t="s">
        <v>4741</v>
      </c>
      <c r="E65" s="30" t="s">
        <v>4905</v>
      </c>
      <c r="F65" s="1"/>
      <c r="G65" s="1"/>
      <c r="H65" s="1"/>
      <c r="I65" s="1"/>
      <c r="J65" s="36" t="s">
        <v>79</v>
      </c>
    </row>
    <row r="66" ht="30" customHeight="1">
      <c r="A66" s="35" t="s">
        <v>4903</v>
      </c>
      <c r="B66" s="1" t="s">
        <v>4904</v>
      </c>
      <c r="C66" s="1" t="s">
        <v>4906</v>
      </c>
      <c r="D66" s="1" t="s">
        <v>4907</v>
      </c>
      <c r="E66" s="30" t="s">
        <v>4908</v>
      </c>
      <c r="F66" s="1"/>
      <c r="G66" s="1"/>
      <c r="H66" s="1"/>
      <c r="I66" s="1"/>
      <c r="J66" s="36" t="s">
        <v>79</v>
      </c>
    </row>
    <row r="67">
      <c r="A67" s="35" t="s">
        <v>4903</v>
      </c>
      <c r="B67" s="1" t="s">
        <v>4904</v>
      </c>
      <c r="C67" s="1" t="s">
        <v>1734</v>
      </c>
      <c r="D67" s="1" t="s">
        <v>4909</v>
      </c>
      <c r="E67" s="30" t="s">
        <v>4910</v>
      </c>
      <c r="F67" s="1"/>
      <c r="G67" s="1"/>
      <c r="H67" s="1"/>
      <c r="I67" s="1"/>
      <c r="J67" s="36" t="s">
        <v>79</v>
      </c>
    </row>
    <row r="68" ht="30" customHeight="1">
      <c r="A68" s="35" t="s">
        <v>4903</v>
      </c>
      <c r="B68" s="1" t="s">
        <v>4904</v>
      </c>
      <c r="C68" s="1" t="s">
        <v>4911</v>
      </c>
      <c r="D68" s="1" t="s">
        <v>4912</v>
      </c>
      <c r="E68" s="30" t="s">
        <v>4913</v>
      </c>
      <c r="F68" s="1"/>
      <c r="G68" s="1"/>
      <c r="H68" s="1"/>
      <c r="I68" s="1"/>
      <c r="J68" s="36" t="s">
        <v>79</v>
      </c>
    </row>
    <row r="69" ht="30" customHeight="1">
      <c r="A69" s="35" t="s">
        <v>4903</v>
      </c>
      <c r="B69" s="1" t="s">
        <v>4904</v>
      </c>
      <c r="C69" s="1" t="s">
        <v>1263</v>
      </c>
      <c r="D69" s="1" t="s">
        <v>4914</v>
      </c>
      <c r="E69" s="30" t="s">
        <v>4915</v>
      </c>
      <c r="F69" s="1"/>
      <c r="G69" s="1"/>
      <c r="H69" s="1"/>
      <c r="I69" s="1"/>
      <c r="J69" s="36" t="s">
        <v>79</v>
      </c>
    </row>
    <row r="70">
      <c r="A70" s="35" t="s">
        <v>4903</v>
      </c>
      <c r="B70" s="1" t="s">
        <v>4904</v>
      </c>
      <c r="C70" s="1" t="s">
        <v>3410</v>
      </c>
      <c r="D70" s="1" t="s">
        <v>4916</v>
      </c>
      <c r="E70" s="30" t="s">
        <v>4917</v>
      </c>
      <c r="F70" s="1"/>
      <c r="G70" s="1"/>
      <c r="H70" s="1"/>
      <c r="I70" s="1"/>
      <c r="J70" s="36" t="s">
        <v>79</v>
      </c>
    </row>
    <row r="71" ht="30" customHeight="1">
      <c r="A71" s="35" t="s">
        <v>4903</v>
      </c>
      <c r="B71" s="1" t="s">
        <v>4904</v>
      </c>
      <c r="C71" s="1" t="s">
        <v>4918</v>
      </c>
      <c r="D71" s="1" t="s">
        <v>4919</v>
      </c>
      <c r="E71" s="30" t="s">
        <v>4920</v>
      </c>
      <c r="F71" s="1"/>
      <c r="G71" s="1"/>
      <c r="H71" s="1"/>
      <c r="I71" s="1"/>
      <c r="J71" s="36" t="s">
        <v>79</v>
      </c>
    </row>
    <row r="72" ht="30" customHeight="1">
      <c r="A72" s="35" t="s">
        <v>4903</v>
      </c>
      <c r="B72" s="1" t="s">
        <v>4904</v>
      </c>
      <c r="C72" s="1" t="s">
        <v>1425</v>
      </c>
      <c r="D72" s="1" t="s">
        <v>4921</v>
      </c>
      <c r="E72" s="30" t="s">
        <v>4922</v>
      </c>
      <c r="F72" s="1"/>
      <c r="G72" s="1"/>
      <c r="H72" s="1"/>
      <c r="I72" s="1"/>
      <c r="J72" s="36" t="s">
        <v>79</v>
      </c>
    </row>
    <row r="73" ht="45" customHeight="1">
      <c r="A73" s="35" t="s">
        <v>4903</v>
      </c>
      <c r="B73" s="1" t="s">
        <v>4904</v>
      </c>
      <c r="C73" s="1" t="s">
        <v>294</v>
      </c>
      <c r="D73" s="1" t="s">
        <v>4923</v>
      </c>
      <c r="E73" s="30" t="s">
        <v>4924</v>
      </c>
      <c r="F73" s="1"/>
      <c r="G73" s="1"/>
      <c r="H73" s="1"/>
      <c r="I73" s="1"/>
      <c r="J73" s="36" t="s">
        <v>79</v>
      </c>
    </row>
    <row r="74">
      <c r="A74" s="35" t="s">
        <v>4903</v>
      </c>
      <c r="B74" s="1" t="s">
        <v>4904</v>
      </c>
      <c r="C74" s="1" t="s">
        <v>4925</v>
      </c>
      <c r="D74" s="1" t="s">
        <v>4832</v>
      </c>
      <c r="E74" s="30" t="s">
        <v>4926</v>
      </c>
      <c r="F74" s="1"/>
      <c r="G74" s="1"/>
      <c r="H74" s="1"/>
      <c r="I74" s="1"/>
      <c r="J74" s="36" t="s">
        <v>79</v>
      </c>
    </row>
    <row r="75">
      <c r="A75" s="35" t="s">
        <v>4903</v>
      </c>
      <c r="B75" s="1" t="s">
        <v>4904</v>
      </c>
      <c r="C75" s="1" t="s">
        <v>4927</v>
      </c>
      <c r="D75" s="1" t="s">
        <v>4764</v>
      </c>
      <c r="E75" s="30" t="s">
        <v>4928</v>
      </c>
      <c r="F75" s="1"/>
      <c r="G75" s="1"/>
      <c r="H75" s="1"/>
      <c r="I75" s="1"/>
      <c r="J75" s="36" t="s">
        <v>79</v>
      </c>
    </row>
    <row r="76" ht="30" customHeight="1">
      <c r="A76" s="35" t="s">
        <v>276</v>
      </c>
      <c r="B76" s="1" t="s">
        <v>4929</v>
      </c>
      <c r="C76" s="1" t="s">
        <v>4930</v>
      </c>
      <c r="D76" s="1" t="s">
        <v>4741</v>
      </c>
      <c r="E76" s="30" t="s">
        <v>4931</v>
      </c>
      <c r="F76" s="1"/>
      <c r="G76" s="1"/>
      <c r="H76" s="1"/>
      <c r="I76" s="1"/>
      <c r="J76" s="36" t="s">
        <v>79</v>
      </c>
    </row>
    <row r="77" ht="30" customHeight="1">
      <c r="A77" s="35" t="s">
        <v>276</v>
      </c>
      <c r="B77" s="1" t="s">
        <v>4929</v>
      </c>
      <c r="C77" s="1" t="s">
        <v>4932</v>
      </c>
      <c r="D77" s="1" t="s">
        <v>4933</v>
      </c>
      <c r="E77" s="30" t="s">
        <v>4934</v>
      </c>
      <c r="F77" s="1"/>
      <c r="G77" s="1"/>
      <c r="H77" s="1"/>
      <c r="I77" s="1"/>
      <c r="J77" s="36" t="s">
        <v>79</v>
      </c>
    </row>
    <row r="78" ht="30" customHeight="1">
      <c r="A78" s="35" t="s">
        <v>276</v>
      </c>
      <c r="B78" s="1" t="s">
        <v>4929</v>
      </c>
      <c r="C78" s="1" t="s">
        <v>4935</v>
      </c>
      <c r="D78" s="1" t="s">
        <v>4936</v>
      </c>
      <c r="E78" s="30" t="s">
        <v>4937</v>
      </c>
      <c r="F78" s="1"/>
      <c r="G78" s="1"/>
      <c r="H78" s="1"/>
      <c r="I78" s="1"/>
      <c r="J78" s="36" t="s">
        <v>79</v>
      </c>
    </row>
    <row r="79" ht="60" customHeight="1">
      <c r="A79" s="35" t="s">
        <v>276</v>
      </c>
      <c r="B79" s="1" t="s">
        <v>4929</v>
      </c>
      <c r="C79" s="1" t="s">
        <v>4938</v>
      </c>
      <c r="D79" s="1" t="s">
        <v>4939</v>
      </c>
      <c r="E79" s="30" t="s">
        <v>4940</v>
      </c>
      <c r="F79" s="1"/>
      <c r="G79" s="1"/>
      <c r="H79" s="1"/>
      <c r="I79" s="1"/>
      <c r="J79" s="36" t="s">
        <v>79</v>
      </c>
    </row>
    <row r="80" ht="30" customHeight="1">
      <c r="A80" s="35" t="s">
        <v>276</v>
      </c>
      <c r="B80" s="1" t="s">
        <v>4929</v>
      </c>
      <c r="C80" s="1" t="s">
        <v>4941</v>
      </c>
      <c r="D80" s="1" t="s">
        <v>4942</v>
      </c>
      <c r="E80" s="30" t="s">
        <v>4943</v>
      </c>
      <c r="F80" s="1"/>
      <c r="G80" s="1"/>
      <c r="H80" s="1"/>
      <c r="I80" s="1"/>
      <c r="J80" s="36" t="s">
        <v>79</v>
      </c>
    </row>
    <row r="81" ht="45" customHeight="1">
      <c r="A81" s="35" t="s">
        <v>276</v>
      </c>
      <c r="B81" s="1" t="s">
        <v>4929</v>
      </c>
      <c r="C81" s="1" t="s">
        <v>4944</v>
      </c>
      <c r="D81" s="1" t="s">
        <v>4945</v>
      </c>
      <c r="E81" s="30" t="s">
        <v>4946</v>
      </c>
      <c r="F81" s="1"/>
      <c r="G81" s="1"/>
      <c r="H81" s="1"/>
      <c r="I81" s="1"/>
      <c r="J81" s="36" t="s">
        <v>79</v>
      </c>
    </row>
    <row r="82">
      <c r="A82" s="35" t="s">
        <v>276</v>
      </c>
      <c r="B82" s="1" t="s">
        <v>4929</v>
      </c>
      <c r="C82" s="1" t="s">
        <v>4947</v>
      </c>
      <c r="D82" s="1" t="s">
        <v>4948</v>
      </c>
      <c r="E82" s="30" t="s">
        <v>4949</v>
      </c>
      <c r="F82" s="1"/>
      <c r="G82" s="1"/>
      <c r="H82" s="1"/>
      <c r="I82" s="1"/>
      <c r="J82" s="36" t="s">
        <v>79</v>
      </c>
    </row>
    <row r="83">
      <c r="A83" s="35" t="s">
        <v>276</v>
      </c>
      <c r="B83" s="1" t="s">
        <v>4929</v>
      </c>
      <c r="C83" s="1" t="s">
        <v>4950</v>
      </c>
      <c r="D83" s="1" t="s">
        <v>4832</v>
      </c>
      <c r="E83" s="30" t="s">
        <v>4951</v>
      </c>
      <c r="F83" s="1"/>
      <c r="G83" s="1"/>
      <c r="H83" s="1"/>
      <c r="I83" s="1"/>
      <c r="J83" s="36" t="s">
        <v>79</v>
      </c>
    </row>
    <row r="84">
      <c r="A84" s="35" t="s">
        <v>276</v>
      </c>
      <c r="B84" s="1" t="s">
        <v>4929</v>
      </c>
      <c r="C84" s="1" t="s">
        <v>4952</v>
      </c>
      <c r="D84" s="1" t="s">
        <v>4764</v>
      </c>
      <c r="E84" s="30" t="s">
        <v>4953</v>
      </c>
      <c r="F84" s="1"/>
      <c r="G84" s="1"/>
      <c r="H84" s="1"/>
      <c r="I84" s="1"/>
      <c r="J84" s="36" t="s">
        <v>79</v>
      </c>
    </row>
    <row r="85">
      <c r="A85" s="35" t="s">
        <v>4954</v>
      </c>
      <c r="B85" s="1" t="s">
        <v>4955</v>
      </c>
      <c r="C85" s="1" t="s">
        <v>1417</v>
      </c>
      <c r="D85" s="1" t="s">
        <v>4741</v>
      </c>
      <c r="E85" s="30" t="s">
        <v>4956</v>
      </c>
      <c r="F85" s="1"/>
      <c r="G85" s="1"/>
      <c r="H85" s="1"/>
      <c r="I85" s="1"/>
      <c r="J85" s="36" t="s">
        <v>79</v>
      </c>
    </row>
    <row r="86">
      <c r="A86" s="35" t="s">
        <v>59</v>
      </c>
      <c r="B86" s="1" t="s">
        <v>4957</v>
      </c>
      <c r="C86" s="1" t="s">
        <v>1406</v>
      </c>
      <c r="D86" s="1" t="s">
        <v>4741</v>
      </c>
      <c r="E86" s="30" t="s">
        <v>4958</v>
      </c>
      <c r="F86" s="1"/>
      <c r="G86" s="1"/>
      <c r="H86" s="1"/>
      <c r="I86" s="1"/>
      <c r="J86" s="36" t="s">
        <v>79</v>
      </c>
    </row>
    <row r="87" ht="30" customHeight="1">
      <c r="A87" s="35" t="s">
        <v>59</v>
      </c>
      <c r="B87" s="1" t="s">
        <v>4957</v>
      </c>
      <c r="C87" s="1" t="s">
        <v>3906</v>
      </c>
      <c r="D87" s="1" t="s">
        <v>4959</v>
      </c>
      <c r="E87" s="30" t="s">
        <v>4960</v>
      </c>
      <c r="F87" s="1"/>
      <c r="G87" s="1"/>
      <c r="H87" s="1"/>
      <c r="I87" s="1"/>
      <c r="J87" s="36" t="s">
        <v>79</v>
      </c>
    </row>
    <row r="88" ht="60" customHeight="1">
      <c r="A88" s="35" t="s">
        <v>59</v>
      </c>
      <c r="B88" s="1" t="s">
        <v>4957</v>
      </c>
      <c r="C88" s="1" t="s">
        <v>219</v>
      </c>
      <c r="D88" s="1" t="s">
        <v>4961</v>
      </c>
      <c r="E88" s="30" t="s">
        <v>4962</v>
      </c>
      <c r="F88" s="1"/>
      <c r="G88" s="1"/>
      <c r="H88" s="1"/>
      <c r="I88" s="1"/>
      <c r="J88" s="36" t="s">
        <v>79</v>
      </c>
    </row>
    <row r="89" ht="30" customHeight="1">
      <c r="A89" s="35" t="s">
        <v>59</v>
      </c>
      <c r="B89" s="1" t="s">
        <v>4957</v>
      </c>
      <c r="C89" s="1" t="s">
        <v>3914</v>
      </c>
      <c r="D89" s="1" t="s">
        <v>4963</v>
      </c>
      <c r="E89" s="30" t="s">
        <v>4964</v>
      </c>
      <c r="F89" s="1"/>
      <c r="G89" s="1"/>
      <c r="H89" s="1"/>
      <c r="I89" s="1"/>
      <c r="J89" s="36" t="s">
        <v>79</v>
      </c>
    </row>
    <row r="90">
      <c r="A90" s="35" t="s">
        <v>59</v>
      </c>
      <c r="B90" s="1" t="s">
        <v>4957</v>
      </c>
      <c r="C90" s="1" t="s">
        <v>3924</v>
      </c>
      <c r="D90" s="1" t="s">
        <v>4965</v>
      </c>
      <c r="E90" s="30" t="s">
        <v>4966</v>
      </c>
      <c r="F90" s="1"/>
      <c r="G90" s="1"/>
      <c r="H90" s="1"/>
      <c r="I90" s="1"/>
      <c r="J90" s="36" t="s">
        <v>79</v>
      </c>
    </row>
    <row r="91" ht="30" customHeight="1">
      <c r="A91" s="35" t="s">
        <v>59</v>
      </c>
      <c r="B91" s="1" t="s">
        <v>4957</v>
      </c>
      <c r="C91" s="1" t="s">
        <v>3933</v>
      </c>
      <c r="D91" s="1" t="s">
        <v>4967</v>
      </c>
      <c r="E91" s="30" t="s">
        <v>4968</v>
      </c>
      <c r="F91" s="1"/>
      <c r="G91" s="1"/>
      <c r="H91" s="1"/>
      <c r="I91" s="1"/>
      <c r="J91" s="36" t="s">
        <v>79</v>
      </c>
    </row>
    <row r="92">
      <c r="A92" s="35" t="s">
        <v>59</v>
      </c>
      <c r="B92" s="1" t="s">
        <v>4957</v>
      </c>
      <c r="C92" s="1" t="s">
        <v>4071</v>
      </c>
      <c r="D92" s="1" t="s">
        <v>4832</v>
      </c>
      <c r="E92" s="30" t="s">
        <v>4969</v>
      </c>
      <c r="F92" s="1"/>
      <c r="G92" s="1"/>
      <c r="H92" s="1"/>
      <c r="I92" s="1"/>
      <c r="J92" s="36" t="s">
        <v>79</v>
      </c>
    </row>
    <row r="93">
      <c r="A93" s="35" t="s">
        <v>59</v>
      </c>
      <c r="B93" s="1" t="s">
        <v>4957</v>
      </c>
      <c r="C93" s="1" t="s">
        <v>4076</v>
      </c>
      <c r="D93" s="1" t="s">
        <v>4764</v>
      </c>
      <c r="E93" s="30" t="s">
        <v>4970</v>
      </c>
      <c r="F93" s="1"/>
      <c r="G93" s="1"/>
      <c r="H93" s="1"/>
      <c r="I93" s="1"/>
      <c r="J93" s="36" t="s">
        <v>79</v>
      </c>
    </row>
    <row r="94" ht="30" customHeight="1">
      <c r="A94" s="35" t="s">
        <v>787</v>
      </c>
      <c r="B94" s="1" t="s">
        <v>4971</v>
      </c>
      <c r="C94" s="1" t="s">
        <v>4972</v>
      </c>
      <c r="D94" s="1" t="s">
        <v>4741</v>
      </c>
      <c r="E94" s="30" t="s">
        <v>4973</v>
      </c>
      <c r="F94" s="1"/>
      <c r="G94" s="1"/>
      <c r="H94" s="1"/>
      <c r="I94" s="1"/>
      <c r="J94" s="36" t="s">
        <v>79</v>
      </c>
    </row>
    <row r="95" ht="45" customHeight="1">
      <c r="A95" s="35" t="s">
        <v>787</v>
      </c>
      <c r="B95" s="1" t="s">
        <v>4971</v>
      </c>
      <c r="C95" s="1" t="s">
        <v>1030</v>
      </c>
      <c r="D95" s="1" t="s">
        <v>4974</v>
      </c>
      <c r="E95" s="30" t="s">
        <v>4975</v>
      </c>
      <c r="F95" s="1"/>
      <c r="G95" s="1"/>
      <c r="H95" s="1"/>
      <c r="I95" s="1"/>
      <c r="J95" s="36" t="s">
        <v>79</v>
      </c>
    </row>
    <row r="96" ht="30" customHeight="1">
      <c r="A96" s="35" t="s">
        <v>787</v>
      </c>
      <c r="B96" s="1" t="s">
        <v>4971</v>
      </c>
      <c r="C96" s="1" t="s">
        <v>300</v>
      </c>
      <c r="D96" s="1" t="s">
        <v>4976</v>
      </c>
      <c r="E96" s="30" t="s">
        <v>4977</v>
      </c>
      <c r="F96" s="1"/>
      <c r="G96" s="1"/>
      <c r="H96" s="1"/>
      <c r="I96" s="1"/>
      <c r="J96" s="36" t="s">
        <v>79</v>
      </c>
    </row>
    <row r="97" ht="30" customHeight="1">
      <c r="A97" s="35" t="s">
        <v>787</v>
      </c>
      <c r="B97" s="1" t="s">
        <v>4971</v>
      </c>
      <c r="C97" s="1" t="s">
        <v>2472</v>
      </c>
      <c r="D97" s="1" t="s">
        <v>4978</v>
      </c>
      <c r="E97" s="30" t="s">
        <v>4979</v>
      </c>
      <c r="F97" s="1"/>
      <c r="G97" s="1"/>
      <c r="H97" s="1"/>
      <c r="I97" s="1"/>
      <c r="J97" s="36" t="s">
        <v>79</v>
      </c>
    </row>
    <row r="98" ht="30" customHeight="1">
      <c r="A98" s="35" t="s">
        <v>787</v>
      </c>
      <c r="B98" s="1" t="s">
        <v>4971</v>
      </c>
      <c r="C98" s="1" t="s">
        <v>4980</v>
      </c>
      <c r="D98" s="1" t="s">
        <v>4981</v>
      </c>
      <c r="E98" s="30" t="s">
        <v>4982</v>
      </c>
      <c r="F98" s="1"/>
      <c r="G98" s="1"/>
      <c r="H98" s="1"/>
      <c r="I98" s="1"/>
      <c r="J98" s="36" t="s">
        <v>79</v>
      </c>
    </row>
    <row r="99" ht="30" customHeight="1">
      <c r="A99" s="35" t="s">
        <v>787</v>
      </c>
      <c r="B99" s="1" t="s">
        <v>4971</v>
      </c>
      <c r="C99" s="1" t="s">
        <v>4983</v>
      </c>
      <c r="D99" s="1" t="s">
        <v>4984</v>
      </c>
      <c r="E99" s="30" t="s">
        <v>4985</v>
      </c>
      <c r="F99" s="1"/>
      <c r="G99" s="1"/>
      <c r="H99" s="1"/>
      <c r="I99" s="1"/>
      <c r="J99" s="36" t="s">
        <v>79</v>
      </c>
    </row>
    <row r="100" ht="30" customHeight="1">
      <c r="A100" s="35" t="s">
        <v>787</v>
      </c>
      <c r="B100" s="1" t="s">
        <v>4971</v>
      </c>
      <c r="C100" s="1" t="s">
        <v>4986</v>
      </c>
      <c r="D100" s="1" t="s">
        <v>4987</v>
      </c>
      <c r="E100" s="30" t="s">
        <v>4988</v>
      </c>
      <c r="F100" s="1"/>
      <c r="G100" s="1"/>
      <c r="H100" s="1"/>
      <c r="I100" s="1"/>
      <c r="J100" s="36" t="s">
        <v>79</v>
      </c>
    </row>
    <row r="101" ht="30" customHeight="1">
      <c r="A101" s="35" t="s">
        <v>787</v>
      </c>
      <c r="B101" s="1" t="s">
        <v>4971</v>
      </c>
      <c r="C101" s="1" t="s">
        <v>4989</v>
      </c>
      <c r="D101" s="1" t="s">
        <v>4990</v>
      </c>
      <c r="E101" s="30" t="s">
        <v>4991</v>
      </c>
      <c r="F101" s="1"/>
      <c r="G101" s="1"/>
      <c r="H101" s="1"/>
      <c r="I101" s="1"/>
      <c r="J101" s="36" t="s">
        <v>79</v>
      </c>
    </row>
    <row r="102" ht="30" customHeight="1">
      <c r="A102" s="35" t="s">
        <v>787</v>
      </c>
      <c r="B102" s="1" t="s">
        <v>4971</v>
      </c>
      <c r="C102" s="1" t="s">
        <v>1190</v>
      </c>
      <c r="D102" s="1" t="s">
        <v>4992</v>
      </c>
      <c r="E102" s="30" t="s">
        <v>4993</v>
      </c>
      <c r="F102" s="1"/>
      <c r="G102" s="1"/>
      <c r="H102" s="1"/>
      <c r="I102" s="1"/>
      <c r="J102" s="36" t="s">
        <v>79</v>
      </c>
    </row>
    <row r="103" ht="30" customHeight="1">
      <c r="A103" s="35" t="s">
        <v>787</v>
      </c>
      <c r="B103" s="1" t="s">
        <v>4971</v>
      </c>
      <c r="C103" s="1" t="s">
        <v>4994</v>
      </c>
      <c r="D103" s="1" t="s">
        <v>4995</v>
      </c>
      <c r="E103" s="30" t="s">
        <v>4996</v>
      </c>
      <c r="F103" s="1"/>
      <c r="G103" s="1"/>
      <c r="H103" s="1"/>
      <c r="I103" s="1"/>
      <c r="J103" s="36" t="s">
        <v>79</v>
      </c>
    </row>
    <row r="104">
      <c r="A104" s="35" t="s">
        <v>787</v>
      </c>
      <c r="B104" s="1" t="s">
        <v>4971</v>
      </c>
      <c r="C104" s="1" t="s">
        <v>732</v>
      </c>
      <c r="D104" s="1" t="s">
        <v>4997</v>
      </c>
      <c r="E104" s="30" t="s">
        <v>4998</v>
      </c>
      <c r="F104" s="1"/>
      <c r="G104" s="1"/>
      <c r="H104" s="1"/>
      <c r="I104" s="1"/>
      <c r="J104" s="36" t="s">
        <v>79</v>
      </c>
    </row>
    <row r="105">
      <c r="A105" s="35" t="s">
        <v>787</v>
      </c>
      <c r="B105" s="1" t="s">
        <v>4971</v>
      </c>
      <c r="C105" s="1" t="s">
        <v>4999</v>
      </c>
      <c r="D105" s="1" t="s">
        <v>5000</v>
      </c>
      <c r="E105" s="30" t="s">
        <v>5001</v>
      </c>
      <c r="F105" s="1"/>
      <c r="G105" s="1"/>
      <c r="H105" s="1"/>
      <c r="I105" s="1"/>
      <c r="J105" s="36" t="s">
        <v>79</v>
      </c>
    </row>
    <row r="106">
      <c r="A106" s="35" t="s">
        <v>787</v>
      </c>
      <c r="B106" s="1" t="s">
        <v>4971</v>
      </c>
      <c r="C106" s="1" t="s">
        <v>5002</v>
      </c>
      <c r="D106" s="1" t="s">
        <v>4764</v>
      </c>
      <c r="E106" s="30" t="s">
        <v>5003</v>
      </c>
      <c r="F106" s="1"/>
      <c r="G106" s="1"/>
      <c r="H106" s="1"/>
      <c r="I106" s="1"/>
      <c r="J106" s="36" t="s">
        <v>79</v>
      </c>
    </row>
    <row r="107" ht="45" customHeight="1">
      <c r="A107" s="35" t="s">
        <v>150</v>
      </c>
      <c r="B107" s="1" t="s">
        <v>5004</v>
      </c>
      <c r="C107" s="1" t="s">
        <v>607</v>
      </c>
      <c r="D107" s="1" t="s">
        <v>4741</v>
      </c>
      <c r="E107" s="30" t="s">
        <v>5005</v>
      </c>
      <c r="F107" s="1"/>
      <c r="G107" s="1"/>
      <c r="H107" s="1"/>
      <c r="I107" s="1"/>
      <c r="J107" s="36" t="s">
        <v>79</v>
      </c>
    </row>
    <row r="108" ht="30" customHeight="1">
      <c r="A108" s="35" t="s">
        <v>150</v>
      </c>
      <c r="B108" s="1" t="s">
        <v>5004</v>
      </c>
      <c r="C108" s="1" t="s">
        <v>2534</v>
      </c>
      <c r="D108" s="1" t="s">
        <v>5006</v>
      </c>
      <c r="E108" s="30" t="s">
        <v>5007</v>
      </c>
      <c r="F108" s="1"/>
      <c r="G108" s="1"/>
      <c r="H108" s="1"/>
      <c r="I108" s="1"/>
      <c r="J108" s="36" t="s">
        <v>79</v>
      </c>
    </row>
    <row r="109" ht="30" customHeight="1">
      <c r="A109" s="35" t="s">
        <v>150</v>
      </c>
      <c r="B109" s="1" t="s">
        <v>5004</v>
      </c>
      <c r="C109" s="1" t="s">
        <v>5008</v>
      </c>
      <c r="D109" s="1" t="s">
        <v>5009</v>
      </c>
      <c r="E109" s="30" t="s">
        <v>5010</v>
      </c>
      <c r="F109" s="1"/>
      <c r="G109" s="1"/>
      <c r="H109" s="1"/>
      <c r="I109" s="1"/>
      <c r="J109" s="36" t="s">
        <v>79</v>
      </c>
    </row>
    <row r="110" ht="30" customHeight="1">
      <c r="A110" s="35" t="s">
        <v>150</v>
      </c>
      <c r="B110" s="1" t="s">
        <v>5004</v>
      </c>
      <c r="C110" s="1" t="s">
        <v>2043</v>
      </c>
      <c r="D110" s="1" t="s">
        <v>5011</v>
      </c>
      <c r="E110" s="30" t="s">
        <v>5012</v>
      </c>
      <c r="F110" s="1"/>
      <c r="G110" s="1"/>
      <c r="H110" s="1"/>
      <c r="I110" s="1"/>
      <c r="J110" s="36" t="s">
        <v>79</v>
      </c>
    </row>
    <row r="111" ht="30" customHeight="1">
      <c r="A111" s="35" t="s">
        <v>150</v>
      </c>
      <c r="B111" s="1" t="s">
        <v>5004</v>
      </c>
      <c r="C111" s="1" t="s">
        <v>821</v>
      </c>
      <c r="D111" s="1" t="s">
        <v>5013</v>
      </c>
      <c r="E111" s="30" t="s">
        <v>5014</v>
      </c>
      <c r="F111" s="1"/>
      <c r="G111" s="1"/>
      <c r="H111" s="1"/>
      <c r="I111" s="1"/>
      <c r="J111" s="36" t="s">
        <v>79</v>
      </c>
    </row>
    <row r="112" ht="30" customHeight="1">
      <c r="A112" s="35" t="s">
        <v>150</v>
      </c>
      <c r="B112" s="1" t="s">
        <v>5004</v>
      </c>
      <c r="C112" s="1" t="s">
        <v>5015</v>
      </c>
      <c r="D112" s="1" t="s">
        <v>5016</v>
      </c>
      <c r="E112" s="30" t="s">
        <v>5017</v>
      </c>
      <c r="F112" s="1"/>
      <c r="G112" s="1"/>
      <c r="H112" s="1"/>
      <c r="I112" s="1"/>
      <c r="J112" s="36" t="s">
        <v>79</v>
      </c>
    </row>
    <row r="113" ht="30" customHeight="1">
      <c r="A113" s="35" t="s">
        <v>150</v>
      </c>
      <c r="B113" s="1" t="s">
        <v>5004</v>
      </c>
      <c r="C113" s="1" t="s">
        <v>941</v>
      </c>
      <c r="D113" s="1" t="s">
        <v>5018</v>
      </c>
      <c r="E113" s="30" t="s">
        <v>5019</v>
      </c>
      <c r="F113" s="1"/>
      <c r="G113" s="1"/>
      <c r="H113" s="1"/>
      <c r="I113" s="1"/>
      <c r="J113" s="36" t="s">
        <v>79</v>
      </c>
    </row>
    <row r="114">
      <c r="A114" s="35" t="s">
        <v>150</v>
      </c>
      <c r="B114" s="1" t="s">
        <v>5004</v>
      </c>
      <c r="C114" s="1" t="s">
        <v>5020</v>
      </c>
      <c r="D114" s="1" t="s">
        <v>4764</v>
      </c>
      <c r="E114" s="30" t="s">
        <v>5021</v>
      </c>
      <c r="F114" s="1"/>
      <c r="G114" s="1"/>
      <c r="H114" s="1"/>
      <c r="I114" s="1"/>
      <c r="J114" s="36" t="s">
        <v>79</v>
      </c>
    </row>
    <row r="115" ht="45" customHeight="1">
      <c r="A115" s="35" t="s">
        <v>1408</v>
      </c>
      <c r="B115" s="1" t="s">
        <v>5022</v>
      </c>
      <c r="C115" s="1" t="s">
        <v>3218</v>
      </c>
      <c r="D115" s="1" t="s">
        <v>4741</v>
      </c>
      <c r="E115" s="30" t="s">
        <v>5023</v>
      </c>
      <c r="F115" s="1"/>
      <c r="G115" s="1"/>
      <c r="H115" s="1"/>
      <c r="I115" s="1"/>
      <c r="J115" s="36" t="s">
        <v>79</v>
      </c>
    </row>
    <row r="116">
      <c r="A116" s="35" t="s">
        <v>1408</v>
      </c>
      <c r="B116" s="1" t="s">
        <v>5022</v>
      </c>
      <c r="C116" s="1" t="s">
        <v>5024</v>
      </c>
      <c r="D116" s="1" t="s">
        <v>171</v>
      </c>
      <c r="E116" s="30" t="s">
        <v>5025</v>
      </c>
      <c r="F116" s="1"/>
      <c r="G116" s="1"/>
      <c r="H116" s="1"/>
      <c r="I116" s="1"/>
      <c r="J116" s="36" t="s">
        <v>79</v>
      </c>
    </row>
    <row r="117">
      <c r="A117" s="35" t="s">
        <v>1408</v>
      </c>
      <c r="B117" s="1" t="s">
        <v>5022</v>
      </c>
      <c r="C117" s="1" t="s">
        <v>304</v>
      </c>
      <c r="D117" s="1" t="s">
        <v>5026</v>
      </c>
      <c r="E117" s="30" t="s">
        <v>5027</v>
      </c>
      <c r="F117" s="1"/>
      <c r="G117" s="1"/>
      <c r="H117" s="1"/>
      <c r="I117" s="1"/>
      <c r="J117" s="36" t="s">
        <v>79</v>
      </c>
    </row>
    <row r="118">
      <c r="A118" s="35" t="s">
        <v>1408</v>
      </c>
      <c r="B118" s="1" t="s">
        <v>5022</v>
      </c>
      <c r="C118" s="1" t="s">
        <v>5028</v>
      </c>
      <c r="D118" s="1" t="s">
        <v>5029</v>
      </c>
      <c r="E118" s="30" t="s">
        <v>5030</v>
      </c>
      <c r="F118" s="1"/>
      <c r="G118" s="1"/>
      <c r="H118" s="1"/>
      <c r="I118" s="1"/>
      <c r="J118" s="36" t="s">
        <v>79</v>
      </c>
    </row>
    <row r="119" ht="45" customHeight="1">
      <c r="A119" s="35" t="s">
        <v>1408</v>
      </c>
      <c r="B119" s="1" t="s">
        <v>5022</v>
      </c>
      <c r="C119" s="1" t="s">
        <v>5031</v>
      </c>
      <c r="D119" s="1" t="s">
        <v>5032</v>
      </c>
      <c r="E119" s="30" t="s">
        <v>5033</v>
      </c>
      <c r="F119" s="1"/>
      <c r="G119" s="1"/>
      <c r="H119" s="1"/>
      <c r="I119" s="1"/>
      <c r="J119" s="36" t="s">
        <v>79</v>
      </c>
    </row>
    <row r="120" ht="30" customHeight="1">
      <c r="A120" s="35" t="s">
        <v>1408</v>
      </c>
      <c r="B120" s="1" t="s">
        <v>5022</v>
      </c>
      <c r="C120" s="1" t="s">
        <v>179</v>
      </c>
      <c r="D120" s="1" t="s">
        <v>5034</v>
      </c>
      <c r="E120" s="30" t="s">
        <v>5035</v>
      </c>
      <c r="F120" s="1"/>
      <c r="G120" s="1"/>
      <c r="H120" s="1"/>
      <c r="I120" s="1"/>
      <c r="J120" s="36" t="s">
        <v>79</v>
      </c>
    </row>
    <row r="121">
      <c r="A121" s="35" t="s">
        <v>1408</v>
      </c>
      <c r="B121" s="1" t="s">
        <v>5022</v>
      </c>
      <c r="C121" s="1" t="s">
        <v>5036</v>
      </c>
      <c r="D121" s="1" t="s">
        <v>5037</v>
      </c>
      <c r="E121" s="30" t="s">
        <v>5038</v>
      </c>
      <c r="F121" s="1"/>
      <c r="G121" s="1"/>
      <c r="H121" s="1"/>
      <c r="I121" s="1"/>
      <c r="J121" s="36" t="s">
        <v>79</v>
      </c>
    </row>
    <row r="122">
      <c r="A122" s="35" t="s">
        <v>1408</v>
      </c>
      <c r="B122" s="1" t="s">
        <v>5022</v>
      </c>
      <c r="C122" s="1" t="s">
        <v>5039</v>
      </c>
      <c r="D122" s="1" t="s">
        <v>5040</v>
      </c>
      <c r="E122" s="30" t="s">
        <v>5041</v>
      </c>
      <c r="F122" s="1"/>
      <c r="G122" s="1"/>
      <c r="H122" s="1"/>
      <c r="I122" s="1"/>
      <c r="J122" s="36" t="s">
        <v>79</v>
      </c>
    </row>
    <row r="123">
      <c r="A123" s="35" t="s">
        <v>1408</v>
      </c>
      <c r="B123" s="1" t="s">
        <v>5022</v>
      </c>
      <c r="C123" s="1" t="s">
        <v>5042</v>
      </c>
      <c r="D123" s="1" t="s">
        <v>5043</v>
      </c>
      <c r="E123" s="30" t="s">
        <v>5044</v>
      </c>
      <c r="F123" s="1"/>
      <c r="G123" s="1"/>
      <c r="H123" s="1"/>
      <c r="I123" s="1"/>
      <c r="J123" s="36" t="s">
        <v>79</v>
      </c>
    </row>
    <row r="124">
      <c r="A124" s="35" t="s">
        <v>1408</v>
      </c>
      <c r="B124" s="1" t="s">
        <v>5022</v>
      </c>
      <c r="C124" s="1" t="s">
        <v>5045</v>
      </c>
      <c r="D124" s="1" t="s">
        <v>4764</v>
      </c>
      <c r="E124" s="30" t="s">
        <v>5046</v>
      </c>
      <c r="F124" s="1"/>
      <c r="G124" s="1"/>
      <c r="H124" s="1"/>
      <c r="I124" s="1"/>
      <c r="J124" s="36" t="s">
        <v>79</v>
      </c>
    </row>
    <row r="125" ht="30" customHeight="1">
      <c r="A125" s="35" t="s">
        <v>210</v>
      </c>
      <c r="B125" s="1" t="s">
        <v>5047</v>
      </c>
      <c r="C125" s="1" t="s">
        <v>5048</v>
      </c>
      <c r="D125" s="1" t="s">
        <v>4741</v>
      </c>
      <c r="E125" s="30" t="s">
        <v>5049</v>
      </c>
      <c r="F125" s="1"/>
      <c r="G125" s="1"/>
      <c r="H125" s="1"/>
      <c r="I125" s="1"/>
      <c r="J125" s="36" t="s">
        <v>79</v>
      </c>
    </row>
    <row r="126" ht="30" customHeight="1">
      <c r="A126" s="35" t="s">
        <v>210</v>
      </c>
      <c r="B126" s="1" t="s">
        <v>5047</v>
      </c>
      <c r="C126" s="1" t="s">
        <v>5050</v>
      </c>
      <c r="D126" s="1" t="s">
        <v>5051</v>
      </c>
      <c r="E126" s="30" t="s">
        <v>5052</v>
      </c>
      <c r="F126" s="1"/>
      <c r="G126" s="1"/>
      <c r="H126" s="1"/>
      <c r="I126" s="1"/>
      <c r="J126" s="36" t="s">
        <v>79</v>
      </c>
    </row>
    <row r="127">
      <c r="A127" s="35" t="s">
        <v>210</v>
      </c>
      <c r="B127" s="1" t="s">
        <v>5047</v>
      </c>
      <c r="C127" s="1" t="s">
        <v>5053</v>
      </c>
      <c r="D127" s="1" t="s">
        <v>5054</v>
      </c>
      <c r="E127" s="30" t="s">
        <v>5055</v>
      </c>
      <c r="F127" s="1"/>
      <c r="G127" s="1"/>
      <c r="H127" s="1"/>
      <c r="I127" s="1"/>
      <c r="J127" s="36" t="s">
        <v>79</v>
      </c>
    </row>
    <row r="128" ht="45" customHeight="1">
      <c r="A128" s="35" t="s">
        <v>210</v>
      </c>
      <c r="B128" s="1" t="s">
        <v>5047</v>
      </c>
      <c r="C128" s="1" t="s">
        <v>5056</v>
      </c>
      <c r="D128" s="1" t="s">
        <v>5057</v>
      </c>
      <c r="E128" s="30" t="s">
        <v>5058</v>
      </c>
      <c r="F128" s="1"/>
      <c r="G128" s="1"/>
      <c r="H128" s="1"/>
      <c r="I128" s="1"/>
      <c r="J128" s="36" t="s">
        <v>79</v>
      </c>
    </row>
    <row r="129">
      <c r="A129" s="35" t="s">
        <v>210</v>
      </c>
      <c r="B129" s="1" t="s">
        <v>5047</v>
      </c>
      <c r="C129" s="1" t="s">
        <v>5059</v>
      </c>
      <c r="D129" s="1" t="s">
        <v>5060</v>
      </c>
      <c r="E129" s="30" t="s">
        <v>5061</v>
      </c>
      <c r="F129" s="1"/>
      <c r="G129" s="1"/>
      <c r="H129" s="1"/>
      <c r="I129" s="1"/>
      <c r="J129" s="36" t="s">
        <v>79</v>
      </c>
    </row>
    <row r="130">
      <c r="A130" s="35" t="s">
        <v>210</v>
      </c>
      <c r="B130" s="1" t="s">
        <v>5047</v>
      </c>
      <c r="C130" s="1" t="s">
        <v>5062</v>
      </c>
      <c r="D130" s="1" t="s">
        <v>5063</v>
      </c>
      <c r="E130" s="30" t="s">
        <v>5064</v>
      </c>
      <c r="F130" s="1"/>
      <c r="G130" s="1"/>
      <c r="H130" s="1"/>
      <c r="I130" s="1"/>
      <c r="J130" s="36" t="s">
        <v>79</v>
      </c>
    </row>
    <row r="131" ht="30" customHeight="1">
      <c r="A131" s="35" t="s">
        <v>210</v>
      </c>
      <c r="B131" s="1" t="s">
        <v>5047</v>
      </c>
      <c r="C131" s="1" t="s">
        <v>5065</v>
      </c>
      <c r="D131" s="1" t="s">
        <v>5066</v>
      </c>
      <c r="E131" s="30" t="s">
        <v>5067</v>
      </c>
      <c r="F131" s="1"/>
      <c r="G131" s="1"/>
      <c r="H131" s="1"/>
      <c r="I131" s="1"/>
      <c r="J131" s="36" t="s">
        <v>79</v>
      </c>
    </row>
    <row r="132">
      <c r="A132" s="35" t="s">
        <v>210</v>
      </c>
      <c r="B132" s="1" t="s">
        <v>5047</v>
      </c>
      <c r="C132" s="1" t="s">
        <v>5068</v>
      </c>
      <c r="D132" s="1" t="s">
        <v>5069</v>
      </c>
      <c r="E132" s="30" t="s">
        <v>5070</v>
      </c>
      <c r="F132" s="1"/>
      <c r="G132" s="1"/>
      <c r="H132" s="1"/>
      <c r="I132" s="1"/>
      <c r="J132" s="36" t="s">
        <v>79</v>
      </c>
    </row>
    <row r="133">
      <c r="A133" s="35" t="s">
        <v>210</v>
      </c>
      <c r="B133" s="1" t="s">
        <v>5047</v>
      </c>
      <c r="C133" s="1" t="s">
        <v>5071</v>
      </c>
      <c r="D133" s="1" t="s">
        <v>5072</v>
      </c>
      <c r="E133" s="30" t="s">
        <v>5073</v>
      </c>
      <c r="F133" s="1"/>
      <c r="G133" s="1"/>
      <c r="H133" s="1"/>
      <c r="I133" s="1"/>
      <c r="J133" s="36" t="s">
        <v>79</v>
      </c>
    </row>
    <row r="134" ht="30" customHeight="1">
      <c r="A134" s="35" t="s">
        <v>210</v>
      </c>
      <c r="B134" s="1" t="s">
        <v>5047</v>
      </c>
      <c r="C134" s="1" t="s">
        <v>5074</v>
      </c>
      <c r="D134" s="1" t="s">
        <v>5075</v>
      </c>
      <c r="E134" s="30" t="s">
        <v>5076</v>
      </c>
      <c r="F134" s="1"/>
      <c r="G134" s="1"/>
      <c r="H134" s="1"/>
      <c r="I134" s="1"/>
      <c r="J134" s="36" t="s">
        <v>79</v>
      </c>
    </row>
    <row r="135">
      <c r="A135" s="35" t="s">
        <v>210</v>
      </c>
      <c r="B135" s="1" t="s">
        <v>5047</v>
      </c>
      <c r="C135" s="1" t="s">
        <v>2689</v>
      </c>
      <c r="D135" s="1" t="s">
        <v>1310</v>
      </c>
      <c r="E135" s="30" t="s">
        <v>5077</v>
      </c>
      <c r="F135" s="1"/>
      <c r="G135" s="1"/>
      <c r="H135" s="1"/>
      <c r="I135" s="1"/>
      <c r="J135" s="36" t="s">
        <v>79</v>
      </c>
    </row>
    <row r="136">
      <c r="A136" s="35" t="s">
        <v>210</v>
      </c>
      <c r="B136" s="1" t="s">
        <v>5047</v>
      </c>
      <c r="C136" s="1" t="s">
        <v>5078</v>
      </c>
      <c r="D136" s="1" t="s">
        <v>5079</v>
      </c>
      <c r="E136" s="30" t="s">
        <v>5080</v>
      </c>
      <c r="F136" s="1"/>
      <c r="G136" s="1"/>
      <c r="H136" s="1"/>
      <c r="I136" s="1"/>
      <c r="J136" s="36" t="s">
        <v>79</v>
      </c>
    </row>
    <row r="137" ht="30" customHeight="1">
      <c r="A137" s="35" t="s">
        <v>210</v>
      </c>
      <c r="B137" s="1" t="s">
        <v>5047</v>
      </c>
      <c r="C137" s="1" t="s">
        <v>5081</v>
      </c>
      <c r="D137" s="1" t="s">
        <v>5082</v>
      </c>
      <c r="E137" s="30" t="s">
        <v>5083</v>
      </c>
      <c r="F137" s="1"/>
      <c r="G137" s="1"/>
      <c r="H137" s="1"/>
      <c r="I137" s="1"/>
      <c r="J137" s="36" t="s">
        <v>79</v>
      </c>
    </row>
    <row r="138">
      <c r="A138" s="35" t="s">
        <v>210</v>
      </c>
      <c r="B138" s="1" t="s">
        <v>5047</v>
      </c>
      <c r="C138" s="1" t="s">
        <v>5084</v>
      </c>
      <c r="D138" s="1" t="s">
        <v>4764</v>
      </c>
      <c r="E138" s="30" t="s">
        <v>5085</v>
      </c>
      <c r="F138" s="1"/>
      <c r="G138" s="1"/>
      <c r="H138" s="1"/>
      <c r="I138" s="1"/>
      <c r="J138" s="36" t="s">
        <v>79</v>
      </c>
    </row>
    <row r="139">
      <c r="A139" s="35" t="s">
        <v>168</v>
      </c>
      <c r="B139" s="1" t="s">
        <v>5086</v>
      </c>
      <c r="C139" s="1" t="s">
        <v>5087</v>
      </c>
      <c r="D139" s="1" t="s">
        <v>4741</v>
      </c>
      <c r="E139" s="30" t="s">
        <v>5088</v>
      </c>
      <c r="F139" s="1"/>
      <c r="G139" s="1"/>
      <c r="H139" s="1"/>
      <c r="I139" s="1"/>
      <c r="J139" s="36" t="s">
        <v>79</v>
      </c>
    </row>
    <row r="140">
      <c r="A140" s="35" t="s">
        <v>168</v>
      </c>
      <c r="B140" s="1" t="s">
        <v>5086</v>
      </c>
      <c r="C140" s="1" t="s">
        <v>5089</v>
      </c>
      <c r="D140" s="1" t="s">
        <v>5090</v>
      </c>
      <c r="E140" s="30" t="s">
        <v>5091</v>
      </c>
      <c r="F140" s="1"/>
      <c r="G140" s="1"/>
      <c r="H140" s="1"/>
      <c r="I140" s="1"/>
      <c r="J140" s="36" t="s">
        <v>79</v>
      </c>
    </row>
    <row r="141">
      <c r="A141" s="35" t="s">
        <v>168</v>
      </c>
      <c r="B141" s="1" t="s">
        <v>5086</v>
      </c>
      <c r="C141" s="1" t="s">
        <v>5092</v>
      </c>
      <c r="D141" s="1" t="s">
        <v>5093</v>
      </c>
      <c r="E141" s="30" t="s">
        <v>5094</v>
      </c>
      <c r="F141" s="1"/>
      <c r="G141" s="1"/>
      <c r="H141" s="1"/>
      <c r="I141" s="1"/>
      <c r="J141" s="36" t="s">
        <v>79</v>
      </c>
    </row>
    <row r="142" ht="30" customHeight="1">
      <c r="A142" s="35" t="s">
        <v>168</v>
      </c>
      <c r="B142" s="1" t="s">
        <v>5086</v>
      </c>
      <c r="C142" s="1" t="s">
        <v>5095</v>
      </c>
      <c r="D142" s="1" t="s">
        <v>5096</v>
      </c>
      <c r="E142" s="30" t="s">
        <v>5097</v>
      </c>
      <c r="F142" s="1"/>
      <c r="G142" s="1"/>
      <c r="H142" s="1"/>
      <c r="I142" s="1"/>
      <c r="J142" s="36" t="s">
        <v>79</v>
      </c>
    </row>
    <row r="143" ht="30" customHeight="1">
      <c r="A143" s="35" t="s">
        <v>168</v>
      </c>
      <c r="B143" s="1" t="s">
        <v>5086</v>
      </c>
      <c r="C143" s="1" t="s">
        <v>5098</v>
      </c>
      <c r="D143" s="1" t="s">
        <v>5099</v>
      </c>
      <c r="E143" s="30" t="s">
        <v>5100</v>
      </c>
      <c r="F143" s="1"/>
      <c r="G143" s="1"/>
      <c r="H143" s="1"/>
      <c r="I143" s="1"/>
      <c r="J143" s="36" t="s">
        <v>79</v>
      </c>
    </row>
    <row r="144">
      <c r="A144" s="35" t="s">
        <v>168</v>
      </c>
      <c r="B144" s="1" t="s">
        <v>5086</v>
      </c>
      <c r="C144" s="1" t="s">
        <v>5101</v>
      </c>
      <c r="D144" s="1" t="s">
        <v>5102</v>
      </c>
      <c r="E144" s="30" t="s">
        <v>5103</v>
      </c>
      <c r="F144" s="1"/>
      <c r="G144" s="1"/>
      <c r="H144" s="1"/>
      <c r="I144" s="1"/>
      <c r="J144" s="36" t="s">
        <v>79</v>
      </c>
    </row>
    <row r="145" ht="30" customHeight="1">
      <c r="A145" s="35" t="s">
        <v>168</v>
      </c>
      <c r="B145" s="1" t="s">
        <v>5086</v>
      </c>
      <c r="C145" s="1" t="s">
        <v>5104</v>
      </c>
      <c r="D145" s="1" t="s">
        <v>5105</v>
      </c>
      <c r="E145" s="30" t="s">
        <v>5106</v>
      </c>
      <c r="F145" s="1"/>
      <c r="G145" s="1"/>
      <c r="H145" s="1"/>
      <c r="I145" s="1"/>
      <c r="J145" s="36" t="s">
        <v>79</v>
      </c>
    </row>
    <row r="146" ht="30" customHeight="1">
      <c r="A146" s="35" t="s">
        <v>168</v>
      </c>
      <c r="B146" s="1" t="s">
        <v>5086</v>
      </c>
      <c r="C146" s="1" t="s">
        <v>5107</v>
      </c>
      <c r="D146" s="1" t="s">
        <v>5108</v>
      </c>
      <c r="E146" s="30" t="s">
        <v>5109</v>
      </c>
      <c r="F146" s="1"/>
      <c r="G146" s="1"/>
      <c r="H146" s="1"/>
      <c r="I146" s="1"/>
      <c r="J146" s="36" t="s">
        <v>79</v>
      </c>
    </row>
    <row r="147" ht="30" customHeight="1">
      <c r="A147" s="35" t="s">
        <v>168</v>
      </c>
      <c r="B147" s="1" t="s">
        <v>5086</v>
      </c>
      <c r="C147" s="1" t="s">
        <v>5110</v>
      </c>
      <c r="D147" s="1" t="s">
        <v>5111</v>
      </c>
      <c r="E147" s="30" t="s">
        <v>5112</v>
      </c>
      <c r="F147" s="1"/>
      <c r="G147" s="1"/>
      <c r="H147" s="1"/>
      <c r="I147" s="1"/>
      <c r="J147" s="36" t="s">
        <v>79</v>
      </c>
    </row>
    <row r="148">
      <c r="A148" s="35" t="s">
        <v>168</v>
      </c>
      <c r="B148" s="1" t="s">
        <v>5086</v>
      </c>
      <c r="C148" s="1" t="s">
        <v>5113</v>
      </c>
      <c r="D148" s="1" t="s">
        <v>5114</v>
      </c>
      <c r="E148" s="30" t="s">
        <v>5115</v>
      </c>
      <c r="F148" s="1"/>
      <c r="G148" s="1"/>
      <c r="H148" s="1"/>
      <c r="I148" s="1"/>
      <c r="J148" s="36" t="s">
        <v>79</v>
      </c>
    </row>
    <row r="149">
      <c r="A149" s="35" t="s">
        <v>168</v>
      </c>
      <c r="B149" s="1" t="s">
        <v>5086</v>
      </c>
      <c r="C149" s="1" t="s">
        <v>5116</v>
      </c>
      <c r="D149" s="1" t="s">
        <v>5117</v>
      </c>
      <c r="E149" s="30" t="s">
        <v>5118</v>
      </c>
      <c r="F149" s="1"/>
      <c r="G149" s="1"/>
      <c r="H149" s="1"/>
      <c r="I149" s="1"/>
      <c r="J149" s="36" t="s">
        <v>79</v>
      </c>
    </row>
    <row r="150" ht="30" customHeight="1">
      <c r="A150" s="35" t="s">
        <v>168</v>
      </c>
      <c r="B150" s="1" t="s">
        <v>5086</v>
      </c>
      <c r="C150" s="1" t="s">
        <v>5119</v>
      </c>
      <c r="D150" s="1" t="s">
        <v>5120</v>
      </c>
      <c r="E150" s="30" t="s">
        <v>5121</v>
      </c>
      <c r="F150" s="1"/>
      <c r="G150" s="1"/>
      <c r="H150" s="1"/>
      <c r="I150" s="1"/>
      <c r="J150" s="36" t="s">
        <v>79</v>
      </c>
    </row>
    <row r="151">
      <c r="A151" s="35" t="s">
        <v>168</v>
      </c>
      <c r="B151" s="1" t="s">
        <v>5086</v>
      </c>
      <c r="C151" s="1" t="s">
        <v>5122</v>
      </c>
      <c r="D151" s="1" t="s">
        <v>5123</v>
      </c>
      <c r="E151" s="30" t="s">
        <v>5124</v>
      </c>
      <c r="F151" s="1"/>
      <c r="G151" s="1"/>
      <c r="H151" s="1"/>
      <c r="I151" s="1"/>
      <c r="J151" s="36" t="s">
        <v>79</v>
      </c>
    </row>
    <row r="152">
      <c r="A152" s="35" t="s">
        <v>168</v>
      </c>
      <c r="B152" s="1" t="s">
        <v>5086</v>
      </c>
      <c r="C152" s="1" t="s">
        <v>5125</v>
      </c>
      <c r="D152" s="1" t="s">
        <v>5126</v>
      </c>
      <c r="E152" s="30" t="s">
        <v>5127</v>
      </c>
      <c r="F152" s="1"/>
      <c r="G152" s="1"/>
      <c r="H152" s="1"/>
      <c r="I152" s="1"/>
      <c r="J152" s="36" t="s">
        <v>79</v>
      </c>
    </row>
    <row r="153">
      <c r="A153" s="35" t="s">
        <v>168</v>
      </c>
      <c r="B153" s="1" t="s">
        <v>5086</v>
      </c>
      <c r="C153" s="1" t="s">
        <v>5128</v>
      </c>
      <c r="D153" s="1" t="s">
        <v>5129</v>
      </c>
      <c r="E153" s="30" t="s">
        <v>5130</v>
      </c>
      <c r="F153" s="1"/>
      <c r="G153" s="1"/>
      <c r="H153" s="1"/>
      <c r="I153" s="1"/>
      <c r="J153" s="36" t="s">
        <v>79</v>
      </c>
    </row>
    <row r="154">
      <c r="A154" s="35" t="s">
        <v>168</v>
      </c>
      <c r="B154" s="1" t="s">
        <v>5086</v>
      </c>
      <c r="C154" s="1" t="s">
        <v>5131</v>
      </c>
      <c r="D154" s="1" t="s">
        <v>5132</v>
      </c>
      <c r="E154" s="30" t="s">
        <v>5133</v>
      </c>
      <c r="F154" s="1"/>
      <c r="G154" s="1"/>
      <c r="H154" s="1"/>
      <c r="I154" s="1"/>
      <c r="J154" s="36" t="s">
        <v>79</v>
      </c>
    </row>
    <row r="155">
      <c r="A155" s="35" t="s">
        <v>168</v>
      </c>
      <c r="B155" s="1" t="s">
        <v>5086</v>
      </c>
      <c r="C155" s="1" t="s">
        <v>5134</v>
      </c>
      <c r="D155" s="1" t="s">
        <v>5135</v>
      </c>
      <c r="E155" s="30" t="s">
        <v>5136</v>
      </c>
      <c r="F155" s="1"/>
      <c r="G155" s="1"/>
      <c r="H155" s="1"/>
      <c r="I155" s="1"/>
      <c r="J155" s="36" t="s">
        <v>79</v>
      </c>
    </row>
    <row r="156">
      <c r="A156" s="35" t="s">
        <v>168</v>
      </c>
      <c r="B156" s="1" t="s">
        <v>5086</v>
      </c>
      <c r="C156" s="1" t="s">
        <v>5137</v>
      </c>
      <c r="D156" s="1" t="s">
        <v>4764</v>
      </c>
      <c r="E156" s="30" t="s">
        <v>5138</v>
      </c>
      <c r="F156" s="1"/>
      <c r="G156" s="1"/>
      <c r="H156" s="1"/>
      <c r="I156" s="1"/>
      <c r="J156" s="36" t="s">
        <v>79</v>
      </c>
    </row>
    <row r="157" ht="30" customHeight="1">
      <c r="A157" s="35" t="s">
        <v>1726</v>
      </c>
      <c r="B157" s="1" t="s">
        <v>5139</v>
      </c>
      <c r="C157" s="1" t="s">
        <v>5140</v>
      </c>
      <c r="D157" s="1" t="s">
        <v>4741</v>
      </c>
      <c r="E157" s="30" t="s">
        <v>5141</v>
      </c>
      <c r="F157" s="1"/>
      <c r="G157" s="1"/>
      <c r="H157" s="1"/>
      <c r="I157" s="1"/>
      <c r="J157" s="36" t="s">
        <v>79</v>
      </c>
    </row>
    <row r="158">
      <c r="A158" s="35" t="s">
        <v>1726</v>
      </c>
      <c r="B158" s="1" t="s">
        <v>5139</v>
      </c>
      <c r="C158" s="1" t="s">
        <v>5142</v>
      </c>
      <c r="D158" s="1" t="s">
        <v>5143</v>
      </c>
      <c r="E158" s="30" t="s">
        <v>5144</v>
      </c>
      <c r="F158" s="1"/>
      <c r="G158" s="1"/>
      <c r="H158" s="1"/>
      <c r="I158" s="1"/>
      <c r="J158" s="36" t="s">
        <v>79</v>
      </c>
    </row>
    <row r="159">
      <c r="A159" s="35" t="s">
        <v>1726</v>
      </c>
      <c r="B159" s="1" t="s">
        <v>5139</v>
      </c>
      <c r="C159" s="1" t="s">
        <v>5145</v>
      </c>
      <c r="D159" s="1" t="s">
        <v>5146</v>
      </c>
      <c r="E159" s="30" t="s">
        <v>5147</v>
      </c>
      <c r="F159" s="1"/>
      <c r="G159" s="1"/>
      <c r="H159" s="1"/>
      <c r="I159" s="1"/>
      <c r="J159" s="36" t="s">
        <v>79</v>
      </c>
    </row>
    <row r="160" ht="30" customHeight="1">
      <c r="A160" s="35" t="s">
        <v>1726</v>
      </c>
      <c r="B160" s="1" t="s">
        <v>5139</v>
      </c>
      <c r="C160" s="1" t="s">
        <v>5148</v>
      </c>
      <c r="D160" s="1" t="s">
        <v>5149</v>
      </c>
      <c r="E160" s="30" t="s">
        <v>5150</v>
      </c>
      <c r="F160" s="1"/>
      <c r="G160" s="1"/>
      <c r="H160" s="1"/>
      <c r="I160" s="1"/>
      <c r="J160" s="36" t="s">
        <v>79</v>
      </c>
    </row>
    <row r="161" ht="30" customHeight="1">
      <c r="A161" s="35" t="s">
        <v>1726</v>
      </c>
      <c r="B161" s="1" t="s">
        <v>5139</v>
      </c>
      <c r="C161" s="1" t="s">
        <v>2842</v>
      </c>
      <c r="D161" s="1" t="s">
        <v>5151</v>
      </c>
      <c r="E161" s="30" t="s">
        <v>5152</v>
      </c>
      <c r="F161" s="1"/>
      <c r="G161" s="1"/>
      <c r="H161" s="1"/>
      <c r="I161" s="1"/>
      <c r="J161" s="36" t="s">
        <v>79</v>
      </c>
    </row>
    <row r="162" ht="30" customHeight="1">
      <c r="A162" s="35" t="s">
        <v>1726</v>
      </c>
      <c r="B162" s="1" t="s">
        <v>5139</v>
      </c>
      <c r="C162" s="1" t="s">
        <v>5153</v>
      </c>
      <c r="D162" s="1" t="s">
        <v>5154</v>
      </c>
      <c r="E162" s="30" t="s">
        <v>5155</v>
      </c>
      <c r="F162" s="1"/>
      <c r="G162" s="1"/>
      <c r="H162" s="1"/>
      <c r="I162" s="1"/>
      <c r="J162" s="36" t="s">
        <v>79</v>
      </c>
    </row>
    <row r="163">
      <c r="A163" s="35" t="s">
        <v>1726</v>
      </c>
      <c r="B163" s="1" t="s">
        <v>5139</v>
      </c>
      <c r="C163" s="1" t="s">
        <v>5156</v>
      </c>
      <c r="D163" s="1" t="s">
        <v>5157</v>
      </c>
      <c r="E163" s="30" t="s">
        <v>5158</v>
      </c>
      <c r="F163" s="1"/>
      <c r="G163" s="1"/>
      <c r="H163" s="1"/>
      <c r="I163" s="1"/>
      <c r="J163" s="36" t="s">
        <v>79</v>
      </c>
    </row>
    <row r="164" ht="30" customHeight="1">
      <c r="A164" s="35" t="s">
        <v>1726</v>
      </c>
      <c r="B164" s="1" t="s">
        <v>5139</v>
      </c>
      <c r="C164" s="1" t="s">
        <v>5159</v>
      </c>
      <c r="D164" s="1" t="s">
        <v>5160</v>
      </c>
      <c r="E164" s="30" t="s">
        <v>5161</v>
      </c>
      <c r="F164" s="1"/>
      <c r="G164" s="1"/>
      <c r="H164" s="1"/>
      <c r="I164" s="1"/>
      <c r="J164" s="36" t="s">
        <v>79</v>
      </c>
    </row>
    <row r="165">
      <c r="A165" s="35" t="s">
        <v>1726</v>
      </c>
      <c r="B165" s="1" t="s">
        <v>5139</v>
      </c>
      <c r="C165" s="1" t="s">
        <v>5162</v>
      </c>
      <c r="D165" s="1" t="s">
        <v>5163</v>
      </c>
      <c r="E165" s="30" t="s">
        <v>5164</v>
      </c>
      <c r="F165" s="1"/>
      <c r="G165" s="1"/>
      <c r="H165" s="1"/>
      <c r="I165" s="1"/>
      <c r="J165" s="36" t="s">
        <v>79</v>
      </c>
    </row>
    <row r="166">
      <c r="A166" s="35" t="s">
        <v>1726</v>
      </c>
      <c r="B166" s="1" t="s">
        <v>5139</v>
      </c>
      <c r="C166" s="1" t="s">
        <v>5165</v>
      </c>
      <c r="D166" s="1" t="s">
        <v>4764</v>
      </c>
      <c r="E166" s="30" t="s">
        <v>5166</v>
      </c>
      <c r="F166" s="1"/>
      <c r="G166" s="1"/>
      <c r="H166" s="1"/>
      <c r="I166" s="1"/>
      <c r="J166" s="36" t="s">
        <v>79</v>
      </c>
    </row>
    <row r="167">
      <c r="A167" s="35" t="s">
        <v>660</v>
      </c>
      <c r="B167" s="1" t="s">
        <v>5167</v>
      </c>
      <c r="C167" s="1" t="s">
        <v>5168</v>
      </c>
      <c r="D167" s="1" t="s">
        <v>4741</v>
      </c>
      <c r="E167" s="30" t="s">
        <v>5169</v>
      </c>
      <c r="F167" s="1"/>
      <c r="G167" s="1"/>
      <c r="H167" s="1"/>
      <c r="I167" s="1"/>
      <c r="J167" s="36" t="s">
        <v>79</v>
      </c>
    </row>
    <row r="168" ht="30" customHeight="1">
      <c r="A168" s="35" t="s">
        <v>660</v>
      </c>
      <c r="B168" s="1" t="s">
        <v>5167</v>
      </c>
      <c r="C168" s="1" t="s">
        <v>5170</v>
      </c>
      <c r="D168" s="1" t="s">
        <v>5171</v>
      </c>
      <c r="E168" s="30" t="s">
        <v>5172</v>
      </c>
      <c r="F168" s="1"/>
      <c r="G168" s="1"/>
      <c r="H168" s="1"/>
      <c r="I168" s="1"/>
      <c r="J168" s="36" t="s">
        <v>79</v>
      </c>
    </row>
    <row r="169" ht="30" customHeight="1">
      <c r="A169" s="35" t="s">
        <v>660</v>
      </c>
      <c r="B169" s="1" t="s">
        <v>5167</v>
      </c>
      <c r="C169" s="1" t="s">
        <v>5173</v>
      </c>
      <c r="D169" s="1" t="s">
        <v>5174</v>
      </c>
      <c r="E169" s="30" t="s">
        <v>5175</v>
      </c>
      <c r="F169" s="1"/>
      <c r="G169" s="1"/>
      <c r="H169" s="1"/>
      <c r="I169" s="1"/>
      <c r="J169" s="36" t="s">
        <v>79</v>
      </c>
    </row>
    <row r="170" ht="30" customHeight="1">
      <c r="A170" s="35" t="s">
        <v>660</v>
      </c>
      <c r="B170" s="1" t="s">
        <v>5167</v>
      </c>
      <c r="C170" s="1" t="s">
        <v>5176</v>
      </c>
      <c r="D170" s="1" t="s">
        <v>5177</v>
      </c>
      <c r="E170" s="30" t="s">
        <v>5178</v>
      </c>
      <c r="F170" s="1"/>
      <c r="G170" s="1"/>
      <c r="H170" s="1"/>
      <c r="I170" s="1"/>
      <c r="J170" s="36" t="s">
        <v>79</v>
      </c>
    </row>
    <row r="171" ht="30" customHeight="1">
      <c r="A171" s="35" t="s">
        <v>660</v>
      </c>
      <c r="B171" s="1" t="s">
        <v>5167</v>
      </c>
      <c r="C171" s="1" t="s">
        <v>5179</v>
      </c>
      <c r="D171" s="1" t="s">
        <v>5180</v>
      </c>
      <c r="E171" s="30" t="s">
        <v>5181</v>
      </c>
      <c r="F171" s="1"/>
      <c r="G171" s="1"/>
      <c r="H171" s="1"/>
      <c r="I171" s="1"/>
      <c r="J171" s="36" t="s">
        <v>79</v>
      </c>
    </row>
    <row r="172" ht="30" customHeight="1">
      <c r="A172" s="35" t="s">
        <v>660</v>
      </c>
      <c r="B172" s="1" t="s">
        <v>5167</v>
      </c>
      <c r="C172" s="1" t="s">
        <v>5182</v>
      </c>
      <c r="D172" s="1" t="s">
        <v>5183</v>
      </c>
      <c r="E172" s="30" t="s">
        <v>5184</v>
      </c>
      <c r="F172" s="1"/>
      <c r="G172" s="1"/>
      <c r="H172" s="1"/>
      <c r="I172" s="1"/>
      <c r="J172" s="36" t="s">
        <v>79</v>
      </c>
    </row>
    <row r="173">
      <c r="A173" s="35" t="s">
        <v>660</v>
      </c>
      <c r="B173" s="1" t="s">
        <v>5167</v>
      </c>
      <c r="C173" s="1" t="s">
        <v>5185</v>
      </c>
      <c r="D173" s="1" t="s">
        <v>5186</v>
      </c>
      <c r="E173" s="30" t="s">
        <v>5187</v>
      </c>
      <c r="F173" s="1"/>
      <c r="G173" s="1"/>
      <c r="H173" s="1"/>
      <c r="I173" s="1"/>
      <c r="J173" s="36" t="s">
        <v>79</v>
      </c>
    </row>
    <row r="174">
      <c r="A174" s="35" t="s">
        <v>660</v>
      </c>
      <c r="B174" s="1" t="s">
        <v>5167</v>
      </c>
      <c r="C174" s="1" t="s">
        <v>5188</v>
      </c>
      <c r="D174" s="1" t="s">
        <v>4764</v>
      </c>
      <c r="E174" s="30" t="s">
        <v>5189</v>
      </c>
      <c r="F174" s="1"/>
      <c r="G174" s="1"/>
      <c r="H174" s="1"/>
      <c r="I174" s="1"/>
      <c r="J174" s="36" t="s">
        <v>79</v>
      </c>
    </row>
    <row r="175">
      <c r="A175" s="35" t="s">
        <v>5190</v>
      </c>
      <c r="B175" s="1" t="s">
        <v>5191</v>
      </c>
      <c r="C175" s="1" t="s">
        <v>5192</v>
      </c>
      <c r="D175" s="1" t="s">
        <v>4741</v>
      </c>
      <c r="E175" s="30" t="s">
        <v>5193</v>
      </c>
      <c r="F175" s="1"/>
      <c r="G175" s="1"/>
      <c r="H175" s="1"/>
      <c r="I175" s="1"/>
      <c r="J175" s="36" t="s">
        <v>79</v>
      </c>
    </row>
    <row r="176" ht="30" customHeight="1">
      <c r="A176" s="35" t="s">
        <v>5190</v>
      </c>
      <c r="B176" s="1" t="s">
        <v>5191</v>
      </c>
      <c r="C176" s="1" t="s">
        <v>5194</v>
      </c>
      <c r="D176" s="1" t="s">
        <v>5195</v>
      </c>
      <c r="E176" s="30" t="s">
        <v>5196</v>
      </c>
      <c r="F176" s="1"/>
      <c r="G176" s="1"/>
      <c r="H176" s="1"/>
      <c r="I176" s="1"/>
      <c r="J176" s="36" t="s">
        <v>79</v>
      </c>
    </row>
    <row r="177">
      <c r="A177" s="35" t="s">
        <v>5190</v>
      </c>
      <c r="B177" s="1" t="s">
        <v>5191</v>
      </c>
      <c r="C177" s="1" t="s">
        <v>5197</v>
      </c>
      <c r="D177" s="1" t="s">
        <v>5198</v>
      </c>
      <c r="E177" s="30" t="s">
        <v>5199</v>
      </c>
      <c r="F177" s="1"/>
      <c r="G177" s="1"/>
      <c r="H177" s="1"/>
      <c r="I177" s="1"/>
      <c r="J177" s="36" t="s">
        <v>79</v>
      </c>
    </row>
    <row r="178" ht="45" customHeight="1">
      <c r="A178" s="35" t="s">
        <v>5190</v>
      </c>
      <c r="B178" s="1" t="s">
        <v>5191</v>
      </c>
      <c r="C178" s="1" t="s">
        <v>5200</v>
      </c>
      <c r="D178" s="1" t="s">
        <v>5201</v>
      </c>
      <c r="E178" s="30" t="s">
        <v>5202</v>
      </c>
      <c r="F178" s="1"/>
      <c r="G178" s="1"/>
      <c r="H178" s="1"/>
      <c r="I178" s="1"/>
      <c r="J178" s="36" t="s">
        <v>79</v>
      </c>
    </row>
    <row r="179">
      <c r="A179" s="35" t="s">
        <v>5190</v>
      </c>
      <c r="B179" s="1" t="s">
        <v>5191</v>
      </c>
      <c r="C179" s="1" t="s">
        <v>5203</v>
      </c>
      <c r="D179" s="1" t="s">
        <v>5204</v>
      </c>
      <c r="E179" s="30" t="s">
        <v>5205</v>
      </c>
      <c r="F179" s="1"/>
      <c r="G179" s="1"/>
      <c r="H179" s="1"/>
      <c r="I179" s="1"/>
      <c r="J179" s="36" t="s">
        <v>79</v>
      </c>
    </row>
    <row r="180" ht="30" customHeight="1">
      <c r="A180" s="35" t="s">
        <v>5190</v>
      </c>
      <c r="B180" s="1" t="s">
        <v>5191</v>
      </c>
      <c r="C180" s="1" t="s">
        <v>5206</v>
      </c>
      <c r="D180" s="1" t="s">
        <v>5207</v>
      </c>
      <c r="E180" s="30" t="s">
        <v>5208</v>
      </c>
      <c r="F180" s="1"/>
      <c r="G180" s="1"/>
      <c r="H180" s="1"/>
      <c r="I180" s="1"/>
      <c r="J180" s="36" t="s">
        <v>79</v>
      </c>
    </row>
    <row r="181">
      <c r="A181" s="35" t="s">
        <v>5190</v>
      </c>
      <c r="B181" s="1" t="s">
        <v>5191</v>
      </c>
      <c r="C181" s="1" t="s">
        <v>5209</v>
      </c>
      <c r="D181" s="1" t="s">
        <v>5210</v>
      </c>
      <c r="E181" s="30" t="s">
        <v>5211</v>
      </c>
      <c r="F181" s="1"/>
      <c r="G181" s="1"/>
      <c r="H181" s="1"/>
      <c r="I181" s="1"/>
      <c r="J181" s="36" t="s">
        <v>79</v>
      </c>
    </row>
    <row r="182" ht="30" customHeight="1">
      <c r="A182" s="35" t="s">
        <v>5190</v>
      </c>
      <c r="B182" s="1" t="s">
        <v>5191</v>
      </c>
      <c r="C182" s="1" t="s">
        <v>5212</v>
      </c>
      <c r="D182" s="1" t="s">
        <v>5213</v>
      </c>
      <c r="E182" s="30" t="s">
        <v>5214</v>
      </c>
      <c r="F182" s="1"/>
      <c r="G182" s="1"/>
      <c r="H182" s="1"/>
      <c r="I182" s="1"/>
      <c r="J182" s="36" t="s">
        <v>79</v>
      </c>
    </row>
    <row r="183">
      <c r="A183" s="35" t="s">
        <v>5190</v>
      </c>
      <c r="B183" s="1" t="s">
        <v>5191</v>
      </c>
      <c r="C183" s="1" t="s">
        <v>5215</v>
      </c>
      <c r="D183" s="1" t="s">
        <v>5216</v>
      </c>
      <c r="E183" s="30" t="s">
        <v>5217</v>
      </c>
      <c r="F183" s="1"/>
      <c r="G183" s="1"/>
      <c r="H183" s="1"/>
      <c r="I183" s="1"/>
      <c r="J183" s="36" t="s">
        <v>79</v>
      </c>
    </row>
    <row r="184">
      <c r="A184" s="35" t="s">
        <v>5190</v>
      </c>
      <c r="B184" s="1" t="s">
        <v>5191</v>
      </c>
      <c r="C184" s="1" t="s">
        <v>5218</v>
      </c>
      <c r="D184" s="1" t="s">
        <v>5219</v>
      </c>
      <c r="E184" s="30" t="s">
        <v>5220</v>
      </c>
      <c r="F184" s="1"/>
      <c r="G184" s="1"/>
      <c r="H184" s="1"/>
      <c r="I184" s="1"/>
      <c r="J184" s="36" t="s">
        <v>79</v>
      </c>
    </row>
    <row r="185">
      <c r="A185" s="35" t="s">
        <v>5190</v>
      </c>
      <c r="B185" s="1" t="s">
        <v>5191</v>
      </c>
      <c r="C185" s="1" t="s">
        <v>5221</v>
      </c>
      <c r="D185" s="1" t="s">
        <v>5222</v>
      </c>
      <c r="E185" s="30" t="s">
        <v>5223</v>
      </c>
      <c r="F185" s="1"/>
      <c r="G185" s="1"/>
      <c r="H185" s="1"/>
      <c r="I185" s="1"/>
      <c r="J185" s="36" t="s">
        <v>79</v>
      </c>
    </row>
    <row r="186">
      <c r="A186" s="35" t="s">
        <v>5190</v>
      </c>
      <c r="B186" s="1" t="s">
        <v>5191</v>
      </c>
      <c r="C186" s="1" t="s">
        <v>5224</v>
      </c>
      <c r="D186" s="1" t="s">
        <v>4764</v>
      </c>
      <c r="E186" s="30" t="s">
        <v>5225</v>
      </c>
      <c r="F186" s="1"/>
      <c r="G186" s="1"/>
      <c r="H186" s="1"/>
      <c r="I186" s="1"/>
      <c r="J186" s="36" t="s">
        <v>79</v>
      </c>
    </row>
    <row r="187" ht="30" customHeight="1">
      <c r="A187" s="35" t="s">
        <v>1277</v>
      </c>
      <c r="B187" s="1" t="s">
        <v>5226</v>
      </c>
      <c r="C187" s="1" t="s">
        <v>507</v>
      </c>
      <c r="D187" s="1" t="s">
        <v>4741</v>
      </c>
      <c r="E187" s="30" t="s">
        <v>5227</v>
      </c>
      <c r="F187" s="1"/>
      <c r="G187" s="1"/>
      <c r="H187" s="1"/>
      <c r="I187" s="1"/>
      <c r="J187" s="36" t="s">
        <v>79</v>
      </c>
    </row>
    <row r="188" ht="30" customHeight="1">
      <c r="A188" s="35" t="s">
        <v>1277</v>
      </c>
      <c r="B188" s="1" t="s">
        <v>5226</v>
      </c>
      <c r="C188" s="1" t="s">
        <v>5228</v>
      </c>
      <c r="D188" s="1" t="s">
        <v>5229</v>
      </c>
      <c r="E188" s="30" t="s">
        <v>5230</v>
      </c>
      <c r="F188" s="1"/>
      <c r="G188" s="1"/>
      <c r="H188" s="1"/>
      <c r="I188" s="1"/>
      <c r="J188" s="36" t="s">
        <v>79</v>
      </c>
    </row>
    <row r="189" ht="30" customHeight="1">
      <c r="A189" s="35" t="s">
        <v>1277</v>
      </c>
      <c r="B189" s="1" t="s">
        <v>5226</v>
      </c>
      <c r="C189" s="1" t="s">
        <v>268</v>
      </c>
      <c r="D189" s="1" t="s">
        <v>5231</v>
      </c>
      <c r="E189" s="30" t="s">
        <v>5232</v>
      </c>
      <c r="F189" s="1"/>
      <c r="G189" s="1"/>
      <c r="H189" s="1"/>
      <c r="I189" s="1"/>
      <c r="J189" s="36" t="s">
        <v>79</v>
      </c>
    </row>
    <row r="190">
      <c r="A190" s="35" t="s">
        <v>1277</v>
      </c>
      <c r="B190" s="1" t="s">
        <v>5226</v>
      </c>
      <c r="C190" s="1" t="s">
        <v>5233</v>
      </c>
      <c r="D190" s="1" t="s">
        <v>5234</v>
      </c>
      <c r="E190" s="30" t="s">
        <v>5235</v>
      </c>
      <c r="F190" s="1"/>
      <c r="G190" s="1"/>
      <c r="H190" s="1"/>
      <c r="I190" s="1"/>
      <c r="J190" s="36" t="s">
        <v>79</v>
      </c>
    </row>
    <row r="191" ht="30" customHeight="1">
      <c r="A191" s="35" t="s">
        <v>1277</v>
      </c>
      <c r="B191" s="1" t="s">
        <v>5226</v>
      </c>
      <c r="C191" s="1" t="s">
        <v>5236</v>
      </c>
      <c r="D191" s="1" t="s">
        <v>5237</v>
      </c>
      <c r="E191" s="30" t="s">
        <v>5238</v>
      </c>
      <c r="F191" s="1"/>
      <c r="G191" s="1"/>
      <c r="H191" s="1"/>
      <c r="I191" s="1"/>
      <c r="J191" s="36" t="s">
        <v>79</v>
      </c>
    </row>
    <row r="192" ht="30" customHeight="1">
      <c r="A192" s="35" t="s">
        <v>1277</v>
      </c>
      <c r="B192" s="1" t="s">
        <v>5226</v>
      </c>
      <c r="C192" s="1" t="s">
        <v>5239</v>
      </c>
      <c r="D192" s="1" t="s">
        <v>5240</v>
      </c>
      <c r="E192" s="30" t="s">
        <v>5241</v>
      </c>
      <c r="F192" s="1"/>
      <c r="G192" s="1"/>
      <c r="H192" s="1"/>
      <c r="I192" s="1"/>
      <c r="J192" s="36" t="s">
        <v>79</v>
      </c>
    </row>
    <row r="193">
      <c r="A193" s="35" t="s">
        <v>1277</v>
      </c>
      <c r="B193" s="1" t="s">
        <v>5226</v>
      </c>
      <c r="C193" s="1" t="s">
        <v>5242</v>
      </c>
      <c r="D193" s="1" t="s">
        <v>5243</v>
      </c>
      <c r="E193" s="30" t="s">
        <v>5244</v>
      </c>
      <c r="F193" s="1"/>
      <c r="G193" s="1"/>
      <c r="H193" s="1"/>
      <c r="I193" s="1"/>
      <c r="J193" s="36" t="s">
        <v>79</v>
      </c>
    </row>
    <row r="194" ht="30" customHeight="1">
      <c r="A194" s="35" t="s">
        <v>1277</v>
      </c>
      <c r="B194" s="1" t="s">
        <v>5226</v>
      </c>
      <c r="C194" s="1" t="s">
        <v>5245</v>
      </c>
      <c r="D194" s="1" t="s">
        <v>5246</v>
      </c>
      <c r="E194" s="30" t="s">
        <v>5247</v>
      </c>
      <c r="F194" s="1"/>
      <c r="G194" s="1"/>
      <c r="H194" s="1"/>
      <c r="I194" s="1"/>
      <c r="J194" s="36" t="s">
        <v>79</v>
      </c>
    </row>
    <row r="195">
      <c r="A195" s="35" t="s">
        <v>1277</v>
      </c>
      <c r="B195" s="1" t="s">
        <v>5226</v>
      </c>
      <c r="C195" s="1" t="s">
        <v>5248</v>
      </c>
      <c r="D195" s="1" t="s">
        <v>5249</v>
      </c>
      <c r="E195" s="30" t="s">
        <v>5250</v>
      </c>
      <c r="F195" s="1"/>
      <c r="G195" s="1"/>
      <c r="H195" s="1"/>
      <c r="I195" s="1"/>
      <c r="J195" s="36" t="s">
        <v>79</v>
      </c>
    </row>
    <row r="196" ht="30" customHeight="1">
      <c r="A196" s="35" t="s">
        <v>1277</v>
      </c>
      <c r="B196" s="1" t="s">
        <v>5226</v>
      </c>
      <c r="C196" s="1" t="s">
        <v>5251</v>
      </c>
      <c r="D196" s="1" t="s">
        <v>5252</v>
      </c>
      <c r="E196" s="30" t="s">
        <v>5253</v>
      </c>
      <c r="F196" s="1"/>
      <c r="G196" s="1"/>
      <c r="H196" s="1"/>
      <c r="I196" s="1"/>
      <c r="J196" s="36" t="s">
        <v>79</v>
      </c>
    </row>
    <row r="197">
      <c r="A197" s="35" t="s">
        <v>1277</v>
      </c>
      <c r="B197" s="1" t="s">
        <v>5226</v>
      </c>
      <c r="C197" s="1" t="s">
        <v>5254</v>
      </c>
      <c r="D197" s="1" t="s">
        <v>5255</v>
      </c>
      <c r="E197" s="30" t="s">
        <v>5256</v>
      </c>
      <c r="F197" s="1"/>
      <c r="G197" s="1"/>
      <c r="H197" s="1"/>
      <c r="I197" s="1"/>
      <c r="J197" s="36" t="s">
        <v>79</v>
      </c>
    </row>
    <row r="198">
      <c r="A198" s="35" t="s">
        <v>1277</v>
      </c>
      <c r="B198" s="1" t="s">
        <v>5226</v>
      </c>
      <c r="C198" s="1" t="s">
        <v>5257</v>
      </c>
      <c r="D198" s="1" t="s">
        <v>5258</v>
      </c>
      <c r="E198" s="30" t="s">
        <v>5259</v>
      </c>
      <c r="F198" s="1"/>
      <c r="G198" s="1"/>
      <c r="H198" s="1"/>
      <c r="I198" s="1"/>
      <c r="J198" s="36" t="s">
        <v>79</v>
      </c>
    </row>
    <row r="199" ht="30" customHeight="1">
      <c r="A199" s="35" t="s">
        <v>1277</v>
      </c>
      <c r="B199" s="1" t="s">
        <v>5226</v>
      </c>
      <c r="C199" s="1" t="s">
        <v>5260</v>
      </c>
      <c r="D199" s="1" t="s">
        <v>5261</v>
      </c>
      <c r="E199" s="30" t="s">
        <v>5262</v>
      </c>
      <c r="F199" s="1"/>
      <c r="G199" s="1"/>
      <c r="H199" s="1"/>
      <c r="I199" s="1"/>
      <c r="J199" s="36" t="s">
        <v>79</v>
      </c>
    </row>
    <row r="200">
      <c r="A200" s="35" t="s">
        <v>1277</v>
      </c>
      <c r="B200" s="1" t="s">
        <v>5226</v>
      </c>
      <c r="C200" s="1" t="s">
        <v>5263</v>
      </c>
      <c r="D200" s="1" t="s">
        <v>5264</v>
      </c>
      <c r="E200" s="30" t="s">
        <v>5265</v>
      </c>
      <c r="F200" s="1"/>
      <c r="G200" s="1"/>
      <c r="H200" s="1"/>
      <c r="I200" s="1"/>
      <c r="J200" s="36" t="s">
        <v>79</v>
      </c>
    </row>
    <row r="201">
      <c r="A201" s="35" t="s">
        <v>1277</v>
      </c>
      <c r="B201" s="1" t="s">
        <v>5226</v>
      </c>
      <c r="C201" s="1" t="s">
        <v>5266</v>
      </c>
      <c r="D201" s="1" t="s">
        <v>5267</v>
      </c>
      <c r="E201" s="30" t="s">
        <v>5268</v>
      </c>
      <c r="F201" s="1"/>
      <c r="G201" s="1"/>
      <c r="H201" s="1"/>
      <c r="I201" s="1"/>
      <c r="J201" s="36" t="s">
        <v>79</v>
      </c>
    </row>
    <row r="202">
      <c r="A202" s="35" t="s">
        <v>1277</v>
      </c>
      <c r="B202" s="1" t="s">
        <v>5226</v>
      </c>
      <c r="C202" s="1" t="s">
        <v>5269</v>
      </c>
      <c r="D202" s="1" t="s">
        <v>5270</v>
      </c>
      <c r="E202" s="30" t="s">
        <v>5271</v>
      </c>
      <c r="F202" s="1"/>
      <c r="G202" s="1"/>
      <c r="H202" s="1"/>
      <c r="I202" s="1"/>
      <c r="J202" s="36" t="s">
        <v>79</v>
      </c>
    </row>
    <row r="203">
      <c r="A203" s="35" t="s">
        <v>1277</v>
      </c>
      <c r="B203" s="1" t="s">
        <v>5226</v>
      </c>
      <c r="C203" s="1" t="s">
        <v>5272</v>
      </c>
      <c r="D203" s="1" t="s">
        <v>5273</v>
      </c>
      <c r="E203" s="30" t="s">
        <v>5274</v>
      </c>
      <c r="F203" s="1"/>
      <c r="G203" s="1"/>
      <c r="H203" s="1"/>
      <c r="I203" s="1"/>
      <c r="J203" s="36" t="s">
        <v>79</v>
      </c>
    </row>
    <row r="204">
      <c r="A204" s="35" t="s">
        <v>1277</v>
      </c>
      <c r="B204" s="1" t="s">
        <v>5226</v>
      </c>
      <c r="C204" s="1" t="s">
        <v>5275</v>
      </c>
      <c r="D204" s="1" t="s">
        <v>4764</v>
      </c>
      <c r="E204" s="30" t="s">
        <v>5276</v>
      </c>
      <c r="F204" s="1"/>
      <c r="G204" s="1"/>
      <c r="H204" s="1"/>
      <c r="I204" s="1"/>
      <c r="J204" s="36" t="s">
        <v>79</v>
      </c>
    </row>
    <row r="205" ht="30" customHeight="1">
      <c r="A205" s="35" t="s">
        <v>5277</v>
      </c>
      <c r="B205" s="1" t="s">
        <v>5278</v>
      </c>
      <c r="C205" s="1" t="s">
        <v>722</v>
      </c>
      <c r="D205" s="1" t="s">
        <v>4741</v>
      </c>
      <c r="E205" s="30" t="s">
        <v>5279</v>
      </c>
      <c r="F205" s="1"/>
      <c r="G205" s="1"/>
      <c r="H205" s="1"/>
      <c r="I205" s="1"/>
      <c r="J205" s="36" t="s">
        <v>79</v>
      </c>
    </row>
    <row r="206">
      <c r="A206" s="35" t="s">
        <v>5277</v>
      </c>
      <c r="B206" s="1" t="s">
        <v>5278</v>
      </c>
      <c r="C206" s="1" t="s">
        <v>464</v>
      </c>
      <c r="D206" s="1" t="s">
        <v>5280</v>
      </c>
      <c r="E206" s="30" t="s">
        <v>5281</v>
      </c>
      <c r="F206" s="1"/>
      <c r="G206" s="1"/>
      <c r="H206" s="1"/>
      <c r="I206" s="1"/>
      <c r="J206" s="36" t="s">
        <v>79</v>
      </c>
    </row>
    <row r="207" ht="30" customHeight="1">
      <c r="A207" s="35" t="s">
        <v>5277</v>
      </c>
      <c r="B207" s="1" t="s">
        <v>5278</v>
      </c>
      <c r="C207" s="1" t="s">
        <v>1365</v>
      </c>
      <c r="D207" s="1" t="s">
        <v>5282</v>
      </c>
      <c r="E207" s="30" t="s">
        <v>5283</v>
      </c>
      <c r="F207" s="1"/>
      <c r="G207" s="1"/>
      <c r="H207" s="1"/>
      <c r="I207" s="1"/>
      <c r="J207" s="36" t="s">
        <v>79</v>
      </c>
    </row>
    <row r="208" ht="45" customHeight="1">
      <c r="A208" s="35" t="s">
        <v>5277</v>
      </c>
      <c r="B208" s="1" t="s">
        <v>5278</v>
      </c>
      <c r="C208" s="1" t="s">
        <v>5284</v>
      </c>
      <c r="D208" s="1" t="s">
        <v>5285</v>
      </c>
      <c r="E208" s="30" t="s">
        <v>5286</v>
      </c>
      <c r="F208" s="1"/>
      <c r="G208" s="1"/>
      <c r="H208" s="1"/>
      <c r="I208" s="1"/>
      <c r="J208" s="36" t="s">
        <v>79</v>
      </c>
    </row>
    <row r="209">
      <c r="A209" s="35" t="s">
        <v>5277</v>
      </c>
      <c r="B209" s="1" t="s">
        <v>5278</v>
      </c>
      <c r="C209" s="1" t="s">
        <v>5287</v>
      </c>
      <c r="D209" s="1" t="s">
        <v>5288</v>
      </c>
      <c r="E209" s="30" t="s">
        <v>5289</v>
      </c>
      <c r="F209" s="1"/>
      <c r="G209" s="1"/>
      <c r="H209" s="1"/>
      <c r="I209" s="1"/>
      <c r="J209" s="36" t="s">
        <v>79</v>
      </c>
    </row>
    <row r="210">
      <c r="A210" s="35" t="s">
        <v>5277</v>
      </c>
      <c r="B210" s="1" t="s">
        <v>5278</v>
      </c>
      <c r="C210" s="1" t="s">
        <v>5290</v>
      </c>
      <c r="D210" s="1" t="s">
        <v>5291</v>
      </c>
      <c r="E210" s="30" t="s">
        <v>5292</v>
      </c>
      <c r="F210" s="1"/>
      <c r="G210" s="1"/>
      <c r="H210" s="1"/>
      <c r="I210" s="1"/>
      <c r="J210" s="36" t="s">
        <v>79</v>
      </c>
    </row>
    <row r="211">
      <c r="A211" s="35" t="s">
        <v>5277</v>
      </c>
      <c r="B211" s="1" t="s">
        <v>5278</v>
      </c>
      <c r="C211" s="1" t="s">
        <v>5293</v>
      </c>
      <c r="D211" s="1" t="s">
        <v>4764</v>
      </c>
      <c r="E211" s="30" t="s">
        <v>5294</v>
      </c>
      <c r="F211" s="1"/>
      <c r="G211" s="1"/>
      <c r="H211" s="1"/>
      <c r="I211" s="1"/>
      <c r="J211" s="36" t="s">
        <v>79</v>
      </c>
    </row>
    <row r="212" ht="30" customHeight="1">
      <c r="A212" s="37" t="s">
        <v>1307</v>
      </c>
      <c r="B212" s="27" t="s">
        <v>5295</v>
      </c>
      <c r="C212" s="27" t="s">
        <v>161</v>
      </c>
      <c r="D212" s="27" t="s">
        <v>4741</v>
      </c>
      <c r="E212" s="31" t="s">
        <v>5296</v>
      </c>
      <c r="F212" s="27"/>
      <c r="G212" s="27"/>
      <c r="H212" s="27"/>
      <c r="I212" s="27"/>
      <c r="J212" s="28" t="s">
        <v>79</v>
      </c>
    </row>
  </sheetData>
  <pageMargins left="0.7" right="0.7" top="0.75" bottom="0.75" header="0.3" footer="0.3"/>
  <pageSetup paperSize="9" orientation="portrait" horizontalDpi="300" verticalDpi="300"/>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4.7109375" hidden="0" customWidth="1"/>
    <col min="2" max="2" width="42.140625" hidden="0" customWidth="1"/>
    <col min="3" max="3" width="30.42578125" hidden="0" customWidth="1"/>
    <col min="4" max="4" width="14.5703125" hidden="0" customWidth="1"/>
    <col min="5" max="5" width="37.28515625" hidden="0" customWidth="1"/>
    <col min="6" max="6" width="38.7109375" hidden="0" customWidth="1"/>
    <col min="7" max="7" width="38.7109375" hidden="0" customWidth="1"/>
    <col min="8" max="8" width="14.85546875" hidden="0" customWidth="1"/>
  </cols>
  <sheetData>
    <row r="1">
      <c r="A1" s="60" t="s">
        <v>1</v>
      </c>
      <c r="B1" s="61" t="s">
        <v>4</v>
      </c>
      <c r="C1" s="61" t="s">
        <v>7</v>
      </c>
      <c r="D1" s="61" t="s">
        <v>5297</v>
      </c>
      <c r="E1" s="61" t="s">
        <v>8</v>
      </c>
      <c r="F1" s="61" t="s">
        <v>5298</v>
      </c>
      <c r="G1" s="61" t="s">
        <v>5299</v>
      </c>
      <c r="H1" s="62" t="s">
        <v>5300</v>
      </c>
    </row>
    <row r="2" ht="30" customHeight="1">
      <c r="A2" s="54" t="s">
        <v>5301</v>
      </c>
      <c r="B2" s="38" t="s">
        <v>5302</v>
      </c>
      <c r="C2" s="38" t="s">
        <v>4676</v>
      </c>
      <c r="D2" s="38" t="s">
        <v>5303</v>
      </c>
      <c r="E2" s="39" t="s">
        <v>5304</v>
      </c>
      <c r="F2" s="40" t="s">
        <v>5305</v>
      </c>
      <c r="G2" s="40"/>
      <c r="H2" s="57" t="s">
        <v>5306</v>
      </c>
    </row>
    <row r="3" ht="30" customHeight="1">
      <c r="A3" s="54" t="s">
        <v>5301</v>
      </c>
      <c r="B3" s="38" t="s">
        <v>5307</v>
      </c>
      <c r="C3" s="38" t="s">
        <v>54</v>
      </c>
      <c r="D3" s="38" t="s">
        <v>5308</v>
      </c>
      <c r="E3" s="39" t="s">
        <v>5309</v>
      </c>
      <c r="F3" s="40" t="s">
        <v>5310</v>
      </c>
      <c r="G3" s="40"/>
      <c r="H3" s="57" t="s">
        <v>5311</v>
      </c>
    </row>
    <row r="4" ht="30" customHeight="1">
      <c r="A4" s="54" t="s">
        <v>5301</v>
      </c>
      <c r="B4" s="38" t="s">
        <v>5312</v>
      </c>
      <c r="C4" s="38" t="s">
        <v>224</v>
      </c>
      <c r="D4" s="38" t="s">
        <v>5313</v>
      </c>
      <c r="E4" s="39" t="s">
        <v>5314</v>
      </c>
      <c r="F4" s="40" t="s">
        <v>5315</v>
      </c>
      <c r="G4" s="40"/>
      <c r="H4" s="57" t="s">
        <v>5306</v>
      </c>
    </row>
    <row r="5" ht="30" customHeight="1">
      <c r="A5" s="54" t="s">
        <v>5301</v>
      </c>
      <c r="B5" s="38" t="s">
        <v>5316</v>
      </c>
      <c r="C5" s="38" t="s">
        <v>460</v>
      </c>
      <c r="D5" s="38" t="s">
        <v>5317</v>
      </c>
      <c r="E5" s="39" t="s">
        <v>5318</v>
      </c>
      <c r="F5" s="40" t="s">
        <v>5319</v>
      </c>
      <c r="G5" s="40"/>
      <c r="H5" s="57" t="s">
        <v>5306</v>
      </c>
    </row>
    <row r="6" ht="30" customHeight="1">
      <c r="A6" s="54" t="s">
        <v>5301</v>
      </c>
      <c r="B6" s="38" t="s">
        <v>5320</v>
      </c>
      <c r="C6" s="38" t="s">
        <v>680</v>
      </c>
      <c r="D6" s="38" t="s">
        <v>5321</v>
      </c>
      <c r="E6" s="39" t="s">
        <v>5322</v>
      </c>
      <c r="F6" s="40" t="s">
        <v>5323</v>
      </c>
      <c r="G6" s="40"/>
      <c r="H6" s="57" t="s">
        <v>5311</v>
      </c>
    </row>
    <row r="7" ht="30" customHeight="1">
      <c r="A7" s="54" t="s">
        <v>5301</v>
      </c>
      <c r="B7" s="38" t="s">
        <v>5324</v>
      </c>
      <c r="C7" s="38" t="s">
        <v>833</v>
      </c>
      <c r="D7" s="38" t="s">
        <v>5325</v>
      </c>
      <c r="E7" s="39" t="s">
        <v>5326</v>
      </c>
      <c r="F7" s="40" t="s">
        <v>5327</v>
      </c>
      <c r="G7" s="40"/>
      <c r="H7" s="57" t="s">
        <v>5306</v>
      </c>
    </row>
    <row r="8" ht="30" customHeight="1">
      <c r="A8" s="54" t="s">
        <v>5301</v>
      </c>
      <c r="B8" s="38" t="s">
        <v>5328</v>
      </c>
      <c r="C8" s="38" t="s">
        <v>978</v>
      </c>
      <c r="D8" s="38" t="s">
        <v>5313</v>
      </c>
      <c r="E8" s="39" t="s">
        <v>5314</v>
      </c>
      <c r="F8" s="40" t="s">
        <v>5315</v>
      </c>
      <c r="G8" s="40"/>
      <c r="H8" s="57" t="s">
        <v>5306</v>
      </c>
    </row>
    <row r="9" ht="30" customHeight="1">
      <c r="A9" s="54" t="s">
        <v>5301</v>
      </c>
      <c r="B9" s="38" t="s">
        <v>5329</v>
      </c>
      <c r="C9" s="38" t="s">
        <v>1125</v>
      </c>
      <c r="D9" s="38" t="s">
        <v>5330</v>
      </c>
      <c r="E9" s="39" t="s">
        <v>5331</v>
      </c>
      <c r="F9" s="40" t="s">
        <v>5332</v>
      </c>
      <c r="G9" s="40"/>
      <c r="H9" s="57" t="s">
        <v>5333</v>
      </c>
    </row>
    <row r="10" ht="30" customHeight="1">
      <c r="A10" s="54" t="s">
        <v>5301</v>
      </c>
      <c r="B10" s="38" t="s">
        <v>5334</v>
      </c>
      <c r="C10" s="38" t="s">
        <v>1215</v>
      </c>
      <c r="D10" s="38" t="s">
        <v>5321</v>
      </c>
      <c r="E10" s="39" t="s">
        <v>5322</v>
      </c>
      <c r="F10" s="40" t="s">
        <v>5323</v>
      </c>
      <c r="G10" s="40"/>
      <c r="H10" s="57" t="s">
        <v>5311</v>
      </c>
    </row>
    <row r="11" ht="30" customHeight="1">
      <c r="A11" s="54" t="s">
        <v>5301</v>
      </c>
      <c r="B11" s="38" t="s">
        <v>5335</v>
      </c>
      <c r="C11" s="38" t="s">
        <v>1449</v>
      </c>
      <c r="D11" s="38" t="s">
        <v>5317</v>
      </c>
      <c r="E11" s="39" t="s">
        <v>5318</v>
      </c>
      <c r="F11" s="40" t="s">
        <v>5319</v>
      </c>
      <c r="G11" s="40"/>
      <c r="H11" s="57" t="s">
        <v>5306</v>
      </c>
    </row>
    <row r="12" ht="30" customHeight="1">
      <c r="A12" s="54" t="s">
        <v>5301</v>
      </c>
      <c r="B12" s="38" t="s">
        <v>5336</v>
      </c>
      <c r="C12" s="38" t="s">
        <v>1508</v>
      </c>
      <c r="D12" s="38" t="s">
        <v>5313</v>
      </c>
      <c r="E12" s="39" t="s">
        <v>5314</v>
      </c>
      <c r="F12" s="40" t="s">
        <v>5315</v>
      </c>
      <c r="G12" s="40"/>
      <c r="H12" s="57" t="s">
        <v>5306</v>
      </c>
    </row>
    <row r="13" ht="30" customHeight="1">
      <c r="A13" s="54" t="s">
        <v>5301</v>
      </c>
      <c r="B13" s="38" t="s">
        <v>5337</v>
      </c>
      <c r="C13" s="38" t="s">
        <v>1559</v>
      </c>
      <c r="D13" s="38" t="s">
        <v>5338</v>
      </c>
      <c r="E13" s="39" t="s">
        <v>5339</v>
      </c>
      <c r="F13" s="40"/>
      <c r="G13" s="40"/>
      <c r="H13" s="57"/>
    </row>
    <row r="14" ht="30" customHeight="1">
      <c r="A14" s="54" t="s">
        <v>5301</v>
      </c>
      <c r="B14" s="38" t="s">
        <v>5340</v>
      </c>
      <c r="C14" s="38" t="s">
        <v>1708</v>
      </c>
      <c r="D14" s="38" t="s">
        <v>5341</v>
      </c>
      <c r="E14" s="39" t="s">
        <v>5342</v>
      </c>
      <c r="F14" s="40"/>
      <c r="G14" s="40" t="s">
        <v>5343</v>
      </c>
      <c r="H14" s="57" t="s">
        <v>5311</v>
      </c>
    </row>
    <row r="15" ht="30" customHeight="1">
      <c r="A15" s="54" t="s">
        <v>5301</v>
      </c>
      <c r="B15" s="38" t="s">
        <v>5344</v>
      </c>
      <c r="C15" s="38" t="s">
        <v>1808</v>
      </c>
      <c r="D15" s="38" t="s">
        <v>5313</v>
      </c>
      <c r="E15" s="39" t="s">
        <v>5314</v>
      </c>
      <c r="F15" s="40" t="s">
        <v>5315</v>
      </c>
      <c r="G15" s="40"/>
      <c r="H15" s="57" t="s">
        <v>5306</v>
      </c>
    </row>
    <row r="16" ht="30" customHeight="1">
      <c r="A16" s="54" t="s">
        <v>5301</v>
      </c>
      <c r="B16" s="38" t="s">
        <v>5345</v>
      </c>
      <c r="C16" s="38" t="s">
        <v>1888</v>
      </c>
      <c r="D16" s="38" t="s">
        <v>5346</v>
      </c>
      <c r="E16" s="39" t="s">
        <v>5347</v>
      </c>
      <c r="F16" s="40" t="s">
        <v>5348</v>
      </c>
      <c r="G16" s="40"/>
      <c r="H16" s="57" t="s">
        <v>5333</v>
      </c>
    </row>
    <row r="17" ht="30" customHeight="1">
      <c r="A17" s="54" t="s">
        <v>5301</v>
      </c>
      <c r="B17" s="38" t="s">
        <v>5349</v>
      </c>
      <c r="C17" s="38" t="s">
        <v>1953</v>
      </c>
      <c r="D17" s="38" t="s">
        <v>5313</v>
      </c>
      <c r="E17" s="39" t="s">
        <v>5314</v>
      </c>
      <c r="F17" s="40" t="s">
        <v>5315</v>
      </c>
      <c r="G17" s="40"/>
      <c r="H17" s="57" t="s">
        <v>5306</v>
      </c>
    </row>
    <row r="18" ht="30" customHeight="1">
      <c r="A18" s="54" t="s">
        <v>5301</v>
      </c>
      <c r="B18" s="38" t="s">
        <v>5350</v>
      </c>
      <c r="C18" s="38" t="s">
        <v>2070</v>
      </c>
      <c r="D18" s="38" t="s">
        <v>5308</v>
      </c>
      <c r="E18" s="39" t="s">
        <v>5309</v>
      </c>
      <c r="F18" s="40" t="s">
        <v>5310</v>
      </c>
      <c r="G18" s="40"/>
      <c r="H18" s="57" t="s">
        <v>5311</v>
      </c>
    </row>
    <row r="19" ht="30" customHeight="1">
      <c r="A19" s="54" t="s">
        <v>5301</v>
      </c>
      <c r="B19" s="38" t="s">
        <v>5351</v>
      </c>
      <c r="C19" s="38" t="s">
        <v>2154</v>
      </c>
      <c r="D19" s="38" t="s">
        <v>5352</v>
      </c>
      <c r="E19" s="39" t="s">
        <v>5353</v>
      </c>
      <c r="F19" s="40" t="s">
        <v>5354</v>
      </c>
      <c r="G19" s="40"/>
      <c r="H19" s="57" t="s">
        <v>5306</v>
      </c>
    </row>
    <row r="20" ht="30" customHeight="1">
      <c r="A20" s="54" t="s">
        <v>5301</v>
      </c>
      <c r="B20" s="38" t="s">
        <v>5355</v>
      </c>
      <c r="C20" s="38" t="s">
        <v>2240</v>
      </c>
      <c r="D20" s="38" t="s">
        <v>5356</v>
      </c>
      <c r="E20" s="39" t="s">
        <v>5357</v>
      </c>
      <c r="F20" s="40" t="s">
        <v>5358</v>
      </c>
      <c r="G20" s="40"/>
      <c r="H20" s="57" t="s">
        <v>5306</v>
      </c>
    </row>
    <row r="21" ht="30" customHeight="1">
      <c r="A21" s="54" t="s">
        <v>5301</v>
      </c>
      <c r="B21" s="38" t="s">
        <v>5359</v>
      </c>
      <c r="C21" s="38" t="s">
        <v>2324</v>
      </c>
      <c r="D21" s="38" t="s">
        <v>5338</v>
      </c>
      <c r="E21" s="39" t="s">
        <v>5339</v>
      </c>
      <c r="F21" s="40"/>
      <c r="G21" s="40"/>
      <c r="H21" s="57"/>
    </row>
    <row r="22" ht="30" customHeight="1">
      <c r="A22" s="54" t="s">
        <v>5301</v>
      </c>
      <c r="B22" s="38" t="s">
        <v>5360</v>
      </c>
      <c r="C22" s="38" t="s">
        <v>2442</v>
      </c>
      <c r="D22" s="38" t="s">
        <v>5361</v>
      </c>
      <c r="E22" s="39" t="s">
        <v>5362</v>
      </c>
      <c r="F22" s="40" t="s">
        <v>5363</v>
      </c>
      <c r="G22" s="40"/>
      <c r="H22" s="57" t="s">
        <v>5306</v>
      </c>
    </row>
    <row r="23" ht="30" customHeight="1">
      <c r="A23" s="54" t="s">
        <v>5301</v>
      </c>
      <c r="B23" s="38" t="s">
        <v>5364</v>
      </c>
      <c r="C23" s="38" t="s">
        <v>2523</v>
      </c>
      <c r="D23" s="38" t="s">
        <v>5365</v>
      </c>
      <c r="E23" s="39" t="s">
        <v>5366</v>
      </c>
      <c r="F23" s="40" t="s">
        <v>5367</v>
      </c>
      <c r="G23" s="40"/>
      <c r="H23" s="57" t="s">
        <v>5311</v>
      </c>
    </row>
    <row r="24" ht="30" customHeight="1">
      <c r="A24" s="54" t="s">
        <v>5301</v>
      </c>
      <c r="B24" s="38" t="s">
        <v>5368</v>
      </c>
      <c r="C24" s="38" t="s">
        <v>2659</v>
      </c>
      <c r="D24" s="38" t="s">
        <v>5317</v>
      </c>
      <c r="E24" s="39" t="s">
        <v>5318</v>
      </c>
      <c r="F24" s="40" t="s">
        <v>5319</v>
      </c>
      <c r="G24" s="40"/>
      <c r="H24" s="57" t="s">
        <v>5306</v>
      </c>
    </row>
    <row r="25" ht="30" customHeight="1">
      <c r="A25" s="54" t="s">
        <v>5301</v>
      </c>
      <c r="B25" s="38" t="s">
        <v>5369</v>
      </c>
      <c r="C25" s="38" t="s">
        <v>2749</v>
      </c>
      <c r="D25" s="38" t="s">
        <v>5370</v>
      </c>
      <c r="E25" s="39" t="s">
        <v>5371</v>
      </c>
      <c r="F25" s="40" t="s">
        <v>5372</v>
      </c>
      <c r="G25" s="40"/>
      <c r="H25" s="57" t="s">
        <v>5306</v>
      </c>
    </row>
    <row r="26" ht="30" customHeight="1">
      <c r="A26" s="54" t="s">
        <v>5301</v>
      </c>
      <c r="B26" s="38" t="s">
        <v>5373</v>
      </c>
      <c r="C26" s="38" t="s">
        <v>2826</v>
      </c>
      <c r="D26" s="38" t="s">
        <v>5330</v>
      </c>
      <c r="E26" s="39" t="s">
        <v>5331</v>
      </c>
      <c r="F26" s="40" t="s">
        <v>5332</v>
      </c>
      <c r="G26" s="40"/>
      <c r="H26" s="57" t="s">
        <v>5333</v>
      </c>
    </row>
    <row r="27" ht="30" customHeight="1">
      <c r="A27" s="54" t="s">
        <v>5301</v>
      </c>
      <c r="B27" s="38" t="s">
        <v>5374</v>
      </c>
      <c r="C27" s="38" t="s">
        <v>2899</v>
      </c>
      <c r="D27" s="38" t="s">
        <v>5321</v>
      </c>
      <c r="E27" s="39" t="s">
        <v>5322</v>
      </c>
      <c r="F27" s="40" t="s">
        <v>5323</v>
      </c>
      <c r="G27" s="40"/>
      <c r="H27" s="57" t="s">
        <v>5311</v>
      </c>
    </row>
    <row r="28" ht="30" customHeight="1">
      <c r="A28" s="54" t="s">
        <v>5301</v>
      </c>
      <c r="B28" s="38" t="s">
        <v>5375</v>
      </c>
      <c r="C28" s="38" t="s">
        <v>3027</v>
      </c>
      <c r="D28" s="38" t="s">
        <v>5376</v>
      </c>
      <c r="E28" s="39" t="s">
        <v>5377</v>
      </c>
      <c r="F28" s="40" t="s">
        <v>5378</v>
      </c>
      <c r="G28" s="40"/>
      <c r="H28" s="57" t="s">
        <v>5306</v>
      </c>
    </row>
    <row r="29" ht="30" customHeight="1">
      <c r="A29" s="54" t="s">
        <v>5301</v>
      </c>
      <c r="B29" s="38" t="s">
        <v>5379</v>
      </c>
      <c r="C29" s="38" t="s">
        <v>3119</v>
      </c>
      <c r="D29" s="38" t="s">
        <v>5380</v>
      </c>
      <c r="E29" s="41" t="s">
        <v>5381</v>
      </c>
      <c r="F29" s="40"/>
      <c r="G29" s="40"/>
      <c r="H29" s="57"/>
    </row>
    <row r="30" ht="30" customHeight="1">
      <c r="A30" s="54" t="s">
        <v>5301</v>
      </c>
      <c r="B30" s="38" t="s">
        <v>5382</v>
      </c>
      <c r="C30" s="38" t="s">
        <v>3282</v>
      </c>
      <c r="D30" s="38" t="s">
        <v>5365</v>
      </c>
      <c r="E30" s="39" t="s">
        <v>5366</v>
      </c>
      <c r="F30" s="40" t="s">
        <v>5367</v>
      </c>
      <c r="G30" s="40"/>
      <c r="H30" s="57" t="s">
        <v>5311</v>
      </c>
    </row>
    <row r="31" ht="30" customHeight="1">
      <c r="A31" s="54" t="s">
        <v>5301</v>
      </c>
      <c r="B31" s="38" t="s">
        <v>5383</v>
      </c>
      <c r="C31" s="38" t="s">
        <v>3507</v>
      </c>
      <c r="D31" s="38" t="s">
        <v>5356</v>
      </c>
      <c r="E31" s="39" t="s">
        <v>5357</v>
      </c>
      <c r="F31" s="40" t="s">
        <v>5358</v>
      </c>
      <c r="G31" s="40"/>
      <c r="H31" s="57" t="s">
        <v>5306</v>
      </c>
    </row>
    <row r="32" ht="30" customHeight="1">
      <c r="A32" s="54" t="s">
        <v>5301</v>
      </c>
      <c r="B32" s="38" t="s">
        <v>5384</v>
      </c>
      <c r="C32" s="38" t="s">
        <v>3414</v>
      </c>
      <c r="D32" s="38" t="s">
        <v>5338</v>
      </c>
      <c r="E32" s="39" t="s">
        <v>5339</v>
      </c>
      <c r="F32" s="40"/>
      <c r="G32" s="40"/>
      <c r="H32" s="57"/>
    </row>
    <row r="33" ht="30" customHeight="1">
      <c r="A33" s="54" t="s">
        <v>5301</v>
      </c>
      <c r="B33" s="38" t="s">
        <v>5385</v>
      </c>
      <c r="C33" s="38" t="s">
        <v>3437</v>
      </c>
      <c r="D33" s="38" t="s">
        <v>5386</v>
      </c>
      <c r="E33" s="41" t="s">
        <v>5387</v>
      </c>
      <c r="F33" s="40"/>
      <c r="G33" s="40"/>
      <c r="H33" s="57"/>
    </row>
    <row r="34" ht="30" customHeight="1">
      <c r="A34" s="54" t="s">
        <v>5301</v>
      </c>
      <c r="B34" s="38" t="s">
        <v>5388</v>
      </c>
      <c r="C34" s="38" t="s">
        <v>3657</v>
      </c>
      <c r="D34" s="38" t="s">
        <v>5313</v>
      </c>
      <c r="E34" s="39" t="s">
        <v>5314</v>
      </c>
      <c r="F34" s="40" t="s">
        <v>5315</v>
      </c>
      <c r="G34" s="40"/>
      <c r="H34" s="57" t="s">
        <v>5306</v>
      </c>
    </row>
    <row r="35" ht="30" customHeight="1">
      <c r="A35" s="54" t="s">
        <v>5301</v>
      </c>
      <c r="B35" s="38" t="s">
        <v>5389</v>
      </c>
      <c r="C35" s="38" t="s">
        <v>3789</v>
      </c>
      <c r="D35" s="38" t="s">
        <v>5390</v>
      </c>
      <c r="E35" s="39" t="s">
        <v>5391</v>
      </c>
      <c r="F35" s="40" t="s">
        <v>5392</v>
      </c>
      <c r="G35" s="40"/>
      <c r="H35" s="57" t="s">
        <v>5333</v>
      </c>
    </row>
    <row r="36" ht="30" customHeight="1">
      <c r="A36" s="54" t="s">
        <v>5301</v>
      </c>
      <c r="B36" s="38" t="s">
        <v>5393</v>
      </c>
      <c r="C36" s="38" t="s">
        <v>5394</v>
      </c>
      <c r="D36" s="38" t="s">
        <v>5395</v>
      </c>
      <c r="E36" s="39" t="s">
        <v>5396</v>
      </c>
      <c r="F36" s="40"/>
      <c r="G36" s="40"/>
      <c r="H36" s="57"/>
    </row>
    <row r="37" ht="30" customHeight="1">
      <c r="A37" s="54" t="s">
        <v>5301</v>
      </c>
      <c r="B37" s="38" t="s">
        <v>5397</v>
      </c>
      <c r="C37" s="38" t="s">
        <v>3902</v>
      </c>
      <c r="D37" s="38" t="s">
        <v>5356</v>
      </c>
      <c r="E37" s="39" t="s">
        <v>5357</v>
      </c>
      <c r="F37" s="40" t="s">
        <v>5358</v>
      </c>
      <c r="G37" s="40"/>
      <c r="H37" s="57" t="s">
        <v>5306</v>
      </c>
    </row>
    <row r="38" ht="30" customHeight="1">
      <c r="A38" s="54" t="s">
        <v>5301</v>
      </c>
      <c r="B38" s="38" t="s">
        <v>5398</v>
      </c>
      <c r="C38" s="38" t="s">
        <v>4089</v>
      </c>
      <c r="D38" s="38" t="s">
        <v>5399</v>
      </c>
      <c r="E38" s="39" t="s">
        <v>5400</v>
      </c>
      <c r="F38" s="40" t="s">
        <v>5401</v>
      </c>
      <c r="G38" s="40"/>
      <c r="H38" s="57" t="s">
        <v>5306</v>
      </c>
    </row>
    <row r="39" ht="30" customHeight="1">
      <c r="A39" s="54" t="s">
        <v>5301</v>
      </c>
      <c r="B39" s="38" t="s">
        <v>5402</v>
      </c>
      <c r="C39" s="38" t="s">
        <v>4207</v>
      </c>
      <c r="D39" s="38" t="s">
        <v>5403</v>
      </c>
      <c r="E39" s="39" t="s">
        <v>5404</v>
      </c>
      <c r="F39" s="40"/>
      <c r="G39" s="40"/>
      <c r="H39" s="57"/>
    </row>
    <row r="40" ht="30" customHeight="1">
      <c r="A40" s="54" t="s">
        <v>5301</v>
      </c>
      <c r="B40" s="38" t="s">
        <v>5405</v>
      </c>
      <c r="C40" s="38" t="s">
        <v>4338</v>
      </c>
      <c r="D40" s="38" t="s">
        <v>5406</v>
      </c>
      <c r="E40" s="41" t="s">
        <v>5407</v>
      </c>
      <c r="F40" s="40" t="s">
        <v>5408</v>
      </c>
      <c r="G40" s="40"/>
      <c r="H40" s="57" t="s">
        <v>5333</v>
      </c>
    </row>
    <row r="41" ht="30" customHeight="1">
      <c r="A41" s="54" t="s">
        <v>5301</v>
      </c>
      <c r="B41" s="38" t="s">
        <v>5409</v>
      </c>
      <c r="C41" s="38" t="s">
        <v>4498</v>
      </c>
      <c r="D41" s="38" t="s">
        <v>5356</v>
      </c>
      <c r="E41" s="39" t="s">
        <v>5357</v>
      </c>
      <c r="F41" s="40" t="s">
        <v>5358</v>
      </c>
      <c r="G41" s="40"/>
      <c r="H41" s="57" t="s">
        <v>5306</v>
      </c>
    </row>
    <row r="42">
      <c r="A42" s="55" t="n">
        <v>2023</v>
      </c>
      <c r="B42" s="42" t="s">
        <v>51</v>
      </c>
      <c r="C42" s="42" t="s">
        <v>54</v>
      </c>
      <c r="D42" s="42" t="s">
        <v>5308</v>
      </c>
      <c r="E42" s="42" t="s">
        <v>5309</v>
      </c>
      <c r="F42" s="43" t="s">
        <v>5310</v>
      </c>
      <c r="G42" s="43"/>
      <c r="H42" s="58" t="s">
        <v>5311</v>
      </c>
    </row>
    <row r="43">
      <c r="A43" s="55" t="n">
        <v>2023</v>
      </c>
      <c r="B43" s="42" t="s">
        <v>222</v>
      </c>
      <c r="C43" s="42" t="s">
        <v>224</v>
      </c>
      <c r="D43" s="42" t="s">
        <v>5338</v>
      </c>
      <c r="E43" s="42" t="s">
        <v>5339</v>
      </c>
      <c r="F43" s="43"/>
      <c r="G43" s="43"/>
      <c r="H43" s="58"/>
    </row>
    <row r="44">
      <c r="A44" s="55" t="n">
        <v>2023</v>
      </c>
      <c r="B44" s="42" t="s">
        <v>458</v>
      </c>
      <c r="C44" s="42" t="s">
        <v>460</v>
      </c>
      <c r="D44" s="42" t="s">
        <v>5317</v>
      </c>
      <c r="E44" s="42" t="s">
        <v>5318</v>
      </c>
      <c r="F44" s="43" t="s">
        <v>5319</v>
      </c>
      <c r="G44" s="43"/>
      <c r="H44" s="58" t="s">
        <v>5306</v>
      </c>
    </row>
    <row r="45">
      <c r="A45" s="55" t="n">
        <v>2023</v>
      </c>
      <c r="B45" s="42" t="s">
        <v>678</v>
      </c>
      <c r="C45" s="42" t="s">
        <v>680</v>
      </c>
      <c r="D45" s="42" t="s">
        <v>5321</v>
      </c>
      <c r="E45" s="42" t="s">
        <v>5322</v>
      </c>
      <c r="F45" s="43" t="s">
        <v>5323</v>
      </c>
      <c r="G45" s="43"/>
      <c r="H45" s="58" t="s">
        <v>5311</v>
      </c>
    </row>
    <row r="46">
      <c r="A46" s="55" t="n">
        <v>2023</v>
      </c>
      <c r="B46" s="42" t="s">
        <v>831</v>
      </c>
      <c r="C46" s="42" t="s">
        <v>833</v>
      </c>
      <c r="D46" s="42" t="s">
        <v>5325</v>
      </c>
      <c r="E46" s="42" t="s">
        <v>5326</v>
      </c>
      <c r="F46" s="43" t="s">
        <v>5327</v>
      </c>
      <c r="G46" s="43"/>
      <c r="H46" s="58" t="s">
        <v>5306</v>
      </c>
    </row>
    <row r="47">
      <c r="A47" s="55" t="n">
        <v>2023</v>
      </c>
      <c r="B47" s="42" t="s">
        <v>937</v>
      </c>
      <c r="C47" s="42" t="s">
        <v>939</v>
      </c>
      <c r="D47" s="42" t="s">
        <v>5395</v>
      </c>
      <c r="E47" s="42" t="s">
        <v>5396</v>
      </c>
      <c r="F47" s="43"/>
      <c r="G47" s="43"/>
      <c r="H47" s="58"/>
    </row>
    <row r="48">
      <c r="A48" s="55" t="n">
        <v>2023</v>
      </c>
      <c r="B48" s="42" t="s">
        <v>976</v>
      </c>
      <c r="C48" s="42" t="s">
        <v>978</v>
      </c>
      <c r="D48" s="42" t="s">
        <v>5313</v>
      </c>
      <c r="E48" s="42" t="s">
        <v>5314</v>
      </c>
      <c r="F48" s="43" t="s">
        <v>5315</v>
      </c>
      <c r="G48" s="43"/>
      <c r="H48" s="58" t="s">
        <v>5306</v>
      </c>
    </row>
    <row r="49">
      <c r="A49" s="55" t="n">
        <v>2023</v>
      </c>
      <c r="B49" s="42" t="s">
        <v>1113</v>
      </c>
      <c r="C49" s="42" t="s">
        <v>1115</v>
      </c>
      <c r="D49" s="42" t="s">
        <v>5410</v>
      </c>
      <c r="E49" s="42" t="s">
        <v>5411</v>
      </c>
      <c r="F49" s="43" t="s">
        <v>5412</v>
      </c>
      <c r="G49" s="43"/>
      <c r="H49" s="58" t="s">
        <v>5333</v>
      </c>
    </row>
    <row r="50">
      <c r="A50" s="55" t="n">
        <v>2023</v>
      </c>
      <c r="B50" s="42" t="s">
        <v>1123</v>
      </c>
      <c r="C50" s="42" t="s">
        <v>1125</v>
      </c>
      <c r="D50" s="42" t="s">
        <v>5370</v>
      </c>
      <c r="E50" s="42" t="s">
        <v>5371</v>
      </c>
      <c r="F50" s="43" t="s">
        <v>5372</v>
      </c>
      <c r="G50" s="43"/>
      <c r="H50" s="58" t="s">
        <v>5306</v>
      </c>
    </row>
    <row r="51">
      <c r="A51" s="55" t="n">
        <v>2023</v>
      </c>
      <c r="B51" s="42" t="s">
        <v>1213</v>
      </c>
      <c r="C51" s="42" t="s">
        <v>1215</v>
      </c>
      <c r="D51" s="42" t="s">
        <v>5321</v>
      </c>
      <c r="E51" s="42" t="s">
        <v>5322</v>
      </c>
      <c r="F51" s="43" t="s">
        <v>5323</v>
      </c>
      <c r="G51" s="43"/>
      <c r="H51" s="58" t="s">
        <v>5311</v>
      </c>
    </row>
    <row r="52">
      <c r="A52" s="55" t="n">
        <v>2023</v>
      </c>
      <c r="B52" s="42" t="s">
        <v>1448</v>
      </c>
      <c r="C52" s="42" t="s">
        <v>1449</v>
      </c>
      <c r="D52" s="42" t="s">
        <v>5317</v>
      </c>
      <c r="E52" s="42" t="s">
        <v>5318</v>
      </c>
      <c r="F52" s="43" t="s">
        <v>5319</v>
      </c>
      <c r="G52" s="43"/>
      <c r="H52" s="58" t="s">
        <v>5306</v>
      </c>
    </row>
    <row r="53">
      <c r="A53" s="55" t="n">
        <v>2023</v>
      </c>
      <c r="B53" s="42" t="s">
        <v>1506</v>
      </c>
      <c r="C53" s="42" t="s">
        <v>1508</v>
      </c>
      <c r="D53" s="42" t="s">
        <v>5313</v>
      </c>
      <c r="E53" s="42" t="s">
        <v>5314</v>
      </c>
      <c r="F53" s="43" t="s">
        <v>5315</v>
      </c>
      <c r="G53" s="43"/>
      <c r="H53" s="58" t="s">
        <v>5306</v>
      </c>
    </row>
    <row r="54">
      <c r="A54" s="55" t="n">
        <v>2023</v>
      </c>
      <c r="B54" s="42" t="s">
        <v>1557</v>
      </c>
      <c r="C54" s="42" t="s">
        <v>1559</v>
      </c>
      <c r="D54" s="42" t="s">
        <v>5356</v>
      </c>
      <c r="E54" s="42" t="s">
        <v>5357</v>
      </c>
      <c r="F54" s="43" t="s">
        <v>5358</v>
      </c>
      <c r="G54" s="43"/>
      <c r="H54" s="58" t="s">
        <v>5306</v>
      </c>
    </row>
    <row r="55">
      <c r="A55" s="55" t="n">
        <v>2023</v>
      </c>
      <c r="B55" s="42" t="s">
        <v>1622</v>
      </c>
      <c r="C55" s="42" t="s">
        <v>1624</v>
      </c>
      <c r="D55" s="42" t="s">
        <v>5413</v>
      </c>
      <c r="E55" s="42" t="s">
        <v>5413</v>
      </c>
      <c r="F55" s="43"/>
      <c r="G55" s="43"/>
      <c r="H55" s="58"/>
    </row>
    <row r="56">
      <c r="A56" s="55" t="n">
        <v>2023</v>
      </c>
      <c r="B56" s="42" t="s">
        <v>1706</v>
      </c>
      <c r="C56" s="42" t="s">
        <v>1708</v>
      </c>
      <c r="D56" s="42" t="s">
        <v>5341</v>
      </c>
      <c r="E56" s="42" t="s">
        <v>5342</v>
      </c>
      <c r="F56" s="43"/>
      <c r="G56" s="43" t="s">
        <v>5343</v>
      </c>
      <c r="H56" s="58" t="s">
        <v>5311</v>
      </c>
    </row>
    <row r="57">
      <c r="A57" s="55" t="n">
        <v>2023</v>
      </c>
      <c r="B57" s="42" t="s">
        <v>1806</v>
      </c>
      <c r="C57" s="42" t="s">
        <v>1808</v>
      </c>
      <c r="D57" s="42" t="s">
        <v>5313</v>
      </c>
      <c r="E57" s="42" t="s">
        <v>5314</v>
      </c>
      <c r="F57" s="43" t="s">
        <v>5315</v>
      </c>
      <c r="G57" s="43"/>
      <c r="H57" s="58" t="s">
        <v>5306</v>
      </c>
    </row>
    <row r="58">
      <c r="A58" s="55" t="n">
        <v>2023</v>
      </c>
      <c r="B58" s="42" t="s">
        <v>1886</v>
      </c>
      <c r="C58" s="42" t="s">
        <v>1888</v>
      </c>
      <c r="D58" s="42" t="s">
        <v>5346</v>
      </c>
      <c r="E58" s="42" t="s">
        <v>5347</v>
      </c>
      <c r="F58" s="43" t="s">
        <v>5348</v>
      </c>
      <c r="G58" s="43"/>
      <c r="H58" s="58" t="s">
        <v>5333</v>
      </c>
    </row>
    <row r="59">
      <c r="A59" s="55" t="n">
        <v>2023</v>
      </c>
      <c r="B59" s="42" t="s">
        <v>1951</v>
      </c>
      <c r="C59" s="42" t="s">
        <v>1953</v>
      </c>
      <c r="D59" s="42" t="s">
        <v>5403</v>
      </c>
      <c r="E59" s="42" t="s">
        <v>5404</v>
      </c>
      <c r="F59" s="43"/>
      <c r="G59" s="43"/>
      <c r="H59" s="58"/>
    </row>
    <row r="60">
      <c r="A60" s="55" t="n">
        <v>2023</v>
      </c>
      <c r="B60" s="42" t="s">
        <v>2068</v>
      </c>
      <c r="C60" s="42" t="s">
        <v>2070</v>
      </c>
      <c r="D60" s="42" t="s">
        <v>5308</v>
      </c>
      <c r="E60" s="42" t="s">
        <v>5309</v>
      </c>
      <c r="F60" s="43" t="s">
        <v>5310</v>
      </c>
      <c r="G60" s="43"/>
      <c r="H60" s="58" t="s">
        <v>5311</v>
      </c>
    </row>
    <row r="61">
      <c r="A61" s="55" t="n">
        <v>2023</v>
      </c>
      <c r="B61" s="42" t="s">
        <v>2133</v>
      </c>
      <c r="C61" s="42" t="s">
        <v>2135</v>
      </c>
      <c r="D61" s="42" t="s">
        <v>5414</v>
      </c>
      <c r="E61" s="42" t="s">
        <v>5415</v>
      </c>
      <c r="F61" s="43" t="s">
        <v>5416</v>
      </c>
      <c r="G61" s="43"/>
      <c r="H61" s="58" t="s">
        <v>5306</v>
      </c>
    </row>
    <row r="62">
      <c r="A62" s="55" t="n">
        <v>2023</v>
      </c>
      <c r="B62" s="42" t="s">
        <v>2152</v>
      </c>
      <c r="C62" s="42" t="s">
        <v>2154</v>
      </c>
      <c r="D62" s="42" t="s">
        <v>5352</v>
      </c>
      <c r="E62" s="42" t="s">
        <v>5353</v>
      </c>
      <c r="F62" s="43" t="s">
        <v>5354</v>
      </c>
      <c r="G62" s="43"/>
      <c r="H62" s="58" t="s">
        <v>5306</v>
      </c>
    </row>
    <row r="63">
      <c r="A63" s="55" t="n">
        <v>2023</v>
      </c>
      <c r="B63" s="42" t="s">
        <v>2238</v>
      </c>
      <c r="C63" s="42" t="s">
        <v>2240</v>
      </c>
      <c r="D63" s="42" t="s">
        <v>5356</v>
      </c>
      <c r="E63" s="42" t="s">
        <v>5357</v>
      </c>
      <c r="F63" s="43" t="s">
        <v>5358</v>
      </c>
      <c r="G63" s="43"/>
      <c r="H63" s="58" t="s">
        <v>5306</v>
      </c>
    </row>
    <row r="64">
      <c r="A64" s="55" t="n">
        <v>2023</v>
      </c>
      <c r="B64" s="42" t="s">
        <v>2322</v>
      </c>
      <c r="C64" s="42" t="s">
        <v>2324</v>
      </c>
      <c r="D64" s="42" t="s">
        <v>5338</v>
      </c>
      <c r="E64" s="42" t="s">
        <v>5339</v>
      </c>
      <c r="F64" s="43"/>
      <c r="G64" s="43"/>
      <c r="H64" s="58"/>
    </row>
    <row r="65">
      <c r="A65" s="55" t="n">
        <v>2023</v>
      </c>
      <c r="B65" s="42" t="s">
        <v>2440</v>
      </c>
      <c r="C65" s="42" t="s">
        <v>2442</v>
      </c>
      <c r="D65" s="42" t="s">
        <v>5414</v>
      </c>
      <c r="E65" s="42" t="s">
        <v>5415</v>
      </c>
      <c r="F65" s="43" t="s">
        <v>5416</v>
      </c>
      <c r="G65" s="43"/>
      <c r="H65" s="58" t="s">
        <v>5306</v>
      </c>
    </row>
    <row r="66">
      <c r="A66" s="55" t="n">
        <v>2023</v>
      </c>
      <c r="B66" s="42" t="s">
        <v>2521</v>
      </c>
      <c r="C66" s="42" t="s">
        <v>2523</v>
      </c>
      <c r="D66" s="42" t="s">
        <v>5365</v>
      </c>
      <c r="E66" s="42" t="s">
        <v>5366</v>
      </c>
      <c r="F66" s="43" t="s">
        <v>5367</v>
      </c>
      <c r="G66" s="43"/>
      <c r="H66" s="58" t="s">
        <v>5311</v>
      </c>
    </row>
    <row r="67">
      <c r="A67" s="55" t="n">
        <v>2023</v>
      </c>
      <c r="B67" s="42" t="s">
        <v>2657</v>
      </c>
      <c r="C67" s="42" t="s">
        <v>2659</v>
      </c>
      <c r="D67" s="42" t="s">
        <v>5317</v>
      </c>
      <c r="E67" s="42" t="s">
        <v>5318</v>
      </c>
      <c r="F67" s="43" t="s">
        <v>5319</v>
      </c>
      <c r="G67" s="43"/>
      <c r="H67" s="58" t="s">
        <v>5306</v>
      </c>
    </row>
    <row r="68">
      <c r="A68" s="55" t="n">
        <v>2023</v>
      </c>
      <c r="B68" s="42" t="s">
        <v>2747</v>
      </c>
      <c r="C68" s="42" t="s">
        <v>2749</v>
      </c>
      <c r="D68" s="42" t="s">
        <v>5356</v>
      </c>
      <c r="E68" s="42" t="s">
        <v>5357</v>
      </c>
      <c r="F68" s="43" t="s">
        <v>5358</v>
      </c>
      <c r="G68" s="43"/>
      <c r="H68" s="58" t="s">
        <v>5306</v>
      </c>
    </row>
    <row r="69">
      <c r="A69" s="55" t="n">
        <v>2023</v>
      </c>
      <c r="B69" s="42" t="s">
        <v>2824</v>
      </c>
      <c r="C69" s="42" t="s">
        <v>2826</v>
      </c>
      <c r="D69" s="42" t="s">
        <v>5330</v>
      </c>
      <c r="E69" s="42" t="s">
        <v>5331</v>
      </c>
      <c r="F69" s="43" t="s">
        <v>5332</v>
      </c>
      <c r="G69" s="43"/>
      <c r="H69" s="58" t="s">
        <v>5333</v>
      </c>
    </row>
    <row r="70">
      <c r="A70" s="55" t="n">
        <v>2023</v>
      </c>
      <c r="B70" s="42" t="s">
        <v>2897</v>
      </c>
      <c r="C70" s="42" t="s">
        <v>2899</v>
      </c>
      <c r="D70" s="42" t="s">
        <v>5321</v>
      </c>
      <c r="E70" s="42" t="s">
        <v>5322</v>
      </c>
      <c r="F70" s="43" t="s">
        <v>5323</v>
      </c>
      <c r="G70" s="43"/>
      <c r="H70" s="58" t="s">
        <v>5311</v>
      </c>
    </row>
    <row r="71">
      <c r="A71" s="55" t="n">
        <v>2023</v>
      </c>
      <c r="B71" s="42" t="s">
        <v>3025</v>
      </c>
      <c r="C71" s="42" t="s">
        <v>3027</v>
      </c>
      <c r="D71" s="42" t="s">
        <v>5376</v>
      </c>
      <c r="E71" s="42" t="s">
        <v>5377</v>
      </c>
      <c r="F71" s="43" t="s">
        <v>5378</v>
      </c>
      <c r="G71" s="43"/>
      <c r="H71" s="58" t="s">
        <v>5306</v>
      </c>
    </row>
    <row r="72">
      <c r="A72" s="55" t="n">
        <v>2023</v>
      </c>
      <c r="B72" s="42" t="s">
        <v>3117</v>
      </c>
      <c r="C72" s="42" t="s">
        <v>3119</v>
      </c>
      <c r="D72" s="42" t="s">
        <v>5399</v>
      </c>
      <c r="E72" s="42" t="s">
        <v>5400</v>
      </c>
      <c r="F72" s="43" t="s">
        <v>5401</v>
      </c>
      <c r="G72" s="43"/>
      <c r="H72" s="58" t="s">
        <v>5306</v>
      </c>
    </row>
    <row r="73">
      <c r="A73" s="55" t="n">
        <v>2023</v>
      </c>
      <c r="B73" s="42" t="s">
        <v>3280</v>
      </c>
      <c r="C73" s="42" t="s">
        <v>3282</v>
      </c>
      <c r="D73" s="42" t="s">
        <v>5365</v>
      </c>
      <c r="E73" s="42" t="s">
        <v>5366</v>
      </c>
      <c r="F73" s="43" t="s">
        <v>5367</v>
      </c>
      <c r="G73" s="43"/>
      <c r="H73" s="58" t="s">
        <v>5311</v>
      </c>
    </row>
    <row r="74">
      <c r="A74" s="55" t="n">
        <v>2023</v>
      </c>
      <c r="B74" s="42" t="s">
        <v>3412</v>
      </c>
      <c r="C74" s="42" t="s">
        <v>3414</v>
      </c>
      <c r="D74" s="42" t="s">
        <v>5338</v>
      </c>
      <c r="E74" s="42" t="s">
        <v>5339</v>
      </c>
      <c r="F74" s="43"/>
      <c r="G74" s="43"/>
      <c r="H74" s="58"/>
    </row>
    <row r="75">
      <c r="A75" s="55" t="n">
        <v>2023</v>
      </c>
      <c r="B75" s="42" t="s">
        <v>3435</v>
      </c>
      <c r="C75" s="42" t="s">
        <v>3437</v>
      </c>
      <c r="D75" s="42" t="s">
        <v>5417</v>
      </c>
      <c r="E75" s="42" t="s">
        <v>5418</v>
      </c>
      <c r="F75" s="43"/>
      <c r="G75" s="43"/>
      <c r="H75" s="58"/>
    </row>
    <row r="76">
      <c r="A76" s="55" t="n">
        <v>2023</v>
      </c>
      <c r="B76" s="42" t="s">
        <v>3505</v>
      </c>
      <c r="C76" s="42" t="s">
        <v>3507</v>
      </c>
      <c r="D76" s="42" t="s">
        <v>5356</v>
      </c>
      <c r="E76" s="42" t="s">
        <v>5357</v>
      </c>
      <c r="F76" s="43" t="s">
        <v>5358</v>
      </c>
      <c r="G76" s="43"/>
      <c r="H76" s="58" t="s">
        <v>5306</v>
      </c>
    </row>
    <row r="77">
      <c r="A77" s="55" t="n">
        <v>2023</v>
      </c>
      <c r="B77" s="42" t="s">
        <v>3655</v>
      </c>
      <c r="C77" s="42" t="s">
        <v>3657</v>
      </c>
      <c r="D77" s="42" t="s">
        <v>5313</v>
      </c>
      <c r="E77" s="42" t="s">
        <v>5314</v>
      </c>
      <c r="F77" s="43" t="s">
        <v>5315</v>
      </c>
      <c r="G77" s="43"/>
      <c r="H77" s="58" t="s">
        <v>5306</v>
      </c>
    </row>
    <row r="78">
      <c r="A78" s="55" t="n">
        <v>2023</v>
      </c>
      <c r="B78" s="42" t="s">
        <v>3787</v>
      </c>
      <c r="C78" s="42" t="s">
        <v>3789</v>
      </c>
      <c r="D78" s="42" t="s">
        <v>5390</v>
      </c>
      <c r="E78" s="42" t="s">
        <v>5391</v>
      </c>
      <c r="F78" s="43" t="s">
        <v>5392</v>
      </c>
      <c r="G78" s="43"/>
      <c r="H78" s="58" t="s">
        <v>5333</v>
      </c>
    </row>
    <row r="79">
      <c r="A79" s="55" t="n">
        <v>2023</v>
      </c>
      <c r="B79" s="42" t="s">
        <v>3901</v>
      </c>
      <c r="C79" s="42" t="s">
        <v>3902</v>
      </c>
      <c r="D79" s="42" t="s">
        <v>5356</v>
      </c>
      <c r="E79" s="42" t="s">
        <v>5357</v>
      </c>
      <c r="F79" s="43" t="s">
        <v>5358</v>
      </c>
      <c r="G79" s="43"/>
      <c r="H79" s="58" t="s">
        <v>5306</v>
      </c>
    </row>
    <row r="80">
      <c r="A80" s="55" t="n">
        <v>2023</v>
      </c>
      <c r="B80" s="42" t="s">
        <v>4051</v>
      </c>
      <c r="C80" s="42" t="s">
        <v>4053</v>
      </c>
      <c r="D80" s="42" t="s">
        <v>5399</v>
      </c>
      <c r="E80" s="42" t="s">
        <v>5400</v>
      </c>
      <c r="F80" s="43" t="s">
        <v>5401</v>
      </c>
      <c r="G80" s="43"/>
      <c r="H80" s="58" t="s">
        <v>5306</v>
      </c>
    </row>
    <row r="81">
      <c r="A81" s="55" t="n">
        <v>2023</v>
      </c>
      <c r="B81" s="42" t="s">
        <v>4087</v>
      </c>
      <c r="C81" s="42" t="s">
        <v>4089</v>
      </c>
      <c r="D81" s="42" t="s">
        <v>5399</v>
      </c>
      <c r="E81" s="42" t="s">
        <v>5400</v>
      </c>
      <c r="F81" s="43" t="s">
        <v>5401</v>
      </c>
      <c r="G81" s="43"/>
      <c r="H81" s="58" t="s">
        <v>5306</v>
      </c>
    </row>
    <row r="82">
      <c r="A82" s="55" t="n">
        <v>2023</v>
      </c>
      <c r="B82" s="42" t="s">
        <v>4205</v>
      </c>
      <c r="C82" s="42" t="s">
        <v>4207</v>
      </c>
      <c r="D82" s="42" t="s">
        <v>5403</v>
      </c>
      <c r="E82" s="42" t="s">
        <v>5404</v>
      </c>
      <c r="F82" s="43"/>
      <c r="G82" s="43"/>
      <c r="H82" s="58"/>
    </row>
    <row r="83">
      <c r="A83" s="55" t="n">
        <v>2023</v>
      </c>
      <c r="B83" s="42" t="s">
        <v>4336</v>
      </c>
      <c r="C83" s="42" t="s">
        <v>4338</v>
      </c>
      <c r="D83" s="42" t="s">
        <v>5356</v>
      </c>
      <c r="E83" s="42" t="s">
        <v>5357</v>
      </c>
      <c r="F83" s="43" t="s">
        <v>5358</v>
      </c>
      <c r="G83" s="43"/>
      <c r="H83" s="58" t="s">
        <v>5306</v>
      </c>
    </row>
    <row r="84">
      <c r="A84" s="55" t="n">
        <v>2023</v>
      </c>
      <c r="B84" s="42" t="s">
        <v>4496</v>
      </c>
      <c r="C84" s="42" t="s">
        <v>4498</v>
      </c>
      <c r="D84" s="42" t="s">
        <v>5356</v>
      </c>
      <c r="E84" s="42" t="s">
        <v>5357</v>
      </c>
      <c r="F84" s="43" t="s">
        <v>5358</v>
      </c>
      <c r="G84" s="43"/>
      <c r="H84" s="58" t="s">
        <v>5306</v>
      </c>
    </row>
    <row r="85">
      <c r="A85" s="55" t="n">
        <v>2023</v>
      </c>
      <c r="B85" s="42" t="s">
        <v>4674</v>
      </c>
      <c r="C85" s="42" t="s">
        <v>4676</v>
      </c>
      <c r="D85" s="42" t="s">
        <v>5414</v>
      </c>
      <c r="E85" s="42" t="s">
        <v>5415</v>
      </c>
      <c r="F85" s="43" t="s">
        <v>5416</v>
      </c>
      <c r="G85" s="43"/>
      <c r="H85" s="58" t="s">
        <v>5306</v>
      </c>
    </row>
    <row r="86">
      <c r="A86" s="56" t="n">
        <v>2024</v>
      </c>
      <c r="B86" s="44" t="s">
        <v>5419</v>
      </c>
      <c r="C86" s="44" t="s">
        <v>460</v>
      </c>
      <c r="D86" s="44" t="s">
        <v>5317</v>
      </c>
      <c r="E86" s="44" t="s">
        <v>5318</v>
      </c>
      <c r="F86" s="45" t="s">
        <v>5319</v>
      </c>
      <c r="G86" s="45"/>
      <c r="H86" s="59" t="s">
        <v>5306</v>
      </c>
    </row>
    <row r="87">
      <c r="A87" s="56" t="n">
        <v>2024</v>
      </c>
      <c r="B87" s="44" t="s">
        <v>5420</v>
      </c>
      <c r="C87" s="44" t="s">
        <v>680</v>
      </c>
      <c r="D87" s="44" t="s">
        <v>5321</v>
      </c>
      <c r="E87" s="44" t="s">
        <v>5322</v>
      </c>
      <c r="F87" s="45" t="s">
        <v>5323</v>
      </c>
      <c r="G87" s="45"/>
      <c r="H87" s="59" t="s">
        <v>5311</v>
      </c>
    </row>
    <row r="88">
      <c r="A88" s="56" t="n">
        <v>2024</v>
      </c>
      <c r="B88" s="44" t="s">
        <v>5421</v>
      </c>
      <c r="C88" s="44" t="s">
        <v>5422</v>
      </c>
      <c r="D88" s="44" t="s">
        <v>5365</v>
      </c>
      <c r="E88" s="44" t="s">
        <v>5366</v>
      </c>
      <c r="F88" s="45" t="s">
        <v>5367</v>
      </c>
      <c r="G88" s="45"/>
      <c r="H88" s="59" t="s">
        <v>5311</v>
      </c>
    </row>
    <row r="89">
      <c r="A89" s="56" t="n">
        <v>2024</v>
      </c>
      <c r="B89" s="44" t="s">
        <v>5423</v>
      </c>
      <c r="C89" s="44" t="s">
        <v>5424</v>
      </c>
      <c r="D89" s="44" t="s">
        <v>5308</v>
      </c>
      <c r="E89" s="44" t="s">
        <v>5309</v>
      </c>
      <c r="F89" s="45" t="s">
        <v>5310</v>
      </c>
      <c r="G89" s="45"/>
      <c r="H89" s="59" t="s">
        <v>5311</v>
      </c>
    </row>
    <row r="90">
      <c r="A90" s="56" t="n">
        <v>2024</v>
      </c>
      <c r="B90" s="44" t="s">
        <v>5425</v>
      </c>
      <c r="C90" s="44" t="s">
        <v>833</v>
      </c>
      <c r="D90" s="44" t="s">
        <v>5325</v>
      </c>
      <c r="E90" s="44" t="s">
        <v>5326</v>
      </c>
      <c r="F90" s="45" t="s">
        <v>5327</v>
      </c>
      <c r="G90" s="45"/>
      <c r="H90" s="59" t="s">
        <v>5306</v>
      </c>
    </row>
    <row r="91">
      <c r="A91" s="56" t="n">
        <v>2024</v>
      </c>
      <c r="B91" s="44" t="s">
        <v>5426</v>
      </c>
      <c r="C91" s="44" t="s">
        <v>939</v>
      </c>
      <c r="D91" s="44" t="s">
        <v>5395</v>
      </c>
      <c r="E91" s="44" t="s">
        <v>5396</v>
      </c>
      <c r="F91" s="45"/>
      <c r="G91" s="45"/>
      <c r="H91" s="59"/>
    </row>
    <row r="92">
      <c r="A92" s="56" t="n">
        <v>2024</v>
      </c>
      <c r="B92" s="44" t="s">
        <v>5427</v>
      </c>
      <c r="C92" s="44" t="s">
        <v>978</v>
      </c>
      <c r="D92" s="44" t="s">
        <v>5313</v>
      </c>
      <c r="E92" s="44" t="s">
        <v>5314</v>
      </c>
      <c r="F92" s="45" t="s">
        <v>5315</v>
      </c>
      <c r="G92" s="45"/>
      <c r="H92" s="59" t="s">
        <v>5306</v>
      </c>
    </row>
    <row r="93">
      <c r="A93" s="56" t="n">
        <v>2024</v>
      </c>
      <c r="B93" s="44" t="s">
        <v>5428</v>
      </c>
      <c r="C93" s="44" t="s">
        <v>1115</v>
      </c>
      <c r="D93" s="44" t="s">
        <v>5410</v>
      </c>
      <c r="E93" s="44" t="s">
        <v>5411</v>
      </c>
      <c r="F93" s="45" t="s">
        <v>5412</v>
      </c>
      <c r="G93" s="45"/>
      <c r="H93" s="59" t="s">
        <v>5333</v>
      </c>
    </row>
    <row r="94">
      <c r="A94" s="56" t="n">
        <v>2024</v>
      </c>
      <c r="B94" s="44" t="s">
        <v>5429</v>
      </c>
      <c r="C94" s="44" t="s">
        <v>1125</v>
      </c>
      <c r="D94" s="44" t="s">
        <v>5430</v>
      </c>
      <c r="E94" s="44" t="s">
        <v>5431</v>
      </c>
      <c r="F94" s="45"/>
      <c r="G94" s="45" t="s">
        <v>5432</v>
      </c>
      <c r="H94" s="59" t="s">
        <v>5333</v>
      </c>
    </row>
    <row r="95">
      <c r="A95" s="56" t="n">
        <v>2024</v>
      </c>
      <c r="B95" s="44" t="s">
        <v>5433</v>
      </c>
      <c r="C95" s="44" t="s">
        <v>1449</v>
      </c>
      <c r="D95" s="44" t="s">
        <v>5317</v>
      </c>
      <c r="E95" s="44" t="s">
        <v>5318</v>
      </c>
      <c r="F95" s="45" t="s">
        <v>5319</v>
      </c>
      <c r="G95" s="45"/>
      <c r="H95" s="59" t="s">
        <v>5306</v>
      </c>
    </row>
    <row r="96">
      <c r="A96" s="56" t="n">
        <v>2024</v>
      </c>
      <c r="B96" s="44" t="s">
        <v>5434</v>
      </c>
      <c r="C96" s="44" t="s">
        <v>1508</v>
      </c>
      <c r="D96" s="44" t="s">
        <v>5313</v>
      </c>
      <c r="E96" s="44" t="s">
        <v>5314</v>
      </c>
      <c r="F96" s="45" t="s">
        <v>5315</v>
      </c>
      <c r="G96" s="45"/>
      <c r="H96" s="59" t="s">
        <v>5306</v>
      </c>
    </row>
    <row r="97">
      <c r="A97" s="56" t="n">
        <v>2024</v>
      </c>
      <c r="B97" s="44" t="s">
        <v>5435</v>
      </c>
      <c r="C97" s="44" t="s">
        <v>1559</v>
      </c>
      <c r="D97" s="44" t="s">
        <v>5356</v>
      </c>
      <c r="E97" s="44" t="s">
        <v>5357</v>
      </c>
      <c r="F97" s="45" t="s">
        <v>5358</v>
      </c>
      <c r="G97" s="45"/>
      <c r="H97" s="59" t="s">
        <v>5306</v>
      </c>
    </row>
    <row r="98">
      <c r="A98" s="56" t="n">
        <v>2024</v>
      </c>
      <c r="B98" s="44" t="s">
        <v>5436</v>
      </c>
      <c r="C98" s="44" t="s">
        <v>1624</v>
      </c>
      <c r="D98" s="44" t="s">
        <v>5413</v>
      </c>
      <c r="E98" s="44" t="s">
        <v>5413</v>
      </c>
      <c r="F98" s="45"/>
      <c r="G98" s="45"/>
      <c r="H98" s="59"/>
    </row>
    <row r="99">
      <c r="A99" s="56" t="n">
        <v>2024</v>
      </c>
      <c r="B99" s="44" t="s">
        <v>5437</v>
      </c>
      <c r="C99" s="44" t="s">
        <v>1708</v>
      </c>
      <c r="D99" s="44" t="s">
        <v>5341</v>
      </c>
      <c r="E99" s="44" t="s">
        <v>5342</v>
      </c>
      <c r="F99" s="45"/>
      <c r="G99" s="45" t="s">
        <v>5343</v>
      </c>
      <c r="H99" s="59" t="s">
        <v>5311</v>
      </c>
    </row>
    <row r="100">
      <c r="A100" s="56" t="n">
        <v>2024</v>
      </c>
      <c r="B100" s="44" t="s">
        <v>5438</v>
      </c>
      <c r="C100" s="44" t="s">
        <v>1808</v>
      </c>
      <c r="D100" s="44" t="s">
        <v>5313</v>
      </c>
      <c r="E100" s="44" t="s">
        <v>5314</v>
      </c>
      <c r="F100" s="45" t="s">
        <v>5315</v>
      </c>
      <c r="G100" s="45"/>
      <c r="H100" s="59" t="s">
        <v>5306</v>
      </c>
    </row>
    <row r="101">
      <c r="A101" s="56" t="n">
        <v>2024</v>
      </c>
      <c r="B101" s="44" t="s">
        <v>5439</v>
      </c>
      <c r="C101" s="44" t="s">
        <v>1888</v>
      </c>
      <c r="D101" s="44" t="s">
        <v>5346</v>
      </c>
      <c r="E101" s="44" t="s">
        <v>5347</v>
      </c>
      <c r="F101" s="45" t="s">
        <v>5348</v>
      </c>
      <c r="G101" s="45"/>
      <c r="H101" s="59" t="s">
        <v>5333</v>
      </c>
    </row>
    <row r="102">
      <c r="A102" s="56" t="n">
        <v>2024</v>
      </c>
      <c r="B102" s="44" t="s">
        <v>5440</v>
      </c>
      <c r="C102" s="44" t="s">
        <v>1953</v>
      </c>
      <c r="D102" s="44" t="s">
        <v>5403</v>
      </c>
      <c r="E102" s="44" t="s">
        <v>5404</v>
      </c>
      <c r="F102" s="45"/>
      <c r="G102" s="45"/>
      <c r="H102" s="59"/>
    </row>
    <row r="103">
      <c r="A103" s="56" t="n">
        <v>2024</v>
      </c>
      <c r="B103" s="44" t="s">
        <v>5441</v>
      </c>
      <c r="C103" s="44" t="s">
        <v>2070</v>
      </c>
      <c r="D103" s="44" t="s">
        <v>5308</v>
      </c>
      <c r="E103" s="44" t="s">
        <v>5309</v>
      </c>
      <c r="F103" s="45" t="s">
        <v>5310</v>
      </c>
      <c r="G103" s="45"/>
      <c r="H103" s="59" t="s">
        <v>5311</v>
      </c>
    </row>
    <row r="104">
      <c r="A104" s="56" t="n">
        <v>2024</v>
      </c>
      <c r="B104" s="44" t="s">
        <v>5442</v>
      </c>
      <c r="C104" s="44" t="s">
        <v>2135</v>
      </c>
      <c r="D104" s="44" t="s">
        <v>5414</v>
      </c>
      <c r="E104" s="44" t="s">
        <v>5415</v>
      </c>
      <c r="F104" s="45" t="s">
        <v>5416</v>
      </c>
      <c r="G104" s="45"/>
      <c r="H104" s="59" t="s">
        <v>5306</v>
      </c>
    </row>
    <row r="105">
      <c r="A105" s="56" t="n">
        <v>2024</v>
      </c>
      <c r="B105" s="44" t="s">
        <v>5443</v>
      </c>
      <c r="C105" s="44" t="s">
        <v>2154</v>
      </c>
      <c r="D105" s="44" t="s">
        <v>5352</v>
      </c>
      <c r="E105" s="44" t="s">
        <v>5353</v>
      </c>
      <c r="F105" s="45" t="s">
        <v>5354</v>
      </c>
      <c r="G105" s="45"/>
      <c r="H105" s="59" t="s">
        <v>5306</v>
      </c>
    </row>
    <row r="106">
      <c r="A106" s="56" t="n">
        <v>2024</v>
      </c>
      <c r="B106" s="44" t="s">
        <v>5444</v>
      </c>
      <c r="C106" s="44" t="s">
        <v>2240</v>
      </c>
      <c r="D106" s="44" t="s">
        <v>5356</v>
      </c>
      <c r="E106" s="44" t="s">
        <v>5357</v>
      </c>
      <c r="F106" s="45" t="s">
        <v>5358</v>
      </c>
      <c r="G106" s="45"/>
      <c r="H106" s="59" t="s">
        <v>5306</v>
      </c>
    </row>
    <row r="107">
      <c r="A107" s="56" t="n">
        <v>2024</v>
      </c>
      <c r="B107" s="44" t="s">
        <v>5445</v>
      </c>
      <c r="C107" s="44" t="s">
        <v>2324</v>
      </c>
      <c r="D107" s="44" t="s">
        <v>5338</v>
      </c>
      <c r="E107" s="44" t="s">
        <v>5339</v>
      </c>
      <c r="F107" s="45"/>
      <c r="G107" s="45"/>
      <c r="H107" s="59"/>
    </row>
    <row r="108">
      <c r="A108" s="56" t="n">
        <v>2024</v>
      </c>
      <c r="B108" s="44" t="s">
        <v>5446</v>
      </c>
      <c r="C108" s="44" t="s">
        <v>5447</v>
      </c>
      <c r="D108" s="44" t="s">
        <v>5376</v>
      </c>
      <c r="E108" s="44" t="s">
        <v>5377</v>
      </c>
      <c r="F108" s="45" t="s">
        <v>5378</v>
      </c>
      <c r="G108" s="45"/>
      <c r="H108" s="59" t="s">
        <v>5306</v>
      </c>
    </row>
    <row r="109">
      <c r="A109" s="56" t="n">
        <v>2024</v>
      </c>
      <c r="B109" s="44" t="s">
        <v>5448</v>
      </c>
      <c r="C109" s="44" t="s">
        <v>5449</v>
      </c>
      <c r="D109" s="44" t="s">
        <v>5313</v>
      </c>
      <c r="E109" s="44" t="s">
        <v>5314</v>
      </c>
      <c r="F109" s="45" t="s">
        <v>5315</v>
      </c>
      <c r="G109" s="45"/>
      <c r="H109" s="59" t="s">
        <v>5306</v>
      </c>
    </row>
    <row r="110">
      <c r="A110" s="56" t="n">
        <v>2024</v>
      </c>
      <c r="B110" s="44" t="s">
        <v>5450</v>
      </c>
      <c r="C110" s="44" t="s">
        <v>2659</v>
      </c>
      <c r="D110" s="44" t="s">
        <v>5317</v>
      </c>
      <c r="E110" s="44" t="s">
        <v>5318</v>
      </c>
      <c r="F110" s="45" t="s">
        <v>5319</v>
      </c>
      <c r="G110" s="45"/>
      <c r="H110" s="59" t="s">
        <v>5306</v>
      </c>
    </row>
    <row r="111">
      <c r="A111" s="56" t="n">
        <v>2024</v>
      </c>
      <c r="B111" s="44" t="s">
        <v>5451</v>
      </c>
      <c r="C111" s="44" t="s">
        <v>2749</v>
      </c>
      <c r="D111" s="44" t="s">
        <v>5376</v>
      </c>
      <c r="E111" s="44" t="s">
        <v>5377</v>
      </c>
      <c r="F111" s="45" t="s">
        <v>5378</v>
      </c>
      <c r="G111" s="45"/>
      <c r="H111" s="59" t="s">
        <v>5306</v>
      </c>
    </row>
    <row r="112">
      <c r="A112" s="56" t="n">
        <v>2024</v>
      </c>
      <c r="B112" s="44" t="s">
        <v>5452</v>
      </c>
      <c r="C112" s="44" t="s">
        <v>2826</v>
      </c>
      <c r="D112" s="44" t="s">
        <v>5330</v>
      </c>
      <c r="E112" s="44" t="s">
        <v>5331</v>
      </c>
      <c r="F112" s="45" t="s">
        <v>5332</v>
      </c>
      <c r="G112" s="45"/>
      <c r="H112" s="59" t="s">
        <v>5333</v>
      </c>
    </row>
    <row r="113">
      <c r="A113" s="56" t="n">
        <v>2024</v>
      </c>
      <c r="B113" s="44" t="s">
        <v>5453</v>
      </c>
      <c r="C113" s="44" t="s">
        <v>2899</v>
      </c>
      <c r="D113" s="44" t="s">
        <v>5321</v>
      </c>
      <c r="E113" s="44" t="s">
        <v>5322</v>
      </c>
      <c r="F113" s="45" t="s">
        <v>5323</v>
      </c>
      <c r="G113" s="45"/>
      <c r="H113" s="59" t="s">
        <v>5311</v>
      </c>
    </row>
    <row r="114">
      <c r="A114" s="56" t="n">
        <v>2024</v>
      </c>
      <c r="B114" s="44" t="s">
        <v>5454</v>
      </c>
      <c r="C114" s="44" t="s">
        <v>3282</v>
      </c>
      <c r="D114" s="44" t="s">
        <v>5365</v>
      </c>
      <c r="E114" s="44" t="s">
        <v>5366</v>
      </c>
      <c r="F114" s="45" t="s">
        <v>5367</v>
      </c>
      <c r="G114" s="45"/>
      <c r="H114" s="59" t="s">
        <v>5311</v>
      </c>
    </row>
    <row r="115">
      <c r="A115" s="56" t="n">
        <v>2024</v>
      </c>
      <c r="B115" s="44" t="s">
        <v>5455</v>
      </c>
      <c r="C115" s="44" t="s">
        <v>3437</v>
      </c>
      <c r="D115" s="44" t="s">
        <v>5417</v>
      </c>
      <c r="E115" s="44" t="s">
        <v>5418</v>
      </c>
      <c r="F115" s="45"/>
      <c r="G115" s="45"/>
      <c r="H115" s="59"/>
    </row>
    <row r="116">
      <c r="A116" s="56" t="n">
        <v>2024</v>
      </c>
      <c r="B116" s="44" t="s">
        <v>5456</v>
      </c>
      <c r="C116" s="44" t="s">
        <v>3507</v>
      </c>
      <c r="D116" s="44" t="s">
        <v>5356</v>
      </c>
      <c r="E116" s="44" t="s">
        <v>5357</v>
      </c>
      <c r="F116" s="45" t="s">
        <v>5358</v>
      </c>
      <c r="G116" s="45"/>
      <c r="H116" s="59" t="s">
        <v>5306</v>
      </c>
    </row>
    <row r="117">
      <c r="A117" s="56" t="n">
        <v>2024</v>
      </c>
      <c r="B117" s="44" t="s">
        <v>5457</v>
      </c>
      <c r="C117" s="44" t="s">
        <v>3657</v>
      </c>
      <c r="D117" s="44" t="s">
        <v>5313</v>
      </c>
      <c r="E117" s="44" t="s">
        <v>5314</v>
      </c>
      <c r="F117" s="45" t="s">
        <v>5315</v>
      </c>
      <c r="G117" s="45"/>
      <c r="H117" s="59" t="s">
        <v>5306</v>
      </c>
    </row>
    <row r="118">
      <c r="A118" s="56" t="n">
        <v>2024</v>
      </c>
      <c r="B118" s="44" t="s">
        <v>5458</v>
      </c>
      <c r="C118" s="44" t="s">
        <v>3789</v>
      </c>
      <c r="D118" s="44" t="s">
        <v>5390</v>
      </c>
      <c r="E118" s="44" t="s">
        <v>5391</v>
      </c>
      <c r="F118" s="45" t="s">
        <v>5392</v>
      </c>
      <c r="G118" s="45"/>
      <c r="H118" s="59" t="s">
        <v>5333</v>
      </c>
    </row>
    <row r="119">
      <c r="A119" s="56" t="n">
        <v>2024</v>
      </c>
      <c r="B119" s="44" t="s">
        <v>5459</v>
      </c>
      <c r="C119" s="44" t="s">
        <v>5460</v>
      </c>
      <c r="D119" s="44" t="s">
        <v>5338</v>
      </c>
      <c r="E119" s="44" t="s">
        <v>5339</v>
      </c>
      <c r="F119" s="45"/>
      <c r="G119" s="45"/>
      <c r="H119" s="59"/>
    </row>
    <row r="120">
      <c r="A120" s="56" t="n">
        <v>2024</v>
      </c>
      <c r="B120" s="44" t="s">
        <v>5461</v>
      </c>
      <c r="C120" s="44" t="s">
        <v>3902</v>
      </c>
      <c r="D120" s="44" t="s">
        <v>5356</v>
      </c>
      <c r="E120" s="44" t="s">
        <v>5357</v>
      </c>
      <c r="F120" s="45" t="s">
        <v>5358</v>
      </c>
      <c r="G120" s="45"/>
      <c r="H120" s="59" t="s">
        <v>5306</v>
      </c>
    </row>
    <row r="121">
      <c r="A121" s="56" t="n">
        <v>2024</v>
      </c>
      <c r="B121" s="44" t="s">
        <v>5462</v>
      </c>
      <c r="C121" s="44" t="s">
        <v>4053</v>
      </c>
      <c r="D121" s="44" t="s">
        <v>5399</v>
      </c>
      <c r="E121" s="44" t="s">
        <v>5400</v>
      </c>
      <c r="F121" s="45" t="s">
        <v>5401</v>
      </c>
      <c r="G121" s="45"/>
      <c r="H121" s="59" t="s">
        <v>5306</v>
      </c>
    </row>
    <row r="122">
      <c r="A122" s="56" t="n">
        <v>2024</v>
      </c>
      <c r="B122" s="44" t="s">
        <v>5463</v>
      </c>
      <c r="C122" s="44" t="s">
        <v>5464</v>
      </c>
      <c r="D122" s="44" t="s">
        <v>5321</v>
      </c>
      <c r="E122" s="44" t="s">
        <v>5322</v>
      </c>
      <c r="F122" s="45" t="s">
        <v>5323</v>
      </c>
      <c r="G122" s="45"/>
      <c r="H122" s="59" t="s">
        <v>5311</v>
      </c>
    </row>
    <row r="123">
      <c r="A123" s="56" t="n">
        <v>2024</v>
      </c>
      <c r="B123" s="44" t="s">
        <v>5465</v>
      </c>
      <c r="C123" s="44" t="s">
        <v>4207</v>
      </c>
      <c r="D123" s="44" t="s">
        <v>5403</v>
      </c>
      <c r="E123" s="44" t="s">
        <v>5404</v>
      </c>
      <c r="F123" s="45"/>
      <c r="G123" s="45"/>
      <c r="H123" s="59"/>
    </row>
    <row r="124">
      <c r="A124" s="56" t="n">
        <v>2024</v>
      </c>
      <c r="B124" s="44" t="s">
        <v>5466</v>
      </c>
      <c r="C124" s="44" t="s">
        <v>4338</v>
      </c>
      <c r="D124" s="44" t="s">
        <v>5356</v>
      </c>
      <c r="E124" s="44" t="s">
        <v>5357</v>
      </c>
      <c r="F124" s="45" t="s">
        <v>5358</v>
      </c>
      <c r="G124" s="45"/>
      <c r="H124" s="59" t="s">
        <v>5306</v>
      </c>
    </row>
    <row r="125">
      <c r="A125" s="56" t="n">
        <v>2024</v>
      </c>
      <c r="B125" s="44" t="s">
        <v>5467</v>
      </c>
      <c r="C125" s="44" t="s">
        <v>4498</v>
      </c>
      <c r="D125" s="44" t="s">
        <v>5356</v>
      </c>
      <c r="E125" s="44" t="s">
        <v>5357</v>
      </c>
      <c r="F125" s="45" t="s">
        <v>5358</v>
      </c>
      <c r="G125" s="45"/>
      <c r="H125" s="59" t="s">
        <v>5306</v>
      </c>
    </row>
    <row r="126">
      <c r="A126" s="56" t="n">
        <v>2024</v>
      </c>
      <c r="B126" s="44" t="s">
        <v>5468</v>
      </c>
      <c r="C126" s="44" t="s">
        <v>4676</v>
      </c>
      <c r="D126" s="44" t="s">
        <v>5414</v>
      </c>
      <c r="E126" s="44" t="s">
        <v>5415</v>
      </c>
      <c r="F126" s="45" t="s">
        <v>5416</v>
      </c>
      <c r="G126" s="45"/>
      <c r="H126" s="59" t="s">
        <v>5306</v>
      </c>
    </row>
    <row r="127">
      <c r="A127" s="63" t="n">
        <v>2025</v>
      </c>
      <c r="B127" s="64" t="s">
        <v>5469</v>
      </c>
      <c r="C127" s="64" t="s">
        <v>460</v>
      </c>
      <c r="D127" s="64" t="s">
        <v>5317</v>
      </c>
      <c r="E127" s="64" t="s">
        <v>5318</v>
      </c>
      <c r="F127" s="65" t="s">
        <v>5319</v>
      </c>
      <c r="G127" s="65"/>
      <c r="H127" s="66" t="s">
        <v>5306</v>
      </c>
    </row>
    <row r="128">
      <c r="A128" s="46" t="n">
        <v>2025</v>
      </c>
      <c r="B128" s="47" t="s">
        <v>5470</v>
      </c>
      <c r="C128" s="47" t="s">
        <v>680</v>
      </c>
      <c r="D128" s="47" t="s">
        <v>5321</v>
      </c>
      <c r="E128" s="47" t="s">
        <v>5322</v>
      </c>
      <c r="F128" s="48" t="s">
        <v>5323</v>
      </c>
      <c r="G128" s="48"/>
      <c r="H128" s="49" t="s">
        <v>5311</v>
      </c>
    </row>
    <row r="129">
      <c r="A129" s="46" t="n">
        <v>2025</v>
      </c>
      <c r="B129" s="47" t="s">
        <v>5471</v>
      </c>
      <c r="C129" s="47" t="s">
        <v>5422</v>
      </c>
      <c r="D129" s="47" t="s">
        <v>5365</v>
      </c>
      <c r="E129" s="47" t="s">
        <v>5366</v>
      </c>
      <c r="F129" s="48" t="s">
        <v>5367</v>
      </c>
      <c r="G129" s="48"/>
      <c r="H129" s="49" t="s">
        <v>5311</v>
      </c>
    </row>
    <row r="130">
      <c r="A130" s="46" t="n">
        <v>2025</v>
      </c>
      <c r="B130" s="47" t="s">
        <v>5472</v>
      </c>
      <c r="C130" s="47" t="s">
        <v>5424</v>
      </c>
      <c r="D130" s="47" t="s">
        <v>5308</v>
      </c>
      <c r="E130" s="47" t="s">
        <v>5309</v>
      </c>
      <c r="F130" s="48" t="s">
        <v>5310</v>
      </c>
      <c r="G130" s="48"/>
      <c r="H130" s="49" t="s">
        <v>5311</v>
      </c>
    </row>
    <row r="131">
      <c r="A131" s="46" t="n">
        <v>2025</v>
      </c>
      <c r="B131" s="47" t="s">
        <v>5473</v>
      </c>
      <c r="C131" s="47" t="s">
        <v>833</v>
      </c>
      <c r="D131" s="47" t="s">
        <v>5352</v>
      </c>
      <c r="E131" s="47" t="s">
        <v>5353</v>
      </c>
      <c r="F131" s="48" t="s">
        <v>5354</v>
      </c>
      <c r="G131" s="48"/>
      <c r="H131" s="49" t="s">
        <v>5306</v>
      </c>
    </row>
    <row r="132">
      <c r="A132" s="46" t="n">
        <v>2025</v>
      </c>
      <c r="B132" s="47" t="s">
        <v>5474</v>
      </c>
      <c r="C132" s="47" t="s">
        <v>939</v>
      </c>
      <c r="D132" s="47" t="s">
        <v>5390</v>
      </c>
      <c r="E132" s="47" t="s">
        <v>5391</v>
      </c>
      <c r="F132" s="48" t="s">
        <v>5392</v>
      </c>
      <c r="G132" s="48"/>
      <c r="H132" s="49" t="s">
        <v>5333</v>
      </c>
    </row>
    <row r="133">
      <c r="A133" s="46" t="n">
        <v>2025</v>
      </c>
      <c r="B133" s="47" t="s">
        <v>5475</v>
      </c>
      <c r="C133" s="47" t="s">
        <v>978</v>
      </c>
      <c r="D133" s="47" t="s">
        <v>5399</v>
      </c>
      <c r="E133" s="47" t="s">
        <v>5400</v>
      </c>
      <c r="F133" s="48" t="s">
        <v>5401</v>
      </c>
      <c r="G133" s="48"/>
      <c r="H133" s="49" t="s">
        <v>5306</v>
      </c>
    </row>
    <row r="134">
      <c r="A134" s="46" t="n">
        <v>2025</v>
      </c>
      <c r="B134" s="47" t="s">
        <v>5476</v>
      </c>
      <c r="C134" s="47" t="s">
        <v>1125</v>
      </c>
      <c r="D134" s="47" t="s">
        <v>5430</v>
      </c>
      <c r="E134" s="47" t="s">
        <v>5431</v>
      </c>
      <c r="F134" s="48"/>
      <c r="G134" s="48" t="s">
        <v>5432</v>
      </c>
      <c r="H134" s="49" t="s">
        <v>5333</v>
      </c>
    </row>
    <row r="135">
      <c r="A135" s="46" t="n">
        <v>2025</v>
      </c>
      <c r="B135" s="47" t="s">
        <v>5477</v>
      </c>
      <c r="C135" s="47" t="s">
        <v>1449</v>
      </c>
      <c r="D135" s="47" t="s">
        <v>5317</v>
      </c>
      <c r="E135" s="47" t="s">
        <v>5318</v>
      </c>
      <c r="F135" s="48" t="s">
        <v>5319</v>
      </c>
      <c r="G135" s="48"/>
      <c r="H135" s="49" t="s">
        <v>5306</v>
      </c>
    </row>
    <row r="136">
      <c r="A136" s="46" t="n">
        <v>2025</v>
      </c>
      <c r="B136" s="47" t="s">
        <v>5478</v>
      </c>
      <c r="C136" s="47" t="s">
        <v>1508</v>
      </c>
      <c r="D136" s="47" t="s">
        <v>5352</v>
      </c>
      <c r="E136" s="47" t="s">
        <v>5353</v>
      </c>
      <c r="F136" s="48" t="s">
        <v>5354</v>
      </c>
      <c r="G136" s="48"/>
      <c r="H136" s="49" t="s">
        <v>5306</v>
      </c>
    </row>
    <row r="137">
      <c r="A137" s="46" t="n">
        <v>2025</v>
      </c>
      <c r="B137" s="47" t="s">
        <v>5479</v>
      </c>
      <c r="C137" s="47" t="s">
        <v>1559</v>
      </c>
      <c r="D137" s="47" t="s">
        <v>5480</v>
      </c>
      <c r="E137" s="47" t="s">
        <v>5481</v>
      </c>
      <c r="F137" s="48"/>
      <c r="G137" s="48"/>
      <c r="H137" s="49"/>
    </row>
    <row r="138">
      <c r="A138" s="46" t="n">
        <v>2025</v>
      </c>
      <c r="B138" s="47" t="s">
        <v>5482</v>
      </c>
      <c r="C138" s="47" t="s">
        <v>1624</v>
      </c>
      <c r="D138" s="47" t="s">
        <v>5390</v>
      </c>
      <c r="E138" s="47" t="s">
        <v>5391</v>
      </c>
      <c r="F138" s="48" t="s">
        <v>5392</v>
      </c>
      <c r="G138" s="48"/>
      <c r="H138" s="49" t="s">
        <v>5333</v>
      </c>
    </row>
    <row r="139">
      <c r="A139" s="46" t="n">
        <v>2025</v>
      </c>
      <c r="B139" s="47" t="s">
        <v>5483</v>
      </c>
      <c r="C139" s="47" t="s">
        <v>1708</v>
      </c>
      <c r="D139" s="47" t="s">
        <v>5484</v>
      </c>
      <c r="E139" s="47" t="s">
        <v>5485</v>
      </c>
      <c r="F139" s="48" t="s">
        <v>5486</v>
      </c>
      <c r="G139" s="48"/>
      <c r="H139" s="49" t="s">
        <v>5311</v>
      </c>
    </row>
    <row r="140">
      <c r="A140" s="46" t="n">
        <v>2025</v>
      </c>
      <c r="B140" s="47" t="s">
        <v>5487</v>
      </c>
      <c r="C140" s="47" t="s">
        <v>1808</v>
      </c>
      <c r="D140" s="47" t="s">
        <v>5313</v>
      </c>
      <c r="E140" s="47" t="s">
        <v>5314</v>
      </c>
      <c r="F140" s="48" t="s">
        <v>5315</v>
      </c>
      <c r="G140" s="48"/>
      <c r="H140" s="49" t="s">
        <v>5306</v>
      </c>
    </row>
    <row r="141">
      <c r="A141" s="46" t="n">
        <v>2025</v>
      </c>
      <c r="B141" s="47" t="s">
        <v>5488</v>
      </c>
      <c r="C141" s="47" t="s">
        <v>1888</v>
      </c>
      <c r="D141" s="47" t="s">
        <v>5390</v>
      </c>
      <c r="E141" s="47" t="s">
        <v>5391</v>
      </c>
      <c r="F141" s="48" t="s">
        <v>5392</v>
      </c>
      <c r="G141" s="48"/>
      <c r="H141" s="49" t="s">
        <v>5333</v>
      </c>
    </row>
    <row r="142">
      <c r="A142" s="46" t="n">
        <v>2025</v>
      </c>
      <c r="B142" s="47" t="s">
        <v>5489</v>
      </c>
      <c r="C142" s="47" t="s">
        <v>1953</v>
      </c>
      <c r="D142" s="47" t="s">
        <v>5352</v>
      </c>
      <c r="E142" s="47" t="s">
        <v>5353</v>
      </c>
      <c r="F142" s="48" t="s">
        <v>5354</v>
      </c>
      <c r="G142" s="48"/>
      <c r="H142" s="49" t="s">
        <v>5306</v>
      </c>
    </row>
    <row r="143">
      <c r="A143" s="46" t="n">
        <v>2025</v>
      </c>
      <c r="B143" s="47" t="s">
        <v>5490</v>
      </c>
      <c r="C143" s="47" t="s">
        <v>2070</v>
      </c>
      <c r="D143" s="47" t="s">
        <v>5308</v>
      </c>
      <c r="E143" s="47" t="s">
        <v>5309</v>
      </c>
      <c r="F143" s="48" t="s">
        <v>5310</v>
      </c>
      <c r="G143" s="48"/>
      <c r="H143" s="49" t="s">
        <v>5311</v>
      </c>
    </row>
    <row r="144">
      <c r="A144" s="46" t="n">
        <v>2025</v>
      </c>
      <c r="B144" s="47" t="s">
        <v>5491</v>
      </c>
      <c r="C144" s="47" t="s">
        <v>2135</v>
      </c>
      <c r="D144" s="47" t="s">
        <v>5414</v>
      </c>
      <c r="E144" s="47" t="s">
        <v>5415</v>
      </c>
      <c r="F144" s="48" t="s">
        <v>5416</v>
      </c>
      <c r="G144" s="48"/>
      <c r="H144" s="49" t="s">
        <v>5306</v>
      </c>
    </row>
    <row r="145">
      <c r="A145" s="46" t="n">
        <v>2025</v>
      </c>
      <c r="B145" s="47" t="s">
        <v>5492</v>
      </c>
      <c r="C145" s="47" t="s">
        <v>2154</v>
      </c>
      <c r="D145" s="47" t="s">
        <v>5352</v>
      </c>
      <c r="E145" s="47" t="s">
        <v>5353</v>
      </c>
      <c r="F145" s="48" t="s">
        <v>5354</v>
      </c>
      <c r="G145" s="48"/>
      <c r="H145" s="49" t="s">
        <v>5306</v>
      </c>
    </row>
    <row r="146">
      <c r="A146" s="46" t="n">
        <v>2025</v>
      </c>
      <c r="B146" s="47" t="s">
        <v>5493</v>
      </c>
      <c r="C146" s="47" t="s">
        <v>2240</v>
      </c>
      <c r="D146" s="47" t="s">
        <v>5376</v>
      </c>
      <c r="E146" s="47" t="s">
        <v>5377</v>
      </c>
      <c r="F146" s="48" t="s">
        <v>5378</v>
      </c>
      <c r="G146" s="48"/>
      <c r="H146" s="49" t="s">
        <v>5306</v>
      </c>
    </row>
    <row r="147">
      <c r="A147" s="46" t="n">
        <v>2025</v>
      </c>
      <c r="B147" s="47" t="s">
        <v>5494</v>
      </c>
      <c r="C147" s="47" t="s">
        <v>2324</v>
      </c>
      <c r="D147" s="47" t="s">
        <v>5338</v>
      </c>
      <c r="E147" s="47" t="s">
        <v>5339</v>
      </c>
      <c r="F147" s="48"/>
      <c r="G147" s="48"/>
      <c r="H147" s="49"/>
    </row>
    <row r="148">
      <c r="A148" s="46" t="n">
        <v>2025</v>
      </c>
      <c r="B148" s="47" t="s">
        <v>5495</v>
      </c>
      <c r="C148" s="47" t="s">
        <v>5447</v>
      </c>
      <c r="D148" s="47" t="s">
        <v>5390</v>
      </c>
      <c r="E148" s="47" t="s">
        <v>5391</v>
      </c>
      <c r="F148" s="48" t="s">
        <v>5392</v>
      </c>
      <c r="G148" s="48"/>
      <c r="H148" s="49" t="s">
        <v>5333</v>
      </c>
    </row>
    <row r="149">
      <c r="A149" s="46" t="n">
        <v>2025</v>
      </c>
      <c r="B149" s="47" t="s">
        <v>5496</v>
      </c>
      <c r="C149" s="47" t="s">
        <v>5449</v>
      </c>
      <c r="D149" s="47" t="s">
        <v>5313</v>
      </c>
      <c r="E149" s="47" t="s">
        <v>5314</v>
      </c>
      <c r="F149" s="48" t="s">
        <v>5315</v>
      </c>
      <c r="G149" s="48"/>
      <c r="H149" s="49" t="s">
        <v>5306</v>
      </c>
    </row>
    <row r="150">
      <c r="A150" s="46" t="n">
        <v>2025</v>
      </c>
      <c r="B150" s="47" t="s">
        <v>5497</v>
      </c>
      <c r="C150" s="47" t="s">
        <v>2659</v>
      </c>
      <c r="D150" s="47" t="s">
        <v>5317</v>
      </c>
      <c r="E150" s="47" t="s">
        <v>5318</v>
      </c>
      <c r="F150" s="48" t="s">
        <v>5319</v>
      </c>
      <c r="G150" s="48"/>
      <c r="H150" s="49" t="s">
        <v>5306</v>
      </c>
    </row>
    <row r="151">
      <c r="A151" s="46" t="n">
        <v>2025</v>
      </c>
      <c r="B151" s="47" t="s">
        <v>5498</v>
      </c>
      <c r="C151" s="47" t="s">
        <v>2749</v>
      </c>
      <c r="D151" s="47" t="s">
        <v>5480</v>
      </c>
      <c r="E151" s="47" t="s">
        <v>5481</v>
      </c>
      <c r="F151" s="48"/>
      <c r="G151" s="48"/>
      <c r="H151" s="49"/>
    </row>
    <row r="152">
      <c r="A152" s="46" t="n">
        <v>2025</v>
      </c>
      <c r="B152" s="47" t="s">
        <v>5499</v>
      </c>
      <c r="C152" s="47" t="s">
        <v>2826</v>
      </c>
      <c r="D152" s="47" t="s">
        <v>5399</v>
      </c>
      <c r="E152" s="47" t="s">
        <v>5400</v>
      </c>
      <c r="F152" s="48" t="s">
        <v>5401</v>
      </c>
      <c r="G152" s="48"/>
      <c r="H152" s="49" t="s">
        <v>5306</v>
      </c>
    </row>
    <row r="153">
      <c r="A153" s="46" t="n">
        <v>2025</v>
      </c>
      <c r="B153" s="47" t="s">
        <v>5500</v>
      </c>
      <c r="C153" s="47" t="s">
        <v>2899</v>
      </c>
      <c r="D153" s="47" t="s">
        <v>5321</v>
      </c>
      <c r="E153" s="47" t="s">
        <v>5322</v>
      </c>
      <c r="F153" s="48" t="s">
        <v>5323</v>
      </c>
      <c r="G153" s="48"/>
      <c r="H153" s="49" t="s">
        <v>5311</v>
      </c>
    </row>
    <row r="154">
      <c r="A154" s="46" t="n">
        <v>2025</v>
      </c>
      <c r="B154" s="47" t="s">
        <v>5501</v>
      </c>
      <c r="C154" s="47" t="s">
        <v>3282</v>
      </c>
      <c r="D154" s="47" t="s">
        <v>5365</v>
      </c>
      <c r="E154" s="47" t="s">
        <v>5366</v>
      </c>
      <c r="F154" s="48" t="s">
        <v>5367</v>
      </c>
      <c r="G154" s="48"/>
      <c r="H154" s="49" t="s">
        <v>5311</v>
      </c>
    </row>
    <row r="155">
      <c r="A155" s="46" t="n">
        <v>2025</v>
      </c>
      <c r="B155" s="47" t="s">
        <v>5502</v>
      </c>
      <c r="C155" s="47" t="s">
        <v>5503</v>
      </c>
      <c r="D155" s="47" t="s">
        <v>5414</v>
      </c>
      <c r="E155" s="47" t="s">
        <v>5415</v>
      </c>
      <c r="F155" s="48" t="s">
        <v>5416</v>
      </c>
      <c r="G155" s="48"/>
      <c r="H155" s="49" t="s">
        <v>5306</v>
      </c>
    </row>
    <row r="156">
      <c r="A156" s="46" t="n">
        <v>2025</v>
      </c>
      <c r="B156" s="47" t="s">
        <v>5504</v>
      </c>
      <c r="C156" s="47" t="s">
        <v>3414</v>
      </c>
      <c r="D156" s="47" t="s">
        <v>5338</v>
      </c>
      <c r="E156" s="47" t="s">
        <v>5339</v>
      </c>
      <c r="F156" s="48"/>
      <c r="G156" s="48"/>
      <c r="H156" s="49"/>
    </row>
    <row r="157">
      <c r="A157" s="46" t="n">
        <v>2025</v>
      </c>
      <c r="B157" s="47" t="s">
        <v>5505</v>
      </c>
      <c r="C157" s="47" t="s">
        <v>3437</v>
      </c>
      <c r="D157" s="47" t="s">
        <v>5376</v>
      </c>
      <c r="E157" s="47" t="s">
        <v>5377</v>
      </c>
      <c r="F157" s="48" t="s">
        <v>5378</v>
      </c>
      <c r="G157" s="48"/>
      <c r="H157" s="49" t="s">
        <v>5306</v>
      </c>
    </row>
    <row r="158">
      <c r="A158" s="46" t="n">
        <v>2025</v>
      </c>
      <c r="B158" s="47" t="s">
        <v>5506</v>
      </c>
      <c r="C158" s="47" t="s">
        <v>3507</v>
      </c>
      <c r="D158" s="47" t="s">
        <v>5356</v>
      </c>
      <c r="E158" s="47" t="s">
        <v>5357</v>
      </c>
      <c r="F158" s="48" t="s">
        <v>5358</v>
      </c>
      <c r="G158" s="48"/>
      <c r="H158" s="49" t="s">
        <v>5306</v>
      </c>
    </row>
    <row r="159">
      <c r="A159" s="46" t="n">
        <v>2025</v>
      </c>
      <c r="B159" s="47" t="s">
        <v>5507</v>
      </c>
      <c r="C159" s="47" t="s">
        <v>5508</v>
      </c>
      <c r="D159" s="47" t="s">
        <v>5341</v>
      </c>
      <c r="E159" s="47" t="s">
        <v>5342</v>
      </c>
      <c r="F159" s="48"/>
      <c r="G159" s="48" t="s">
        <v>5343</v>
      </c>
      <c r="H159" s="49" t="s">
        <v>5311</v>
      </c>
    </row>
    <row r="160">
      <c r="A160" s="46" t="n">
        <v>2025</v>
      </c>
      <c r="B160" s="47" t="s">
        <v>5509</v>
      </c>
      <c r="C160" s="47" t="s">
        <v>3657</v>
      </c>
      <c r="D160" s="47" t="s">
        <v>5352</v>
      </c>
      <c r="E160" s="47" t="s">
        <v>5353</v>
      </c>
      <c r="F160" s="48" t="s">
        <v>5354</v>
      </c>
      <c r="G160" s="48"/>
      <c r="H160" s="49" t="s">
        <v>5306</v>
      </c>
    </row>
    <row r="161">
      <c r="A161" s="46" t="n">
        <v>2025</v>
      </c>
      <c r="B161" s="47" t="s">
        <v>5510</v>
      </c>
      <c r="C161" s="47" t="s">
        <v>3789</v>
      </c>
      <c r="D161" s="47" t="s">
        <v>5480</v>
      </c>
      <c r="E161" s="47" t="s">
        <v>5481</v>
      </c>
      <c r="F161" s="48"/>
      <c r="G161" s="48"/>
      <c r="H161" s="49"/>
    </row>
    <row r="162">
      <c r="A162" s="46" t="n">
        <v>2025</v>
      </c>
      <c r="B162" s="47" t="s">
        <v>5511</v>
      </c>
      <c r="C162" s="47" t="s">
        <v>3902</v>
      </c>
      <c r="D162" s="47" t="s">
        <v>5376</v>
      </c>
      <c r="E162" s="47" t="s">
        <v>5377</v>
      </c>
      <c r="F162" s="48" t="s">
        <v>5378</v>
      </c>
      <c r="G162" s="48"/>
      <c r="H162" s="49" t="s">
        <v>5306</v>
      </c>
    </row>
    <row r="163">
      <c r="A163" s="46" t="n">
        <v>2025</v>
      </c>
      <c r="B163" s="47" t="s">
        <v>5512</v>
      </c>
      <c r="C163" s="47" t="s">
        <v>4053</v>
      </c>
      <c r="D163" s="47" t="s">
        <v>5390</v>
      </c>
      <c r="E163" s="47" t="s">
        <v>5391</v>
      </c>
      <c r="F163" s="48" t="s">
        <v>5392</v>
      </c>
      <c r="G163" s="48"/>
      <c r="H163" s="49" t="s">
        <v>5333</v>
      </c>
    </row>
    <row r="164">
      <c r="A164" s="46" t="n">
        <v>2025</v>
      </c>
      <c r="B164" s="47" t="s">
        <v>5513</v>
      </c>
      <c r="C164" s="47" t="s">
        <v>5464</v>
      </c>
      <c r="D164" s="47" t="s">
        <v>5430</v>
      </c>
      <c r="E164" s="47" t="s">
        <v>5431</v>
      </c>
      <c r="F164" s="48"/>
      <c r="G164" s="48" t="s">
        <v>5432</v>
      </c>
      <c r="H164" s="49" t="s">
        <v>5333</v>
      </c>
    </row>
    <row r="165">
      <c r="A165" s="46" t="n">
        <v>2025</v>
      </c>
      <c r="B165" s="47" t="s">
        <v>5514</v>
      </c>
      <c r="C165" s="47" t="s">
        <v>4207</v>
      </c>
      <c r="D165" s="47" t="s">
        <v>5515</v>
      </c>
      <c r="E165" s="47" t="s">
        <v>5516</v>
      </c>
      <c r="F165" s="48"/>
      <c r="G165" s="48"/>
      <c r="H165" s="49"/>
    </row>
    <row r="166">
      <c r="A166" s="46" t="n">
        <v>2025</v>
      </c>
      <c r="B166" s="47" t="s">
        <v>5517</v>
      </c>
      <c r="C166" s="47" t="s">
        <v>4498</v>
      </c>
      <c r="D166" s="47" t="s">
        <v>5376</v>
      </c>
      <c r="E166" s="47" t="s">
        <v>5377</v>
      </c>
      <c r="F166" s="48" t="s">
        <v>5378</v>
      </c>
      <c r="G166" s="48"/>
      <c r="H166" s="49" t="s">
        <v>5306</v>
      </c>
    </row>
    <row r="167">
      <c r="A167" s="46" t="n">
        <v>2025</v>
      </c>
      <c r="B167" s="47" t="s">
        <v>5518</v>
      </c>
      <c r="C167" s="47" t="s">
        <v>4676</v>
      </c>
      <c r="D167" s="47" t="s">
        <v>5414</v>
      </c>
      <c r="E167" s="47" t="s">
        <v>5415</v>
      </c>
      <c r="F167" s="48" t="s">
        <v>5416</v>
      </c>
      <c r="G167" s="48"/>
      <c r="H167" s="49" t="s">
        <v>5306</v>
      </c>
    </row>
    <row r="168" ht="30" customHeight="1">
      <c r="A168" s="50" t="s">
        <v>5519</v>
      </c>
      <c r="B168" s="51" t="s">
        <v>5520</v>
      </c>
      <c r="C168" s="51" t="s">
        <v>5521</v>
      </c>
      <c r="D168" s="51" t="s">
        <v>5352</v>
      </c>
      <c r="E168" s="52" t="s">
        <v>5353</v>
      </c>
      <c r="F168" s="53" t="s">
        <v>5354</v>
      </c>
      <c r="G168" s="53"/>
      <c r="H168" s="53" t="s">
        <v>5306</v>
      </c>
    </row>
    <row r="169" ht="30" customHeight="1">
      <c r="A169" s="50" t="s">
        <v>5519</v>
      </c>
      <c r="B169" s="51" t="s">
        <v>5522</v>
      </c>
      <c r="C169" s="51" t="s">
        <v>5523</v>
      </c>
      <c r="D169" s="51" t="s">
        <v>5317</v>
      </c>
      <c r="E169" s="52" t="s">
        <v>5318</v>
      </c>
      <c r="F169" s="53" t="s">
        <v>5319</v>
      </c>
      <c r="G169" s="53"/>
      <c r="H169" s="53" t="s">
        <v>5306</v>
      </c>
    </row>
    <row r="170" ht="30" customHeight="1">
      <c r="A170" s="50" t="s">
        <v>5519</v>
      </c>
      <c r="B170" s="51" t="s">
        <v>5524</v>
      </c>
      <c r="C170" s="51" t="s">
        <v>680</v>
      </c>
      <c r="D170" s="51" t="s">
        <v>5321</v>
      </c>
      <c r="E170" s="52" t="s">
        <v>5322</v>
      </c>
      <c r="F170" s="53" t="s">
        <v>5323</v>
      </c>
      <c r="G170" s="53"/>
      <c r="H170" s="53" t="s">
        <v>5311</v>
      </c>
    </row>
    <row r="171" ht="30" customHeight="1">
      <c r="A171" s="50" t="s">
        <v>5519</v>
      </c>
      <c r="B171" s="51" t="s">
        <v>5525</v>
      </c>
      <c r="C171" s="51" t="s">
        <v>5422</v>
      </c>
      <c r="D171" s="51" t="s">
        <v>5365</v>
      </c>
      <c r="E171" s="52" t="s">
        <v>5366</v>
      </c>
      <c r="F171" s="53" t="s">
        <v>5367</v>
      </c>
      <c r="G171" s="53"/>
      <c r="H171" s="53" t="s">
        <v>5311</v>
      </c>
    </row>
    <row r="172" ht="30" customHeight="1">
      <c r="A172" s="50" t="s">
        <v>5519</v>
      </c>
      <c r="B172" s="51" t="s">
        <v>5526</v>
      </c>
      <c r="C172" s="51" t="s">
        <v>5424</v>
      </c>
      <c r="D172" s="51" t="s">
        <v>5308</v>
      </c>
      <c r="E172" s="52" t="s">
        <v>5309</v>
      </c>
      <c r="F172" s="53" t="s">
        <v>5310</v>
      </c>
      <c r="G172" s="53"/>
      <c r="H172" s="53" t="s">
        <v>5311</v>
      </c>
    </row>
    <row r="173" ht="30" customHeight="1">
      <c r="A173" s="50" t="s">
        <v>5519</v>
      </c>
      <c r="B173" s="51" t="s">
        <v>5527</v>
      </c>
      <c r="C173" s="51" t="s">
        <v>978</v>
      </c>
      <c r="D173" s="51" t="s">
        <v>5399</v>
      </c>
      <c r="E173" s="52" t="s">
        <v>5400</v>
      </c>
      <c r="F173" s="53" t="s">
        <v>5401</v>
      </c>
      <c r="G173" s="53"/>
      <c r="H173" s="53" t="s">
        <v>5306</v>
      </c>
    </row>
    <row r="174" ht="30" customHeight="1">
      <c r="A174" s="50" t="s">
        <v>5519</v>
      </c>
      <c r="B174" s="51" t="s">
        <v>5528</v>
      </c>
      <c r="C174" s="51" t="s">
        <v>939</v>
      </c>
      <c r="D174" s="51" t="s">
        <v>5390</v>
      </c>
      <c r="E174" s="52" t="s">
        <v>5391</v>
      </c>
      <c r="F174" s="53" t="s">
        <v>5392</v>
      </c>
      <c r="G174" s="53"/>
      <c r="H174" s="53" t="s">
        <v>5333</v>
      </c>
    </row>
    <row r="175" ht="30" customHeight="1">
      <c r="A175" s="50" t="s">
        <v>5519</v>
      </c>
      <c r="B175" s="51" t="s">
        <v>5529</v>
      </c>
      <c r="C175" s="51" t="s">
        <v>5530</v>
      </c>
      <c r="D175" s="51" t="s">
        <v>5410</v>
      </c>
      <c r="E175" s="52" t="s">
        <v>5411</v>
      </c>
      <c r="F175" s="53" t="s">
        <v>5412</v>
      </c>
      <c r="G175" s="53"/>
      <c r="H175" s="53" t="s">
        <v>5333</v>
      </c>
    </row>
    <row r="176" ht="30" customHeight="1">
      <c r="A176" s="50" t="s">
        <v>5519</v>
      </c>
      <c r="B176" s="51" t="s">
        <v>5531</v>
      </c>
      <c r="C176" s="51" t="s">
        <v>5532</v>
      </c>
      <c r="D176" s="51" t="s">
        <v>5515</v>
      </c>
      <c r="E176" s="52" t="s">
        <v>5516</v>
      </c>
      <c r="F176" s="53"/>
      <c r="G176" s="53"/>
      <c r="H176" s="53"/>
    </row>
    <row r="177" ht="30" customHeight="1">
      <c r="A177" s="50" t="s">
        <v>5519</v>
      </c>
      <c r="B177" s="51" t="s">
        <v>5533</v>
      </c>
      <c r="C177" s="51" t="s">
        <v>5534</v>
      </c>
      <c r="D177" s="51" t="s">
        <v>5535</v>
      </c>
      <c r="E177" s="52" t="s">
        <v>5536</v>
      </c>
      <c r="F177" s="53" t="s">
        <v>5537</v>
      </c>
      <c r="G177" s="53"/>
      <c r="H177" s="53" t="s">
        <v>5311</v>
      </c>
    </row>
    <row r="178" ht="30" customHeight="1">
      <c r="A178" s="50" t="s">
        <v>5519</v>
      </c>
      <c r="B178" s="51" t="s">
        <v>5538</v>
      </c>
      <c r="C178" s="51" t="s">
        <v>5539</v>
      </c>
      <c r="D178" s="51" t="s">
        <v>5317</v>
      </c>
      <c r="E178" s="52" t="s">
        <v>5318</v>
      </c>
      <c r="F178" s="53" t="s">
        <v>5319</v>
      </c>
      <c r="G178" s="53"/>
      <c r="H178" s="53" t="s">
        <v>5306</v>
      </c>
    </row>
    <row r="179" ht="30" customHeight="1">
      <c r="A179" s="50" t="s">
        <v>5519</v>
      </c>
      <c r="B179" s="51" t="s">
        <v>5540</v>
      </c>
      <c r="C179" s="51" t="s">
        <v>1559</v>
      </c>
      <c r="D179" s="51" t="s">
        <v>5480</v>
      </c>
      <c r="E179" s="52" t="s">
        <v>5481</v>
      </c>
      <c r="F179" s="53"/>
      <c r="G179" s="53"/>
      <c r="H179" s="53"/>
    </row>
    <row r="180" ht="30" customHeight="1">
      <c r="A180" s="50" t="s">
        <v>5519</v>
      </c>
      <c r="B180" s="51" t="s">
        <v>5541</v>
      </c>
      <c r="C180" s="51" t="s">
        <v>1808</v>
      </c>
      <c r="D180" s="51" t="s">
        <v>5313</v>
      </c>
      <c r="E180" s="52" t="s">
        <v>5314</v>
      </c>
      <c r="F180" s="53" t="s">
        <v>5315</v>
      </c>
      <c r="G180" s="53"/>
      <c r="H180" s="53" t="s">
        <v>5306</v>
      </c>
    </row>
    <row r="181" ht="30" customHeight="1">
      <c r="A181" s="50" t="s">
        <v>5519</v>
      </c>
      <c r="B181" s="51" t="s">
        <v>5542</v>
      </c>
      <c r="C181" s="51" t="s">
        <v>5543</v>
      </c>
      <c r="D181" s="51" t="s">
        <v>5313</v>
      </c>
      <c r="E181" s="52" t="s">
        <v>5314</v>
      </c>
      <c r="F181" s="53" t="s">
        <v>5315</v>
      </c>
      <c r="G181" s="53"/>
      <c r="H181" s="53" t="s">
        <v>5306</v>
      </c>
    </row>
    <row r="182" ht="30" customHeight="1">
      <c r="A182" s="50" t="s">
        <v>5519</v>
      </c>
      <c r="B182" s="51" t="s">
        <v>5544</v>
      </c>
      <c r="C182" s="51" t="s">
        <v>1953</v>
      </c>
      <c r="D182" s="51" t="s">
        <v>5352</v>
      </c>
      <c r="E182" s="52" t="s">
        <v>5353</v>
      </c>
      <c r="F182" s="53" t="s">
        <v>5354</v>
      </c>
      <c r="G182" s="53"/>
      <c r="H182" s="53" t="s">
        <v>5306</v>
      </c>
    </row>
    <row r="183" ht="30" customHeight="1">
      <c r="A183" s="50" t="s">
        <v>5519</v>
      </c>
      <c r="B183" s="51" t="s">
        <v>5545</v>
      </c>
      <c r="C183" s="51" t="s">
        <v>2070</v>
      </c>
      <c r="D183" s="51" t="s">
        <v>5308</v>
      </c>
      <c r="E183" s="52" t="s">
        <v>5309</v>
      </c>
      <c r="F183" s="53" t="s">
        <v>5310</v>
      </c>
      <c r="G183" s="53"/>
      <c r="H183" s="53" t="s">
        <v>5311</v>
      </c>
    </row>
    <row r="184" ht="30" customHeight="1">
      <c r="A184" s="50" t="s">
        <v>5519</v>
      </c>
      <c r="B184" s="51" t="s">
        <v>5546</v>
      </c>
      <c r="C184" s="51" t="s">
        <v>5547</v>
      </c>
      <c r="D184" s="51" t="s">
        <v>5414</v>
      </c>
      <c r="E184" s="52" t="s">
        <v>5415</v>
      </c>
      <c r="F184" s="53" t="s">
        <v>5416</v>
      </c>
      <c r="G184" s="53"/>
      <c r="H184" s="53" t="s">
        <v>5306</v>
      </c>
    </row>
    <row r="185" ht="30" customHeight="1">
      <c r="A185" s="50" t="s">
        <v>5519</v>
      </c>
      <c r="B185" s="51" t="s">
        <v>5548</v>
      </c>
      <c r="C185" s="51" t="s">
        <v>2240</v>
      </c>
      <c r="D185" s="51" t="s">
        <v>5376</v>
      </c>
      <c r="E185" s="52" t="s">
        <v>5377</v>
      </c>
      <c r="F185" s="53" t="s">
        <v>5378</v>
      </c>
      <c r="G185" s="53"/>
      <c r="H185" s="53" t="s">
        <v>5306</v>
      </c>
    </row>
    <row r="186" ht="30" customHeight="1">
      <c r="A186" s="50" t="s">
        <v>5519</v>
      </c>
      <c r="B186" s="51" t="s">
        <v>5549</v>
      </c>
      <c r="C186" s="51" t="s">
        <v>5550</v>
      </c>
      <c r="D186" s="51" t="s">
        <v>5308</v>
      </c>
      <c r="E186" s="52" t="s">
        <v>5309</v>
      </c>
      <c r="F186" s="53" t="s">
        <v>5310</v>
      </c>
      <c r="G186" s="53"/>
      <c r="H186" s="53" t="s">
        <v>5311</v>
      </c>
    </row>
    <row r="187" ht="30" customHeight="1">
      <c r="A187" s="50" t="s">
        <v>5519</v>
      </c>
      <c r="B187" s="51" t="s">
        <v>5551</v>
      </c>
      <c r="C187" s="51" t="s">
        <v>2324</v>
      </c>
      <c r="D187" s="51" t="s">
        <v>5338</v>
      </c>
      <c r="E187" s="52" t="s">
        <v>5339</v>
      </c>
      <c r="F187" s="53"/>
      <c r="G187" s="53"/>
      <c r="H187" s="53"/>
    </row>
    <row r="188" ht="30" customHeight="1">
      <c r="A188" s="50" t="s">
        <v>5519</v>
      </c>
      <c r="B188" s="51" t="s">
        <v>5552</v>
      </c>
      <c r="C188" s="51" t="s">
        <v>5553</v>
      </c>
      <c r="D188" s="51" t="s">
        <v>5330</v>
      </c>
      <c r="E188" s="52" t="s">
        <v>5331</v>
      </c>
      <c r="F188" s="53" t="s">
        <v>5332</v>
      </c>
      <c r="G188" s="53"/>
      <c r="H188" s="53" t="s">
        <v>5333</v>
      </c>
    </row>
    <row r="189" ht="30" customHeight="1">
      <c r="A189" s="50" t="s">
        <v>5519</v>
      </c>
      <c r="B189" s="51" t="s">
        <v>5554</v>
      </c>
      <c r="C189" s="51" t="s">
        <v>5447</v>
      </c>
      <c r="D189" s="51" t="s">
        <v>5390</v>
      </c>
      <c r="E189" s="52" t="s">
        <v>5391</v>
      </c>
      <c r="F189" s="53" t="s">
        <v>5392</v>
      </c>
      <c r="G189" s="53"/>
      <c r="H189" s="53" t="s">
        <v>5333</v>
      </c>
    </row>
    <row r="190" ht="30" customHeight="1">
      <c r="A190" s="50" t="s">
        <v>5519</v>
      </c>
      <c r="B190" s="51" t="s">
        <v>5555</v>
      </c>
      <c r="C190" s="51" t="s">
        <v>5556</v>
      </c>
      <c r="D190" s="51" t="s">
        <v>5376</v>
      </c>
      <c r="E190" s="52" t="s">
        <v>5377</v>
      </c>
      <c r="F190" s="53" t="s">
        <v>5378</v>
      </c>
      <c r="G190" s="53"/>
      <c r="H190" s="53" t="s">
        <v>5306</v>
      </c>
    </row>
    <row r="191" ht="30" customHeight="1">
      <c r="A191" s="50" t="s">
        <v>5519</v>
      </c>
      <c r="B191" s="51" t="s">
        <v>5557</v>
      </c>
      <c r="C191" s="51" t="s">
        <v>5558</v>
      </c>
      <c r="D191" s="51" t="s">
        <v>5365</v>
      </c>
      <c r="E191" s="52" t="s">
        <v>5366</v>
      </c>
      <c r="F191" s="53" t="s">
        <v>5367</v>
      </c>
      <c r="G191" s="53"/>
      <c r="H191" s="53" t="s">
        <v>5311</v>
      </c>
    </row>
    <row r="192" ht="30" customHeight="1">
      <c r="A192" s="50" t="s">
        <v>5519</v>
      </c>
      <c r="B192" s="51" t="s">
        <v>5559</v>
      </c>
      <c r="C192" s="51" t="s">
        <v>5560</v>
      </c>
      <c r="D192" s="51" t="s">
        <v>5313</v>
      </c>
      <c r="E192" s="52" t="s">
        <v>5314</v>
      </c>
      <c r="F192" s="53" t="s">
        <v>5315</v>
      </c>
      <c r="G192" s="53"/>
      <c r="H192" s="53" t="s">
        <v>5306</v>
      </c>
    </row>
    <row r="193" ht="30" customHeight="1">
      <c r="A193" s="50" t="s">
        <v>5519</v>
      </c>
      <c r="B193" s="51" t="s">
        <v>5561</v>
      </c>
      <c r="C193" s="51" t="s">
        <v>2659</v>
      </c>
      <c r="D193" s="51" t="s">
        <v>5317</v>
      </c>
      <c r="E193" s="52" t="s">
        <v>5318</v>
      </c>
      <c r="F193" s="53" t="s">
        <v>5319</v>
      </c>
      <c r="G193" s="53"/>
      <c r="H193" s="53" t="s">
        <v>5306</v>
      </c>
    </row>
    <row r="194" ht="30" customHeight="1">
      <c r="A194" s="50" t="s">
        <v>5519</v>
      </c>
      <c r="B194" s="51" t="s">
        <v>5562</v>
      </c>
      <c r="C194" s="51" t="s">
        <v>2826</v>
      </c>
      <c r="D194" s="51" t="s">
        <v>5399</v>
      </c>
      <c r="E194" s="52" t="s">
        <v>5400</v>
      </c>
      <c r="F194" s="53" t="s">
        <v>5401</v>
      </c>
      <c r="G194" s="53"/>
      <c r="H194" s="53" t="s">
        <v>5306</v>
      </c>
    </row>
    <row r="195" ht="30" customHeight="1">
      <c r="A195" s="50" t="s">
        <v>5519</v>
      </c>
      <c r="B195" s="51" t="s">
        <v>5563</v>
      </c>
      <c r="C195" s="51" t="s">
        <v>5564</v>
      </c>
      <c r="D195" s="51" t="s">
        <v>5395</v>
      </c>
      <c r="E195" s="52" t="s">
        <v>5396</v>
      </c>
      <c r="F195" s="53"/>
      <c r="G195" s="53"/>
      <c r="H195" s="53"/>
    </row>
    <row r="196" ht="30" customHeight="1">
      <c r="A196" s="50" t="s">
        <v>5519</v>
      </c>
      <c r="B196" s="51" t="s">
        <v>5565</v>
      </c>
      <c r="C196" s="51" t="s">
        <v>5566</v>
      </c>
      <c r="D196" s="51" t="s">
        <v>5352</v>
      </c>
      <c r="E196" s="52" t="s">
        <v>5353</v>
      </c>
      <c r="F196" s="53" t="s">
        <v>5354</v>
      </c>
      <c r="G196" s="53"/>
      <c r="H196" s="53" t="s">
        <v>5306</v>
      </c>
    </row>
    <row r="197" ht="30" customHeight="1">
      <c r="A197" s="50" t="s">
        <v>5519</v>
      </c>
      <c r="B197" s="51" t="s">
        <v>5567</v>
      </c>
      <c r="C197" s="51" t="s">
        <v>5568</v>
      </c>
      <c r="D197" s="51" t="s">
        <v>5399</v>
      </c>
      <c r="E197" s="52" t="s">
        <v>5400</v>
      </c>
      <c r="F197" s="53" t="s">
        <v>5401</v>
      </c>
      <c r="G197" s="53"/>
      <c r="H197" s="53" t="s">
        <v>5306</v>
      </c>
    </row>
    <row r="198" ht="30" customHeight="1">
      <c r="A198" s="50" t="s">
        <v>5519</v>
      </c>
      <c r="B198" s="51" t="s">
        <v>5569</v>
      </c>
      <c r="C198" s="51" t="s">
        <v>3282</v>
      </c>
      <c r="D198" s="51" t="s">
        <v>5365</v>
      </c>
      <c r="E198" s="52" t="s">
        <v>5366</v>
      </c>
      <c r="F198" s="53" t="s">
        <v>5367</v>
      </c>
      <c r="G198" s="53"/>
      <c r="H198" s="53" t="s">
        <v>5311</v>
      </c>
    </row>
    <row r="199" ht="30" customHeight="1">
      <c r="A199" s="50" t="s">
        <v>5519</v>
      </c>
      <c r="B199" s="51" t="s">
        <v>5570</v>
      </c>
      <c r="C199" s="51" t="s">
        <v>5571</v>
      </c>
      <c r="D199" s="51" t="s">
        <v>5365</v>
      </c>
      <c r="E199" s="52" t="s">
        <v>5366</v>
      </c>
      <c r="F199" s="53" t="s">
        <v>5367</v>
      </c>
      <c r="G199" s="53"/>
      <c r="H199" s="53" t="s">
        <v>5311</v>
      </c>
    </row>
    <row r="200" ht="30" customHeight="1">
      <c r="A200" s="50" t="s">
        <v>5519</v>
      </c>
      <c r="B200" s="51" t="s">
        <v>5572</v>
      </c>
      <c r="C200" s="51" t="s">
        <v>3507</v>
      </c>
      <c r="D200" s="51" t="s">
        <v>5356</v>
      </c>
      <c r="E200" s="52" t="s">
        <v>5357</v>
      </c>
      <c r="F200" s="53" t="s">
        <v>5358</v>
      </c>
      <c r="G200" s="53"/>
      <c r="H200" s="53" t="s">
        <v>5306</v>
      </c>
    </row>
    <row r="201" ht="30" customHeight="1">
      <c r="A201" s="50" t="s">
        <v>5519</v>
      </c>
      <c r="B201" s="51" t="s">
        <v>5573</v>
      </c>
      <c r="C201" s="51" t="s">
        <v>3437</v>
      </c>
      <c r="D201" s="51" t="s">
        <v>5376</v>
      </c>
      <c r="E201" s="52" t="s">
        <v>5377</v>
      </c>
      <c r="F201" s="53" t="s">
        <v>5378</v>
      </c>
      <c r="G201" s="53"/>
      <c r="H201" s="53" t="s">
        <v>5306</v>
      </c>
    </row>
    <row r="202" ht="30" customHeight="1">
      <c r="A202" s="50" t="s">
        <v>5519</v>
      </c>
      <c r="B202" s="51" t="s">
        <v>5574</v>
      </c>
      <c r="C202" s="51" t="s">
        <v>5575</v>
      </c>
      <c r="D202" s="51" t="s">
        <v>5410</v>
      </c>
      <c r="E202" s="52" t="s">
        <v>5411</v>
      </c>
      <c r="F202" s="53" t="s">
        <v>5412</v>
      </c>
      <c r="G202" s="53"/>
      <c r="H202" s="53" t="s">
        <v>5333</v>
      </c>
    </row>
    <row r="203" ht="30" customHeight="1">
      <c r="A203" s="50" t="s">
        <v>5519</v>
      </c>
      <c r="B203" s="51" t="s">
        <v>5576</v>
      </c>
      <c r="C203" s="51" t="s">
        <v>5577</v>
      </c>
      <c r="D203" s="51" t="s">
        <v>5399</v>
      </c>
      <c r="E203" s="52" t="s">
        <v>5400</v>
      </c>
      <c r="F203" s="53" t="s">
        <v>5401</v>
      </c>
      <c r="G203" s="53"/>
      <c r="H203" s="53" t="s">
        <v>5306</v>
      </c>
    </row>
    <row r="204" ht="30" customHeight="1">
      <c r="A204" s="50" t="s">
        <v>5519</v>
      </c>
      <c r="B204" s="51" t="s">
        <v>5578</v>
      </c>
      <c r="C204" s="51" t="s">
        <v>5579</v>
      </c>
      <c r="D204" s="51" t="s">
        <v>5356</v>
      </c>
      <c r="E204" s="52" t="s">
        <v>5357</v>
      </c>
      <c r="F204" s="53" t="s">
        <v>5358</v>
      </c>
      <c r="G204" s="53"/>
      <c r="H204" s="53" t="s">
        <v>5306</v>
      </c>
    </row>
    <row r="205" ht="30" customHeight="1">
      <c r="A205" s="50" t="s">
        <v>5519</v>
      </c>
      <c r="B205" s="51" t="s">
        <v>5580</v>
      </c>
      <c r="C205" s="51" t="s">
        <v>5581</v>
      </c>
      <c r="D205" s="51" t="s">
        <v>5399</v>
      </c>
      <c r="E205" s="52" t="s">
        <v>5400</v>
      </c>
      <c r="F205" s="53" t="s">
        <v>5401</v>
      </c>
      <c r="G205" s="53"/>
      <c r="H205" s="53" t="s">
        <v>5306</v>
      </c>
    </row>
    <row r="206" ht="30" customHeight="1">
      <c r="A206" s="50" t="s">
        <v>5519</v>
      </c>
      <c r="B206" s="51" t="s">
        <v>5582</v>
      </c>
      <c r="C206" s="51" t="s">
        <v>5583</v>
      </c>
      <c r="D206" s="51" t="s">
        <v>5399</v>
      </c>
      <c r="E206" s="52" t="s">
        <v>5400</v>
      </c>
      <c r="F206" s="53" t="s">
        <v>5401</v>
      </c>
      <c r="G206" s="53"/>
      <c r="H206" s="53" t="s">
        <v>5306</v>
      </c>
    </row>
    <row r="207" ht="30" customHeight="1">
      <c r="A207" s="50" t="s">
        <v>5519</v>
      </c>
      <c r="B207" s="51" t="s">
        <v>5584</v>
      </c>
      <c r="C207" s="51" t="s">
        <v>5464</v>
      </c>
      <c r="D207" s="51" t="s">
        <v>5430</v>
      </c>
      <c r="E207" s="52" t="s">
        <v>5431</v>
      </c>
      <c r="F207" s="53"/>
      <c r="G207" s="53" t="s">
        <v>5432</v>
      </c>
      <c r="H207" s="53" t="s">
        <v>5333</v>
      </c>
    </row>
    <row r="208" ht="30" customHeight="1">
      <c r="A208" s="50" t="s">
        <v>5519</v>
      </c>
      <c r="B208" s="51" t="s">
        <v>5585</v>
      </c>
      <c r="C208" s="51" t="s">
        <v>4207</v>
      </c>
      <c r="D208" s="51" t="s">
        <v>5515</v>
      </c>
      <c r="E208" s="52" t="s">
        <v>5516</v>
      </c>
      <c r="F208" s="53"/>
      <c r="G208" s="53"/>
      <c r="H208" s="53"/>
    </row>
  </sheetData>
  <pageMargins left="0.7" right="0.7" top="0.75" bottom="0.75" header="0.3" footer="0.3"/>
  <pageSetup paperSize="9" orientation="portrait" horizontalDpi="300" verticalDpi="300"/>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03.7109375" hidden="0" customWidth="1"/>
    <col min="2" max="2" width="95" hidden="0" customWidth="1"/>
    <col min="3" max="3" width="101" hidden="0" customWidth="1"/>
    <col min="4" max="4" width="27.5703125" hidden="0" customWidth="1"/>
    <col min="5" max="5" width="16.140625" hidden="0" customWidth="1"/>
    <col min="6" max="6" width="16.140625" hidden="0" customWidth="1"/>
    <col min="7" max="7" width="54.7109375" hidden="0" customWidth="1"/>
    <col min="8" max="8" width="12" hidden="0" customWidth="1"/>
    <col min="9" max="9" width="25.85546875" hidden="0" customWidth="1"/>
    <col min="10" max="10" width="10.85546875" hidden="0" customWidth="1"/>
    <col min="11" max="11" width="10.85546875" hidden="0" customWidth="1"/>
    <col min="12" max="12" width="17" hidden="0" customWidth="1"/>
    <col min="13" max="13" width="15.28515625" hidden="0" customWidth="1"/>
    <col min="14" max="14" width="58.85546875" hidden="0" customWidth="1"/>
  </cols>
  <sheetData>
    <row r="1">
      <c r="A1" s="68" t="s">
        <v>5586</v>
      </c>
      <c r="B1" s="68" t="s">
        <v>0</v>
      </c>
      <c r="C1" s="68" t="s">
        <v>5587</v>
      </c>
      <c r="D1" s="111" t="s">
        <v>5588</v>
      </c>
      <c r="E1" s="111" t="s">
        <v>5589</v>
      </c>
      <c r="F1" s="112" t="s">
        <v>5590</v>
      </c>
      <c r="G1" s="68" t="s">
        <v>5591</v>
      </c>
      <c r="H1" s="111" t="s">
        <v>5592</v>
      </c>
      <c r="I1" s="67" t="s">
        <v>5593</v>
      </c>
      <c r="J1" s="111" t="s">
        <v>5594</v>
      </c>
      <c r="K1" s="111" t="s">
        <v>5595</v>
      </c>
      <c r="L1" s="111" t="s">
        <v>5596</v>
      </c>
      <c r="M1" s="111" t="s">
        <v>5597</v>
      </c>
    </row>
    <row r="2">
      <c r="A2" s="30" t="s">
        <v>5598</v>
      </c>
      <c r="B2" s="1" t="s">
        <v>3852</v>
      </c>
      <c r="C2" s="104" t="s">
        <v>3855</v>
      </c>
      <c r="D2" s="21" t="s">
        <v>5599</v>
      </c>
      <c r="E2" s="21" t="s">
        <v>5600</v>
      </c>
      <c r="F2" s="108" t="s">
        <v>5601</v>
      </c>
      <c r="G2" s="104" t="s">
        <v>5602</v>
      </c>
      <c r="H2" s="21" t="n">
        <v>299</v>
      </c>
      <c r="I2" s="109" t="s">
        <v>5603</v>
      </c>
    </row>
    <row r="3">
      <c r="A3" s="85" t="s">
        <v>5604</v>
      </c>
      <c r="B3" s="30" t="s">
        <v>1561</v>
      </c>
      <c r="C3" s="104" t="s">
        <v>1564</v>
      </c>
      <c r="D3" s="21" t="s">
        <v>5605</v>
      </c>
      <c r="E3" s="21" t="s">
        <v>5606</v>
      </c>
      <c r="F3" s="108" t="s">
        <v>5607</v>
      </c>
      <c r="G3" s="104" t="s">
        <v>5608</v>
      </c>
      <c r="H3" s="21" t="n">
        <v>116</v>
      </c>
      <c r="I3" s="109" t="s">
        <v>5609</v>
      </c>
    </row>
    <row r="4">
      <c r="A4" s="85" t="s">
        <v>5610</v>
      </c>
      <c r="B4" s="30" t="s">
        <v>3242</v>
      </c>
      <c r="C4" s="96" t="s">
        <v>3245</v>
      </c>
      <c r="D4" s="21" t="s">
        <v>5611</v>
      </c>
      <c r="E4" s="21" t="s">
        <v>5612</v>
      </c>
      <c r="F4" s="108" t="s">
        <v>5613</v>
      </c>
      <c r="G4" s="104" t="s">
        <v>5614</v>
      </c>
      <c r="H4" s="21" t="n">
        <v>315</v>
      </c>
      <c r="I4" s="109" t="s">
        <v>5615</v>
      </c>
    </row>
    <row r="5">
      <c r="A5" s="30" t="s">
        <v>5616</v>
      </c>
      <c r="B5" s="30" t="s">
        <v>3536</v>
      </c>
      <c r="C5" s="104" t="s">
        <v>5617</v>
      </c>
      <c r="D5" s="21" t="s">
        <v>5618</v>
      </c>
      <c r="E5" s="21" t="s">
        <v>5606</v>
      </c>
      <c r="F5" s="108" t="s">
        <v>5607</v>
      </c>
      <c r="G5" s="104" t="s">
        <v>5619</v>
      </c>
      <c r="I5" s="98"/>
    </row>
    <row r="6">
      <c r="A6" s="85" t="s">
        <v>5620</v>
      </c>
      <c r="B6" s="30" t="s">
        <v>1548</v>
      </c>
      <c r="C6" s="104" t="s">
        <v>5621</v>
      </c>
      <c r="D6" s="21" t="s">
        <v>5622</v>
      </c>
      <c r="E6" s="21" t="s">
        <v>5623</v>
      </c>
      <c r="F6" s="108" t="s">
        <v>5624</v>
      </c>
      <c r="G6" s="104" t="s">
        <v>5625</v>
      </c>
      <c r="H6" s="21" t="n">
        <v>711</v>
      </c>
      <c r="I6" s="109" t="s">
        <v>5626</v>
      </c>
    </row>
    <row r="7">
      <c r="A7" s="85" t="s">
        <v>5627</v>
      </c>
      <c r="B7" s="30" t="s">
        <v>4486</v>
      </c>
      <c r="C7" s="104" t="s">
        <v>4489</v>
      </c>
      <c r="D7" s="21" t="s">
        <v>5628</v>
      </c>
      <c r="E7" s="21" t="s">
        <v>5629</v>
      </c>
      <c r="F7" s="108" t="s">
        <v>5630</v>
      </c>
      <c r="G7" s="104" t="s">
        <v>5631</v>
      </c>
      <c r="H7" s="21" t="n">
        <v>545</v>
      </c>
      <c r="I7" s="109" t="s">
        <v>5632</v>
      </c>
    </row>
    <row r="8">
      <c r="A8" s="30" t="s">
        <v>5633</v>
      </c>
      <c r="B8" s="1" t="s">
        <v>3073</v>
      </c>
      <c r="C8" s="104" t="s">
        <v>5634</v>
      </c>
      <c r="D8" s="21" t="s">
        <v>5635</v>
      </c>
      <c r="E8" s="21" t="s">
        <v>5623</v>
      </c>
      <c r="F8" s="108" t="s">
        <v>5636</v>
      </c>
      <c r="G8" s="104" t="s">
        <v>5637</v>
      </c>
      <c r="H8" s="21" t="n">
        <v>10</v>
      </c>
      <c r="I8" s="109" t="s">
        <v>5638</v>
      </c>
    </row>
    <row r="9">
      <c r="A9" s="85" t="s">
        <v>5639</v>
      </c>
      <c r="B9" s="30" t="s">
        <v>3937</v>
      </c>
      <c r="C9" s="74" t="s">
        <v>3940</v>
      </c>
      <c r="D9" s="21" t="s">
        <v>5640</v>
      </c>
      <c r="E9" s="21" t="s">
        <v>5641</v>
      </c>
      <c r="F9" s="108" t="s">
        <v>5642</v>
      </c>
      <c r="G9" s="104" t="s">
        <v>5643</v>
      </c>
      <c r="H9" s="21" t="n">
        <v>100</v>
      </c>
      <c r="I9" s="109" t="s">
        <v>5644</v>
      </c>
    </row>
    <row r="10">
      <c r="A10" s="85" t="s">
        <v>5645</v>
      </c>
      <c r="B10" s="30" t="s">
        <v>4413</v>
      </c>
      <c r="C10" s="104" t="s">
        <v>4416</v>
      </c>
      <c r="D10" s="21" t="s">
        <v>5646</v>
      </c>
      <c r="E10" s="21" t="s">
        <v>5641</v>
      </c>
      <c r="F10" s="108" t="s">
        <v>5647</v>
      </c>
      <c r="G10" s="104" t="s">
        <v>5648</v>
      </c>
      <c r="H10" s="21" t="n">
        <v>205</v>
      </c>
      <c r="I10" s="109" t="s">
        <v>5649</v>
      </c>
    </row>
    <row r="11">
      <c r="A11" s="78" t="s">
        <v>5650</v>
      </c>
      <c r="B11" s="30" t="s">
        <v>5651</v>
      </c>
      <c r="C11" s="104" t="s">
        <v>5652</v>
      </c>
      <c r="D11" s="21" t="s">
        <v>5653</v>
      </c>
      <c r="E11" s="21" t="s">
        <v>5612</v>
      </c>
      <c r="F11" s="108" t="s">
        <v>5654</v>
      </c>
      <c r="G11" s="104" t="s">
        <v>5650</v>
      </c>
    </row>
    <row r="12">
      <c r="A12" s="78" t="s">
        <v>2430</v>
      </c>
      <c r="B12" s="30" t="s">
        <v>2427</v>
      </c>
      <c r="C12" s="104" t="s">
        <v>2430</v>
      </c>
      <c r="E12" s="21" t="s">
        <v>5606</v>
      </c>
      <c r="G12" s="104" t="s">
        <v>5655</v>
      </c>
    </row>
    <row r="13">
      <c r="A13" s="78" t="s">
        <v>1207</v>
      </c>
      <c r="B13" s="30" t="s">
        <v>1203</v>
      </c>
      <c r="C13" s="104" t="s">
        <v>1207</v>
      </c>
      <c r="D13" s="21" t="s">
        <v>5656</v>
      </c>
      <c r="E13" s="21" t="s">
        <v>5623</v>
      </c>
      <c r="F13" s="108" t="s">
        <v>5636</v>
      </c>
      <c r="G13" s="104" t="s">
        <v>5657</v>
      </c>
    </row>
    <row r="14">
      <c r="A14" s="78" t="s">
        <v>5658</v>
      </c>
      <c r="B14" s="30" t="s">
        <v>466</v>
      </c>
      <c r="C14" s="104" t="s">
        <v>5659</v>
      </c>
      <c r="D14" s="21" t="s">
        <v>5653</v>
      </c>
      <c r="E14" s="21" t="s">
        <v>5612</v>
      </c>
      <c r="F14" s="108" t="s">
        <v>5654</v>
      </c>
      <c r="G14" s="104" t="s">
        <v>5660</v>
      </c>
    </row>
    <row r="15">
      <c r="A15" s="78" t="s">
        <v>5661</v>
      </c>
      <c r="B15" s="30" t="s">
        <v>5662</v>
      </c>
      <c r="C15" s="104" t="s">
        <v>5661</v>
      </c>
      <c r="D15" s="21" t="s">
        <v>5663</v>
      </c>
      <c r="E15" s="21" t="s">
        <v>5606</v>
      </c>
      <c r="F15" s="108" t="s">
        <v>5664</v>
      </c>
      <c r="G15" s="104" t="s">
        <v>5665</v>
      </c>
    </row>
    <row r="16">
      <c r="A16" s="79" t="s">
        <v>1942</v>
      </c>
      <c r="B16" s="30" t="s">
        <v>1939</v>
      </c>
      <c r="C16" s="104" t="s">
        <v>1942</v>
      </c>
      <c r="D16" s="21" t="s">
        <v>5666</v>
      </c>
      <c r="E16" s="21" t="s">
        <v>5612</v>
      </c>
      <c r="F16" s="108" t="s">
        <v>5613</v>
      </c>
      <c r="G16" s="104" t="s">
        <v>5667</v>
      </c>
    </row>
    <row r="17">
      <c r="A17" s="78" t="s">
        <v>4538</v>
      </c>
      <c r="B17" s="30" t="s">
        <v>4532</v>
      </c>
      <c r="C17" s="104" t="s">
        <v>4538</v>
      </c>
      <c r="D17" s="21" t="s">
        <v>5668</v>
      </c>
      <c r="E17" s="21" t="s">
        <v>5641</v>
      </c>
      <c r="F17" s="108" t="s">
        <v>5669</v>
      </c>
      <c r="G17" s="104" t="s">
        <v>5670</v>
      </c>
    </row>
    <row r="18">
      <c r="A18" s="78" t="s">
        <v>1106</v>
      </c>
      <c r="B18" s="30" t="s">
        <v>1101</v>
      </c>
      <c r="C18" s="104" t="s">
        <v>1106</v>
      </c>
      <c r="D18" s="21" t="s">
        <v>5671</v>
      </c>
      <c r="E18" s="21" t="s">
        <v>5623</v>
      </c>
      <c r="F18" s="108" t="s">
        <v>5672</v>
      </c>
      <c r="G18" s="104" t="s">
        <v>5673</v>
      </c>
    </row>
    <row r="19">
      <c r="A19" s="78" t="s">
        <v>5674</v>
      </c>
      <c r="B19" s="30" t="s">
        <v>2694</v>
      </c>
      <c r="C19" s="104" t="s">
        <v>5675</v>
      </c>
      <c r="D19" s="21" t="s">
        <v>5676</v>
      </c>
      <c r="E19" s="21" t="s">
        <v>5623</v>
      </c>
      <c r="F19" s="108" t="s">
        <v>5672</v>
      </c>
      <c r="G19" s="104" t="s">
        <v>5673</v>
      </c>
    </row>
    <row r="20">
      <c r="A20" s="78" t="s">
        <v>5677</v>
      </c>
      <c r="B20" s="30" t="s">
        <v>650</v>
      </c>
      <c r="C20" s="104" t="s">
        <v>5678</v>
      </c>
      <c r="D20" s="21" t="s">
        <v>5653</v>
      </c>
      <c r="E20" s="21" t="s">
        <v>5612</v>
      </c>
      <c r="F20" s="108" t="s">
        <v>5654</v>
      </c>
      <c r="G20" s="97" t="s">
        <v>5679</v>
      </c>
    </row>
    <row r="21">
      <c r="A21" s="78" t="s">
        <v>3221</v>
      </c>
      <c r="B21" s="30" t="s">
        <v>3214</v>
      </c>
      <c r="C21" s="104" t="s">
        <v>3221</v>
      </c>
      <c r="D21" s="21" t="s">
        <v>5666</v>
      </c>
      <c r="E21" s="21" t="s">
        <v>5612</v>
      </c>
      <c r="F21" s="108" t="s">
        <v>5613</v>
      </c>
      <c r="G21" s="104" t="s">
        <v>5680</v>
      </c>
    </row>
    <row r="22">
      <c r="A22" s="78" t="s">
        <v>4426</v>
      </c>
      <c r="B22" s="30" t="s">
        <v>4422</v>
      </c>
      <c r="C22" s="104" t="s">
        <v>4426</v>
      </c>
      <c r="D22" s="21" t="s">
        <v>5681</v>
      </c>
      <c r="E22" s="21" t="s">
        <v>5682</v>
      </c>
      <c r="F22" s="108" t="s">
        <v>5683</v>
      </c>
      <c r="G22" s="104" t="s">
        <v>5684</v>
      </c>
      <c r="H22" s="21" t="n">
        <v>400</v>
      </c>
      <c r="I22" s="109" t="s">
        <v>5685</v>
      </c>
    </row>
    <row r="23">
      <c r="A23" s="78" t="s">
        <v>5686</v>
      </c>
      <c r="B23" s="30" t="s">
        <v>3059</v>
      </c>
      <c r="C23" s="104" t="s">
        <v>5687</v>
      </c>
      <c r="D23" s="21" t="s">
        <v>5688</v>
      </c>
      <c r="E23" s="21" t="s">
        <v>5600</v>
      </c>
      <c r="F23" s="108" t="s">
        <v>5601</v>
      </c>
      <c r="G23" s="97" t="s">
        <v>5686</v>
      </c>
      <c r="I23" s="109" t="s">
        <v>5689</v>
      </c>
    </row>
    <row r="24">
      <c r="A24" s="78" t="s">
        <v>1932</v>
      </c>
      <c r="B24" s="30" t="s">
        <v>1925</v>
      </c>
      <c r="C24" s="104" t="s">
        <v>1932</v>
      </c>
      <c r="D24" s="21" t="s">
        <v>5690</v>
      </c>
      <c r="E24" s="21" t="s">
        <v>5682</v>
      </c>
      <c r="F24" s="108" t="s">
        <v>5691</v>
      </c>
      <c r="G24" s="104" t="s">
        <v>5692</v>
      </c>
      <c r="H24" s="21" t="n">
        <v>289</v>
      </c>
    </row>
    <row r="25">
      <c r="A25" s="30" t="s">
        <v>5693</v>
      </c>
      <c r="B25" s="30" t="s">
        <v>4650</v>
      </c>
      <c r="C25" s="104" t="s">
        <v>4653</v>
      </c>
      <c r="D25" s="21" t="s">
        <v>5668</v>
      </c>
      <c r="E25" s="21" t="s">
        <v>5641</v>
      </c>
      <c r="F25" s="108" t="s">
        <v>5669</v>
      </c>
      <c r="G25" s="104" t="s">
        <v>5694</v>
      </c>
      <c r="H25" s="21" t="n">
        <v>977</v>
      </c>
      <c r="I25" s="109" t="s">
        <v>5695</v>
      </c>
    </row>
    <row r="26">
      <c r="A26" s="81" t="s">
        <v>5696</v>
      </c>
      <c r="B26" s="30" t="s">
        <v>4427</v>
      </c>
      <c r="C26" s="104" t="s">
        <v>5697</v>
      </c>
      <c r="D26" s="21" t="s">
        <v>5698</v>
      </c>
      <c r="E26" s="21" t="s">
        <v>5682</v>
      </c>
      <c r="F26" s="108" t="s">
        <v>5699</v>
      </c>
      <c r="G26" s="104" t="s">
        <v>5692</v>
      </c>
      <c r="H26" s="21" t="n">
        <v>5007</v>
      </c>
      <c r="I26" s="109" t="s">
        <v>5700</v>
      </c>
    </row>
    <row r="27">
      <c r="A27" s="81" t="s">
        <v>5701</v>
      </c>
      <c r="B27" s="30" t="s">
        <v>3046</v>
      </c>
      <c r="C27" s="104" t="s">
        <v>5702</v>
      </c>
      <c r="D27" s="21" t="s">
        <v>5703</v>
      </c>
      <c r="E27" s="21" t="s">
        <v>5600</v>
      </c>
      <c r="F27" s="108" t="s">
        <v>5704</v>
      </c>
      <c r="G27" s="104" t="s">
        <v>5705</v>
      </c>
      <c r="H27" s="21" t="n">
        <v>896</v>
      </c>
      <c r="I27" s="109" t="s">
        <v>5706</v>
      </c>
    </row>
    <row r="28" ht="30" customHeight="1">
      <c r="A28" s="81" t="s">
        <v>5707</v>
      </c>
      <c r="B28" s="30" t="s">
        <v>4417</v>
      </c>
      <c r="C28" s="104" t="s">
        <v>5708</v>
      </c>
      <c r="D28" s="21" t="s">
        <v>5709</v>
      </c>
      <c r="E28" s="21" t="s">
        <v>5682</v>
      </c>
      <c r="F28" s="108" t="s">
        <v>5699</v>
      </c>
      <c r="G28" s="104" t="s">
        <v>5710</v>
      </c>
      <c r="I28" s="109" t="s">
        <v>5711</v>
      </c>
    </row>
    <row r="29">
      <c r="A29" s="81" t="s">
        <v>796</v>
      </c>
      <c r="B29" s="30" t="s">
        <v>781</v>
      </c>
      <c r="C29" s="104" t="s">
        <v>5712</v>
      </c>
      <c r="D29" s="21" t="s">
        <v>5713</v>
      </c>
      <c r="E29" s="21" t="s">
        <v>5714</v>
      </c>
      <c r="F29" s="108" t="s">
        <v>5715</v>
      </c>
      <c r="G29" s="104" t="s">
        <v>5716</v>
      </c>
    </row>
    <row r="30">
      <c r="A30" s="81" t="s">
        <v>5717</v>
      </c>
      <c r="B30" s="30" t="s">
        <v>3964</v>
      </c>
      <c r="C30" s="104" t="s">
        <v>5718</v>
      </c>
      <c r="D30" s="21" t="s">
        <v>5640</v>
      </c>
      <c r="E30" s="21" t="s">
        <v>5641</v>
      </c>
      <c r="F30" s="108" t="s">
        <v>5642</v>
      </c>
      <c r="G30" s="104" t="s">
        <v>5719</v>
      </c>
      <c r="H30" s="21" t="n">
        <v>240</v>
      </c>
      <c r="I30" s="109" t="s">
        <v>5720</v>
      </c>
    </row>
    <row r="31">
      <c r="A31" s="81" t="s">
        <v>5721</v>
      </c>
      <c r="B31" s="30" t="s">
        <v>3960</v>
      </c>
      <c r="C31" s="104" t="s">
        <v>5722</v>
      </c>
      <c r="D31" s="21" t="s">
        <v>5640</v>
      </c>
      <c r="E31" s="21" t="s">
        <v>5641</v>
      </c>
      <c r="F31" s="108" t="s">
        <v>5642</v>
      </c>
      <c r="G31" s="104" t="s">
        <v>5723</v>
      </c>
      <c r="H31" s="21" t="n">
        <v>145</v>
      </c>
      <c r="I31" s="109" t="s">
        <v>5724</v>
      </c>
    </row>
    <row r="32">
      <c r="A32" s="81" t="s">
        <v>5725</v>
      </c>
      <c r="B32" s="30" t="s">
        <v>3969</v>
      </c>
      <c r="C32" s="104" t="s">
        <v>5726</v>
      </c>
      <c r="D32" s="21" t="s">
        <v>5727</v>
      </c>
      <c r="E32" s="21" t="s">
        <v>5641</v>
      </c>
      <c r="F32" s="108" t="s">
        <v>5669</v>
      </c>
      <c r="G32" s="104" t="s">
        <v>5728</v>
      </c>
      <c r="H32" s="21" t="n">
        <v>1480</v>
      </c>
      <c r="I32" s="109" t="s">
        <v>5729</v>
      </c>
    </row>
    <row r="33">
      <c r="A33" s="81" t="s">
        <v>5730</v>
      </c>
      <c r="B33" s="30" t="s">
        <v>238</v>
      </c>
      <c r="C33" s="95" t="s">
        <v>245</v>
      </c>
      <c r="D33" s="21" t="s">
        <v>5731</v>
      </c>
      <c r="E33" s="21" t="s">
        <v>5623</v>
      </c>
      <c r="F33" s="108" t="s">
        <v>5732</v>
      </c>
      <c r="G33" s="104" t="s">
        <v>5733</v>
      </c>
      <c r="H33" s="21" t="n">
        <v>1300</v>
      </c>
      <c r="I33" s="109" t="s">
        <v>5734</v>
      </c>
    </row>
    <row r="34">
      <c r="A34" s="81" t="s">
        <v>2708</v>
      </c>
      <c r="B34" s="30" t="s">
        <v>2702</v>
      </c>
      <c r="C34" s="104" t="s">
        <v>5735</v>
      </c>
      <c r="D34" s="21" t="s">
        <v>5736</v>
      </c>
      <c r="E34" s="21" t="s">
        <v>5737</v>
      </c>
      <c r="F34" s="108" t="s">
        <v>5738</v>
      </c>
      <c r="G34" s="104" t="s">
        <v>5739</v>
      </c>
      <c r="H34" s="21" t="n">
        <v>1001</v>
      </c>
      <c r="I34" s="109" t="s">
        <v>5740</v>
      </c>
    </row>
    <row r="35">
      <c r="A35" s="81" t="s">
        <v>5741</v>
      </c>
      <c r="B35" s="30" t="s">
        <v>4432</v>
      </c>
      <c r="C35" s="104" t="s">
        <v>5742</v>
      </c>
      <c r="D35" s="21" t="s">
        <v>5743</v>
      </c>
      <c r="E35" s="21" t="s">
        <v>5612</v>
      </c>
      <c r="F35" s="108" t="s">
        <v>5613</v>
      </c>
      <c r="G35" s="104" t="s">
        <v>5744</v>
      </c>
      <c r="H35" s="21" t="n">
        <v>64</v>
      </c>
      <c r="I35" s="109" t="s">
        <v>5745</v>
      </c>
    </row>
    <row r="36">
      <c r="A36" s="81" t="s">
        <v>5746</v>
      </c>
      <c r="B36" s="30" t="s">
        <v>3041</v>
      </c>
      <c r="C36" s="104" t="s">
        <v>5747</v>
      </c>
      <c r="D36" s="21" t="s">
        <v>5748</v>
      </c>
      <c r="E36" s="21" t="s">
        <v>5600</v>
      </c>
      <c r="F36" s="108" t="s">
        <v>5601</v>
      </c>
      <c r="G36" s="104" t="s">
        <v>5749</v>
      </c>
      <c r="H36" s="21" t="n">
        <v>100</v>
      </c>
      <c r="I36" s="109" t="s">
        <v>5750</v>
      </c>
    </row>
    <row r="37">
      <c r="A37" s="81" t="s">
        <v>697</v>
      </c>
      <c r="B37" s="30" t="s">
        <v>693</v>
      </c>
      <c r="C37" s="104" t="s">
        <v>5751</v>
      </c>
      <c r="D37" s="21" t="s">
        <v>5752</v>
      </c>
      <c r="E37" s="21" t="s">
        <v>5623</v>
      </c>
      <c r="F37" s="108" t="s">
        <v>5636</v>
      </c>
      <c r="G37" s="104" t="s">
        <v>5753</v>
      </c>
      <c r="H37" s="21" t="n">
        <v>198</v>
      </c>
      <c r="I37" s="109" t="s">
        <v>5754</v>
      </c>
    </row>
    <row r="38">
      <c r="A38" s="81" t="s">
        <v>5755</v>
      </c>
      <c r="B38" s="110" t="s">
        <v>5756</v>
      </c>
      <c r="C38" s="95" t="s">
        <v>257</v>
      </c>
      <c r="D38" s="21" t="s">
        <v>5757</v>
      </c>
      <c r="E38" s="21" t="s">
        <v>5600</v>
      </c>
      <c r="F38" s="108" t="s">
        <v>5601</v>
      </c>
      <c r="G38" s="104" t="s">
        <v>5758</v>
      </c>
      <c r="I38" s="109" t="s">
        <v>5759</v>
      </c>
    </row>
    <row r="39">
      <c r="A39" s="30" t="s">
        <v>5760</v>
      </c>
      <c r="B39" s="110" t="s">
        <v>265</v>
      </c>
      <c r="C39" s="95" t="s">
        <v>269</v>
      </c>
      <c r="D39" s="21" t="s">
        <v>5688</v>
      </c>
      <c r="E39" s="21" t="s">
        <v>5600</v>
      </c>
      <c r="F39" s="108" t="s">
        <v>5601</v>
      </c>
      <c r="G39" s="104" t="s">
        <v>5761</v>
      </c>
      <c r="H39" s="21" t="n">
        <v>1055</v>
      </c>
      <c r="I39" s="21" t="s">
        <v>5762</v>
      </c>
    </row>
    <row r="40">
      <c r="A40" s="77" t="s">
        <v>5763</v>
      </c>
      <c r="B40" s="110" t="s">
        <v>2094</v>
      </c>
      <c r="C40" s="95" t="s">
        <v>5764</v>
      </c>
      <c r="D40" s="21" t="s">
        <v>5765</v>
      </c>
      <c r="E40" s="21" t="s">
        <v>5600</v>
      </c>
      <c r="F40" s="108" t="s">
        <v>5766</v>
      </c>
      <c r="G40" s="104" t="s">
        <v>5767</v>
      </c>
      <c r="H40" s="21" t="n">
        <v>184</v>
      </c>
      <c r="I40" s="109" t="s">
        <v>5768</v>
      </c>
    </row>
    <row r="41">
      <c r="A41" s="77" t="s">
        <v>5769</v>
      </c>
      <c r="B41" s="110" t="s">
        <v>337</v>
      </c>
      <c r="C41" s="95" t="s">
        <v>5770</v>
      </c>
      <c r="D41" s="21" t="s">
        <v>5688</v>
      </c>
      <c r="E41" s="21" t="s">
        <v>5600</v>
      </c>
      <c r="F41" s="108" t="s">
        <v>5601</v>
      </c>
      <c r="G41" s="104" t="s">
        <v>5761</v>
      </c>
      <c r="H41" s="21" t="n">
        <v>322</v>
      </c>
      <c r="I41" s="109" t="s">
        <v>5771</v>
      </c>
    </row>
    <row r="42">
      <c r="A42" s="85" t="s">
        <v>5772</v>
      </c>
      <c r="B42" s="30" t="s">
        <v>3974</v>
      </c>
      <c r="C42" s="104" t="s">
        <v>3977</v>
      </c>
      <c r="D42" s="21" t="s">
        <v>5773</v>
      </c>
      <c r="E42" s="21" t="s">
        <v>5641</v>
      </c>
      <c r="F42" s="108" t="s">
        <v>5642</v>
      </c>
      <c r="G42" s="104" t="s">
        <v>5774</v>
      </c>
      <c r="H42" s="21" t="n">
        <v>281</v>
      </c>
      <c r="I42" s="109" t="s">
        <v>5775</v>
      </c>
    </row>
    <row r="43">
      <c r="A43" s="30" t="s">
        <v>5776</v>
      </c>
      <c r="B43" s="30" t="s">
        <v>2144</v>
      </c>
      <c r="C43" s="104" t="s">
        <v>5777</v>
      </c>
      <c r="D43" s="21" t="s">
        <v>5778</v>
      </c>
      <c r="E43" s="21" t="s">
        <v>5682</v>
      </c>
      <c r="F43" s="108" t="s">
        <v>5779</v>
      </c>
      <c r="G43" s="104" t="s">
        <v>5780</v>
      </c>
      <c r="H43" s="21" t="n">
        <v>68</v>
      </c>
    </row>
    <row r="44">
      <c r="A44" s="30" t="s">
        <v>5781</v>
      </c>
      <c r="B44" s="30" t="s">
        <v>4155</v>
      </c>
      <c r="C44" s="104" t="s">
        <v>5782</v>
      </c>
      <c r="D44" s="21" t="s">
        <v>5783</v>
      </c>
      <c r="E44" s="21" t="s">
        <v>5612</v>
      </c>
      <c r="F44" s="108" t="s">
        <v>5784</v>
      </c>
      <c r="G44" s="104" t="s">
        <v>5785</v>
      </c>
      <c r="H44" s="21" t="n">
        <v>375</v>
      </c>
      <c r="I44" s="109" t="s">
        <v>5786</v>
      </c>
    </row>
    <row r="45">
      <c r="A45" s="85" t="s">
        <v>3845</v>
      </c>
      <c r="B45" s="30" t="s">
        <v>5787</v>
      </c>
      <c r="C45" s="104" t="s">
        <v>5788</v>
      </c>
      <c r="D45" s="21" t="s">
        <v>5789</v>
      </c>
      <c r="E45" s="21" t="s">
        <v>5629</v>
      </c>
      <c r="F45" s="108" t="s">
        <v>5790</v>
      </c>
      <c r="G45" s="104" t="s">
        <v>5791</v>
      </c>
      <c r="H45" s="21" t="n">
        <v>749</v>
      </c>
      <c r="I45" s="109" t="s">
        <v>5792</v>
      </c>
    </row>
    <row r="46">
      <c r="A46" s="85" t="s">
        <v>5793</v>
      </c>
      <c r="B46" s="30" t="s">
        <v>3806</v>
      </c>
      <c r="C46" s="104" t="s">
        <v>5794</v>
      </c>
      <c r="D46" s="21" t="s">
        <v>5795</v>
      </c>
      <c r="E46" s="21" t="s">
        <v>5606</v>
      </c>
      <c r="F46" s="108" t="s">
        <v>5796</v>
      </c>
      <c r="G46" s="104" t="s">
        <v>5797</v>
      </c>
      <c r="H46" s="21" t="n">
        <v>336</v>
      </c>
      <c r="I46" s="109" t="s">
        <v>5798</v>
      </c>
    </row>
    <row r="47">
      <c r="A47" s="30" t="s">
        <v>5799</v>
      </c>
      <c r="B47" s="30" t="s">
        <v>5800</v>
      </c>
      <c r="C47" s="104" t="s">
        <v>5801</v>
      </c>
      <c r="D47" s="21" t="s">
        <v>5736</v>
      </c>
      <c r="E47" s="21" t="s">
        <v>5802</v>
      </c>
      <c r="F47" s="108" t="s">
        <v>5738</v>
      </c>
      <c r="G47" s="104" t="s">
        <v>5803</v>
      </c>
      <c r="H47" s="21" t="n">
        <v>150</v>
      </c>
      <c r="I47" s="109" t="s">
        <v>5804</v>
      </c>
    </row>
    <row r="48">
      <c r="A48" s="30" t="s">
        <v>5805</v>
      </c>
      <c r="B48" s="30" t="s">
        <v>2589</v>
      </c>
      <c r="C48" s="104" t="s">
        <v>5806</v>
      </c>
      <c r="D48" s="21" t="s">
        <v>5807</v>
      </c>
      <c r="E48" s="21" t="s">
        <v>5629</v>
      </c>
      <c r="F48" s="108" t="s">
        <v>5630</v>
      </c>
      <c r="G48" s="104" t="s">
        <v>5808</v>
      </c>
      <c r="I48" s="109" t="s">
        <v>5809</v>
      </c>
    </row>
    <row r="49">
      <c r="A49" s="30" t="s">
        <v>5810</v>
      </c>
      <c r="B49" s="30" t="s">
        <v>5811</v>
      </c>
      <c r="C49" s="104" t="s">
        <v>5812</v>
      </c>
      <c r="D49" s="21" t="s">
        <v>5813</v>
      </c>
      <c r="E49" s="21" t="s">
        <v>5606</v>
      </c>
      <c r="F49" s="108" t="s">
        <v>5814</v>
      </c>
      <c r="G49" s="104" t="s">
        <v>5815</v>
      </c>
      <c r="H49" s="21" t="n">
        <v>415</v>
      </c>
      <c r="I49" s="109" t="s">
        <v>5816</v>
      </c>
    </row>
    <row r="50">
      <c r="A50" s="30" t="s">
        <v>5817</v>
      </c>
      <c r="B50" s="30" t="s">
        <v>5818</v>
      </c>
      <c r="C50" s="104" t="s">
        <v>5819</v>
      </c>
      <c r="D50" s="21" t="s">
        <v>5813</v>
      </c>
      <c r="E50" s="21" t="s">
        <v>5606</v>
      </c>
      <c r="F50" s="108" t="s">
        <v>5814</v>
      </c>
      <c r="G50" s="104" t="s">
        <v>5820</v>
      </c>
      <c r="H50" s="21" t="n">
        <v>10</v>
      </c>
      <c r="I50" s="109" t="s">
        <v>5821</v>
      </c>
    </row>
    <row r="51">
      <c r="A51" s="76" t="s">
        <v>5822</v>
      </c>
      <c r="B51" s="30" t="s">
        <v>5823</v>
      </c>
      <c r="C51" s="95" t="s">
        <v>379</v>
      </c>
      <c r="D51" s="21" t="s">
        <v>5599</v>
      </c>
      <c r="E51" s="21" t="s">
        <v>5600</v>
      </c>
      <c r="F51" s="108" t="s">
        <v>5601</v>
      </c>
      <c r="G51" s="104" t="s">
        <v>5824</v>
      </c>
      <c r="H51" s="21" t="n">
        <v>1186</v>
      </c>
      <c r="I51" s="109" t="s">
        <v>5825</v>
      </c>
    </row>
    <row r="52">
      <c r="A52" s="76" t="s">
        <v>5826</v>
      </c>
      <c r="B52" s="30" t="s">
        <v>4702</v>
      </c>
      <c r="C52" s="104" t="s">
        <v>5827</v>
      </c>
      <c r="D52" s="21" t="s">
        <v>5828</v>
      </c>
      <c r="E52" s="21" t="s">
        <v>5629</v>
      </c>
      <c r="F52" s="108" t="s">
        <v>5630</v>
      </c>
      <c r="G52" s="104" t="s">
        <v>5829</v>
      </c>
      <c r="H52" s="21" t="n">
        <v>275</v>
      </c>
      <c r="I52" s="109" t="s">
        <v>5830</v>
      </c>
    </row>
    <row r="53">
      <c r="A53" s="76" t="s">
        <v>5831</v>
      </c>
      <c r="B53" s="30" t="s">
        <v>2995</v>
      </c>
      <c r="C53" s="104" t="s">
        <v>5832</v>
      </c>
      <c r="D53" s="21" t="s">
        <v>5833</v>
      </c>
      <c r="E53" s="21" t="s">
        <v>5641</v>
      </c>
      <c r="F53" s="108" t="s">
        <v>5647</v>
      </c>
      <c r="G53" s="104" t="s">
        <v>5834</v>
      </c>
      <c r="H53" s="21" t="n">
        <v>959</v>
      </c>
      <c r="I53" s="109" t="s">
        <v>5835</v>
      </c>
    </row>
    <row r="54">
      <c r="A54" s="76" t="s">
        <v>5836</v>
      </c>
      <c r="B54" s="30" t="s">
        <v>5837</v>
      </c>
      <c r="C54" s="104" t="s">
        <v>1698</v>
      </c>
      <c r="D54" s="21" t="s">
        <v>5838</v>
      </c>
      <c r="E54" s="21" t="s">
        <v>5612</v>
      </c>
      <c r="F54" s="108" t="s">
        <v>5839</v>
      </c>
      <c r="G54" s="104" t="s">
        <v>5840</v>
      </c>
      <c r="H54" s="21" t="n">
        <v>90</v>
      </c>
      <c r="I54" s="109" t="s">
        <v>5841</v>
      </c>
    </row>
    <row r="55">
      <c r="A55" s="76" t="s">
        <v>5842</v>
      </c>
      <c r="B55" s="110" t="s">
        <v>5843</v>
      </c>
      <c r="C55" s="95" t="s">
        <v>5844</v>
      </c>
      <c r="D55" s="21" t="s">
        <v>5845</v>
      </c>
      <c r="E55" s="21" t="s">
        <v>5600</v>
      </c>
      <c r="F55" s="108" t="s">
        <v>5601</v>
      </c>
      <c r="G55" s="104" t="s">
        <v>5846</v>
      </c>
      <c r="H55" s="21" t="n">
        <v>21</v>
      </c>
      <c r="I55" s="109" t="s">
        <v>5847</v>
      </c>
    </row>
    <row r="56">
      <c r="A56" s="76" t="s">
        <v>5848</v>
      </c>
      <c r="B56" s="30" t="s">
        <v>5849</v>
      </c>
      <c r="C56" s="104" t="s">
        <v>5850</v>
      </c>
      <c r="D56" s="21" t="s">
        <v>5851</v>
      </c>
      <c r="E56" s="21" t="s">
        <v>5612</v>
      </c>
      <c r="F56" s="108" t="s">
        <v>5839</v>
      </c>
      <c r="G56" s="104" t="s">
        <v>5852</v>
      </c>
      <c r="H56" s="21" t="n">
        <v>678</v>
      </c>
      <c r="I56" s="109" t="s">
        <v>5853</v>
      </c>
    </row>
    <row r="57">
      <c r="A57" s="76" t="s">
        <v>5854</v>
      </c>
      <c r="B57" s="30" t="s">
        <v>5855</v>
      </c>
      <c r="C57" s="104" t="s">
        <v>5856</v>
      </c>
      <c r="D57" s="21" t="s">
        <v>5773</v>
      </c>
      <c r="E57" s="21" t="s">
        <v>5641</v>
      </c>
      <c r="F57" s="108" t="s">
        <v>5642</v>
      </c>
      <c r="G57" s="104" t="s">
        <v>5857</v>
      </c>
      <c r="H57" s="21" t="n">
        <v>833</v>
      </c>
      <c r="I57" s="109" t="s">
        <v>5858</v>
      </c>
    </row>
    <row r="58">
      <c r="A58" s="76" t="s">
        <v>1967</v>
      </c>
      <c r="B58" s="30" t="s">
        <v>5859</v>
      </c>
      <c r="C58" s="104" t="s">
        <v>5860</v>
      </c>
      <c r="D58" s="21" t="s">
        <v>5778</v>
      </c>
      <c r="E58" s="21" t="s">
        <v>5682</v>
      </c>
      <c r="F58" s="108" t="s">
        <v>5779</v>
      </c>
      <c r="G58" s="104" t="s">
        <v>5861</v>
      </c>
      <c r="H58" s="21" t="n">
        <v>1875</v>
      </c>
      <c r="I58" s="109" t="s">
        <v>5862</v>
      </c>
    </row>
    <row r="59">
      <c r="A59" s="76" t="s">
        <v>5863</v>
      </c>
      <c r="B59" s="30" t="s">
        <v>3336</v>
      </c>
      <c r="C59" s="104" t="s">
        <v>5864</v>
      </c>
      <c r="D59" s="21" t="s">
        <v>5865</v>
      </c>
      <c r="E59" s="21" t="s">
        <v>5737</v>
      </c>
      <c r="F59" s="108" t="s">
        <v>5866</v>
      </c>
      <c r="G59" s="104" t="s">
        <v>5867</v>
      </c>
      <c r="H59" s="21" t="n">
        <v>30</v>
      </c>
      <c r="I59" s="109" t="s">
        <v>5868</v>
      </c>
    </row>
    <row r="60">
      <c r="A60" s="76" t="s">
        <v>2341</v>
      </c>
      <c r="B60" s="30" t="s">
        <v>5869</v>
      </c>
      <c r="C60" s="104" t="s">
        <v>5870</v>
      </c>
      <c r="D60" s="21" t="s">
        <v>5871</v>
      </c>
      <c r="E60" s="21" t="s">
        <v>5606</v>
      </c>
      <c r="F60" s="108" t="s">
        <v>5664</v>
      </c>
      <c r="G60" s="104" t="s">
        <v>5872</v>
      </c>
      <c r="H60" s="21" t="n">
        <v>277</v>
      </c>
      <c r="I60" s="109" t="s">
        <v>5873</v>
      </c>
    </row>
    <row r="61">
      <c r="A61" s="76" t="s">
        <v>2465</v>
      </c>
      <c r="B61" s="30" t="s">
        <v>2458</v>
      </c>
      <c r="C61" s="104" t="s">
        <v>5874</v>
      </c>
      <c r="D61" s="21" t="s">
        <v>5875</v>
      </c>
      <c r="E61" s="21" t="s">
        <v>5629</v>
      </c>
      <c r="F61" s="108" t="s">
        <v>5876</v>
      </c>
      <c r="G61" s="104" t="s">
        <v>5877</v>
      </c>
      <c r="H61" s="21" t="n">
        <v>10</v>
      </c>
      <c r="I61" s="109" t="s">
        <v>5878</v>
      </c>
    </row>
    <row r="62" ht="30" customHeight="1">
      <c r="A62" s="76" t="s">
        <v>5879</v>
      </c>
      <c r="B62" s="30" t="s">
        <v>5880</v>
      </c>
      <c r="C62" s="95" t="s">
        <v>390</v>
      </c>
      <c r="D62" s="21" t="s">
        <v>5703</v>
      </c>
      <c r="E62" s="21" t="s">
        <v>5600</v>
      </c>
      <c r="F62" s="108" t="s">
        <v>5704</v>
      </c>
      <c r="G62" s="104" t="s">
        <v>5881</v>
      </c>
      <c r="H62" s="21" t="n">
        <v>187</v>
      </c>
      <c r="I62" s="109" t="s">
        <v>5882</v>
      </c>
    </row>
    <row r="63">
      <c r="A63" s="76" t="s">
        <v>806</v>
      </c>
      <c r="B63" s="30" t="s">
        <v>5883</v>
      </c>
      <c r="C63" s="104" t="s">
        <v>5884</v>
      </c>
      <c r="D63" s="21" t="s">
        <v>5789</v>
      </c>
      <c r="E63" s="21" t="s">
        <v>5629</v>
      </c>
      <c r="F63" s="108" t="s">
        <v>5790</v>
      </c>
      <c r="G63" s="104" t="s">
        <v>5885</v>
      </c>
      <c r="H63" s="21" t="n">
        <v>610</v>
      </c>
      <c r="I63" s="109" t="s">
        <v>5886</v>
      </c>
    </row>
    <row r="64">
      <c r="A64" s="76" t="s">
        <v>2386</v>
      </c>
      <c r="B64" s="30" t="s">
        <v>2383</v>
      </c>
      <c r="C64" s="104" t="s">
        <v>5887</v>
      </c>
      <c r="D64" s="21" t="s">
        <v>5731</v>
      </c>
      <c r="E64" s="21" t="s">
        <v>5623</v>
      </c>
      <c r="F64" s="108" t="s">
        <v>5732</v>
      </c>
      <c r="G64" s="104" t="s">
        <v>5888</v>
      </c>
      <c r="H64" s="21" t="n">
        <v>261</v>
      </c>
      <c r="I64" s="109" t="s">
        <v>5889</v>
      </c>
    </row>
    <row r="65">
      <c r="A65" s="76" t="s">
        <v>5890</v>
      </c>
      <c r="B65" s="30" t="s">
        <v>5891</v>
      </c>
      <c r="C65" s="104" t="s">
        <v>5892</v>
      </c>
      <c r="D65" s="21" t="s">
        <v>5851</v>
      </c>
      <c r="E65" s="21" t="s">
        <v>5612</v>
      </c>
      <c r="F65" s="108" t="s">
        <v>5839</v>
      </c>
      <c r="G65" s="104" t="s">
        <v>5893</v>
      </c>
      <c r="H65" s="21" t="n">
        <v>105</v>
      </c>
      <c r="I65" s="109" t="s">
        <v>5894</v>
      </c>
    </row>
    <row r="66">
      <c r="A66" s="76" t="s">
        <v>5895</v>
      </c>
      <c r="B66" s="30" t="s">
        <v>3707</v>
      </c>
      <c r="C66" s="104" t="s">
        <v>5896</v>
      </c>
      <c r="D66" s="21" t="s">
        <v>5897</v>
      </c>
      <c r="E66" s="21" t="s">
        <v>5629</v>
      </c>
      <c r="F66" s="108" t="s">
        <v>5876</v>
      </c>
      <c r="G66" s="104" t="s">
        <v>5898</v>
      </c>
      <c r="H66" s="21" t="n">
        <v>122</v>
      </c>
      <c r="I66" s="109" t="s">
        <v>5899</v>
      </c>
    </row>
    <row r="67">
      <c r="A67" s="76" t="s">
        <v>5900</v>
      </c>
      <c r="B67" s="30" t="s">
        <v>3772</v>
      </c>
      <c r="C67" s="104" t="s">
        <v>3775</v>
      </c>
      <c r="D67" s="21" t="s">
        <v>5901</v>
      </c>
      <c r="E67" s="21" t="s">
        <v>5600</v>
      </c>
      <c r="F67" s="108" t="s">
        <v>5704</v>
      </c>
      <c r="G67" s="104" t="s">
        <v>5902</v>
      </c>
      <c r="H67" s="21" t="n">
        <v>940</v>
      </c>
      <c r="I67" s="109" t="s">
        <v>5903</v>
      </c>
    </row>
    <row r="68">
      <c r="A68" s="76" t="s">
        <v>2372</v>
      </c>
      <c r="B68" s="30" t="s">
        <v>2368</v>
      </c>
      <c r="C68" s="104" t="s">
        <v>5904</v>
      </c>
      <c r="D68" s="21" t="s">
        <v>5905</v>
      </c>
      <c r="E68" s="21" t="s">
        <v>5606</v>
      </c>
      <c r="F68" s="108" t="s">
        <v>5664</v>
      </c>
      <c r="G68" s="104" t="s">
        <v>5906</v>
      </c>
      <c r="H68" s="21" t="n">
        <v>1583</v>
      </c>
      <c r="I68" s="109" t="s">
        <v>5907</v>
      </c>
    </row>
    <row r="69">
      <c r="A69" s="76" t="s">
        <v>5908</v>
      </c>
      <c r="B69" s="30" t="s">
        <v>3478</v>
      </c>
      <c r="C69" s="104" t="s">
        <v>5909</v>
      </c>
      <c r="D69" s="21" t="s">
        <v>5910</v>
      </c>
      <c r="E69" s="21" t="s">
        <v>5682</v>
      </c>
      <c r="F69" s="108" t="s">
        <v>5699</v>
      </c>
      <c r="G69" s="104" t="s">
        <v>5911</v>
      </c>
      <c r="H69" s="21" t="n">
        <v>113</v>
      </c>
      <c r="I69" s="109" t="s">
        <v>5912</v>
      </c>
    </row>
    <row r="70">
      <c r="A70" s="76" t="s">
        <v>2336</v>
      </c>
      <c r="B70" s="30" t="s">
        <v>5913</v>
      </c>
      <c r="C70" s="104" t="s">
        <v>5914</v>
      </c>
      <c r="D70" s="21" t="s">
        <v>5663</v>
      </c>
      <c r="E70" s="21" t="s">
        <v>5606</v>
      </c>
      <c r="F70" s="108" t="s">
        <v>5664</v>
      </c>
      <c r="G70" s="104" t="s">
        <v>5915</v>
      </c>
      <c r="H70" s="21" t="n">
        <v>1939</v>
      </c>
      <c r="I70" s="109" t="s">
        <v>5916</v>
      </c>
    </row>
    <row r="71">
      <c r="A71" s="76" t="s">
        <v>812</v>
      </c>
      <c r="B71" s="30" t="s">
        <v>5917</v>
      </c>
      <c r="C71" s="104" t="s">
        <v>5918</v>
      </c>
      <c r="D71" s="21" t="s">
        <v>5919</v>
      </c>
      <c r="E71" s="21" t="s">
        <v>5629</v>
      </c>
      <c r="F71" s="108" t="s">
        <v>5920</v>
      </c>
      <c r="G71" s="104" t="s">
        <v>5921</v>
      </c>
      <c r="H71" s="21" t="n">
        <v>855</v>
      </c>
      <c r="I71" s="109" t="s">
        <v>5922</v>
      </c>
    </row>
    <row r="72">
      <c r="A72" s="76" t="s">
        <v>5923</v>
      </c>
      <c r="B72" s="30" t="s">
        <v>5924</v>
      </c>
      <c r="C72" s="104" t="s">
        <v>3226</v>
      </c>
      <c r="D72" s="21" t="s">
        <v>5925</v>
      </c>
      <c r="E72" s="21" t="s">
        <v>5623</v>
      </c>
      <c r="F72" s="108" t="s">
        <v>5732</v>
      </c>
      <c r="G72" s="104" t="s">
        <v>5926</v>
      </c>
      <c r="H72" s="21" t="n">
        <v>2220</v>
      </c>
      <c r="I72" s="109" t="s">
        <v>5927</v>
      </c>
    </row>
    <row r="73">
      <c r="A73" s="76" t="s">
        <v>2367</v>
      </c>
      <c r="B73" s="30" t="s">
        <v>5928</v>
      </c>
      <c r="C73" s="104" t="s">
        <v>5929</v>
      </c>
      <c r="D73" s="21" t="s">
        <v>5930</v>
      </c>
      <c r="E73" s="21" t="s">
        <v>5606</v>
      </c>
      <c r="F73" s="108" t="s">
        <v>5664</v>
      </c>
      <c r="G73" s="104" t="s">
        <v>5906</v>
      </c>
      <c r="H73" s="21" t="n">
        <v>955</v>
      </c>
      <c r="I73" s="109" t="s">
        <v>5931</v>
      </c>
    </row>
    <row r="74" ht="30" customHeight="1">
      <c r="A74" s="76" t="s">
        <v>974</v>
      </c>
      <c r="B74" s="30" t="s">
        <v>5932</v>
      </c>
      <c r="C74" s="104" t="s">
        <v>5933</v>
      </c>
      <c r="D74" s="21" t="s">
        <v>5934</v>
      </c>
      <c r="E74" s="21" t="s">
        <v>5629</v>
      </c>
      <c r="F74" s="108" t="s">
        <v>5935</v>
      </c>
      <c r="G74" s="104" t="s">
        <v>5936</v>
      </c>
      <c r="H74" s="21" t="n">
        <v>677</v>
      </c>
      <c r="I74" s="109" t="s">
        <v>5937</v>
      </c>
    </row>
    <row r="75">
      <c r="A75" s="76" t="s">
        <v>1238</v>
      </c>
      <c r="B75" s="30" t="s">
        <v>5938</v>
      </c>
      <c r="C75" s="104" t="s">
        <v>5939</v>
      </c>
      <c r="D75" s="21" t="s">
        <v>5940</v>
      </c>
      <c r="E75" s="21" t="s">
        <v>5941</v>
      </c>
      <c r="F75" s="108" t="s">
        <v>5647</v>
      </c>
      <c r="G75" s="104" t="s">
        <v>5942</v>
      </c>
      <c r="H75" s="21" t="n">
        <v>405</v>
      </c>
      <c r="I75" s="109" t="s">
        <v>5943</v>
      </c>
    </row>
    <row r="76">
      <c r="A76" s="76" t="s">
        <v>5944</v>
      </c>
      <c r="B76" s="30" t="s">
        <v>5945</v>
      </c>
      <c r="C76" s="104" t="s">
        <v>5946</v>
      </c>
      <c r="D76" s="21" t="s">
        <v>5947</v>
      </c>
      <c r="E76" s="21" t="s">
        <v>5714</v>
      </c>
      <c r="F76" s="108" t="s">
        <v>5948</v>
      </c>
      <c r="G76" s="104" t="s">
        <v>5949</v>
      </c>
      <c r="H76" s="21" t="n">
        <v>120</v>
      </c>
      <c r="I76" s="109" t="s">
        <v>5950</v>
      </c>
    </row>
    <row r="77">
      <c r="A77" s="76" t="s">
        <v>1640</v>
      </c>
      <c r="B77" s="30" t="s">
        <v>5951</v>
      </c>
      <c r="C77" s="104" t="s">
        <v>5952</v>
      </c>
      <c r="D77" s="21" t="s">
        <v>5953</v>
      </c>
      <c r="E77" s="21" t="s">
        <v>5641</v>
      </c>
      <c r="F77" s="108" t="s">
        <v>5669</v>
      </c>
      <c r="G77" s="104" t="s">
        <v>5954</v>
      </c>
      <c r="H77" s="21" t="n">
        <v>2042</v>
      </c>
      <c r="I77" s="109" t="s">
        <v>5955</v>
      </c>
    </row>
    <row r="78">
      <c r="A78" s="76" t="s">
        <v>5956</v>
      </c>
      <c r="B78" s="30" t="s">
        <v>4360</v>
      </c>
      <c r="C78" s="104" t="s">
        <v>5957</v>
      </c>
      <c r="D78" s="21" t="s">
        <v>5958</v>
      </c>
      <c r="E78" s="21" t="s">
        <v>5682</v>
      </c>
      <c r="F78" s="108" t="s">
        <v>5699</v>
      </c>
      <c r="G78" s="104" t="s">
        <v>5959</v>
      </c>
      <c r="H78" s="21" t="n">
        <v>151</v>
      </c>
      <c r="I78" s="109" t="s">
        <v>5960</v>
      </c>
    </row>
    <row r="79">
      <c r="A79" s="76" t="s">
        <v>5961</v>
      </c>
      <c r="B79" s="30" t="s">
        <v>3879</v>
      </c>
      <c r="C79" s="104" t="s">
        <v>5962</v>
      </c>
      <c r="D79" s="21" t="s">
        <v>5963</v>
      </c>
      <c r="E79" s="21" t="s">
        <v>5623</v>
      </c>
      <c r="F79" s="108" t="s">
        <v>5732</v>
      </c>
      <c r="G79" s="104" t="s">
        <v>5964</v>
      </c>
      <c r="H79" s="21" t="n">
        <v>63</v>
      </c>
      <c r="I79" s="109" t="s">
        <v>5965</v>
      </c>
    </row>
    <row r="80">
      <c r="A80" s="76" t="s">
        <v>2382</v>
      </c>
      <c r="B80" s="30" t="s">
        <v>5966</v>
      </c>
      <c r="C80" s="74" t="s">
        <v>5967</v>
      </c>
      <c r="D80" s="21" t="s">
        <v>5968</v>
      </c>
      <c r="E80" s="21" t="s">
        <v>5623</v>
      </c>
      <c r="F80" s="108" t="s">
        <v>5732</v>
      </c>
      <c r="G80" s="104" t="s">
        <v>5969</v>
      </c>
      <c r="H80" s="21" t="n">
        <v>580</v>
      </c>
      <c r="I80" s="109" t="s">
        <v>5970</v>
      </c>
    </row>
    <row r="81">
      <c r="A81" s="76" t="s">
        <v>2509</v>
      </c>
      <c r="B81" s="30" t="s">
        <v>5971</v>
      </c>
      <c r="C81" s="95" t="s">
        <v>358</v>
      </c>
      <c r="D81" s="21" t="s">
        <v>5972</v>
      </c>
      <c r="E81" s="21" t="s">
        <v>5600</v>
      </c>
      <c r="F81" s="108" t="s">
        <v>5973</v>
      </c>
      <c r="G81" s="104" t="s">
        <v>5974</v>
      </c>
      <c r="H81" s="21" t="n">
        <v>140</v>
      </c>
      <c r="I81" s="21" t="s">
        <v>5975</v>
      </c>
    </row>
    <row r="82">
      <c r="A82" s="76" t="s">
        <v>5976</v>
      </c>
      <c r="B82" s="30" t="s">
        <v>3326</v>
      </c>
      <c r="C82" s="104" t="s">
        <v>5977</v>
      </c>
      <c r="D82" s="21" t="s">
        <v>5978</v>
      </c>
      <c r="E82" s="21" t="s">
        <v>5714</v>
      </c>
      <c r="F82" s="108" t="s">
        <v>5715</v>
      </c>
      <c r="G82" s="104" t="s">
        <v>5979</v>
      </c>
      <c r="H82" s="21" t="n">
        <v>201</v>
      </c>
      <c r="I82" s="109" t="s">
        <v>5980</v>
      </c>
    </row>
    <row r="83">
      <c r="A83" s="76" t="s">
        <v>2346</v>
      </c>
      <c r="B83" s="30" t="s">
        <v>2342</v>
      </c>
      <c r="C83" s="74" t="s">
        <v>2345</v>
      </c>
      <c r="D83" s="21" t="s">
        <v>5981</v>
      </c>
      <c r="E83" s="21" t="s">
        <v>5606</v>
      </c>
      <c r="F83" s="108" t="s">
        <v>5664</v>
      </c>
      <c r="G83" s="104" t="s">
        <v>5982</v>
      </c>
      <c r="H83" s="21" t="n">
        <v>319</v>
      </c>
      <c r="I83" s="109" t="s">
        <v>5983</v>
      </c>
    </row>
    <row r="84">
      <c r="A84" s="76" t="s">
        <v>5984</v>
      </c>
      <c r="B84" s="30" t="s">
        <v>5985</v>
      </c>
      <c r="C84" s="74" t="s">
        <v>3236</v>
      </c>
      <c r="D84" s="21" t="s">
        <v>5986</v>
      </c>
      <c r="E84" s="21" t="s">
        <v>5714</v>
      </c>
      <c r="F84" s="108" t="s">
        <v>5948</v>
      </c>
      <c r="G84" s="104" t="s">
        <v>5987</v>
      </c>
      <c r="H84" s="21" t="n">
        <v>71</v>
      </c>
      <c r="I84" s="109" t="s">
        <v>5988</v>
      </c>
    </row>
    <row r="85" ht="30" customHeight="1">
      <c r="A85" s="76" t="s">
        <v>1627</v>
      </c>
      <c r="B85" s="30" t="s">
        <v>5989</v>
      </c>
      <c r="C85" s="104" t="s">
        <v>5990</v>
      </c>
      <c r="D85" s="21" t="s">
        <v>5991</v>
      </c>
      <c r="E85" s="21" t="s">
        <v>5606</v>
      </c>
      <c r="F85" s="108" t="s">
        <v>5796</v>
      </c>
      <c r="G85" s="104" t="s">
        <v>5992</v>
      </c>
      <c r="H85" s="21" t="n">
        <v>407</v>
      </c>
      <c r="I85" s="109" t="s">
        <v>5993</v>
      </c>
    </row>
    <row r="86">
      <c r="A86" s="76" t="s">
        <v>3347</v>
      </c>
      <c r="B86" s="30" t="s">
        <v>3344</v>
      </c>
      <c r="C86" s="104" t="s">
        <v>5994</v>
      </c>
      <c r="D86" s="21" t="s">
        <v>5995</v>
      </c>
      <c r="E86" s="21" t="s">
        <v>5606</v>
      </c>
      <c r="F86" s="108" t="s">
        <v>5814</v>
      </c>
      <c r="G86" s="104" t="s">
        <v>5996</v>
      </c>
      <c r="H86" s="21" t="n">
        <v>811</v>
      </c>
      <c r="I86" s="109" t="s">
        <v>5997</v>
      </c>
    </row>
    <row r="87">
      <c r="A87" s="76" t="s">
        <v>2986</v>
      </c>
      <c r="B87" s="30" t="s">
        <v>2983</v>
      </c>
      <c r="C87" s="104" t="s">
        <v>5998</v>
      </c>
      <c r="D87" s="21" t="s">
        <v>5999</v>
      </c>
      <c r="E87" s="21" t="s">
        <v>5629</v>
      </c>
      <c r="F87" s="108" t="s">
        <v>5935</v>
      </c>
      <c r="G87" s="104" t="s">
        <v>6000</v>
      </c>
      <c r="H87" s="21" t="n">
        <v>305</v>
      </c>
      <c r="I87" s="109" t="s">
        <v>6001</v>
      </c>
    </row>
    <row r="88">
      <c r="A88" s="76" t="s">
        <v>6002</v>
      </c>
      <c r="B88" s="30" t="s">
        <v>6003</v>
      </c>
      <c r="C88" s="95" t="s">
        <v>6004</v>
      </c>
      <c r="D88" s="21" t="s">
        <v>6005</v>
      </c>
      <c r="E88" s="21" t="s">
        <v>5600</v>
      </c>
      <c r="F88" s="108" t="s">
        <v>5704</v>
      </c>
      <c r="G88" s="104" t="s">
        <v>6006</v>
      </c>
      <c r="H88" s="21" t="n">
        <v>176</v>
      </c>
      <c r="I88" s="109" t="s">
        <v>6007</v>
      </c>
    </row>
    <row r="89">
      <c r="A89" s="76" t="s">
        <v>773</v>
      </c>
      <c r="B89" s="30" t="s">
        <v>6008</v>
      </c>
      <c r="C89" s="104" t="s">
        <v>6009</v>
      </c>
      <c r="D89" s="21" t="s">
        <v>6010</v>
      </c>
      <c r="E89" s="21" t="s">
        <v>5629</v>
      </c>
      <c r="F89" s="108" t="s">
        <v>5790</v>
      </c>
      <c r="G89" s="104" t="s">
        <v>6011</v>
      </c>
      <c r="H89" s="21" t="n">
        <v>157</v>
      </c>
      <c r="I89" s="109" t="s">
        <v>6012</v>
      </c>
    </row>
    <row r="90">
      <c r="A90" s="76" t="s">
        <v>6013</v>
      </c>
      <c r="B90" s="30" t="s">
        <v>4396</v>
      </c>
      <c r="C90" s="104" t="s">
        <v>4400</v>
      </c>
      <c r="D90" s="21" t="s">
        <v>6014</v>
      </c>
      <c r="E90" s="21" t="s">
        <v>5682</v>
      </c>
      <c r="F90" s="108" t="s">
        <v>5683</v>
      </c>
      <c r="G90" s="104" t="s">
        <v>6015</v>
      </c>
      <c r="H90" s="21" t="n">
        <v>172</v>
      </c>
      <c r="I90" s="109" t="s">
        <v>6016</v>
      </c>
    </row>
    <row r="91">
      <c r="A91" s="76" t="s">
        <v>2519</v>
      </c>
      <c r="B91" s="30" t="s">
        <v>2512</v>
      </c>
      <c r="C91" s="104" t="s">
        <v>2518</v>
      </c>
      <c r="D91" s="21" t="s">
        <v>5999</v>
      </c>
      <c r="E91" s="21" t="s">
        <v>5629</v>
      </c>
      <c r="F91" s="108" t="s">
        <v>5935</v>
      </c>
      <c r="G91" s="104" t="s">
        <v>6017</v>
      </c>
      <c r="H91" s="21" t="n">
        <v>15</v>
      </c>
      <c r="I91" s="109" t="s">
        <v>6018</v>
      </c>
    </row>
    <row r="92">
      <c r="A92" s="76" t="s">
        <v>6947</v>
      </c>
      <c r="B92" s="30" t="s">
        <v>6948</v>
      </c>
      <c r="C92" s="104" t="s">
        <v>6949</v>
      </c>
      <c r="D92" s="21" t="s">
        <v>5953</v>
      </c>
      <c r="E92" s="21" t="s">
        <v>5641</v>
      </c>
      <c r="F92" s="108" t="s">
        <v>5669</v>
      </c>
      <c r="G92" s="104" t="s">
        <v>6950</v>
      </c>
      <c r="H92" s="21" t="n">
        <v>869</v>
      </c>
    </row>
    <row r="93">
      <c r="A93" s="76" t="s">
        <v>6019</v>
      </c>
      <c r="B93" s="30" t="s">
        <v>1652</v>
      </c>
      <c r="C93" s="104" t="s">
        <v>6020</v>
      </c>
      <c r="D93" s="21" t="s">
        <v>6021</v>
      </c>
      <c r="E93" s="21" t="s">
        <v>5629</v>
      </c>
      <c r="F93" s="108" t="s">
        <v>5920</v>
      </c>
      <c r="G93" s="104" t="s">
        <v>6022</v>
      </c>
      <c r="H93" s="21" t="n">
        <v>780</v>
      </c>
      <c r="I93" s="109" t="s">
        <v>6023</v>
      </c>
    </row>
    <row r="94">
      <c r="A94" s="76" t="s">
        <v>6024</v>
      </c>
      <c r="B94" s="30" t="s">
        <v>4038</v>
      </c>
      <c r="C94" s="104" t="s">
        <v>4041</v>
      </c>
      <c r="D94" s="21" t="s">
        <v>6025</v>
      </c>
      <c r="E94" s="21" t="s">
        <v>5641</v>
      </c>
      <c r="F94" s="108" t="s">
        <v>5642</v>
      </c>
      <c r="G94" s="104" t="s">
        <v>6026</v>
      </c>
      <c r="H94" s="21" t="n">
        <v>1007</v>
      </c>
      <c r="I94" s="109" t="s">
        <v>6027</v>
      </c>
    </row>
    <row r="95" ht="45" customHeight="1">
      <c r="A95" s="76" t="s">
        <v>6028</v>
      </c>
      <c r="B95" s="30" t="s">
        <v>6029</v>
      </c>
      <c r="C95" s="95" t="s">
        <v>6030</v>
      </c>
      <c r="D95" s="21" t="s">
        <v>6031</v>
      </c>
      <c r="E95" s="21" t="s">
        <v>5600</v>
      </c>
      <c r="F95" s="108" t="s">
        <v>5973</v>
      </c>
      <c r="G95" s="104" t="s">
        <v>6032</v>
      </c>
      <c r="H95" s="21" t="n">
        <v>226</v>
      </c>
      <c r="I95" s="109" t="s">
        <v>6033</v>
      </c>
    </row>
    <row r="96">
      <c r="A96" s="76" t="s">
        <v>6034</v>
      </c>
      <c r="B96" s="30" t="s">
        <v>1815</v>
      </c>
      <c r="C96" s="104" t="s">
        <v>6035</v>
      </c>
      <c r="D96" s="21" t="s">
        <v>6036</v>
      </c>
      <c r="E96" s="21" t="s">
        <v>5682</v>
      </c>
      <c r="F96" s="108" t="s">
        <v>6037</v>
      </c>
      <c r="G96" s="104" t="s">
        <v>6038</v>
      </c>
      <c r="H96" s="21" t="n">
        <v>540</v>
      </c>
      <c r="I96" s="109" t="s">
        <v>6039</v>
      </c>
    </row>
    <row r="97">
      <c r="A97" s="76" t="s">
        <v>1636</v>
      </c>
      <c r="B97" s="30" t="s">
        <v>1632</v>
      </c>
      <c r="C97" s="104" t="s">
        <v>6040</v>
      </c>
      <c r="D97" s="21" t="s">
        <v>6041</v>
      </c>
      <c r="E97" s="21" t="s">
        <v>5629</v>
      </c>
      <c r="F97" s="108" t="s">
        <v>5876</v>
      </c>
      <c r="G97" s="104" t="s">
        <v>6042</v>
      </c>
      <c r="H97" s="21" t="n">
        <v>73</v>
      </c>
      <c r="I97" s="109" t="s">
        <v>6043</v>
      </c>
    </row>
    <row r="98">
      <c r="A98" s="76" t="s">
        <v>6044</v>
      </c>
      <c r="B98" s="30" t="s">
        <v>6045</v>
      </c>
      <c r="C98" s="104" t="s">
        <v>6046</v>
      </c>
      <c r="D98" s="21" t="s">
        <v>6047</v>
      </c>
      <c r="E98" s="21" t="s">
        <v>5612</v>
      </c>
      <c r="F98" s="108" t="s">
        <v>5784</v>
      </c>
      <c r="G98" s="104" t="s">
        <v>6048</v>
      </c>
      <c r="H98" s="21" t="n">
        <v>4373</v>
      </c>
      <c r="I98" s="109" t="s">
        <v>6049</v>
      </c>
    </row>
    <row r="99">
      <c r="A99" s="76" t="s">
        <v>6050</v>
      </c>
      <c r="B99" s="30" t="s">
        <v>2490</v>
      </c>
      <c r="C99" s="104" t="s">
        <v>6051</v>
      </c>
      <c r="D99" s="21" t="s">
        <v>6052</v>
      </c>
      <c r="E99" s="21" t="s">
        <v>5600</v>
      </c>
      <c r="F99" s="108" t="s">
        <v>5766</v>
      </c>
      <c r="G99" s="104" t="s">
        <v>6053</v>
      </c>
      <c r="H99" s="21" t="n">
        <v>10</v>
      </c>
      <c r="I99" s="109" t="s">
        <v>6054</v>
      </c>
    </row>
    <row r="100">
      <c r="A100" s="76" t="s">
        <v>6055</v>
      </c>
      <c r="B100" s="30" t="s">
        <v>3642</v>
      </c>
      <c r="C100" s="104" t="s">
        <v>6056</v>
      </c>
      <c r="D100" s="21" t="s">
        <v>6057</v>
      </c>
      <c r="E100" s="21" t="s">
        <v>5714</v>
      </c>
      <c r="F100" s="108" t="s">
        <v>5715</v>
      </c>
      <c r="G100" s="104" t="s">
        <v>6058</v>
      </c>
      <c r="H100" s="21" t="n">
        <v>200</v>
      </c>
      <c r="I100" s="109" t="s">
        <v>6059</v>
      </c>
    </row>
    <row r="101" ht="30" customHeight="1">
      <c r="A101" s="76" t="s">
        <v>1226</v>
      </c>
      <c r="B101" s="30" t="s">
        <v>6060</v>
      </c>
      <c r="C101" s="104" t="s">
        <v>6061</v>
      </c>
      <c r="D101" s="21" t="s">
        <v>6062</v>
      </c>
      <c r="E101" s="21" t="s">
        <v>5941</v>
      </c>
      <c r="F101" s="108" t="s">
        <v>5647</v>
      </c>
      <c r="G101" s="104" t="s">
        <v>6063</v>
      </c>
      <c r="H101" s="21" t="n">
        <v>12</v>
      </c>
      <c r="I101" s="109" t="s">
        <v>6064</v>
      </c>
    </row>
    <row r="102">
      <c r="A102" s="76" t="s">
        <v>6065</v>
      </c>
      <c r="B102" s="30" t="s">
        <v>3889</v>
      </c>
      <c r="C102" s="104" t="s">
        <v>6066</v>
      </c>
      <c r="D102" s="21" t="s">
        <v>6067</v>
      </c>
      <c r="E102" s="21" t="s">
        <v>5629</v>
      </c>
      <c r="F102" s="108" t="s">
        <v>5876</v>
      </c>
      <c r="G102" s="104" t="s">
        <v>6068</v>
      </c>
      <c r="H102" s="21" t="n">
        <v>8</v>
      </c>
      <c r="I102" s="109" t="s">
        <v>6069</v>
      </c>
    </row>
    <row r="103" ht="45" customHeight="1">
      <c r="A103" s="76" t="s">
        <v>6070</v>
      </c>
      <c r="B103" s="30" t="s">
        <v>6071</v>
      </c>
      <c r="C103" s="104" t="s">
        <v>6072</v>
      </c>
      <c r="D103" s="21" t="s">
        <v>6073</v>
      </c>
      <c r="E103" s="21" t="s">
        <v>5623</v>
      </c>
      <c r="F103" s="108" t="s">
        <v>5732</v>
      </c>
      <c r="G103" s="104" t="s">
        <v>6074</v>
      </c>
      <c r="H103" s="21" t="n">
        <v>77</v>
      </c>
      <c r="I103" s="109" t="s">
        <v>6075</v>
      </c>
    </row>
    <row r="104">
      <c r="A104" s="76" t="s">
        <v>6076</v>
      </c>
      <c r="B104" s="30" t="s">
        <v>3012</v>
      </c>
      <c r="C104" s="104" t="s">
        <v>6077</v>
      </c>
      <c r="D104" s="21" t="s">
        <v>5813</v>
      </c>
      <c r="E104" s="21" t="s">
        <v>5606</v>
      </c>
      <c r="F104" s="108" t="s">
        <v>5814</v>
      </c>
      <c r="G104" s="104" t="s">
        <v>6078</v>
      </c>
      <c r="H104" s="21" t="n">
        <v>820</v>
      </c>
      <c r="I104" s="109" t="s">
        <v>6079</v>
      </c>
    </row>
    <row r="105">
      <c r="A105" s="94" t="s">
        <v>6080</v>
      </c>
      <c r="B105" s="31" t="s">
        <v>3679</v>
      </c>
      <c r="C105" s="106" t="s">
        <v>6081</v>
      </c>
      <c r="D105" s="71" t="s">
        <v>5813</v>
      </c>
      <c r="E105" s="71" t="s">
        <v>5606</v>
      </c>
      <c r="F105" s="107" t="s">
        <v>5814</v>
      </c>
      <c r="G105" s="106" t="s">
        <v>6082</v>
      </c>
      <c r="H105" s="71" t="n">
        <v>1125</v>
      </c>
      <c r="I105" s="72" t="s">
        <v>6083</v>
      </c>
      <c r="J105" s="71"/>
      <c r="K105" s="71"/>
      <c r="L105" s="71"/>
      <c r="M105" s="71"/>
    </row>
    <row r="106" ht="30" customHeight="1">
      <c r="A106" s="76" t="s">
        <v>2457</v>
      </c>
      <c r="B106" s="30" t="s">
        <v>6084</v>
      </c>
      <c r="C106" s="104" t="s">
        <v>6085</v>
      </c>
      <c r="D106" s="21" t="s">
        <v>6086</v>
      </c>
      <c r="E106" s="21" t="s">
        <v>5629</v>
      </c>
      <c r="F106" s="108" t="s">
        <v>5790</v>
      </c>
      <c r="G106" s="104" t="s">
        <v>6087</v>
      </c>
      <c r="H106" s="21" t="n">
        <v>150</v>
      </c>
      <c r="I106" s="109" t="s">
        <v>6088</v>
      </c>
      <c r="J106" s="21"/>
      <c r="K106" s="21"/>
      <c r="L106" s="21"/>
      <c r="M106" s="21"/>
      <c r="N106" s="30"/>
    </row>
    <row r="107">
      <c r="A107" s="92" t="s">
        <v>6089</v>
      </c>
      <c r="B107" s="29" t="s">
        <v>1055</v>
      </c>
      <c r="C107" s="101" t="s">
        <v>1059</v>
      </c>
      <c r="D107" s="102" t="s">
        <v>6090</v>
      </c>
      <c r="E107" s="102" t="s">
        <v>5623</v>
      </c>
      <c r="F107" s="103" t="s">
        <v>5672</v>
      </c>
      <c r="G107" s="101" t="s">
        <v>6091</v>
      </c>
      <c r="H107" s="102" t="n">
        <v>1900</v>
      </c>
      <c r="I107" s="73" t="s">
        <v>6092</v>
      </c>
      <c r="J107" s="102"/>
      <c r="K107" s="102"/>
      <c r="L107" s="102"/>
      <c r="M107" s="102"/>
    </row>
    <row r="108">
      <c r="A108" s="76" t="s">
        <v>2357</v>
      </c>
      <c r="B108" s="30" t="s">
        <v>2353</v>
      </c>
      <c r="C108" s="104" t="s">
        <v>6093</v>
      </c>
      <c r="D108" s="21" t="s">
        <v>6094</v>
      </c>
      <c r="E108" s="21" t="s">
        <v>5623</v>
      </c>
      <c r="F108" s="108" t="s">
        <v>5624</v>
      </c>
      <c r="G108" s="104" t="s">
        <v>6095</v>
      </c>
      <c r="H108" s="21" t="n">
        <v>1233</v>
      </c>
      <c r="I108" s="109" t="s">
        <v>6096</v>
      </c>
    </row>
    <row r="109">
      <c r="A109" s="76" t="s">
        <v>6097</v>
      </c>
      <c r="B109" s="30" t="s">
        <v>567</v>
      </c>
      <c r="C109" s="104" t="s">
        <v>6098</v>
      </c>
      <c r="D109" s="21" t="s">
        <v>6099</v>
      </c>
      <c r="E109" s="21" t="s">
        <v>5612</v>
      </c>
      <c r="F109" s="108" t="s">
        <v>5839</v>
      </c>
      <c r="G109" s="104" t="s">
        <v>6100</v>
      </c>
      <c r="H109" s="21" t="n">
        <v>1821</v>
      </c>
      <c r="I109" s="109" t="s">
        <v>6101</v>
      </c>
    </row>
    <row r="110">
      <c r="A110" s="76" t="s">
        <v>1755</v>
      </c>
      <c r="B110" s="30" t="s">
        <v>6102</v>
      </c>
      <c r="C110" s="104" t="s">
        <v>6103</v>
      </c>
      <c r="D110" s="21" t="s">
        <v>6104</v>
      </c>
      <c r="E110" s="21" t="s">
        <v>5641</v>
      </c>
      <c r="F110" s="108" t="s">
        <v>6105</v>
      </c>
      <c r="G110" s="104" t="s">
        <v>6106</v>
      </c>
      <c r="H110" s="21" t="n">
        <v>1001</v>
      </c>
      <c r="I110" s="109" t="s">
        <v>6107</v>
      </c>
    </row>
    <row r="111" ht="30" customHeight="1">
      <c r="A111" s="76" t="s">
        <v>970</v>
      </c>
      <c r="B111" s="110" t="s">
        <v>6108</v>
      </c>
      <c r="C111" s="95" t="s">
        <v>236</v>
      </c>
      <c r="D111" s="21" t="s">
        <v>6109</v>
      </c>
      <c r="E111" s="21" t="s">
        <v>5600</v>
      </c>
      <c r="F111" s="108" t="s">
        <v>5766</v>
      </c>
      <c r="G111" s="104" t="s">
        <v>6110</v>
      </c>
      <c r="H111" s="21" t="n">
        <v>248</v>
      </c>
      <c r="I111" s="21" t="s">
        <v>6111</v>
      </c>
    </row>
    <row r="112">
      <c r="A112" s="76" t="s">
        <v>6112</v>
      </c>
      <c r="B112" s="30" t="s">
        <v>6113</v>
      </c>
      <c r="C112" s="104" t="s">
        <v>6114</v>
      </c>
      <c r="D112" s="21" t="s">
        <v>6115</v>
      </c>
      <c r="E112" s="21" t="s">
        <v>5682</v>
      </c>
      <c r="F112" s="108" t="s">
        <v>5779</v>
      </c>
      <c r="G112" s="104" t="s">
        <v>6116</v>
      </c>
      <c r="H112" s="21" t="n">
        <v>55</v>
      </c>
      <c r="I112" s="109" t="s">
        <v>6117</v>
      </c>
    </row>
    <row r="113">
      <c r="A113" s="76" t="s">
        <v>6118</v>
      </c>
      <c r="B113" s="30" t="s">
        <v>6119</v>
      </c>
      <c r="C113" s="104" t="s">
        <v>6120</v>
      </c>
      <c r="D113" s="21" t="s">
        <v>6121</v>
      </c>
      <c r="E113" s="21" t="s">
        <v>5606</v>
      </c>
      <c r="F113" s="108" t="s">
        <v>5664</v>
      </c>
      <c r="G113" s="104" t="s">
        <v>6122</v>
      </c>
      <c r="H113" s="21" t="n">
        <v>96</v>
      </c>
      <c r="I113" s="109" t="s">
        <v>6123</v>
      </c>
    </row>
    <row r="114" ht="30" customHeight="1">
      <c r="A114" s="76" t="s">
        <v>2597</v>
      </c>
      <c r="B114" s="30" t="s">
        <v>6124</v>
      </c>
      <c r="C114" s="104" t="s">
        <v>6125</v>
      </c>
      <c r="D114" s="21" t="s">
        <v>6126</v>
      </c>
      <c r="E114" s="21" t="s">
        <v>5641</v>
      </c>
      <c r="F114" s="108" t="s">
        <v>6105</v>
      </c>
      <c r="G114" s="104" t="s">
        <v>6127</v>
      </c>
      <c r="H114" s="21" t="n">
        <v>440</v>
      </c>
      <c r="I114" s="109" t="s">
        <v>6128</v>
      </c>
    </row>
    <row r="115">
      <c r="A115" s="76" t="s">
        <v>2501</v>
      </c>
      <c r="B115" s="30" t="s">
        <v>6129</v>
      </c>
      <c r="C115" s="74" t="s">
        <v>2500</v>
      </c>
      <c r="D115" s="21" t="s">
        <v>6130</v>
      </c>
      <c r="E115" s="21" t="s">
        <v>5714</v>
      </c>
      <c r="F115" s="108" t="s">
        <v>6131</v>
      </c>
      <c r="G115" s="104" t="s">
        <v>6132</v>
      </c>
      <c r="H115" s="21" t="n">
        <v>81</v>
      </c>
      <c r="I115" s="109" t="s">
        <v>6133</v>
      </c>
    </row>
    <row r="116">
      <c r="A116" s="76" t="s">
        <v>6134</v>
      </c>
      <c r="B116" s="30" t="s">
        <v>6135</v>
      </c>
      <c r="C116" s="95" t="s">
        <v>6136</v>
      </c>
      <c r="D116" s="21" t="s">
        <v>6137</v>
      </c>
      <c r="E116" s="21" t="s">
        <v>5682</v>
      </c>
      <c r="F116" s="108" t="s">
        <v>5683</v>
      </c>
      <c r="G116" s="104" t="s">
        <v>6138</v>
      </c>
      <c r="H116" s="21" t="n">
        <v>467</v>
      </c>
      <c r="I116" s="109" t="s">
        <v>6139</v>
      </c>
    </row>
    <row r="117" ht="30" customHeight="1">
      <c r="A117" s="76" t="s">
        <v>1963</v>
      </c>
      <c r="B117" s="30" t="s">
        <v>6140</v>
      </c>
      <c r="C117" s="104" t="s">
        <v>6141</v>
      </c>
      <c r="D117" s="21" t="s">
        <v>5783</v>
      </c>
      <c r="E117" s="21" t="s">
        <v>5612</v>
      </c>
      <c r="F117" s="108" t="s">
        <v>5784</v>
      </c>
      <c r="G117" s="104" t="s">
        <v>6142</v>
      </c>
      <c r="H117" s="21" t="n">
        <v>375</v>
      </c>
      <c r="I117" s="109" t="s">
        <v>6143</v>
      </c>
    </row>
    <row r="118">
      <c r="A118" s="76" t="s">
        <v>1631</v>
      </c>
      <c r="B118" s="30" t="s">
        <v>1628</v>
      </c>
      <c r="C118" s="104" t="s">
        <v>6144</v>
      </c>
      <c r="D118" s="21" t="s">
        <v>6145</v>
      </c>
      <c r="E118" s="21" t="s">
        <v>6146</v>
      </c>
      <c r="F118" s="108" t="s">
        <v>5636</v>
      </c>
      <c r="G118" s="104" t="s">
        <v>6147</v>
      </c>
      <c r="H118" s="21" t="n">
        <v>185</v>
      </c>
      <c r="I118" s="109" t="s">
        <v>6148</v>
      </c>
    </row>
    <row r="119">
      <c r="A119" s="76" t="s">
        <v>6149</v>
      </c>
      <c r="B119" s="30" t="s">
        <v>4582</v>
      </c>
      <c r="C119" s="104" t="s">
        <v>6150</v>
      </c>
      <c r="D119" s="21" t="s">
        <v>6151</v>
      </c>
      <c r="E119" s="21" t="s">
        <v>5641</v>
      </c>
      <c r="F119" s="108" t="s">
        <v>5642</v>
      </c>
      <c r="G119" s="104" t="s">
        <v>6152</v>
      </c>
      <c r="H119" s="21" t="n">
        <v>50</v>
      </c>
      <c r="I119" s="109" t="s">
        <v>6153</v>
      </c>
    </row>
    <row r="120">
      <c r="A120" s="76" t="s">
        <v>6154</v>
      </c>
      <c r="B120" s="30" t="s">
        <v>4144</v>
      </c>
      <c r="C120" s="104" t="s">
        <v>6155</v>
      </c>
      <c r="D120" s="21" t="s">
        <v>6156</v>
      </c>
      <c r="E120" s="21" t="s">
        <v>5623</v>
      </c>
      <c r="F120" s="108" t="s">
        <v>5672</v>
      </c>
      <c r="G120" s="104" t="s">
        <v>6157</v>
      </c>
      <c r="H120" s="21" t="n">
        <v>100</v>
      </c>
      <c r="I120" s="109" t="s">
        <v>6158</v>
      </c>
    </row>
    <row r="121" ht="30" customHeight="1">
      <c r="A121" s="76" t="s">
        <v>2391</v>
      </c>
      <c r="B121" s="30" t="s">
        <v>6159</v>
      </c>
      <c r="C121" s="104" t="s">
        <v>6160</v>
      </c>
      <c r="D121" s="21" t="s">
        <v>6161</v>
      </c>
      <c r="E121" s="21" t="s">
        <v>5623</v>
      </c>
      <c r="F121" s="108" t="s">
        <v>5624</v>
      </c>
      <c r="G121" s="104" t="s">
        <v>6162</v>
      </c>
      <c r="H121" s="21" t="n">
        <v>157</v>
      </c>
      <c r="I121" s="109" t="s">
        <v>6163</v>
      </c>
    </row>
    <row r="122">
      <c r="A122" s="76" t="s">
        <v>6164</v>
      </c>
      <c r="B122" s="110" t="s">
        <v>6165</v>
      </c>
      <c r="C122" s="95" t="s">
        <v>6166</v>
      </c>
      <c r="D122" s="21" t="s">
        <v>5845</v>
      </c>
      <c r="E122" s="21" t="s">
        <v>5600</v>
      </c>
      <c r="F122" s="108" t="s">
        <v>5601</v>
      </c>
      <c r="G122" s="104" t="s">
        <v>6167</v>
      </c>
      <c r="H122" s="21" t="n">
        <v>255</v>
      </c>
      <c r="I122" s="109" t="s">
        <v>6168</v>
      </c>
    </row>
    <row r="123">
      <c r="A123" s="76" t="s">
        <v>6169</v>
      </c>
      <c r="B123" s="30" t="s">
        <v>3781</v>
      </c>
      <c r="C123" s="104" t="s">
        <v>3784</v>
      </c>
      <c r="D123" s="21" t="s">
        <v>5795</v>
      </c>
      <c r="E123" s="21" t="s">
        <v>5606</v>
      </c>
      <c r="F123" s="108" t="s">
        <v>5796</v>
      </c>
      <c r="G123" s="104" t="s">
        <v>6170</v>
      </c>
      <c r="H123" s="21" t="n">
        <v>15</v>
      </c>
      <c r="I123" s="109" t="s">
        <v>6171</v>
      </c>
    </row>
    <row r="124">
      <c r="A124" s="76" t="s">
        <v>6172</v>
      </c>
      <c r="B124" s="30" t="s">
        <v>3777</v>
      </c>
      <c r="C124" s="104" t="s">
        <v>3779</v>
      </c>
      <c r="D124" s="21" t="s">
        <v>5618</v>
      </c>
      <c r="E124" s="21" t="s">
        <v>5606</v>
      </c>
      <c r="F124" s="108" t="s">
        <v>5607</v>
      </c>
      <c r="G124" s="104" t="s">
        <v>6173</v>
      </c>
      <c r="H124" s="21" t="n">
        <v>555</v>
      </c>
      <c r="I124" s="109" t="s">
        <v>6174</v>
      </c>
    </row>
    <row r="125">
      <c r="A125" s="76" t="s">
        <v>6175</v>
      </c>
      <c r="B125" s="30" t="s">
        <v>6176</v>
      </c>
      <c r="C125" s="104" t="s">
        <v>4001</v>
      </c>
      <c r="D125" s="21" t="s">
        <v>6177</v>
      </c>
      <c r="E125" s="21" t="s">
        <v>5641</v>
      </c>
      <c r="F125" s="108" t="s">
        <v>5642</v>
      </c>
      <c r="G125" s="104" t="s">
        <v>6178</v>
      </c>
      <c r="H125" s="21" t="n">
        <v>318</v>
      </c>
      <c r="I125" s="109" t="s">
        <v>6179</v>
      </c>
    </row>
    <row r="126">
      <c r="A126" s="76" t="s">
        <v>6180</v>
      </c>
      <c r="B126" s="30" t="s">
        <v>4113</v>
      </c>
      <c r="C126" s="104" t="s">
        <v>4116</v>
      </c>
      <c r="D126" s="21" t="s">
        <v>6181</v>
      </c>
      <c r="E126" s="21" t="s">
        <v>5612</v>
      </c>
      <c r="F126" s="108" t="s">
        <v>5784</v>
      </c>
      <c r="G126" s="104" t="s">
        <v>6182</v>
      </c>
      <c r="H126" s="21" t="n">
        <v>45</v>
      </c>
      <c r="I126" s="109" t="s">
        <v>6183</v>
      </c>
    </row>
    <row r="127">
      <c r="A127" s="76" t="s">
        <v>2352</v>
      </c>
      <c r="B127" s="30" t="s">
        <v>6184</v>
      </c>
      <c r="C127" s="74" t="s">
        <v>6185</v>
      </c>
      <c r="D127" s="21" t="s">
        <v>6186</v>
      </c>
      <c r="E127" s="21" t="s">
        <v>6146</v>
      </c>
      <c r="F127" s="108" t="s">
        <v>5624</v>
      </c>
      <c r="G127" s="104" t="s">
        <v>6187</v>
      </c>
      <c r="H127" s="21" t="n">
        <v>655</v>
      </c>
      <c r="I127" s="109" t="s">
        <v>6188</v>
      </c>
    </row>
    <row r="128">
      <c r="A128" s="76" t="s">
        <v>6189</v>
      </c>
      <c r="B128" s="30" t="s">
        <v>6190</v>
      </c>
      <c r="C128" s="104" t="s">
        <v>6191</v>
      </c>
      <c r="D128" s="21" t="s">
        <v>6192</v>
      </c>
      <c r="E128" s="21" t="s">
        <v>5641</v>
      </c>
      <c r="F128" s="108" t="s">
        <v>5642</v>
      </c>
      <c r="G128" s="104" t="s">
        <v>6193</v>
      </c>
      <c r="H128" s="21" t="n">
        <v>73</v>
      </c>
      <c r="I128" s="109" t="s">
        <v>6194</v>
      </c>
    </row>
    <row r="129">
      <c r="A129" s="76" t="s">
        <v>6195</v>
      </c>
      <c r="B129" s="30" t="s">
        <v>3330</v>
      </c>
      <c r="C129" s="104" t="s">
        <v>6196</v>
      </c>
      <c r="D129" s="21" t="s">
        <v>6197</v>
      </c>
      <c r="E129" s="21" t="s">
        <v>5629</v>
      </c>
      <c r="F129" s="108" t="s">
        <v>5920</v>
      </c>
      <c r="G129" s="104" t="s">
        <v>6198</v>
      </c>
      <c r="H129" s="21" t="n">
        <v>571</v>
      </c>
      <c r="I129" s="109" t="s">
        <v>6199</v>
      </c>
    </row>
    <row r="130">
      <c r="A130" s="76" t="s">
        <v>1761</v>
      </c>
      <c r="B130" s="30" t="s">
        <v>1756</v>
      </c>
      <c r="C130" s="104" t="s">
        <v>6200</v>
      </c>
      <c r="D130" s="21" t="s">
        <v>6201</v>
      </c>
      <c r="E130" s="21" t="s">
        <v>5737</v>
      </c>
      <c r="F130" s="108" t="s">
        <v>6202</v>
      </c>
      <c r="G130" s="104" t="s">
        <v>6203</v>
      </c>
      <c r="H130" s="21" t="n">
        <v>2240</v>
      </c>
      <c r="I130" s="109" t="s">
        <v>6204</v>
      </c>
    </row>
    <row r="131">
      <c r="A131" s="76" t="s">
        <v>6205</v>
      </c>
      <c r="B131" s="30" t="s">
        <v>862</v>
      </c>
      <c r="C131" s="104" t="s">
        <v>6206</v>
      </c>
      <c r="D131" s="21" t="s">
        <v>6207</v>
      </c>
      <c r="E131" s="21" t="s">
        <v>5629</v>
      </c>
      <c r="F131" s="108" t="s">
        <v>5920</v>
      </c>
      <c r="G131" s="104" t="s">
        <v>6208</v>
      </c>
      <c r="H131" s="21" t="n">
        <v>455</v>
      </c>
      <c r="I131" s="109" t="s">
        <v>6209</v>
      </c>
    </row>
    <row r="132">
      <c r="A132" s="76" t="s">
        <v>6210</v>
      </c>
      <c r="B132" s="30" t="s">
        <v>1042</v>
      </c>
      <c r="C132" s="104" t="s">
        <v>6211</v>
      </c>
      <c r="D132" s="21" t="s">
        <v>6212</v>
      </c>
      <c r="E132" s="21" t="s">
        <v>5714</v>
      </c>
      <c r="F132" s="108" t="s">
        <v>5948</v>
      </c>
      <c r="G132" s="104" t="s">
        <v>6213</v>
      </c>
      <c r="H132" s="21" t="n">
        <v>54</v>
      </c>
      <c r="I132" s="109" t="s">
        <v>6214</v>
      </c>
    </row>
    <row r="133">
      <c r="A133" s="76" t="s">
        <v>2377</v>
      </c>
      <c r="B133" s="30" t="s">
        <v>2373</v>
      </c>
      <c r="C133" s="74" t="s">
        <v>2376</v>
      </c>
      <c r="D133" s="21" t="s">
        <v>6215</v>
      </c>
      <c r="E133" s="21" t="s">
        <v>5623</v>
      </c>
      <c r="F133" s="108" t="s">
        <v>5624</v>
      </c>
      <c r="G133" s="104" t="s">
        <v>6216</v>
      </c>
      <c r="H133" s="21" t="n">
        <v>471</v>
      </c>
    </row>
    <row r="134">
      <c r="A134" s="76" t="s">
        <v>1233</v>
      </c>
      <c r="B134" s="30" t="s">
        <v>1227</v>
      </c>
      <c r="C134" s="104" t="s">
        <v>6217</v>
      </c>
      <c r="D134" s="21" t="s">
        <v>6062</v>
      </c>
      <c r="E134" s="21" t="s">
        <v>5941</v>
      </c>
      <c r="F134" s="108" t="s">
        <v>5647</v>
      </c>
      <c r="G134" s="104" t="s">
        <v>6218</v>
      </c>
      <c r="H134" s="21" t="n">
        <v>2200</v>
      </c>
      <c r="I134" s="109" t="s">
        <v>6219</v>
      </c>
    </row>
    <row r="135">
      <c r="A135" s="76" t="s">
        <v>6220</v>
      </c>
      <c r="B135" s="30" t="s">
        <v>4402</v>
      </c>
      <c r="C135" s="104" t="s">
        <v>4406</v>
      </c>
      <c r="D135" s="21" t="s">
        <v>6221</v>
      </c>
      <c r="E135" s="21" t="s">
        <v>5682</v>
      </c>
      <c r="F135" s="108" t="s">
        <v>5691</v>
      </c>
      <c r="G135" s="104" t="s">
        <v>6222</v>
      </c>
      <c r="H135" s="21" t="n">
        <v>40</v>
      </c>
      <c r="I135" s="109" t="s">
        <v>6223</v>
      </c>
    </row>
    <row r="136">
      <c r="A136" s="76" t="s">
        <v>6224</v>
      </c>
      <c r="B136" s="30" t="s">
        <v>4408</v>
      </c>
      <c r="C136" s="104" t="s">
        <v>4411</v>
      </c>
      <c r="D136" s="21" t="s">
        <v>6225</v>
      </c>
      <c r="E136" s="21" t="s">
        <v>5682</v>
      </c>
      <c r="F136" s="108" t="s">
        <v>6037</v>
      </c>
      <c r="G136" s="104" t="s">
        <v>6226</v>
      </c>
      <c r="H136" s="21" t="n">
        <v>325</v>
      </c>
      <c r="I136" s="109" t="s">
        <v>6227</v>
      </c>
    </row>
    <row r="137" ht="30" customHeight="1">
      <c r="A137" s="76" t="s">
        <v>4334</v>
      </c>
      <c r="B137" s="30" t="s">
        <v>6228</v>
      </c>
      <c r="C137" s="74" t="s">
        <v>3183</v>
      </c>
      <c r="D137" s="21" t="s">
        <v>6229</v>
      </c>
      <c r="E137" s="21" t="s">
        <v>5682</v>
      </c>
      <c r="F137" s="108" t="s">
        <v>5699</v>
      </c>
      <c r="G137" s="104" t="s">
        <v>6230</v>
      </c>
      <c r="H137" s="21" t="n">
        <v>100</v>
      </c>
    </row>
    <row r="138">
      <c r="A138" s="76" t="s">
        <v>6231</v>
      </c>
      <c r="B138" s="30" t="s">
        <v>6232</v>
      </c>
      <c r="C138" s="104" t="s">
        <v>6233</v>
      </c>
      <c r="D138" s="21" t="s">
        <v>6234</v>
      </c>
      <c r="E138" s="21" t="s">
        <v>5612</v>
      </c>
      <c r="F138" s="108" t="s">
        <v>5784</v>
      </c>
      <c r="G138" s="104" t="s">
        <v>6235</v>
      </c>
      <c r="H138" s="21" t="n">
        <v>1522</v>
      </c>
      <c r="I138" s="109" t="s">
        <v>6236</v>
      </c>
    </row>
    <row r="139">
      <c r="A139" s="76" t="s">
        <v>6237</v>
      </c>
      <c r="B139" s="30" t="s">
        <v>6238</v>
      </c>
      <c r="C139" s="104" t="s">
        <v>6239</v>
      </c>
      <c r="D139" s="21" t="s">
        <v>6240</v>
      </c>
      <c r="E139" s="21" t="s">
        <v>5682</v>
      </c>
      <c r="F139" s="108" t="s">
        <v>6037</v>
      </c>
      <c r="G139" s="104" t="s">
        <v>6241</v>
      </c>
      <c r="H139" s="21" t="n">
        <v>68</v>
      </c>
      <c r="I139" s="109" t="s">
        <v>6242</v>
      </c>
    </row>
    <row r="140">
      <c r="A140" s="76" t="s">
        <v>6243</v>
      </c>
      <c r="B140" s="30" t="s">
        <v>567</v>
      </c>
      <c r="C140" s="104" t="s">
        <v>6244</v>
      </c>
      <c r="D140" s="21" t="s">
        <v>5666</v>
      </c>
      <c r="E140" s="21" t="s">
        <v>5612</v>
      </c>
      <c r="F140" s="108" t="s">
        <v>5613</v>
      </c>
      <c r="G140" s="104" t="s">
        <v>6245</v>
      </c>
      <c r="H140" s="21" t="n">
        <v>350</v>
      </c>
      <c r="I140" s="109" t="s">
        <v>6246</v>
      </c>
    </row>
    <row r="141" ht="30" customHeight="1">
      <c r="A141" s="76" t="s">
        <v>6247</v>
      </c>
      <c r="B141" s="30" t="s">
        <v>6248</v>
      </c>
      <c r="C141" s="104" t="s">
        <v>6249</v>
      </c>
      <c r="D141" s="21" t="s">
        <v>6250</v>
      </c>
      <c r="E141" s="21" t="s">
        <v>5612</v>
      </c>
      <c r="F141" s="108" t="s">
        <v>6251</v>
      </c>
      <c r="G141" s="104" t="s">
        <v>6252</v>
      </c>
      <c r="H141" s="21" t="n">
        <v>240</v>
      </c>
      <c r="I141" s="109" t="s">
        <v>6253</v>
      </c>
    </row>
    <row r="142">
      <c r="A142" s="76" t="s">
        <v>2805</v>
      </c>
      <c r="B142" s="30" t="s">
        <v>6254</v>
      </c>
      <c r="C142" s="104" t="s">
        <v>6255</v>
      </c>
      <c r="D142" s="21" t="s">
        <v>6256</v>
      </c>
      <c r="E142" s="21" t="s">
        <v>5682</v>
      </c>
      <c r="F142" s="108" t="s">
        <v>5699</v>
      </c>
      <c r="G142" s="104" t="s">
        <v>6257</v>
      </c>
      <c r="H142" s="21" t="n">
        <v>174</v>
      </c>
      <c r="I142" s="109" t="s">
        <v>6258</v>
      </c>
    </row>
    <row r="143">
      <c r="A143" s="76" t="s">
        <v>1651</v>
      </c>
      <c r="B143" s="30" t="s">
        <v>1646</v>
      </c>
      <c r="C143" s="104" t="s">
        <v>6259</v>
      </c>
      <c r="D143" s="21" t="s">
        <v>6260</v>
      </c>
      <c r="E143" s="21" t="s">
        <v>5612</v>
      </c>
      <c r="F143" s="108" t="s">
        <v>5613</v>
      </c>
      <c r="G143" s="104" t="s">
        <v>6261</v>
      </c>
      <c r="H143" s="21" t="n">
        <v>9</v>
      </c>
      <c r="I143" s="109" t="s">
        <v>6262</v>
      </c>
    </row>
    <row r="144">
      <c r="A144" s="76" t="s">
        <v>3160</v>
      </c>
      <c r="B144" s="30" t="s">
        <v>6263</v>
      </c>
      <c r="C144" s="104" t="s">
        <v>6264</v>
      </c>
      <c r="D144" s="21" t="s">
        <v>5666</v>
      </c>
      <c r="E144" s="21" t="s">
        <v>5612</v>
      </c>
      <c r="F144" s="108" t="s">
        <v>5613</v>
      </c>
      <c r="G144" s="104" t="s">
        <v>6048</v>
      </c>
      <c r="H144" s="21" t="n">
        <v>8889</v>
      </c>
      <c r="I144" s="109" t="s">
        <v>6265</v>
      </c>
    </row>
    <row r="145">
      <c r="A145" s="30" t="s">
        <v>6266</v>
      </c>
      <c r="B145" s="30" t="s">
        <v>1271</v>
      </c>
      <c r="C145" s="104" t="s">
        <v>6267</v>
      </c>
      <c r="D145" s="21" t="s">
        <v>5940</v>
      </c>
      <c r="E145" s="21" t="s">
        <v>5941</v>
      </c>
      <c r="F145" s="108" t="s">
        <v>5647</v>
      </c>
      <c r="G145" s="104" t="s">
        <v>6268</v>
      </c>
      <c r="I145" s="109" t="s">
        <v>6269</v>
      </c>
    </row>
    <row r="146">
      <c r="A146" s="30" t="s">
        <v>6270</v>
      </c>
      <c r="B146" s="30" t="s">
        <v>399</v>
      </c>
      <c r="C146" s="95" t="s">
        <v>404</v>
      </c>
      <c r="D146" s="21" t="s">
        <v>5845</v>
      </c>
      <c r="E146" s="21" t="s">
        <v>5600</v>
      </c>
      <c r="F146" s="108" t="s">
        <v>5601</v>
      </c>
      <c r="G146" s="104" t="s">
        <v>6271</v>
      </c>
      <c r="H146" s="21" t="n">
        <v>143</v>
      </c>
      <c r="I146" s="109" t="s">
        <v>6272</v>
      </c>
    </row>
    <row r="147">
      <c r="A147" s="30" t="s">
        <v>6273</v>
      </c>
      <c r="B147" s="30" t="s">
        <v>406</v>
      </c>
      <c r="C147" s="95" t="s">
        <v>411</v>
      </c>
      <c r="D147" s="21" t="s">
        <v>5688</v>
      </c>
      <c r="E147" s="21" t="s">
        <v>5600</v>
      </c>
      <c r="F147" s="108" t="s">
        <v>5601</v>
      </c>
      <c r="G147" s="104" t="s">
        <v>5761</v>
      </c>
      <c r="H147" s="21" t="n">
        <v>322</v>
      </c>
      <c r="I147" s="109" t="s">
        <v>5771</v>
      </c>
    </row>
    <row r="148" ht="30" customHeight="1">
      <c r="A148" s="81" t="s">
        <v>6274</v>
      </c>
      <c r="B148" s="30" t="s">
        <v>4479</v>
      </c>
      <c r="C148" s="104" t="s">
        <v>6275</v>
      </c>
      <c r="D148" s="21" t="s">
        <v>6276</v>
      </c>
      <c r="E148" s="21" t="s">
        <v>5682</v>
      </c>
      <c r="F148" s="108" t="s">
        <v>5699</v>
      </c>
      <c r="G148" s="104" t="s">
        <v>6277</v>
      </c>
    </row>
    <row r="149">
      <c r="A149" s="81" t="s">
        <v>6278</v>
      </c>
      <c r="B149" s="30" t="s">
        <v>3441</v>
      </c>
      <c r="C149" s="104" t="s">
        <v>3444</v>
      </c>
      <c r="D149" s="21" t="s">
        <v>6279</v>
      </c>
      <c r="E149" s="21" t="s">
        <v>5682</v>
      </c>
      <c r="F149" s="108" t="s">
        <v>6037</v>
      </c>
      <c r="G149" s="104" t="s">
        <v>6280</v>
      </c>
      <c r="H149" s="21" t="n">
        <v>386</v>
      </c>
      <c r="I149" s="109" t="s">
        <v>6281</v>
      </c>
    </row>
    <row r="150">
      <c r="A150" s="29" t="s">
        <v>6282</v>
      </c>
      <c r="B150" s="1" t="s">
        <v>3096</v>
      </c>
      <c r="C150" s="104" t="s">
        <v>6283</v>
      </c>
      <c r="D150" s="21" t="s">
        <v>6284</v>
      </c>
      <c r="E150" s="21" t="s">
        <v>5612</v>
      </c>
      <c r="F150" s="108" t="s">
        <v>5784</v>
      </c>
      <c r="G150" s="104" t="s">
        <v>6285</v>
      </c>
      <c r="H150" s="21" t="n">
        <v>975</v>
      </c>
      <c r="I150" s="109" t="s">
        <v>6286</v>
      </c>
    </row>
    <row r="151">
      <c r="A151" s="30" t="s">
        <v>6287</v>
      </c>
      <c r="B151" s="30" t="s">
        <v>6288</v>
      </c>
      <c r="C151" s="104" t="s">
        <v>1772</v>
      </c>
      <c r="D151" s="21" t="s">
        <v>6289</v>
      </c>
      <c r="E151" s="21" t="s">
        <v>5606</v>
      </c>
      <c r="F151" s="108" t="s">
        <v>5814</v>
      </c>
      <c r="G151" s="104" t="s">
        <v>6290</v>
      </c>
      <c r="H151" s="21" t="n">
        <v>103</v>
      </c>
      <c r="I151" s="109" t="s">
        <v>6291</v>
      </c>
    </row>
    <row r="152" ht="45" customHeight="1">
      <c r="A152" s="93" t="s">
        <v>6292</v>
      </c>
      <c r="B152" s="30" t="s">
        <v>6293</v>
      </c>
      <c r="C152" s="104" t="s">
        <v>6294</v>
      </c>
      <c r="D152" s="21" t="s">
        <v>5828</v>
      </c>
      <c r="E152" s="21" t="s">
        <v>5629</v>
      </c>
      <c r="F152" s="108" t="s">
        <v>5630</v>
      </c>
      <c r="G152" s="104" t="s">
        <v>6295</v>
      </c>
      <c r="H152" s="21" t="n">
        <v>535</v>
      </c>
      <c r="I152" s="109" t="s">
        <v>6296</v>
      </c>
    </row>
    <row r="153">
      <c r="A153" s="29" t="s">
        <v>1873</v>
      </c>
      <c r="B153" s="30" t="s">
        <v>1864</v>
      </c>
      <c r="C153" s="104" t="s">
        <v>6297</v>
      </c>
      <c r="D153" s="21" t="s">
        <v>6229</v>
      </c>
      <c r="E153" s="21" t="s">
        <v>5682</v>
      </c>
      <c r="F153" s="108" t="s">
        <v>5699</v>
      </c>
      <c r="G153" s="104" t="s">
        <v>6298</v>
      </c>
      <c r="H153" s="21" t="n">
        <v>1500</v>
      </c>
    </row>
    <row r="154">
      <c r="A154" s="85" t="s">
        <v>6299</v>
      </c>
      <c r="B154" s="30" t="s">
        <v>3052</v>
      </c>
      <c r="C154" s="104" t="s">
        <v>6300</v>
      </c>
      <c r="D154" s="21" t="s">
        <v>6301</v>
      </c>
      <c r="E154" s="21" t="s">
        <v>5600</v>
      </c>
      <c r="F154" s="108" t="s">
        <v>5704</v>
      </c>
      <c r="G154" s="104" t="s">
        <v>6302</v>
      </c>
      <c r="H154" s="21" t="n">
        <v>304</v>
      </c>
      <c r="I154" s="109" t="s">
        <v>6303</v>
      </c>
    </row>
    <row r="155">
      <c r="A155" s="85" t="s">
        <v>6304</v>
      </c>
      <c r="B155" s="30" t="s">
        <v>1175</v>
      </c>
      <c r="C155" s="104" t="s">
        <v>6305</v>
      </c>
      <c r="D155" s="21" t="s">
        <v>6306</v>
      </c>
      <c r="E155" s="21" t="s">
        <v>5714</v>
      </c>
      <c r="F155" s="108" t="s">
        <v>6131</v>
      </c>
      <c r="G155" s="104" t="s">
        <v>6307</v>
      </c>
      <c r="H155" s="21" t="n">
        <v>140</v>
      </c>
      <c r="I155" s="109" t="s">
        <v>6308</v>
      </c>
    </row>
    <row r="156">
      <c r="A156" s="85" t="s">
        <v>1323</v>
      </c>
      <c r="B156" s="30" t="s">
        <v>1318</v>
      </c>
      <c r="C156" s="104" t="s">
        <v>6309</v>
      </c>
      <c r="D156" s="21" t="s">
        <v>5646</v>
      </c>
      <c r="E156" s="21" t="s">
        <v>5941</v>
      </c>
      <c r="F156" s="108" t="s">
        <v>5647</v>
      </c>
      <c r="G156" s="104" t="s">
        <v>6310</v>
      </c>
      <c r="H156" s="21" t="n">
        <v>42</v>
      </c>
      <c r="I156" s="109" t="s">
        <v>6311</v>
      </c>
    </row>
    <row r="157">
      <c r="A157" s="105" t="s">
        <v>6312</v>
      </c>
      <c r="B157" s="30" t="s">
        <v>3036</v>
      </c>
      <c r="C157" s="104" t="s">
        <v>6313</v>
      </c>
      <c r="D157" s="21" t="s">
        <v>6301</v>
      </c>
      <c r="E157" s="21" t="s">
        <v>5600</v>
      </c>
      <c r="F157" s="108" t="s">
        <v>5704</v>
      </c>
      <c r="G157" s="104" t="s">
        <v>6314</v>
      </c>
      <c r="H157" s="21" t="n">
        <v>191</v>
      </c>
      <c r="I157" s="109" t="s">
        <v>6303</v>
      </c>
    </row>
    <row r="158">
      <c r="A158" s="85" t="s">
        <v>3829</v>
      </c>
      <c r="B158" s="30" t="s">
        <v>6315</v>
      </c>
      <c r="C158" s="104" t="s">
        <v>6316</v>
      </c>
      <c r="D158" s="21" t="s">
        <v>6130</v>
      </c>
      <c r="E158" s="21" t="s">
        <v>5714</v>
      </c>
      <c r="F158" s="108" t="s">
        <v>6131</v>
      </c>
      <c r="G158" s="104" t="s">
        <v>6317</v>
      </c>
      <c r="H158" s="21" t="n">
        <v>700</v>
      </c>
      <c r="I158" s="109" t="s">
        <v>6318</v>
      </c>
    </row>
    <row r="159">
      <c r="A159" s="79" t="s">
        <v>6319</v>
      </c>
      <c r="B159" s="30" t="s">
        <v>1442</v>
      </c>
      <c r="C159" s="104" t="s">
        <v>6319</v>
      </c>
      <c r="D159" s="21" t="s">
        <v>6320</v>
      </c>
      <c r="E159" s="21" t="s">
        <v>5737</v>
      </c>
      <c r="F159" s="108" t="s">
        <v>5738</v>
      </c>
      <c r="G159" s="104" t="s">
        <v>6321</v>
      </c>
    </row>
    <row r="160">
      <c r="A160" s="30" t="s">
        <v>6322</v>
      </c>
      <c r="B160" s="30" t="s">
        <v>3667</v>
      </c>
      <c r="C160" s="104" t="s">
        <v>6322</v>
      </c>
      <c r="D160" s="21" t="s">
        <v>5991</v>
      </c>
      <c r="E160" s="21" t="s">
        <v>5606</v>
      </c>
      <c r="F160" s="108" t="s">
        <v>5796</v>
      </c>
      <c r="G160" s="104" t="s">
        <v>6323</v>
      </c>
      <c r="H160" s="21" t="n">
        <v>273</v>
      </c>
      <c r="I160" s="109" t="s">
        <v>6324</v>
      </c>
    </row>
    <row r="161">
      <c r="A161" s="30" t="s">
        <v>6325</v>
      </c>
      <c r="B161" s="30" t="s">
        <v>3663</v>
      </c>
      <c r="C161" s="104" t="s">
        <v>6326</v>
      </c>
      <c r="D161" s="21" t="s">
        <v>6327</v>
      </c>
      <c r="E161" s="21" t="s">
        <v>5629</v>
      </c>
      <c r="F161" s="108" t="s">
        <v>5876</v>
      </c>
      <c r="G161" s="104" t="s">
        <v>6328</v>
      </c>
      <c r="H161" s="21" t="n">
        <v>92</v>
      </c>
      <c r="I161" s="109" t="s">
        <v>6329</v>
      </c>
    </row>
    <row r="162">
      <c r="A162" s="83" t="s">
        <v>6330</v>
      </c>
      <c r="B162" s="30" t="s">
        <v>889</v>
      </c>
      <c r="C162" s="104" t="s">
        <v>6331</v>
      </c>
      <c r="D162" s="21" t="s">
        <v>5789</v>
      </c>
      <c r="E162" s="21" t="s">
        <v>5629</v>
      </c>
      <c r="F162" s="108" t="s">
        <v>5790</v>
      </c>
      <c r="G162" s="104" t="s">
        <v>6332</v>
      </c>
      <c r="H162" s="21" t="n">
        <v>490</v>
      </c>
      <c r="I162" s="109" t="s">
        <v>6333</v>
      </c>
    </row>
    <row r="163" ht="30" customHeight="1">
      <c r="A163" s="83" t="s">
        <v>6334</v>
      </c>
      <c r="B163" s="30" t="s">
        <v>6335</v>
      </c>
      <c r="C163" s="104" t="s">
        <v>6336</v>
      </c>
      <c r="D163" s="21" t="s">
        <v>5703</v>
      </c>
      <c r="E163" s="21" t="s">
        <v>5600</v>
      </c>
      <c r="F163" s="108" t="s">
        <v>5704</v>
      </c>
      <c r="G163" s="104" t="s">
        <v>6337</v>
      </c>
      <c r="H163" s="21" t="n">
        <v>116</v>
      </c>
      <c r="I163" s="109" t="s">
        <v>6338</v>
      </c>
    </row>
    <row r="164">
      <c r="A164" s="83" t="s">
        <v>6339</v>
      </c>
      <c r="B164" s="30" t="s">
        <v>1148</v>
      </c>
      <c r="C164" s="104" t="s">
        <v>6340</v>
      </c>
      <c r="D164" s="21" t="s">
        <v>6341</v>
      </c>
      <c r="E164" s="21" t="s">
        <v>5714</v>
      </c>
      <c r="F164" s="108" t="s">
        <v>6131</v>
      </c>
      <c r="G164" s="104" t="s">
        <v>6342</v>
      </c>
      <c r="H164" s="21" t="n">
        <v>30</v>
      </c>
      <c r="I164" s="109" t="s">
        <v>6343</v>
      </c>
    </row>
    <row r="165">
      <c r="A165" s="83" t="s">
        <v>6344</v>
      </c>
      <c r="B165" s="30" t="s">
        <v>4183</v>
      </c>
      <c r="C165" s="104" t="s">
        <v>6345</v>
      </c>
      <c r="D165" s="21" t="s">
        <v>6284</v>
      </c>
      <c r="E165" s="21" t="s">
        <v>5612</v>
      </c>
      <c r="F165" s="108" t="s">
        <v>5784</v>
      </c>
      <c r="G165" s="104" t="s">
        <v>6346</v>
      </c>
      <c r="H165" s="21" t="n">
        <v>2220</v>
      </c>
      <c r="I165" s="109" t="s">
        <v>6347</v>
      </c>
    </row>
    <row r="166">
      <c r="A166" s="83" t="s">
        <v>6348</v>
      </c>
      <c r="B166" s="30" t="s">
        <v>1996</v>
      </c>
      <c r="C166" s="104" t="s">
        <v>6349</v>
      </c>
      <c r="D166" s="21" t="s">
        <v>6279</v>
      </c>
      <c r="E166" s="21" t="s">
        <v>5682</v>
      </c>
      <c r="F166" s="108" t="s">
        <v>6037</v>
      </c>
      <c r="G166" s="104" t="s">
        <v>6350</v>
      </c>
      <c r="H166" s="21" t="n">
        <v>730</v>
      </c>
      <c r="I166" s="109" t="s">
        <v>6351</v>
      </c>
    </row>
    <row r="167">
      <c r="A167" s="83" t="s">
        <v>6352</v>
      </c>
      <c r="B167" s="30" t="s">
        <v>1324</v>
      </c>
      <c r="C167" s="104" t="s">
        <v>6353</v>
      </c>
      <c r="D167" s="21" t="s">
        <v>6062</v>
      </c>
      <c r="E167" s="21" t="s">
        <v>5941</v>
      </c>
      <c r="F167" s="108" t="s">
        <v>5647</v>
      </c>
      <c r="G167" s="104" t="s">
        <v>6218</v>
      </c>
      <c r="H167" s="21" t="n">
        <v>3550</v>
      </c>
      <c r="I167" s="109" t="s">
        <v>6219</v>
      </c>
    </row>
    <row r="168">
      <c r="A168" s="83" t="s">
        <v>6354</v>
      </c>
      <c r="B168" s="30" t="s">
        <v>1095</v>
      </c>
      <c r="C168" s="104" t="s">
        <v>6355</v>
      </c>
      <c r="D168" s="21" t="s">
        <v>5688</v>
      </c>
      <c r="E168" s="21" t="s">
        <v>5600</v>
      </c>
      <c r="F168" s="108" t="s">
        <v>5601</v>
      </c>
      <c r="G168" s="104" t="s">
        <v>6356</v>
      </c>
      <c r="H168" s="21" t="n">
        <v>14</v>
      </c>
      <c r="I168" s="109" t="s">
        <v>6357</v>
      </c>
    </row>
    <row r="169">
      <c r="A169" s="83" t="s">
        <v>6358</v>
      </c>
      <c r="B169" s="30" t="s">
        <v>4188</v>
      </c>
      <c r="C169" s="104" t="s">
        <v>6359</v>
      </c>
      <c r="D169" s="21" t="s">
        <v>6360</v>
      </c>
      <c r="E169" s="21" t="s">
        <v>5612</v>
      </c>
      <c r="F169" s="108" t="s">
        <v>6251</v>
      </c>
      <c r="G169" s="104" t="s">
        <v>6361</v>
      </c>
      <c r="H169" s="21" t="n">
        <v>331</v>
      </c>
      <c r="I169" s="109" t="s">
        <v>6362</v>
      </c>
    </row>
    <row r="170">
      <c r="A170" s="83" t="s">
        <v>6951</v>
      </c>
      <c r="B170" s="30" t="s">
        <v>1085</v>
      </c>
      <c r="C170" s="104" t="s">
        <v>6952</v>
      </c>
      <c r="D170" s="21" t="s">
        <v>6384</v>
      </c>
      <c r="E170" s="21" t="s">
        <v>5600</v>
      </c>
      <c r="F170" s="108" t="s">
        <v>5704</v>
      </c>
      <c r="G170" s="104" t="s">
        <v>6953</v>
      </c>
      <c r="H170" s="21" t="n">
        <v>530</v>
      </c>
    </row>
    <row r="171">
      <c r="A171" s="83" t="s">
        <v>6363</v>
      </c>
      <c r="B171" s="30" t="s">
        <v>4177</v>
      </c>
      <c r="C171" s="104" t="s">
        <v>6364</v>
      </c>
      <c r="D171" s="21" t="s">
        <v>6365</v>
      </c>
      <c r="E171" s="21" t="s">
        <v>5612</v>
      </c>
      <c r="F171" s="108" t="s">
        <v>5654</v>
      </c>
      <c r="G171" s="104" t="s">
        <v>6366</v>
      </c>
      <c r="H171" s="21" t="n">
        <v>90</v>
      </c>
      <c r="I171" s="109" t="s">
        <v>6367</v>
      </c>
    </row>
    <row r="172">
      <c r="A172" s="83" t="s">
        <v>6368</v>
      </c>
      <c r="B172" s="30" t="s">
        <v>6369</v>
      </c>
      <c r="C172" s="104" t="s">
        <v>6370</v>
      </c>
      <c r="D172" s="21" t="s">
        <v>6371</v>
      </c>
      <c r="E172" s="21" t="s">
        <v>5612</v>
      </c>
      <c r="F172" s="108" t="s">
        <v>5839</v>
      </c>
      <c r="G172" s="104" t="s">
        <v>6372</v>
      </c>
      <c r="H172" s="21" t="n">
        <v>141</v>
      </c>
      <c r="I172" s="109" t="s">
        <v>6373</v>
      </c>
    </row>
    <row r="173">
      <c r="A173" s="83" t="s">
        <v>6374</v>
      </c>
      <c r="B173" s="30" t="s">
        <v>4172</v>
      </c>
      <c r="C173" s="104" t="s">
        <v>6375</v>
      </c>
      <c r="D173" s="21" t="s">
        <v>6365</v>
      </c>
      <c r="E173" s="21" t="s">
        <v>5612</v>
      </c>
      <c r="F173" s="108" t="s">
        <v>5654</v>
      </c>
      <c r="G173" s="104" t="s">
        <v>6376</v>
      </c>
      <c r="H173" s="21" t="n">
        <v>222</v>
      </c>
      <c r="I173" s="109" t="s">
        <v>6377</v>
      </c>
    </row>
    <row r="174">
      <c r="A174" s="83" t="s">
        <v>6378</v>
      </c>
      <c r="B174" s="30" t="s">
        <v>4471</v>
      </c>
      <c r="C174" s="104" t="s">
        <v>6379</v>
      </c>
      <c r="D174" s="21" t="s">
        <v>5698</v>
      </c>
      <c r="E174" s="21" t="s">
        <v>5682</v>
      </c>
      <c r="F174" s="108" t="s">
        <v>5699</v>
      </c>
      <c r="G174" s="104" t="s">
        <v>6380</v>
      </c>
      <c r="H174" s="21" t="n">
        <v>38</v>
      </c>
      <c r="I174" s="109" t="s">
        <v>6381</v>
      </c>
    </row>
    <row r="175">
      <c r="A175" s="83" t="s">
        <v>6382</v>
      </c>
      <c r="B175" s="30" t="s">
        <v>3740</v>
      </c>
      <c r="C175" s="104" t="s">
        <v>6383</v>
      </c>
      <c r="D175" s="21" t="s">
        <v>6384</v>
      </c>
      <c r="E175" s="21" t="s">
        <v>5600</v>
      </c>
      <c r="F175" s="108" t="s">
        <v>5704</v>
      </c>
      <c r="G175" s="104" t="s">
        <v>6385</v>
      </c>
      <c r="H175" s="21" t="n">
        <v>277</v>
      </c>
      <c r="I175" s="109" t="s">
        <v>6386</v>
      </c>
    </row>
    <row r="176">
      <c r="A176" s="83" t="s">
        <v>6387</v>
      </c>
      <c r="B176" s="30" t="s">
        <v>902</v>
      </c>
      <c r="C176" s="104" t="s">
        <v>6388</v>
      </c>
      <c r="D176" s="21" t="s">
        <v>5919</v>
      </c>
      <c r="E176" s="21" t="s">
        <v>5629</v>
      </c>
      <c r="F176" s="108" t="s">
        <v>5920</v>
      </c>
      <c r="G176" s="104" t="s">
        <v>6389</v>
      </c>
      <c r="H176" s="21" t="n">
        <v>207</v>
      </c>
      <c r="I176" s="109" t="s">
        <v>6390</v>
      </c>
    </row>
    <row r="177">
      <c r="A177" s="83" t="s">
        <v>6391</v>
      </c>
      <c r="B177" s="30" t="s">
        <v>4199</v>
      </c>
      <c r="C177" s="104" t="s">
        <v>6392</v>
      </c>
      <c r="D177" s="21" t="s">
        <v>6393</v>
      </c>
      <c r="E177" s="21" t="s">
        <v>5612</v>
      </c>
      <c r="F177" s="108" t="s">
        <v>6251</v>
      </c>
      <c r="G177" s="104" t="s">
        <v>6394</v>
      </c>
      <c r="H177" s="21" t="n">
        <v>1372</v>
      </c>
      <c r="I177" s="109" t="s">
        <v>6395</v>
      </c>
    </row>
    <row r="178">
      <c r="A178" s="83" t="s">
        <v>6396</v>
      </c>
      <c r="B178" s="30" t="s">
        <v>4466</v>
      </c>
      <c r="C178" s="104" t="s">
        <v>6397</v>
      </c>
      <c r="D178" s="21" t="s">
        <v>6229</v>
      </c>
      <c r="E178" s="21" t="s">
        <v>5682</v>
      </c>
      <c r="F178" s="108" t="s">
        <v>5699</v>
      </c>
      <c r="G178" s="104" t="s">
        <v>6398</v>
      </c>
      <c r="H178" s="21" t="n">
        <v>65</v>
      </c>
      <c r="I178" s="109" t="s">
        <v>6399</v>
      </c>
    </row>
    <row r="179">
      <c r="A179" s="83" t="s">
        <v>6400</v>
      </c>
      <c r="B179" s="30" t="s">
        <v>1160</v>
      </c>
      <c r="C179" s="104" t="s">
        <v>6401</v>
      </c>
      <c r="D179" s="21" t="s">
        <v>6402</v>
      </c>
      <c r="E179" s="21" t="s">
        <v>5714</v>
      </c>
      <c r="F179" s="108" t="s">
        <v>5948</v>
      </c>
      <c r="G179" s="104" t="s">
        <v>6403</v>
      </c>
      <c r="H179" s="21" t="n">
        <v>18</v>
      </c>
      <c r="I179" s="109" t="s">
        <v>6404</v>
      </c>
    </row>
    <row r="180">
      <c r="A180" s="83" t="s">
        <v>6405</v>
      </c>
      <c r="B180" s="30" t="s">
        <v>4165</v>
      </c>
      <c r="C180" s="104" t="s">
        <v>6406</v>
      </c>
      <c r="D180" s="21" t="s">
        <v>6234</v>
      </c>
      <c r="E180" s="21" t="s">
        <v>5612</v>
      </c>
      <c r="F180" s="108" t="s">
        <v>5784</v>
      </c>
      <c r="G180" s="104" t="s">
        <v>6407</v>
      </c>
      <c r="H180" s="21" t="n">
        <v>2200</v>
      </c>
      <c r="I180" s="109" t="s">
        <v>6408</v>
      </c>
    </row>
    <row r="181">
      <c r="A181" s="83" t="s">
        <v>6409</v>
      </c>
      <c r="B181" s="30" t="s">
        <v>3566</v>
      </c>
      <c r="C181" s="104" t="s">
        <v>6410</v>
      </c>
      <c r="D181" s="21" t="s">
        <v>6411</v>
      </c>
      <c r="E181" s="21" t="s">
        <v>5606</v>
      </c>
      <c r="F181" s="108" t="s">
        <v>5664</v>
      </c>
      <c r="G181" s="104" t="s">
        <v>6412</v>
      </c>
      <c r="H181" s="21" t="n">
        <v>309</v>
      </c>
      <c r="I181" s="109" t="s">
        <v>5983</v>
      </c>
    </row>
    <row r="182">
      <c r="A182" s="83" t="s">
        <v>6413</v>
      </c>
      <c r="B182" s="30" t="s">
        <v>1155</v>
      </c>
      <c r="C182" s="104" t="s">
        <v>6414</v>
      </c>
      <c r="D182" s="21" t="s">
        <v>6415</v>
      </c>
      <c r="E182" s="21" t="s">
        <v>5714</v>
      </c>
      <c r="F182" s="108" t="s">
        <v>6416</v>
      </c>
      <c r="G182" s="104" t="s">
        <v>6417</v>
      </c>
      <c r="H182" s="21" t="n">
        <v>155</v>
      </c>
      <c r="I182" s="109" t="s">
        <v>6418</v>
      </c>
    </row>
    <row r="183">
      <c r="A183" s="84" t="s">
        <v>6419</v>
      </c>
      <c r="B183" s="30" t="s">
        <v>6420</v>
      </c>
      <c r="C183" s="104" t="s">
        <v>6421</v>
      </c>
      <c r="D183" s="21" t="s">
        <v>5953</v>
      </c>
      <c r="E183" s="21" t="s">
        <v>5641</v>
      </c>
      <c r="F183" s="108" t="s">
        <v>5669</v>
      </c>
      <c r="G183" s="104" t="s">
        <v>6422</v>
      </c>
      <c r="H183" s="21" t="n">
        <v>1591</v>
      </c>
      <c r="I183" s="109" t="s">
        <v>6423</v>
      </c>
    </row>
    <row r="184">
      <c r="A184" s="83" t="s">
        <v>6424</v>
      </c>
      <c r="B184" s="30" t="s">
        <v>6425</v>
      </c>
      <c r="C184" s="104" t="s">
        <v>6426</v>
      </c>
      <c r="D184" s="21" t="s">
        <v>6151</v>
      </c>
      <c r="E184" s="21" t="s">
        <v>5641</v>
      </c>
      <c r="F184" s="108" t="s">
        <v>5642</v>
      </c>
      <c r="G184" s="104" t="s">
        <v>6427</v>
      </c>
      <c r="H184" s="21" t="n">
        <v>1726</v>
      </c>
      <c r="I184" s="109" t="s">
        <v>6428</v>
      </c>
    </row>
    <row r="185">
      <c r="A185" s="83" t="s">
        <v>6429</v>
      </c>
      <c r="B185" s="30" t="s">
        <v>3735</v>
      </c>
      <c r="C185" s="104" t="s">
        <v>6430</v>
      </c>
      <c r="D185" s="21" t="s">
        <v>6431</v>
      </c>
      <c r="E185" s="21" t="s">
        <v>5600</v>
      </c>
      <c r="F185" s="108" t="s">
        <v>5704</v>
      </c>
      <c r="G185" s="104" t="s">
        <v>6432</v>
      </c>
      <c r="H185" s="21" t="n">
        <v>93</v>
      </c>
      <c r="I185" s="109" t="s">
        <v>6433</v>
      </c>
    </row>
    <row r="186">
      <c r="A186" s="83" t="s">
        <v>6434</v>
      </c>
      <c r="B186" s="30" t="s">
        <v>6435</v>
      </c>
      <c r="C186" s="104" t="s">
        <v>6436</v>
      </c>
      <c r="D186" s="21" t="s">
        <v>6437</v>
      </c>
      <c r="E186" s="21" t="s">
        <v>5629</v>
      </c>
      <c r="F186" s="108" t="s">
        <v>5790</v>
      </c>
      <c r="G186" s="104" t="s">
        <v>6438</v>
      </c>
      <c r="H186" s="21" t="n">
        <v>1085</v>
      </c>
      <c r="I186" s="109" t="s">
        <v>6439</v>
      </c>
    </row>
    <row r="187">
      <c r="A187" s="83" t="s">
        <v>6440</v>
      </c>
      <c r="B187" s="30" t="s">
        <v>3673</v>
      </c>
      <c r="C187" s="104" t="s">
        <v>3677</v>
      </c>
      <c r="D187" s="21" t="s">
        <v>5978</v>
      </c>
      <c r="E187" s="21" t="s">
        <v>5714</v>
      </c>
      <c r="F187" s="108" t="s">
        <v>5715</v>
      </c>
      <c r="G187" s="104" t="s">
        <v>6441</v>
      </c>
      <c r="H187" s="21" t="n">
        <v>221</v>
      </c>
      <c r="I187" s="109" t="s">
        <v>5980</v>
      </c>
    </row>
    <row r="188">
      <c r="A188" s="83" t="s">
        <v>3023</v>
      </c>
      <c r="B188" s="30" t="s">
        <v>3020</v>
      </c>
      <c r="C188" s="104" t="s">
        <v>6442</v>
      </c>
      <c r="D188" s="21" t="s">
        <v>5736</v>
      </c>
      <c r="E188" s="21" t="s">
        <v>5737</v>
      </c>
      <c r="F188" s="108" t="s">
        <v>5738</v>
      </c>
      <c r="G188" s="104" t="s">
        <v>6106</v>
      </c>
      <c r="H188" s="21" t="n">
        <v>600</v>
      </c>
      <c r="I188" s="109" t="s">
        <v>6107</v>
      </c>
    </row>
    <row r="189">
      <c r="A189" s="83" t="s">
        <v>6443</v>
      </c>
      <c r="B189" s="30" t="s">
        <v>4460</v>
      </c>
      <c r="C189" s="104" t="s">
        <v>6444</v>
      </c>
      <c r="D189" s="21" t="s">
        <v>5910</v>
      </c>
      <c r="E189" s="21" t="s">
        <v>5682</v>
      </c>
      <c r="F189" s="108" t="s">
        <v>5699</v>
      </c>
      <c r="G189" s="104" t="s">
        <v>6445</v>
      </c>
      <c r="H189" s="21" t="n">
        <v>10</v>
      </c>
      <c r="I189" s="109" t="s">
        <v>6446</v>
      </c>
    </row>
    <row r="190">
      <c r="A190" s="83" t="s">
        <v>6447</v>
      </c>
      <c r="B190" s="30" t="s">
        <v>2648</v>
      </c>
      <c r="C190" s="104" t="s">
        <v>6448</v>
      </c>
      <c r="D190" s="21" t="s">
        <v>6449</v>
      </c>
      <c r="E190" s="21" t="s">
        <v>5629</v>
      </c>
      <c r="F190" s="108" t="s">
        <v>5876</v>
      </c>
      <c r="G190" s="104" t="s">
        <v>6450</v>
      </c>
      <c r="H190" s="21" t="n">
        <v>3</v>
      </c>
      <c r="I190" s="109" t="s">
        <v>6451</v>
      </c>
    </row>
    <row r="191">
      <c r="A191" s="85" t="s">
        <v>6452</v>
      </c>
      <c r="B191" s="30" t="s">
        <v>6453</v>
      </c>
      <c r="C191" s="104" t="s">
        <v>6454</v>
      </c>
      <c r="D191" s="21" t="s">
        <v>6320</v>
      </c>
      <c r="E191" s="21" t="s">
        <v>5737</v>
      </c>
      <c r="F191" s="108" t="s">
        <v>5738</v>
      </c>
      <c r="G191" s="104" t="s">
        <v>6455</v>
      </c>
      <c r="H191" s="21" t="n">
        <v>50</v>
      </c>
      <c r="I191" s="109" t="s">
        <v>6456</v>
      </c>
    </row>
    <row r="192">
      <c r="A192" s="85" t="s">
        <v>6457</v>
      </c>
      <c r="B192" s="30" t="s">
        <v>3446</v>
      </c>
      <c r="C192" s="104" t="s">
        <v>6458</v>
      </c>
      <c r="D192" s="21" t="s">
        <v>6459</v>
      </c>
      <c r="E192" s="21" t="s">
        <v>5612</v>
      </c>
      <c r="F192" s="108" t="s">
        <v>5784</v>
      </c>
      <c r="G192" s="104" t="s">
        <v>6460</v>
      </c>
      <c r="H192" s="21" t="n">
        <v>7</v>
      </c>
      <c r="I192" s="109" t="s">
        <v>6461</v>
      </c>
    </row>
    <row r="193">
      <c r="A193" s="30" t="s">
        <v>6462</v>
      </c>
      <c r="B193" s="30" t="s">
        <v>3797</v>
      </c>
      <c r="C193" s="104" t="s">
        <v>3801</v>
      </c>
      <c r="D193" s="21" t="s">
        <v>6207</v>
      </c>
      <c r="E193" s="21" t="s">
        <v>5629</v>
      </c>
      <c r="F193" s="108" t="s">
        <v>5920</v>
      </c>
      <c r="G193" s="104" t="s">
        <v>6463</v>
      </c>
      <c r="H193" s="21" t="n">
        <v>665</v>
      </c>
      <c r="I193" s="109" t="s">
        <v>6464</v>
      </c>
      <c r="J193" s="100"/>
      <c r="K193" s="100"/>
    </row>
    <row r="194">
      <c r="A194" s="30" t="s">
        <v>6465</v>
      </c>
      <c r="B194" s="30" t="s">
        <v>2729</v>
      </c>
      <c r="C194" s="104" t="s">
        <v>6466</v>
      </c>
      <c r="D194" s="21" t="s">
        <v>5736</v>
      </c>
      <c r="E194" s="21" t="s">
        <v>5737</v>
      </c>
      <c r="F194" s="108" t="s">
        <v>5738</v>
      </c>
      <c r="G194" s="104" t="s">
        <v>6467</v>
      </c>
      <c r="H194" s="21" t="n">
        <v>321</v>
      </c>
      <c r="I194" s="109" t="s">
        <v>6468</v>
      </c>
    </row>
    <row r="195">
      <c r="A195" s="75" t="s">
        <v>2396</v>
      </c>
      <c r="B195" s="30" t="s">
        <v>6469</v>
      </c>
      <c r="C195" s="104" t="s">
        <v>6470</v>
      </c>
      <c r="D195" s="21" t="s">
        <v>5813</v>
      </c>
      <c r="E195" s="21" t="s">
        <v>5606</v>
      </c>
      <c r="F195" s="108" t="s">
        <v>5814</v>
      </c>
      <c r="G195" s="104" t="s">
        <v>6471</v>
      </c>
      <c r="H195" s="21" t="n">
        <v>636</v>
      </c>
      <c r="I195" s="109" t="s">
        <v>6472</v>
      </c>
    </row>
    <row r="196" ht="105" customHeight="1">
      <c r="A196" s="75" t="s">
        <v>1854</v>
      </c>
      <c r="B196" s="30" t="s">
        <v>6473</v>
      </c>
      <c r="C196" s="104" t="s">
        <v>1002</v>
      </c>
      <c r="D196" s="21" t="s">
        <v>6474</v>
      </c>
      <c r="E196" s="21" t="s">
        <v>5941</v>
      </c>
      <c r="F196" s="108" t="s">
        <v>6105</v>
      </c>
      <c r="G196" s="104" t="s">
        <v>6475</v>
      </c>
      <c r="H196" s="21" t="n">
        <v>1464</v>
      </c>
      <c r="I196" s="109" t="s">
        <v>6476</v>
      </c>
    </row>
    <row r="197">
      <c r="A197" s="75" t="s">
        <v>6477</v>
      </c>
      <c r="B197" s="30" t="s">
        <v>6478</v>
      </c>
      <c r="C197" s="95" t="s">
        <v>127</v>
      </c>
      <c r="D197" s="21" t="s">
        <v>5778</v>
      </c>
      <c r="E197" s="21" t="s">
        <v>5682</v>
      </c>
      <c r="F197" s="108" t="s">
        <v>5779</v>
      </c>
      <c r="G197" s="104" t="s">
        <v>6479</v>
      </c>
      <c r="H197" s="21" t="n">
        <v>2213</v>
      </c>
      <c r="I197" s="109" t="s">
        <v>6480</v>
      </c>
    </row>
    <row r="198">
      <c r="A198" s="75" t="s">
        <v>6481</v>
      </c>
      <c r="B198" s="30" t="s">
        <v>6482</v>
      </c>
      <c r="C198" s="95" t="s">
        <v>127</v>
      </c>
      <c r="D198" s="21" t="s">
        <v>5778</v>
      </c>
      <c r="E198" s="21" t="s">
        <v>5682</v>
      </c>
      <c r="F198" s="108" t="s">
        <v>5779</v>
      </c>
      <c r="G198" s="104" t="s">
        <v>6479</v>
      </c>
      <c r="H198" s="21" t="n">
        <v>2213</v>
      </c>
      <c r="I198" s="109" t="s">
        <v>6480</v>
      </c>
    </row>
    <row r="199" ht="105" customHeight="1">
      <c r="A199" s="93" t="s">
        <v>3468</v>
      </c>
      <c r="B199" s="30" t="s">
        <v>6483</v>
      </c>
      <c r="C199" s="104" t="s">
        <v>6484</v>
      </c>
      <c r="D199" s="21" t="s">
        <v>5865</v>
      </c>
      <c r="E199" s="21" t="s">
        <v>5802</v>
      </c>
      <c r="F199" s="108" t="s">
        <v>5866</v>
      </c>
      <c r="G199" s="104" t="s">
        <v>6485</v>
      </c>
      <c r="H199" s="21" t="n">
        <v>25</v>
      </c>
      <c r="I199" s="109" t="s">
        <v>6486</v>
      </c>
    </row>
    <row r="200" ht="30" customHeight="1">
      <c r="A200" s="75" t="s">
        <v>1541</v>
      </c>
      <c r="B200" s="30" t="s">
        <v>6487</v>
      </c>
      <c r="C200" s="104" t="s">
        <v>6488</v>
      </c>
      <c r="D200" s="21" t="s">
        <v>6320</v>
      </c>
      <c r="E200" s="21" t="s">
        <v>5737</v>
      </c>
      <c r="F200" s="108" t="s">
        <v>5738</v>
      </c>
      <c r="G200" s="104" t="s">
        <v>6489</v>
      </c>
      <c r="H200" s="21" t="n">
        <v>345</v>
      </c>
      <c r="I200" s="109" t="s">
        <v>6468</v>
      </c>
    </row>
    <row r="201" ht="45" customHeight="1">
      <c r="A201" s="75" t="s">
        <v>957</v>
      </c>
      <c r="B201" s="30" t="s">
        <v>6490</v>
      </c>
      <c r="C201" s="104" t="s">
        <v>6491</v>
      </c>
      <c r="D201" s="21" t="s">
        <v>6320</v>
      </c>
      <c r="E201" s="21" t="s">
        <v>5802</v>
      </c>
      <c r="F201" s="108" t="s">
        <v>5738</v>
      </c>
      <c r="G201" s="104" t="s">
        <v>6492</v>
      </c>
      <c r="I201" s="109" t="s">
        <v>6493</v>
      </c>
    </row>
    <row r="202" ht="30" customHeight="1">
      <c r="A202" s="75" t="s">
        <v>1475</v>
      </c>
      <c r="B202" s="30" t="s">
        <v>6494</v>
      </c>
      <c r="C202" s="104" t="s">
        <v>1034</v>
      </c>
      <c r="D202" s="21" t="s">
        <v>6495</v>
      </c>
      <c r="E202" s="21" t="s">
        <v>5682</v>
      </c>
      <c r="F202" s="108" t="s">
        <v>5779</v>
      </c>
      <c r="G202" s="104" t="s">
        <v>6496</v>
      </c>
      <c r="H202" s="21" t="n">
        <v>2745</v>
      </c>
      <c r="I202" s="109" t="s">
        <v>6497</v>
      </c>
    </row>
    <row r="203" ht="75" customHeight="1">
      <c r="A203" s="75" t="s">
        <v>935</v>
      </c>
      <c r="B203" s="30" t="s">
        <v>6498</v>
      </c>
      <c r="C203" s="104" t="s">
        <v>6499</v>
      </c>
      <c r="D203" s="21" t="s">
        <v>6500</v>
      </c>
      <c r="E203" s="21" t="s">
        <v>5612</v>
      </c>
      <c r="F203" s="108" t="s">
        <v>5784</v>
      </c>
      <c r="G203" s="104" t="s">
        <v>6501</v>
      </c>
      <c r="H203" s="21" t="n">
        <v>1002</v>
      </c>
      <c r="I203" s="109" t="s">
        <v>6502</v>
      </c>
    </row>
    <row r="204" ht="75" customHeight="1">
      <c r="A204" s="75" t="s">
        <v>6503</v>
      </c>
      <c r="B204" s="30" t="s">
        <v>6504</v>
      </c>
      <c r="C204" s="104" t="s">
        <v>6505</v>
      </c>
      <c r="D204" s="21" t="s">
        <v>6506</v>
      </c>
      <c r="E204" s="21" t="s">
        <v>5802</v>
      </c>
      <c r="F204" s="108" t="s">
        <v>6507</v>
      </c>
      <c r="G204" s="104" t="s">
        <v>6508</v>
      </c>
      <c r="H204" s="21" t="n">
        <v>91</v>
      </c>
      <c r="I204" s="109" t="s">
        <v>6509</v>
      </c>
    </row>
    <row r="205" ht="30" customHeight="1">
      <c r="A205" s="75" t="s">
        <v>6510</v>
      </c>
      <c r="B205" s="30" t="s">
        <v>6511</v>
      </c>
      <c r="C205" s="104" t="s">
        <v>6512</v>
      </c>
      <c r="D205" s="21" t="s">
        <v>6513</v>
      </c>
      <c r="E205" s="21" t="s">
        <v>5682</v>
      </c>
      <c r="F205" s="108" t="s">
        <v>5779</v>
      </c>
      <c r="G205" s="104" t="s">
        <v>6514</v>
      </c>
      <c r="H205" s="21" t="n">
        <v>311</v>
      </c>
      <c r="I205" s="109" t="s">
        <v>6515</v>
      </c>
    </row>
    <row r="206" ht="135" customHeight="1">
      <c r="A206" s="75" t="s">
        <v>1890</v>
      </c>
      <c r="B206" s="30" t="s">
        <v>6516</v>
      </c>
      <c r="C206" s="95" t="s">
        <v>6517</v>
      </c>
      <c r="D206" s="21" t="s">
        <v>5605</v>
      </c>
      <c r="E206" s="21" t="s">
        <v>5606</v>
      </c>
      <c r="F206" s="108" t="s">
        <v>5607</v>
      </c>
      <c r="G206" s="104" t="s">
        <v>6518</v>
      </c>
      <c r="H206" s="21" t="n">
        <v>50</v>
      </c>
      <c r="I206" s="109" t="s">
        <v>6519</v>
      </c>
    </row>
    <row r="207" ht="30" customHeight="1">
      <c r="A207" s="75" t="s">
        <v>2010</v>
      </c>
      <c r="B207" s="30" t="s">
        <v>6520</v>
      </c>
      <c r="C207" s="104" t="s">
        <v>6521</v>
      </c>
      <c r="D207" s="21" t="s">
        <v>6522</v>
      </c>
      <c r="E207" s="21" t="s">
        <v>6146</v>
      </c>
      <c r="F207" s="108" t="s">
        <v>5672</v>
      </c>
      <c r="G207" s="104" t="s">
        <v>6523</v>
      </c>
      <c r="H207" s="21" t="n">
        <v>207</v>
      </c>
      <c r="I207" s="109" t="s">
        <v>6524</v>
      </c>
    </row>
    <row r="208" ht="30" customHeight="1">
      <c r="A208" s="75" t="s">
        <v>998</v>
      </c>
      <c r="B208" s="30" t="s">
        <v>6525</v>
      </c>
      <c r="C208" s="104" t="s">
        <v>6526</v>
      </c>
      <c r="D208" s="21" t="s">
        <v>6527</v>
      </c>
      <c r="E208" s="21" t="s">
        <v>5714</v>
      </c>
      <c r="F208" s="108" t="s">
        <v>5948</v>
      </c>
      <c r="G208" s="104" t="s">
        <v>6528</v>
      </c>
      <c r="H208" s="21" t="n">
        <v>1</v>
      </c>
      <c r="I208" s="109" t="s">
        <v>6529</v>
      </c>
    </row>
    <row r="209" ht="105" customHeight="1">
      <c r="A209" s="75" t="s">
        <v>3625</v>
      </c>
      <c r="B209" s="30" t="s">
        <v>6530</v>
      </c>
      <c r="C209" s="104" t="s">
        <v>1691</v>
      </c>
      <c r="D209" s="21" t="s">
        <v>5736</v>
      </c>
      <c r="E209" s="21" t="s">
        <v>5802</v>
      </c>
      <c r="F209" s="108" t="s">
        <v>5738</v>
      </c>
      <c r="G209" s="104" t="s">
        <v>6531</v>
      </c>
      <c r="H209" s="21" t="n">
        <v>1111</v>
      </c>
      <c r="I209" s="109" t="s">
        <v>6532</v>
      </c>
    </row>
    <row r="210" ht="60" customHeight="1">
      <c r="A210" s="80" t="s">
        <v>1901</v>
      </c>
      <c r="B210" s="30" t="s">
        <v>6533</v>
      </c>
      <c r="C210" s="104" t="s">
        <v>745</v>
      </c>
      <c r="D210" s="21" t="s">
        <v>6534</v>
      </c>
      <c r="E210" s="21" t="s">
        <v>5714</v>
      </c>
      <c r="F210" s="108" t="s">
        <v>5715</v>
      </c>
      <c r="G210" s="104" t="s">
        <v>6535</v>
      </c>
      <c r="H210" s="21" t="n">
        <v>1060</v>
      </c>
      <c r="I210" s="109" t="s">
        <v>6536</v>
      </c>
    </row>
    <row r="211">
      <c r="A211" s="75" t="s">
        <v>1128</v>
      </c>
      <c r="B211" s="30" t="s">
        <v>1122</v>
      </c>
      <c r="C211" s="104" t="s">
        <v>6537</v>
      </c>
      <c r="D211" s="21" t="s">
        <v>6538</v>
      </c>
      <c r="E211" s="21" t="s">
        <v>5737</v>
      </c>
      <c r="F211" s="108" t="s">
        <v>5738</v>
      </c>
      <c r="G211" s="104" t="s">
        <v>6539</v>
      </c>
      <c r="H211" s="21" t="n">
        <v>2896</v>
      </c>
      <c r="I211" s="109" t="s">
        <v>6540</v>
      </c>
    </row>
    <row r="212">
      <c r="A212" s="85" t="s">
        <v>6541</v>
      </c>
      <c r="B212" s="30" t="s">
        <v>6542</v>
      </c>
      <c r="C212" s="104" t="s">
        <v>3985</v>
      </c>
      <c r="D212" s="21" t="s">
        <v>5618</v>
      </c>
      <c r="E212" s="21" t="s">
        <v>5606</v>
      </c>
      <c r="F212" s="108" t="s">
        <v>5607</v>
      </c>
      <c r="G212" s="104" t="s">
        <v>6173</v>
      </c>
      <c r="H212" s="21" t="n">
        <v>951</v>
      </c>
      <c r="I212" s="109" t="s">
        <v>6174</v>
      </c>
    </row>
    <row r="213">
      <c r="A213" s="75" t="s">
        <v>3115</v>
      </c>
      <c r="B213" s="30" t="s">
        <v>3112</v>
      </c>
      <c r="C213" s="104" t="s">
        <v>6543</v>
      </c>
      <c r="D213" s="21" t="s">
        <v>5736</v>
      </c>
      <c r="E213" s="21" t="s">
        <v>5737</v>
      </c>
      <c r="F213" s="108" t="s">
        <v>5738</v>
      </c>
      <c r="G213" s="104" t="s">
        <v>6544</v>
      </c>
      <c r="H213" s="21" t="n">
        <v>3017</v>
      </c>
      <c r="I213" s="109" t="s">
        <v>6545</v>
      </c>
    </row>
    <row r="214">
      <c r="A214" s="30" t="s">
        <v>6546</v>
      </c>
      <c r="B214" s="30" t="s">
        <v>1774</v>
      </c>
      <c r="C214" s="104" t="s">
        <v>1772</v>
      </c>
      <c r="D214" s="21" t="s">
        <v>6289</v>
      </c>
      <c r="E214" s="21" t="s">
        <v>5606</v>
      </c>
      <c r="F214" s="108" t="s">
        <v>5814</v>
      </c>
      <c r="G214" s="104" t="s">
        <v>6290</v>
      </c>
      <c r="H214" s="21" t="n">
        <v>103</v>
      </c>
      <c r="I214" s="109" t="s">
        <v>6291</v>
      </c>
    </row>
    <row r="215">
      <c r="A215" s="30" t="s">
        <v>6547</v>
      </c>
      <c r="B215" s="1" t="s">
        <v>4057</v>
      </c>
      <c r="C215" s="104" t="s">
        <v>6548</v>
      </c>
      <c r="D215" s="21" t="s">
        <v>5925</v>
      </c>
      <c r="E215" s="21" t="s">
        <v>5623</v>
      </c>
      <c r="F215" s="108" t="s">
        <v>5732</v>
      </c>
      <c r="G215" s="104" t="s">
        <v>6549</v>
      </c>
      <c r="H215" s="21" t="n">
        <v>187</v>
      </c>
      <c r="I215" s="109" t="s">
        <v>6550</v>
      </c>
    </row>
    <row r="216" ht="45" customHeight="1">
      <c r="A216" s="80" t="s">
        <v>1041</v>
      </c>
      <c r="B216" s="30" t="s">
        <v>6551</v>
      </c>
      <c r="C216" s="104" t="s">
        <v>1793</v>
      </c>
      <c r="D216" s="21" t="s">
        <v>6552</v>
      </c>
      <c r="E216" s="21" t="s">
        <v>6553</v>
      </c>
      <c r="F216" s="108" t="s">
        <v>5784</v>
      </c>
      <c r="G216" s="104" t="s">
        <v>6544</v>
      </c>
      <c r="H216" s="21" t="n">
        <v>9494</v>
      </c>
      <c r="I216" s="109" t="s">
        <v>6554</v>
      </c>
    </row>
    <row r="217">
      <c r="A217" s="30" t="s">
        <v>6555</v>
      </c>
      <c r="B217" s="30" t="s">
        <v>6556</v>
      </c>
      <c r="C217" s="104" t="s">
        <v>1738</v>
      </c>
      <c r="D217" s="21" t="s">
        <v>6557</v>
      </c>
      <c r="E217" s="21" t="s">
        <v>5737</v>
      </c>
      <c r="F217" s="108" t="s">
        <v>6202</v>
      </c>
      <c r="G217" s="104" t="s">
        <v>6558</v>
      </c>
      <c r="I217" s="109" t="s">
        <v>6559</v>
      </c>
    </row>
    <row r="218">
      <c r="A218" s="85" t="s">
        <v>6560</v>
      </c>
      <c r="B218" s="30" t="s">
        <v>1529</v>
      </c>
      <c r="C218" s="104" t="s">
        <v>1536</v>
      </c>
      <c r="D218" s="21" t="s">
        <v>6561</v>
      </c>
      <c r="E218" s="21" t="s">
        <v>5714</v>
      </c>
      <c r="F218" s="108" t="s">
        <v>5948</v>
      </c>
      <c r="G218" s="104" t="s">
        <v>6562</v>
      </c>
      <c r="H218" s="21" t="n">
        <v>341</v>
      </c>
      <c r="I218" s="109" t="s">
        <v>6563</v>
      </c>
    </row>
    <row r="219">
      <c r="A219" s="85" t="s">
        <v>6564</v>
      </c>
      <c r="B219" s="30" t="s">
        <v>3978</v>
      </c>
      <c r="C219" s="96" t="s">
        <v>3981</v>
      </c>
      <c r="D219" s="21" t="s">
        <v>5773</v>
      </c>
      <c r="E219" s="21" t="s">
        <v>5641</v>
      </c>
      <c r="F219" s="108" t="s">
        <v>5642</v>
      </c>
      <c r="G219" s="104" t="s">
        <v>6565</v>
      </c>
      <c r="H219" s="21" t="n">
        <v>477</v>
      </c>
      <c r="I219" s="109" t="s">
        <v>6566</v>
      </c>
    </row>
    <row r="220">
      <c r="A220" s="30" t="s">
        <v>2580</v>
      </c>
      <c r="B220" s="30" t="s">
        <v>2578</v>
      </c>
      <c r="C220" s="95" t="s">
        <v>6567</v>
      </c>
      <c r="D220" s="21" t="s">
        <v>6320</v>
      </c>
      <c r="E220" s="21" t="s">
        <v>5737</v>
      </c>
      <c r="F220" s="108" t="s">
        <v>5738</v>
      </c>
      <c r="G220" s="104" t="s">
        <v>6492</v>
      </c>
      <c r="H220" s="21" t="n">
        <v>189</v>
      </c>
      <c r="I220" s="109" t="s">
        <v>6568</v>
      </c>
    </row>
    <row r="221">
      <c r="A221" s="82" t="s">
        <v>6569</v>
      </c>
      <c r="B221" s="30" t="s">
        <v>457</v>
      </c>
      <c r="C221" s="95" t="s">
        <v>6570</v>
      </c>
      <c r="D221" s="21" t="s">
        <v>5653</v>
      </c>
      <c r="E221" s="21" t="s">
        <v>5612</v>
      </c>
      <c r="F221" s="108" t="s">
        <v>5654</v>
      </c>
      <c r="G221" s="104" t="s">
        <v>6571</v>
      </c>
      <c r="H221" s="21" t="n">
        <v>2691</v>
      </c>
      <c r="I221" s="109" t="s">
        <v>6572</v>
      </c>
    </row>
    <row r="222">
      <c r="A222" s="91" t="s">
        <v>6573</v>
      </c>
      <c r="B222" s="30" t="s">
        <v>457</v>
      </c>
      <c r="C222" s="95" t="s">
        <v>6574</v>
      </c>
      <c r="D222" s="21" t="s">
        <v>6365</v>
      </c>
      <c r="E222" s="21" t="s">
        <v>5612</v>
      </c>
      <c r="F222" s="108" t="s">
        <v>5654</v>
      </c>
      <c r="G222" s="104" t="s">
        <v>6575</v>
      </c>
      <c r="H222" s="21" t="n">
        <v>328</v>
      </c>
      <c r="I222" s="109" t="s">
        <v>6576</v>
      </c>
    </row>
    <row r="223">
      <c r="A223" s="82" t="s">
        <v>6577</v>
      </c>
      <c r="B223" s="30" t="s">
        <v>457</v>
      </c>
      <c r="C223" s="95" t="s">
        <v>6578</v>
      </c>
      <c r="D223" s="21" t="s">
        <v>6579</v>
      </c>
      <c r="E223" s="21" t="s">
        <v>5612</v>
      </c>
      <c r="F223" s="108" t="s">
        <v>5839</v>
      </c>
      <c r="G223" s="104" t="s">
        <v>6580</v>
      </c>
      <c r="H223" s="21" t="n">
        <v>400</v>
      </c>
      <c r="I223" s="109" t="s">
        <v>6581</v>
      </c>
    </row>
    <row r="224">
      <c r="A224" s="82" t="s">
        <v>6582</v>
      </c>
      <c r="B224" s="105" t="s">
        <v>1933</v>
      </c>
      <c r="C224" s="104" t="s">
        <v>6583</v>
      </c>
      <c r="D224" s="21" t="s">
        <v>6584</v>
      </c>
      <c r="E224" s="21" t="s">
        <v>5682</v>
      </c>
      <c r="F224" s="108" t="s">
        <v>6037</v>
      </c>
      <c r="G224" s="104" t="s">
        <v>6585</v>
      </c>
      <c r="H224" s="21" t="n">
        <v>809</v>
      </c>
      <c r="I224" s="109" t="s">
        <v>6586</v>
      </c>
    </row>
    <row r="225">
      <c r="A225" s="82" t="s">
        <v>6587</v>
      </c>
      <c r="B225" s="30" t="s">
        <v>1656</v>
      </c>
      <c r="C225" s="104" t="s">
        <v>6588</v>
      </c>
      <c r="D225" s="21" t="s">
        <v>6320</v>
      </c>
      <c r="E225" s="21" t="s">
        <v>5737</v>
      </c>
      <c r="F225" s="108" t="s">
        <v>5738</v>
      </c>
      <c r="G225" s="104" t="s">
        <v>6589</v>
      </c>
      <c r="H225" s="21" t="n">
        <v>1377</v>
      </c>
      <c r="I225" s="109" t="s">
        <v>6590</v>
      </c>
    </row>
    <row r="226">
      <c r="A226" s="82" t="s">
        <v>4074</v>
      </c>
      <c r="B226" s="30" t="s">
        <v>4070</v>
      </c>
      <c r="C226" s="104" t="s">
        <v>6591</v>
      </c>
      <c r="D226" s="21" t="s">
        <v>5963</v>
      </c>
      <c r="E226" s="21" t="s">
        <v>5623</v>
      </c>
      <c r="F226" s="108" t="s">
        <v>5732</v>
      </c>
      <c r="G226" s="104" t="s">
        <v>6592</v>
      </c>
      <c r="H226" s="21" t="n">
        <v>2900</v>
      </c>
      <c r="I226" s="109" t="s">
        <v>6593</v>
      </c>
    </row>
    <row r="227">
      <c r="A227" s="82" t="s">
        <v>1499</v>
      </c>
      <c r="B227" s="30" t="s">
        <v>6594</v>
      </c>
      <c r="C227" s="104" t="s">
        <v>6595</v>
      </c>
      <c r="D227" s="21" t="s">
        <v>6596</v>
      </c>
      <c r="E227" s="21" t="s">
        <v>5737</v>
      </c>
      <c r="F227" s="108" t="s">
        <v>6507</v>
      </c>
      <c r="G227" s="104" t="s">
        <v>6597</v>
      </c>
      <c r="H227" s="21" t="n">
        <v>85</v>
      </c>
      <c r="I227" s="109" t="s">
        <v>6598</v>
      </c>
    </row>
    <row r="228">
      <c r="A228" s="82" t="s">
        <v>6599</v>
      </c>
      <c r="B228" s="30" t="s">
        <v>4075</v>
      </c>
      <c r="C228" s="104" t="s">
        <v>6600</v>
      </c>
      <c r="D228" s="21" t="s">
        <v>6601</v>
      </c>
      <c r="E228" s="21" t="s">
        <v>5802</v>
      </c>
      <c r="F228" s="108" t="s">
        <v>5866</v>
      </c>
      <c r="G228" s="104" t="s">
        <v>6602</v>
      </c>
      <c r="H228" s="21" t="n">
        <v>911</v>
      </c>
      <c r="I228" s="109" t="s">
        <v>6603</v>
      </c>
    </row>
    <row r="229">
      <c r="A229" s="91" t="s">
        <v>879</v>
      </c>
      <c r="B229" s="30" t="s">
        <v>874</v>
      </c>
      <c r="C229" s="104" t="s">
        <v>6604</v>
      </c>
      <c r="D229" s="21" t="s">
        <v>6437</v>
      </c>
      <c r="E229" s="21" t="s">
        <v>5629</v>
      </c>
      <c r="F229" s="108" t="s">
        <v>5790</v>
      </c>
      <c r="G229" s="104" t="s">
        <v>6605</v>
      </c>
      <c r="H229" s="21" t="n">
        <v>1022</v>
      </c>
      <c r="I229" s="109" t="s">
        <v>6606</v>
      </c>
    </row>
    <row r="230">
      <c r="A230" s="82" t="s">
        <v>873</v>
      </c>
      <c r="B230" s="30" t="s">
        <v>6607</v>
      </c>
      <c r="C230" s="104" t="s">
        <v>6608</v>
      </c>
      <c r="D230" s="21" t="s">
        <v>6086</v>
      </c>
      <c r="E230" s="21" t="s">
        <v>5629</v>
      </c>
      <c r="F230" s="108" t="s">
        <v>5790</v>
      </c>
      <c r="G230" s="104" t="s">
        <v>6609</v>
      </c>
      <c r="H230" s="21" t="n">
        <v>215</v>
      </c>
      <c r="I230" s="109" t="s">
        <v>6610</v>
      </c>
    </row>
    <row r="231">
      <c r="A231" s="70" t="s">
        <v>6611</v>
      </c>
      <c r="B231" s="30" t="s">
        <v>6612</v>
      </c>
      <c r="C231" s="104" t="s">
        <v>4668</v>
      </c>
      <c r="D231" s="21" t="s">
        <v>6613</v>
      </c>
      <c r="E231" s="21" t="s">
        <v>5641</v>
      </c>
      <c r="F231" s="108" t="s">
        <v>6105</v>
      </c>
      <c r="G231" s="104" t="s">
        <v>6614</v>
      </c>
    </row>
    <row r="232">
      <c r="A232" s="88" t="s">
        <v>6615</v>
      </c>
      <c r="B232" s="30" t="s">
        <v>1491</v>
      </c>
      <c r="C232" s="104" t="s">
        <v>6616</v>
      </c>
      <c r="D232" s="21" t="s">
        <v>6086</v>
      </c>
      <c r="E232" s="21" t="s">
        <v>5629</v>
      </c>
      <c r="F232" s="108" t="s">
        <v>5790</v>
      </c>
      <c r="G232" s="104" t="s">
        <v>6615</v>
      </c>
      <c r="I232" s="109" t="s">
        <v>6617</v>
      </c>
    </row>
    <row r="233">
      <c r="A233" s="88" t="s">
        <v>6618</v>
      </c>
      <c r="B233" s="30" t="s">
        <v>4280</v>
      </c>
      <c r="C233" s="104" t="s">
        <v>6619</v>
      </c>
      <c r="D233" s="21" t="s">
        <v>6620</v>
      </c>
      <c r="E233" s="21" t="s">
        <v>5737</v>
      </c>
      <c r="F233" s="108" t="s">
        <v>6507</v>
      </c>
      <c r="G233" s="104" t="s">
        <v>6618</v>
      </c>
      <c r="I233" s="109" t="s">
        <v>6621</v>
      </c>
    </row>
    <row r="234">
      <c r="A234" s="88" t="s">
        <v>6622</v>
      </c>
      <c r="B234" s="30" t="s">
        <v>654</v>
      </c>
      <c r="C234" s="104" t="s">
        <v>6623</v>
      </c>
      <c r="D234" s="21" t="s">
        <v>5653</v>
      </c>
      <c r="E234" s="21" t="s">
        <v>5612</v>
      </c>
      <c r="F234" s="108" t="s">
        <v>5654</v>
      </c>
      <c r="G234" s="104" t="s">
        <v>6571</v>
      </c>
      <c r="H234" s="21" t="n">
        <v>2141</v>
      </c>
    </row>
    <row r="235">
      <c r="A235" s="70" t="s">
        <v>6624</v>
      </c>
      <c r="B235" s="30" t="s">
        <v>880</v>
      </c>
      <c r="C235" s="104" t="s">
        <v>6624</v>
      </c>
      <c r="D235" s="21" t="s">
        <v>5919</v>
      </c>
      <c r="E235" s="21" t="s">
        <v>5629</v>
      </c>
      <c r="F235" s="108" t="s">
        <v>5920</v>
      </c>
      <c r="G235" s="104" t="s">
        <v>6625</v>
      </c>
    </row>
    <row r="236" ht="30" customHeight="1">
      <c r="A236" s="70" t="s">
        <v>6626</v>
      </c>
      <c r="B236" s="30" t="s">
        <v>4271</v>
      </c>
      <c r="C236" s="104" t="s">
        <v>6627</v>
      </c>
      <c r="D236" s="21" t="s">
        <v>6229</v>
      </c>
      <c r="E236" s="21" t="s">
        <v>5682</v>
      </c>
      <c r="F236" s="108" t="s">
        <v>5699</v>
      </c>
      <c r="G236" s="104" t="s">
        <v>6626</v>
      </c>
      <c r="I236" s="109" t="s">
        <v>6628</v>
      </c>
    </row>
    <row r="237">
      <c r="A237" s="70" t="s">
        <v>1674</v>
      </c>
      <c r="B237" s="30" t="s">
        <v>1670</v>
      </c>
      <c r="C237" s="104" t="s">
        <v>1675</v>
      </c>
      <c r="D237" s="21" t="s">
        <v>6320</v>
      </c>
      <c r="E237" s="21" t="s">
        <v>5737</v>
      </c>
      <c r="F237" s="108" t="s">
        <v>5738</v>
      </c>
      <c r="G237" s="104" t="s">
        <v>6629</v>
      </c>
      <c r="H237" s="21" t="n">
        <v>337</v>
      </c>
      <c r="I237" s="109" t="s">
        <v>6630</v>
      </c>
    </row>
    <row r="238">
      <c r="A238" s="70" t="s">
        <v>1433</v>
      </c>
      <c r="B238" s="30" t="s">
        <v>1429</v>
      </c>
      <c r="C238" s="104" t="s">
        <v>1433</v>
      </c>
      <c r="D238" s="21" t="s">
        <v>6005</v>
      </c>
      <c r="E238" s="21" t="s">
        <v>5600</v>
      </c>
      <c r="F238" s="108" t="s">
        <v>5704</v>
      </c>
      <c r="G238" s="104" t="s">
        <v>6631</v>
      </c>
    </row>
    <row r="239">
      <c r="A239" s="70" t="s">
        <v>1482</v>
      </c>
      <c r="B239" s="30" t="s">
        <v>1479</v>
      </c>
      <c r="C239" s="104" t="s">
        <v>1482</v>
      </c>
      <c r="D239" s="21" t="s">
        <v>6632</v>
      </c>
      <c r="E239" s="21" t="s">
        <v>5737</v>
      </c>
      <c r="F239" s="108" t="s">
        <v>5866</v>
      </c>
      <c r="G239" s="104" t="s">
        <v>6633</v>
      </c>
      <c r="I239" s="109" t="s">
        <v>6634</v>
      </c>
    </row>
    <row r="240" ht="30" customHeight="1">
      <c r="A240" s="70" t="s">
        <v>6635</v>
      </c>
      <c r="B240" s="30" t="s">
        <v>4296</v>
      </c>
      <c r="C240" s="104" t="s">
        <v>6636</v>
      </c>
      <c r="D240" s="21" t="s">
        <v>6229</v>
      </c>
      <c r="E240" s="21" t="s">
        <v>5682</v>
      </c>
      <c r="F240" s="108" t="s">
        <v>5699</v>
      </c>
      <c r="G240" s="104" t="s">
        <v>6637</v>
      </c>
      <c r="I240" s="109" t="s">
        <v>6638</v>
      </c>
    </row>
    <row r="241">
      <c r="A241" s="70" t="s">
        <v>1487</v>
      </c>
      <c r="B241" s="30" t="s">
        <v>1483</v>
      </c>
      <c r="C241" s="104" t="s">
        <v>1487</v>
      </c>
      <c r="D241" s="21" t="s">
        <v>6181</v>
      </c>
      <c r="E241" s="21" t="s">
        <v>5612</v>
      </c>
      <c r="F241" s="108" t="s">
        <v>5784</v>
      </c>
      <c r="G241" s="104" t="s">
        <v>6639</v>
      </c>
      <c r="I241" s="109" t="s">
        <v>6640</v>
      </c>
    </row>
    <row r="242">
      <c r="A242" s="70" t="s">
        <v>2774</v>
      </c>
      <c r="B242" s="30" t="s">
        <v>2770</v>
      </c>
      <c r="C242" s="104" t="s">
        <v>6641</v>
      </c>
      <c r="D242" s="21" t="s">
        <v>6642</v>
      </c>
      <c r="E242" s="21" t="s">
        <v>5641</v>
      </c>
      <c r="F242" s="108" t="s">
        <v>6105</v>
      </c>
      <c r="G242" s="104" t="s">
        <v>6643</v>
      </c>
      <c r="I242" s="109" t="s">
        <v>6644</v>
      </c>
    </row>
    <row r="243" ht="30" customHeight="1">
      <c r="A243" s="70" t="s">
        <v>6645</v>
      </c>
      <c r="B243" s="30" t="s">
        <v>4271</v>
      </c>
      <c r="C243" s="104" t="s">
        <v>6645</v>
      </c>
      <c r="D243" s="21" t="s">
        <v>6229</v>
      </c>
      <c r="E243" s="21" t="s">
        <v>5682</v>
      </c>
      <c r="F243" s="108" t="s">
        <v>5699</v>
      </c>
      <c r="G243" s="104" t="s">
        <v>6645</v>
      </c>
    </row>
    <row r="244" ht="30" customHeight="1">
      <c r="A244" s="70" t="s">
        <v>6646</v>
      </c>
      <c r="B244" s="30" t="s">
        <v>4271</v>
      </c>
      <c r="C244" s="104" t="s">
        <v>6646</v>
      </c>
      <c r="D244" s="21" t="s">
        <v>6229</v>
      </c>
      <c r="E244" s="21" t="s">
        <v>5682</v>
      </c>
      <c r="F244" s="108" t="s">
        <v>5699</v>
      </c>
      <c r="G244" s="104" t="s">
        <v>6647</v>
      </c>
    </row>
    <row r="245" ht="30" customHeight="1">
      <c r="A245" s="70" t="s">
        <v>6648</v>
      </c>
      <c r="B245" s="30" t="s">
        <v>4276</v>
      </c>
      <c r="C245" s="104" t="s">
        <v>6648</v>
      </c>
      <c r="D245" s="21" t="s">
        <v>6229</v>
      </c>
      <c r="E245" s="21" t="s">
        <v>5682</v>
      </c>
      <c r="F245" s="108" t="s">
        <v>5699</v>
      </c>
      <c r="G245" s="104" t="s">
        <v>6649</v>
      </c>
    </row>
    <row r="246">
      <c r="A246" s="70" t="s">
        <v>6650</v>
      </c>
      <c r="B246" s="30" t="s">
        <v>919</v>
      </c>
      <c r="C246" s="104" t="s">
        <v>6651</v>
      </c>
      <c r="D246" s="21" t="s">
        <v>6086</v>
      </c>
      <c r="E246" s="21" t="s">
        <v>5629</v>
      </c>
      <c r="F246" s="108" t="s">
        <v>5790</v>
      </c>
      <c r="G246" s="104" t="s">
        <v>6652</v>
      </c>
      <c r="I246" s="109" t="s">
        <v>6653</v>
      </c>
    </row>
    <row r="247">
      <c r="A247" s="70" t="s">
        <v>6654</v>
      </c>
      <c r="B247" s="30" t="s">
        <v>4660</v>
      </c>
      <c r="C247" s="104" t="s">
        <v>4664</v>
      </c>
      <c r="D247" s="21" t="s">
        <v>5953</v>
      </c>
      <c r="E247" s="21" t="s">
        <v>5641</v>
      </c>
      <c r="F247" s="108" t="s">
        <v>5669</v>
      </c>
      <c r="G247" s="104" t="s">
        <v>6655</v>
      </c>
      <c r="H247" s="21" t="n">
        <v>25</v>
      </c>
    </row>
    <row r="248">
      <c r="A248" s="70" t="s">
        <v>6656</v>
      </c>
      <c r="B248" s="30" t="s">
        <v>1181</v>
      </c>
      <c r="C248" s="104" t="s">
        <v>6656</v>
      </c>
      <c r="D248" s="21" t="s">
        <v>6402</v>
      </c>
      <c r="E248" s="21" t="s">
        <v>5714</v>
      </c>
      <c r="F248" s="108" t="s">
        <v>5948</v>
      </c>
      <c r="G248" s="104" t="s">
        <v>6657</v>
      </c>
      <c r="I248" s="109" t="s">
        <v>6658</v>
      </c>
    </row>
    <row r="249">
      <c r="A249" s="70" t="s">
        <v>1437</v>
      </c>
      <c r="B249" s="30" t="s">
        <v>1434</v>
      </c>
      <c r="C249" s="104" t="s">
        <v>1437</v>
      </c>
      <c r="D249" s="21" t="s">
        <v>5703</v>
      </c>
      <c r="E249" s="21" t="s">
        <v>5600</v>
      </c>
      <c r="F249" s="108" t="s">
        <v>5704</v>
      </c>
      <c r="G249" s="104" t="s">
        <v>6659</v>
      </c>
    </row>
    <row r="250">
      <c r="A250" s="70" t="s">
        <v>6660</v>
      </c>
      <c r="B250" s="30" t="s">
        <v>4284</v>
      </c>
      <c r="C250" s="104" t="s">
        <v>6661</v>
      </c>
      <c r="D250" s="21" t="s">
        <v>5910</v>
      </c>
      <c r="E250" s="21" t="s">
        <v>5682</v>
      </c>
      <c r="F250" s="108" t="s">
        <v>5699</v>
      </c>
      <c r="G250" s="104" t="s">
        <v>6662</v>
      </c>
      <c r="H250" s="21" t="n">
        <v>98</v>
      </c>
    </row>
    <row r="251">
      <c r="A251" s="70" t="s">
        <v>6663</v>
      </c>
      <c r="B251" s="30" t="s">
        <v>4442</v>
      </c>
      <c r="C251" s="104" t="s">
        <v>6664</v>
      </c>
      <c r="D251" s="21" t="s">
        <v>6665</v>
      </c>
      <c r="E251" s="21" t="s">
        <v>5682</v>
      </c>
      <c r="F251" s="108" t="s">
        <v>5691</v>
      </c>
      <c r="G251" s="104" t="s">
        <v>6666</v>
      </c>
      <c r="H251" s="21" t="n">
        <v>224</v>
      </c>
      <c r="I251" s="109" t="s">
        <v>6667</v>
      </c>
    </row>
    <row r="252" ht="30" customHeight="1">
      <c r="A252" s="70" t="s">
        <v>6668</v>
      </c>
      <c r="B252" s="30" t="s">
        <v>2863</v>
      </c>
      <c r="C252" s="104" t="s">
        <v>6668</v>
      </c>
      <c r="D252" s="21" t="s">
        <v>6669</v>
      </c>
      <c r="E252" s="21" t="s">
        <v>5714</v>
      </c>
      <c r="F252" s="108" t="s">
        <v>5715</v>
      </c>
      <c r="G252" s="104" t="s">
        <v>6670</v>
      </c>
      <c r="J252" s="99" t="n">
        <v>-19818312</v>
      </c>
      <c r="K252" s="99" t="n">
        <v>-43886688</v>
      </c>
    </row>
    <row r="253">
      <c r="A253" s="70" t="s">
        <v>6671</v>
      </c>
      <c r="B253" s="30" t="s">
        <v>3460</v>
      </c>
      <c r="C253" s="104" t="s">
        <v>6671</v>
      </c>
      <c r="D253" s="21" t="s">
        <v>6672</v>
      </c>
      <c r="E253" s="21" t="s">
        <v>5682</v>
      </c>
      <c r="F253" s="108" t="s">
        <v>5691</v>
      </c>
      <c r="G253" s="104" t="s">
        <v>6673</v>
      </c>
      <c r="H253" s="21" t="n">
        <v>2010</v>
      </c>
    </row>
    <row r="254">
      <c r="A254" s="70" t="s">
        <v>6674</v>
      </c>
      <c r="B254" s="30" t="s">
        <v>2225</v>
      </c>
      <c r="C254" s="104" t="s">
        <v>6675</v>
      </c>
      <c r="D254" s="21" t="s">
        <v>6676</v>
      </c>
      <c r="E254" s="21" t="s">
        <v>5623</v>
      </c>
      <c r="F254" s="108" t="s">
        <v>5732</v>
      </c>
      <c r="G254" s="104" t="s">
        <v>6677</v>
      </c>
    </row>
    <row r="255">
      <c r="A255" s="70" t="s">
        <v>6678</v>
      </c>
      <c r="B255" s="30" t="s">
        <v>4292</v>
      </c>
      <c r="C255" s="104" t="s">
        <v>6679</v>
      </c>
      <c r="D255" s="21" t="s">
        <v>6680</v>
      </c>
      <c r="E255" s="21" t="s">
        <v>5682</v>
      </c>
      <c r="F255" s="108" t="s">
        <v>5691</v>
      </c>
      <c r="G255" s="104" t="s">
        <v>6678</v>
      </c>
    </row>
    <row r="256">
      <c r="A256" s="70" t="s">
        <v>6681</v>
      </c>
      <c r="B256" s="30" t="s">
        <v>4300</v>
      </c>
      <c r="C256" s="104" t="s">
        <v>6681</v>
      </c>
      <c r="D256" s="21" t="s">
        <v>5681</v>
      </c>
      <c r="E256" s="21" t="s">
        <v>5682</v>
      </c>
      <c r="F256" s="108" t="s">
        <v>5683</v>
      </c>
      <c r="G256" s="104" t="s">
        <v>6682</v>
      </c>
    </row>
    <row r="257">
      <c r="A257" s="70" t="s">
        <v>6683</v>
      </c>
      <c r="B257" s="1" t="s">
        <v>3634</v>
      </c>
      <c r="C257" s="104" t="s">
        <v>6684</v>
      </c>
      <c r="D257" s="21" t="s">
        <v>5663</v>
      </c>
      <c r="E257" s="21" t="s">
        <v>5606</v>
      </c>
      <c r="F257" s="108" t="s">
        <v>5664</v>
      </c>
      <c r="G257" s="104" t="s">
        <v>6685</v>
      </c>
      <c r="I257" s="109" t="s">
        <v>6686</v>
      </c>
    </row>
    <row r="258">
      <c r="A258" s="70" t="s">
        <v>6687</v>
      </c>
      <c r="B258" s="30" t="s">
        <v>2806</v>
      </c>
      <c r="C258" s="104" t="s">
        <v>6688</v>
      </c>
      <c r="D258" s="21" t="s">
        <v>6062</v>
      </c>
      <c r="E258" s="21" t="s">
        <v>5641</v>
      </c>
      <c r="F258" s="108" t="s">
        <v>5647</v>
      </c>
      <c r="G258" s="104" t="s">
        <v>6687</v>
      </c>
      <c r="I258" s="109" t="s">
        <v>6689</v>
      </c>
    </row>
    <row r="259" ht="30" customHeight="1">
      <c r="A259" s="70" t="s">
        <v>6690</v>
      </c>
      <c r="B259" s="30" t="s">
        <v>4655</v>
      </c>
      <c r="C259" s="104" t="s">
        <v>6691</v>
      </c>
      <c r="D259" s="21" t="s">
        <v>5953</v>
      </c>
      <c r="E259" s="21" t="s">
        <v>5641</v>
      </c>
      <c r="F259" s="108" t="s">
        <v>5669</v>
      </c>
      <c r="G259" s="104" t="s">
        <v>5954</v>
      </c>
      <c r="H259" s="21" t="n">
        <v>2861</v>
      </c>
    </row>
    <row r="260">
      <c r="A260" s="70" t="s">
        <v>6692</v>
      </c>
      <c r="B260" s="30" t="s">
        <v>4271</v>
      </c>
      <c r="C260" s="104" t="s">
        <v>6693</v>
      </c>
      <c r="D260" s="21" t="s">
        <v>6229</v>
      </c>
      <c r="E260" s="21" t="s">
        <v>5682</v>
      </c>
      <c r="F260" s="108" t="s">
        <v>5699</v>
      </c>
      <c r="G260" s="104" t="s">
        <v>6692</v>
      </c>
      <c r="I260" s="109" t="s">
        <v>6694</v>
      </c>
    </row>
    <row r="261">
      <c r="A261" s="70" t="s">
        <v>2956</v>
      </c>
      <c r="B261" s="30" t="s">
        <v>6695</v>
      </c>
      <c r="C261" s="104" t="s">
        <v>2956</v>
      </c>
      <c r="D261" s="21" t="s">
        <v>6696</v>
      </c>
      <c r="E261" s="21" t="s">
        <v>5623</v>
      </c>
      <c r="F261" s="108" t="s">
        <v>5672</v>
      </c>
      <c r="G261" s="104" t="s">
        <v>6697</v>
      </c>
    </row>
    <row r="262">
      <c r="A262" s="70" t="s">
        <v>2682</v>
      </c>
      <c r="B262" s="30" t="s">
        <v>6698</v>
      </c>
      <c r="C262" s="104" t="s">
        <v>2682</v>
      </c>
      <c r="D262" s="21" t="s">
        <v>6699</v>
      </c>
      <c r="E262" s="21" t="s">
        <v>5623</v>
      </c>
      <c r="F262" s="108" t="s">
        <v>5672</v>
      </c>
      <c r="G262" s="104" t="s">
        <v>6700</v>
      </c>
      <c r="I262" s="109" t="s">
        <v>6701</v>
      </c>
    </row>
    <row r="263">
      <c r="A263" s="70" t="s">
        <v>6702</v>
      </c>
      <c r="B263" s="30" t="s">
        <v>6703</v>
      </c>
      <c r="C263" s="104" t="s">
        <v>6702</v>
      </c>
      <c r="D263" s="21" t="s">
        <v>6384</v>
      </c>
      <c r="E263" s="21" t="s">
        <v>5600</v>
      </c>
      <c r="F263" s="108" t="s">
        <v>5704</v>
      </c>
      <c r="G263" s="104" t="s">
        <v>6704</v>
      </c>
    </row>
    <row r="264">
      <c r="A264" s="70" t="s">
        <v>6705</v>
      </c>
      <c r="B264" s="30" t="s">
        <v>3584</v>
      </c>
      <c r="C264" s="104" t="s">
        <v>3588</v>
      </c>
      <c r="D264" s="21" t="s">
        <v>6706</v>
      </c>
      <c r="E264" s="21" t="s">
        <v>5629</v>
      </c>
      <c r="F264" s="108" t="s">
        <v>5876</v>
      </c>
      <c r="G264" s="104" t="s">
        <v>6707</v>
      </c>
      <c r="H264" s="21" t="n">
        <v>170</v>
      </c>
      <c r="I264" s="109" t="s">
        <v>6708</v>
      </c>
    </row>
    <row r="265">
      <c r="A265" s="88" t="s">
        <v>6709</v>
      </c>
      <c r="B265" s="30" t="s">
        <v>1584</v>
      </c>
      <c r="C265" s="104" t="s">
        <v>6710</v>
      </c>
      <c r="D265" s="21" t="s">
        <v>6384</v>
      </c>
      <c r="E265" s="21" t="s">
        <v>5600</v>
      </c>
      <c r="F265" s="108" t="s">
        <v>5704</v>
      </c>
      <c r="G265" s="104" t="s">
        <v>6711</v>
      </c>
      <c r="H265" s="21" t="n">
        <v>208</v>
      </c>
      <c r="I265" s="109" t="s">
        <v>6712</v>
      </c>
    </row>
    <row r="266" ht="30" customHeight="1">
      <c r="A266" s="88" t="s">
        <v>6713</v>
      </c>
      <c r="B266" s="30" t="s">
        <v>4437</v>
      </c>
      <c r="C266" s="104" t="s">
        <v>6714</v>
      </c>
      <c r="D266" s="21" t="s">
        <v>6229</v>
      </c>
      <c r="E266" s="21" t="s">
        <v>5682</v>
      </c>
      <c r="F266" s="108" t="s">
        <v>5699</v>
      </c>
      <c r="G266" s="104" t="s">
        <v>6713</v>
      </c>
      <c r="I266" s="109" t="s">
        <v>6715</v>
      </c>
    </row>
    <row r="267">
      <c r="A267" s="86" t="s">
        <v>6716</v>
      </c>
      <c r="B267" s="30" t="s">
        <v>1565</v>
      </c>
      <c r="C267" s="104" t="s">
        <v>1569</v>
      </c>
      <c r="D267" s="21" t="s">
        <v>6717</v>
      </c>
      <c r="E267" s="21" t="s">
        <v>5623</v>
      </c>
      <c r="F267" s="108" t="s">
        <v>5636</v>
      </c>
      <c r="G267" s="104" t="s">
        <v>6718</v>
      </c>
      <c r="H267" s="21" t="n">
        <v>555</v>
      </c>
      <c r="I267" s="109" t="s">
        <v>6719</v>
      </c>
    </row>
    <row r="268">
      <c r="A268" s="86" t="s">
        <v>6720</v>
      </c>
      <c r="B268" s="30" t="s">
        <v>3941</v>
      </c>
      <c r="C268" s="104" t="s">
        <v>3944</v>
      </c>
      <c r="D268" s="21" t="s">
        <v>5618</v>
      </c>
      <c r="E268" s="21" t="s">
        <v>5606</v>
      </c>
      <c r="F268" s="108" t="s">
        <v>5607</v>
      </c>
      <c r="G268" s="104" t="s">
        <v>6721</v>
      </c>
      <c r="H268" s="21" t="n">
        <v>208</v>
      </c>
      <c r="I268" s="109" t="s">
        <v>6722</v>
      </c>
    </row>
    <row r="269">
      <c r="A269" s="87" t="s">
        <v>6723</v>
      </c>
      <c r="B269" s="30" t="s">
        <v>2477</v>
      </c>
      <c r="C269" s="104" t="s">
        <v>6724</v>
      </c>
      <c r="D269" s="21" t="s">
        <v>6725</v>
      </c>
      <c r="E269" s="21" t="s">
        <v>5682</v>
      </c>
      <c r="F269" s="108" t="s">
        <v>6037</v>
      </c>
      <c r="G269" s="104" t="s">
        <v>6726</v>
      </c>
      <c r="H269" s="21" t="n">
        <v>49</v>
      </c>
      <c r="I269" s="109" t="s">
        <v>6727</v>
      </c>
    </row>
    <row r="270">
      <c r="A270" s="87" t="s">
        <v>6728</v>
      </c>
      <c r="B270" s="30" t="s">
        <v>3592</v>
      </c>
      <c r="C270" s="104" t="s">
        <v>3595</v>
      </c>
      <c r="D270" s="21" t="s">
        <v>5618</v>
      </c>
      <c r="E270" s="21" t="s">
        <v>5606</v>
      </c>
      <c r="F270" s="108" t="s">
        <v>5607</v>
      </c>
      <c r="G270" s="104" t="s">
        <v>6729</v>
      </c>
      <c r="H270" s="21" t="n">
        <v>221</v>
      </c>
      <c r="I270" s="109" t="s">
        <v>6730</v>
      </c>
    </row>
    <row r="271">
      <c r="A271" s="81" t="s">
        <v>6731</v>
      </c>
      <c r="B271" s="1" t="s">
        <v>3545</v>
      </c>
      <c r="C271" s="104" t="s">
        <v>6732</v>
      </c>
      <c r="D271" s="21" t="s">
        <v>5605</v>
      </c>
      <c r="E271" s="21" t="s">
        <v>5606</v>
      </c>
      <c r="F271" s="108" t="s">
        <v>5607</v>
      </c>
      <c r="G271" s="104" t="s">
        <v>6733</v>
      </c>
      <c r="H271" s="21" t="n">
        <v>185</v>
      </c>
      <c r="I271" s="109" t="s">
        <v>6734</v>
      </c>
    </row>
    <row r="272">
      <c r="A272" s="81" t="s">
        <v>6735</v>
      </c>
      <c r="B272" s="30" t="s">
        <v>4455</v>
      </c>
      <c r="C272" s="104" t="s">
        <v>4459</v>
      </c>
      <c r="D272" s="21" t="s">
        <v>6736</v>
      </c>
      <c r="E272" s="21" t="s">
        <v>5606</v>
      </c>
      <c r="F272" s="108" t="s">
        <v>5664</v>
      </c>
      <c r="G272" s="104" t="s">
        <v>6737</v>
      </c>
      <c r="H272" s="21" t="n">
        <v>660</v>
      </c>
      <c r="I272" s="109" t="s">
        <v>6738</v>
      </c>
    </row>
    <row r="273">
      <c r="A273" s="81" t="s">
        <v>6739</v>
      </c>
      <c r="B273" s="30" t="s">
        <v>3648</v>
      </c>
      <c r="C273" s="104" t="s">
        <v>6740</v>
      </c>
      <c r="D273" s="21" t="s">
        <v>6031</v>
      </c>
      <c r="E273" s="21" t="s">
        <v>5600</v>
      </c>
      <c r="F273" s="108" t="s">
        <v>5973</v>
      </c>
      <c r="G273" s="104" t="s">
        <v>6741</v>
      </c>
      <c r="I273" s="109" t="s">
        <v>6742</v>
      </c>
    </row>
    <row r="274">
      <c r="A274" s="81" t="s">
        <v>6743</v>
      </c>
      <c r="B274" s="30" t="s">
        <v>643</v>
      </c>
      <c r="C274" s="104" t="s">
        <v>6744</v>
      </c>
      <c r="D274" s="21" t="s">
        <v>6365</v>
      </c>
      <c r="E274" s="21" t="s">
        <v>5612</v>
      </c>
      <c r="F274" s="108" t="s">
        <v>5654</v>
      </c>
      <c r="G274" s="104" t="s">
        <v>6745</v>
      </c>
    </row>
    <row r="275">
      <c r="A275" s="78" t="s">
        <v>6746</v>
      </c>
      <c r="B275" s="30" t="s">
        <v>3460</v>
      </c>
      <c r="C275" s="104" t="s">
        <v>6746</v>
      </c>
      <c r="D275" s="21" t="s">
        <v>6665</v>
      </c>
      <c r="E275" s="21" t="s">
        <v>5682</v>
      </c>
      <c r="F275" s="108" t="s">
        <v>5691</v>
      </c>
      <c r="G275" s="104" t="s">
        <v>6747</v>
      </c>
      <c r="H275" s="21" t="n">
        <v>796</v>
      </c>
      <c r="I275" s="109" t="s">
        <v>6748</v>
      </c>
    </row>
    <row r="276">
      <c r="A276" s="78" t="s">
        <v>6749</v>
      </c>
      <c r="B276" s="30" t="s">
        <v>3460</v>
      </c>
      <c r="C276" s="104" t="s">
        <v>6750</v>
      </c>
      <c r="D276" s="21" t="s">
        <v>6751</v>
      </c>
      <c r="E276" s="21" t="s">
        <v>5682</v>
      </c>
      <c r="F276" s="108" t="s">
        <v>5691</v>
      </c>
      <c r="G276" s="104" t="s">
        <v>6752</v>
      </c>
      <c r="H276" s="21" t="n">
        <v>146</v>
      </c>
      <c r="I276" s="109" t="s">
        <v>6753</v>
      </c>
    </row>
    <row r="277">
      <c r="A277" s="78" t="s">
        <v>928</v>
      </c>
      <c r="B277" s="30" t="s">
        <v>923</v>
      </c>
      <c r="C277" s="104" t="s">
        <v>928</v>
      </c>
      <c r="D277" s="21" t="s">
        <v>6121</v>
      </c>
      <c r="E277" s="21" t="s">
        <v>5606</v>
      </c>
      <c r="F277" s="108" t="s">
        <v>5664</v>
      </c>
      <c r="G277" s="104" t="s">
        <v>6754</v>
      </c>
    </row>
    <row r="278">
      <c r="A278" s="78" t="s">
        <v>4270</v>
      </c>
      <c r="B278" s="30" t="s">
        <v>6755</v>
      </c>
      <c r="C278" s="104" t="s">
        <v>4270</v>
      </c>
      <c r="D278" s="21" t="s">
        <v>5958</v>
      </c>
      <c r="E278" s="21" t="s">
        <v>5682</v>
      </c>
      <c r="F278" s="108" t="s">
        <v>5699</v>
      </c>
      <c r="G278" s="104" t="s">
        <v>6756</v>
      </c>
      <c r="I278" s="109" t="s">
        <v>6757</v>
      </c>
    </row>
    <row r="279">
      <c r="A279" s="78" t="s">
        <v>6758</v>
      </c>
      <c r="B279" s="30" t="s">
        <v>4711</v>
      </c>
      <c r="C279" s="104" t="s">
        <v>6758</v>
      </c>
      <c r="D279" s="21" t="s">
        <v>6759</v>
      </c>
      <c r="E279" s="21" t="s">
        <v>5737</v>
      </c>
      <c r="F279" s="108" t="s">
        <v>6507</v>
      </c>
      <c r="G279" s="104" t="s">
        <v>6760</v>
      </c>
    </row>
    <row r="280">
      <c r="A280" s="78" t="s">
        <v>6761</v>
      </c>
      <c r="B280" s="30" t="s">
        <v>1505</v>
      </c>
      <c r="C280" s="104" t="s">
        <v>6761</v>
      </c>
      <c r="D280" s="21" t="s">
        <v>5599</v>
      </c>
      <c r="E280" s="21" t="s">
        <v>5600</v>
      </c>
      <c r="F280" s="108" t="s">
        <v>5601</v>
      </c>
      <c r="G280" s="104" t="s">
        <v>6762</v>
      </c>
    </row>
    <row r="281">
      <c r="A281" s="78" t="s">
        <v>6763</v>
      </c>
      <c r="B281" s="30" t="s">
        <v>3745</v>
      </c>
      <c r="C281" s="104" t="s">
        <v>6763</v>
      </c>
      <c r="D281" s="21" t="s">
        <v>5813</v>
      </c>
      <c r="E281" s="21" t="s">
        <v>5606</v>
      </c>
      <c r="F281" s="108" t="s">
        <v>5814</v>
      </c>
      <c r="G281" s="104" t="s">
        <v>6764</v>
      </c>
      <c r="I281" s="109" t="s">
        <v>6765</v>
      </c>
    </row>
    <row r="282">
      <c r="A282" s="78" t="s">
        <v>6766</v>
      </c>
      <c r="B282" s="30" t="s">
        <v>1519</v>
      </c>
      <c r="C282" s="104" t="s">
        <v>6766</v>
      </c>
      <c r="D282" s="21" t="s">
        <v>6073</v>
      </c>
      <c r="E282" s="21" t="s">
        <v>5623</v>
      </c>
      <c r="F282" s="108" t="s">
        <v>5732</v>
      </c>
      <c r="G282" s="104" t="s">
        <v>6767</v>
      </c>
    </row>
    <row r="283">
      <c r="A283" s="78" t="s">
        <v>6768</v>
      </c>
      <c r="B283" s="30" t="s">
        <v>1524</v>
      </c>
      <c r="C283" s="104" t="s">
        <v>6769</v>
      </c>
      <c r="D283" s="21" t="s">
        <v>6770</v>
      </c>
      <c r="E283" s="21" t="s">
        <v>5606</v>
      </c>
      <c r="F283" s="108" t="s">
        <v>5814</v>
      </c>
      <c r="G283" s="104" t="s">
        <v>6771</v>
      </c>
    </row>
    <row r="284">
      <c r="A284" s="78" t="s">
        <v>6772</v>
      </c>
      <c r="B284" s="30" t="s">
        <v>4240</v>
      </c>
      <c r="C284" s="104" t="s">
        <v>6772</v>
      </c>
      <c r="D284" s="21" t="s">
        <v>6229</v>
      </c>
      <c r="E284" s="21" t="s">
        <v>5682</v>
      </c>
      <c r="F284" s="108" t="s">
        <v>5699</v>
      </c>
      <c r="G284" s="104" t="s">
        <v>6230</v>
      </c>
      <c r="I284" s="109" t="s">
        <v>6773</v>
      </c>
    </row>
    <row r="285">
      <c r="A285" s="78" t="s">
        <v>6774</v>
      </c>
      <c r="B285" s="30" t="s">
        <v>1616</v>
      </c>
      <c r="C285" s="104" t="s">
        <v>6774</v>
      </c>
      <c r="D285" s="21" t="s">
        <v>6775</v>
      </c>
      <c r="E285" s="21" t="s">
        <v>6776</v>
      </c>
      <c r="F285" s="108" t="s">
        <v>5683</v>
      </c>
      <c r="G285" s="104" t="s">
        <v>6777</v>
      </c>
    </row>
    <row r="286">
      <c r="A286" s="69" t="s">
        <v>6778</v>
      </c>
      <c r="B286" s="110" t="s">
        <v>286</v>
      </c>
      <c r="C286" s="95" t="s">
        <v>295</v>
      </c>
      <c r="D286" s="21" t="s">
        <v>6031</v>
      </c>
      <c r="E286" s="21" t="s">
        <v>5600</v>
      </c>
      <c r="F286" s="108" t="s">
        <v>5973</v>
      </c>
      <c r="G286" s="104" t="s">
        <v>6779</v>
      </c>
      <c r="I286" s="21" t="s">
        <v>6780</v>
      </c>
    </row>
    <row r="287">
      <c r="A287" s="78" t="s">
        <v>2417</v>
      </c>
      <c r="B287" s="30" t="s">
        <v>2413</v>
      </c>
      <c r="C287" s="104" t="s">
        <v>2417</v>
      </c>
      <c r="D287" s="21" t="s">
        <v>6781</v>
      </c>
      <c r="E287" s="21" t="s">
        <v>5606</v>
      </c>
      <c r="F287" s="108" t="s">
        <v>5664</v>
      </c>
      <c r="G287" s="104" t="s">
        <v>6782</v>
      </c>
    </row>
    <row r="288">
      <c r="A288" s="78" t="s">
        <v>4221</v>
      </c>
      <c r="B288" s="30" t="s">
        <v>4217</v>
      </c>
      <c r="C288" s="104" t="s">
        <v>4221</v>
      </c>
      <c r="D288" s="21" t="s">
        <v>6115</v>
      </c>
      <c r="E288" s="21" t="s">
        <v>5682</v>
      </c>
      <c r="F288" s="108" t="s">
        <v>5779</v>
      </c>
      <c r="G288" s="104" t="s">
        <v>6783</v>
      </c>
      <c r="I288" s="109" t="s">
        <v>6784</v>
      </c>
    </row>
    <row r="289">
      <c r="A289" s="79" t="s">
        <v>503</v>
      </c>
      <c r="B289" s="110" t="s">
        <v>497</v>
      </c>
      <c r="C289" s="104" t="s">
        <v>6785</v>
      </c>
      <c r="D289" s="21" t="s">
        <v>5653</v>
      </c>
      <c r="E289" s="21" t="s">
        <v>5612</v>
      </c>
      <c r="F289" s="108" t="s">
        <v>5654</v>
      </c>
      <c r="G289" s="104" t="s">
        <v>503</v>
      </c>
    </row>
    <row r="290" ht="30" customHeight="1">
      <c r="A290" s="79" t="s">
        <v>496</v>
      </c>
      <c r="B290" s="30" t="s">
        <v>491</v>
      </c>
      <c r="C290" s="104" t="s">
        <v>6786</v>
      </c>
      <c r="D290" s="21" t="s">
        <v>5653</v>
      </c>
      <c r="E290" s="21" t="s">
        <v>5612</v>
      </c>
      <c r="F290" s="108" t="s">
        <v>5654</v>
      </c>
      <c r="G290" s="104" t="s">
        <v>496</v>
      </c>
    </row>
    <row r="291">
      <c r="A291" s="79" t="s">
        <v>515</v>
      </c>
      <c r="B291" s="30" t="s">
        <v>510</v>
      </c>
      <c r="C291" s="104" t="s">
        <v>6787</v>
      </c>
      <c r="D291" s="21" t="s">
        <v>5653</v>
      </c>
      <c r="E291" s="21" t="s">
        <v>5612</v>
      </c>
      <c r="F291" s="108" t="s">
        <v>5654</v>
      </c>
      <c r="G291" s="104" t="s">
        <v>515</v>
      </c>
    </row>
    <row r="292">
      <c r="A292" s="78" t="s">
        <v>4226</v>
      </c>
      <c r="B292" s="30" t="s">
        <v>4223</v>
      </c>
      <c r="C292" s="104" t="s">
        <v>4226</v>
      </c>
      <c r="D292" s="21" t="s">
        <v>5910</v>
      </c>
      <c r="E292" s="21" t="s">
        <v>5682</v>
      </c>
      <c r="F292" s="108" t="s">
        <v>5699</v>
      </c>
      <c r="G292" s="104" t="s">
        <v>6788</v>
      </c>
      <c r="I292" s="109" t="s">
        <v>6789</v>
      </c>
    </row>
    <row r="293">
      <c r="A293" s="78" t="s">
        <v>6790</v>
      </c>
      <c r="B293" s="30" t="s">
        <v>1442</v>
      </c>
      <c r="C293" s="104" t="s">
        <v>6790</v>
      </c>
      <c r="D293" s="21" t="s">
        <v>6320</v>
      </c>
      <c r="E293" s="21" t="s">
        <v>5737</v>
      </c>
      <c r="F293" s="108" t="s">
        <v>5738</v>
      </c>
      <c r="G293" s="104" t="s">
        <v>6791</v>
      </c>
    </row>
    <row r="294">
      <c r="A294" s="78" t="s">
        <v>6792</v>
      </c>
      <c r="B294" s="30" t="s">
        <v>3954</v>
      </c>
      <c r="C294" s="104" t="s">
        <v>6793</v>
      </c>
      <c r="D294" s="21" t="s">
        <v>6192</v>
      </c>
      <c r="E294" s="21" t="s">
        <v>5641</v>
      </c>
      <c r="F294" s="108" t="s">
        <v>5642</v>
      </c>
      <c r="G294" s="104" t="s">
        <v>6794</v>
      </c>
      <c r="I294" s="109" t="s">
        <v>6795</v>
      </c>
    </row>
    <row r="295">
      <c r="A295" s="78" t="s">
        <v>6796</v>
      </c>
      <c r="B295" s="30" t="s">
        <v>4673</v>
      </c>
      <c r="C295" s="104" t="s">
        <v>6796</v>
      </c>
      <c r="D295" s="21" t="s">
        <v>5828</v>
      </c>
      <c r="E295" s="21" t="s">
        <v>5629</v>
      </c>
      <c r="F295" s="108" t="s">
        <v>5630</v>
      </c>
      <c r="G295" s="104" t="s">
        <v>6797</v>
      </c>
    </row>
    <row r="296" ht="30" customHeight="1">
      <c r="A296" s="78" t="s">
        <v>2156</v>
      </c>
      <c r="B296" s="30" t="s">
        <v>2151</v>
      </c>
      <c r="C296" s="104" t="s">
        <v>2156</v>
      </c>
      <c r="D296" s="21" t="s">
        <v>6717</v>
      </c>
      <c r="E296" s="21" t="s">
        <v>5623</v>
      </c>
      <c r="F296" s="108" t="s">
        <v>5636</v>
      </c>
      <c r="G296" s="104" t="s">
        <v>6798</v>
      </c>
    </row>
    <row r="297">
      <c r="A297" s="78" t="s">
        <v>6799</v>
      </c>
      <c r="B297" s="30" t="s">
        <v>1574</v>
      </c>
      <c r="C297" s="104" t="s">
        <v>6799</v>
      </c>
      <c r="D297" s="21" t="s">
        <v>6800</v>
      </c>
      <c r="E297" s="21" t="s">
        <v>5629</v>
      </c>
      <c r="F297" s="108" t="s">
        <v>5630</v>
      </c>
      <c r="G297" s="104" t="s">
        <v>6801</v>
      </c>
    </row>
    <row r="298">
      <c r="A298" s="78" t="s">
        <v>6802</v>
      </c>
      <c r="B298" s="30" t="s">
        <v>4681</v>
      </c>
      <c r="C298" s="104" t="s">
        <v>6802</v>
      </c>
      <c r="D298" s="21" t="s">
        <v>5828</v>
      </c>
      <c r="E298" s="21" t="s">
        <v>5629</v>
      </c>
      <c r="F298" s="108" t="s">
        <v>5630</v>
      </c>
      <c r="G298" s="104" t="s">
        <v>6803</v>
      </c>
    </row>
    <row r="299">
      <c r="A299" s="78" t="s">
        <v>6804</v>
      </c>
      <c r="B299" s="30" t="s">
        <v>3950</v>
      </c>
      <c r="C299" s="104" t="s">
        <v>6804</v>
      </c>
      <c r="D299" s="21" t="s">
        <v>5773</v>
      </c>
      <c r="E299" s="21" t="s">
        <v>5641</v>
      </c>
      <c r="F299" s="108" t="s">
        <v>5642</v>
      </c>
      <c r="G299" s="104" t="s">
        <v>6805</v>
      </c>
      <c r="I299" s="109" t="s">
        <v>6806</v>
      </c>
    </row>
    <row r="300">
      <c r="A300" s="78" t="s">
        <v>6807</v>
      </c>
      <c r="B300" s="30" t="s">
        <v>4234</v>
      </c>
      <c r="C300" s="104" t="s">
        <v>6807</v>
      </c>
      <c r="D300" s="21" t="s">
        <v>6256</v>
      </c>
      <c r="E300" s="21" t="s">
        <v>5682</v>
      </c>
      <c r="F300" s="108" t="s">
        <v>5699</v>
      </c>
      <c r="G300" s="104" t="s">
        <v>6808</v>
      </c>
      <c r="I300" s="109" t="s">
        <v>6809</v>
      </c>
    </row>
    <row r="301">
      <c r="A301" s="78" t="s">
        <v>6810</v>
      </c>
      <c r="B301" s="30" t="s">
        <v>522</v>
      </c>
      <c r="C301" s="104" t="s">
        <v>6811</v>
      </c>
      <c r="D301" s="21" t="s">
        <v>5653</v>
      </c>
      <c r="E301" s="21" t="s">
        <v>5612</v>
      </c>
      <c r="F301" s="108" t="s">
        <v>5654</v>
      </c>
      <c r="G301" s="104" t="s">
        <v>6810</v>
      </c>
    </row>
    <row r="302">
      <c r="A302" s="89" t="s">
        <v>520</v>
      </c>
      <c r="B302" s="110" t="s">
        <v>516</v>
      </c>
      <c r="C302" s="104" t="s">
        <v>6812</v>
      </c>
      <c r="D302" s="21" t="s">
        <v>5653</v>
      </c>
      <c r="E302" s="21" t="s">
        <v>5612</v>
      </c>
      <c r="F302" s="108" t="s">
        <v>5654</v>
      </c>
      <c r="G302" s="104" t="s">
        <v>520</v>
      </c>
    </row>
    <row r="303">
      <c r="A303" s="90" t="s">
        <v>6813</v>
      </c>
      <c r="B303" s="30" t="s">
        <v>598</v>
      </c>
      <c r="C303" s="104" t="s">
        <v>6814</v>
      </c>
      <c r="D303" s="21" t="s">
        <v>5653</v>
      </c>
      <c r="E303" s="21" t="s">
        <v>5612</v>
      </c>
      <c r="F303" s="108" t="s">
        <v>5654</v>
      </c>
      <c r="G303" s="104" t="s">
        <v>6813</v>
      </c>
    </row>
    <row r="304">
      <c r="A304" s="90" t="s">
        <v>6815</v>
      </c>
      <c r="B304" s="30" t="s">
        <v>4245</v>
      </c>
      <c r="C304" s="104" t="s">
        <v>6815</v>
      </c>
      <c r="D304" s="21" t="s">
        <v>5709</v>
      </c>
      <c r="E304" s="21" t="s">
        <v>5682</v>
      </c>
      <c r="F304" s="108" t="s">
        <v>5699</v>
      </c>
      <c r="G304" s="104" t="s">
        <v>6816</v>
      </c>
      <c r="I304" s="109" t="s">
        <v>6817</v>
      </c>
    </row>
    <row r="305">
      <c r="A305" s="69" t="s">
        <v>509</v>
      </c>
      <c r="B305" s="110" t="s">
        <v>504</v>
      </c>
      <c r="C305" s="104" t="s">
        <v>6818</v>
      </c>
      <c r="D305" s="21" t="s">
        <v>5653</v>
      </c>
      <c r="E305" s="21" t="s">
        <v>5612</v>
      </c>
      <c r="F305" s="108" t="s">
        <v>5654</v>
      </c>
      <c r="G305" s="104" t="s">
        <v>6819</v>
      </c>
    </row>
    <row r="306">
      <c r="A306" s="78" t="s">
        <v>4068</v>
      </c>
      <c r="B306" s="30" t="s">
        <v>4063</v>
      </c>
      <c r="C306" s="104" t="s">
        <v>6820</v>
      </c>
      <c r="D306" s="21" t="s">
        <v>6821</v>
      </c>
      <c r="E306" s="21" t="s">
        <v>5623</v>
      </c>
      <c r="F306" s="108" t="s">
        <v>5732</v>
      </c>
      <c r="G306" s="104" t="s">
        <v>6822</v>
      </c>
      <c r="I306" s="109" t="s">
        <v>6823</v>
      </c>
    </row>
    <row r="307" ht="30" customHeight="1">
      <c r="A307" s="79" t="s">
        <v>490</v>
      </c>
      <c r="B307" s="30" t="s">
        <v>475</v>
      </c>
      <c r="C307" s="104" t="s">
        <v>490</v>
      </c>
      <c r="D307" s="21" t="s">
        <v>5653</v>
      </c>
      <c r="E307" s="21" t="s">
        <v>5612</v>
      </c>
      <c r="F307" s="108" t="s">
        <v>5654</v>
      </c>
      <c r="G307" s="104" t="s">
        <v>6824</v>
      </c>
    </row>
    <row r="308" ht="30" customHeight="1">
      <c r="A308" s="89" t="s">
        <v>6825</v>
      </c>
      <c r="B308" s="30" t="s">
        <v>668</v>
      </c>
      <c r="C308" s="104" t="s">
        <v>6826</v>
      </c>
      <c r="D308" s="21" t="s">
        <v>5653</v>
      </c>
      <c r="E308" s="21" t="s">
        <v>5612</v>
      </c>
      <c r="F308" s="108" t="s">
        <v>5654</v>
      </c>
      <c r="G308" s="104" t="s">
        <v>6825</v>
      </c>
    </row>
    <row r="309">
      <c r="A309" s="89" t="s">
        <v>6827</v>
      </c>
      <c r="B309" s="30" t="s">
        <v>528</v>
      </c>
      <c r="C309" s="104" t="s">
        <v>6828</v>
      </c>
      <c r="D309" s="21" t="s">
        <v>5653</v>
      </c>
      <c r="E309" s="21" t="s">
        <v>5612</v>
      </c>
      <c r="F309" s="108" t="s">
        <v>5654</v>
      </c>
      <c r="G309" s="104" t="s">
        <v>6827</v>
      </c>
    </row>
    <row r="310">
      <c r="A310" s="90" t="s">
        <v>6829</v>
      </c>
      <c r="B310" s="30" t="s">
        <v>3932</v>
      </c>
      <c r="C310" s="104" t="s">
        <v>3936</v>
      </c>
      <c r="D310" s="21" t="s">
        <v>5773</v>
      </c>
      <c r="E310" s="21" t="s">
        <v>5641</v>
      </c>
      <c r="F310" s="108" t="s">
        <v>5642</v>
      </c>
      <c r="G310" s="104" t="s">
        <v>6565</v>
      </c>
      <c r="I310" s="109" t="s">
        <v>6566</v>
      </c>
    </row>
    <row r="311">
      <c r="A311" s="79" t="s">
        <v>6830</v>
      </c>
      <c r="B311" s="30" t="s">
        <v>673</v>
      </c>
      <c r="C311" s="104" t="s">
        <v>6830</v>
      </c>
      <c r="D311" s="21" t="s">
        <v>5653</v>
      </c>
      <c r="E311" s="21" t="s">
        <v>5612</v>
      </c>
      <c r="F311" s="108" t="s">
        <v>5654</v>
      </c>
      <c r="G311" s="104" t="s">
        <v>6830</v>
      </c>
    </row>
    <row r="312">
      <c r="A312" s="78" t="s">
        <v>6831</v>
      </c>
      <c r="B312" s="30" t="s">
        <v>4262</v>
      </c>
      <c r="C312" s="104" t="s">
        <v>6831</v>
      </c>
      <c r="D312" s="21" t="s">
        <v>5698</v>
      </c>
      <c r="E312" s="21" t="s">
        <v>5682</v>
      </c>
      <c r="F312" s="108" t="s">
        <v>5699</v>
      </c>
      <c r="G312" s="104" t="s">
        <v>6832</v>
      </c>
      <c r="I312" s="109" t="s">
        <v>6833</v>
      </c>
    </row>
    <row r="313">
      <c r="A313" s="78" t="s">
        <v>2675</v>
      </c>
      <c r="B313" s="30" t="s">
        <v>2671</v>
      </c>
      <c r="C313" s="104" t="s">
        <v>2675</v>
      </c>
      <c r="D313" s="21" t="s">
        <v>6696</v>
      </c>
      <c r="E313" s="21" t="s">
        <v>5623</v>
      </c>
      <c r="F313" s="108" t="s">
        <v>5672</v>
      </c>
      <c r="G313" s="104" t="s">
        <v>6834</v>
      </c>
    </row>
    <row r="314">
      <c r="A314" s="78" t="s">
        <v>6835</v>
      </c>
      <c r="B314" s="30" t="s">
        <v>1570</v>
      </c>
      <c r="C314" s="104" t="s">
        <v>6835</v>
      </c>
      <c r="D314" s="21" t="s">
        <v>6706</v>
      </c>
      <c r="E314" s="21" t="s">
        <v>5629</v>
      </c>
      <c r="F314" s="108" t="s">
        <v>5876</v>
      </c>
      <c r="G314" s="104" t="s">
        <v>6836</v>
      </c>
    </row>
    <row r="315">
      <c r="A315" s="78" t="s">
        <v>4232</v>
      </c>
      <c r="B315" s="30" t="s">
        <v>4228</v>
      </c>
      <c r="C315" s="104" t="s">
        <v>4232</v>
      </c>
      <c r="D315" s="21" t="s">
        <v>6229</v>
      </c>
      <c r="E315" s="21" t="s">
        <v>5682</v>
      </c>
      <c r="F315" s="108" t="s">
        <v>5699</v>
      </c>
      <c r="G315" s="104" t="s">
        <v>6837</v>
      </c>
      <c r="I315" s="109" t="s">
        <v>6838</v>
      </c>
    </row>
    <row r="316" ht="30" customHeight="1">
      <c r="A316" s="79" t="s">
        <v>6839</v>
      </c>
      <c r="B316" s="30" t="s">
        <v>561</v>
      </c>
      <c r="C316" s="104" t="s">
        <v>6840</v>
      </c>
      <c r="D316" s="21" t="s">
        <v>5653</v>
      </c>
      <c r="E316" s="21" t="s">
        <v>5612</v>
      </c>
      <c r="F316" s="108" t="s">
        <v>5654</v>
      </c>
      <c r="G316" s="104" t="s">
        <v>6839</v>
      </c>
    </row>
    <row r="317">
      <c r="A317" s="78" t="s">
        <v>6841</v>
      </c>
      <c r="B317" s="30" t="s">
        <v>4250</v>
      </c>
      <c r="C317" s="104" t="s">
        <v>6841</v>
      </c>
      <c r="D317" s="21" t="s">
        <v>6115</v>
      </c>
      <c r="E317" s="21" t="s">
        <v>5682</v>
      </c>
      <c r="F317" s="108" t="s">
        <v>5779</v>
      </c>
      <c r="G317" s="104" t="s">
        <v>6842</v>
      </c>
      <c r="I317" s="109" t="s">
        <v>6843</v>
      </c>
    </row>
    <row r="318">
      <c r="A318" s="78" t="s">
        <v>6844</v>
      </c>
      <c r="B318" s="30" t="s">
        <v>4256</v>
      </c>
      <c r="C318" s="104" t="s">
        <v>6844</v>
      </c>
      <c r="D318" s="21" t="s">
        <v>5910</v>
      </c>
      <c r="E318" s="21" t="s">
        <v>5682</v>
      </c>
      <c r="F318" s="108" t="s">
        <v>5699</v>
      </c>
      <c r="G318" s="104" t="s">
        <v>6845</v>
      </c>
      <c r="I318" s="109" t="s">
        <v>6846</v>
      </c>
    </row>
    <row r="319">
      <c r="A319" s="78" t="s">
        <v>4454</v>
      </c>
      <c r="B319" s="30" t="s">
        <v>4449</v>
      </c>
      <c r="C319" s="104" t="s">
        <v>4454</v>
      </c>
      <c r="D319" s="21" t="s">
        <v>6847</v>
      </c>
      <c r="E319" s="21" t="s">
        <v>5682</v>
      </c>
      <c r="F319" s="108" t="s">
        <v>5699</v>
      </c>
      <c r="G319" s="104" t="s">
        <v>6848</v>
      </c>
      <c r="I319" s="109" t="s">
        <v>6849</v>
      </c>
    </row>
    <row r="320">
      <c r="A320" s="78" t="s">
        <v>6850</v>
      </c>
      <c r="B320" s="30" t="s">
        <v>545</v>
      </c>
      <c r="C320" s="104" t="s">
        <v>6851</v>
      </c>
      <c r="D320" s="21" t="s">
        <v>5653</v>
      </c>
      <c r="E320" s="21" t="s">
        <v>5612</v>
      </c>
      <c r="F320" s="108" t="s">
        <v>5654</v>
      </c>
      <c r="G320" s="104" t="s">
        <v>6850</v>
      </c>
    </row>
    <row r="321">
      <c r="A321" s="78" t="s">
        <v>6852</v>
      </c>
      <c r="B321" s="30" t="s">
        <v>4695</v>
      </c>
      <c r="C321" s="104" t="s">
        <v>6852</v>
      </c>
      <c r="D321" s="21" t="s">
        <v>5828</v>
      </c>
      <c r="E321" s="21" t="s">
        <v>5629</v>
      </c>
      <c r="F321" s="108" t="s">
        <v>5630</v>
      </c>
      <c r="G321" s="104" t="s">
        <v>6853</v>
      </c>
    </row>
    <row r="322">
      <c r="A322" s="78" t="s">
        <v>6854</v>
      </c>
      <c r="B322" s="30" t="s">
        <v>4686</v>
      </c>
      <c r="C322" s="104" t="s">
        <v>6855</v>
      </c>
      <c r="D322" s="21" t="s">
        <v>5828</v>
      </c>
      <c r="E322" s="21" t="s">
        <v>5629</v>
      </c>
      <c r="F322" s="108" t="s">
        <v>5630</v>
      </c>
      <c r="G322" s="104" t="s">
        <v>6856</v>
      </c>
    </row>
    <row r="323">
      <c r="A323" s="78" t="s">
        <v>3821</v>
      </c>
      <c r="B323" s="30" t="s">
        <v>3818</v>
      </c>
      <c r="C323" s="104" t="s">
        <v>3821</v>
      </c>
      <c r="D323" s="21" t="s">
        <v>5934</v>
      </c>
      <c r="E323" s="21" t="s">
        <v>5629</v>
      </c>
      <c r="F323" s="108" t="s">
        <v>5935</v>
      </c>
      <c r="G323" s="104" t="s">
        <v>6857</v>
      </c>
      <c r="H323" s="21" t="n">
        <v>175</v>
      </c>
      <c r="I323" s="109" t="s">
        <v>6858</v>
      </c>
    </row>
    <row r="324">
      <c r="A324" s="78" t="s">
        <v>6859</v>
      </c>
      <c r="B324" s="30" t="s">
        <v>3750</v>
      </c>
      <c r="C324" s="104" t="s">
        <v>6860</v>
      </c>
      <c r="D324" s="21" t="s">
        <v>6289</v>
      </c>
      <c r="E324" s="21" t="s">
        <v>5606</v>
      </c>
      <c r="F324" s="108" t="s">
        <v>5814</v>
      </c>
      <c r="G324" s="104" t="s">
        <v>6861</v>
      </c>
      <c r="I324" s="109" t="s">
        <v>6862</v>
      </c>
    </row>
    <row r="325">
      <c r="A325" s="78" t="s">
        <v>6863</v>
      </c>
      <c r="B325" s="30" t="s">
        <v>1579</v>
      </c>
      <c r="C325" s="104" t="s">
        <v>6863</v>
      </c>
      <c r="D325" s="21" t="s">
        <v>6800</v>
      </c>
      <c r="E325" s="21" t="s">
        <v>5629</v>
      </c>
      <c r="F325" s="108" t="s">
        <v>5630</v>
      </c>
      <c r="G325" s="104" t="s">
        <v>6864</v>
      </c>
    </row>
    <row r="326">
      <c r="A326" s="78" t="s">
        <v>6865</v>
      </c>
      <c r="B326" s="30" t="s">
        <v>1513</v>
      </c>
      <c r="C326" s="104" t="s">
        <v>6866</v>
      </c>
      <c r="D326" s="21" t="s">
        <v>5599</v>
      </c>
      <c r="E326" s="21" t="s">
        <v>5600</v>
      </c>
      <c r="F326" s="108" t="s">
        <v>5601</v>
      </c>
      <c r="G326" s="104" t="s">
        <v>6867</v>
      </c>
    </row>
    <row r="327">
      <c r="A327" s="78" t="s">
        <v>1174</v>
      </c>
      <c r="B327" s="30" t="s">
        <v>1171</v>
      </c>
      <c r="C327" s="104" t="s">
        <v>1174</v>
      </c>
      <c r="D327" s="21" t="s">
        <v>6402</v>
      </c>
      <c r="E327" s="21" t="s">
        <v>5714</v>
      </c>
      <c r="F327" s="108" t="s">
        <v>5948</v>
      </c>
      <c r="G327" s="104" t="s">
        <v>6868</v>
      </c>
      <c r="H327" s="21" t="n">
        <v>250</v>
      </c>
    </row>
    <row r="328" ht="30" customHeight="1">
      <c r="A328" s="79" t="s">
        <v>1982</v>
      </c>
      <c r="B328" s="30" t="s">
        <v>1978</v>
      </c>
      <c r="C328" s="104" t="s">
        <v>1982</v>
      </c>
      <c r="D328" s="21" t="s">
        <v>6145</v>
      </c>
      <c r="E328" s="21" t="s">
        <v>5623</v>
      </c>
      <c r="F328" s="108" t="s">
        <v>5636</v>
      </c>
      <c r="G328" s="104" t="s">
        <v>6869</v>
      </c>
    </row>
    <row r="329">
      <c r="A329" s="30" t="s">
        <v>6870</v>
      </c>
      <c r="B329" s="30" t="s">
        <v>259</v>
      </c>
      <c r="C329" s="95" t="s">
        <v>264</v>
      </c>
      <c r="D329" s="21" t="s">
        <v>5688</v>
      </c>
      <c r="E329" s="21" t="s">
        <v>5600</v>
      </c>
      <c r="F329" s="108" t="s">
        <v>5601</v>
      </c>
      <c r="G329" s="104" t="s">
        <v>5761</v>
      </c>
      <c r="H329" s="21" t="n">
        <v>1055</v>
      </c>
      <c r="I329" s="21" t="s">
        <v>5762</v>
      </c>
    </row>
    <row r="330">
      <c r="A330" s="30" t="s">
        <v>6871</v>
      </c>
      <c r="B330" s="30" t="s">
        <v>3455</v>
      </c>
      <c r="C330" s="104" t="s">
        <v>6872</v>
      </c>
      <c r="D330" s="21" t="s">
        <v>6665</v>
      </c>
      <c r="E330" s="21" t="s">
        <v>5682</v>
      </c>
      <c r="F330" s="21" t="s">
        <v>5691</v>
      </c>
      <c r="G330" s="104" t="s">
        <v>6873</v>
      </c>
      <c r="H330" s="21" t="n">
        <v>40</v>
      </c>
      <c r="I330" s="21" t="s">
        <v>6223</v>
      </c>
    </row>
    <row r="331" ht="45" customHeight="1">
      <c r="A331" s="77" t="s">
        <v>1917</v>
      </c>
      <c r="B331" s="30" t="s">
        <v>6874</v>
      </c>
      <c r="C331" s="95" t="s">
        <v>6875</v>
      </c>
      <c r="D331" s="21" t="s">
        <v>6665</v>
      </c>
      <c r="E331" s="21" t="s">
        <v>5682</v>
      </c>
      <c r="F331" s="108" t="s">
        <v>5691</v>
      </c>
      <c r="G331" s="104" t="s">
        <v>6876</v>
      </c>
      <c r="H331" s="21" t="n">
        <v>20</v>
      </c>
      <c r="I331" s="109" t="s">
        <v>6877</v>
      </c>
    </row>
    <row r="332" ht="30" customHeight="1">
      <c r="A332" s="77" t="s">
        <v>1767</v>
      </c>
      <c r="B332" s="30" t="s">
        <v>6878</v>
      </c>
      <c r="C332" s="104" t="s">
        <v>6879</v>
      </c>
      <c r="D332" s="21" t="s">
        <v>6642</v>
      </c>
      <c r="E332" s="21" t="s">
        <v>5641</v>
      </c>
      <c r="F332" s="108" t="s">
        <v>6105</v>
      </c>
      <c r="G332" s="104" t="s">
        <v>6629</v>
      </c>
      <c r="H332" s="21" t="n">
        <v>7450</v>
      </c>
      <c r="I332" s="109" t="s">
        <v>6630</v>
      </c>
    </row>
    <row r="333">
      <c r="A333" s="77" t="s">
        <v>845</v>
      </c>
      <c r="B333" s="30" t="s">
        <v>6880</v>
      </c>
      <c r="C333" s="104" t="s">
        <v>6881</v>
      </c>
      <c r="D333" s="21" t="s">
        <v>6207</v>
      </c>
      <c r="E333" s="21" t="s">
        <v>5629</v>
      </c>
      <c r="F333" s="108" t="s">
        <v>5920</v>
      </c>
      <c r="G333" s="104" t="s">
        <v>6882</v>
      </c>
      <c r="H333" s="21" t="n">
        <v>560</v>
      </c>
      <c r="I333" s="109" t="s">
        <v>6883</v>
      </c>
    </row>
    <row r="334">
      <c r="A334" s="77" t="s">
        <v>1924</v>
      </c>
      <c r="B334" s="30" t="s">
        <v>6884</v>
      </c>
      <c r="C334" s="104" t="s">
        <v>6885</v>
      </c>
      <c r="D334" s="21" t="s">
        <v>5605</v>
      </c>
      <c r="E334" s="21" t="s">
        <v>5606</v>
      </c>
      <c r="F334" s="108" t="s">
        <v>5607</v>
      </c>
      <c r="G334" s="104" t="s">
        <v>6886</v>
      </c>
      <c r="H334" s="21" t="n">
        <v>38</v>
      </c>
      <c r="I334" s="109" t="s">
        <v>6887</v>
      </c>
    </row>
    <row r="335">
      <c r="A335" s="77" t="s">
        <v>6888</v>
      </c>
      <c r="B335" s="30" t="s">
        <v>444</v>
      </c>
      <c r="C335" s="95" t="s">
        <v>6889</v>
      </c>
      <c r="D335" s="21" t="s">
        <v>6057</v>
      </c>
      <c r="E335" s="21" t="s">
        <v>5714</v>
      </c>
      <c r="F335" s="108" t="s">
        <v>5715</v>
      </c>
      <c r="G335" s="104" t="s">
        <v>6890</v>
      </c>
      <c r="H335" s="21" t="n">
        <v>281</v>
      </c>
      <c r="I335" s="109" t="s">
        <v>6891</v>
      </c>
    </row>
    <row r="336">
      <c r="A336" s="77" t="s">
        <v>6892</v>
      </c>
      <c r="B336" s="30" t="s">
        <v>6893</v>
      </c>
      <c r="C336" s="104" t="s">
        <v>6894</v>
      </c>
      <c r="D336" s="21" t="s">
        <v>6895</v>
      </c>
      <c r="E336" s="21" t="s">
        <v>5612</v>
      </c>
      <c r="F336" s="108" t="s">
        <v>5784</v>
      </c>
      <c r="G336" s="104" t="s">
        <v>6896</v>
      </c>
      <c r="H336" s="21" t="n">
        <v>137</v>
      </c>
      <c r="I336" s="109" t="s">
        <v>6897</v>
      </c>
    </row>
    <row r="337">
      <c r="A337" s="77" t="s">
        <v>6898</v>
      </c>
      <c r="B337" s="105" t="s">
        <v>6899</v>
      </c>
      <c r="C337" s="74" t="s">
        <v>3130</v>
      </c>
      <c r="D337" s="21" t="s">
        <v>6234</v>
      </c>
      <c r="E337" s="21" t="s">
        <v>5612</v>
      </c>
      <c r="F337" s="108" t="s">
        <v>5784</v>
      </c>
      <c r="G337" s="104" t="s">
        <v>6900</v>
      </c>
      <c r="H337" s="21" t="n">
        <v>1710</v>
      </c>
      <c r="I337" s="109" t="s">
        <v>6901</v>
      </c>
    </row>
    <row r="338">
      <c r="A338" s="77" t="s">
        <v>2292</v>
      </c>
      <c r="B338" s="30" t="s">
        <v>6902</v>
      </c>
      <c r="C338" s="104" t="s">
        <v>6903</v>
      </c>
      <c r="D338" s="21" t="s">
        <v>6161</v>
      </c>
      <c r="E338" s="21" t="s">
        <v>5623</v>
      </c>
      <c r="F338" s="108" t="s">
        <v>5624</v>
      </c>
      <c r="G338" s="104" t="s">
        <v>6904</v>
      </c>
      <c r="H338" s="21" t="n">
        <v>515</v>
      </c>
      <c r="I338" s="109" t="s">
        <v>6905</v>
      </c>
    </row>
    <row r="339" ht="30" customHeight="1">
      <c r="A339" s="77" t="s">
        <v>6906</v>
      </c>
      <c r="B339" s="30" t="s">
        <v>6907</v>
      </c>
      <c r="C339" s="95" t="s">
        <v>6908</v>
      </c>
      <c r="D339" s="21" t="s">
        <v>5688</v>
      </c>
      <c r="E339" s="21" t="s">
        <v>5600</v>
      </c>
      <c r="F339" s="108" t="s">
        <v>5601</v>
      </c>
      <c r="G339" s="104" t="s">
        <v>5761</v>
      </c>
      <c r="H339" s="21" t="n">
        <v>175</v>
      </c>
      <c r="I339" s="109" t="s">
        <v>6909</v>
      </c>
    </row>
    <row r="340">
      <c r="A340" t="s">
        <v>10094</v>
      </c>
      <c r="B340" t="s">
        <v>10102</v>
      </c>
      <c r="C340" t="s">
        <v>10095</v>
      </c>
      <c r="D340" t="s">
        <v>10103</v>
      </c>
      <c r="E340" t="s">
        <v>10104</v>
      </c>
      <c r="F340" t="s">
        <v>10105</v>
      </c>
      <c r="G340" t="s">
        <v>10106</v>
      </c>
      <c r="H340" t="s">
        <v>10107</v>
      </c>
      <c r="I340"/>
      <c r="J340"/>
      <c r="K340"/>
      <c r="L340"/>
      <c r="M340"/>
    </row>
    <row r="341">
      <c r="A341" t="s">
        <v>10094</v>
      </c>
      <c r="B341" t="s">
        <v>10108</v>
      </c>
      <c r="C341" t="s">
        <v>10095</v>
      </c>
      <c r="D341" t="s">
        <v>10103</v>
      </c>
      <c r="E341" t="s">
        <v>10104</v>
      </c>
      <c r="F341" t="s">
        <v>10105</v>
      </c>
      <c r="G341" t="s">
        <v>10106</v>
      </c>
      <c r="H341" t="s">
        <v>10107</v>
      </c>
      <c r="I341"/>
      <c r="J341"/>
      <c r="K341"/>
      <c r="L341"/>
      <c r="M341"/>
    </row>
    <row r="342">
      <c r="A342" t="s">
        <v>10094</v>
      </c>
      <c r="B342" t="s">
        <v>10109</v>
      </c>
      <c r="C342" t="s">
        <v>10095</v>
      </c>
      <c r="D342" t="s">
        <v>10103</v>
      </c>
      <c r="E342" t="s">
        <v>10104</v>
      </c>
      <c r="F342" t="s">
        <v>10105</v>
      </c>
      <c r="G342" t="s">
        <v>10106</v>
      </c>
      <c r="H342" t="s">
        <v>10107</v>
      </c>
      <c r="I342"/>
      <c r="J342"/>
      <c r="K342"/>
      <c r="L342"/>
      <c r="M342"/>
    </row>
    <row r="343">
      <c r="A343" t="s">
        <v>10094</v>
      </c>
      <c r="B343" t="s">
        <v>10110</v>
      </c>
      <c r="C343" t="s">
        <v>10095</v>
      </c>
      <c r="D343" t="s">
        <v>10103</v>
      </c>
      <c r="E343" t="s">
        <v>10104</v>
      </c>
      <c r="F343" t="s">
        <v>10105</v>
      </c>
      <c r="G343" t="s">
        <v>10106</v>
      </c>
      <c r="H343" t="s">
        <v>10107</v>
      </c>
      <c r="I343"/>
      <c r="J343"/>
      <c r="K343"/>
      <c r="L343"/>
      <c r="M343"/>
    </row>
    <row r="344">
      <c r="A344" t="s">
        <v>10094</v>
      </c>
      <c r="B344" t="s">
        <v>10111</v>
      </c>
      <c r="C344" t="s">
        <v>10095</v>
      </c>
      <c r="D344" t="s">
        <v>10103</v>
      </c>
      <c r="E344" t="s">
        <v>10104</v>
      </c>
      <c r="F344" t="s">
        <v>10105</v>
      </c>
      <c r="G344" t="s">
        <v>10106</v>
      </c>
      <c r="H344" t="s">
        <v>10107</v>
      </c>
      <c r="I344"/>
      <c r="J344"/>
      <c r="K344"/>
      <c r="L344"/>
      <c r="M344"/>
    </row>
    <row r="345">
      <c r="A345" t="s">
        <v>10096</v>
      </c>
      <c r="B345" t="s">
        <v>10112</v>
      </c>
      <c r="C345" t="s">
        <v>10097</v>
      </c>
      <c r="D345" t="s">
        <v>10113</v>
      </c>
      <c r="E345" t="s">
        <v>10114</v>
      </c>
      <c r="F345" t="s">
        <v>10115</v>
      </c>
      <c r="G345" t="s">
        <v>10096</v>
      </c>
      <c r="H345" t="s">
        <v>10116</v>
      </c>
      <c r="I345" t="s">
        <v>10116</v>
      </c>
      <c r="J345"/>
      <c r="K345"/>
      <c r="L345"/>
      <c r="M345"/>
    </row>
    <row r="346">
      <c r="A346" t="s">
        <v>10098</v>
      </c>
      <c r="B346" t="s">
        <v>10117</v>
      </c>
      <c r="C346" t="s">
        <v>10099</v>
      </c>
      <c r="D346" t="s">
        <v>10118</v>
      </c>
      <c r="E346" t="s">
        <v>10114</v>
      </c>
      <c r="F346" t="s">
        <v>10119</v>
      </c>
      <c r="G346" t="s">
        <v>10120</v>
      </c>
      <c r="H346" t="s">
        <v>10116</v>
      </c>
      <c r="I346" t="s">
        <v>10116</v>
      </c>
      <c r="J346"/>
      <c r="K346"/>
      <c r="L346"/>
      <c r="M346"/>
    </row>
    <row r="347">
      <c r="A347" t="s">
        <v>10100</v>
      </c>
      <c r="B347" t="s">
        <v>10121</v>
      </c>
      <c r="C347" t="s">
        <v>10101</v>
      </c>
      <c r="D347" t="s">
        <v>10122</v>
      </c>
      <c r="E347" t="s">
        <v>10114</v>
      </c>
      <c r="F347" t="s">
        <v>10123</v>
      </c>
      <c r="G347" t="s">
        <v>10124</v>
      </c>
      <c r="H347" t="s">
        <v>10125</v>
      </c>
      <c r="I347" t="s">
        <v>10116</v>
      </c>
      <c r="J347"/>
      <c r="K347"/>
      <c r="L347"/>
      <c r="M347"/>
    </row>
    <row r="348">
      <c r="A348" t="s">
        <v>10100</v>
      </c>
      <c r="B348" t="s">
        <v>10126</v>
      </c>
      <c r="C348" t="s">
        <v>10101</v>
      </c>
      <c r="D348" t="s">
        <v>10122</v>
      </c>
      <c r="E348" t="s">
        <v>10114</v>
      </c>
      <c r="F348" t="s">
        <v>10123</v>
      </c>
      <c r="G348" t="s">
        <v>10124</v>
      </c>
      <c r="H348" t="s">
        <v>10125</v>
      </c>
      <c r="I348" t="s">
        <v>10116</v>
      </c>
      <c r="J348"/>
      <c r="K348"/>
      <c r="L348"/>
      <c r="M348"/>
    </row>
  </sheetData>
  <pageMargins left="0.7" right="0.7" top="0.75" bottom="0.75" header="0.3" footer="0.3"/>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57.140625" hidden="0" customWidth="1"/>
    <col min="2" max="2" width="57.140625" hidden="0" customWidth="1"/>
    <col min="3" max="3" width="101" hidden="0" customWidth="1"/>
    <col min="4" max="4" width="27.5703125" hidden="0" customWidth="1"/>
    <col min="5" max="5" width="16.140625" hidden="0" customWidth="1"/>
    <col min="6" max="6" width="16.140625" hidden="0" customWidth="1"/>
    <col min="7" max="7" width="54.7109375" hidden="0" customWidth="1"/>
    <col min="8" max="8" width="12" hidden="0" customWidth="1"/>
    <col min="9" max="9" width="25.85546875" hidden="0" customWidth="1"/>
    <col min="10" max="10" width="10.85546875" hidden="0" customWidth="1"/>
    <col min="11" max="11" width="10.85546875" hidden="0" customWidth="1"/>
    <col min="12" max="12" width="17" hidden="0" customWidth="1"/>
    <col min="13" max="13" width="15.28515625" hidden="0" customWidth="1"/>
  </cols>
  <sheetData>
    <row r="1">
      <c r="A1" s="68" t="s">
        <v>6957</v>
      </c>
      <c r="B1" s="68" t="s">
        <v>6958</v>
      </c>
      <c r="C1" s="68" t="s">
        <v>6959</v>
      </c>
      <c r="D1" s="111" t="s">
        <v>6960</v>
      </c>
      <c r="E1" s="111" t="s">
        <v>6961</v>
      </c>
      <c r="F1" s="112" t="s">
        <v>6962</v>
      </c>
      <c r="G1" s="68" t="s">
        <v>6963</v>
      </c>
      <c r="H1" s="111" t="s">
        <v>6964</v>
      </c>
      <c r="I1" s="67" t="s">
        <v>6965</v>
      </c>
      <c r="J1" s="111" t="s">
        <v>6966</v>
      </c>
      <c r="K1" s="111" t="s">
        <v>6967</v>
      </c>
      <c r="L1" s="111" t="s">
        <v>6968</v>
      </c>
      <c r="M1" s="111" t="s">
        <v>6969</v>
      </c>
    </row>
    <row r="2">
      <c r="A2" s="85" t="s">
        <v>6970</v>
      </c>
      <c r="B2" s="104" t="s">
        <v>6971</v>
      </c>
      <c r="C2" s="104" t="s">
        <v>6972</v>
      </c>
      <c r="D2" s="21" t="s">
        <v>6973</v>
      </c>
      <c r="E2" s="21" t="s">
        <v>6974</v>
      </c>
      <c r="F2" s="108" t="s">
        <v>6975</v>
      </c>
      <c r="G2" s="104" t="s">
        <v>6976</v>
      </c>
      <c r="H2" s="21" t="s">
        <v>6977</v>
      </c>
      <c r="I2" s="109" t="s">
        <v>6978</v>
      </c>
      <c r="J2" t="n">
        <v>-19.90157</v>
      </c>
      <c r="K2" t="n">
        <v>-43.943179000000001</v>
      </c>
      <c r="L2" t="n">
        <v>610622.40506315301</v>
      </c>
      <c r="M2" t="n">
        <v>7799063.5820822604</v>
      </c>
    </row>
    <row r="3">
      <c r="A3" s="85" t="s">
        <v>6979</v>
      </c>
      <c r="B3" s="104" t="s">
        <v>6980</v>
      </c>
      <c r="C3" s="104" t="s">
        <v>6981</v>
      </c>
      <c r="D3" s="21" t="s">
        <v>6982</v>
      </c>
      <c r="E3" s="21" t="s">
        <v>6983</v>
      </c>
      <c r="F3" s="108" t="s">
        <v>6984</v>
      </c>
      <c r="G3" s="104" t="s">
        <v>6985</v>
      </c>
      <c r="H3" s="21" t="s">
        <v>6986</v>
      </c>
      <c r="I3" s="109" t="s">
        <v>6987</v>
      </c>
      <c r="J3" t="n">
        <v>-19.951948000000002</v>
      </c>
      <c r="K3" t="n">
        <v>-43.998967999999998</v>
      </c>
      <c r="L3" t="n">
        <v>604749.03397812904</v>
      </c>
      <c r="M3" t="n">
        <v>7793523.84569168</v>
      </c>
    </row>
    <row r="4">
      <c r="A4" s="30" t="s">
        <v>6988</v>
      </c>
      <c r="B4" s="96" t="s">
        <v>6989</v>
      </c>
      <c r="C4" s="96" t="s">
        <v>6990</v>
      </c>
      <c r="D4" s="21" t="s">
        <v>6991</v>
      </c>
      <c r="E4" s="21" t="s">
        <v>6974</v>
      </c>
      <c r="F4" s="108" t="s">
        <v>6975</v>
      </c>
      <c r="G4" s="104" t="s">
        <v>6992</v>
      </c>
      <c r="J4" t="n">
        <v>-19.908028403340701</v>
      </c>
      <c r="K4" t="n">
        <v>-43.948043521514698</v>
      </c>
      <c r="L4" t="n">
        <v>610108.69999999995</v>
      </c>
      <c r="M4" t="n">
        <v>7798352</v>
      </c>
    </row>
    <row r="5" ht="30" customHeight="1">
      <c r="A5" s="85" t="s">
        <v>6993</v>
      </c>
      <c r="B5" s="104" t="s">
        <v>6994</v>
      </c>
      <c r="C5" s="104" t="s">
        <v>6995</v>
      </c>
      <c r="D5" s="21" t="s">
        <v>6996</v>
      </c>
      <c r="E5" s="21" t="s">
        <v>6997</v>
      </c>
      <c r="F5" s="108" t="s">
        <v>6998</v>
      </c>
      <c r="G5" s="104" t="s">
        <v>6999</v>
      </c>
      <c r="H5" s="21" t="s">
        <v>7000</v>
      </c>
      <c r="I5" s="98" t="s">
        <v>7001</v>
      </c>
      <c r="J5" t="n">
        <v>-19.892081999999998</v>
      </c>
      <c r="K5" t="n">
        <v>-43.990816000000002</v>
      </c>
      <c r="L5" t="n">
        <v>605641.90390478401</v>
      </c>
      <c r="M5" t="n">
        <v>7800144.2467171</v>
      </c>
    </row>
    <row r="6">
      <c r="A6" s="85" t="s">
        <v>7002</v>
      </c>
      <c r="B6" s="104" t="s">
        <v>7003</v>
      </c>
      <c r="C6" s="104" t="s">
        <v>7004</v>
      </c>
      <c r="D6" s="21" t="s">
        <v>7005</v>
      </c>
      <c r="E6" s="21" t="s">
        <v>7006</v>
      </c>
      <c r="F6" s="108" t="s">
        <v>7007</v>
      </c>
      <c r="G6" s="104" t="s">
        <v>7008</v>
      </c>
      <c r="H6" s="21" t="s">
        <v>7009</v>
      </c>
      <c r="I6" s="109" t="s">
        <v>7010</v>
      </c>
      <c r="J6" t="n">
        <v>-19.889593999999999</v>
      </c>
      <c r="K6" t="n">
        <v>-43.944242000000003</v>
      </c>
      <c r="L6" t="n">
        <v>610519.43834700796</v>
      </c>
      <c r="M6" t="n">
        <v>7800389.7032484198</v>
      </c>
    </row>
    <row r="7">
      <c r="A7" s="85" t="s">
        <v>7011</v>
      </c>
      <c r="B7" s="96" t="s">
        <v>7012</v>
      </c>
      <c r="C7" s="74" t="s">
        <v>7013</v>
      </c>
      <c r="D7" s="21" t="s">
        <v>7014</v>
      </c>
      <c r="E7" s="21" t="s">
        <v>7015</v>
      </c>
      <c r="F7" s="108" t="s">
        <v>7016</v>
      </c>
      <c r="G7" s="104" t="s">
        <v>7017</v>
      </c>
      <c r="H7" s="21" t="s">
        <v>7018</v>
      </c>
      <c r="I7" s="109" t="s">
        <v>7019</v>
      </c>
      <c r="J7" t="n">
        <v>-19.894157</v>
      </c>
      <c r="K7" t="n">
        <v>-43.890256999999998</v>
      </c>
      <c r="L7" t="n">
        <v>616167.93080489105</v>
      </c>
      <c r="M7" t="n">
        <v>7799848.3538800701</v>
      </c>
    </row>
    <row r="8">
      <c r="A8" s="85" t="s">
        <v>7020</v>
      </c>
      <c r="B8" s="104" t="s">
        <v>7021</v>
      </c>
      <c r="C8" s="104" t="s">
        <v>7022</v>
      </c>
      <c r="D8" s="21" t="s">
        <v>7023</v>
      </c>
      <c r="E8" s="21" t="s">
        <v>7015</v>
      </c>
      <c r="F8" s="108" t="s">
        <v>7024</v>
      </c>
      <c r="G8" s="104" t="s">
        <v>7025</v>
      </c>
      <c r="H8" s="21" t="s">
        <v>7026</v>
      </c>
      <c r="I8" s="109" t="s">
        <v>7027</v>
      </c>
      <c r="J8" t="n">
        <v>-19.919612438069599</v>
      </c>
      <c r="K8" t="n">
        <v>-43.880060255431403</v>
      </c>
      <c r="L8" t="n">
        <v>617216.67821187305</v>
      </c>
      <c r="M8" t="n">
        <v>7797023.9992818199</v>
      </c>
    </row>
    <row r="9">
      <c r="A9" s="78" t="s">
        <v>7028</v>
      </c>
      <c r="B9" s="104" t="s">
        <v>7029</v>
      </c>
      <c r="C9" s="104" t="s">
        <v>7030</v>
      </c>
      <c r="D9" s="21" t="s">
        <v>7031</v>
      </c>
      <c r="E9" s="21" t="s">
        <v>6983</v>
      </c>
      <c r="F9" s="108" t="s">
        <v>7032</v>
      </c>
      <c r="G9" s="104" t="s">
        <v>7028</v>
      </c>
      <c r="J9" t="n">
        <v>-19.976536862069</v>
      </c>
      <c r="K9" t="n">
        <v>-43.976942620689698</v>
      </c>
      <c r="L9" t="n">
        <v>607037.38734965702</v>
      </c>
      <c r="M9" t="n">
        <v>7790788.6238904698</v>
      </c>
    </row>
    <row r="10">
      <c r="A10" s="78" t="s">
        <v>7033</v>
      </c>
      <c r="B10" s="96" t="s">
        <v>7034</v>
      </c>
      <c r="C10" s="104" t="s">
        <v>7033</v>
      </c>
      <c r="E10" s="21" t="s">
        <v>6974</v>
      </c>
      <c r="J10" t="n">
        <v>-19.900692092215198</v>
      </c>
      <c r="K10" t="n">
        <v>-44.018329872487399</v>
      </c>
      <c r="L10" t="n">
        <v>602755.95966061205</v>
      </c>
      <c r="M10" t="n">
        <v>7799208.3853994701</v>
      </c>
    </row>
    <row r="11">
      <c r="A11" s="78" t="s">
        <v>7035</v>
      </c>
      <c r="B11" s="104" t="s">
        <v>7036</v>
      </c>
      <c r="C11" s="104" t="s">
        <v>7035</v>
      </c>
      <c r="D11" s="21" t="s">
        <v>7037</v>
      </c>
      <c r="E11" s="21" t="s">
        <v>6997</v>
      </c>
      <c r="F11" s="108" t="s">
        <v>7038</v>
      </c>
      <c r="G11" s="104" t="s">
        <v>7039</v>
      </c>
      <c r="J11" t="n">
        <v>-19.8338013826531</v>
      </c>
      <c r="K11" t="n">
        <v>-43.971657005102003</v>
      </c>
      <c r="L11" t="n">
        <v>607686.98044620198</v>
      </c>
      <c r="M11" t="n">
        <v>7806582.1494624503</v>
      </c>
    </row>
    <row r="12">
      <c r="A12" s="78" t="s">
        <v>7040</v>
      </c>
      <c r="B12" s="104" t="s">
        <v>7041</v>
      </c>
      <c r="C12" s="104" t="s">
        <v>7042</v>
      </c>
      <c r="D12" s="21" t="s">
        <v>7031</v>
      </c>
      <c r="E12" s="21" t="s">
        <v>6983</v>
      </c>
      <c r="F12" s="108" t="s">
        <v>7032</v>
      </c>
      <c r="G12" s="104" t="s">
        <v>7043</v>
      </c>
      <c r="J12" t="n">
        <v>-19.973571960000001</v>
      </c>
      <c r="K12" t="n">
        <v>-43.975945799999998</v>
      </c>
      <c r="L12" t="n">
        <v>607143.69198977901</v>
      </c>
      <c r="M12" t="n">
        <v>7791116.1228727</v>
      </c>
    </row>
    <row r="13">
      <c r="A13" s="78" t="s">
        <v>7044</v>
      </c>
      <c r="B13" s="96" t="s">
        <v>7045</v>
      </c>
      <c r="C13" s="104" t="s">
        <v>7044</v>
      </c>
      <c r="D13" s="21" t="s">
        <v>7046</v>
      </c>
      <c r="E13" s="21" t="s">
        <v>6974</v>
      </c>
      <c r="F13" s="108" t="s">
        <v>7047</v>
      </c>
      <c r="G13" s="104" t="s">
        <v>7048</v>
      </c>
      <c r="J13" t="n">
        <v>-19.913496696808501</v>
      </c>
      <c r="K13" t="n">
        <v>-43.997803111702098</v>
      </c>
      <c r="L13" t="n">
        <v>604896.31762932299</v>
      </c>
      <c r="M13" t="n">
        <v>7797778.6107329801</v>
      </c>
    </row>
    <row r="14" ht="30" customHeight="1">
      <c r="A14" s="79" t="s">
        <v>7049</v>
      </c>
      <c r="B14" s="104" t="s">
        <v>7050</v>
      </c>
      <c r="C14" s="104" t="s">
        <v>7049</v>
      </c>
      <c r="D14" s="21" t="s">
        <v>7051</v>
      </c>
      <c r="E14" s="21" t="s">
        <v>6983</v>
      </c>
      <c r="F14" s="108" t="s">
        <v>6984</v>
      </c>
      <c r="G14" s="104" t="s">
        <v>7052</v>
      </c>
      <c r="J14" t="n">
        <v>-19.9515784992264</v>
      </c>
      <c r="K14" t="n">
        <v>-44.009052892199698</v>
      </c>
      <c r="L14" t="n">
        <v>603693.9</v>
      </c>
      <c r="M14" t="n">
        <v>7793571</v>
      </c>
    </row>
    <row r="15">
      <c r="A15" s="78" t="s">
        <v>7053</v>
      </c>
      <c r="B15" s="104" t="s">
        <v>7054</v>
      </c>
      <c r="C15" s="104" t="s">
        <v>7053</v>
      </c>
      <c r="D15" s="21" t="s">
        <v>7055</v>
      </c>
      <c r="E15" s="21" t="s">
        <v>7015</v>
      </c>
      <c r="F15" s="108" t="s">
        <v>7056</v>
      </c>
      <c r="G15" s="104" t="s">
        <v>7057</v>
      </c>
      <c r="J15" t="n">
        <v>-19.903422801704899</v>
      </c>
      <c r="K15" t="n">
        <v>-43.9189440972741</v>
      </c>
      <c r="L15" t="n">
        <v>613158.09887188405</v>
      </c>
      <c r="M15" t="n">
        <v>7798842.4111778503</v>
      </c>
    </row>
    <row r="16">
      <c r="A16" s="78" t="s">
        <v>7058</v>
      </c>
      <c r="B16" s="96" t="s">
        <v>7059</v>
      </c>
      <c r="C16" s="104" t="s">
        <v>7058</v>
      </c>
      <c r="D16" s="21" t="s">
        <v>7060</v>
      </c>
      <c r="E16" s="21" t="s">
        <v>6997</v>
      </c>
      <c r="F16" s="108" t="s">
        <v>7061</v>
      </c>
      <c r="G16" s="104" t="s">
        <v>7062</v>
      </c>
      <c r="J16" t="n">
        <v>-19.861116415930699</v>
      </c>
      <c r="K16" t="n">
        <v>-43.9429180344492</v>
      </c>
      <c r="L16" t="n">
        <v>610677.817573198</v>
      </c>
      <c r="M16" t="n">
        <v>7803540.5343625797</v>
      </c>
    </row>
    <row r="17">
      <c r="A17" s="78" t="s">
        <v>7063</v>
      </c>
      <c r="B17" s="104" t="s">
        <v>7064</v>
      </c>
      <c r="C17" s="104" t="s">
        <v>7065</v>
      </c>
      <c r="D17" s="21" t="s">
        <v>7066</v>
      </c>
      <c r="E17" s="21" t="s">
        <v>6997</v>
      </c>
      <c r="F17" s="108" t="s">
        <v>7061</v>
      </c>
      <c r="G17" s="104" t="s">
        <v>7062</v>
      </c>
      <c r="J17" t="n">
        <v>-19.8611606180556</v>
      </c>
      <c r="K17" t="n">
        <v>-43.9424497847222</v>
      </c>
      <c r="L17" t="n">
        <v>610726.817541786</v>
      </c>
      <c r="M17" t="n">
        <v>7803535.33495472</v>
      </c>
    </row>
    <row r="18">
      <c r="A18" s="78" t="s">
        <v>7067</v>
      </c>
      <c r="B18" s="104" t="s">
        <v>7068</v>
      </c>
      <c r="C18" s="104" t="s">
        <v>7069</v>
      </c>
      <c r="D18" s="21" t="s">
        <v>7031</v>
      </c>
      <c r="E18" s="21" t="s">
        <v>6983</v>
      </c>
      <c r="F18" s="108" t="s">
        <v>7032</v>
      </c>
      <c r="G18" s="104" t="s">
        <v>7070</v>
      </c>
      <c r="J18" t="n">
        <v>-19.969313195762901</v>
      </c>
      <c r="K18" t="n">
        <v>-43.960448635128998</v>
      </c>
      <c r="L18" t="n">
        <v>608768.17093700403</v>
      </c>
      <c r="M18" t="n">
        <v>7791577.4801482297</v>
      </c>
    </row>
    <row r="19" ht="30" customHeight="1">
      <c r="A19" s="78" t="s">
        <v>7071</v>
      </c>
      <c r="B19" s="96" t="s">
        <v>7072</v>
      </c>
      <c r="C19" s="104" t="s">
        <v>7071</v>
      </c>
      <c r="D19" s="21" t="s">
        <v>7051</v>
      </c>
      <c r="E19" s="21" t="s">
        <v>6983</v>
      </c>
      <c r="F19" s="108" t="s">
        <v>6984</v>
      </c>
      <c r="G19" s="104" t="s">
        <v>7073</v>
      </c>
      <c r="J19" t="n">
        <v>-19.951792432387901</v>
      </c>
      <c r="K19" t="n">
        <v>-44.003537477178298</v>
      </c>
      <c r="L19" t="n">
        <v>604270.9</v>
      </c>
      <c r="M19" t="n">
        <v>7793544</v>
      </c>
    </row>
    <row r="20" ht="30" customHeight="1">
      <c r="A20" s="78" t="s">
        <v>7074</v>
      </c>
      <c r="B20" s="104" t="s">
        <v>7075</v>
      </c>
      <c r="C20" s="104" t="s">
        <v>7074</v>
      </c>
      <c r="D20" s="21" t="s">
        <v>7076</v>
      </c>
      <c r="E20" s="21" t="s">
        <v>7077</v>
      </c>
      <c r="F20" s="108" t="s">
        <v>7078</v>
      </c>
      <c r="G20" s="97" t="s">
        <v>7079</v>
      </c>
      <c r="H20" s="21" t="s">
        <v>7080</v>
      </c>
      <c r="I20" s="109" t="s">
        <v>7081</v>
      </c>
      <c r="J20" t="n">
        <v>-20.000284000000001</v>
      </c>
      <c r="K20" t="n">
        <v>-44.042068</v>
      </c>
      <c r="L20" t="n">
        <v>600208.11582912202</v>
      </c>
      <c r="M20" t="n">
        <v>7788200.7344245203</v>
      </c>
    </row>
    <row r="21">
      <c r="A21" s="78" t="s">
        <v>7082</v>
      </c>
      <c r="B21" s="104" t="s">
        <v>7083</v>
      </c>
      <c r="C21" s="104" t="s">
        <v>7084</v>
      </c>
      <c r="D21" s="21" t="s">
        <v>7085</v>
      </c>
      <c r="E21" s="21" t="s">
        <v>7086</v>
      </c>
      <c r="F21" s="108" t="s">
        <v>7087</v>
      </c>
      <c r="G21" s="104" t="s">
        <v>7082</v>
      </c>
      <c r="I21" s="109" t="s">
        <v>7088</v>
      </c>
      <c r="J21" t="n">
        <v>-19.8265833333333</v>
      </c>
      <c r="K21" t="n">
        <v>-43.984228333333299</v>
      </c>
      <c r="L21" t="n">
        <v>606375.22159892996</v>
      </c>
      <c r="M21" t="n">
        <v>7807388.9501353204</v>
      </c>
    </row>
    <row r="22">
      <c r="A22" s="78" t="s">
        <v>7089</v>
      </c>
      <c r="B22" s="96" t="s">
        <v>7090</v>
      </c>
      <c r="C22" s="104" t="s">
        <v>7089</v>
      </c>
      <c r="D22" s="21" t="s">
        <v>7091</v>
      </c>
      <c r="E22" s="21" t="s">
        <v>7077</v>
      </c>
      <c r="F22" s="108" t="s">
        <v>7092</v>
      </c>
      <c r="G22" s="104" t="s">
        <v>7093</v>
      </c>
      <c r="H22" s="21" t="s">
        <v>7094</v>
      </c>
      <c r="J22" t="n">
        <v>-19.993917</v>
      </c>
      <c r="K22" t="n">
        <v>-44.028756999999999</v>
      </c>
      <c r="L22" t="n">
        <v>601604.75090947398</v>
      </c>
      <c r="M22" t="n">
        <v>7788897.3653815398</v>
      </c>
    </row>
    <row r="23">
      <c r="A23" s="30" t="s">
        <v>7095</v>
      </c>
      <c r="B23" s="104" t="s">
        <v>7096</v>
      </c>
      <c r="C23" s="104" t="s">
        <v>7097</v>
      </c>
      <c r="D23" s="21" t="s">
        <v>7055</v>
      </c>
      <c r="E23" s="21" t="s">
        <v>7015</v>
      </c>
      <c r="F23" s="108" t="s">
        <v>7056</v>
      </c>
      <c r="G23" s="97" t="s">
        <v>7098</v>
      </c>
      <c r="H23" s="21" t="s">
        <v>7099</v>
      </c>
      <c r="I23" s="109" t="s">
        <v>7100</v>
      </c>
      <c r="J23" t="n">
        <v>-19.901598026256899</v>
      </c>
      <c r="K23" t="n">
        <v>-43.921376131678201</v>
      </c>
      <c r="L23" t="n">
        <v>612904.80000000005</v>
      </c>
      <c r="M23" t="n">
        <v>7799046</v>
      </c>
    </row>
    <row r="24">
      <c r="A24" s="81" t="s">
        <v>7101</v>
      </c>
      <c r="B24" s="104" t="s">
        <v>7102</v>
      </c>
      <c r="C24" s="104" t="s">
        <v>7103</v>
      </c>
      <c r="D24" s="21" t="s">
        <v>7104</v>
      </c>
      <c r="E24" s="21" t="s">
        <v>7077</v>
      </c>
      <c r="F24" s="108" t="s">
        <v>7105</v>
      </c>
      <c r="G24" s="104" t="s">
        <v>7093</v>
      </c>
      <c r="H24" s="21" t="s">
        <v>7106</v>
      </c>
      <c r="I24" s="109" t="s">
        <v>7107</v>
      </c>
      <c r="J24" t="n">
        <v>-19.994062</v>
      </c>
      <c r="K24" t="n">
        <v>-44.029606999999999</v>
      </c>
      <c r="L24" t="n">
        <v>601515.73026432702</v>
      </c>
      <c r="M24" t="n">
        <v>7788881.8331677997</v>
      </c>
    </row>
    <row r="25">
      <c r="A25" s="81" t="s">
        <v>7108</v>
      </c>
      <c r="B25" s="96" t="s">
        <v>7109</v>
      </c>
      <c r="C25" s="104" t="s">
        <v>7110</v>
      </c>
      <c r="D25" s="21" t="s">
        <v>7111</v>
      </c>
      <c r="E25" s="21" t="s">
        <v>7086</v>
      </c>
      <c r="F25" s="108" t="s">
        <v>7112</v>
      </c>
      <c r="G25" s="104" t="s">
        <v>7113</v>
      </c>
      <c r="H25" s="21" t="s">
        <v>7114</v>
      </c>
      <c r="I25" s="109" t="s">
        <v>7115</v>
      </c>
      <c r="J25" t="n">
        <v>-19.826632740078601</v>
      </c>
      <c r="K25" t="n">
        <v>-44.002411642629902</v>
      </c>
      <c r="L25" t="n">
        <v>604470.81795443199</v>
      </c>
      <c r="M25" t="n">
        <v>7807394.8320680996</v>
      </c>
    </row>
    <row r="26" ht="30" customHeight="1">
      <c r="A26" s="81" t="s">
        <v>7116</v>
      </c>
      <c r="B26" s="104" t="s">
        <v>7117</v>
      </c>
      <c r="C26" s="104" t="s">
        <v>7118</v>
      </c>
      <c r="D26" s="21" t="s">
        <v>7119</v>
      </c>
      <c r="E26" s="21" t="s">
        <v>7077</v>
      </c>
      <c r="F26" s="108" t="s">
        <v>7105</v>
      </c>
      <c r="G26" s="104" t="s">
        <v>7120</v>
      </c>
      <c r="I26" s="109" t="s">
        <v>7121</v>
      </c>
      <c r="J26" t="n">
        <v>-20.003005843603098</v>
      </c>
      <c r="K26" t="n">
        <v>-44.037894518201398</v>
      </c>
      <c r="L26" t="n">
        <v>600643</v>
      </c>
      <c r="M26" t="n">
        <v>7787897</v>
      </c>
    </row>
    <row r="27">
      <c r="A27" s="81" t="s">
        <v>7122</v>
      </c>
      <c r="B27" s="104" t="s">
        <v>7123</v>
      </c>
      <c r="C27" s="104" t="s">
        <v>7124</v>
      </c>
      <c r="D27" s="21" t="s">
        <v>7125</v>
      </c>
      <c r="E27" s="21" t="s">
        <v>7126</v>
      </c>
      <c r="F27" s="108" t="s">
        <v>7127</v>
      </c>
      <c r="G27" s="104" t="s">
        <v>7128</v>
      </c>
      <c r="J27" t="n">
        <v>-19.813309870808698</v>
      </c>
      <c r="K27" t="n">
        <v>-43.893824259774497</v>
      </c>
      <c r="L27" t="n">
        <v>615853.19999999995</v>
      </c>
      <c r="M27" t="n">
        <v>7808799</v>
      </c>
    </row>
    <row r="28">
      <c r="A28" s="81" t="s">
        <v>7129</v>
      </c>
      <c r="B28" s="96" t="s">
        <v>7130</v>
      </c>
      <c r="C28" s="104" t="s">
        <v>7131</v>
      </c>
      <c r="D28" s="21" t="s">
        <v>7014</v>
      </c>
      <c r="E28" s="21" t="s">
        <v>7015</v>
      </c>
      <c r="F28" s="108" t="s">
        <v>7016</v>
      </c>
      <c r="G28" s="104" t="s">
        <v>7132</v>
      </c>
      <c r="H28" s="21" t="s">
        <v>7133</v>
      </c>
      <c r="I28" s="109" t="s">
        <v>7134</v>
      </c>
      <c r="J28" t="n">
        <v>-19.896210665819201</v>
      </c>
      <c r="K28" t="n">
        <v>-43.891612756582497</v>
      </c>
      <c r="L28" t="n">
        <v>616024.5</v>
      </c>
      <c r="M28" t="n">
        <v>7799622</v>
      </c>
    </row>
    <row r="29">
      <c r="A29" s="81" t="s">
        <v>7135</v>
      </c>
      <c r="B29" s="104" t="s">
        <v>7136</v>
      </c>
      <c r="C29" s="104" t="s">
        <v>7137</v>
      </c>
      <c r="D29" s="21" t="s">
        <v>7014</v>
      </c>
      <c r="E29" s="21" t="s">
        <v>7015</v>
      </c>
      <c r="F29" s="108" t="s">
        <v>7016</v>
      </c>
      <c r="G29" s="104" t="s">
        <v>7138</v>
      </c>
      <c r="H29" s="21" t="s">
        <v>7139</v>
      </c>
      <c r="I29" s="109" t="s">
        <v>7140</v>
      </c>
      <c r="J29" t="n">
        <v>-19.895117150522701</v>
      </c>
      <c r="K29" t="n">
        <v>-43.890127381761403</v>
      </c>
      <c r="L29" t="n">
        <v>616180.80000000005</v>
      </c>
      <c r="M29" t="n">
        <v>7799742</v>
      </c>
    </row>
    <row r="30">
      <c r="A30" s="81" t="s">
        <v>7141</v>
      </c>
      <c r="B30" s="104" t="s">
        <v>7142</v>
      </c>
      <c r="C30" s="104" t="s">
        <v>7143</v>
      </c>
      <c r="D30" s="21" t="s">
        <v>7144</v>
      </c>
      <c r="E30" s="21" t="s">
        <v>7015</v>
      </c>
      <c r="F30" s="108" t="s">
        <v>7056</v>
      </c>
      <c r="G30" s="104" t="s">
        <v>7145</v>
      </c>
      <c r="H30" s="21" t="s">
        <v>7146</v>
      </c>
      <c r="I30" s="109" t="s">
        <v>7147</v>
      </c>
      <c r="J30" t="n">
        <v>-19.897357861758</v>
      </c>
      <c r="K30" t="n">
        <v>-43.919096944819401</v>
      </c>
      <c r="L30" t="n">
        <v>613146.40911177301</v>
      </c>
      <c r="M30" t="n">
        <v>7799513.7451230502</v>
      </c>
    </row>
    <row r="31">
      <c r="A31" s="81" t="s">
        <v>7148</v>
      </c>
      <c r="B31" s="96" t="s">
        <v>7149</v>
      </c>
      <c r="C31" s="95" t="s">
        <v>7150</v>
      </c>
      <c r="D31" s="21" t="s">
        <v>7151</v>
      </c>
      <c r="E31" s="21" t="s">
        <v>6997</v>
      </c>
      <c r="F31" s="108" t="s">
        <v>7152</v>
      </c>
      <c r="G31" s="104" t="s">
        <v>7153</v>
      </c>
      <c r="H31" s="21" t="s">
        <v>7154</v>
      </c>
      <c r="I31" s="109" t="s">
        <v>7155</v>
      </c>
      <c r="J31" t="n">
        <v>-19.864172299057302</v>
      </c>
      <c r="K31" t="n">
        <v>-44.005178018708698</v>
      </c>
      <c r="L31" t="n">
        <v>604156.6</v>
      </c>
      <c r="M31" t="n">
        <v>7803242</v>
      </c>
    </row>
    <row r="32">
      <c r="A32" s="81" t="s">
        <v>7156</v>
      </c>
      <c r="B32" s="104" t="s">
        <v>7157</v>
      </c>
      <c r="C32" s="104" t="s">
        <v>7158</v>
      </c>
      <c r="D32" s="21" t="s">
        <v>7159</v>
      </c>
      <c r="E32" s="21" t="s">
        <v>7160</v>
      </c>
      <c r="F32" s="108" t="s">
        <v>7161</v>
      </c>
      <c r="G32" s="104" t="s">
        <v>7162</v>
      </c>
      <c r="H32" s="21" t="s">
        <v>7163</v>
      </c>
      <c r="I32" s="109" t="s">
        <v>7164</v>
      </c>
      <c r="J32" t="n">
        <v>-19.9288073807381</v>
      </c>
      <c r="K32" t="n">
        <v>-43.909209560972798</v>
      </c>
      <c r="L32" t="n">
        <v>614158.92164726299</v>
      </c>
      <c r="M32" t="n">
        <v>7796026.4104554905</v>
      </c>
    </row>
    <row r="33">
      <c r="A33" s="81" t="s">
        <v>7165</v>
      </c>
      <c r="B33" s="104" t="s">
        <v>7166</v>
      </c>
      <c r="C33" s="104" t="s">
        <v>7167</v>
      </c>
      <c r="D33" s="21" t="s">
        <v>7168</v>
      </c>
      <c r="E33" s="21" t="s">
        <v>6983</v>
      </c>
      <c r="F33" s="108" t="s">
        <v>6984</v>
      </c>
      <c r="G33" s="104" t="s">
        <v>7169</v>
      </c>
      <c r="H33" s="21" t="s">
        <v>7170</v>
      </c>
      <c r="I33" s="109" t="s">
        <v>7171</v>
      </c>
      <c r="J33" t="n">
        <v>-19.943648</v>
      </c>
      <c r="K33" t="n">
        <v>-43.988411999999997</v>
      </c>
      <c r="L33" t="n">
        <v>605859.24664183799</v>
      </c>
      <c r="M33" t="n">
        <v>7794435.8076795796</v>
      </c>
    </row>
    <row r="34">
      <c r="A34" s="81" t="s">
        <v>7172</v>
      </c>
      <c r="B34" s="96" t="s">
        <v>7173</v>
      </c>
      <c r="C34" s="104" t="s">
        <v>7174</v>
      </c>
      <c r="D34" s="21" t="s">
        <v>7175</v>
      </c>
      <c r="E34" s="21" t="s">
        <v>7086</v>
      </c>
      <c r="F34" s="108" t="s">
        <v>7087</v>
      </c>
      <c r="G34" s="104" t="s">
        <v>7176</v>
      </c>
      <c r="H34" s="21" t="s">
        <v>7018</v>
      </c>
      <c r="I34" s="109" t="s">
        <v>7177</v>
      </c>
      <c r="J34" t="n">
        <v>-19.813927099093402</v>
      </c>
      <c r="K34" t="n">
        <v>-43.9792890367425</v>
      </c>
      <c r="L34" t="n">
        <v>606900.98630565999</v>
      </c>
      <c r="M34" t="n">
        <v>7808786.5146667399</v>
      </c>
    </row>
    <row r="35">
      <c r="A35" s="81" t="s">
        <v>7178</v>
      </c>
      <c r="B35" s="104" t="s">
        <v>7179</v>
      </c>
      <c r="C35" s="104" t="s">
        <v>7180</v>
      </c>
      <c r="D35" s="21" t="s">
        <v>7181</v>
      </c>
      <c r="E35" s="21" t="s">
        <v>6997</v>
      </c>
      <c r="F35" s="108" t="s">
        <v>7038</v>
      </c>
      <c r="G35" s="104" t="s">
        <v>7182</v>
      </c>
      <c r="H35" s="21" t="s">
        <v>7183</v>
      </c>
      <c r="I35" s="109" t="s">
        <v>7184</v>
      </c>
      <c r="J35" t="n">
        <v>-19.8404885342967</v>
      </c>
      <c r="K35" t="n">
        <v>-43.956467285567598</v>
      </c>
      <c r="L35" t="n">
        <v>609273.19234571396</v>
      </c>
      <c r="M35" t="n">
        <v>7805832.3077274803</v>
      </c>
    </row>
    <row r="36">
      <c r="A36" s="81" t="s">
        <v>7185</v>
      </c>
      <c r="B36" s="104" t="s">
        <v>7186</v>
      </c>
      <c r="C36" s="95" t="s">
        <v>7187</v>
      </c>
      <c r="D36" s="21" t="s">
        <v>7188</v>
      </c>
      <c r="E36" s="21" t="s">
        <v>7086</v>
      </c>
      <c r="F36" s="108" t="s">
        <v>7087</v>
      </c>
      <c r="G36" s="104" t="s">
        <v>7189</v>
      </c>
      <c r="I36" s="109" t="s">
        <v>7190</v>
      </c>
      <c r="J36" t="n">
        <v>-19.819282622454701</v>
      </c>
      <c r="K36" t="n">
        <v>-43.986105416188401</v>
      </c>
      <c r="L36" t="n">
        <v>606183.5</v>
      </c>
      <c r="M36" t="n">
        <v>7808198</v>
      </c>
    </row>
    <row r="37">
      <c r="A37" s="30" t="s">
        <v>7191</v>
      </c>
      <c r="B37" s="96" t="s">
        <v>7192</v>
      </c>
      <c r="C37" s="95" t="s">
        <v>7193</v>
      </c>
      <c r="D37" s="21" t="s">
        <v>7085</v>
      </c>
      <c r="E37" s="21" t="s">
        <v>7086</v>
      </c>
      <c r="F37" s="108" t="s">
        <v>7087</v>
      </c>
      <c r="G37" s="104" t="s">
        <v>7194</v>
      </c>
      <c r="H37" s="21" t="s">
        <v>7195</v>
      </c>
      <c r="I37" s="21" t="s">
        <v>7196</v>
      </c>
      <c r="J37" t="n">
        <v>-19.8149937186625</v>
      </c>
      <c r="K37" t="n">
        <v>-43.959762341761198</v>
      </c>
      <c r="L37" t="n">
        <v>608945.5</v>
      </c>
      <c r="M37" t="n">
        <v>7808656</v>
      </c>
    </row>
    <row r="38">
      <c r="A38" s="77" t="s">
        <v>7197</v>
      </c>
      <c r="B38" s="104" t="s">
        <v>7198</v>
      </c>
      <c r="C38" s="95" t="s">
        <v>7199</v>
      </c>
      <c r="D38" s="21" t="s">
        <v>7200</v>
      </c>
      <c r="E38" s="21" t="s">
        <v>7086</v>
      </c>
      <c r="F38" s="108" t="s">
        <v>7201</v>
      </c>
      <c r="G38" s="104" t="s">
        <v>7202</v>
      </c>
      <c r="H38" s="21" t="s">
        <v>7203</v>
      </c>
      <c r="I38" s="109" t="s">
        <v>7204</v>
      </c>
      <c r="J38" t="n">
        <v>-19.799872000000001</v>
      </c>
      <c r="K38" t="n">
        <v>-43.972940999999999</v>
      </c>
      <c r="L38" t="n">
        <v>607575.33250579599</v>
      </c>
      <c r="M38" t="n">
        <v>7810337.9841545196</v>
      </c>
    </row>
    <row r="39">
      <c r="A39" s="77" t="s">
        <v>7205</v>
      </c>
      <c r="B39" s="104" t="s">
        <v>7206</v>
      </c>
      <c r="C39" s="95" t="s">
        <v>7207</v>
      </c>
      <c r="D39" s="21" t="s">
        <v>7085</v>
      </c>
      <c r="E39" s="21" t="s">
        <v>7086</v>
      </c>
      <c r="F39" s="108" t="s">
        <v>7087</v>
      </c>
      <c r="G39" s="104" t="s">
        <v>7194</v>
      </c>
      <c r="H39" s="21" t="s">
        <v>7208</v>
      </c>
      <c r="I39" s="109" t="s">
        <v>7209</v>
      </c>
      <c r="J39" t="n">
        <v>-19.818788000000001</v>
      </c>
      <c r="K39" t="n">
        <v>-43.953426</v>
      </c>
      <c r="L39" t="n">
        <v>609606.570067005</v>
      </c>
      <c r="M39" t="n">
        <v>7808231.98169073</v>
      </c>
    </row>
    <row r="40">
      <c r="A40" s="85" t="s">
        <v>7210</v>
      </c>
      <c r="B40" s="104" t="s">
        <v>7211</v>
      </c>
      <c r="C40" s="104" t="s">
        <v>7212</v>
      </c>
      <c r="D40" s="21" t="s">
        <v>7213</v>
      </c>
      <c r="E40" s="21" t="s">
        <v>7015</v>
      </c>
      <c r="F40" s="108" t="s">
        <v>7016</v>
      </c>
      <c r="G40" s="104" t="s">
        <v>7214</v>
      </c>
      <c r="H40" s="21" t="s">
        <v>7215</v>
      </c>
      <c r="I40" s="109" t="s">
        <v>7216</v>
      </c>
      <c r="J40" t="n">
        <v>-19.890934999999999</v>
      </c>
      <c r="K40" t="n">
        <v>-43.897810999999997</v>
      </c>
      <c r="L40" t="n">
        <v>615379.43649094505</v>
      </c>
      <c r="M40" t="n">
        <v>7800210.1422999399</v>
      </c>
    </row>
    <row r="41">
      <c r="A41" s="30" t="s">
        <v>7217</v>
      </c>
      <c r="B41" s="96" t="s">
        <v>7218</v>
      </c>
      <c r="C41" s="104" t="s">
        <v>7219</v>
      </c>
      <c r="D41" s="21" t="s">
        <v>7220</v>
      </c>
      <c r="E41" s="21" t="s">
        <v>7077</v>
      </c>
      <c r="F41" s="108" t="s">
        <v>7221</v>
      </c>
      <c r="G41" s="104" t="s">
        <v>7222</v>
      </c>
      <c r="H41" s="21" t="s">
        <v>7223</v>
      </c>
      <c r="J41" t="n">
        <v>-19.9838504267926</v>
      </c>
      <c r="K41" t="n">
        <v>-43.992395841752398</v>
      </c>
      <c r="L41" t="n">
        <v>605415.6</v>
      </c>
      <c r="M41" t="n">
        <v>7789989</v>
      </c>
    </row>
    <row r="42">
      <c r="A42" s="30" t="s">
        <v>7224</v>
      </c>
      <c r="B42" s="104" t="s">
        <v>7225</v>
      </c>
      <c r="C42" s="104" t="s">
        <v>7226</v>
      </c>
      <c r="D42" s="21" t="s">
        <v>7227</v>
      </c>
      <c r="E42" s="21" t="s">
        <v>6983</v>
      </c>
      <c r="F42" s="108" t="s">
        <v>7228</v>
      </c>
      <c r="G42" s="104" t="s">
        <v>7229</v>
      </c>
      <c r="H42" s="21" t="s">
        <v>7230</v>
      </c>
      <c r="I42" s="109" t="s">
        <v>7231</v>
      </c>
      <c r="J42" t="n">
        <v>-19.948322000000001</v>
      </c>
      <c r="K42" t="n">
        <v>-43.979931999999998</v>
      </c>
      <c r="L42" t="n">
        <v>606743.57994832995</v>
      </c>
      <c r="M42" t="n">
        <v>7793913.1550738802</v>
      </c>
    </row>
    <row r="43">
      <c r="A43" s="85" t="s">
        <v>7232</v>
      </c>
      <c r="B43" s="104" t="s">
        <v>7233</v>
      </c>
      <c r="C43" s="104" t="s">
        <v>7234</v>
      </c>
      <c r="D43" s="21" t="s">
        <v>7235</v>
      </c>
      <c r="E43" s="21" t="s">
        <v>7006</v>
      </c>
      <c r="F43" s="108" t="s">
        <v>7236</v>
      </c>
      <c r="G43" s="104" t="s">
        <v>7237</v>
      </c>
      <c r="H43" s="21" t="s">
        <v>7238</v>
      </c>
      <c r="I43" s="109" t="s">
        <v>7239</v>
      </c>
      <c r="J43" t="n">
        <v>-19.880877999999999</v>
      </c>
      <c r="K43" t="n">
        <v>-43.930793999999999</v>
      </c>
      <c r="L43" t="n">
        <v>611933.45849562599</v>
      </c>
      <c r="M43" t="n">
        <v>7801345.4502642499</v>
      </c>
    </row>
    <row r="44">
      <c r="A44" s="85" t="s">
        <v>7240</v>
      </c>
      <c r="B44" s="96" t="s">
        <v>7241</v>
      </c>
      <c r="C44" s="104" t="s">
        <v>7242</v>
      </c>
      <c r="D44" s="21" t="s">
        <v>7243</v>
      </c>
      <c r="E44" s="21" t="s">
        <v>6974</v>
      </c>
      <c r="F44" s="108" t="s">
        <v>7244</v>
      </c>
      <c r="G44" s="104" t="s">
        <v>7245</v>
      </c>
      <c r="H44" s="21" t="s">
        <v>7246</v>
      </c>
      <c r="I44" s="109" t="s">
        <v>7247</v>
      </c>
      <c r="J44" t="n">
        <v>-19.912393999999999</v>
      </c>
      <c r="K44" t="n">
        <v>-43.972982000000002</v>
      </c>
      <c r="L44" t="n">
        <v>607495.21116192802</v>
      </c>
      <c r="M44" t="n">
        <v>7797884.9768787399</v>
      </c>
    </row>
    <row r="45" ht="30" customHeight="1">
      <c r="A45" s="30" t="s">
        <v>7248</v>
      </c>
      <c r="B45" s="104" t="s">
        <v>7249</v>
      </c>
      <c r="C45" s="104" t="s">
        <v>7250</v>
      </c>
      <c r="D45" s="21" t="s">
        <v>7159</v>
      </c>
      <c r="E45" s="21" t="s">
        <v>7160</v>
      </c>
      <c r="F45" s="108" t="s">
        <v>7161</v>
      </c>
      <c r="G45" s="104" t="s">
        <v>7251</v>
      </c>
      <c r="H45" s="21" t="s">
        <v>7252</v>
      </c>
      <c r="I45" s="109" t="s">
        <v>7253</v>
      </c>
      <c r="J45" t="n">
        <v>-19.926004019494101</v>
      </c>
      <c r="K45" t="n">
        <v>-43.9214269778751</v>
      </c>
      <c r="L45" t="n">
        <v>612882.156160402</v>
      </c>
      <c r="M45" t="n">
        <v>7796344.9228981603</v>
      </c>
    </row>
    <row r="46" ht="30" customHeight="1">
      <c r="A46" s="30" t="s">
        <v>7254</v>
      </c>
      <c r="B46" s="104" t="s">
        <v>7255</v>
      </c>
      <c r="C46" s="104" t="s">
        <v>7256</v>
      </c>
      <c r="D46" s="21" t="s">
        <v>7257</v>
      </c>
      <c r="E46" s="21" t="s">
        <v>7006</v>
      </c>
      <c r="F46" s="108" t="s">
        <v>7007</v>
      </c>
      <c r="G46" s="104" t="s">
        <v>7258</v>
      </c>
      <c r="I46" s="109" t="s">
        <v>7259</v>
      </c>
      <c r="J46" t="n">
        <v>-19.8906453846154</v>
      </c>
      <c r="K46" t="n">
        <v>-43.937890692307697</v>
      </c>
      <c r="L46" t="n">
        <v>611183.63424401497</v>
      </c>
      <c r="M46" t="n">
        <v>7800269.1616281597</v>
      </c>
    </row>
    <row r="47" ht="30" customHeight="1">
      <c r="A47" s="30" t="s">
        <v>7260</v>
      </c>
      <c r="B47" s="96" t="s">
        <v>7261</v>
      </c>
      <c r="C47" s="104" t="s">
        <v>7262</v>
      </c>
      <c r="D47" s="21" t="s">
        <v>7263</v>
      </c>
      <c r="E47" s="21" t="s">
        <v>6974</v>
      </c>
      <c r="F47" s="108" t="s">
        <v>7264</v>
      </c>
      <c r="G47" s="104" t="s">
        <v>7265</v>
      </c>
      <c r="H47" s="21" t="s">
        <v>7266</v>
      </c>
      <c r="I47" s="109" t="s">
        <v>7267</v>
      </c>
      <c r="J47" t="n">
        <v>-19.914999999999999</v>
      </c>
      <c r="K47" t="n">
        <v>-43.969237999999997</v>
      </c>
      <c r="L47" t="n">
        <v>607885.35074648599</v>
      </c>
      <c r="M47" t="n">
        <v>7797594.1664411901</v>
      </c>
    </row>
    <row r="48" ht="30" customHeight="1">
      <c r="A48" s="30" t="s">
        <v>7268</v>
      </c>
      <c r="B48" s="104" t="s">
        <v>7269</v>
      </c>
      <c r="C48" s="104" t="s">
        <v>7270</v>
      </c>
      <c r="D48" s="21" t="s">
        <v>7263</v>
      </c>
      <c r="E48" s="21" t="s">
        <v>6974</v>
      </c>
      <c r="F48" s="108" t="s">
        <v>7264</v>
      </c>
      <c r="G48" s="104" t="s">
        <v>7271</v>
      </c>
      <c r="H48" s="21" t="s">
        <v>7272</v>
      </c>
      <c r="I48" s="109" t="s">
        <v>7273</v>
      </c>
      <c r="J48" t="n">
        <v>-19.915316018302399</v>
      </c>
      <c r="K48" t="n">
        <v>-43.969455351232398</v>
      </c>
      <c r="L48" t="n">
        <v>607862.38534470205</v>
      </c>
      <c r="M48" t="n">
        <v>7797559.3312311899</v>
      </c>
    </row>
    <row r="49">
      <c r="A49" s="76" t="s">
        <v>7274</v>
      </c>
      <c r="B49" s="104" t="s">
        <v>7275</v>
      </c>
      <c r="C49" s="95" t="s">
        <v>7276</v>
      </c>
      <c r="D49" s="21" t="s">
        <v>7277</v>
      </c>
      <c r="E49" s="21" t="s">
        <v>7086</v>
      </c>
      <c r="F49" s="108" t="s">
        <v>7087</v>
      </c>
      <c r="G49" s="104" t="s">
        <v>7278</v>
      </c>
      <c r="H49" s="21" t="s">
        <v>7279</v>
      </c>
      <c r="I49" s="109" t="s">
        <v>7280</v>
      </c>
      <c r="J49" t="n">
        <v>-19.8174392817049</v>
      </c>
      <c r="K49" t="n">
        <v>-43.973837175169002</v>
      </c>
      <c r="L49" t="n">
        <v>607469.65708874795</v>
      </c>
      <c r="M49" t="n">
        <v>7808394.35840612</v>
      </c>
    </row>
    <row r="50">
      <c r="A50" s="76" t="s">
        <v>7281</v>
      </c>
      <c r="B50" s="96" t="s">
        <v>7282</v>
      </c>
      <c r="C50" s="104" t="s">
        <v>7283</v>
      </c>
      <c r="D50" s="21" t="s">
        <v>7284</v>
      </c>
      <c r="E50" s="21" t="s">
        <v>7006</v>
      </c>
      <c r="F50" s="108" t="s">
        <v>7007</v>
      </c>
      <c r="G50" s="104" t="s">
        <v>7285</v>
      </c>
      <c r="H50" s="21" t="s">
        <v>7286</v>
      </c>
      <c r="I50" s="109" t="s">
        <v>7287</v>
      </c>
      <c r="J50" t="n">
        <v>-19.895168000000002</v>
      </c>
      <c r="K50" t="n">
        <v>-43.937480000000001</v>
      </c>
      <c r="L50" t="n">
        <v>611223.471380695</v>
      </c>
      <c r="M50" t="n">
        <v>7799768.35716982</v>
      </c>
    </row>
    <row r="51">
      <c r="A51" s="76" t="s">
        <v>7288</v>
      </c>
      <c r="B51" s="104" t="s">
        <v>7289</v>
      </c>
      <c r="C51" s="104" t="s">
        <v>7290</v>
      </c>
      <c r="D51" s="21" t="s">
        <v>7291</v>
      </c>
      <c r="E51" s="21" t="s">
        <v>7015</v>
      </c>
      <c r="F51" s="108" t="s">
        <v>7024</v>
      </c>
      <c r="G51" s="104" t="s">
        <v>7292</v>
      </c>
      <c r="H51" s="21" t="s">
        <v>7293</v>
      </c>
      <c r="I51" s="109" t="s">
        <v>7294</v>
      </c>
      <c r="J51" t="n">
        <v>-19.910578000000001</v>
      </c>
      <c r="K51" t="n">
        <v>-43.889508999999997</v>
      </c>
      <c r="L51" t="n">
        <v>616234.24656263099</v>
      </c>
      <c r="M51" t="n">
        <v>7798030.44549926</v>
      </c>
    </row>
    <row r="52">
      <c r="A52" s="76" t="s">
        <v>7295</v>
      </c>
      <c r="B52" s="104" t="s">
        <v>7296</v>
      </c>
      <c r="C52" s="104" t="s">
        <v>7297</v>
      </c>
      <c r="D52" s="21" t="s">
        <v>7298</v>
      </c>
      <c r="E52" s="21" t="s">
        <v>6983</v>
      </c>
      <c r="F52" s="108" t="s">
        <v>7299</v>
      </c>
      <c r="G52" s="104" t="s">
        <v>7300</v>
      </c>
      <c r="H52" s="21" t="s">
        <v>7301</v>
      </c>
      <c r="I52" s="109" t="s">
        <v>7302</v>
      </c>
      <c r="J52" t="n">
        <v>-19.957791397331398</v>
      </c>
      <c r="K52" t="n">
        <v>-43.984085015330798</v>
      </c>
      <c r="L52" t="n">
        <v>606302.61638223496</v>
      </c>
      <c r="M52" t="n">
        <v>7792867.7846464198</v>
      </c>
    </row>
    <row r="53">
      <c r="A53" s="76" t="s">
        <v>7303</v>
      </c>
      <c r="B53" s="96" t="s">
        <v>7304</v>
      </c>
      <c r="C53" s="95" t="s">
        <v>7305</v>
      </c>
      <c r="D53" s="21" t="s">
        <v>7306</v>
      </c>
      <c r="E53" s="21" t="s">
        <v>7086</v>
      </c>
      <c r="F53" s="108" t="s">
        <v>7087</v>
      </c>
      <c r="G53" s="104" t="s">
        <v>7307</v>
      </c>
      <c r="H53" s="21" t="s">
        <v>7308</v>
      </c>
      <c r="I53" s="109" t="s">
        <v>7309</v>
      </c>
      <c r="J53" t="n">
        <v>-19.820062</v>
      </c>
      <c r="K53" t="n">
        <v>-43.963123000000003</v>
      </c>
      <c r="L53" t="n">
        <v>608590.06208232103</v>
      </c>
      <c r="M53" t="n">
        <v>7808097.2473164499</v>
      </c>
    </row>
    <row r="54">
      <c r="A54" s="76" t="s">
        <v>7310</v>
      </c>
      <c r="B54" s="104" t="s">
        <v>7311</v>
      </c>
      <c r="C54" s="104" t="s">
        <v>7312</v>
      </c>
      <c r="D54" s="21" t="s">
        <v>7313</v>
      </c>
      <c r="E54" s="21" t="s">
        <v>6983</v>
      </c>
      <c r="F54" s="108" t="s">
        <v>7299</v>
      </c>
      <c r="G54" s="104" t="s">
        <v>7314</v>
      </c>
      <c r="H54" s="21" t="s">
        <v>7315</v>
      </c>
      <c r="I54" s="109" t="s">
        <v>7316</v>
      </c>
      <c r="J54" t="n">
        <v>-19.962044176078599</v>
      </c>
      <c r="K54" t="n">
        <v>-43.988645928330698</v>
      </c>
      <c r="L54" t="n">
        <v>605822.5</v>
      </c>
      <c r="M54" t="n">
        <v>7792400</v>
      </c>
    </row>
    <row r="55">
      <c r="A55" s="76" t="s">
        <v>7317</v>
      </c>
      <c r="B55" s="104" t="s">
        <v>7318</v>
      </c>
      <c r="C55" s="104" t="s">
        <v>7319</v>
      </c>
      <c r="D55" s="21" t="s">
        <v>7213</v>
      </c>
      <c r="E55" s="21" t="s">
        <v>7015</v>
      </c>
      <c r="F55" s="108" t="s">
        <v>7016</v>
      </c>
      <c r="G55" s="104" t="s">
        <v>7320</v>
      </c>
      <c r="H55" s="21" t="s">
        <v>7321</v>
      </c>
      <c r="I55" s="109" t="s">
        <v>7322</v>
      </c>
      <c r="J55" t="n">
        <v>-19.892335109367199</v>
      </c>
      <c r="K55" t="n">
        <v>-43.897022453373602</v>
      </c>
      <c r="L55" t="n">
        <v>615460.97600800998</v>
      </c>
      <c r="M55" t="n">
        <v>7800054.64528492</v>
      </c>
    </row>
    <row r="56">
      <c r="A56" s="76" t="s">
        <v>7323</v>
      </c>
      <c r="B56" s="96" t="s">
        <v>7324</v>
      </c>
      <c r="C56" s="104" t="s">
        <v>7325</v>
      </c>
      <c r="D56" s="21" t="s">
        <v>7220</v>
      </c>
      <c r="E56" s="21" t="s">
        <v>7077</v>
      </c>
      <c r="F56" s="108" t="s">
        <v>7221</v>
      </c>
      <c r="G56" s="104" t="s">
        <v>7326</v>
      </c>
      <c r="H56" s="21" t="s">
        <v>7327</v>
      </c>
      <c r="I56" s="109" t="s">
        <v>7328</v>
      </c>
      <c r="J56" t="n">
        <v>-19.986957</v>
      </c>
      <c r="K56" t="n">
        <v>-43.988878999999997</v>
      </c>
      <c r="L56" t="n">
        <v>605781.48764586903</v>
      </c>
      <c r="M56" t="n">
        <v>7789642.9702634402</v>
      </c>
    </row>
    <row r="57">
      <c r="A57" s="76" t="s">
        <v>7329</v>
      </c>
      <c r="B57" s="104" t="s">
        <v>7330</v>
      </c>
      <c r="C57" s="104" t="s">
        <v>7331</v>
      </c>
      <c r="D57" s="21" t="s">
        <v>7332</v>
      </c>
      <c r="E57" s="21" t="s">
        <v>7160</v>
      </c>
      <c r="F57" s="108" t="s">
        <v>7333</v>
      </c>
      <c r="G57" s="104" t="s">
        <v>7334</v>
      </c>
      <c r="H57" s="21" t="s">
        <v>7335</v>
      </c>
      <c r="I57" s="109" t="s">
        <v>7336</v>
      </c>
      <c r="J57" t="n">
        <v>-19.936281999999999</v>
      </c>
      <c r="K57" t="n">
        <v>-43.911028999999999</v>
      </c>
      <c r="L57" t="n">
        <v>613963.12598586106</v>
      </c>
      <c r="M57" t="n">
        <v>7795200.3947303696</v>
      </c>
    </row>
    <row r="58">
      <c r="A58" s="76" t="s">
        <v>7337</v>
      </c>
      <c r="B58" s="104" t="s">
        <v>7338</v>
      </c>
      <c r="C58" s="104" t="s">
        <v>7339</v>
      </c>
      <c r="D58" s="21" t="s">
        <v>7340</v>
      </c>
      <c r="E58" s="21" t="s">
        <v>6974</v>
      </c>
      <c r="F58" s="108" t="s">
        <v>7047</v>
      </c>
      <c r="G58" s="104" t="s">
        <v>7341</v>
      </c>
      <c r="H58" s="21" t="s">
        <v>7342</v>
      </c>
      <c r="I58" s="109" t="s">
        <v>7343</v>
      </c>
      <c r="J58" t="n">
        <v>-19.922326275862101</v>
      </c>
      <c r="K58" t="n">
        <v>-44.010244965517202</v>
      </c>
      <c r="L58" t="n">
        <v>603588.22179422504</v>
      </c>
      <c r="M58" t="n">
        <v>7796809.1373312799</v>
      </c>
    </row>
    <row r="59">
      <c r="A59" s="76" t="s">
        <v>7344</v>
      </c>
      <c r="B59" s="96" t="s">
        <v>7345</v>
      </c>
      <c r="C59" s="104" t="s">
        <v>7346</v>
      </c>
      <c r="D59" s="21" t="s">
        <v>7347</v>
      </c>
      <c r="E59" s="21" t="s">
        <v>7006</v>
      </c>
      <c r="F59" s="108" t="s">
        <v>7348</v>
      </c>
      <c r="G59" s="104" t="s">
        <v>7349</v>
      </c>
      <c r="H59" s="21" t="s">
        <v>7272</v>
      </c>
      <c r="I59" s="109" t="s">
        <v>7350</v>
      </c>
      <c r="J59" t="n">
        <v>-19.831044343276801</v>
      </c>
      <c r="K59" t="n">
        <v>-43.868113389060198</v>
      </c>
      <c r="L59" t="n">
        <v>618533.04602883896</v>
      </c>
      <c r="M59" t="n">
        <v>7806817.91494588</v>
      </c>
    </row>
    <row r="60">
      <c r="A60" s="76" t="s">
        <v>7351</v>
      </c>
      <c r="B60" s="104" t="s">
        <v>7352</v>
      </c>
      <c r="C60" s="95" t="s">
        <v>7353</v>
      </c>
      <c r="D60" s="21" t="s">
        <v>7111</v>
      </c>
      <c r="E60" s="21" t="s">
        <v>7086</v>
      </c>
      <c r="F60" s="108" t="s">
        <v>7112</v>
      </c>
      <c r="G60" s="104" t="s">
        <v>7354</v>
      </c>
      <c r="H60" s="21" t="s">
        <v>7355</v>
      </c>
      <c r="I60" s="109" t="s">
        <v>7356</v>
      </c>
      <c r="J60" t="n">
        <v>-19.819618999999999</v>
      </c>
      <c r="K60" t="n">
        <v>-43.998339999999999</v>
      </c>
      <c r="L60" t="n">
        <v>604901.85002685501</v>
      </c>
      <c r="M60" t="n">
        <v>7808168.5254688999</v>
      </c>
    </row>
    <row r="61">
      <c r="A61" s="76" t="s">
        <v>7357</v>
      </c>
      <c r="B61" s="104" t="s">
        <v>7358</v>
      </c>
      <c r="C61" s="104" t="s">
        <v>7359</v>
      </c>
      <c r="D61" s="21" t="s">
        <v>7235</v>
      </c>
      <c r="E61" s="21" t="s">
        <v>7006</v>
      </c>
      <c r="F61" s="108" t="s">
        <v>7236</v>
      </c>
      <c r="G61" s="104" t="s">
        <v>7360</v>
      </c>
      <c r="H61" s="21" t="s">
        <v>7361</v>
      </c>
      <c r="I61" s="109" t="s">
        <v>7362</v>
      </c>
      <c r="J61" t="n">
        <v>-19.884439</v>
      </c>
      <c r="K61" t="n">
        <v>-43.932352000000002</v>
      </c>
      <c r="L61" t="n">
        <v>611767.84147350595</v>
      </c>
      <c r="M61" t="n">
        <v>7800952.3767554797</v>
      </c>
    </row>
    <row r="62">
      <c r="A62" s="76" t="s">
        <v>7363</v>
      </c>
      <c r="B62" s="96" t="s">
        <v>7364</v>
      </c>
      <c r="C62" s="104" t="s">
        <v>7365</v>
      </c>
      <c r="D62" s="21" t="s">
        <v>7151</v>
      </c>
      <c r="E62" s="21" t="s">
        <v>6997</v>
      </c>
      <c r="F62" s="108" t="s">
        <v>7152</v>
      </c>
      <c r="G62" s="104" t="s">
        <v>7366</v>
      </c>
      <c r="H62" s="21" t="s">
        <v>7367</v>
      </c>
      <c r="I62" s="109" t="s">
        <v>7368</v>
      </c>
      <c r="J62" t="n">
        <v>-19.863471595249901</v>
      </c>
      <c r="K62" t="n">
        <v>-44.002583779800602</v>
      </c>
      <c r="L62" t="n">
        <v>604428.69349030196</v>
      </c>
      <c r="M62" t="n">
        <v>7803317.9429622497</v>
      </c>
    </row>
    <row r="63">
      <c r="A63" s="76" t="s">
        <v>7369</v>
      </c>
      <c r="B63" s="104" t="s">
        <v>7370</v>
      </c>
      <c r="C63" s="104" t="s">
        <v>7371</v>
      </c>
      <c r="D63" s="21" t="s">
        <v>7313</v>
      </c>
      <c r="E63" s="21" t="s">
        <v>6983</v>
      </c>
      <c r="F63" s="108" t="s">
        <v>7299</v>
      </c>
      <c r="G63" s="104" t="s">
        <v>7372</v>
      </c>
      <c r="H63" s="21" t="s">
        <v>7373</v>
      </c>
      <c r="I63" s="109" t="s">
        <v>7374</v>
      </c>
      <c r="J63" t="n">
        <v>-19.964410000000001</v>
      </c>
      <c r="K63" t="n">
        <v>-43.995916999999999</v>
      </c>
      <c r="L63" t="n">
        <v>605060.06814005296</v>
      </c>
      <c r="M63" t="n">
        <v>7792142.7370470203</v>
      </c>
    </row>
    <row r="64">
      <c r="A64" s="76" t="s">
        <v>7375</v>
      </c>
      <c r="B64" s="104" t="s">
        <v>7376</v>
      </c>
      <c r="C64" s="104" t="s">
        <v>7377</v>
      </c>
      <c r="D64" s="21" t="s">
        <v>7378</v>
      </c>
      <c r="E64" s="21" t="s">
        <v>7006</v>
      </c>
      <c r="F64" s="108" t="s">
        <v>7348</v>
      </c>
      <c r="G64" s="104" t="s">
        <v>7379</v>
      </c>
      <c r="H64" s="21" t="s">
        <v>7380</v>
      </c>
      <c r="I64" s="109" t="s">
        <v>7381</v>
      </c>
      <c r="J64" t="n">
        <v>-19.833106999999998</v>
      </c>
      <c r="K64" t="n">
        <v>-43.883094999999997</v>
      </c>
      <c r="L64" t="n">
        <v>616962.48182347103</v>
      </c>
      <c r="M64" t="n">
        <v>7806600.0794257196</v>
      </c>
    </row>
    <row r="65">
      <c r="A65" s="76" t="s">
        <v>7382</v>
      </c>
      <c r="B65" s="96" t="s">
        <v>7383</v>
      </c>
      <c r="C65" s="104" t="s">
        <v>7384</v>
      </c>
      <c r="D65" s="21" t="s">
        <v>7385</v>
      </c>
      <c r="E65" s="21" t="s">
        <v>7086</v>
      </c>
      <c r="F65" s="108" t="s">
        <v>7112</v>
      </c>
      <c r="G65" s="104" t="s">
        <v>7386</v>
      </c>
      <c r="H65" s="21" t="s">
        <v>7387</v>
      </c>
      <c r="I65" s="109" t="s">
        <v>7388</v>
      </c>
      <c r="J65" t="n">
        <v>-19.834344000000002</v>
      </c>
      <c r="K65" t="n">
        <v>-43.986032000000002</v>
      </c>
      <c r="L65" t="n">
        <v>606181.16303654597</v>
      </c>
      <c r="M65" t="n">
        <v>7806531.2018171903</v>
      </c>
    </row>
    <row r="66">
      <c r="A66" s="76" t="s">
        <v>7389</v>
      </c>
      <c r="B66" s="104" t="s">
        <v>7390</v>
      </c>
      <c r="C66" s="104" t="s">
        <v>7391</v>
      </c>
      <c r="D66" s="21" t="s">
        <v>7392</v>
      </c>
      <c r="E66" s="21" t="s">
        <v>6974</v>
      </c>
      <c r="F66" s="108" t="s">
        <v>7047</v>
      </c>
      <c r="G66" s="104" t="s">
        <v>7393</v>
      </c>
      <c r="H66" s="21" t="s">
        <v>7394</v>
      </c>
      <c r="I66" s="109" t="s">
        <v>7395</v>
      </c>
      <c r="J66" t="n">
        <v>-19.897857042350299</v>
      </c>
      <c r="K66" t="n">
        <v>-44.022017462427399</v>
      </c>
      <c r="L66" t="n">
        <v>602371.75652108004</v>
      </c>
      <c r="M66" t="n">
        <v>7799524.3911524899</v>
      </c>
    </row>
    <row r="67">
      <c r="A67" s="76" t="s">
        <v>7396</v>
      </c>
      <c r="B67" s="104" t="s">
        <v>7397</v>
      </c>
      <c r="C67" s="104" t="s">
        <v>7398</v>
      </c>
      <c r="D67" s="21" t="s">
        <v>7399</v>
      </c>
      <c r="E67" s="21" t="s">
        <v>7077</v>
      </c>
      <c r="F67" s="108" t="s">
        <v>7105</v>
      </c>
      <c r="G67" s="104" t="s">
        <v>7400</v>
      </c>
      <c r="H67" s="21" t="s">
        <v>7401</v>
      </c>
      <c r="I67" s="109" t="s">
        <v>7402</v>
      </c>
      <c r="J67" t="n">
        <v>-19.9896655224649</v>
      </c>
      <c r="K67" t="n">
        <v>-44.023179148214503</v>
      </c>
      <c r="L67" t="n">
        <v>602191.05362578295</v>
      </c>
      <c r="M67" t="n">
        <v>7789364.4938573902</v>
      </c>
    </row>
    <row r="68">
      <c r="A68" s="76" t="s">
        <v>7403</v>
      </c>
      <c r="B68" s="96" t="s">
        <v>7404</v>
      </c>
      <c r="C68" s="104" t="s">
        <v>7405</v>
      </c>
      <c r="D68" s="21" t="s">
        <v>7046</v>
      </c>
      <c r="E68" s="21" t="s">
        <v>6974</v>
      </c>
      <c r="F68" s="108" t="s">
        <v>7047</v>
      </c>
      <c r="G68" s="104" t="s">
        <v>7406</v>
      </c>
      <c r="H68" s="21" t="s">
        <v>7407</v>
      </c>
      <c r="I68" s="109" t="s">
        <v>7408</v>
      </c>
      <c r="J68" t="n">
        <v>-19.911995999999998</v>
      </c>
      <c r="K68" t="n">
        <v>-43.999577000000002</v>
      </c>
      <c r="L68" t="n">
        <v>604711.62435871596</v>
      </c>
      <c r="M68" t="n">
        <v>7797945.8011586796</v>
      </c>
    </row>
    <row r="69">
      <c r="A69" s="76" t="s">
        <v>7409</v>
      </c>
      <c r="B69" s="104" t="s">
        <v>7410</v>
      </c>
      <c r="C69" s="104" t="s">
        <v>7411</v>
      </c>
      <c r="D69" s="21" t="s">
        <v>7412</v>
      </c>
      <c r="E69" s="21" t="s">
        <v>7006</v>
      </c>
      <c r="F69" s="108" t="s">
        <v>7413</v>
      </c>
      <c r="G69" s="104" t="s">
        <v>7414</v>
      </c>
      <c r="H69" s="21" t="s">
        <v>7415</v>
      </c>
      <c r="I69" s="109" t="s">
        <v>7416</v>
      </c>
      <c r="J69" t="n">
        <v>-19.875548999999999</v>
      </c>
      <c r="K69" t="n">
        <v>-43.916105999999999</v>
      </c>
      <c r="L69" t="n">
        <v>613475.05678530305</v>
      </c>
      <c r="M69" t="n">
        <v>7801925.4038989898</v>
      </c>
    </row>
    <row r="70">
      <c r="A70" s="76" t="s">
        <v>7417</v>
      </c>
      <c r="B70" s="104" t="s">
        <v>7418</v>
      </c>
      <c r="C70" s="104" t="s">
        <v>7419</v>
      </c>
      <c r="D70" s="21" t="s">
        <v>7420</v>
      </c>
      <c r="E70" s="21" t="s">
        <v>6997</v>
      </c>
      <c r="F70" s="108" t="s">
        <v>7152</v>
      </c>
      <c r="G70" s="104" t="s">
        <v>7421</v>
      </c>
      <c r="H70" s="21" t="s">
        <v>7422</v>
      </c>
      <c r="I70" s="109" t="s">
        <v>7423</v>
      </c>
      <c r="J70" t="n">
        <v>-19.860638000000002</v>
      </c>
      <c r="K70" t="n">
        <v>-43.975147999999997</v>
      </c>
      <c r="L70" t="n">
        <v>607303.33814051503</v>
      </c>
      <c r="M70" t="n">
        <v>7803614.3149722097</v>
      </c>
    </row>
    <row r="71">
      <c r="A71" s="76" t="s">
        <v>7424</v>
      </c>
      <c r="B71" s="96" t="s">
        <v>7425</v>
      </c>
      <c r="C71" s="104" t="s">
        <v>7426</v>
      </c>
      <c r="D71" s="21" t="s">
        <v>7427</v>
      </c>
      <c r="E71" s="21" t="s">
        <v>6974</v>
      </c>
      <c r="F71" s="108" t="s">
        <v>7047</v>
      </c>
      <c r="G71" s="104" t="s">
        <v>7393</v>
      </c>
      <c r="H71" s="21" t="s">
        <v>7428</v>
      </c>
      <c r="I71" s="109" t="s">
        <v>7429</v>
      </c>
      <c r="J71" t="n">
        <v>-19.901539662219001</v>
      </c>
      <c r="K71" t="n">
        <v>-44.016557232133103</v>
      </c>
      <c r="L71" t="n">
        <v>602940.97611137701</v>
      </c>
      <c r="M71" t="n">
        <v>7799113.50034717</v>
      </c>
    </row>
    <row r="72">
      <c r="A72" s="76" t="s">
        <v>7430</v>
      </c>
      <c r="B72" s="104" t="s">
        <v>7431</v>
      </c>
      <c r="C72" s="104" t="s">
        <v>7432</v>
      </c>
      <c r="D72" s="21" t="s">
        <v>7433</v>
      </c>
      <c r="E72" s="21" t="s">
        <v>7006</v>
      </c>
      <c r="F72" s="108" t="s">
        <v>7434</v>
      </c>
      <c r="G72" s="104" t="s">
        <v>7435</v>
      </c>
      <c r="H72" s="21" t="s">
        <v>7436</v>
      </c>
      <c r="I72" s="109" t="s">
        <v>7437</v>
      </c>
      <c r="J72" t="n">
        <v>-19.863472000000002</v>
      </c>
      <c r="K72" t="n">
        <v>-43.897747000000003</v>
      </c>
      <c r="L72" t="n">
        <v>615406.02032731997</v>
      </c>
      <c r="M72" t="n">
        <v>7803249.5475750696</v>
      </c>
    </row>
    <row r="73">
      <c r="A73" s="76" t="s">
        <v>7438</v>
      </c>
      <c r="B73" s="104" t="s">
        <v>7439</v>
      </c>
      <c r="C73" s="104" t="s">
        <v>7440</v>
      </c>
      <c r="D73" s="21" t="s">
        <v>7441</v>
      </c>
      <c r="E73" s="21" t="s">
        <v>7015</v>
      </c>
      <c r="F73" s="108" t="s">
        <v>7024</v>
      </c>
      <c r="G73" s="104" t="s">
        <v>7442</v>
      </c>
      <c r="H73" s="21" t="s">
        <v>7443</v>
      </c>
      <c r="I73" s="109" t="s">
        <v>7444</v>
      </c>
      <c r="J73" t="n">
        <v>-19.908559</v>
      </c>
      <c r="K73" t="n">
        <v>-43.885196999999998</v>
      </c>
      <c r="L73" t="n">
        <v>616687.10502475302</v>
      </c>
      <c r="M73" t="n">
        <v>7798250.9129988803</v>
      </c>
    </row>
    <row r="74">
      <c r="A74" s="76" t="s">
        <v>7445</v>
      </c>
      <c r="B74" s="96" t="s">
        <v>7446</v>
      </c>
      <c r="C74" s="104" t="s">
        <v>7447</v>
      </c>
      <c r="D74" s="21" t="s">
        <v>7448</v>
      </c>
      <c r="E74" s="21" t="s">
        <v>7126</v>
      </c>
      <c r="F74" s="108" t="s">
        <v>7449</v>
      </c>
      <c r="G74" s="104" t="s">
        <v>7450</v>
      </c>
      <c r="H74" s="21" t="s">
        <v>7451</v>
      </c>
      <c r="I74" s="109" t="s">
        <v>7452</v>
      </c>
      <c r="J74" t="n">
        <v>-19.8452229099993</v>
      </c>
      <c r="K74" t="n">
        <v>-43.942619791170898</v>
      </c>
      <c r="L74" t="n">
        <v>610720.07232933096</v>
      </c>
      <c r="M74" t="n">
        <v>7805299.3170163101</v>
      </c>
    </row>
    <row r="75">
      <c r="A75" s="76" t="s">
        <v>7453</v>
      </c>
      <c r="B75" s="104" t="s">
        <v>7454</v>
      </c>
      <c r="C75" s="104" t="s">
        <v>7455</v>
      </c>
      <c r="D75" s="21" t="s">
        <v>7456</v>
      </c>
      <c r="E75" s="21" t="s">
        <v>7015</v>
      </c>
      <c r="F75" s="108" t="s">
        <v>7056</v>
      </c>
      <c r="G75" s="104" t="s">
        <v>7457</v>
      </c>
      <c r="H75" s="21" t="s">
        <v>7458</v>
      </c>
      <c r="I75" s="109" t="s">
        <v>7459</v>
      </c>
      <c r="J75" t="n">
        <v>-19.912723</v>
      </c>
      <c r="K75" t="n">
        <v>-43.920037999999998</v>
      </c>
      <c r="L75" t="n">
        <v>613036.97848867998</v>
      </c>
      <c r="M75" t="n">
        <v>7797813.8556970004</v>
      </c>
    </row>
    <row r="76">
      <c r="A76" s="76" t="s">
        <v>7460</v>
      </c>
      <c r="B76" s="104" t="s">
        <v>7461</v>
      </c>
      <c r="C76" s="104" t="s">
        <v>7462</v>
      </c>
      <c r="D76" s="21" t="s">
        <v>7463</v>
      </c>
      <c r="E76" s="21" t="s">
        <v>7077</v>
      </c>
      <c r="F76" s="108" t="s">
        <v>7105</v>
      </c>
      <c r="G76" s="104" t="s">
        <v>7464</v>
      </c>
      <c r="H76" s="21" t="s">
        <v>7465</v>
      </c>
      <c r="I76" s="109" t="s">
        <v>7466</v>
      </c>
      <c r="J76" t="n">
        <v>-20.0197272490317</v>
      </c>
      <c r="K76" t="n">
        <v>-44.031404485316898</v>
      </c>
      <c r="L76" t="n">
        <v>601311.24593989202</v>
      </c>
      <c r="M76" t="n">
        <v>7786042.4894800996</v>
      </c>
    </row>
    <row r="77">
      <c r="A77" s="76" t="s">
        <v>7467</v>
      </c>
      <c r="B77" s="96" t="s">
        <v>7468</v>
      </c>
      <c r="C77" s="104" t="s">
        <v>7469</v>
      </c>
      <c r="D77" s="21" t="s">
        <v>7470</v>
      </c>
      <c r="E77" s="21" t="s">
        <v>6997</v>
      </c>
      <c r="F77" s="108" t="s">
        <v>7152</v>
      </c>
      <c r="G77" s="104" t="s">
        <v>7471</v>
      </c>
      <c r="H77" s="21" t="s">
        <v>7472</v>
      </c>
      <c r="I77" s="109" t="s">
        <v>7473</v>
      </c>
      <c r="J77" t="n">
        <v>-19.868541</v>
      </c>
      <c r="K77" t="n">
        <v>-43.987921999999998</v>
      </c>
      <c r="L77" t="n">
        <v>605960.52496900095</v>
      </c>
      <c r="M77" t="n">
        <v>7802747.7549459999</v>
      </c>
    </row>
    <row r="78">
      <c r="A78" s="76" t="s">
        <v>7474</v>
      </c>
      <c r="B78" s="104" t="s">
        <v>7475</v>
      </c>
      <c r="C78" s="74" t="s">
        <v>7476</v>
      </c>
      <c r="D78" s="21" t="s">
        <v>7477</v>
      </c>
      <c r="E78" s="21" t="s">
        <v>6997</v>
      </c>
      <c r="F78" s="108" t="s">
        <v>7152</v>
      </c>
      <c r="G78" s="104" t="s">
        <v>7478</v>
      </c>
      <c r="H78" s="21" t="s">
        <v>7479</v>
      </c>
      <c r="I78" s="109" t="s">
        <v>7480</v>
      </c>
      <c r="J78" t="n">
        <v>-19.893825</v>
      </c>
      <c r="K78" t="n">
        <v>-43.983711999999997</v>
      </c>
      <c r="L78" t="n">
        <v>606384.450066688</v>
      </c>
      <c r="M78" t="n">
        <v>7799946.87194217</v>
      </c>
    </row>
    <row r="79">
      <c r="A79" s="76" t="s">
        <v>7481</v>
      </c>
      <c r="B79" s="104" t="s">
        <v>7482</v>
      </c>
      <c r="C79" s="95" t="s">
        <v>7483</v>
      </c>
      <c r="D79" s="21" t="s">
        <v>7484</v>
      </c>
      <c r="E79" s="21" t="s">
        <v>7086</v>
      </c>
      <c r="F79" s="108" t="s">
        <v>7485</v>
      </c>
      <c r="G79" s="104" t="s">
        <v>7486</v>
      </c>
      <c r="H79" s="21" t="s">
        <v>7487</v>
      </c>
      <c r="I79" s="21" t="s">
        <v>7488</v>
      </c>
      <c r="J79" t="n">
        <v>-19.800456000000001</v>
      </c>
      <c r="K79" t="n">
        <v>-43.967117000000002</v>
      </c>
      <c r="L79" t="n">
        <v>608185.00131690304</v>
      </c>
      <c r="M79" t="n">
        <v>7810269.6367804799</v>
      </c>
    </row>
    <row r="80">
      <c r="A80" s="76" t="s">
        <v>7489</v>
      </c>
      <c r="B80" s="96" t="s">
        <v>7490</v>
      </c>
      <c r="C80" s="104" t="s">
        <v>7491</v>
      </c>
      <c r="D80" s="21" t="s">
        <v>7492</v>
      </c>
      <c r="E80" s="21" t="s">
        <v>7126</v>
      </c>
      <c r="F80" s="108" t="s">
        <v>7127</v>
      </c>
      <c r="G80" s="104" t="s">
        <v>7493</v>
      </c>
      <c r="H80" s="21" t="s">
        <v>7494</v>
      </c>
      <c r="I80" s="109" t="s">
        <v>7495</v>
      </c>
      <c r="J80" t="n">
        <v>-19.829909518680299</v>
      </c>
      <c r="K80" t="n">
        <v>-43.927566950096903</v>
      </c>
      <c r="L80" t="n">
        <v>612307.18872261303</v>
      </c>
      <c r="M80" t="n">
        <v>7806984.1487795999</v>
      </c>
    </row>
    <row r="81">
      <c r="A81" s="76" t="s">
        <v>7496</v>
      </c>
      <c r="B81" s="104" t="s">
        <v>7497</v>
      </c>
      <c r="C81" s="74" t="s">
        <v>7498</v>
      </c>
      <c r="D81" s="21" t="s">
        <v>7499</v>
      </c>
      <c r="E81" s="21" t="s">
        <v>6974</v>
      </c>
      <c r="F81" s="108" t="s">
        <v>7047</v>
      </c>
      <c r="G81" s="104" t="s">
        <v>7500</v>
      </c>
      <c r="H81" s="21" t="s">
        <v>7501</v>
      </c>
      <c r="I81" s="109" t="s">
        <v>7502</v>
      </c>
      <c r="J81" t="n">
        <v>-19.9100481042836</v>
      </c>
      <c r="K81" t="n">
        <v>-44.008016300506199</v>
      </c>
      <c r="L81" t="n">
        <v>603829.50782109902</v>
      </c>
      <c r="M81" t="n">
        <v>7798166.6097519202</v>
      </c>
    </row>
    <row r="82">
      <c r="A82" s="76" t="s">
        <v>7503</v>
      </c>
      <c r="B82" s="104" t="s">
        <v>7504</v>
      </c>
      <c r="C82" s="74" t="s">
        <v>7505</v>
      </c>
      <c r="D82" s="21" t="s">
        <v>7506</v>
      </c>
      <c r="E82" s="21" t="s">
        <v>7126</v>
      </c>
      <c r="F82" s="108" t="s">
        <v>7449</v>
      </c>
      <c r="G82" s="104" t="s">
        <v>7507</v>
      </c>
      <c r="H82" s="21" t="s">
        <v>7508</v>
      </c>
      <c r="I82" s="109" t="s">
        <v>7509</v>
      </c>
      <c r="J82" t="n">
        <v>-19.828688</v>
      </c>
      <c r="K82" t="n">
        <v>-43.932633000000003</v>
      </c>
      <c r="L82" t="n">
        <v>611777.46924818598</v>
      </c>
      <c r="M82" t="n">
        <v>7807122.6989614395</v>
      </c>
    </row>
    <row r="83">
      <c r="A83" s="76" t="s">
        <v>7510</v>
      </c>
      <c r="B83" s="96" t="s">
        <v>7511</v>
      </c>
      <c r="C83" s="104" t="s">
        <v>7512</v>
      </c>
      <c r="D83" s="21" t="s">
        <v>7513</v>
      </c>
      <c r="E83" s="21" t="s">
        <v>6974</v>
      </c>
      <c r="F83" s="108" t="s">
        <v>7244</v>
      </c>
      <c r="G83" s="104" t="s">
        <v>7514</v>
      </c>
      <c r="H83" s="21" t="s">
        <v>7515</v>
      </c>
      <c r="I83" s="109" t="s">
        <v>7516</v>
      </c>
      <c r="J83" t="n">
        <v>-19.903545999999999</v>
      </c>
      <c r="K83" t="n">
        <v>-43.981608999999999</v>
      </c>
      <c r="L83" t="n">
        <v>606598.09968271398</v>
      </c>
      <c r="M83" t="n">
        <v>7798869.6964920703</v>
      </c>
    </row>
    <row r="84">
      <c r="A84" s="76" t="s">
        <v>7517</v>
      </c>
      <c r="B84" s="104" t="s">
        <v>7518</v>
      </c>
      <c r="C84" s="104" t="s">
        <v>7519</v>
      </c>
      <c r="D84" s="21" t="s">
        <v>7520</v>
      </c>
      <c r="E84" s="21" t="s">
        <v>6974</v>
      </c>
      <c r="F84" s="108" t="s">
        <v>7264</v>
      </c>
      <c r="G84" s="104" t="s">
        <v>7521</v>
      </c>
      <c r="H84" s="21" t="s">
        <v>7522</v>
      </c>
      <c r="I84" s="109" t="s">
        <v>7523</v>
      </c>
      <c r="J84" t="n">
        <v>-19.927517000000002</v>
      </c>
      <c r="K84" t="n">
        <v>-44.003463000000004</v>
      </c>
      <c r="L84" t="n">
        <v>604294.67521814804</v>
      </c>
      <c r="M84" t="n">
        <v>7796230.4763361597</v>
      </c>
    </row>
    <row r="85">
      <c r="A85" s="76" t="s">
        <v>7524</v>
      </c>
      <c r="B85" s="104" t="s">
        <v>7525</v>
      </c>
      <c r="C85" s="104" t="s">
        <v>7526</v>
      </c>
      <c r="D85" s="21" t="s">
        <v>7527</v>
      </c>
      <c r="E85" s="21" t="s">
        <v>7006</v>
      </c>
      <c r="F85" s="108" t="s">
        <v>7434</v>
      </c>
      <c r="G85" s="104" t="s">
        <v>7528</v>
      </c>
      <c r="H85" s="21" t="s">
        <v>7529</v>
      </c>
      <c r="I85" s="109" t="s">
        <v>7530</v>
      </c>
      <c r="J85" t="n">
        <v>-19.852160188109099</v>
      </c>
      <c r="K85" t="n">
        <v>-43.885402216744701</v>
      </c>
      <c r="L85" t="n">
        <v>616706.92006036197</v>
      </c>
      <c r="M85" t="n">
        <v>7804492.9783429196</v>
      </c>
    </row>
    <row r="86">
      <c r="A86" s="76" t="s">
        <v>7531</v>
      </c>
      <c r="B86" s="96" t="s">
        <v>7532</v>
      </c>
      <c r="C86" s="95" t="s">
        <v>7533</v>
      </c>
      <c r="D86" s="21" t="s">
        <v>7534</v>
      </c>
      <c r="E86" s="21" t="s">
        <v>7086</v>
      </c>
      <c r="F86" s="108" t="s">
        <v>7112</v>
      </c>
      <c r="G86" s="104" t="s">
        <v>7535</v>
      </c>
      <c r="H86" s="21" t="s">
        <v>7536</v>
      </c>
      <c r="I86" s="109" t="s">
        <v>7537</v>
      </c>
      <c r="J86" t="n">
        <v>-19.809384999999999</v>
      </c>
      <c r="K86" t="n">
        <v>-44.00123</v>
      </c>
      <c r="L86" t="n">
        <v>604605.85551239003</v>
      </c>
      <c r="M86" t="n">
        <v>7809302.9216090599</v>
      </c>
    </row>
    <row r="87">
      <c r="A87" s="76" t="s">
        <v>7538</v>
      </c>
      <c r="B87" s="104" t="s">
        <v>7539</v>
      </c>
      <c r="C87" s="104" t="s">
        <v>7540</v>
      </c>
      <c r="D87" s="21" t="s">
        <v>7541</v>
      </c>
      <c r="E87" s="21" t="s">
        <v>7006</v>
      </c>
      <c r="F87" s="108" t="s">
        <v>7236</v>
      </c>
      <c r="G87" s="104" t="s">
        <v>7542</v>
      </c>
      <c r="H87" s="21" t="s">
        <v>7543</v>
      </c>
      <c r="I87" s="109" t="s">
        <v>7544</v>
      </c>
      <c r="J87" t="n">
        <v>-19.884191000000001</v>
      </c>
      <c r="K87" t="n">
        <v>-43.921010000000003</v>
      </c>
      <c r="L87" t="n">
        <v>612955.47442597698</v>
      </c>
      <c r="M87" t="n">
        <v>7800972.2570294105</v>
      </c>
    </row>
    <row r="88">
      <c r="A88" s="76" t="s">
        <v>7545</v>
      </c>
      <c r="B88" s="104" t="s">
        <v>7546</v>
      </c>
      <c r="C88" s="104" t="s">
        <v>7547</v>
      </c>
      <c r="D88" s="21" t="s">
        <v>7548</v>
      </c>
      <c r="E88" s="21" t="s">
        <v>7077</v>
      </c>
      <c r="F88" s="108" t="s">
        <v>7078</v>
      </c>
      <c r="G88" s="104" t="s">
        <v>7549</v>
      </c>
      <c r="H88" s="21" t="s">
        <v>7550</v>
      </c>
      <c r="I88" s="109" t="s">
        <v>7551</v>
      </c>
      <c r="J88" t="n">
        <v>-19.979178000000001</v>
      </c>
      <c r="K88" t="n">
        <v>-44.046582999999998</v>
      </c>
      <c r="L88" t="n">
        <v>599749.06206022098</v>
      </c>
      <c r="M88" t="n">
        <v>7790539.2662153197</v>
      </c>
    </row>
    <row r="89">
      <c r="A89" s="76" t="s">
        <v>7552</v>
      </c>
      <c r="B89" s="96" t="s">
        <v>7553</v>
      </c>
      <c r="C89" s="104" t="s">
        <v>7554</v>
      </c>
      <c r="D89" s="21" t="s">
        <v>7527</v>
      </c>
      <c r="E89" s="21" t="s">
        <v>7006</v>
      </c>
      <c r="F89" s="108" t="s">
        <v>7434</v>
      </c>
      <c r="G89" s="104" t="s">
        <v>7555</v>
      </c>
      <c r="H89" s="21" t="s">
        <v>7556</v>
      </c>
      <c r="I89" s="109" t="s">
        <v>7557</v>
      </c>
      <c r="J89" t="n">
        <v>-19.859781999999999</v>
      </c>
      <c r="K89" t="n">
        <v>-43.882503999999997</v>
      </c>
      <c r="L89" t="n">
        <v>617004.82641942496</v>
      </c>
      <c r="M89" t="n">
        <v>7803647.4301476302</v>
      </c>
    </row>
    <row r="90">
      <c r="A90" s="76" t="s">
        <v>7558</v>
      </c>
      <c r="B90" s="104" t="s">
        <v>7559</v>
      </c>
      <c r="C90" s="104" t="s">
        <v>7560</v>
      </c>
      <c r="D90" s="21" t="s">
        <v>7456</v>
      </c>
      <c r="E90" s="21" t="s">
        <v>7015</v>
      </c>
      <c r="F90" s="108" t="s">
        <v>7056</v>
      </c>
      <c r="G90" s="104" t="s">
        <v>7561</v>
      </c>
      <c r="H90" s="21" t="s">
        <v>7562</v>
      </c>
      <c r="J90" t="n">
        <v>-19.905610457796602</v>
      </c>
      <c r="K90" t="n">
        <v>-43.915538001110001</v>
      </c>
      <c r="L90" t="n">
        <v>613513.1</v>
      </c>
      <c r="M90" t="n">
        <v>7798598</v>
      </c>
    </row>
    <row r="91">
      <c r="A91" s="76" t="s">
        <v>7563</v>
      </c>
      <c r="B91" s="104" t="s">
        <v>7564</v>
      </c>
      <c r="C91" s="104" t="s">
        <v>7565</v>
      </c>
      <c r="D91" s="21" t="s">
        <v>7566</v>
      </c>
      <c r="E91" s="21" t="s">
        <v>7006</v>
      </c>
      <c r="F91" s="108" t="s">
        <v>7413</v>
      </c>
      <c r="G91" s="104" t="s">
        <v>7567</v>
      </c>
      <c r="H91" s="21" t="s">
        <v>7568</v>
      </c>
      <c r="I91" s="109" t="s">
        <v>7569</v>
      </c>
      <c r="J91" t="n">
        <v>-19.867550000000001</v>
      </c>
      <c r="K91" t="n">
        <v>-43.904898000000003</v>
      </c>
      <c r="L91" t="n">
        <v>614654.30724467395</v>
      </c>
      <c r="M91" t="n">
        <v>7802803.0983287403</v>
      </c>
    </row>
    <row r="92">
      <c r="A92" s="76" t="s">
        <v>7570</v>
      </c>
      <c r="B92" s="96" t="s">
        <v>7571</v>
      </c>
      <c r="C92" s="104" t="s">
        <v>7572</v>
      </c>
      <c r="D92" s="21" t="s">
        <v>7573</v>
      </c>
      <c r="E92" s="21" t="s">
        <v>7015</v>
      </c>
      <c r="F92" s="108" t="s">
        <v>7016</v>
      </c>
      <c r="G92" s="104" t="s">
        <v>7574</v>
      </c>
      <c r="H92" s="21" t="s">
        <v>7575</v>
      </c>
      <c r="I92" s="109" t="s">
        <v>7576</v>
      </c>
      <c r="J92" t="n">
        <v>-19.90081</v>
      </c>
      <c r="K92" t="n">
        <v>-43.886763999999999</v>
      </c>
      <c r="L92" t="n">
        <v>616528.74404784199</v>
      </c>
      <c r="M92" t="n">
        <v>7799109.6195767997</v>
      </c>
    </row>
    <row r="93">
      <c r="A93" s="76" t="s">
        <v>7577</v>
      </c>
      <c r="B93" s="104" t="s">
        <v>7578</v>
      </c>
      <c r="C93" s="95" t="s">
        <v>7579</v>
      </c>
      <c r="D93" s="21" t="s">
        <v>7580</v>
      </c>
      <c r="E93" s="21" t="s">
        <v>7086</v>
      </c>
      <c r="F93" s="108" t="s">
        <v>7485</v>
      </c>
      <c r="G93" s="104" t="s">
        <v>7581</v>
      </c>
      <c r="H93" s="21" t="s">
        <v>7582</v>
      </c>
      <c r="I93" s="109" t="s">
        <v>7583</v>
      </c>
      <c r="J93" t="n">
        <v>-19.805392000000001</v>
      </c>
      <c r="K93" t="n">
        <v>-43.957872999999999</v>
      </c>
      <c r="L93" t="n">
        <v>609149.94128357596</v>
      </c>
      <c r="M93" t="n">
        <v>7809717.4207700603</v>
      </c>
    </row>
    <row r="94">
      <c r="A94" s="76" t="s">
        <v>7584</v>
      </c>
      <c r="B94" s="104" t="s">
        <v>7585</v>
      </c>
      <c r="C94" s="104" t="s">
        <v>7586</v>
      </c>
      <c r="D94" s="21" t="s">
        <v>7587</v>
      </c>
      <c r="E94" s="21" t="s">
        <v>7077</v>
      </c>
      <c r="F94" s="108" t="s">
        <v>7588</v>
      </c>
      <c r="G94" s="104" t="s">
        <v>7589</v>
      </c>
      <c r="H94" s="21" t="s">
        <v>7590</v>
      </c>
      <c r="I94" s="109" t="s">
        <v>7591</v>
      </c>
      <c r="J94" t="n">
        <v>-19.9976573779843</v>
      </c>
      <c r="K94" t="n">
        <v>-44.011273118792801</v>
      </c>
      <c r="L94" t="n">
        <v>603431.48996045301</v>
      </c>
      <c r="M94" t="n">
        <v>7788472.7093124399</v>
      </c>
    </row>
    <row r="95">
      <c r="A95" s="76" t="s">
        <v>7592</v>
      </c>
      <c r="B95" s="96" t="s">
        <v>7593</v>
      </c>
      <c r="C95" s="104" t="s">
        <v>7594</v>
      </c>
      <c r="D95" s="21" t="s">
        <v>7595</v>
      </c>
      <c r="E95" s="21" t="s">
        <v>7006</v>
      </c>
      <c r="F95" s="108" t="s">
        <v>7348</v>
      </c>
      <c r="G95" s="104" t="s">
        <v>7596</v>
      </c>
      <c r="H95" s="21" t="s">
        <v>7597</v>
      </c>
      <c r="I95" s="109" t="s">
        <v>7598</v>
      </c>
      <c r="J95" t="n">
        <v>-19.852108999999999</v>
      </c>
      <c r="K95" t="n">
        <v>-43.893681000000001</v>
      </c>
      <c r="L95" t="n">
        <v>615840.02146490104</v>
      </c>
      <c r="M95" t="n">
        <v>7804504.3502065102</v>
      </c>
    </row>
    <row r="96">
      <c r="A96" s="76" t="s">
        <v>7599</v>
      </c>
      <c r="B96" s="104" t="s">
        <v>7600</v>
      </c>
      <c r="C96" s="104" t="s">
        <v>7601</v>
      </c>
      <c r="D96" s="21" t="s">
        <v>7602</v>
      </c>
      <c r="E96" s="21" t="s">
        <v>6983</v>
      </c>
      <c r="F96" s="108" t="s">
        <v>7228</v>
      </c>
      <c r="G96" s="104" t="s">
        <v>7603</v>
      </c>
      <c r="H96" s="21" t="s">
        <v>7604</v>
      </c>
      <c r="I96" s="109" t="s">
        <v>7605</v>
      </c>
      <c r="J96" t="n">
        <v>-19.929817613605799</v>
      </c>
      <c r="K96" t="n">
        <v>-43.974283042463497</v>
      </c>
      <c r="L96" t="n">
        <v>607347.25980426103</v>
      </c>
      <c r="M96" t="n">
        <v>7795957.48891511</v>
      </c>
    </row>
    <row r="97">
      <c r="A97" s="76" t="s">
        <v>7606</v>
      </c>
      <c r="B97" s="104" t="s">
        <v>7607</v>
      </c>
      <c r="C97" s="104" t="s">
        <v>7608</v>
      </c>
      <c r="D97" s="21" t="s">
        <v>7609</v>
      </c>
      <c r="E97" s="21" t="s">
        <v>7086</v>
      </c>
      <c r="F97" s="108" t="s">
        <v>7201</v>
      </c>
      <c r="G97" s="104" t="s">
        <v>7610</v>
      </c>
      <c r="H97" s="21" t="s">
        <v>7272</v>
      </c>
      <c r="I97" s="109" t="s">
        <v>7611</v>
      </c>
      <c r="J97" t="n">
        <v>-19.794305999999999</v>
      </c>
      <c r="K97" t="n">
        <v>-43.967821999999998</v>
      </c>
      <c r="L97" t="n">
        <v>608115.30620109802</v>
      </c>
      <c r="M97" t="n">
        <v>7810950.7168849204</v>
      </c>
    </row>
    <row r="98">
      <c r="A98" s="76" t="s">
        <v>7612</v>
      </c>
      <c r="B98" s="96" t="s">
        <v>7613</v>
      </c>
      <c r="C98" s="104" t="s">
        <v>7614</v>
      </c>
      <c r="D98" s="21" t="s">
        <v>7615</v>
      </c>
      <c r="E98" s="21" t="s">
        <v>7126</v>
      </c>
      <c r="F98" s="108" t="s">
        <v>7127</v>
      </c>
      <c r="G98" s="104" t="s">
        <v>7616</v>
      </c>
      <c r="H98" s="21" t="s">
        <v>7617</v>
      </c>
      <c r="I98" s="109" t="s">
        <v>7618</v>
      </c>
      <c r="J98" t="n">
        <v>-19.841718661559401</v>
      </c>
      <c r="K98" t="n">
        <v>-43.909065287027602</v>
      </c>
      <c r="L98" t="n">
        <v>614236.45216410095</v>
      </c>
      <c r="M98" t="n">
        <v>7805664.7783275498</v>
      </c>
    </row>
    <row r="99">
      <c r="A99" s="76" t="s">
        <v>7619</v>
      </c>
      <c r="B99" s="104" t="s">
        <v>7620</v>
      </c>
      <c r="C99" s="104" t="s">
        <v>7621</v>
      </c>
      <c r="D99" s="21" t="s">
        <v>7622</v>
      </c>
      <c r="E99" s="21" t="s">
        <v>7015</v>
      </c>
      <c r="F99" s="108" t="s">
        <v>7024</v>
      </c>
      <c r="G99" s="104" t="s">
        <v>7623</v>
      </c>
      <c r="H99" s="21" t="s">
        <v>7624</v>
      </c>
      <c r="I99" s="109" t="s">
        <v>7625</v>
      </c>
      <c r="J99" t="n">
        <v>-19.919501</v>
      </c>
      <c r="K99" t="n">
        <v>-43.877144000000001</v>
      </c>
      <c r="L99" t="n">
        <v>617522.01589182497</v>
      </c>
      <c r="M99" t="n">
        <v>7797034.2969597997</v>
      </c>
    </row>
    <row r="100" ht="30" customHeight="1">
      <c r="A100" s="76" t="s">
        <v>7626</v>
      </c>
      <c r="B100" s="104" t="s">
        <v>7627</v>
      </c>
      <c r="C100" s="104" t="s">
        <v>7628</v>
      </c>
      <c r="D100" s="21" t="s">
        <v>7629</v>
      </c>
      <c r="E100" s="21" t="s">
        <v>7006</v>
      </c>
      <c r="F100" s="108" t="s">
        <v>7348</v>
      </c>
      <c r="G100" s="104" t="s">
        <v>7630</v>
      </c>
      <c r="H100" s="21" t="s">
        <v>7631</v>
      </c>
      <c r="I100" s="109" t="s">
        <v>7632</v>
      </c>
      <c r="J100" t="n">
        <v>-19.849258887357099</v>
      </c>
      <c r="K100" t="n">
        <v>-43.905621859687997</v>
      </c>
      <c r="L100" t="n">
        <v>614591.65025948698</v>
      </c>
      <c r="M100" t="n">
        <v>7804827.9389495403</v>
      </c>
    </row>
    <row r="101">
      <c r="A101" s="76" t="s">
        <v>7633</v>
      </c>
      <c r="B101" s="96" t="s">
        <v>7634</v>
      </c>
      <c r="C101" s="104" t="s">
        <v>7635</v>
      </c>
      <c r="D101" s="21" t="s">
        <v>7636</v>
      </c>
      <c r="E101" s="21" t="s">
        <v>6997</v>
      </c>
      <c r="F101" s="108" t="s">
        <v>7152</v>
      </c>
      <c r="G101" s="104" t="s">
        <v>7637</v>
      </c>
      <c r="H101" s="21" t="s">
        <v>7638</v>
      </c>
      <c r="I101" s="109" t="s">
        <v>7639</v>
      </c>
      <c r="J101" t="n">
        <v>-19.885197000000002</v>
      </c>
      <c r="K101" t="n">
        <v>-43.987670000000001</v>
      </c>
      <c r="L101" t="n">
        <v>605975.83578587405</v>
      </c>
      <c r="M101" t="n">
        <v>7800904.2462534904</v>
      </c>
    </row>
    <row r="102">
      <c r="A102" s="76" t="s">
        <v>7640</v>
      </c>
      <c r="B102" s="104" t="s">
        <v>7641</v>
      </c>
      <c r="C102" s="104" t="s">
        <v>7642</v>
      </c>
      <c r="D102" s="21" t="s">
        <v>7263</v>
      </c>
      <c r="E102" s="21" t="s">
        <v>6974</v>
      </c>
      <c r="F102" s="108" t="s">
        <v>7264</v>
      </c>
      <c r="G102" s="104" t="s">
        <v>7643</v>
      </c>
      <c r="H102" s="21" t="s">
        <v>7644</v>
      </c>
      <c r="I102" s="109" t="s">
        <v>7645</v>
      </c>
      <c r="J102" t="n">
        <v>-19.915704000000002</v>
      </c>
      <c r="K102" t="n">
        <v>-43.989739999999998</v>
      </c>
      <c r="L102" t="n">
        <v>605738.85435833002</v>
      </c>
      <c r="M102" t="n">
        <v>7797529.2744822903</v>
      </c>
    </row>
    <row r="103">
      <c r="A103" s="76" t="s">
        <v>7646</v>
      </c>
      <c r="B103" s="104" t="s">
        <v>7647</v>
      </c>
      <c r="C103" s="104" t="s">
        <v>7648</v>
      </c>
      <c r="D103" s="21" t="s">
        <v>7263</v>
      </c>
      <c r="E103" s="21" t="s">
        <v>6974</v>
      </c>
      <c r="F103" s="108" t="s">
        <v>7264</v>
      </c>
      <c r="G103" s="104" t="s">
        <v>7649</v>
      </c>
      <c r="H103" s="21" t="s">
        <v>7650</v>
      </c>
      <c r="I103" s="109" t="s">
        <v>7651</v>
      </c>
      <c r="J103" t="n">
        <v>-19.920832000000001</v>
      </c>
      <c r="K103" t="n">
        <v>-43.983088000000002</v>
      </c>
      <c r="L103" t="n">
        <v>606431.71027927694</v>
      </c>
      <c r="M103" t="n">
        <v>7796957.5497985799</v>
      </c>
    </row>
    <row r="104">
      <c r="A104" s="76" t="s">
        <v>7652</v>
      </c>
      <c r="B104" s="96" t="s">
        <v>7653</v>
      </c>
      <c r="C104" s="104" t="s">
        <v>7654</v>
      </c>
      <c r="D104" s="21" t="s">
        <v>7655</v>
      </c>
      <c r="E104" s="21" t="s">
        <v>7006</v>
      </c>
      <c r="F104" s="108" t="s">
        <v>7236</v>
      </c>
      <c r="G104" s="104" t="s">
        <v>7656</v>
      </c>
      <c r="H104" s="21" t="s">
        <v>7252</v>
      </c>
      <c r="I104" s="109" t="s">
        <v>7657</v>
      </c>
      <c r="J104" t="n">
        <v>-19.872273085511001</v>
      </c>
      <c r="K104" t="n">
        <v>-43.9388683642226</v>
      </c>
      <c r="L104" t="n">
        <v>611094.08852590201</v>
      </c>
      <c r="M104" t="n">
        <v>7802303.1284488104</v>
      </c>
    </row>
    <row r="105">
      <c r="A105" s="94" t="s">
        <v>7658</v>
      </c>
      <c r="B105" s="104" t="s">
        <v>7659</v>
      </c>
      <c r="C105" s="106" t="s">
        <v>7660</v>
      </c>
      <c r="D105" s="71" t="s">
        <v>7661</v>
      </c>
      <c r="E105" s="71" t="s">
        <v>6997</v>
      </c>
      <c r="F105" s="107" t="s">
        <v>7061</v>
      </c>
      <c r="G105" s="106" t="s">
        <v>7662</v>
      </c>
      <c r="H105" s="71" t="s">
        <v>7663</v>
      </c>
      <c r="I105" s="72" t="s">
        <v>7664</v>
      </c>
      <c r="J105" s="71" t="n">
        <v>-19.859495250369001</v>
      </c>
      <c r="K105" s="71" t="n">
        <v>-43.957164073519102</v>
      </c>
      <c r="L105" s="71" t="n">
        <v>609187.22038363002</v>
      </c>
      <c r="M105" s="71" t="n">
        <v>7803729.2409373699</v>
      </c>
    </row>
    <row r="106">
      <c r="A106" s="76" t="s">
        <v>7665</v>
      </c>
      <c r="B106" s="104" t="s">
        <v>7666</v>
      </c>
      <c r="C106" s="104" t="s">
        <v>7667</v>
      </c>
      <c r="D106" s="21" t="s">
        <v>7668</v>
      </c>
      <c r="E106" s="21" t="s">
        <v>6997</v>
      </c>
      <c r="F106" s="108" t="s">
        <v>6998</v>
      </c>
      <c r="G106" s="104" t="s">
        <v>7669</v>
      </c>
      <c r="H106" s="21" t="s">
        <v>7670</v>
      </c>
      <c r="I106" s="109" t="s">
        <v>7671</v>
      </c>
      <c r="J106" t="n">
        <v>-19.898034959214701</v>
      </c>
      <c r="K106" t="n">
        <v>-44.005301264141004</v>
      </c>
      <c r="L106" t="n">
        <v>604121.56759576802</v>
      </c>
      <c r="M106" t="n">
        <v>7799494.4469624497</v>
      </c>
    </row>
    <row r="107">
      <c r="A107" s="92" t="s">
        <v>7672</v>
      </c>
      <c r="B107" s="96" t="s">
        <v>7673</v>
      </c>
      <c r="C107" s="101" t="s">
        <v>7674</v>
      </c>
      <c r="D107" s="102" t="s">
        <v>7675</v>
      </c>
      <c r="E107" s="102" t="s">
        <v>6983</v>
      </c>
      <c r="F107" s="103" t="s">
        <v>7299</v>
      </c>
      <c r="G107" s="101" t="s">
        <v>7676</v>
      </c>
      <c r="H107" s="102" t="s">
        <v>7677</v>
      </c>
      <c r="I107" s="73" t="s">
        <v>7678</v>
      </c>
      <c r="J107" s="102" t="n">
        <v>-19.972052000000001</v>
      </c>
      <c r="K107" s="102" t="n">
        <v>-43.978386999999998</v>
      </c>
      <c r="L107" s="102" t="n">
        <v>606889.28033969202</v>
      </c>
      <c r="M107" s="102" t="n">
        <v>7791285.8995848401</v>
      </c>
    </row>
    <row r="108">
      <c r="A108" s="76" t="s">
        <v>7679</v>
      </c>
      <c r="B108" s="104" t="s">
        <v>7680</v>
      </c>
      <c r="C108" s="104" t="s">
        <v>7681</v>
      </c>
      <c r="D108" s="21" t="s">
        <v>7682</v>
      </c>
      <c r="E108" s="21" t="s">
        <v>7015</v>
      </c>
      <c r="F108" s="108" t="s">
        <v>7683</v>
      </c>
      <c r="G108" s="104" t="s">
        <v>7684</v>
      </c>
      <c r="H108" s="21" t="s">
        <v>7163</v>
      </c>
      <c r="I108" s="109" t="s">
        <v>7685</v>
      </c>
      <c r="J108" t="n">
        <v>-19.927687178813098</v>
      </c>
      <c r="K108" t="n">
        <v>-43.908683563433698</v>
      </c>
      <c r="L108" t="n">
        <v>614214.78111930995</v>
      </c>
      <c r="M108" t="n">
        <v>7796150.0310029797</v>
      </c>
    </row>
    <row r="109">
      <c r="A109" s="76" t="s">
        <v>7686</v>
      </c>
      <c r="B109" s="104" t="s">
        <v>7687</v>
      </c>
      <c r="C109" s="95" t="s">
        <v>7688</v>
      </c>
      <c r="D109" s="21" t="s">
        <v>7689</v>
      </c>
      <c r="E109" s="21" t="s">
        <v>7086</v>
      </c>
      <c r="F109" s="108" t="s">
        <v>7201</v>
      </c>
      <c r="G109" s="104" t="s">
        <v>7690</v>
      </c>
      <c r="H109" s="21" t="s">
        <v>7691</v>
      </c>
      <c r="I109" s="21" t="s">
        <v>7692</v>
      </c>
      <c r="J109" t="n">
        <v>-19.802461000000001</v>
      </c>
      <c r="K109" t="n">
        <v>-43.989015999999999</v>
      </c>
      <c r="L109" t="n">
        <v>605889.76914498198</v>
      </c>
      <c r="M109" t="n">
        <v>7810061.60265618</v>
      </c>
    </row>
    <row r="110">
      <c r="A110" s="76" t="s">
        <v>7693</v>
      </c>
      <c r="B110" s="96" t="s">
        <v>7694</v>
      </c>
      <c r="C110" s="104" t="s">
        <v>7695</v>
      </c>
      <c r="D110" s="21" t="s">
        <v>7696</v>
      </c>
      <c r="E110" s="21" t="s">
        <v>7077</v>
      </c>
      <c r="F110" s="108" t="s">
        <v>7221</v>
      </c>
      <c r="G110" s="104" t="s">
        <v>7697</v>
      </c>
      <c r="H110" s="21" t="s">
        <v>7698</v>
      </c>
      <c r="I110" s="109" t="s">
        <v>7699</v>
      </c>
      <c r="J110" t="n">
        <v>-19.999542999999999</v>
      </c>
      <c r="K110" t="n">
        <v>-43.967055000000002</v>
      </c>
      <c r="L110" t="n">
        <v>608056.273308228</v>
      </c>
      <c r="M110" t="n">
        <v>7788236.1064430801</v>
      </c>
    </row>
    <row r="111">
      <c r="A111" s="76" t="s">
        <v>7700</v>
      </c>
      <c r="B111" s="104" t="s">
        <v>7701</v>
      </c>
      <c r="C111" s="104" t="s">
        <v>7702</v>
      </c>
      <c r="D111" s="21" t="s">
        <v>7703</v>
      </c>
      <c r="E111" s="21" t="s">
        <v>6974</v>
      </c>
      <c r="F111" s="108" t="s">
        <v>7047</v>
      </c>
      <c r="G111" s="104" t="s">
        <v>7704</v>
      </c>
      <c r="H111" s="21" t="s">
        <v>7705</v>
      </c>
      <c r="I111" s="109" t="s">
        <v>7706</v>
      </c>
      <c r="J111" t="n">
        <v>-19.908412999999999</v>
      </c>
      <c r="K111" t="n">
        <v>-44.020634999999999</v>
      </c>
      <c r="L111" t="n">
        <v>602509.67998629296</v>
      </c>
      <c r="M111" t="n">
        <v>7798355.30812361</v>
      </c>
    </row>
    <row r="112">
      <c r="A112" s="76" t="s">
        <v>7707</v>
      </c>
      <c r="B112" s="104" t="s">
        <v>7708</v>
      </c>
      <c r="C112" s="104" t="s">
        <v>7709</v>
      </c>
      <c r="D112" s="21" t="s">
        <v>7710</v>
      </c>
      <c r="E112" s="21" t="s">
        <v>7015</v>
      </c>
      <c r="F112" s="108" t="s">
        <v>7683</v>
      </c>
      <c r="G112" s="104" t="s">
        <v>7711</v>
      </c>
      <c r="H112" s="21" t="s">
        <v>7712</v>
      </c>
      <c r="I112" s="109" t="s">
        <v>7713</v>
      </c>
      <c r="J112" t="n">
        <v>-19.912423</v>
      </c>
      <c r="K112" t="n">
        <v>-43.904446</v>
      </c>
      <c r="L112" t="n">
        <v>614669.32391643303</v>
      </c>
      <c r="M112" t="n">
        <v>7797836.5033392403</v>
      </c>
    </row>
    <row r="113">
      <c r="A113" s="76" t="s">
        <v>7714</v>
      </c>
      <c r="B113" s="96" t="s">
        <v>7715</v>
      </c>
      <c r="C113" s="74" t="s">
        <v>7716</v>
      </c>
      <c r="D113" s="21" t="s">
        <v>7717</v>
      </c>
      <c r="E113" s="21" t="s">
        <v>7126</v>
      </c>
      <c r="F113" s="108" t="s">
        <v>7718</v>
      </c>
      <c r="G113" s="104" t="s">
        <v>7719</v>
      </c>
      <c r="H113" s="21" t="s">
        <v>7720</v>
      </c>
      <c r="I113" s="109" t="s">
        <v>7721</v>
      </c>
      <c r="J113" t="n">
        <v>-19.86243</v>
      </c>
      <c r="K113" t="n">
        <v>-43.929290999999999</v>
      </c>
      <c r="L113" t="n">
        <v>612103.78997784003</v>
      </c>
      <c r="M113" t="n">
        <v>7803386.1531496197</v>
      </c>
    </row>
    <row r="114">
      <c r="A114" s="76" t="s">
        <v>7722</v>
      </c>
      <c r="B114" s="104" t="s">
        <v>7723</v>
      </c>
      <c r="C114" s="95" t="s">
        <v>7724</v>
      </c>
      <c r="D114" s="21" t="s">
        <v>7725</v>
      </c>
      <c r="E114" s="21" t="s">
        <v>7077</v>
      </c>
      <c r="F114" s="108" t="s">
        <v>7078</v>
      </c>
      <c r="G114" s="104" t="s">
        <v>7726</v>
      </c>
      <c r="H114" s="21" t="s">
        <v>7727</v>
      </c>
      <c r="I114" s="109" t="s">
        <v>7728</v>
      </c>
      <c r="J114" t="n">
        <v>-19.982695</v>
      </c>
      <c r="K114" t="n">
        <v>-44.054670999999999</v>
      </c>
      <c r="L114" t="n">
        <v>598900.61950037803</v>
      </c>
      <c r="M114" t="n">
        <v>7790154.8264098996</v>
      </c>
    </row>
    <row r="115">
      <c r="A115" s="76" t="s">
        <v>7729</v>
      </c>
      <c r="B115" s="104" t="s">
        <v>7730</v>
      </c>
      <c r="C115" s="104" t="s">
        <v>7731</v>
      </c>
      <c r="D115" s="21" t="s">
        <v>7227</v>
      </c>
      <c r="E115" s="21" t="s">
        <v>6983</v>
      </c>
      <c r="F115" s="108" t="s">
        <v>7228</v>
      </c>
      <c r="G115" s="104" t="s">
        <v>7732</v>
      </c>
      <c r="H115" s="21" t="s">
        <v>7230</v>
      </c>
      <c r="I115" s="109" t="s">
        <v>7733</v>
      </c>
      <c r="J115" t="n">
        <v>-19.944201346356799</v>
      </c>
      <c r="K115" t="n">
        <v>-43.985090994850999</v>
      </c>
      <c r="L115" t="n">
        <v>606206.43652362004</v>
      </c>
      <c r="M115" t="n">
        <v>7794372.4705889001</v>
      </c>
    </row>
    <row r="116">
      <c r="A116" s="76" t="s">
        <v>7734</v>
      </c>
      <c r="B116" s="96" t="s">
        <v>7735</v>
      </c>
      <c r="C116" s="104" t="s">
        <v>7736</v>
      </c>
      <c r="D116" s="21" t="s">
        <v>7737</v>
      </c>
      <c r="E116" s="21" t="s">
        <v>6997</v>
      </c>
      <c r="F116" s="108" t="s">
        <v>7038</v>
      </c>
      <c r="G116" s="104" t="s">
        <v>7738</v>
      </c>
      <c r="H116" s="21" t="s">
        <v>7739</v>
      </c>
      <c r="I116" s="109" t="s">
        <v>7740</v>
      </c>
      <c r="J116" t="n">
        <v>-19.837668000000001</v>
      </c>
      <c r="K116" t="n">
        <v>-43.967323</v>
      </c>
      <c r="L116" t="n">
        <v>608138.25342262897</v>
      </c>
      <c r="M116" t="n">
        <v>7806151.4534471901</v>
      </c>
    </row>
    <row r="117">
      <c r="A117" s="76" t="s">
        <v>7741</v>
      </c>
      <c r="B117" s="104" t="s">
        <v>7742</v>
      </c>
      <c r="C117" s="104" t="s">
        <v>7743</v>
      </c>
      <c r="D117" s="21" t="s">
        <v>7744</v>
      </c>
      <c r="E117" s="21" t="s">
        <v>7015</v>
      </c>
      <c r="F117" s="108" t="s">
        <v>7016</v>
      </c>
      <c r="G117" s="104" t="s">
        <v>7745</v>
      </c>
      <c r="H117" s="21" t="s">
        <v>7746</v>
      </c>
      <c r="I117" s="109" t="s">
        <v>7747</v>
      </c>
      <c r="J117" t="n">
        <v>-19.887808</v>
      </c>
      <c r="K117" t="n">
        <v>-43.906049000000003</v>
      </c>
      <c r="L117" t="n">
        <v>614519.23237568699</v>
      </c>
      <c r="M117" t="n">
        <v>7800561.8449636502</v>
      </c>
    </row>
    <row r="118">
      <c r="A118" s="76" t="s">
        <v>7748</v>
      </c>
      <c r="B118" s="104" t="s">
        <v>7749</v>
      </c>
      <c r="C118" s="104" t="s">
        <v>7750</v>
      </c>
      <c r="D118" s="21" t="s">
        <v>7751</v>
      </c>
      <c r="E118" s="21" t="s">
        <v>6997</v>
      </c>
      <c r="F118" s="108" t="s">
        <v>7061</v>
      </c>
      <c r="G118" s="104" t="s">
        <v>7752</v>
      </c>
      <c r="H118" s="21" t="s">
        <v>7018</v>
      </c>
      <c r="I118" s="109" t="s">
        <v>7753</v>
      </c>
      <c r="J118" t="n">
        <v>-19.8664712713794</v>
      </c>
      <c r="K118" t="n">
        <v>-43.942801010952998</v>
      </c>
      <c r="L118" t="n">
        <v>610686.35513997695</v>
      </c>
      <c r="M118" t="n">
        <v>7802947.8201608397</v>
      </c>
    </row>
    <row r="119">
      <c r="A119" s="76" t="s">
        <v>7754</v>
      </c>
      <c r="B119" s="96" t="s">
        <v>7755</v>
      </c>
      <c r="C119" s="104" t="s">
        <v>7756</v>
      </c>
      <c r="D119" s="21" t="s">
        <v>7757</v>
      </c>
      <c r="E119" s="21" t="s">
        <v>6997</v>
      </c>
      <c r="F119" s="108" t="s">
        <v>6998</v>
      </c>
      <c r="G119" s="104" t="s">
        <v>7758</v>
      </c>
      <c r="H119" s="21" t="s">
        <v>7543</v>
      </c>
      <c r="I119" s="109" t="s">
        <v>7759</v>
      </c>
      <c r="J119" t="n">
        <v>-19.875299999999999</v>
      </c>
      <c r="K119" t="n">
        <v>-44.007074000000003</v>
      </c>
      <c r="L119" t="n">
        <v>603950.82325217396</v>
      </c>
      <c r="M119" t="n">
        <v>7802011.65364803</v>
      </c>
    </row>
    <row r="120">
      <c r="A120" s="76" t="s">
        <v>7760</v>
      </c>
      <c r="B120" s="104" t="s">
        <v>7761</v>
      </c>
      <c r="C120" s="95" t="s">
        <v>7762</v>
      </c>
      <c r="D120" s="21" t="s">
        <v>7306</v>
      </c>
      <c r="E120" s="21" t="s">
        <v>7086</v>
      </c>
      <c r="F120" s="108" t="s">
        <v>7087</v>
      </c>
      <c r="G120" s="104" t="s">
        <v>7763</v>
      </c>
      <c r="H120" s="21" t="s">
        <v>7764</v>
      </c>
      <c r="I120" s="109" t="s">
        <v>7765</v>
      </c>
      <c r="J120" t="n">
        <v>-19.817782999999999</v>
      </c>
      <c r="K120" t="n">
        <v>-43.958922999999999</v>
      </c>
      <c r="L120" t="n">
        <v>609031.51117723505</v>
      </c>
      <c r="M120" t="n">
        <v>7808346.76362711</v>
      </c>
    </row>
    <row r="121">
      <c r="A121" s="76" t="s">
        <v>7766</v>
      </c>
      <c r="B121" s="104" t="s">
        <v>7767</v>
      </c>
      <c r="C121" s="104" t="s">
        <v>7768</v>
      </c>
      <c r="D121" s="21" t="s">
        <v>7243</v>
      </c>
      <c r="E121" s="21" t="s">
        <v>6974</v>
      </c>
      <c r="F121" s="108" t="s">
        <v>7244</v>
      </c>
      <c r="G121" s="104" t="s">
        <v>7769</v>
      </c>
      <c r="H121" s="21" t="s">
        <v>7556</v>
      </c>
      <c r="I121" s="109" t="s">
        <v>7770</v>
      </c>
      <c r="J121" t="n">
        <v>-19.904917995483601</v>
      </c>
      <c r="K121" t="n">
        <v>-43.956954969017403</v>
      </c>
      <c r="L121" t="n">
        <v>609177.98920231499</v>
      </c>
      <c r="M121" t="n">
        <v>7798702.0461803405</v>
      </c>
    </row>
    <row r="122">
      <c r="A122" s="76" t="s">
        <v>7771</v>
      </c>
      <c r="B122" s="96" t="s">
        <v>7772</v>
      </c>
      <c r="C122" s="104" t="s">
        <v>7773</v>
      </c>
      <c r="D122" s="21" t="s">
        <v>6991</v>
      </c>
      <c r="E122" s="21" t="s">
        <v>6974</v>
      </c>
      <c r="F122" s="108" t="s">
        <v>6975</v>
      </c>
      <c r="G122" s="104" t="s">
        <v>7774</v>
      </c>
      <c r="H122" s="21" t="s">
        <v>7775</v>
      </c>
      <c r="I122" s="109" t="s">
        <v>7776</v>
      </c>
      <c r="J122" t="n">
        <v>-19.908479</v>
      </c>
      <c r="K122" t="n">
        <v>-43.944456000000002</v>
      </c>
      <c r="L122" t="n">
        <v>610483.92721854604</v>
      </c>
      <c r="M122" t="n">
        <v>7798299.7788581802</v>
      </c>
    </row>
    <row r="123">
      <c r="A123" s="76" t="s">
        <v>7777</v>
      </c>
      <c r="B123" s="104" t="s">
        <v>7778</v>
      </c>
      <c r="C123" s="104" t="s">
        <v>7779</v>
      </c>
      <c r="D123" s="21" t="s">
        <v>7780</v>
      </c>
      <c r="E123" s="21" t="s">
        <v>7015</v>
      </c>
      <c r="F123" s="108" t="s">
        <v>7016</v>
      </c>
      <c r="G123" s="104" t="s">
        <v>7781</v>
      </c>
      <c r="H123" s="21" t="s">
        <v>7782</v>
      </c>
      <c r="I123" s="109" t="s">
        <v>7783</v>
      </c>
      <c r="J123" t="n">
        <v>-19.899913398152599</v>
      </c>
      <c r="K123" t="n">
        <v>-43.904753329469003</v>
      </c>
      <c r="L123" t="n">
        <v>614646.16547206999</v>
      </c>
      <c r="M123" t="n">
        <v>7799221.2064706096</v>
      </c>
    </row>
    <row r="124">
      <c r="A124" s="76" t="s">
        <v>7784</v>
      </c>
      <c r="B124" s="104" t="s">
        <v>7785</v>
      </c>
      <c r="C124" s="104" t="s">
        <v>7786</v>
      </c>
      <c r="D124" s="21" t="s">
        <v>7787</v>
      </c>
      <c r="E124" s="21" t="s">
        <v>6983</v>
      </c>
      <c r="F124" s="108" t="s">
        <v>7228</v>
      </c>
      <c r="G124" s="104" t="s">
        <v>7788</v>
      </c>
      <c r="H124" s="21" t="s">
        <v>7789</v>
      </c>
      <c r="I124" s="109" t="s">
        <v>7790</v>
      </c>
      <c r="J124" t="n">
        <v>-19.942104303474899</v>
      </c>
      <c r="K124" t="n">
        <v>-43.9638136086893</v>
      </c>
      <c r="L124" t="n">
        <v>608434.65291901701</v>
      </c>
      <c r="M124" t="n">
        <v>7794590.9600975299</v>
      </c>
    </row>
    <row r="125">
      <c r="A125" s="76" t="s">
        <v>7791</v>
      </c>
      <c r="B125" s="96" t="s">
        <v>7792</v>
      </c>
      <c r="C125" s="74" t="s">
        <v>7793</v>
      </c>
      <c r="D125" s="21" t="s">
        <v>7794</v>
      </c>
      <c r="E125" s="21" t="s">
        <v>6997</v>
      </c>
      <c r="F125" s="108" t="s">
        <v>6998</v>
      </c>
      <c r="G125" s="104" t="s">
        <v>7795</v>
      </c>
      <c r="H125" s="21" t="s">
        <v>7796</v>
      </c>
      <c r="I125" s="109" t="s">
        <v>7797</v>
      </c>
      <c r="J125" t="n">
        <v>-19.900483000000001</v>
      </c>
      <c r="K125" t="n">
        <v>-43.998897999999997</v>
      </c>
      <c r="L125" t="n">
        <v>604790.27997683105</v>
      </c>
      <c r="M125" t="n">
        <v>7799219.5439414</v>
      </c>
    </row>
    <row r="126">
      <c r="A126" s="76" t="s">
        <v>7798</v>
      </c>
      <c r="B126" s="104" t="s">
        <v>7799</v>
      </c>
      <c r="C126" s="104" t="s">
        <v>7800</v>
      </c>
      <c r="D126" s="21" t="s">
        <v>7801</v>
      </c>
      <c r="E126" s="21" t="s">
        <v>7015</v>
      </c>
      <c r="F126" s="108" t="s">
        <v>7016</v>
      </c>
      <c r="G126" s="104" t="s">
        <v>7802</v>
      </c>
      <c r="H126" s="21" t="s">
        <v>7597</v>
      </c>
      <c r="I126" s="109" t="s">
        <v>7803</v>
      </c>
      <c r="J126" t="n">
        <v>-19.888826999999999</v>
      </c>
      <c r="K126" t="n">
        <v>-43.896585999999999</v>
      </c>
      <c r="L126" t="n">
        <v>615509.213061683</v>
      </c>
      <c r="M126" t="n">
        <v>7800442.6042296104</v>
      </c>
    </row>
    <row r="127">
      <c r="A127" s="76" t="s">
        <v>7804</v>
      </c>
      <c r="B127" s="104" t="s">
        <v>7805</v>
      </c>
      <c r="C127" s="104" t="s">
        <v>7806</v>
      </c>
      <c r="D127" s="21" t="s">
        <v>7807</v>
      </c>
      <c r="E127" s="21" t="s">
        <v>7006</v>
      </c>
      <c r="F127" s="108" t="s">
        <v>7413</v>
      </c>
      <c r="G127" s="104" t="s">
        <v>7808</v>
      </c>
      <c r="H127" s="21" t="s">
        <v>7809</v>
      </c>
      <c r="I127" s="109" t="s">
        <v>7810</v>
      </c>
      <c r="J127" t="n">
        <v>-19.869945023912901</v>
      </c>
      <c r="K127" t="n">
        <v>-43.915369077500102</v>
      </c>
      <c r="L127" t="n">
        <v>613556.20541078004</v>
      </c>
      <c r="M127" t="n">
        <v>7802545.1206150502</v>
      </c>
    </row>
    <row r="128">
      <c r="A128" s="76" t="s">
        <v>7811</v>
      </c>
      <c r="B128" s="96" t="s">
        <v>7812</v>
      </c>
      <c r="C128" s="104" t="s">
        <v>7813</v>
      </c>
      <c r="D128" s="21" t="s">
        <v>7814</v>
      </c>
      <c r="E128" s="21" t="s">
        <v>7160</v>
      </c>
      <c r="F128" s="108" t="s">
        <v>7815</v>
      </c>
      <c r="G128" s="104" t="s">
        <v>7816</v>
      </c>
      <c r="H128" s="21" t="s">
        <v>7817</v>
      </c>
      <c r="I128" s="109" t="s">
        <v>7818</v>
      </c>
      <c r="J128" t="n">
        <v>-19.93468</v>
      </c>
      <c r="K128" t="n">
        <v>-43.902526999999999</v>
      </c>
      <c r="L128" t="n">
        <v>614854.12018205505</v>
      </c>
      <c r="M128" t="n">
        <v>7795371.9059967604</v>
      </c>
    </row>
    <row r="129">
      <c r="A129" s="76" t="s">
        <v>7819</v>
      </c>
      <c r="B129" s="104" t="s">
        <v>7820</v>
      </c>
      <c r="C129" s="104" t="s">
        <v>7821</v>
      </c>
      <c r="D129" s="21" t="s">
        <v>7822</v>
      </c>
      <c r="E129" s="21" t="s">
        <v>7006</v>
      </c>
      <c r="F129" s="108" t="s">
        <v>7413</v>
      </c>
      <c r="G129" s="104" t="s">
        <v>7823</v>
      </c>
      <c r="H129" s="21" t="s">
        <v>7824</v>
      </c>
      <c r="I129" s="109" t="s">
        <v>7825</v>
      </c>
      <c r="J129" t="n">
        <v>-19.866756919518899</v>
      </c>
      <c r="K129" t="n">
        <v>-43.9241706830935</v>
      </c>
      <c r="L129" t="n">
        <v>612636.88276284595</v>
      </c>
      <c r="M129" t="n">
        <v>7802903.8654273096</v>
      </c>
    </row>
    <row r="130">
      <c r="A130" s="76" t="s">
        <v>7826</v>
      </c>
      <c r="B130" s="104" t="s">
        <v>7827</v>
      </c>
      <c r="C130" s="104" t="s">
        <v>7828</v>
      </c>
      <c r="D130" s="21" t="s">
        <v>7829</v>
      </c>
      <c r="E130" s="21" t="s">
        <v>7126</v>
      </c>
      <c r="F130" s="108" t="s">
        <v>7449</v>
      </c>
      <c r="G130" s="104" t="s">
        <v>7830</v>
      </c>
      <c r="H130" s="21" t="s">
        <v>7831</v>
      </c>
      <c r="I130" s="109" t="s">
        <v>7832</v>
      </c>
      <c r="J130" t="n">
        <v>-19.785773829667299</v>
      </c>
      <c r="K130" t="n">
        <v>-43.977988182683099</v>
      </c>
      <c r="L130" t="n">
        <v>607056.06640287302</v>
      </c>
      <c r="M130" t="n">
        <v>7811901.4467759803</v>
      </c>
    </row>
    <row r="131">
      <c r="A131" s="76" t="s">
        <v>7833</v>
      </c>
      <c r="B131" s="96" t="s">
        <v>7834</v>
      </c>
      <c r="C131" s="74" t="s">
        <v>7835</v>
      </c>
      <c r="D131" s="21" t="s">
        <v>7836</v>
      </c>
      <c r="E131" s="21" t="s">
        <v>6997</v>
      </c>
      <c r="F131" s="108" t="s">
        <v>6998</v>
      </c>
      <c r="G131" s="104" t="s">
        <v>7837</v>
      </c>
      <c r="H131" s="21" t="s">
        <v>7838</v>
      </c>
      <c r="J131" t="n">
        <v>-19.884174999999999</v>
      </c>
      <c r="K131" t="n">
        <v>-44.010705999999999</v>
      </c>
      <c r="L131" t="n">
        <v>603564.78722777695</v>
      </c>
      <c r="M131" t="n">
        <v>7801031.6826094296</v>
      </c>
    </row>
    <row r="132">
      <c r="A132" s="76" t="s">
        <v>7839</v>
      </c>
      <c r="B132" s="104" t="s">
        <v>7840</v>
      </c>
      <c r="C132" s="104" t="s">
        <v>7841</v>
      </c>
      <c r="D132" s="21" t="s">
        <v>7622</v>
      </c>
      <c r="E132" s="21" t="s">
        <v>7015</v>
      </c>
      <c r="F132" s="108" t="s">
        <v>7024</v>
      </c>
      <c r="G132" s="104" t="s">
        <v>7842</v>
      </c>
      <c r="H132" s="21" t="s">
        <v>7843</v>
      </c>
      <c r="I132" s="109" t="s">
        <v>7844</v>
      </c>
      <c r="J132" t="n">
        <v>-19.918199999999999</v>
      </c>
      <c r="K132" t="n">
        <v>-43.887765999999999</v>
      </c>
      <c r="L132" t="n">
        <v>616411.12431839795</v>
      </c>
      <c r="M132" t="n">
        <v>7797185.6747646397</v>
      </c>
    </row>
    <row r="133">
      <c r="A133" s="76" t="s">
        <v>7845</v>
      </c>
      <c r="B133" s="104" t="s">
        <v>7846</v>
      </c>
      <c r="C133" s="104" t="s">
        <v>7847</v>
      </c>
      <c r="D133" s="21" t="s">
        <v>7848</v>
      </c>
      <c r="E133" s="21" t="s">
        <v>7077</v>
      </c>
      <c r="F133" s="108" t="s">
        <v>7092</v>
      </c>
      <c r="G133" s="104" t="s">
        <v>7849</v>
      </c>
      <c r="H133" s="21" t="s">
        <v>7850</v>
      </c>
      <c r="I133" s="109" t="s">
        <v>7851</v>
      </c>
      <c r="J133" t="n">
        <v>-19.991925999999999</v>
      </c>
      <c r="K133" t="n">
        <v>-44.015740000000001</v>
      </c>
      <c r="L133" t="n">
        <v>602967.89675314701</v>
      </c>
      <c r="M133" t="n">
        <v>7789109.7673556795</v>
      </c>
    </row>
    <row r="134">
      <c r="A134" s="76" t="s">
        <v>7852</v>
      </c>
      <c r="B134" s="96" t="s">
        <v>7853</v>
      </c>
      <c r="C134" s="104" t="s">
        <v>7854</v>
      </c>
      <c r="D134" s="21" t="s">
        <v>7855</v>
      </c>
      <c r="E134" s="21" t="s">
        <v>7077</v>
      </c>
      <c r="F134" s="108" t="s">
        <v>7588</v>
      </c>
      <c r="G134" s="104" t="s">
        <v>7856</v>
      </c>
      <c r="H134" s="21" t="s">
        <v>7857</v>
      </c>
      <c r="I134" s="109" t="s">
        <v>7858</v>
      </c>
      <c r="J134" t="n">
        <v>-20.009477</v>
      </c>
      <c r="K134" t="n">
        <v>-44.008029000000001</v>
      </c>
      <c r="L134" t="n">
        <v>603763.13784479303</v>
      </c>
      <c r="M134" t="n">
        <v>7787162.5917411698</v>
      </c>
    </row>
    <row r="135">
      <c r="A135" s="76" t="s">
        <v>7859</v>
      </c>
      <c r="B135" s="104" t="s">
        <v>7860</v>
      </c>
      <c r="C135" s="74" t="s">
        <v>7861</v>
      </c>
      <c r="D135" s="21" t="s">
        <v>7862</v>
      </c>
      <c r="E135" s="21" t="s">
        <v>7077</v>
      </c>
      <c r="F135" s="108" t="s">
        <v>7105</v>
      </c>
      <c r="G135" s="104" t="s">
        <v>7863</v>
      </c>
      <c r="H135" s="21" t="s">
        <v>7018</v>
      </c>
      <c r="J135" t="n">
        <v>-20.010734745419899</v>
      </c>
      <c r="K135" t="n">
        <v>-44.0362653374589</v>
      </c>
      <c r="L135" t="n">
        <v>600808.51317717799</v>
      </c>
      <c r="M135" t="n">
        <v>7787040.6457989002</v>
      </c>
    </row>
    <row r="136">
      <c r="A136" s="76" t="s">
        <v>7864</v>
      </c>
      <c r="B136" s="104" t="s">
        <v>7865</v>
      </c>
      <c r="C136" s="104" t="s">
        <v>7866</v>
      </c>
      <c r="D136" s="21" t="s">
        <v>7867</v>
      </c>
      <c r="E136" s="21" t="s">
        <v>6983</v>
      </c>
      <c r="F136" s="108" t="s">
        <v>7228</v>
      </c>
      <c r="G136" s="104" t="s">
        <v>7868</v>
      </c>
      <c r="H136" s="21" t="s">
        <v>7869</v>
      </c>
      <c r="I136" s="109" t="s">
        <v>7870</v>
      </c>
      <c r="J136" t="n">
        <v>-19.950748999999998</v>
      </c>
      <c r="K136" t="n">
        <v>-43.971708999999997</v>
      </c>
      <c r="L136" t="n">
        <v>607602.49034363905</v>
      </c>
      <c r="M136" t="n">
        <v>7793639.3026347701</v>
      </c>
    </row>
    <row r="137">
      <c r="A137" s="76" t="s">
        <v>7871</v>
      </c>
      <c r="B137" s="96" t="s">
        <v>7872</v>
      </c>
      <c r="C137" s="104" t="s">
        <v>7873</v>
      </c>
      <c r="D137" s="21" t="s">
        <v>7874</v>
      </c>
      <c r="E137" s="21" t="s">
        <v>7077</v>
      </c>
      <c r="F137" s="108" t="s">
        <v>7588</v>
      </c>
      <c r="G137" s="104" t="s">
        <v>7875</v>
      </c>
      <c r="H137" s="21" t="s">
        <v>7223</v>
      </c>
      <c r="I137" s="109" t="s">
        <v>7876</v>
      </c>
      <c r="J137" t="n">
        <v>-19.997869000000001</v>
      </c>
      <c r="K137" t="n">
        <v>-43.992417000000003</v>
      </c>
      <c r="L137" t="n">
        <v>605404.05776804104</v>
      </c>
      <c r="M137" t="n">
        <v>7788437.53442783</v>
      </c>
    </row>
    <row r="138">
      <c r="A138" s="76" t="s">
        <v>7877</v>
      </c>
      <c r="B138" s="104" t="s">
        <v>7878</v>
      </c>
      <c r="C138" s="104" t="s">
        <v>7879</v>
      </c>
      <c r="D138" s="21" t="s">
        <v>7051</v>
      </c>
      <c r="E138" s="21" t="s">
        <v>6983</v>
      </c>
      <c r="F138" s="108" t="s">
        <v>6984</v>
      </c>
      <c r="G138" s="104" t="s">
        <v>7880</v>
      </c>
      <c r="H138" s="21" t="s">
        <v>7881</v>
      </c>
      <c r="I138" s="109" t="s">
        <v>7882</v>
      </c>
      <c r="J138" t="n">
        <v>-19.948622</v>
      </c>
      <c r="K138" t="n">
        <v>-44.004714999999997</v>
      </c>
      <c r="L138" t="n">
        <v>604149.79699115397</v>
      </c>
      <c r="M138" t="n">
        <v>7793895.5173024898</v>
      </c>
    </row>
    <row r="139">
      <c r="A139" s="76" t="s">
        <v>7883</v>
      </c>
      <c r="B139" s="104" t="s">
        <v>7884</v>
      </c>
      <c r="C139" s="104" t="s">
        <v>7885</v>
      </c>
      <c r="D139" s="21" t="s">
        <v>7886</v>
      </c>
      <c r="E139" s="21" t="s">
        <v>6983</v>
      </c>
      <c r="F139" s="108" t="s">
        <v>7887</v>
      </c>
      <c r="G139" s="104" t="s">
        <v>7888</v>
      </c>
      <c r="H139" s="21" t="s">
        <v>7133</v>
      </c>
      <c r="I139" s="109" t="s">
        <v>7889</v>
      </c>
      <c r="J139" t="n">
        <v>-19.955874000000001</v>
      </c>
      <c r="K139" t="n">
        <v>-43.965443</v>
      </c>
      <c r="L139" t="n">
        <v>608254.73699610401</v>
      </c>
      <c r="M139" t="n">
        <v>7793068.0733911796</v>
      </c>
    </row>
    <row r="140">
      <c r="A140" s="76" t="s">
        <v>7890</v>
      </c>
      <c r="B140" s="96" t="s">
        <v>7891</v>
      </c>
      <c r="C140" s="104" t="s">
        <v>7892</v>
      </c>
      <c r="D140" s="21" t="s">
        <v>7893</v>
      </c>
      <c r="E140" s="21" t="s">
        <v>7077</v>
      </c>
      <c r="F140" s="108" t="s">
        <v>7105</v>
      </c>
      <c r="G140" s="104" t="s">
        <v>7894</v>
      </c>
      <c r="H140" s="21" t="s">
        <v>7895</v>
      </c>
      <c r="I140" s="109" t="s">
        <v>7896</v>
      </c>
      <c r="J140" t="n">
        <v>-20.000624701948301</v>
      </c>
      <c r="K140" t="n">
        <v>-44.0261464195993</v>
      </c>
      <c r="L140" t="n">
        <v>601873.55670616205</v>
      </c>
      <c r="M140" t="n">
        <v>7788153.4232592201</v>
      </c>
    </row>
    <row r="141">
      <c r="A141" s="76" t="s">
        <v>7897</v>
      </c>
      <c r="B141" s="104" t="s">
        <v>7898</v>
      </c>
      <c r="C141" s="104" t="s">
        <v>7899</v>
      </c>
      <c r="D141" s="21" t="s">
        <v>7900</v>
      </c>
      <c r="E141" s="21" t="s">
        <v>6983</v>
      </c>
      <c r="F141" s="108" t="s">
        <v>6984</v>
      </c>
      <c r="G141" s="104" t="s">
        <v>7901</v>
      </c>
      <c r="H141" s="21" t="s">
        <v>7902</v>
      </c>
      <c r="I141" s="109" t="s">
        <v>7903</v>
      </c>
      <c r="J141" t="n">
        <v>-19.9493902471261</v>
      </c>
      <c r="K141" t="n">
        <v>-43.990420276921597</v>
      </c>
      <c r="L141" t="n">
        <v>605645.24994980299</v>
      </c>
      <c r="M141" t="n">
        <v>7793801.5627999203</v>
      </c>
    </row>
    <row r="142">
      <c r="A142" s="76" t="s">
        <v>7904</v>
      </c>
      <c r="B142" s="104" t="s">
        <v>7905</v>
      </c>
      <c r="C142" s="104" t="s">
        <v>7906</v>
      </c>
      <c r="D142" s="21" t="s">
        <v>7051</v>
      </c>
      <c r="E142" s="21" t="s">
        <v>6983</v>
      </c>
      <c r="F142" s="108" t="s">
        <v>6984</v>
      </c>
      <c r="G142" s="104" t="s">
        <v>7603</v>
      </c>
      <c r="H142" s="21" t="s">
        <v>7907</v>
      </c>
      <c r="I142" s="109" t="s">
        <v>7908</v>
      </c>
      <c r="J142" t="n">
        <v>-19.918580590435599</v>
      </c>
      <c r="K142" t="n">
        <v>-43.937898017514399</v>
      </c>
      <c r="L142" t="n">
        <v>611163.35320305103</v>
      </c>
      <c r="M142" t="n">
        <v>7797177.4787603496</v>
      </c>
    </row>
    <row r="143">
      <c r="A143" s="30" t="s">
        <v>7909</v>
      </c>
      <c r="B143" s="96" t="s">
        <v>7910</v>
      </c>
      <c r="C143" s="104" t="s">
        <v>7911</v>
      </c>
      <c r="D143" s="21" t="s">
        <v>7441</v>
      </c>
      <c r="E143" s="21" t="s">
        <v>7015</v>
      </c>
      <c r="F143" s="108" t="s">
        <v>7024</v>
      </c>
      <c r="G143" s="104" t="s">
        <v>7912</v>
      </c>
      <c r="I143" s="109" t="s">
        <v>7913</v>
      </c>
      <c r="J143" t="n">
        <v>-19.9087365587093</v>
      </c>
      <c r="K143" t="n">
        <v>-43.886261903263097</v>
      </c>
      <c r="L143" t="n">
        <v>616575.5</v>
      </c>
      <c r="M143" t="n">
        <v>7798232</v>
      </c>
    </row>
    <row r="144">
      <c r="A144" s="30" t="s">
        <v>7914</v>
      </c>
      <c r="B144" s="104" t="s">
        <v>7915</v>
      </c>
      <c r="C144" s="95" t="s">
        <v>7916</v>
      </c>
      <c r="D144" s="21" t="s">
        <v>7306</v>
      </c>
      <c r="E144" s="21" t="s">
        <v>7086</v>
      </c>
      <c r="F144" s="108" t="s">
        <v>7087</v>
      </c>
      <c r="G144" s="104" t="s">
        <v>7917</v>
      </c>
      <c r="H144" s="21" t="s">
        <v>7918</v>
      </c>
      <c r="I144" s="109" t="s">
        <v>7919</v>
      </c>
      <c r="J144" t="n">
        <v>-19.826091000000002</v>
      </c>
      <c r="K144" t="n">
        <v>-43.960045000000001</v>
      </c>
      <c r="L144" t="n">
        <v>608908.33484393801</v>
      </c>
      <c r="M144" t="n">
        <v>7807428.0248849904</v>
      </c>
    </row>
    <row r="145">
      <c r="A145" s="30" t="s">
        <v>7920</v>
      </c>
      <c r="B145" s="104" t="s">
        <v>7921</v>
      </c>
      <c r="C145" s="95" t="s">
        <v>7922</v>
      </c>
      <c r="D145" s="21" t="s">
        <v>7085</v>
      </c>
      <c r="E145" s="21" t="s">
        <v>7086</v>
      </c>
      <c r="F145" s="108" t="s">
        <v>7087</v>
      </c>
      <c r="G145" s="104" t="s">
        <v>7194</v>
      </c>
      <c r="H145" s="21" t="s">
        <v>7208</v>
      </c>
      <c r="I145" s="109" t="s">
        <v>7209</v>
      </c>
      <c r="J145" t="n">
        <v>-19.818788000000001</v>
      </c>
      <c r="K145" t="n">
        <v>-43.953426</v>
      </c>
      <c r="L145" t="n">
        <v>609606.570067005</v>
      </c>
      <c r="M145" t="n">
        <v>7808231.98169073</v>
      </c>
    </row>
    <row r="146" ht="30" customHeight="1">
      <c r="A146" s="30" t="s">
        <v>7923</v>
      </c>
      <c r="B146" s="96" t="s">
        <v>7924</v>
      </c>
      <c r="C146" s="104" t="s">
        <v>7925</v>
      </c>
      <c r="D146" s="21" t="s">
        <v>7926</v>
      </c>
      <c r="E146" s="21" t="s">
        <v>7077</v>
      </c>
      <c r="F146" s="108" t="s">
        <v>7105</v>
      </c>
      <c r="G146" s="104" t="s">
        <v>7927</v>
      </c>
      <c r="J146" t="n">
        <v>-20.010636191968899</v>
      </c>
      <c r="K146" t="n">
        <v>-44.022165087224003</v>
      </c>
      <c r="L146" t="n">
        <v>602283.6</v>
      </c>
      <c r="M146" t="n">
        <v>7787043</v>
      </c>
    </row>
    <row r="147">
      <c r="A147" s="81" t="s">
        <v>7928</v>
      </c>
      <c r="B147" s="104" t="s">
        <v>7929</v>
      </c>
      <c r="C147" s="104" t="s">
        <v>7930</v>
      </c>
      <c r="D147" s="21" t="s">
        <v>7931</v>
      </c>
      <c r="E147" s="21" t="s">
        <v>7077</v>
      </c>
      <c r="F147" s="108" t="s">
        <v>7588</v>
      </c>
      <c r="G147" s="104" t="s">
        <v>7932</v>
      </c>
      <c r="H147" s="21" t="s">
        <v>7933</v>
      </c>
      <c r="I147" s="109" t="s">
        <v>7934</v>
      </c>
      <c r="J147" t="n">
        <v>-20.009336611965299</v>
      </c>
      <c r="K147" t="n">
        <v>-44.0107101322075</v>
      </c>
      <c r="L147" t="n">
        <v>603482.75366902899</v>
      </c>
      <c r="M147" t="n">
        <v>7787179.7883858103</v>
      </c>
    </row>
    <row r="148">
      <c r="A148" s="30" t="s">
        <v>7935</v>
      </c>
      <c r="B148" s="104" t="s">
        <v>7936</v>
      </c>
      <c r="C148" s="104" t="s">
        <v>7937</v>
      </c>
      <c r="D148" s="21" t="s">
        <v>7938</v>
      </c>
      <c r="E148" s="21" t="s">
        <v>6974</v>
      </c>
      <c r="F148" s="108" t="s">
        <v>7264</v>
      </c>
      <c r="G148" s="104" t="s">
        <v>7939</v>
      </c>
      <c r="H148" s="21" t="s">
        <v>7940</v>
      </c>
      <c r="I148" s="109" t="s">
        <v>7941</v>
      </c>
      <c r="J148" t="n">
        <v>-19.915514824046699</v>
      </c>
      <c r="K148" t="n">
        <v>-43.968119314587902</v>
      </c>
      <c r="L148" t="n">
        <v>608002.09886720695</v>
      </c>
      <c r="M148" t="n">
        <v>7797536.4713743301</v>
      </c>
    </row>
    <row r="149">
      <c r="A149" s="75" t="s">
        <v>7942</v>
      </c>
      <c r="B149" s="96" t="s">
        <v>7943</v>
      </c>
      <c r="C149" s="104" t="s">
        <v>7944</v>
      </c>
      <c r="D149" s="21" t="s">
        <v>7284</v>
      </c>
      <c r="E149" s="21" t="s">
        <v>7006</v>
      </c>
      <c r="F149" s="108" t="s">
        <v>7007</v>
      </c>
      <c r="G149" s="104" t="s">
        <v>7945</v>
      </c>
      <c r="H149" s="21" t="s">
        <v>7946</v>
      </c>
      <c r="I149" s="109" t="s">
        <v>7947</v>
      </c>
      <c r="J149" t="n">
        <v>-19.903134000000001</v>
      </c>
      <c r="K149" t="n">
        <v>-43.933897000000002</v>
      </c>
      <c r="L149" t="n">
        <v>611592.98531605594</v>
      </c>
      <c r="M149" t="n">
        <v>7798884.36011035</v>
      </c>
    </row>
    <row r="150">
      <c r="A150" s="29" t="s">
        <v>7948</v>
      </c>
      <c r="B150" s="104" t="s">
        <v>7949</v>
      </c>
      <c r="C150" s="104" t="s">
        <v>7950</v>
      </c>
      <c r="D150" s="21" t="s">
        <v>7862</v>
      </c>
      <c r="E150" s="21" t="s">
        <v>7077</v>
      </c>
      <c r="F150" s="108" t="s">
        <v>7105</v>
      </c>
      <c r="G150" s="104" t="s">
        <v>7951</v>
      </c>
      <c r="H150" s="21" t="s">
        <v>7952</v>
      </c>
      <c r="J150" t="n">
        <v>-20.008691014316099</v>
      </c>
      <c r="K150" t="n">
        <v>-44.035019248050602</v>
      </c>
      <c r="L150" t="n">
        <v>600940.16966995504</v>
      </c>
      <c r="M150" t="n">
        <v>7787266.0792285902</v>
      </c>
    </row>
    <row r="151">
      <c r="A151" s="85" t="s">
        <v>7953</v>
      </c>
      <c r="B151" s="104" t="s">
        <v>7954</v>
      </c>
      <c r="C151" s="104" t="s">
        <v>7955</v>
      </c>
      <c r="D151" s="21" t="s">
        <v>7956</v>
      </c>
      <c r="E151" s="21" t="s">
        <v>7086</v>
      </c>
      <c r="F151" s="108" t="s">
        <v>7112</v>
      </c>
      <c r="G151" s="104" t="s">
        <v>7957</v>
      </c>
      <c r="H151" s="21" t="s">
        <v>7958</v>
      </c>
      <c r="I151" s="109" t="s">
        <v>7959</v>
      </c>
      <c r="J151" t="n">
        <v>-19.828845000000001</v>
      </c>
      <c r="K151" t="n">
        <v>-43.987231000000001</v>
      </c>
      <c r="L151" t="n">
        <v>606059.24536673399</v>
      </c>
      <c r="M151" t="n">
        <v>7807140.5369904302</v>
      </c>
    </row>
    <row r="152">
      <c r="A152" s="86" t="s">
        <v>7960</v>
      </c>
      <c r="B152" s="96" t="s">
        <v>7961</v>
      </c>
      <c r="C152" s="104" t="s">
        <v>7962</v>
      </c>
      <c r="D152" s="21" t="s">
        <v>7963</v>
      </c>
      <c r="E152" s="21" t="s">
        <v>7126</v>
      </c>
      <c r="F152" s="108" t="s">
        <v>7718</v>
      </c>
      <c r="G152" s="104" t="s">
        <v>7964</v>
      </c>
      <c r="H152" s="21" t="s">
        <v>7487</v>
      </c>
      <c r="I152" s="109" t="s">
        <v>7965</v>
      </c>
      <c r="J152" t="n">
        <v>-19.853603319586099</v>
      </c>
      <c r="K152" t="n">
        <v>-43.930284759266002</v>
      </c>
      <c r="L152" t="n">
        <v>612005.92962038005</v>
      </c>
      <c r="M152" t="n">
        <v>7804363.6903817505</v>
      </c>
    </row>
    <row r="153">
      <c r="A153" s="86" t="s">
        <v>7966</v>
      </c>
      <c r="B153" s="104" t="s">
        <v>7967</v>
      </c>
      <c r="C153" s="104" t="s">
        <v>7968</v>
      </c>
      <c r="D153" s="21" t="s">
        <v>7023</v>
      </c>
      <c r="E153" s="21" t="s">
        <v>7015</v>
      </c>
      <c r="F153" s="108" t="s">
        <v>7024</v>
      </c>
      <c r="G153" s="104" t="s">
        <v>7969</v>
      </c>
      <c r="H153" s="21" t="s">
        <v>7970</v>
      </c>
      <c r="I153" s="109" t="s">
        <v>7971</v>
      </c>
      <c r="J153" t="n">
        <v>-19.920387000000002</v>
      </c>
      <c r="K153" t="n">
        <v>-43.875517000000002</v>
      </c>
      <c r="L153" t="n">
        <v>617691.66449258802</v>
      </c>
      <c r="M153" t="n">
        <v>7796935.1004060404</v>
      </c>
    </row>
    <row r="154">
      <c r="A154" s="85" t="s">
        <v>7972</v>
      </c>
      <c r="B154" s="104" t="s">
        <v>7973</v>
      </c>
      <c r="C154" s="104" t="s">
        <v>7974</v>
      </c>
      <c r="D154" s="21" t="s">
        <v>7717</v>
      </c>
      <c r="E154" s="21" t="s">
        <v>7126</v>
      </c>
      <c r="F154" s="108" t="s">
        <v>7718</v>
      </c>
      <c r="G154" s="104" t="s">
        <v>7975</v>
      </c>
      <c r="H154" s="21" t="s">
        <v>7976</v>
      </c>
      <c r="I154" s="109" t="s">
        <v>7977</v>
      </c>
      <c r="J154" t="n">
        <v>-19.856858258778502</v>
      </c>
      <c r="K154" t="n">
        <v>-43.932716790723298</v>
      </c>
      <c r="L154" t="n">
        <v>611748.97836702096</v>
      </c>
      <c r="M154" t="n">
        <v>7804005.06939389</v>
      </c>
    </row>
    <row r="155">
      <c r="A155" s="79" t="s">
        <v>7978</v>
      </c>
      <c r="B155" s="96" t="s">
        <v>7979</v>
      </c>
      <c r="C155" s="104" t="s">
        <v>7978</v>
      </c>
      <c r="D155" s="21" t="s">
        <v>7980</v>
      </c>
      <c r="E155" s="21" t="s">
        <v>7160</v>
      </c>
      <c r="F155" s="108" t="s">
        <v>7161</v>
      </c>
      <c r="G155" s="104" t="s">
        <v>7981</v>
      </c>
      <c r="J155" t="n">
        <v>-19.9393909089357</v>
      </c>
      <c r="K155" t="n">
        <v>-43.935902959997698</v>
      </c>
      <c r="L155" t="n">
        <v>611357.6</v>
      </c>
      <c r="M155" t="n">
        <v>7794873</v>
      </c>
    </row>
    <row r="156">
      <c r="A156" s="30" t="s">
        <v>7982</v>
      </c>
      <c r="B156" s="104" t="s">
        <v>7983</v>
      </c>
      <c r="C156" s="104" t="s">
        <v>7982</v>
      </c>
      <c r="D156" s="21" t="s">
        <v>7513</v>
      </c>
      <c r="E156" s="21" t="s">
        <v>6974</v>
      </c>
      <c r="F156" s="108" t="s">
        <v>7244</v>
      </c>
      <c r="G156" s="104" t="s">
        <v>7984</v>
      </c>
      <c r="H156" s="21" t="s">
        <v>7985</v>
      </c>
      <c r="I156" s="109" t="s">
        <v>7986</v>
      </c>
      <c r="J156" t="n">
        <v>-19.898520000000001</v>
      </c>
      <c r="K156" t="n">
        <v>-43.985047999999999</v>
      </c>
      <c r="L156" t="n">
        <v>606241.45426676504</v>
      </c>
      <c r="M156" t="n">
        <v>7799428.1099207401</v>
      </c>
    </row>
    <row r="157">
      <c r="A157" s="105" t="s">
        <v>7987</v>
      </c>
      <c r="B157" s="104" t="s">
        <v>7988</v>
      </c>
      <c r="C157" s="104" t="s">
        <v>7989</v>
      </c>
      <c r="D157" s="21" t="s">
        <v>7990</v>
      </c>
      <c r="E157" s="21" t="s">
        <v>7006</v>
      </c>
      <c r="F157" s="108" t="s">
        <v>7348</v>
      </c>
      <c r="G157" s="104" t="s">
        <v>7991</v>
      </c>
      <c r="H157" s="21" t="s">
        <v>7992</v>
      </c>
      <c r="I157" s="109" t="s">
        <v>7993</v>
      </c>
      <c r="J157" t="n">
        <v>-19.837928000000002</v>
      </c>
      <c r="K157" t="n">
        <v>-43.888429000000002</v>
      </c>
      <c r="L157" t="n">
        <v>616400.33710126102</v>
      </c>
      <c r="M157" t="n">
        <v>7806070.2059325101</v>
      </c>
    </row>
    <row r="158">
      <c r="A158" s="83" t="s">
        <v>7994</v>
      </c>
      <c r="B158" s="96" t="s">
        <v>7995</v>
      </c>
      <c r="C158" s="104" t="s">
        <v>7996</v>
      </c>
      <c r="D158" s="21" t="s">
        <v>7235</v>
      </c>
      <c r="E158" s="21" t="s">
        <v>7006</v>
      </c>
      <c r="F158" s="108" t="s">
        <v>7236</v>
      </c>
      <c r="G158" s="104" t="s">
        <v>7997</v>
      </c>
      <c r="H158" s="21" t="s">
        <v>7998</v>
      </c>
      <c r="I158" s="109" t="s">
        <v>7999</v>
      </c>
      <c r="J158" t="n">
        <v>-19.885778999999999</v>
      </c>
      <c r="K158" t="n">
        <v>-43.931950999999998</v>
      </c>
      <c r="L158" t="n">
        <v>611808.88392332802</v>
      </c>
      <c r="M158" t="n">
        <v>7800803.80816082</v>
      </c>
    </row>
    <row r="159">
      <c r="A159" s="83" t="s">
        <v>8000</v>
      </c>
      <c r="B159" s="104" t="s">
        <v>8001</v>
      </c>
      <c r="C159" s="104" t="s">
        <v>8002</v>
      </c>
      <c r="D159" s="21" t="s">
        <v>7111</v>
      </c>
      <c r="E159" s="21" t="s">
        <v>7086</v>
      </c>
      <c r="F159" s="108" t="s">
        <v>7112</v>
      </c>
      <c r="G159" s="104" t="s">
        <v>8003</v>
      </c>
      <c r="H159" s="21" t="s">
        <v>6977</v>
      </c>
      <c r="I159" s="109" t="s">
        <v>8004</v>
      </c>
      <c r="J159" t="n">
        <v>-19.8165804480454</v>
      </c>
      <c r="K159" t="n">
        <v>-43.997884915707601</v>
      </c>
      <c r="L159" t="n">
        <v>604951.50813593995</v>
      </c>
      <c r="M159" t="n">
        <v>7808504.5220358698</v>
      </c>
    </row>
    <row r="160">
      <c r="A160" s="83" t="s">
        <v>8005</v>
      </c>
      <c r="B160" s="104" t="s">
        <v>8006</v>
      </c>
      <c r="C160" s="104" t="s">
        <v>8007</v>
      </c>
      <c r="D160" s="21" t="s">
        <v>8008</v>
      </c>
      <c r="E160" s="21" t="s">
        <v>7126</v>
      </c>
      <c r="F160" s="108" t="s">
        <v>7718</v>
      </c>
      <c r="G160" s="104" t="s">
        <v>8009</v>
      </c>
      <c r="H160" s="21" t="s">
        <v>7335</v>
      </c>
      <c r="I160" s="109" t="s">
        <v>8010</v>
      </c>
      <c r="J160" t="n">
        <v>-19.850646058136199</v>
      </c>
      <c r="K160" t="n">
        <v>-43.927307277737199</v>
      </c>
      <c r="L160" t="n">
        <v>612319.80000000005</v>
      </c>
      <c r="M160" t="n">
        <v>7804689</v>
      </c>
    </row>
    <row r="161">
      <c r="A161" s="83" t="s">
        <v>8011</v>
      </c>
      <c r="B161" s="96" t="s">
        <v>8012</v>
      </c>
      <c r="C161" s="104" t="s">
        <v>8013</v>
      </c>
      <c r="D161" s="21" t="s">
        <v>8014</v>
      </c>
      <c r="E161" s="21" t="s">
        <v>7086</v>
      </c>
      <c r="F161" s="108" t="s">
        <v>7112</v>
      </c>
      <c r="G161" s="104" t="s">
        <v>8015</v>
      </c>
      <c r="H161" s="21" t="s">
        <v>8016</v>
      </c>
      <c r="J161" t="n">
        <v>-19.820309741208401</v>
      </c>
      <c r="K161" t="n">
        <v>-43.991798208838503</v>
      </c>
      <c r="L161" t="n">
        <v>605586.55724676896</v>
      </c>
      <c r="M161" t="n">
        <v>7808088.0053935898</v>
      </c>
    </row>
    <row r="162" ht="30" customHeight="1">
      <c r="A162" s="83" t="s">
        <v>8017</v>
      </c>
      <c r="B162" s="104" t="s">
        <v>8018</v>
      </c>
      <c r="C162" s="104" t="s">
        <v>8019</v>
      </c>
      <c r="D162" s="21" t="s">
        <v>8020</v>
      </c>
      <c r="E162" s="21" t="s">
        <v>6983</v>
      </c>
      <c r="F162" s="108" t="s">
        <v>7032</v>
      </c>
      <c r="G162" s="104" t="s">
        <v>8021</v>
      </c>
      <c r="H162" s="21" t="s">
        <v>8022</v>
      </c>
      <c r="I162" s="109" t="s">
        <v>8023</v>
      </c>
      <c r="J162" t="n">
        <v>-19.956708903043701</v>
      </c>
      <c r="K162" t="n">
        <v>-43.968366117485097</v>
      </c>
      <c r="L162" t="n">
        <v>607948.27221449395</v>
      </c>
      <c r="M162" t="n">
        <v>7792977.5545650003</v>
      </c>
    </row>
    <row r="163">
      <c r="A163" s="83" t="s">
        <v>8024</v>
      </c>
      <c r="B163" s="104" t="s">
        <v>8025</v>
      </c>
      <c r="C163" s="104" t="s">
        <v>8026</v>
      </c>
      <c r="D163" s="21" t="s">
        <v>8027</v>
      </c>
      <c r="E163" s="21" t="s">
        <v>6983</v>
      </c>
      <c r="F163" s="108" t="s">
        <v>7228</v>
      </c>
      <c r="G163" s="104" t="s">
        <v>8028</v>
      </c>
      <c r="H163" s="21" t="s">
        <v>7422</v>
      </c>
      <c r="I163" s="109" t="s">
        <v>8029</v>
      </c>
      <c r="J163" t="n">
        <v>-19.937666351493998</v>
      </c>
      <c r="K163" t="n">
        <v>-43.969210487084801</v>
      </c>
      <c r="L163" t="n">
        <v>607872.84794741101</v>
      </c>
      <c r="M163" t="n">
        <v>7795085.5972120902</v>
      </c>
    </row>
    <row r="164">
      <c r="A164" s="83" t="s">
        <v>8030</v>
      </c>
      <c r="B164" s="96" t="s">
        <v>8031</v>
      </c>
      <c r="C164" s="104" t="s">
        <v>8032</v>
      </c>
      <c r="D164" s="21" t="s">
        <v>7931</v>
      </c>
      <c r="E164" s="21" t="s">
        <v>7077</v>
      </c>
      <c r="F164" s="108" t="s">
        <v>7588</v>
      </c>
      <c r="G164" s="104" t="s">
        <v>8033</v>
      </c>
      <c r="H164" s="21" t="s">
        <v>8034</v>
      </c>
      <c r="I164" s="109" t="s">
        <v>8035</v>
      </c>
      <c r="J164" t="n">
        <v>-20.0103151975655</v>
      </c>
      <c r="K164" t="n">
        <v>-44.0147863405533</v>
      </c>
      <c r="L164" t="n">
        <v>603055.69999999995</v>
      </c>
      <c r="M164" t="n">
        <v>7787074</v>
      </c>
    </row>
    <row r="165">
      <c r="A165" s="83" t="s">
        <v>8036</v>
      </c>
      <c r="B165" s="104" t="s">
        <v>8037</v>
      </c>
      <c r="C165" s="104" t="s">
        <v>8038</v>
      </c>
      <c r="D165" s="21" t="s">
        <v>7622</v>
      </c>
      <c r="E165" s="21" t="s">
        <v>7015</v>
      </c>
      <c r="F165" s="108" t="s">
        <v>7024</v>
      </c>
      <c r="G165" s="104" t="s">
        <v>7842</v>
      </c>
      <c r="H165" s="21" t="s">
        <v>8039</v>
      </c>
      <c r="I165" s="109" t="s">
        <v>7844</v>
      </c>
      <c r="J165" t="n">
        <v>-19.921426504457902</v>
      </c>
      <c r="K165" t="n">
        <v>-43.881917307141102</v>
      </c>
      <c r="L165" t="n">
        <v>617020.95874346595</v>
      </c>
      <c r="M165" t="n">
        <v>7796824.5205375599</v>
      </c>
    </row>
    <row r="166">
      <c r="A166" s="83" t="s">
        <v>8040</v>
      </c>
      <c r="B166" s="104" t="s">
        <v>8041</v>
      </c>
      <c r="C166" s="104" t="s">
        <v>8042</v>
      </c>
      <c r="D166" s="21" t="s">
        <v>7085</v>
      </c>
      <c r="E166" s="21" t="s">
        <v>7086</v>
      </c>
      <c r="F166" s="108" t="s">
        <v>7087</v>
      </c>
      <c r="G166" s="104" t="s">
        <v>8043</v>
      </c>
      <c r="H166" s="21" t="s">
        <v>8044</v>
      </c>
      <c r="I166" s="109" t="s">
        <v>8045</v>
      </c>
      <c r="J166" t="n">
        <v>-19.819976833105802</v>
      </c>
      <c r="K166" t="n">
        <v>-43.954262035577401</v>
      </c>
      <c r="L166" t="n">
        <v>609518.19112654799</v>
      </c>
      <c r="M166" t="n">
        <v>7808100.9532289999</v>
      </c>
    </row>
    <row r="167">
      <c r="A167" s="83" t="s">
        <v>8046</v>
      </c>
      <c r="B167" s="96" t="s">
        <v>8047</v>
      </c>
      <c r="C167" s="104" t="s">
        <v>8048</v>
      </c>
      <c r="D167" s="21" t="s">
        <v>8049</v>
      </c>
      <c r="E167" s="21" t="s">
        <v>6983</v>
      </c>
      <c r="F167" s="108" t="s">
        <v>7887</v>
      </c>
      <c r="G167" s="104" t="s">
        <v>8050</v>
      </c>
      <c r="H167" s="21" t="s">
        <v>8051</v>
      </c>
      <c r="I167" s="109" t="s">
        <v>8052</v>
      </c>
      <c r="J167" t="n">
        <v>-19.952685413781101</v>
      </c>
      <c r="K167" t="n">
        <v>-43.964542268596503</v>
      </c>
      <c r="L167" t="n">
        <v>608351.17300789501</v>
      </c>
      <c r="M167" t="n">
        <v>7793420.3838518998</v>
      </c>
    </row>
    <row r="168">
      <c r="A168" s="83" t="s">
        <v>8053</v>
      </c>
      <c r="B168" s="104" t="s">
        <v>8054</v>
      </c>
      <c r="C168" s="104" t="s">
        <v>8055</v>
      </c>
      <c r="D168" s="21" t="s">
        <v>8056</v>
      </c>
      <c r="E168" s="21" t="s">
        <v>6983</v>
      </c>
      <c r="F168" s="108" t="s">
        <v>7299</v>
      </c>
      <c r="G168" s="104" t="s">
        <v>8057</v>
      </c>
      <c r="H168" s="21" t="s">
        <v>8058</v>
      </c>
      <c r="I168" s="109" t="s">
        <v>8059</v>
      </c>
      <c r="J168" t="n">
        <v>-19.950807000000001</v>
      </c>
      <c r="K168" t="n">
        <v>-43.979062999999996</v>
      </c>
      <c r="L168" t="n">
        <v>606832.85045172495</v>
      </c>
      <c r="M168" t="n">
        <v>7793637.5801087199</v>
      </c>
    </row>
    <row r="169">
      <c r="A169" s="83" t="s">
        <v>8060</v>
      </c>
      <c r="B169" s="104" t="s">
        <v>8061</v>
      </c>
      <c r="C169" s="104" t="s">
        <v>8062</v>
      </c>
      <c r="D169" s="21" t="s">
        <v>8020</v>
      </c>
      <c r="E169" s="21" t="s">
        <v>6983</v>
      </c>
      <c r="F169" s="108" t="s">
        <v>7032</v>
      </c>
      <c r="G169" s="104" t="s">
        <v>8063</v>
      </c>
      <c r="H169" s="21" t="s">
        <v>8064</v>
      </c>
      <c r="I169" s="109" t="s">
        <v>8065</v>
      </c>
      <c r="J169" t="n">
        <v>-19.955358559247699</v>
      </c>
      <c r="K169" t="n">
        <v>-43.969127678658701</v>
      </c>
      <c r="L169" t="n">
        <v>607869.49501880503</v>
      </c>
      <c r="M169" t="n">
        <v>7793127.4911909401</v>
      </c>
    </row>
    <row r="170">
      <c r="A170" s="83" t="s">
        <v>8066</v>
      </c>
      <c r="B170" s="96" t="s">
        <v>8067</v>
      </c>
      <c r="C170" s="104" t="s">
        <v>8068</v>
      </c>
      <c r="D170" s="21" t="s">
        <v>7104</v>
      </c>
      <c r="E170" s="21" t="s">
        <v>7077</v>
      </c>
      <c r="F170" s="108" t="s">
        <v>7105</v>
      </c>
      <c r="G170" s="104" t="s">
        <v>8069</v>
      </c>
      <c r="H170" s="21" t="s">
        <v>8070</v>
      </c>
      <c r="I170" s="109" t="s">
        <v>8071</v>
      </c>
      <c r="J170" t="n">
        <v>-19.996338999999999</v>
      </c>
      <c r="K170" t="n">
        <v>-44.030130999999997</v>
      </c>
      <c r="L170" t="n">
        <v>601459.45024156</v>
      </c>
      <c r="M170" t="n">
        <v>7788630.1500347499</v>
      </c>
    </row>
    <row r="171">
      <c r="A171" s="83" t="s">
        <v>8072</v>
      </c>
      <c r="B171" s="104" t="s">
        <v>8073</v>
      </c>
      <c r="C171" s="104" t="s">
        <v>8074</v>
      </c>
      <c r="D171" s="21" t="s">
        <v>8014</v>
      </c>
      <c r="E171" s="21" t="s">
        <v>7086</v>
      </c>
      <c r="F171" s="108" t="s">
        <v>7112</v>
      </c>
      <c r="G171" s="104" t="s">
        <v>8075</v>
      </c>
      <c r="H171" s="21" t="s">
        <v>7342</v>
      </c>
      <c r="I171" s="109" t="s">
        <v>8076</v>
      </c>
      <c r="J171" t="n">
        <v>-19.805011</v>
      </c>
      <c r="K171" t="n">
        <v>-43.983133000000002</v>
      </c>
      <c r="L171" t="n">
        <v>606504.30347498402</v>
      </c>
      <c r="M171" t="n">
        <v>7809775.6966000404</v>
      </c>
    </row>
    <row r="172">
      <c r="A172" s="83" t="s">
        <v>8077</v>
      </c>
      <c r="B172" s="104" t="s">
        <v>8078</v>
      </c>
      <c r="C172" s="104" t="s">
        <v>8079</v>
      </c>
      <c r="D172" s="21" t="s">
        <v>7412</v>
      </c>
      <c r="E172" s="21" t="s">
        <v>7006</v>
      </c>
      <c r="F172" s="108" t="s">
        <v>7413</v>
      </c>
      <c r="G172" s="104" t="s">
        <v>8080</v>
      </c>
      <c r="H172" s="21" t="s">
        <v>8081</v>
      </c>
      <c r="I172" s="109" t="s">
        <v>8082</v>
      </c>
      <c r="J172" t="n">
        <v>-19.874196999999999</v>
      </c>
      <c r="K172" t="n">
        <v>-43.913795</v>
      </c>
      <c r="L172" t="n">
        <v>613717.98696404195</v>
      </c>
      <c r="M172" t="n">
        <v>7802073.4768749299</v>
      </c>
    </row>
    <row r="173">
      <c r="A173" s="83" t="s">
        <v>8083</v>
      </c>
      <c r="B173" s="96" t="s">
        <v>8084</v>
      </c>
      <c r="C173" s="104" t="s">
        <v>8085</v>
      </c>
      <c r="D173" s="21" t="s">
        <v>8086</v>
      </c>
      <c r="E173" s="21" t="s">
        <v>6983</v>
      </c>
      <c r="F173" s="108" t="s">
        <v>7887</v>
      </c>
      <c r="G173" s="104" t="s">
        <v>8087</v>
      </c>
      <c r="H173" s="21" t="s">
        <v>8088</v>
      </c>
      <c r="I173" s="109" t="s">
        <v>8089</v>
      </c>
      <c r="J173" t="n">
        <v>-19.9439779276201</v>
      </c>
      <c r="K173" t="n">
        <v>-43.9634416871708</v>
      </c>
      <c r="L173" t="n">
        <v>608472.29727746104</v>
      </c>
      <c r="M173" t="n">
        <v>7794383.3597903196</v>
      </c>
    </row>
    <row r="174">
      <c r="A174" s="83" t="s">
        <v>8090</v>
      </c>
      <c r="B174" s="104" t="s">
        <v>8091</v>
      </c>
      <c r="C174" s="104" t="s">
        <v>8092</v>
      </c>
      <c r="D174" s="21" t="s">
        <v>7862</v>
      </c>
      <c r="E174" s="21" t="s">
        <v>7077</v>
      </c>
      <c r="F174" s="108" t="s">
        <v>7105</v>
      </c>
      <c r="G174" s="104" t="s">
        <v>8093</v>
      </c>
      <c r="H174" s="21" t="s">
        <v>8094</v>
      </c>
      <c r="I174" s="109" t="s">
        <v>8095</v>
      </c>
      <c r="J174" t="n">
        <v>-20.008438684273099</v>
      </c>
      <c r="K174" t="n">
        <v>-44.032663501008798</v>
      </c>
      <c r="L174" t="n">
        <v>601186.76795109897</v>
      </c>
      <c r="M174" t="n">
        <v>7787292.5831474196</v>
      </c>
    </row>
    <row r="175">
      <c r="A175" s="83" t="s">
        <v>8096</v>
      </c>
      <c r="B175" s="104" t="s">
        <v>8097</v>
      </c>
      <c r="C175" s="104" t="s">
        <v>8098</v>
      </c>
      <c r="D175" s="21" t="s">
        <v>8099</v>
      </c>
      <c r="E175" s="21" t="s">
        <v>7126</v>
      </c>
      <c r="F175" s="108" t="s">
        <v>7449</v>
      </c>
      <c r="G175" s="104" t="s">
        <v>8100</v>
      </c>
      <c r="H175" s="21" t="s">
        <v>8101</v>
      </c>
      <c r="I175" s="109" t="s">
        <v>8102</v>
      </c>
      <c r="J175" t="n">
        <v>-19.829576148964598</v>
      </c>
      <c r="K175" t="n">
        <v>-43.946757841748699</v>
      </c>
      <c r="L175" t="n">
        <v>610297.53578695597</v>
      </c>
      <c r="M175" t="n">
        <v>7807033.6926733898</v>
      </c>
    </row>
    <row r="176">
      <c r="A176" s="83" t="s">
        <v>8103</v>
      </c>
      <c r="B176" s="96" t="s">
        <v>8104</v>
      </c>
      <c r="C176" s="104" t="s">
        <v>8105</v>
      </c>
      <c r="D176" s="21" t="s">
        <v>7867</v>
      </c>
      <c r="E176" s="21" t="s">
        <v>6983</v>
      </c>
      <c r="F176" s="108" t="s">
        <v>7228</v>
      </c>
      <c r="G176" s="104" t="s">
        <v>8106</v>
      </c>
      <c r="H176" s="21" t="s">
        <v>7843</v>
      </c>
      <c r="I176" s="109" t="s">
        <v>8107</v>
      </c>
      <c r="J176" t="n">
        <v>-19.954408000000001</v>
      </c>
      <c r="K176" t="n">
        <v>-43.969051999999998</v>
      </c>
      <c r="L176" t="n">
        <v>607878.06071385497</v>
      </c>
      <c r="M176" t="n">
        <v>7793232.6440634998</v>
      </c>
    </row>
    <row r="177">
      <c r="A177" s="83" t="s">
        <v>8108</v>
      </c>
      <c r="B177" s="104" t="s">
        <v>8109</v>
      </c>
      <c r="C177" s="104" t="s">
        <v>8110</v>
      </c>
      <c r="D177" s="21" t="s">
        <v>8111</v>
      </c>
      <c r="E177" s="21" t="s">
        <v>6974</v>
      </c>
      <c r="F177" s="108" t="s">
        <v>7047</v>
      </c>
      <c r="G177" s="104" t="s">
        <v>8112</v>
      </c>
      <c r="H177" s="21" t="s">
        <v>8113</v>
      </c>
      <c r="I177" s="109" t="s">
        <v>7502</v>
      </c>
      <c r="J177" t="n">
        <v>-19.909751</v>
      </c>
      <c r="K177" t="n">
        <v>-44.008965000000003</v>
      </c>
      <c r="L177" t="n">
        <v>603730.39484541398</v>
      </c>
      <c r="M177" t="n">
        <v>7798200.0760732098</v>
      </c>
    </row>
    <row r="178">
      <c r="A178" s="83" t="s">
        <v>8114</v>
      </c>
      <c r="B178" s="104" t="s">
        <v>8115</v>
      </c>
      <c r="C178" s="104" t="s">
        <v>8116</v>
      </c>
      <c r="D178" s="21" t="s">
        <v>8117</v>
      </c>
      <c r="E178" s="21" t="s">
        <v>7126</v>
      </c>
      <c r="F178" s="108" t="s">
        <v>8118</v>
      </c>
      <c r="G178" s="104" t="s">
        <v>8119</v>
      </c>
      <c r="H178" s="21" t="s">
        <v>8120</v>
      </c>
      <c r="I178" s="109" t="s">
        <v>8121</v>
      </c>
      <c r="J178" t="n">
        <v>-19.804650411316501</v>
      </c>
      <c r="K178" t="n">
        <v>-43.927967334020401</v>
      </c>
      <c r="L178" t="n">
        <v>612282.99064565997</v>
      </c>
      <c r="M178" t="n">
        <v>7809779.91004276</v>
      </c>
    </row>
    <row r="179">
      <c r="A179" s="83" t="s">
        <v>8122</v>
      </c>
      <c r="B179" s="96" t="s">
        <v>8123</v>
      </c>
      <c r="C179" s="104" t="s">
        <v>8124</v>
      </c>
      <c r="D179" s="21" t="s">
        <v>7456</v>
      </c>
      <c r="E179" s="21" t="s">
        <v>7015</v>
      </c>
      <c r="F179" s="108" t="s">
        <v>7056</v>
      </c>
      <c r="G179" s="104" t="s">
        <v>8125</v>
      </c>
      <c r="H179" s="21" t="s">
        <v>8126</v>
      </c>
      <c r="I179" s="109" t="s">
        <v>8127</v>
      </c>
      <c r="J179" t="n">
        <v>-19.903039</v>
      </c>
      <c r="K179" t="n">
        <v>-43.915906999999997</v>
      </c>
      <c r="L179" t="n">
        <v>613476.30596235197</v>
      </c>
      <c r="M179" t="n">
        <v>7798882.8427860104</v>
      </c>
    </row>
    <row r="180">
      <c r="A180" s="83" t="s">
        <v>8128</v>
      </c>
      <c r="B180" s="104" t="s">
        <v>8129</v>
      </c>
      <c r="C180" s="104" t="s">
        <v>8130</v>
      </c>
      <c r="D180" s="21" t="s">
        <v>7744</v>
      </c>
      <c r="E180" s="21" t="s">
        <v>7015</v>
      </c>
      <c r="F180" s="108" t="s">
        <v>7016</v>
      </c>
      <c r="G180" s="104" t="s">
        <v>8131</v>
      </c>
      <c r="H180" s="21" t="s">
        <v>8132</v>
      </c>
      <c r="I180" s="109" t="s">
        <v>8133</v>
      </c>
      <c r="J180" t="n">
        <v>-19.880502581101101</v>
      </c>
      <c r="K180" t="n">
        <v>-43.911326076801501</v>
      </c>
      <c r="L180" t="n">
        <v>613971.98075163504</v>
      </c>
      <c r="M180" t="n">
        <v>7801373.9452400804</v>
      </c>
    </row>
    <row r="181">
      <c r="A181" s="83" t="s">
        <v>8134</v>
      </c>
      <c r="B181" s="104" t="s">
        <v>8135</v>
      </c>
      <c r="C181" s="104" t="s">
        <v>8136</v>
      </c>
      <c r="D181" s="21" t="s">
        <v>7534</v>
      </c>
      <c r="E181" s="21" t="s">
        <v>7086</v>
      </c>
      <c r="F181" s="108" t="s">
        <v>7112</v>
      </c>
      <c r="G181" s="104" t="s">
        <v>8137</v>
      </c>
      <c r="H181" s="21" t="s">
        <v>8138</v>
      </c>
      <c r="I181" s="109" t="s">
        <v>8139</v>
      </c>
      <c r="J181" t="n">
        <v>-19.807839999999999</v>
      </c>
      <c r="K181" t="n">
        <v>-43.997520000000002</v>
      </c>
      <c r="L181" t="n">
        <v>604995.46579108399</v>
      </c>
      <c r="M181" t="n">
        <v>7809471.6078059701</v>
      </c>
    </row>
    <row r="182">
      <c r="A182" s="83" t="s">
        <v>8140</v>
      </c>
      <c r="B182" s="96" t="s">
        <v>8141</v>
      </c>
      <c r="C182" s="104" t="s">
        <v>8142</v>
      </c>
      <c r="D182" s="21" t="s">
        <v>8143</v>
      </c>
      <c r="E182" s="21" t="s">
        <v>7006</v>
      </c>
      <c r="F182" s="108" t="s">
        <v>7236</v>
      </c>
      <c r="G182" s="104" t="s">
        <v>8144</v>
      </c>
      <c r="H182" s="21" t="s">
        <v>8145</v>
      </c>
      <c r="I182" s="109" t="s">
        <v>8146</v>
      </c>
      <c r="J182" t="n">
        <v>-19.8901736800855</v>
      </c>
      <c r="K182" t="n">
        <v>-43.9208144960539</v>
      </c>
      <c r="L182" t="n">
        <v>612971.69999999995</v>
      </c>
      <c r="M182" t="n">
        <v>7800310</v>
      </c>
    </row>
    <row r="183">
      <c r="A183" s="84" t="s">
        <v>8147</v>
      </c>
      <c r="B183" s="104" t="s">
        <v>8148</v>
      </c>
      <c r="C183" s="104" t="s">
        <v>8149</v>
      </c>
      <c r="D183" s="21" t="s">
        <v>7492</v>
      </c>
      <c r="E183" s="21" t="s">
        <v>7126</v>
      </c>
      <c r="F183" s="108" t="s">
        <v>7127</v>
      </c>
      <c r="G183" s="104" t="s">
        <v>8150</v>
      </c>
      <c r="H183" s="21" t="s">
        <v>8151</v>
      </c>
      <c r="I183" s="109" t="s">
        <v>7495</v>
      </c>
      <c r="J183" t="n">
        <v>-19.8298618873478</v>
      </c>
      <c r="K183" t="n">
        <v>-43.9277146182839</v>
      </c>
      <c r="L183" t="n">
        <v>612291.75670590496</v>
      </c>
      <c r="M183" t="n">
        <v>7806989.5184811996</v>
      </c>
    </row>
    <row r="184">
      <c r="A184" s="83" t="s">
        <v>8152</v>
      </c>
      <c r="B184" s="104" t="s">
        <v>8153</v>
      </c>
      <c r="C184" s="104" t="s">
        <v>8154</v>
      </c>
      <c r="D184" s="21" t="s">
        <v>7159</v>
      </c>
      <c r="E184" s="21" t="s">
        <v>7160</v>
      </c>
      <c r="F184" s="108" t="s">
        <v>7161</v>
      </c>
      <c r="G184" s="104" t="s">
        <v>7684</v>
      </c>
      <c r="H184" s="21" t="s">
        <v>8155</v>
      </c>
      <c r="I184" s="109" t="s">
        <v>7685</v>
      </c>
      <c r="J184" t="n">
        <v>-19.9222</v>
      </c>
      <c r="K184" t="n">
        <v>-43.911434</v>
      </c>
      <c r="L184" t="n">
        <v>613930.83215156</v>
      </c>
      <c r="M184" t="n">
        <v>7796759.1886012601</v>
      </c>
    </row>
    <row r="185">
      <c r="A185" s="83" t="s">
        <v>8156</v>
      </c>
      <c r="B185" s="96" t="s">
        <v>8157</v>
      </c>
      <c r="C185" s="104" t="s">
        <v>8158</v>
      </c>
      <c r="D185" s="21" t="s">
        <v>7399</v>
      </c>
      <c r="E185" s="21" t="s">
        <v>7077</v>
      </c>
      <c r="F185" s="108" t="s">
        <v>7105</v>
      </c>
      <c r="G185" s="104" t="s">
        <v>8159</v>
      </c>
      <c r="H185" s="21" t="s">
        <v>7272</v>
      </c>
      <c r="I185" s="109" t="s">
        <v>8160</v>
      </c>
      <c r="J185" t="n">
        <v>-19.989563</v>
      </c>
      <c r="K185" t="n">
        <v>-44.02955</v>
      </c>
      <c r="L185" t="n">
        <v>601524.57720041205</v>
      </c>
      <c r="M185" t="n">
        <v>7789379.71263636</v>
      </c>
    </row>
    <row r="186">
      <c r="A186" s="83" t="s">
        <v>8161</v>
      </c>
      <c r="B186" s="104" t="s">
        <v>8162</v>
      </c>
      <c r="C186" s="104" t="s">
        <v>8163</v>
      </c>
      <c r="D186" s="21" t="s">
        <v>8164</v>
      </c>
      <c r="E186" s="21" t="s">
        <v>7006</v>
      </c>
      <c r="F186" s="108" t="s">
        <v>7348</v>
      </c>
      <c r="G186" s="104" t="s">
        <v>8165</v>
      </c>
      <c r="H186" s="21" t="s">
        <v>8166</v>
      </c>
      <c r="I186" s="109" t="s">
        <v>8167</v>
      </c>
      <c r="J186" t="n">
        <v>-19.8229759905491</v>
      </c>
      <c r="K186" t="n">
        <v>-43.901659538508497</v>
      </c>
      <c r="L186" t="n">
        <v>615025.50558853697</v>
      </c>
      <c r="M186" t="n">
        <v>7807734.0688514402</v>
      </c>
    </row>
    <row r="187">
      <c r="A187" s="85" t="s">
        <v>8168</v>
      </c>
      <c r="B187" s="104" t="s">
        <v>8169</v>
      </c>
      <c r="C187" s="104" t="s">
        <v>8170</v>
      </c>
      <c r="D187" s="21" t="s">
        <v>7980</v>
      </c>
      <c r="E187" s="21" t="s">
        <v>7160</v>
      </c>
      <c r="F187" s="108" t="s">
        <v>7161</v>
      </c>
      <c r="G187" s="104" t="s">
        <v>8171</v>
      </c>
      <c r="H187" s="21" t="s">
        <v>7746</v>
      </c>
      <c r="I187" s="109" t="s">
        <v>8172</v>
      </c>
      <c r="J187" t="n">
        <v>-19.915705181150798</v>
      </c>
      <c r="K187" t="n">
        <v>-43.933804987075703</v>
      </c>
      <c r="L187" t="n">
        <v>611593.80000000005</v>
      </c>
      <c r="M187" t="n">
        <v>7797493</v>
      </c>
    </row>
    <row r="188" ht="30" customHeight="1">
      <c r="A188" s="85" t="s">
        <v>8173</v>
      </c>
      <c r="B188" s="104" t="s">
        <v>8174</v>
      </c>
      <c r="C188" s="104" t="s">
        <v>8175</v>
      </c>
      <c r="D188" s="21" t="s">
        <v>8176</v>
      </c>
      <c r="E188" s="21" t="s">
        <v>6983</v>
      </c>
      <c r="F188" s="108" t="s">
        <v>7228</v>
      </c>
      <c r="G188" s="104" t="s">
        <v>8177</v>
      </c>
      <c r="H188" s="21" t="s">
        <v>8178</v>
      </c>
      <c r="I188" s="109" t="s">
        <v>8179</v>
      </c>
      <c r="J188" t="n">
        <v>-19.954065613585399</v>
      </c>
      <c r="K188" t="n">
        <v>-43.972891454471302</v>
      </c>
      <c r="L188" t="n">
        <v>607476.5</v>
      </c>
      <c r="M188" t="n">
        <v>7793273</v>
      </c>
    </row>
    <row r="189" ht="30" customHeight="1">
      <c r="A189" s="30" t="s">
        <v>8180</v>
      </c>
      <c r="B189" s="96" t="s">
        <v>8181</v>
      </c>
      <c r="C189" s="104" t="s">
        <v>8182</v>
      </c>
      <c r="D189" s="21" t="s">
        <v>7822</v>
      </c>
      <c r="E189" s="21" t="s">
        <v>7006</v>
      </c>
      <c r="F189" s="108" t="s">
        <v>7413</v>
      </c>
      <c r="G189" s="104" t="s">
        <v>8183</v>
      </c>
      <c r="H189" s="21" t="s">
        <v>8184</v>
      </c>
      <c r="I189" s="109" t="s">
        <v>8185</v>
      </c>
      <c r="J189" t="n">
        <v>-19.867073100627099</v>
      </c>
      <c r="K189" t="n">
        <v>-43.921372013261497</v>
      </c>
      <c r="L189" t="n">
        <v>612929.69999999995</v>
      </c>
      <c r="M189" t="n">
        <v>7802867</v>
      </c>
    </row>
    <row r="190">
      <c r="A190" s="30" t="s">
        <v>8186</v>
      </c>
      <c r="B190" s="104" t="s">
        <v>8187</v>
      </c>
      <c r="C190" s="104" t="s">
        <v>8188</v>
      </c>
      <c r="D190" s="21" t="s">
        <v>7159</v>
      </c>
      <c r="E190" s="21" t="s">
        <v>7160</v>
      </c>
      <c r="F190" s="108" t="s">
        <v>7161</v>
      </c>
      <c r="G190" s="104" t="s">
        <v>8189</v>
      </c>
      <c r="H190" s="21" t="s">
        <v>8190</v>
      </c>
      <c r="I190" s="109" t="s">
        <v>8191</v>
      </c>
      <c r="J190" t="n">
        <v>-19.924645000000002</v>
      </c>
      <c r="K190" t="n">
        <v>-43.931907000000002</v>
      </c>
      <c r="L190" t="n">
        <v>611786.18660202599</v>
      </c>
      <c r="M190" t="n">
        <v>7796502.3349713599</v>
      </c>
    </row>
    <row r="191">
      <c r="A191" s="75" t="s">
        <v>8192</v>
      </c>
      <c r="B191" s="104" t="s">
        <v>8193</v>
      </c>
      <c r="C191" s="104" t="s">
        <v>8194</v>
      </c>
      <c r="D191" s="21" t="s">
        <v>7263</v>
      </c>
      <c r="E191" s="21" t="s">
        <v>6974</v>
      </c>
      <c r="F191" s="108" t="s">
        <v>7264</v>
      </c>
      <c r="G191" s="104" t="s">
        <v>8195</v>
      </c>
      <c r="H191" s="21" t="s">
        <v>8196</v>
      </c>
      <c r="I191" s="109" t="s">
        <v>8197</v>
      </c>
      <c r="J191" t="n">
        <v>-19.911821</v>
      </c>
      <c r="K191" t="n">
        <v>-43.988930000000003</v>
      </c>
      <c r="L191" t="n">
        <v>605826.22302722395</v>
      </c>
      <c r="M191" t="n">
        <v>7797958.5053526899</v>
      </c>
    </row>
    <row r="192">
      <c r="A192" s="75" t="s">
        <v>8198</v>
      </c>
      <c r="B192" s="96" t="s">
        <v>8199</v>
      </c>
      <c r="C192" s="104" t="s">
        <v>8200</v>
      </c>
      <c r="D192" s="21" t="s">
        <v>8201</v>
      </c>
      <c r="E192" s="21" t="s">
        <v>7015</v>
      </c>
      <c r="F192" s="108" t="s">
        <v>7683</v>
      </c>
      <c r="G192" s="104" t="s">
        <v>8202</v>
      </c>
      <c r="H192" s="21" t="s">
        <v>8203</v>
      </c>
      <c r="I192" s="109" t="s">
        <v>8204</v>
      </c>
      <c r="J192" t="n">
        <v>-19.924436309554402</v>
      </c>
      <c r="K192" t="n">
        <v>-43.897235350798702</v>
      </c>
      <c r="L192" t="n">
        <v>615415.4</v>
      </c>
      <c r="M192" t="n">
        <v>7796502</v>
      </c>
    </row>
    <row r="193">
      <c r="A193" s="75" t="s">
        <v>8205</v>
      </c>
      <c r="B193" s="104" t="s">
        <v>8206</v>
      </c>
      <c r="C193" s="95" t="s">
        <v>8207</v>
      </c>
      <c r="D193" s="21" t="s">
        <v>7220</v>
      </c>
      <c r="E193" s="21" t="s">
        <v>7077</v>
      </c>
      <c r="F193" s="108" t="s">
        <v>7221</v>
      </c>
      <c r="G193" s="104" t="s">
        <v>8208</v>
      </c>
      <c r="H193" s="21" t="s">
        <v>8209</v>
      </c>
      <c r="I193" s="109" t="s">
        <v>8210</v>
      </c>
      <c r="J193" s="100" t="n">
        <v>-19.984738906342901</v>
      </c>
      <c r="K193" s="100" t="n">
        <v>-43.988521105309502</v>
      </c>
      <c r="L193" t="n">
        <v>605820.414238745</v>
      </c>
      <c r="M193" t="n">
        <v>7789888.2277120696</v>
      </c>
    </row>
    <row r="194">
      <c r="A194" s="75" t="s">
        <v>8211</v>
      </c>
      <c r="B194" s="104" t="s">
        <v>8212</v>
      </c>
      <c r="C194" s="95" t="s">
        <v>8207</v>
      </c>
      <c r="D194" s="21" t="s">
        <v>7220</v>
      </c>
      <c r="E194" s="21" t="s">
        <v>7077</v>
      </c>
      <c r="F194" s="108" t="s">
        <v>7221</v>
      </c>
      <c r="G194" s="104" t="s">
        <v>8208</v>
      </c>
      <c r="H194" s="21" t="s">
        <v>8209</v>
      </c>
      <c r="I194" s="109" t="s">
        <v>8210</v>
      </c>
      <c r="J194" t="n">
        <v>-19.984738906342901</v>
      </c>
      <c r="K194" t="n">
        <v>-43.988521105309502</v>
      </c>
      <c r="L194" t="n">
        <v>605820.414238745</v>
      </c>
      <c r="M194" t="n">
        <v>7789888.2277120696</v>
      </c>
    </row>
    <row r="195">
      <c r="A195" s="75" t="s">
        <v>8213</v>
      </c>
      <c r="B195" s="96" t="s">
        <v>8214</v>
      </c>
      <c r="C195" s="104" t="s">
        <v>8215</v>
      </c>
      <c r="D195" s="21" t="s">
        <v>7332</v>
      </c>
      <c r="E195" s="21" t="s">
        <v>7160</v>
      </c>
      <c r="F195" s="108" t="s">
        <v>7333</v>
      </c>
      <c r="G195" s="104" t="s">
        <v>8216</v>
      </c>
      <c r="H195" s="21" t="s">
        <v>8217</v>
      </c>
      <c r="I195" s="109" t="s">
        <v>8218</v>
      </c>
      <c r="J195" t="n">
        <v>-19.938969</v>
      </c>
      <c r="K195" t="n">
        <v>-43.912968999999997</v>
      </c>
      <c r="L195" t="n">
        <v>613758.15788010298</v>
      </c>
      <c r="M195" t="n">
        <v>7794904.3268657001</v>
      </c>
    </row>
    <row r="196">
      <c r="A196" s="75" t="s">
        <v>8219</v>
      </c>
      <c r="B196" s="104" t="s">
        <v>8220</v>
      </c>
      <c r="C196" s="104" t="s">
        <v>8221</v>
      </c>
      <c r="D196" s="21" t="s">
        <v>7980</v>
      </c>
      <c r="E196" s="21" t="s">
        <v>7160</v>
      </c>
      <c r="F196" s="108" t="s">
        <v>7161</v>
      </c>
      <c r="G196" s="104" t="s">
        <v>8222</v>
      </c>
      <c r="H196" s="21" t="s">
        <v>8223</v>
      </c>
      <c r="I196" s="109" t="s">
        <v>8191</v>
      </c>
      <c r="J196" t="n">
        <v>-19.925151</v>
      </c>
      <c r="K196" t="n">
        <v>-43.931947000000001</v>
      </c>
      <c r="L196" t="n">
        <v>611781.64404671697</v>
      </c>
      <c r="M196" t="n">
        <v>7796446.3605611203</v>
      </c>
    </row>
    <row r="197">
      <c r="A197" s="75" t="s">
        <v>8224</v>
      </c>
      <c r="B197" s="104" t="s">
        <v>8225</v>
      </c>
      <c r="C197" s="104" t="s">
        <v>8226</v>
      </c>
      <c r="D197" s="21" t="s">
        <v>7980</v>
      </c>
      <c r="E197" s="21" t="s">
        <v>7160</v>
      </c>
      <c r="F197" s="108" t="s">
        <v>7161</v>
      </c>
      <c r="G197" s="104" t="s">
        <v>8227</v>
      </c>
      <c r="I197" s="109" t="s">
        <v>8228</v>
      </c>
      <c r="J197" t="n">
        <v>-19.925603059680199</v>
      </c>
      <c r="K197" t="n">
        <v>-43.929961572368001</v>
      </c>
      <c r="L197" t="n">
        <v>611989.13763822604</v>
      </c>
      <c r="M197" t="n">
        <v>7796395.0077550896</v>
      </c>
    </row>
    <row r="198">
      <c r="A198" s="75" t="s">
        <v>8229</v>
      </c>
      <c r="B198" s="96" t="s">
        <v>8230</v>
      </c>
      <c r="C198" s="104" t="s">
        <v>8231</v>
      </c>
      <c r="D198" s="21" t="s">
        <v>8232</v>
      </c>
      <c r="E198" s="21" t="s">
        <v>7077</v>
      </c>
      <c r="F198" s="108" t="s">
        <v>7221</v>
      </c>
      <c r="G198" s="104" t="s">
        <v>8233</v>
      </c>
      <c r="H198" s="21" t="s">
        <v>8234</v>
      </c>
      <c r="I198" s="109" t="s">
        <v>8235</v>
      </c>
      <c r="J198" t="n">
        <v>-19.973207231606601</v>
      </c>
      <c r="K198" t="n">
        <v>-43.992812367948297</v>
      </c>
      <c r="L198" t="n">
        <v>605379.09494178905</v>
      </c>
      <c r="M198" t="n">
        <v>7791167.1755478801</v>
      </c>
    </row>
    <row r="199">
      <c r="A199" s="93" t="s">
        <v>8236</v>
      </c>
      <c r="B199" s="104" t="s">
        <v>8237</v>
      </c>
      <c r="C199" s="104" t="s">
        <v>8238</v>
      </c>
      <c r="D199" s="21" t="s">
        <v>8239</v>
      </c>
      <c r="E199" s="21" t="s">
        <v>6983</v>
      </c>
      <c r="F199" s="108" t="s">
        <v>7228</v>
      </c>
      <c r="G199" s="104" t="s">
        <v>8240</v>
      </c>
      <c r="H199" s="21" t="s">
        <v>8241</v>
      </c>
      <c r="I199" s="109" t="s">
        <v>8242</v>
      </c>
      <c r="J199" t="n">
        <v>-19.943082</v>
      </c>
      <c r="K199" t="n">
        <v>-43.957003</v>
      </c>
      <c r="L199" t="n">
        <v>609146.75702853</v>
      </c>
      <c r="M199" t="n">
        <v>7794478.3435481396</v>
      </c>
    </row>
    <row r="200">
      <c r="A200" s="75" t="s">
        <v>8243</v>
      </c>
      <c r="B200" s="104" t="s">
        <v>8244</v>
      </c>
      <c r="C200" s="104" t="s">
        <v>8245</v>
      </c>
      <c r="D200" s="21" t="s">
        <v>8246</v>
      </c>
      <c r="E200" s="21" t="s">
        <v>7160</v>
      </c>
      <c r="F200" s="108" t="s">
        <v>8247</v>
      </c>
      <c r="G200" s="104" t="s">
        <v>8248</v>
      </c>
      <c r="H200" s="21" t="s">
        <v>8249</v>
      </c>
      <c r="I200" s="109" t="s">
        <v>8250</v>
      </c>
      <c r="J200" t="n">
        <v>-19.950219134444399</v>
      </c>
      <c r="K200" t="n">
        <v>-43.958640725685598</v>
      </c>
      <c r="L200" t="n">
        <v>608970.46080449398</v>
      </c>
      <c r="M200" t="n">
        <v>7793689.51567325</v>
      </c>
    </row>
    <row r="201">
      <c r="A201" s="75" t="s">
        <v>8251</v>
      </c>
      <c r="B201" s="96" t="s">
        <v>8252</v>
      </c>
      <c r="C201" s="104" t="s">
        <v>8253</v>
      </c>
      <c r="D201" s="21" t="s">
        <v>8254</v>
      </c>
      <c r="E201" s="21" t="s">
        <v>7077</v>
      </c>
      <c r="F201" s="108" t="s">
        <v>7221</v>
      </c>
      <c r="G201" s="104" t="s">
        <v>8255</v>
      </c>
      <c r="H201" s="21" t="s">
        <v>8256</v>
      </c>
      <c r="I201" s="109" t="s">
        <v>8257</v>
      </c>
      <c r="J201" t="n">
        <v>-19.985783264704299</v>
      </c>
      <c r="K201" t="n">
        <v>-44.005808845190202</v>
      </c>
      <c r="L201" t="n">
        <v>604010.95274823497</v>
      </c>
      <c r="M201" t="n">
        <v>7789783.4668508004</v>
      </c>
    </row>
    <row r="202">
      <c r="A202" s="75" t="s">
        <v>8258</v>
      </c>
      <c r="B202" s="104" t="s">
        <v>8259</v>
      </c>
      <c r="C202" s="95" t="s">
        <v>8260</v>
      </c>
      <c r="D202" s="21" t="s">
        <v>6973</v>
      </c>
      <c r="E202" s="21" t="s">
        <v>6974</v>
      </c>
      <c r="F202" s="108" t="s">
        <v>6975</v>
      </c>
      <c r="G202" s="104" t="s">
        <v>8261</v>
      </c>
      <c r="H202" s="21" t="s">
        <v>7746</v>
      </c>
      <c r="I202" s="109" t="s">
        <v>8262</v>
      </c>
      <c r="J202" t="n">
        <v>-19.902957943261701</v>
      </c>
      <c r="K202" t="n">
        <v>-43.943247949552003</v>
      </c>
      <c r="L202" t="n">
        <v>610614.22260438604</v>
      </c>
      <c r="M202" t="n">
        <v>7798910.0190763902</v>
      </c>
    </row>
    <row r="203">
      <c r="A203" s="75" t="s">
        <v>8263</v>
      </c>
      <c r="B203" s="104" t="s">
        <v>8264</v>
      </c>
      <c r="C203" s="104" t="s">
        <v>8265</v>
      </c>
      <c r="D203" s="21" t="s">
        <v>8266</v>
      </c>
      <c r="E203" s="21" t="s">
        <v>6997</v>
      </c>
      <c r="F203" s="108" t="s">
        <v>7061</v>
      </c>
      <c r="G203" s="104" t="s">
        <v>8267</v>
      </c>
      <c r="H203" s="21" t="s">
        <v>8081</v>
      </c>
      <c r="I203" s="109" t="s">
        <v>8268</v>
      </c>
      <c r="J203" t="n">
        <v>-19.870550000000001</v>
      </c>
      <c r="K203" t="n">
        <v>-43.952385999999997</v>
      </c>
      <c r="L203" t="n">
        <v>609679.93595163699</v>
      </c>
      <c r="M203" t="n">
        <v>7802502.6815214204</v>
      </c>
    </row>
    <row r="204">
      <c r="A204" s="75" t="s">
        <v>8269</v>
      </c>
      <c r="B204" s="96" t="s">
        <v>8270</v>
      </c>
      <c r="C204" s="104" t="s">
        <v>8271</v>
      </c>
      <c r="D204" s="21" t="s">
        <v>8272</v>
      </c>
      <c r="E204" s="21" t="s">
        <v>7126</v>
      </c>
      <c r="F204" s="108" t="s">
        <v>7449</v>
      </c>
      <c r="G204" s="104" t="s">
        <v>8273</v>
      </c>
      <c r="H204" s="21" t="s">
        <v>8274</v>
      </c>
      <c r="I204" s="109" t="s">
        <v>8275</v>
      </c>
      <c r="J204" t="n">
        <v>-19.818314000000001</v>
      </c>
      <c r="K204" t="n">
        <v>-43.948672000000002</v>
      </c>
      <c r="L204" t="n">
        <v>610104.82099647797</v>
      </c>
      <c r="M204" t="n">
        <v>7808281.3492723303</v>
      </c>
    </row>
    <row r="205">
      <c r="A205" s="75" t="s">
        <v>8276</v>
      </c>
      <c r="B205" s="104" t="s">
        <v>8277</v>
      </c>
      <c r="C205" s="104" t="s">
        <v>8278</v>
      </c>
      <c r="D205" s="21" t="s">
        <v>7159</v>
      </c>
      <c r="E205" s="21" t="s">
        <v>7160</v>
      </c>
      <c r="F205" s="108" t="s">
        <v>7161</v>
      </c>
      <c r="G205" s="104" t="s">
        <v>8279</v>
      </c>
      <c r="H205" s="21" t="s">
        <v>8280</v>
      </c>
      <c r="I205" s="109" t="s">
        <v>8281</v>
      </c>
      <c r="J205" t="n">
        <v>-19.925058</v>
      </c>
      <c r="K205" t="n">
        <v>-43.925944999999999</v>
      </c>
      <c r="L205" t="n">
        <v>612409.93144902098</v>
      </c>
      <c r="M205" t="n">
        <v>7796452.6506475201</v>
      </c>
    </row>
    <row r="206">
      <c r="A206" s="80" t="s">
        <v>8282</v>
      </c>
      <c r="B206" s="104" t="s">
        <v>8283</v>
      </c>
      <c r="C206" s="104" t="s">
        <v>8284</v>
      </c>
      <c r="D206" s="21" t="s">
        <v>8285</v>
      </c>
      <c r="E206" s="21" t="s">
        <v>7126</v>
      </c>
      <c r="F206" s="108" t="s">
        <v>7127</v>
      </c>
      <c r="G206" s="104" t="s">
        <v>8286</v>
      </c>
      <c r="H206" s="21" t="s">
        <v>8287</v>
      </c>
      <c r="I206" s="109" t="s">
        <v>8288</v>
      </c>
      <c r="J206" t="n">
        <v>-19.836951537076398</v>
      </c>
      <c r="K206" t="n">
        <v>-43.915484069802602</v>
      </c>
      <c r="L206" t="n">
        <v>613567.64117102104</v>
      </c>
      <c r="M206" t="n">
        <v>7806196.7040784396</v>
      </c>
    </row>
    <row r="207">
      <c r="A207" s="75" t="s">
        <v>8289</v>
      </c>
      <c r="B207" s="96" t="s">
        <v>8290</v>
      </c>
      <c r="C207" s="104" t="s">
        <v>8291</v>
      </c>
      <c r="D207" s="21" t="s">
        <v>8292</v>
      </c>
      <c r="E207" s="21" t="s">
        <v>7160</v>
      </c>
      <c r="F207" s="108" t="s">
        <v>7161</v>
      </c>
      <c r="G207" s="104" t="s">
        <v>8293</v>
      </c>
      <c r="H207" s="21" t="s">
        <v>8294</v>
      </c>
      <c r="I207" s="109" t="s">
        <v>8295</v>
      </c>
      <c r="J207" t="n">
        <v>-19.925098941136898</v>
      </c>
      <c r="K207" t="n">
        <v>-43.951621023368403</v>
      </c>
      <c r="L207" t="n">
        <v>609722.43181036599</v>
      </c>
      <c r="M207" t="n">
        <v>7796465.0849360796</v>
      </c>
    </row>
    <row r="208">
      <c r="A208" s="85" t="s">
        <v>8296</v>
      </c>
      <c r="B208" s="104" t="s">
        <v>8297</v>
      </c>
      <c r="C208" s="104" t="s">
        <v>8298</v>
      </c>
      <c r="D208" s="21" t="s">
        <v>6991</v>
      </c>
      <c r="E208" s="21" t="s">
        <v>6974</v>
      </c>
      <c r="F208" s="108" t="s">
        <v>6975</v>
      </c>
      <c r="G208" s="104" t="s">
        <v>7774</v>
      </c>
      <c r="H208" s="21" t="s">
        <v>8299</v>
      </c>
      <c r="I208" s="109" t="s">
        <v>7776</v>
      </c>
      <c r="J208" t="n">
        <v>-19.905933000000001</v>
      </c>
      <c r="K208" t="n">
        <v>-43.946482000000003</v>
      </c>
      <c r="L208" t="n">
        <v>610273.61138472403</v>
      </c>
      <c r="M208" t="n">
        <v>7798582.8824437503</v>
      </c>
    </row>
    <row r="209">
      <c r="A209" s="75" t="s">
        <v>8300</v>
      </c>
      <c r="B209" s="104" t="s">
        <v>8301</v>
      </c>
      <c r="C209" s="104" t="s">
        <v>8302</v>
      </c>
      <c r="D209" s="21" t="s">
        <v>7159</v>
      </c>
      <c r="E209" s="21" t="s">
        <v>7160</v>
      </c>
      <c r="F209" s="108" t="s">
        <v>7161</v>
      </c>
      <c r="G209" s="104" t="s">
        <v>8303</v>
      </c>
      <c r="H209" s="21" t="s">
        <v>8304</v>
      </c>
      <c r="I209" s="109" t="s">
        <v>8305</v>
      </c>
      <c r="J209" t="n">
        <v>-19.924560663710299</v>
      </c>
      <c r="K209" t="n">
        <v>-43.9191977150521</v>
      </c>
      <c r="L209" t="n">
        <v>613116.51654073305</v>
      </c>
      <c r="M209" t="n">
        <v>7796503.1665916601</v>
      </c>
    </row>
    <row r="210">
      <c r="A210" s="30" t="s">
        <v>8306</v>
      </c>
      <c r="B210" s="96" t="s">
        <v>8307</v>
      </c>
      <c r="C210" s="104" t="s">
        <v>7937</v>
      </c>
      <c r="D210" s="21" t="s">
        <v>7938</v>
      </c>
      <c r="E210" s="21" t="s">
        <v>6974</v>
      </c>
      <c r="F210" s="108" t="s">
        <v>7264</v>
      </c>
      <c r="G210" s="104" t="s">
        <v>7939</v>
      </c>
      <c r="H210" s="21" t="s">
        <v>7940</v>
      </c>
      <c r="I210" s="109" t="s">
        <v>7941</v>
      </c>
      <c r="J210" t="n">
        <v>-19.915514824046699</v>
      </c>
      <c r="K210" t="n">
        <v>-43.968119314587902</v>
      </c>
      <c r="L210" t="n">
        <v>608002.09886720695</v>
      </c>
      <c r="M210" t="n">
        <v>7797536.4713743301</v>
      </c>
    </row>
    <row r="211">
      <c r="A211" s="80" t="s">
        <v>8308</v>
      </c>
      <c r="B211" s="104" t="s">
        <v>8309</v>
      </c>
      <c r="C211" s="104" t="s">
        <v>8310</v>
      </c>
      <c r="D211" s="21" t="s">
        <v>8311</v>
      </c>
      <c r="E211" s="21" t="s">
        <v>6983</v>
      </c>
      <c r="F211" s="108" t="s">
        <v>7228</v>
      </c>
      <c r="G211" s="104" t="s">
        <v>8303</v>
      </c>
      <c r="H211" s="21" t="s">
        <v>8312</v>
      </c>
      <c r="I211" s="109" t="s">
        <v>8313</v>
      </c>
      <c r="J211" t="n">
        <v>-19.922211404862299</v>
      </c>
      <c r="K211" t="n">
        <v>-43.957294666098299</v>
      </c>
      <c r="L211" t="n">
        <v>609130.56454189599</v>
      </c>
      <c r="M211" t="n">
        <v>7796788.35133358</v>
      </c>
    </row>
    <row r="212">
      <c r="A212" s="30" t="s">
        <v>8314</v>
      </c>
      <c r="B212" s="104" t="s">
        <v>8315</v>
      </c>
      <c r="C212" s="104" t="s">
        <v>8316</v>
      </c>
      <c r="D212" s="21" t="s">
        <v>8317</v>
      </c>
      <c r="E212" s="21" t="s">
        <v>7160</v>
      </c>
      <c r="F212" s="108" t="s">
        <v>7815</v>
      </c>
      <c r="G212" s="104" t="s">
        <v>8318</v>
      </c>
      <c r="I212" s="109" t="s">
        <v>8319</v>
      </c>
      <c r="J212" t="n">
        <v>-19.943528419642899</v>
      </c>
      <c r="K212" t="n">
        <v>-43.911447187500002</v>
      </c>
      <c r="L212" t="n">
        <v>613914.16074050695</v>
      </c>
      <c r="M212" t="n">
        <v>7794398.68310876</v>
      </c>
    </row>
    <row r="213">
      <c r="A213" s="85" t="s">
        <v>8320</v>
      </c>
      <c r="B213" s="96" t="s">
        <v>8321</v>
      </c>
      <c r="C213" s="104" t="s">
        <v>8322</v>
      </c>
      <c r="D213" s="21" t="s">
        <v>8323</v>
      </c>
      <c r="E213" s="21" t="s">
        <v>7126</v>
      </c>
      <c r="F213" s="108" t="s">
        <v>7449</v>
      </c>
      <c r="G213" s="104" t="s">
        <v>8324</v>
      </c>
      <c r="H213" s="21" t="s">
        <v>8325</v>
      </c>
      <c r="I213" s="109" t="s">
        <v>8326</v>
      </c>
      <c r="J213" t="n">
        <v>-19.834773450592699</v>
      </c>
      <c r="K213" t="n">
        <v>-43.932101743837698</v>
      </c>
      <c r="L213" t="n">
        <v>611828.84962460701</v>
      </c>
      <c r="M213" t="n">
        <v>7806448.8533014497</v>
      </c>
    </row>
    <row r="214">
      <c r="A214" s="85" t="s">
        <v>8327</v>
      </c>
      <c r="B214" s="104" t="s">
        <v>8328</v>
      </c>
      <c r="C214" s="104" t="s">
        <v>8329</v>
      </c>
      <c r="D214" s="21" t="s">
        <v>7213</v>
      </c>
      <c r="E214" s="21" t="s">
        <v>7015</v>
      </c>
      <c r="F214" s="108" t="s">
        <v>7016</v>
      </c>
      <c r="G214" s="104" t="s">
        <v>8330</v>
      </c>
      <c r="H214" s="21" t="s">
        <v>8331</v>
      </c>
      <c r="I214" s="109" t="s">
        <v>8332</v>
      </c>
      <c r="J214" t="n">
        <v>-19.892896425307299</v>
      </c>
      <c r="K214" t="n">
        <v>-43.890356069555402</v>
      </c>
      <c r="L214" t="n">
        <v>616158.47871752805</v>
      </c>
      <c r="M214" t="n">
        <v>7799987.9360181298</v>
      </c>
    </row>
    <row r="215">
      <c r="A215" s="82" t="s">
        <v>8333</v>
      </c>
      <c r="B215" s="104" t="s">
        <v>8334</v>
      </c>
      <c r="C215" s="95" t="s">
        <v>8335</v>
      </c>
      <c r="D215" s="21" t="s">
        <v>7031</v>
      </c>
      <c r="E215" s="21" t="s">
        <v>6983</v>
      </c>
      <c r="F215" s="108" t="s">
        <v>7032</v>
      </c>
      <c r="G215" s="104" t="s">
        <v>8336</v>
      </c>
      <c r="H215" s="21" t="s">
        <v>8337</v>
      </c>
      <c r="I215" s="109" t="s">
        <v>8338</v>
      </c>
      <c r="J215" t="n">
        <v>-19.9760169000152</v>
      </c>
      <c r="K215" t="n">
        <v>-43.971466885558598</v>
      </c>
      <c r="L215" t="n">
        <v>607610.68651108304</v>
      </c>
      <c r="M215" t="n">
        <v>7790842.6651087403</v>
      </c>
    </row>
    <row r="216">
      <c r="A216" s="82" t="s">
        <v>8339</v>
      </c>
      <c r="B216" s="96" t="s">
        <v>8340</v>
      </c>
      <c r="C216" s="95" t="s">
        <v>8341</v>
      </c>
      <c r="D216" s="21" t="s">
        <v>8020</v>
      </c>
      <c r="E216" s="21" t="s">
        <v>6983</v>
      </c>
      <c r="F216" s="108" t="s">
        <v>7032</v>
      </c>
      <c r="G216" s="104" t="s">
        <v>8342</v>
      </c>
      <c r="H216" s="21" t="s">
        <v>8343</v>
      </c>
      <c r="I216" s="109" t="s">
        <v>8344</v>
      </c>
      <c r="J216" t="n">
        <v>-19.964442999999999</v>
      </c>
      <c r="K216" t="n">
        <v>-43.963754000000002</v>
      </c>
      <c r="L216" t="n">
        <v>608425.630933924</v>
      </c>
      <c r="M216" t="n">
        <v>7792118.6220412003</v>
      </c>
    </row>
    <row r="217">
      <c r="A217" s="82" t="s">
        <v>8345</v>
      </c>
      <c r="B217" s="104" t="s">
        <v>8346</v>
      </c>
      <c r="C217" s="95" t="s">
        <v>8347</v>
      </c>
      <c r="D217" s="21" t="s">
        <v>8348</v>
      </c>
      <c r="E217" s="21" t="s">
        <v>6983</v>
      </c>
      <c r="F217" s="108" t="s">
        <v>7299</v>
      </c>
      <c r="G217" s="104" t="s">
        <v>8349</v>
      </c>
      <c r="H217" s="21" t="s">
        <v>7080</v>
      </c>
      <c r="I217" s="109" t="s">
        <v>8350</v>
      </c>
      <c r="J217" t="n">
        <v>-19.964212</v>
      </c>
      <c r="K217" t="n">
        <v>-43.970475</v>
      </c>
      <c r="L217" t="n">
        <v>607722.49010605796</v>
      </c>
      <c r="M217" t="n">
        <v>7792148.5169794103</v>
      </c>
    </row>
    <row r="218">
      <c r="A218" s="82" t="s">
        <v>8351</v>
      </c>
      <c r="B218" s="104" t="s">
        <v>8352</v>
      </c>
      <c r="C218" s="104" t="s">
        <v>8353</v>
      </c>
      <c r="D218" s="21" t="s">
        <v>8354</v>
      </c>
      <c r="E218" s="21" t="s">
        <v>7077</v>
      </c>
      <c r="F218" s="108" t="s">
        <v>7588</v>
      </c>
      <c r="G218" s="104" t="s">
        <v>8355</v>
      </c>
      <c r="H218" s="21" t="s">
        <v>8356</v>
      </c>
      <c r="I218" s="109" t="s">
        <v>8357</v>
      </c>
      <c r="J218" t="n">
        <v>-19.999142696659799</v>
      </c>
      <c r="K218" t="n">
        <v>-44.0004278820495</v>
      </c>
      <c r="L218" t="n">
        <v>604565.12605752004</v>
      </c>
      <c r="M218" t="n">
        <v>7788301.5914112898</v>
      </c>
    </row>
    <row r="219">
      <c r="A219" s="82" t="s">
        <v>8358</v>
      </c>
      <c r="B219" s="96" t="s">
        <v>8359</v>
      </c>
      <c r="C219" s="96" t="s">
        <v>8360</v>
      </c>
      <c r="D219" s="21" t="s">
        <v>7980</v>
      </c>
      <c r="E219" s="21" t="s">
        <v>7160</v>
      </c>
      <c r="F219" s="108" t="s">
        <v>7161</v>
      </c>
      <c r="G219" s="104" t="s">
        <v>8361</v>
      </c>
      <c r="H219" s="21" t="s">
        <v>8362</v>
      </c>
      <c r="I219" s="109" t="s">
        <v>8363</v>
      </c>
      <c r="J219" t="n">
        <v>-19.920952416614899</v>
      </c>
      <c r="K219" t="n">
        <v>-43.937635216496901</v>
      </c>
      <c r="L219" t="n">
        <v>611189.20286057296</v>
      </c>
      <c r="M219" t="n">
        <v>7796914.8061827598</v>
      </c>
    </row>
    <row r="220">
      <c r="A220" s="82" t="s">
        <v>8364</v>
      </c>
      <c r="B220" s="104" t="s">
        <v>8365</v>
      </c>
      <c r="C220" s="104" t="s">
        <v>8366</v>
      </c>
      <c r="D220" s="21" t="s">
        <v>7470</v>
      </c>
      <c r="E220" s="21" t="s">
        <v>6997</v>
      </c>
      <c r="F220" s="108" t="s">
        <v>7152</v>
      </c>
      <c r="G220" s="104" t="s">
        <v>8367</v>
      </c>
      <c r="H220" s="21" t="s">
        <v>8368</v>
      </c>
      <c r="I220" s="109" t="s">
        <v>8369</v>
      </c>
      <c r="J220" t="n">
        <v>-19.875727630995598</v>
      </c>
      <c r="K220" t="n">
        <v>-43.992859895785301</v>
      </c>
      <c r="L220" t="n">
        <v>605438.75282186596</v>
      </c>
      <c r="M220" t="n">
        <v>7801955.4952398399</v>
      </c>
    </row>
    <row r="221" ht="30" customHeight="1">
      <c r="A221" s="82" t="s">
        <v>8370</v>
      </c>
      <c r="B221" s="104" t="s">
        <v>8371</v>
      </c>
      <c r="C221" s="104" t="s">
        <v>8372</v>
      </c>
      <c r="D221" s="21" t="s">
        <v>8373</v>
      </c>
      <c r="E221" s="21" t="s">
        <v>7160</v>
      </c>
      <c r="F221" s="108" t="s">
        <v>8247</v>
      </c>
      <c r="G221" s="104" t="s">
        <v>8374</v>
      </c>
      <c r="H221" s="21" t="s">
        <v>8375</v>
      </c>
      <c r="I221" s="109" t="s">
        <v>8376</v>
      </c>
      <c r="J221" t="n">
        <v>-19.951431275905399</v>
      </c>
      <c r="K221" t="n">
        <v>-43.948104041350902</v>
      </c>
      <c r="L221" t="n">
        <v>610072.30076427897</v>
      </c>
      <c r="M221" t="n">
        <v>7793548.4898101296</v>
      </c>
    </row>
    <row r="222" ht="30" customHeight="1">
      <c r="A222" s="91" t="s">
        <v>8377</v>
      </c>
      <c r="B222" s="96" t="s">
        <v>8378</v>
      </c>
      <c r="C222" s="104" t="s">
        <v>8379</v>
      </c>
      <c r="D222" s="21" t="s">
        <v>8380</v>
      </c>
      <c r="E222" s="21" t="s">
        <v>7160</v>
      </c>
      <c r="F222" s="108" t="s">
        <v>7333</v>
      </c>
      <c r="G222" s="104" t="s">
        <v>8381</v>
      </c>
      <c r="H222" s="21" t="s">
        <v>8382</v>
      </c>
      <c r="I222" s="109" t="s">
        <v>8383</v>
      </c>
      <c r="J222" t="n">
        <v>-19.954062</v>
      </c>
      <c r="K222" t="n">
        <v>-43.927053999999998</v>
      </c>
      <c r="L222" t="n">
        <v>612273.35142047296</v>
      </c>
      <c r="M222" t="n">
        <v>7793243.3960597003</v>
      </c>
    </row>
    <row r="223" ht="30" customHeight="1">
      <c r="A223" s="82" t="s">
        <v>8384</v>
      </c>
      <c r="B223" s="104" t="s">
        <v>8385</v>
      </c>
      <c r="C223" s="104" t="s">
        <v>8386</v>
      </c>
      <c r="D223" s="21" t="s">
        <v>8143</v>
      </c>
      <c r="E223" s="21" t="s">
        <v>7006</v>
      </c>
      <c r="F223" s="108" t="s">
        <v>7236</v>
      </c>
      <c r="G223" s="104" t="s">
        <v>8387</v>
      </c>
      <c r="H223" s="21" t="s">
        <v>8388</v>
      </c>
      <c r="I223" s="109" t="s">
        <v>8389</v>
      </c>
      <c r="J223" t="n">
        <v>-19.889633</v>
      </c>
      <c r="K223" t="n">
        <v>-43.920426999999997</v>
      </c>
      <c r="L223" t="n">
        <v>613012.65135621699</v>
      </c>
      <c r="M223" t="n">
        <v>7800369.5790984901</v>
      </c>
    </row>
    <row r="224">
      <c r="A224" s="82" t="s">
        <v>8390</v>
      </c>
      <c r="B224" s="104" t="s">
        <v>8391</v>
      </c>
      <c r="C224" s="104" t="s">
        <v>8392</v>
      </c>
      <c r="D224" s="21" t="s">
        <v>7655</v>
      </c>
      <c r="E224" s="21" t="s">
        <v>7006</v>
      </c>
      <c r="F224" s="108" t="s">
        <v>7236</v>
      </c>
      <c r="G224" s="104" t="s">
        <v>8393</v>
      </c>
      <c r="H224" s="21" t="s">
        <v>8394</v>
      </c>
      <c r="I224" s="109" t="s">
        <v>8395</v>
      </c>
      <c r="J224" t="n">
        <v>-19.8737885325144</v>
      </c>
      <c r="K224" t="n">
        <v>-43.936332237625003</v>
      </c>
      <c r="L224" t="n">
        <v>611358.57072671503</v>
      </c>
      <c r="M224" t="n">
        <v>7802133.7351948703</v>
      </c>
    </row>
    <row r="225">
      <c r="A225" s="70" t="s">
        <v>8396</v>
      </c>
      <c r="B225" s="96" t="s">
        <v>8397</v>
      </c>
      <c r="C225" s="104" t="s">
        <v>8398</v>
      </c>
      <c r="D225" s="21" t="s">
        <v>8399</v>
      </c>
      <c r="E225" s="21" t="s">
        <v>7015</v>
      </c>
      <c r="F225" s="108" t="s">
        <v>7683</v>
      </c>
      <c r="G225" s="104" t="s">
        <v>8400</v>
      </c>
      <c r="J225" t="n">
        <v>-19.9064741957012</v>
      </c>
      <c r="K225" t="n">
        <v>-43.901984850293999</v>
      </c>
      <c r="L225" t="n">
        <v>614931.19999999995</v>
      </c>
      <c r="M225" t="n">
        <v>7798493</v>
      </c>
    </row>
    <row r="226">
      <c r="A226" s="70" t="s">
        <v>8401</v>
      </c>
      <c r="B226" s="104" t="s">
        <v>8402</v>
      </c>
      <c r="C226" s="104" t="s">
        <v>8403</v>
      </c>
      <c r="D226" s="21" t="s">
        <v>7655</v>
      </c>
      <c r="E226" s="21" t="s">
        <v>7006</v>
      </c>
      <c r="F226" s="108" t="s">
        <v>7236</v>
      </c>
      <c r="G226" s="104" t="s">
        <v>8401</v>
      </c>
      <c r="I226" s="109" t="s">
        <v>8404</v>
      </c>
      <c r="J226" t="n">
        <v>-19.869898836797201</v>
      </c>
      <c r="K226" t="n">
        <v>-43.9292424294037</v>
      </c>
      <c r="L226" t="n">
        <v>612103.6</v>
      </c>
      <c r="M226" t="n">
        <v>7802560</v>
      </c>
    </row>
    <row r="227">
      <c r="A227" s="70" t="s">
        <v>8405</v>
      </c>
      <c r="B227" s="104" t="s">
        <v>8406</v>
      </c>
      <c r="C227" s="104" t="s">
        <v>8407</v>
      </c>
      <c r="D227" s="21" t="s">
        <v>8408</v>
      </c>
      <c r="E227" s="21" t="s">
        <v>7160</v>
      </c>
      <c r="F227" s="108" t="s">
        <v>8247</v>
      </c>
      <c r="G227" s="104" t="s">
        <v>8405</v>
      </c>
      <c r="I227" s="109" t="s">
        <v>8409</v>
      </c>
      <c r="J227" t="n">
        <v>-19.9673083352444</v>
      </c>
      <c r="K227" t="n">
        <v>-43.951518066368102</v>
      </c>
      <c r="L227" t="n">
        <v>609704</v>
      </c>
      <c r="M227" t="n">
        <v>7791794</v>
      </c>
    </row>
    <row r="228">
      <c r="A228" s="70" t="s">
        <v>8410</v>
      </c>
      <c r="B228" s="96" t="s">
        <v>8411</v>
      </c>
      <c r="C228" s="104" t="s">
        <v>8412</v>
      </c>
      <c r="D228" s="21" t="s">
        <v>7031</v>
      </c>
      <c r="E228" s="21" t="s">
        <v>6983</v>
      </c>
      <c r="F228" s="108" t="s">
        <v>7032</v>
      </c>
      <c r="G228" s="104" t="s">
        <v>8336</v>
      </c>
      <c r="H228" s="21" t="s">
        <v>8413</v>
      </c>
      <c r="J228" t="n">
        <v>-19.974502999999999</v>
      </c>
      <c r="K228" t="n">
        <v>-43.967922999999999</v>
      </c>
      <c r="L228" t="n">
        <v>607982.52898176596</v>
      </c>
      <c r="M228" t="n">
        <v>7791007.9355870103</v>
      </c>
    </row>
    <row r="229">
      <c r="A229" s="88" t="s">
        <v>8414</v>
      </c>
      <c r="B229" s="104" t="s">
        <v>8415</v>
      </c>
      <c r="C229" s="104" t="s">
        <v>8414</v>
      </c>
      <c r="D229" s="21" t="s">
        <v>7412</v>
      </c>
      <c r="E229" s="21" t="s">
        <v>7006</v>
      </c>
      <c r="F229" s="108" t="s">
        <v>7413</v>
      </c>
      <c r="G229" s="104" t="s">
        <v>8416</v>
      </c>
      <c r="J229" t="n">
        <v>-19.872377690116998</v>
      </c>
      <c r="K229" t="n">
        <v>-43.9240133867835</v>
      </c>
      <c r="L229" t="n">
        <v>612649.4</v>
      </c>
      <c r="M229" t="n">
        <v>7802282</v>
      </c>
    </row>
    <row r="230" ht="30" customHeight="1">
      <c r="A230" s="70" t="s">
        <v>8417</v>
      </c>
      <c r="B230" s="104" t="s">
        <v>8418</v>
      </c>
      <c r="C230" s="104" t="s">
        <v>8419</v>
      </c>
      <c r="D230" s="21" t="s">
        <v>7862</v>
      </c>
      <c r="E230" s="21" t="s">
        <v>7077</v>
      </c>
      <c r="F230" s="108" t="s">
        <v>7105</v>
      </c>
      <c r="G230" s="104" t="s">
        <v>8417</v>
      </c>
      <c r="I230" s="109" t="s">
        <v>8420</v>
      </c>
      <c r="J230" t="n">
        <v>-20.011199702371201</v>
      </c>
      <c r="K230" t="n">
        <v>-44.035986421976297</v>
      </c>
      <c r="L230" t="n">
        <v>600837.4</v>
      </c>
      <c r="M230" t="n">
        <v>7786989</v>
      </c>
    </row>
    <row r="231">
      <c r="A231" s="70" t="s">
        <v>8421</v>
      </c>
      <c r="B231" s="96" t="s">
        <v>8422</v>
      </c>
      <c r="C231" s="104" t="s">
        <v>8423</v>
      </c>
      <c r="D231" s="21" t="s">
        <v>7980</v>
      </c>
      <c r="E231" s="21" t="s">
        <v>7160</v>
      </c>
      <c r="F231" s="108" t="s">
        <v>7161</v>
      </c>
      <c r="G231" s="104" t="s">
        <v>8424</v>
      </c>
      <c r="H231" s="21" t="s">
        <v>8425</v>
      </c>
      <c r="I231" s="109" t="s">
        <v>8426</v>
      </c>
      <c r="J231" t="n">
        <v>-19.9181505985485</v>
      </c>
      <c r="K231" t="n">
        <v>-43.934985665712098</v>
      </c>
      <c r="L231" t="n">
        <v>611468.49875335</v>
      </c>
      <c r="M231" t="n">
        <v>7797223.1395287002</v>
      </c>
    </row>
    <row r="232">
      <c r="A232" s="88" t="s">
        <v>8427</v>
      </c>
      <c r="B232" s="104" t="s">
        <v>8428</v>
      </c>
      <c r="C232" s="104" t="s">
        <v>8427</v>
      </c>
      <c r="D232" s="21" t="s">
        <v>7534</v>
      </c>
      <c r="E232" s="21" t="s">
        <v>7086</v>
      </c>
      <c r="F232" s="108" t="s">
        <v>7112</v>
      </c>
      <c r="G232" s="104" t="s">
        <v>8429</v>
      </c>
      <c r="J232" t="n">
        <v>-19.809131007867201</v>
      </c>
      <c r="K232" t="n">
        <v>-44.000218774052797</v>
      </c>
      <c r="L232" t="n">
        <v>604711.9</v>
      </c>
      <c r="M232" t="n">
        <v>7809330</v>
      </c>
    </row>
    <row r="233">
      <c r="A233" s="88" t="s">
        <v>8430</v>
      </c>
      <c r="B233" s="104" t="s">
        <v>8431</v>
      </c>
      <c r="C233" s="104" t="s">
        <v>8430</v>
      </c>
      <c r="D233" s="21" t="s">
        <v>8432</v>
      </c>
      <c r="E233" s="21" t="s">
        <v>7160</v>
      </c>
      <c r="F233" s="108" t="s">
        <v>7333</v>
      </c>
      <c r="G233" s="104" t="s">
        <v>8433</v>
      </c>
      <c r="I233" s="109" t="s">
        <v>8434</v>
      </c>
      <c r="J233" t="n">
        <v>-19.9571538376753</v>
      </c>
      <c r="K233" t="n">
        <v>-43.933646248250803</v>
      </c>
      <c r="L233" t="n">
        <v>611581.30000000005</v>
      </c>
      <c r="M233" t="n">
        <v>7792906</v>
      </c>
    </row>
    <row r="234" ht="30" customHeight="1">
      <c r="A234" s="88" t="s">
        <v>8435</v>
      </c>
      <c r="B234" s="96" t="s">
        <v>8436</v>
      </c>
      <c r="C234" s="104" t="s">
        <v>8437</v>
      </c>
      <c r="D234" s="21" t="s">
        <v>7862</v>
      </c>
      <c r="E234" s="21" t="s">
        <v>7077</v>
      </c>
      <c r="F234" s="108" t="s">
        <v>7105</v>
      </c>
      <c r="G234" s="104" t="s">
        <v>8438</v>
      </c>
      <c r="I234" s="109" t="s">
        <v>8439</v>
      </c>
      <c r="J234" t="n">
        <v>-20.008866839157399</v>
      </c>
      <c r="K234" t="n">
        <v>-44.0375847394603</v>
      </c>
      <c r="L234" t="n">
        <v>600671.69999999995</v>
      </c>
      <c r="M234" t="n">
        <v>7787248</v>
      </c>
    </row>
    <row r="235">
      <c r="A235" s="70" t="s">
        <v>8440</v>
      </c>
      <c r="B235" s="104" t="s">
        <v>8441</v>
      </c>
      <c r="C235" s="104" t="s">
        <v>8440</v>
      </c>
      <c r="D235" s="21" t="s">
        <v>7787</v>
      </c>
      <c r="E235" s="21" t="s">
        <v>6983</v>
      </c>
      <c r="F235" s="108" t="s">
        <v>7228</v>
      </c>
      <c r="G235" s="104" t="s">
        <v>8442</v>
      </c>
      <c r="I235" s="109" t="s">
        <v>8443</v>
      </c>
      <c r="J235" t="n">
        <v>-19.936782385242299</v>
      </c>
      <c r="K235" t="n">
        <v>-43.963102736495003</v>
      </c>
      <c r="L235" t="n">
        <v>608512.69999999995</v>
      </c>
      <c r="M235" t="n">
        <v>7795179</v>
      </c>
    </row>
    <row r="236">
      <c r="A236" s="70" t="s">
        <v>8444</v>
      </c>
      <c r="B236" s="104" t="s">
        <v>8445</v>
      </c>
      <c r="C236" s="104" t="s">
        <v>8446</v>
      </c>
      <c r="D236" s="21" t="s">
        <v>8447</v>
      </c>
      <c r="E236" s="21" t="s">
        <v>7015</v>
      </c>
      <c r="F236" s="108" t="s">
        <v>7683</v>
      </c>
      <c r="G236" s="104" t="s">
        <v>8448</v>
      </c>
      <c r="I236" s="109" t="s">
        <v>8449</v>
      </c>
      <c r="J236" t="n">
        <v>-19.905371823584499</v>
      </c>
      <c r="K236" t="n">
        <v>-43.895854280379098</v>
      </c>
      <c r="L236" t="n">
        <v>615573.80000000005</v>
      </c>
      <c r="M236" t="n">
        <v>7798611</v>
      </c>
    </row>
    <row r="237" ht="30" customHeight="1">
      <c r="A237" s="70" t="s">
        <v>8450</v>
      </c>
      <c r="B237" s="96" t="s">
        <v>8451</v>
      </c>
      <c r="C237" s="104" t="s">
        <v>8450</v>
      </c>
      <c r="D237" s="21" t="s">
        <v>7862</v>
      </c>
      <c r="E237" s="21" t="s">
        <v>7077</v>
      </c>
      <c r="F237" s="108" t="s">
        <v>7105</v>
      </c>
      <c r="G237" s="104" t="s">
        <v>8450</v>
      </c>
      <c r="J237" t="n">
        <v>-20.008310242762501</v>
      </c>
      <c r="K237" t="n">
        <v>-44.036886958165198</v>
      </c>
      <c r="L237" t="n">
        <v>600745</v>
      </c>
      <c r="M237" t="n">
        <v>7787309</v>
      </c>
    </row>
    <row r="238" ht="45" customHeight="1">
      <c r="A238" s="70" t="s">
        <v>8452</v>
      </c>
      <c r="B238" s="104" t="s">
        <v>8453</v>
      </c>
      <c r="C238" s="104" t="s">
        <v>8452</v>
      </c>
      <c r="D238" s="21" t="s">
        <v>7862</v>
      </c>
      <c r="E238" s="21" t="s">
        <v>7077</v>
      </c>
      <c r="F238" s="108" t="s">
        <v>7105</v>
      </c>
      <c r="G238" s="104" t="s">
        <v>8454</v>
      </c>
      <c r="J238" t="n">
        <v>-20.008178044606399</v>
      </c>
      <c r="K238" t="n">
        <v>-44.0385824935965</v>
      </c>
      <c r="L238" t="n">
        <v>600567.69999999995</v>
      </c>
      <c r="M238" t="n">
        <v>7787325</v>
      </c>
    </row>
    <row r="239" ht="30" customHeight="1">
      <c r="A239" s="70" t="s">
        <v>8455</v>
      </c>
      <c r="B239" s="104" t="s">
        <v>8456</v>
      </c>
      <c r="C239" s="104" t="s">
        <v>8457</v>
      </c>
      <c r="D239" s="21" t="s">
        <v>7456</v>
      </c>
      <c r="E239" s="21" t="s">
        <v>7015</v>
      </c>
      <c r="F239" s="108" t="s">
        <v>7056</v>
      </c>
      <c r="G239" s="104" t="s">
        <v>8458</v>
      </c>
      <c r="H239" t="s">
        <v>8217</v>
      </c>
      <c r="J239" t="n">
        <v>-19.905244522470799</v>
      </c>
      <c r="K239" t="n">
        <v>-43.913317576238803</v>
      </c>
      <c r="L239" t="n">
        <v>613745.80000000005</v>
      </c>
      <c r="M239" t="n">
        <v>7798637</v>
      </c>
    </row>
    <row r="240">
      <c r="A240" s="70" t="s">
        <v>8459</v>
      </c>
      <c r="B240" s="96" t="s">
        <v>8460</v>
      </c>
      <c r="C240" s="104" t="s">
        <v>8459</v>
      </c>
      <c r="D240" s="21" t="s">
        <v>8099</v>
      </c>
      <c r="E240" s="21" t="s">
        <v>7126</v>
      </c>
      <c r="F240" s="108" t="s">
        <v>7449</v>
      </c>
      <c r="G240" s="104" t="s">
        <v>8461</v>
      </c>
      <c r="I240" s="109" t="s">
        <v>8462</v>
      </c>
      <c r="J240" t="n">
        <v>-19.8305141260036</v>
      </c>
      <c r="K240" t="n">
        <v>-43.947378808311903</v>
      </c>
      <c r="L240" t="n">
        <v>610231.9</v>
      </c>
      <c r="M240" t="n">
        <v>7806930</v>
      </c>
    </row>
    <row r="241">
      <c r="A241" s="70" t="s">
        <v>8463</v>
      </c>
      <c r="B241" s="104" t="s">
        <v>8464</v>
      </c>
      <c r="C241" s="104" t="s">
        <v>8463</v>
      </c>
      <c r="D241" s="21" t="s">
        <v>7111</v>
      </c>
      <c r="E241" s="21" t="s">
        <v>7086</v>
      </c>
      <c r="F241" s="108" t="s">
        <v>7112</v>
      </c>
      <c r="G241" s="104" t="s">
        <v>8465</v>
      </c>
      <c r="H241" s="21"/>
      <c r="J241" t="n">
        <v>-19.817900368690498</v>
      </c>
      <c r="K241" t="n">
        <v>-43.996476726768599</v>
      </c>
      <c r="L241" t="n">
        <v>605098.1</v>
      </c>
      <c r="M241" t="n">
        <v>7808358</v>
      </c>
    </row>
    <row r="242">
      <c r="A242" s="70" t="s">
        <v>8466</v>
      </c>
      <c r="B242" s="104" t="s">
        <v>8467</v>
      </c>
      <c r="C242" s="104" t="s">
        <v>8468</v>
      </c>
      <c r="D242" s="21" t="s">
        <v>8469</v>
      </c>
      <c r="E242" s="21" t="s">
        <v>7077</v>
      </c>
      <c r="F242" s="108" t="s">
        <v>7092</v>
      </c>
      <c r="G242" s="104" t="s">
        <v>8470</v>
      </c>
      <c r="H242" t="s">
        <v>8471</v>
      </c>
      <c r="I242" s="109" t="s">
        <v>8472</v>
      </c>
      <c r="J242" t="n">
        <v>-19.987996471398901</v>
      </c>
      <c r="K242" t="n">
        <v>-44.026967622640697</v>
      </c>
      <c r="L242" t="n">
        <v>601795.76171453204</v>
      </c>
      <c r="M242" t="n">
        <v>7789551.5171840098</v>
      </c>
    </row>
    <row r="243" ht="30" customHeight="1">
      <c r="A243" s="70" t="s">
        <v>8473</v>
      </c>
      <c r="B243" s="96" t="s">
        <v>8474</v>
      </c>
      <c r="C243" s="104" t="s">
        <v>8473</v>
      </c>
      <c r="D243" s="21" t="s">
        <v>8475</v>
      </c>
      <c r="E243" s="21" t="s">
        <v>7126</v>
      </c>
      <c r="F243" s="108" t="s">
        <v>7127</v>
      </c>
      <c r="G243" s="104" t="s">
        <v>8476</v>
      </c>
      <c r="J243" t="n">
        <v>-19.818228000000001</v>
      </c>
      <c r="K243" t="n">
        <v>-43.886614000000002</v>
      </c>
      <c r="L243" t="n">
        <v>616604.80000000005</v>
      </c>
      <c r="M243" t="n">
        <v>7808249</v>
      </c>
    </row>
    <row r="244" ht="30" customHeight="1">
      <c r="A244" s="70" t="s">
        <v>8477</v>
      </c>
      <c r="B244" s="104" t="s">
        <v>8478</v>
      </c>
      <c r="C244" s="104" t="s">
        <v>8477</v>
      </c>
      <c r="D244" s="21" t="s">
        <v>7848</v>
      </c>
      <c r="E244" s="21" t="s">
        <v>7077</v>
      </c>
      <c r="F244" s="108" t="s">
        <v>7092</v>
      </c>
      <c r="G244" s="104" t="s">
        <v>8479</v>
      </c>
      <c r="H244" s="21" t="s">
        <v>8480</v>
      </c>
      <c r="I244" s="109"/>
      <c r="J244" t="n">
        <v>-19.984214799890299</v>
      </c>
      <c r="K244" t="n">
        <v>-44.025251926246298</v>
      </c>
      <c r="L244" t="n">
        <v>601977.69999999995</v>
      </c>
      <c r="M244" t="n">
        <v>7789969</v>
      </c>
    </row>
    <row r="245" ht="30" customHeight="1">
      <c r="A245" s="70" t="s">
        <v>8481</v>
      </c>
      <c r="B245" s="104" t="s">
        <v>8482</v>
      </c>
      <c r="C245" s="104" t="s">
        <v>8483</v>
      </c>
      <c r="D245" s="21" t="s">
        <v>8484</v>
      </c>
      <c r="E245" s="21" t="s">
        <v>6997</v>
      </c>
      <c r="F245" s="108" t="s">
        <v>7152</v>
      </c>
      <c r="G245" s="104" t="s">
        <v>8485</v>
      </c>
      <c r="J245" s="99" t="n">
        <v>-19.875843391960998</v>
      </c>
      <c r="K245" s="99" t="n">
        <v>-43.999483509353801</v>
      </c>
      <c r="L245" t="n">
        <v>604745.19999999995</v>
      </c>
      <c r="M245" t="n">
        <v>7801947</v>
      </c>
    </row>
    <row r="246" ht="30" customHeight="1">
      <c r="A246" s="70" t="s">
        <v>8486</v>
      </c>
      <c r="B246" s="96" t="s">
        <v>8487</v>
      </c>
      <c r="C246" s="104" t="s">
        <v>8488</v>
      </c>
      <c r="D246" s="21" t="s">
        <v>8489</v>
      </c>
      <c r="E246" s="21" t="s">
        <v>7077</v>
      </c>
      <c r="F246" s="108" t="s">
        <v>7092</v>
      </c>
      <c r="G246" s="104" t="s">
        <v>8486</v>
      </c>
      <c r="H246" s="21"/>
      <c r="J246" t="n">
        <v>-19.978172912195301</v>
      </c>
      <c r="K246" t="n">
        <v>-44.028275872075298</v>
      </c>
      <c r="L246" t="n">
        <v>601665.19999999995</v>
      </c>
      <c r="M246" t="n">
        <v>7790640</v>
      </c>
    </row>
    <row r="247">
      <c r="A247" s="70" t="s">
        <v>8490</v>
      </c>
      <c r="B247" s="104" t="s">
        <v>8491</v>
      </c>
      <c r="C247" s="104" t="s">
        <v>8490</v>
      </c>
      <c r="D247" s="21" t="s">
        <v>7076</v>
      </c>
      <c r="E247" s="21" t="s">
        <v>7077</v>
      </c>
      <c r="F247" s="108" t="s">
        <v>7078</v>
      </c>
      <c r="G247" s="104" t="s">
        <v>8492</v>
      </c>
      <c r="J247" t="n">
        <v>-19.9912594081256</v>
      </c>
      <c r="K247" t="n">
        <v>-44.055585036816602</v>
      </c>
      <c r="L247" t="n">
        <v>598799.6</v>
      </c>
      <c r="M247" t="n">
        <v>7789208</v>
      </c>
    </row>
    <row r="248">
      <c r="A248" s="70" t="s">
        <v>8493</v>
      </c>
      <c r="B248" s="104" t="s">
        <v>8494</v>
      </c>
      <c r="C248" s="104" t="s">
        <v>8495</v>
      </c>
      <c r="D248" s="21" t="s">
        <v>7046</v>
      </c>
      <c r="E248" s="21" t="s">
        <v>6974</v>
      </c>
      <c r="F248" s="108" t="s">
        <v>7047</v>
      </c>
      <c r="G248" s="104" t="s">
        <v>8496</v>
      </c>
      <c r="I248" t="s">
        <v>8497</v>
      </c>
      <c r="J248" t="n">
        <v>-19.914624941630301</v>
      </c>
      <c r="K248" t="n">
        <v>-43.996232153761497</v>
      </c>
      <c r="L248" t="n">
        <v>605060</v>
      </c>
      <c r="M248" t="n">
        <v>7797653</v>
      </c>
    </row>
    <row r="249">
      <c r="A249" s="70" t="s">
        <v>8498</v>
      </c>
      <c r="B249" s="96" t="s">
        <v>8499</v>
      </c>
      <c r="C249" s="104" t="s">
        <v>8500</v>
      </c>
      <c r="D249" s="21" t="s">
        <v>7622</v>
      </c>
      <c r="E249" s="21" t="s">
        <v>7015</v>
      </c>
      <c r="F249" s="108" t="s">
        <v>7024</v>
      </c>
      <c r="G249" s="104" t="s">
        <v>8498</v>
      </c>
      <c r="I249" t="s">
        <v>8501</v>
      </c>
      <c r="J249" t="n">
        <v>-19.918562625</v>
      </c>
      <c r="K249" t="n">
        <v>-43.882258374999999</v>
      </c>
      <c r="L249" t="n">
        <v>616987.4</v>
      </c>
      <c r="M249" t="n">
        <v>7797142</v>
      </c>
    </row>
    <row r="250" ht="30" customHeight="1">
      <c r="A250" s="70" t="s">
        <v>8502</v>
      </c>
      <c r="B250" s="104" t="s">
        <v>8503</v>
      </c>
      <c r="C250" s="104" t="s">
        <v>8504</v>
      </c>
      <c r="D250" s="21" t="s">
        <v>7456</v>
      </c>
      <c r="E250" s="21" t="s">
        <v>7015</v>
      </c>
      <c r="F250" s="108" t="s">
        <v>7056</v>
      </c>
      <c r="G250" s="104" t="s">
        <v>7457</v>
      </c>
      <c r="H250" t="s">
        <v>8505</v>
      </c>
      <c r="I250" s="109"/>
      <c r="J250" t="n">
        <v>-19.909213000000001</v>
      </c>
      <c r="K250" t="n">
        <v>-43.914391999999999</v>
      </c>
      <c r="L250" t="n">
        <v>613630.49300537398</v>
      </c>
      <c r="M250" t="n">
        <v>7798198.51787131</v>
      </c>
    </row>
    <row r="251">
      <c r="A251" s="70" t="s">
        <v>8506</v>
      </c>
      <c r="B251" s="104" t="s">
        <v>8507</v>
      </c>
      <c r="C251" s="104" t="s">
        <v>8508</v>
      </c>
      <c r="D251" s="21" t="s">
        <v>7862</v>
      </c>
      <c r="E251" s="21" t="s">
        <v>7077</v>
      </c>
      <c r="F251" s="108" t="s">
        <v>7105</v>
      </c>
      <c r="G251" s="104" t="s">
        <v>8506</v>
      </c>
      <c r="I251" s="109" t="s">
        <v>8509</v>
      </c>
      <c r="J251" t="n">
        <v>-20.010999549440299</v>
      </c>
      <c r="K251" t="n">
        <v>-44.034275715030901</v>
      </c>
      <c r="L251" t="n">
        <v>601016.5</v>
      </c>
      <c r="M251" t="n">
        <v>7787010</v>
      </c>
    </row>
    <row r="252" ht="30" customHeight="1">
      <c r="A252" s="70" t="s">
        <v>8510</v>
      </c>
      <c r="B252" s="96" t="s">
        <v>8511</v>
      </c>
      <c r="C252" s="104" t="s">
        <v>8510</v>
      </c>
      <c r="D252" s="21" t="s">
        <v>7066</v>
      </c>
      <c r="E252" s="21" t="s">
        <v>6997</v>
      </c>
      <c r="F252" s="108" t="s">
        <v>7061</v>
      </c>
      <c r="G252" s="104" t="s">
        <v>8512</v>
      </c>
      <c r="H252" s="21"/>
      <c r="J252" t="n">
        <v>-19.858811031831401</v>
      </c>
      <c r="K252" t="n">
        <v>-43.9465308585564</v>
      </c>
      <c r="L252" t="n">
        <v>610301.1</v>
      </c>
      <c r="M252" t="n">
        <v>7803798</v>
      </c>
    </row>
    <row r="253">
      <c r="A253" s="70" t="s">
        <v>8513</v>
      </c>
      <c r="B253" s="104" t="s">
        <v>8514</v>
      </c>
      <c r="C253" s="104" t="s">
        <v>8513</v>
      </c>
      <c r="D253" s="21" t="s">
        <v>8515</v>
      </c>
      <c r="E253" s="21" t="s">
        <v>6997</v>
      </c>
      <c r="F253" s="108" t="s">
        <v>7061</v>
      </c>
      <c r="G253" s="104" t="s">
        <v>8516</v>
      </c>
      <c r="I253" s="109" t="s">
        <v>8517</v>
      </c>
      <c r="J253" t="n">
        <v>-19.8548367381653</v>
      </c>
      <c r="K253" t="n">
        <v>-43.955165967651098</v>
      </c>
      <c r="L253" t="n">
        <v>609399.6</v>
      </c>
      <c r="M253" t="n">
        <v>7804244</v>
      </c>
    </row>
    <row r="254">
      <c r="A254" s="70" t="s">
        <v>8518</v>
      </c>
      <c r="B254" s="104" t="s">
        <v>8519</v>
      </c>
      <c r="C254" s="104" t="s">
        <v>8518</v>
      </c>
      <c r="D254" s="21" t="s">
        <v>8014</v>
      </c>
      <c r="E254" s="21" t="s">
        <v>7086</v>
      </c>
      <c r="F254" s="108" t="s">
        <v>7112</v>
      </c>
      <c r="G254" s="104" t="s">
        <v>8520</v>
      </c>
      <c r="J254" t="n">
        <v>-19.805710833904101</v>
      </c>
      <c r="K254" t="n">
        <v>-43.987818420285201</v>
      </c>
      <c r="L254" t="n">
        <v>606013.1</v>
      </c>
      <c r="M254" t="n">
        <v>7809701</v>
      </c>
    </row>
    <row r="255">
      <c r="A255" s="70" t="s">
        <v>8521</v>
      </c>
      <c r="B255" s="96" t="s">
        <v>8522</v>
      </c>
      <c r="C255" s="104" t="s">
        <v>8523</v>
      </c>
      <c r="D255" s="21" t="s">
        <v>8524</v>
      </c>
      <c r="E255" s="21" t="s">
        <v>7006</v>
      </c>
      <c r="F255" s="108" t="s">
        <v>7348</v>
      </c>
      <c r="G255" s="104" t="s">
        <v>8525</v>
      </c>
      <c r="H255" t="s">
        <v>8526</v>
      </c>
      <c r="I255" s="109" t="s">
        <v>8527</v>
      </c>
      <c r="J255" t="n">
        <v>-19.851894999999999</v>
      </c>
      <c r="K255" t="n">
        <v>-43.910409999999999</v>
      </c>
      <c r="L255" t="n">
        <v>614088.35594839405</v>
      </c>
      <c r="M255" t="n">
        <v>7804539.4359287303</v>
      </c>
    </row>
    <row r="256">
      <c r="A256" s="70" t="s">
        <v>8528</v>
      </c>
      <c r="B256" s="104" t="s">
        <v>8529</v>
      </c>
      <c r="C256" s="104" t="s">
        <v>8530</v>
      </c>
      <c r="D256" s="21" t="s">
        <v>8014</v>
      </c>
      <c r="E256" s="21" t="s">
        <v>7086</v>
      </c>
      <c r="F256" s="108" t="s">
        <v>7112</v>
      </c>
      <c r="G256" s="104" t="s">
        <v>8531</v>
      </c>
      <c r="H256" t="s">
        <v>8532</v>
      </c>
      <c r="I256" t="s">
        <v>8533</v>
      </c>
      <c r="J256" t="n">
        <v>-19.812476066950499</v>
      </c>
      <c r="K256" t="n">
        <v>-43.993177552975702</v>
      </c>
      <c r="L256" t="n">
        <v>605447.25546357303</v>
      </c>
      <c r="M256" t="n">
        <v>7808955.8272054503</v>
      </c>
    </row>
    <row r="257" ht="30" customHeight="1">
      <c r="A257" s="70" t="s">
        <v>8534</v>
      </c>
      <c r="B257" s="104" t="s">
        <v>8535</v>
      </c>
      <c r="C257" s="104" t="s">
        <v>8536</v>
      </c>
      <c r="D257" s="21" t="s">
        <v>7862</v>
      </c>
      <c r="E257" s="21" t="s">
        <v>7077</v>
      </c>
      <c r="F257" s="108" t="s">
        <v>7105</v>
      </c>
      <c r="G257" s="104" t="s">
        <v>8534</v>
      </c>
      <c r="H257" s="21"/>
      <c r="I257" s="109" t="s">
        <v>8537</v>
      </c>
      <c r="J257" t="n">
        <v>-20.010193231852799</v>
      </c>
      <c r="K257" t="n">
        <v>-44.035192633212503</v>
      </c>
      <c r="L257" t="n">
        <v>600921.1</v>
      </c>
      <c r="M257" t="n">
        <v>7787100</v>
      </c>
    </row>
    <row r="258">
      <c r="A258" s="70" t="s">
        <v>8538</v>
      </c>
      <c r="B258" s="96" t="s">
        <v>8539</v>
      </c>
      <c r="C258" s="104" t="s">
        <v>8540</v>
      </c>
      <c r="D258" s="21" t="s">
        <v>8541</v>
      </c>
      <c r="E258" s="21" t="s">
        <v>6997</v>
      </c>
      <c r="F258" s="108" t="s">
        <v>7038</v>
      </c>
      <c r="G258" s="104" t="s">
        <v>8542</v>
      </c>
      <c r="H258" s="21" t="s">
        <v>7775</v>
      </c>
      <c r="I258" s="109" t="s">
        <v>8543</v>
      </c>
      <c r="J258" t="n">
        <v>-19.844313</v>
      </c>
      <c r="K258" t="n">
        <v>-43.960296999999997</v>
      </c>
      <c r="L258" t="n">
        <v>608869.52350581496</v>
      </c>
      <c r="M258" t="n">
        <v>7805411.5207465403</v>
      </c>
    </row>
    <row r="259" ht="30" customHeight="1">
      <c r="A259" s="70" t="s">
        <v>8544</v>
      </c>
      <c r="B259" s="104" t="s">
        <v>8545</v>
      </c>
      <c r="C259" s="104" t="s">
        <v>8546</v>
      </c>
      <c r="D259" s="21" t="s">
        <v>6991</v>
      </c>
      <c r="E259" s="21" t="s">
        <v>6974</v>
      </c>
      <c r="F259" s="108" t="s">
        <v>6975</v>
      </c>
      <c r="G259" s="104" t="s">
        <v>8547</v>
      </c>
      <c r="H259" t="s">
        <v>8532</v>
      </c>
      <c r="I259" s="109" t="s">
        <v>8548</v>
      </c>
      <c r="J259" t="n">
        <v>-19.910727000000001</v>
      </c>
      <c r="K259" t="n">
        <v>-43.943727000000003</v>
      </c>
      <c r="L259" t="n">
        <v>610558.67633044196</v>
      </c>
      <c r="M259" t="n">
        <v>7798050.5060588503</v>
      </c>
    </row>
    <row r="260">
      <c r="A260" s="85" t="s">
        <v>8549</v>
      </c>
      <c r="B260" s="104" t="s">
        <v>8550</v>
      </c>
      <c r="C260" s="104" t="s">
        <v>8551</v>
      </c>
      <c r="D260" s="21" t="s">
        <v>8552</v>
      </c>
      <c r="E260" s="21" t="s">
        <v>7077</v>
      </c>
      <c r="F260" s="108" t="s">
        <v>7588</v>
      </c>
      <c r="G260" s="104" t="s">
        <v>8553</v>
      </c>
      <c r="H260" s="21" t="s">
        <v>8554</v>
      </c>
      <c r="I260" s="109" t="s">
        <v>8555</v>
      </c>
      <c r="J260" t="n">
        <v>-19.992937950641299</v>
      </c>
      <c r="K260" t="n">
        <v>-43.989101793402199</v>
      </c>
      <c r="L260" t="n">
        <v>605754.18470015901</v>
      </c>
      <c r="M260" t="n">
        <v>7788981.1800983604</v>
      </c>
    </row>
    <row r="261">
      <c r="A261" s="85" t="s">
        <v>8556</v>
      </c>
      <c r="B261" s="96" t="s">
        <v>8557</v>
      </c>
      <c r="C261" s="104" t="s">
        <v>8558</v>
      </c>
      <c r="D261" s="21" t="s">
        <v>6991</v>
      </c>
      <c r="E261" s="21" t="s">
        <v>6974</v>
      </c>
      <c r="F261" s="108" t="s">
        <v>6975</v>
      </c>
      <c r="G261" s="104" t="s">
        <v>8559</v>
      </c>
      <c r="H261" s="21" t="s">
        <v>8151</v>
      </c>
      <c r="I261" s="109" t="s">
        <v>8560</v>
      </c>
      <c r="J261" t="n">
        <v>-19.907888422572199</v>
      </c>
      <c r="K261" t="n">
        <v>-43.947113200787399</v>
      </c>
      <c r="L261" t="n">
        <v>610206.18246204196</v>
      </c>
      <c r="M261" t="n">
        <v>7798366.8829593603</v>
      </c>
    </row>
    <row r="262">
      <c r="A262" s="81" t="s">
        <v>8561</v>
      </c>
      <c r="B262" s="104" t="s">
        <v>8562</v>
      </c>
      <c r="C262" s="104" t="s">
        <v>8563</v>
      </c>
      <c r="D262" s="21" t="s">
        <v>6973</v>
      </c>
      <c r="E262" s="21" t="s">
        <v>6974</v>
      </c>
      <c r="F262" s="108" t="s">
        <v>6975</v>
      </c>
      <c r="G262" s="104" t="s">
        <v>8564</v>
      </c>
      <c r="H262" s="21" t="s">
        <v>7739</v>
      </c>
      <c r="I262" s="109" t="s">
        <v>8565</v>
      </c>
      <c r="J262" t="n">
        <v>-19.904081752808999</v>
      </c>
      <c r="K262" t="n">
        <v>-43.948331561797801</v>
      </c>
      <c r="L262" t="n">
        <v>610081.27812032006</v>
      </c>
      <c r="M262" t="n">
        <v>7798788.9771606</v>
      </c>
    </row>
    <row r="263" ht="30" customHeight="1">
      <c r="A263" s="81" t="s">
        <v>8566</v>
      </c>
      <c r="B263" s="104" t="s">
        <v>8567</v>
      </c>
      <c r="C263" s="104" t="s">
        <v>8568</v>
      </c>
      <c r="D263" s="21" t="s">
        <v>8569</v>
      </c>
      <c r="E263" s="21" t="s">
        <v>6974</v>
      </c>
      <c r="F263" s="108" t="s">
        <v>7047</v>
      </c>
      <c r="G263" s="104" t="s">
        <v>8570</v>
      </c>
      <c r="H263" s="21" t="s">
        <v>8571</v>
      </c>
      <c r="I263" s="109" t="s">
        <v>8572</v>
      </c>
      <c r="J263" t="n">
        <v>-19.927478000000001</v>
      </c>
      <c r="K263" t="n">
        <v>-44.017074999999998</v>
      </c>
      <c r="L263" t="n">
        <v>602869.99920164701</v>
      </c>
      <c r="M263" t="n">
        <v>7796243.18136313</v>
      </c>
    </row>
    <row r="264">
      <c r="A264" s="81" t="s">
        <v>8573</v>
      </c>
      <c r="B264" s="96" t="s">
        <v>8574</v>
      </c>
      <c r="C264" s="104" t="s">
        <v>8575</v>
      </c>
      <c r="D264" s="21" t="s">
        <v>7580</v>
      </c>
      <c r="E264" s="21" t="s">
        <v>7086</v>
      </c>
      <c r="F264" s="108" t="s">
        <v>7485</v>
      </c>
      <c r="G264" s="104" t="s">
        <v>8576</v>
      </c>
      <c r="H264" s="21"/>
      <c r="I264" s="109" t="s">
        <v>8577</v>
      </c>
      <c r="J264" t="n">
        <v>-19.8077840268095</v>
      </c>
      <c r="K264" t="n">
        <v>-43.951110050193797</v>
      </c>
      <c r="L264" t="n">
        <v>609856.69999999995</v>
      </c>
      <c r="M264" t="n">
        <v>7809448</v>
      </c>
    </row>
    <row r="265" ht="30" customHeight="1">
      <c r="A265" s="87" t="s">
        <v>8578</v>
      </c>
      <c r="B265" s="104" t="s">
        <v>8579</v>
      </c>
      <c r="C265" s="104" t="s">
        <v>8580</v>
      </c>
      <c r="D265" s="21" t="s">
        <v>8020</v>
      </c>
      <c r="E265" s="21" t="s">
        <v>6983</v>
      </c>
      <c r="F265" s="108" t="s">
        <v>7032</v>
      </c>
      <c r="G265" s="104" t="s">
        <v>8581</v>
      </c>
      <c r="H265" s="21"/>
      <c r="I265" s="109"/>
      <c r="J265" t="n">
        <v>-19.955219555555601</v>
      </c>
      <c r="K265" t="n">
        <v>-43.9659228518519</v>
      </c>
      <c r="L265" t="n">
        <v>608204.96788229502</v>
      </c>
      <c r="M265" t="n">
        <v>7793140.8123836098</v>
      </c>
    </row>
    <row r="266" ht="30" customHeight="1">
      <c r="A266" s="87" t="s">
        <v>8582</v>
      </c>
      <c r="B266" s="104" t="s">
        <v>8583</v>
      </c>
      <c r="C266" s="104" t="s">
        <v>8582</v>
      </c>
      <c r="D266" s="21" t="s">
        <v>8469</v>
      </c>
      <c r="E266" s="21" t="s">
        <v>7077</v>
      </c>
      <c r="F266" s="108" t="s">
        <v>7092</v>
      </c>
      <c r="G266" s="104" t="s">
        <v>8584</v>
      </c>
      <c r="H266" t="s">
        <v>8585</v>
      </c>
      <c r="I266" s="109" t="s">
        <v>8586</v>
      </c>
      <c r="J266" t="n">
        <v>-19.994116140897699</v>
      </c>
      <c r="K266" t="n">
        <v>-44.016828620966798</v>
      </c>
      <c r="L266" t="n">
        <v>602852.58033045498</v>
      </c>
      <c r="M266" t="n">
        <v>7788868.0476258304</v>
      </c>
    </row>
    <row r="267" ht="30" customHeight="1">
      <c r="A267" s="87" t="s">
        <v>8587</v>
      </c>
      <c r="B267" s="96" t="s">
        <v>8588</v>
      </c>
      <c r="C267" s="104" t="s">
        <v>8589</v>
      </c>
      <c r="D267" s="21" t="s">
        <v>8590</v>
      </c>
      <c r="E267" s="21" t="s">
        <v>7077</v>
      </c>
      <c r="F267" s="108" t="s">
        <v>7092</v>
      </c>
      <c r="G267" s="104" t="s">
        <v>8591</v>
      </c>
      <c r="H267" t="s">
        <v>8592</v>
      </c>
      <c r="I267" t="s">
        <v>8593</v>
      </c>
      <c r="J267" t="n">
        <v>-19.984069999999999</v>
      </c>
      <c r="K267" t="n">
        <v>-44.025084999999997</v>
      </c>
      <c r="L267" t="n">
        <v>601995.25824817398</v>
      </c>
      <c r="M267" t="n">
        <v>7789984.9237536704</v>
      </c>
    </row>
    <row r="268" ht="30" customHeight="1">
      <c r="A268" s="90" t="s">
        <v>8594</v>
      </c>
      <c r="B268" s="104" t="s">
        <v>8595</v>
      </c>
      <c r="C268" s="104" t="s">
        <v>8594</v>
      </c>
      <c r="D268" s="21" t="s">
        <v>7703</v>
      </c>
      <c r="E268" s="21" t="s">
        <v>6974</v>
      </c>
      <c r="F268" s="108" t="s">
        <v>7047</v>
      </c>
      <c r="G268" s="104" t="s">
        <v>8596</v>
      </c>
      <c r="H268" s="21"/>
      <c r="I268" s="109"/>
      <c r="J268" t="n">
        <v>-19.916536587500001</v>
      </c>
      <c r="K268" t="n">
        <v>-44.0214332125</v>
      </c>
      <c r="L268" t="n">
        <v>602420.89496561198</v>
      </c>
      <c r="M268" t="n">
        <v>7797456.7455242202</v>
      </c>
    </row>
    <row r="269" ht="30" customHeight="1">
      <c r="A269" s="90" t="s">
        <v>8597</v>
      </c>
      <c r="B269" s="104" t="s">
        <v>8598</v>
      </c>
      <c r="C269" s="104" t="s">
        <v>8597</v>
      </c>
      <c r="D269" s="21" t="s">
        <v>7463</v>
      </c>
      <c r="E269" s="21" t="s">
        <v>7077</v>
      </c>
      <c r="F269" s="108" t="s">
        <v>7105</v>
      </c>
      <c r="G269" s="104" t="s">
        <v>8599</v>
      </c>
      <c r="H269" s="21"/>
      <c r="I269" s="109" t="s">
        <v>8600</v>
      </c>
      <c r="J269" t="n">
        <v>-20.022764952543302</v>
      </c>
      <c r="K269" t="n">
        <v>-44.030910229040103</v>
      </c>
      <c r="L269" t="n">
        <v>601361</v>
      </c>
      <c r="M269" t="n">
        <v>7785706</v>
      </c>
    </row>
    <row r="270">
      <c r="A270" s="90" t="s">
        <v>8601</v>
      </c>
      <c r="B270" s="96" t="s">
        <v>8602</v>
      </c>
      <c r="C270" s="104" t="s">
        <v>8601</v>
      </c>
      <c r="D270" s="21" t="s">
        <v>8603</v>
      </c>
      <c r="E270" s="21" t="s">
        <v>7160</v>
      </c>
      <c r="F270" s="108" t="s">
        <v>8247</v>
      </c>
      <c r="G270" s="104" t="s">
        <v>8604</v>
      </c>
      <c r="J270" t="n">
        <v>-19.946950999999999</v>
      </c>
      <c r="K270" t="n">
        <v>-43.944192000000001</v>
      </c>
      <c r="L270" t="n">
        <v>610484.81743370695</v>
      </c>
      <c r="M270" t="n">
        <v>7794041.7696017399</v>
      </c>
    </row>
    <row r="271">
      <c r="A271" s="78" t="s">
        <v>8605</v>
      </c>
      <c r="B271" s="104" t="s">
        <v>8606</v>
      </c>
      <c r="C271" s="104" t="s">
        <v>8605</v>
      </c>
      <c r="D271" s="21" t="s">
        <v>7277</v>
      </c>
      <c r="E271" s="21" t="s">
        <v>7086</v>
      </c>
      <c r="F271" s="108" t="s">
        <v>7087</v>
      </c>
      <c r="G271" s="104" t="s">
        <v>8607</v>
      </c>
      <c r="I271" s="109"/>
      <c r="J271" t="n">
        <v>-19.816856333333298</v>
      </c>
      <c r="K271" t="n">
        <v>-43.975152733333303</v>
      </c>
      <c r="L271" t="n">
        <v>607332.25902995002</v>
      </c>
      <c r="M271" t="n">
        <v>7808459.71035136</v>
      </c>
    </row>
    <row r="272">
      <c r="A272" s="78" t="s">
        <v>8608</v>
      </c>
      <c r="B272" s="104" t="s">
        <v>8609</v>
      </c>
      <c r="C272" s="104" t="s">
        <v>8608</v>
      </c>
      <c r="D272" s="21" t="s">
        <v>7263</v>
      </c>
      <c r="E272" s="21" t="s">
        <v>6974</v>
      </c>
      <c r="F272" s="108" t="s">
        <v>7264</v>
      </c>
      <c r="G272" s="104" t="s">
        <v>8610</v>
      </c>
      <c r="I272" t="s">
        <v>8611</v>
      </c>
      <c r="J272" t="n">
        <v>-19.916514977011499</v>
      </c>
      <c r="K272" t="n">
        <v>-43.985787701149398</v>
      </c>
      <c r="L272" t="n">
        <v>606152.01377374097</v>
      </c>
      <c r="M272" t="n">
        <v>7797437.0318276295</v>
      </c>
    </row>
    <row r="273">
      <c r="A273" s="78" t="s">
        <v>8612</v>
      </c>
      <c r="B273" s="96" t="s">
        <v>8613</v>
      </c>
      <c r="C273" s="104" t="s">
        <v>8612</v>
      </c>
      <c r="D273" s="21" t="s">
        <v>7636</v>
      </c>
      <c r="E273" s="21" t="s">
        <v>6997</v>
      </c>
      <c r="F273" s="108" t="s">
        <v>7152</v>
      </c>
      <c r="G273" s="104" t="s">
        <v>8614</v>
      </c>
      <c r="J273" t="n">
        <v>-19.874414823529399</v>
      </c>
      <c r="K273" t="n">
        <v>-43.9818598823529</v>
      </c>
      <c r="L273" t="n">
        <v>606591.32909884397</v>
      </c>
      <c r="M273" t="n">
        <v>7802093.8651864696</v>
      </c>
    </row>
    <row r="274">
      <c r="A274" s="78" t="s">
        <v>8615</v>
      </c>
      <c r="B274" s="104" t="s">
        <v>8616</v>
      </c>
      <c r="C274" s="104" t="s">
        <v>8615</v>
      </c>
      <c r="D274" s="21" t="s">
        <v>8617</v>
      </c>
      <c r="E274" s="21" t="s">
        <v>6974</v>
      </c>
      <c r="F274" s="108" t="s">
        <v>7264</v>
      </c>
      <c r="G274" s="104" t="s">
        <v>8618</v>
      </c>
      <c r="I274" s="109"/>
      <c r="J274" t="n">
        <v>-19.921648296610201</v>
      </c>
      <c r="K274" t="n">
        <v>-43.986757254237297</v>
      </c>
      <c r="L274" t="n">
        <v>606047.10457108403</v>
      </c>
      <c r="M274" t="n">
        <v>7796869.5268737804</v>
      </c>
    </row>
    <row r="275" ht="30" customHeight="1">
      <c r="A275" s="78" t="s">
        <v>8619</v>
      </c>
      <c r="B275" s="104" t="s">
        <v>8620</v>
      </c>
      <c r="C275" s="104" t="s">
        <v>8619</v>
      </c>
      <c r="D275" s="21" t="s">
        <v>7862</v>
      </c>
      <c r="E275" s="21" t="s">
        <v>7077</v>
      </c>
      <c r="F275" s="108" t="s">
        <v>7105</v>
      </c>
      <c r="G275" s="104" t="s">
        <v>7863</v>
      </c>
      <c r="I275" t="s">
        <v>8621</v>
      </c>
      <c r="J275" t="n">
        <v>-20.010857117647099</v>
      </c>
      <c r="K275" t="n">
        <v>-44.036143764705898</v>
      </c>
      <c r="L275" t="n">
        <v>600821.15287735895</v>
      </c>
      <c r="M275" t="n">
        <v>7787027.0293807099</v>
      </c>
    </row>
    <row r="276">
      <c r="A276" s="78" t="s">
        <v>8622</v>
      </c>
      <c r="B276" s="96" t="s">
        <v>8623</v>
      </c>
      <c r="C276" s="104" t="s">
        <v>8622</v>
      </c>
      <c r="D276" s="21" t="s">
        <v>8624</v>
      </c>
      <c r="E276" s="21" t="s">
        <v>7077</v>
      </c>
      <c r="F276" s="108" t="s">
        <v>7078</v>
      </c>
      <c r="G276" s="104" t="s">
        <v>8625</v>
      </c>
      <c r="J276" t="n">
        <v>-19.9750710839695</v>
      </c>
      <c r="K276" t="n">
        <v>-44.049804923664098</v>
      </c>
      <c r="L276" t="n">
        <v>599414.52728503104</v>
      </c>
      <c r="M276" t="n">
        <v>7790995.6982588004</v>
      </c>
    </row>
    <row r="277" ht="30" customHeight="1">
      <c r="A277" s="78" t="s">
        <v>8626</v>
      </c>
      <c r="B277" s="104" t="s">
        <v>8627</v>
      </c>
      <c r="C277" s="104" t="s">
        <v>8628</v>
      </c>
      <c r="D277" s="21" t="s">
        <v>7580</v>
      </c>
      <c r="E277" s="21" t="s">
        <v>7086</v>
      </c>
      <c r="F277" s="108" t="s">
        <v>7485</v>
      </c>
      <c r="G277" s="104" t="s">
        <v>8626</v>
      </c>
      <c r="I277" s="109" t="s">
        <v>8629</v>
      </c>
      <c r="J277" t="n">
        <v>-19.809210291999999</v>
      </c>
      <c r="K277" t="n">
        <v>-43.955840195999997</v>
      </c>
      <c r="L277" t="n">
        <v>609360.26082055096</v>
      </c>
      <c r="M277" t="n">
        <v>7809293.52961036</v>
      </c>
    </row>
    <row r="278">
      <c r="A278" s="78" t="s">
        <v>8630</v>
      </c>
      <c r="B278" s="104" t="s">
        <v>8631</v>
      </c>
      <c r="C278" s="104" t="s">
        <v>8630</v>
      </c>
      <c r="D278" s="21" t="s">
        <v>8632</v>
      </c>
      <c r="E278" s="21" t="s">
        <v>6974</v>
      </c>
      <c r="F278" s="108" t="s">
        <v>7047</v>
      </c>
      <c r="G278" s="104" t="s">
        <v>8633</v>
      </c>
      <c r="J278" t="n">
        <v>-19.907052952381001</v>
      </c>
      <c r="K278" t="n">
        <v>-44.0154778333333</v>
      </c>
      <c r="L278" t="n">
        <v>603050.39997625502</v>
      </c>
      <c r="M278" t="n">
        <v>7798502.6758942604</v>
      </c>
    </row>
    <row r="279">
      <c r="A279" s="69" t="s">
        <v>8634</v>
      </c>
      <c r="B279" s="96" t="s">
        <v>8635</v>
      </c>
      <c r="C279" s="95" t="s">
        <v>8634</v>
      </c>
      <c r="D279" s="21" t="s">
        <v>7696</v>
      </c>
      <c r="E279" s="21" t="s">
        <v>7077</v>
      </c>
      <c r="F279" s="108" t="s">
        <v>7221</v>
      </c>
      <c r="G279" s="104" t="s">
        <v>8636</v>
      </c>
      <c r="I279" s="21" t="s">
        <v>8637</v>
      </c>
      <c r="J279" t="n">
        <v>-19.995546749999999</v>
      </c>
      <c r="K279" t="n">
        <v>-43.971423250000001</v>
      </c>
      <c r="L279" t="n">
        <v>607601.98872555105</v>
      </c>
      <c r="M279" t="n">
        <v>7788681.1985102296</v>
      </c>
    </row>
    <row r="280">
      <c r="A280" s="78" t="s">
        <v>8638</v>
      </c>
      <c r="B280" s="104" t="s">
        <v>8639</v>
      </c>
      <c r="C280" s="104" t="s">
        <v>8640</v>
      </c>
      <c r="D280" s="21" t="s">
        <v>7031</v>
      </c>
      <c r="E280" s="21" t="s">
        <v>6983</v>
      </c>
      <c r="F280" s="108" t="s">
        <v>7032</v>
      </c>
      <c r="G280" s="104" t="s">
        <v>8638</v>
      </c>
      <c r="J280" t="n">
        <v>-19.969521249055301</v>
      </c>
      <c r="K280" t="n">
        <v>-43.969036563760703</v>
      </c>
      <c r="L280" t="n">
        <v>607869.4</v>
      </c>
      <c r="M280" t="n">
        <v>7791560</v>
      </c>
    </row>
    <row r="281" ht="30" customHeight="1">
      <c r="A281" s="78" t="s">
        <v>8641</v>
      </c>
      <c r="B281" s="104" t="s">
        <v>8642</v>
      </c>
      <c r="C281" s="104" t="s">
        <v>8643</v>
      </c>
      <c r="D281" s="21" t="s">
        <v>7031</v>
      </c>
      <c r="E281" s="21" t="s">
        <v>6983</v>
      </c>
      <c r="F281" s="108" t="s">
        <v>7032</v>
      </c>
      <c r="G281" s="104" t="s">
        <v>8641</v>
      </c>
      <c r="I281" s="109"/>
      <c r="J281" t="n">
        <v>-19.970396562959401</v>
      </c>
      <c r="K281" t="n">
        <v>-43.968840694006403</v>
      </c>
      <c r="L281" t="n">
        <v>607889.30000000005</v>
      </c>
      <c r="M281" t="n">
        <v>7791463</v>
      </c>
    </row>
    <row r="282">
      <c r="A282" s="79" t="s">
        <v>8644</v>
      </c>
      <c r="B282" s="96" t="s">
        <v>8645</v>
      </c>
      <c r="C282" s="104" t="s">
        <v>8646</v>
      </c>
      <c r="D282" s="21" t="s">
        <v>7031</v>
      </c>
      <c r="E282" s="21" t="s">
        <v>6983</v>
      </c>
      <c r="F282" s="108" t="s">
        <v>7032</v>
      </c>
      <c r="G282" s="104" t="s">
        <v>8644</v>
      </c>
      <c r="J282" t="n">
        <v>-19.9709610897796</v>
      </c>
      <c r="K282" t="n">
        <v>-43.971141169855997</v>
      </c>
      <c r="L282" t="n">
        <v>607648.19999999995</v>
      </c>
      <c r="M282" t="n">
        <v>7791402</v>
      </c>
    </row>
    <row r="283" ht="30" customHeight="1">
      <c r="A283" s="79" t="s">
        <v>8647</v>
      </c>
      <c r="B283" s="104" t="s">
        <v>8648</v>
      </c>
      <c r="C283" s="104" t="s">
        <v>8647</v>
      </c>
      <c r="D283" s="21" t="s">
        <v>7399</v>
      </c>
      <c r="E283" s="21" t="s">
        <v>7077</v>
      </c>
      <c r="F283" s="108" t="s">
        <v>7105</v>
      </c>
      <c r="G283" s="104" t="s">
        <v>8649</v>
      </c>
      <c r="I283" t="s">
        <v>8650</v>
      </c>
      <c r="J283" t="n">
        <v>-19.9902071666667</v>
      </c>
      <c r="K283" t="n">
        <v>-44.0314040833333</v>
      </c>
      <c r="L283" t="n">
        <v>601330.184146318</v>
      </c>
      <c r="M283" t="n">
        <v>7789309.5435730703</v>
      </c>
    </row>
    <row r="284">
      <c r="A284" s="79" t="s">
        <v>8651</v>
      </c>
      <c r="B284" s="104" t="s">
        <v>8652</v>
      </c>
      <c r="C284" s="104" t="s">
        <v>8651</v>
      </c>
      <c r="D284" s="21" t="s">
        <v>7980</v>
      </c>
      <c r="E284" s="21" t="s">
        <v>7160</v>
      </c>
      <c r="F284" s="108" t="s">
        <v>7161</v>
      </c>
      <c r="G284" s="104" t="s">
        <v>8653</v>
      </c>
      <c r="J284" t="n">
        <v>-19.926126142076502</v>
      </c>
      <c r="K284" t="n">
        <v>-43.935374147540998</v>
      </c>
      <c r="L284" t="n">
        <v>611422.24583648006</v>
      </c>
      <c r="M284" t="n">
        <v>7796340.7132615503</v>
      </c>
    </row>
    <row r="285">
      <c r="A285" s="78" t="s">
        <v>8654</v>
      </c>
      <c r="B285" s="96" t="s">
        <v>8655</v>
      </c>
      <c r="C285" s="104" t="s">
        <v>8656</v>
      </c>
      <c r="D285" s="21" t="s">
        <v>7801</v>
      </c>
      <c r="E285" s="21" t="s">
        <v>7015</v>
      </c>
      <c r="F285" s="108" t="s">
        <v>7016</v>
      </c>
      <c r="G285" s="104" t="s">
        <v>8657</v>
      </c>
      <c r="I285" s="109" t="s">
        <v>8658</v>
      </c>
      <c r="J285" t="n">
        <v>-19.888205403614499</v>
      </c>
      <c r="K285" t="n">
        <v>-43.899272963855402</v>
      </c>
      <c r="L285" t="n">
        <v>615228.35519994795</v>
      </c>
      <c r="M285" t="n">
        <v>7800513.2400423801</v>
      </c>
    </row>
    <row r="286">
      <c r="A286" s="78" t="s">
        <v>8659</v>
      </c>
      <c r="B286" s="104" t="s">
        <v>8660</v>
      </c>
      <c r="C286" s="104" t="s">
        <v>8659</v>
      </c>
      <c r="D286" s="21" t="s">
        <v>7284</v>
      </c>
      <c r="E286" s="21" t="s">
        <v>7006</v>
      </c>
      <c r="F286" s="108" t="s">
        <v>7007</v>
      </c>
      <c r="G286" s="104" t="s">
        <v>8661</v>
      </c>
      <c r="J286" t="n">
        <v>-19.902349085603099</v>
      </c>
      <c r="K286" t="n">
        <v>-43.936719101167299</v>
      </c>
      <c r="L286" t="n">
        <v>611298.10803611297</v>
      </c>
      <c r="M286" t="n">
        <v>7798973.09845124</v>
      </c>
    </row>
    <row r="287" ht="30" customHeight="1">
      <c r="A287" s="78" t="s">
        <v>8662</v>
      </c>
      <c r="B287" s="104" t="s">
        <v>8663</v>
      </c>
      <c r="C287" s="104" t="s">
        <v>8662</v>
      </c>
      <c r="D287" s="21" t="s">
        <v>8541</v>
      </c>
      <c r="E287" s="21" t="s">
        <v>6997</v>
      </c>
      <c r="F287" s="108" t="s">
        <v>7038</v>
      </c>
      <c r="G287" s="104" t="s">
        <v>8664</v>
      </c>
      <c r="I287" s="109"/>
      <c r="J287" t="n">
        <v>-19.8475741912284</v>
      </c>
      <c r="K287" t="n">
        <v>-43.979208067453101</v>
      </c>
      <c r="L287" t="n">
        <v>606887</v>
      </c>
      <c r="M287" t="n">
        <v>7805063</v>
      </c>
    </row>
    <row r="288">
      <c r="A288" s="78" t="s">
        <v>8665</v>
      </c>
      <c r="B288" s="96" t="s">
        <v>8666</v>
      </c>
      <c r="C288" s="104" t="s">
        <v>8665</v>
      </c>
      <c r="D288" s="21" t="s">
        <v>8667</v>
      </c>
      <c r="E288" s="21" t="s">
        <v>7006</v>
      </c>
      <c r="F288" s="108" t="s">
        <v>7007</v>
      </c>
      <c r="G288" s="104" t="s">
        <v>8668</v>
      </c>
      <c r="J288" t="n">
        <v>-19.907744000000001</v>
      </c>
      <c r="K288" t="n">
        <v>-43.940134999999998</v>
      </c>
      <c r="L288" t="n">
        <v>610936.75910384301</v>
      </c>
      <c r="M288" t="n">
        <v>7798378.2802219801</v>
      </c>
    </row>
    <row r="289" ht="30" customHeight="1">
      <c r="A289" s="78" t="s">
        <v>8669</v>
      </c>
      <c r="B289" s="104" t="s">
        <v>8670</v>
      </c>
      <c r="C289" s="104" t="s">
        <v>8669</v>
      </c>
      <c r="D289" s="21" t="s">
        <v>7284</v>
      </c>
      <c r="E289" s="21" t="s">
        <v>7006</v>
      </c>
      <c r="F289" s="108" t="s">
        <v>7007</v>
      </c>
      <c r="G289" s="104" t="s">
        <v>8671</v>
      </c>
      <c r="J289" t="n">
        <v>-19.901669576051798</v>
      </c>
      <c r="K289" t="n">
        <v>-43.937308106796102</v>
      </c>
      <c r="L289" t="n">
        <v>611236.92373179295</v>
      </c>
      <c r="M289" t="n">
        <v>7799048.6916214498</v>
      </c>
    </row>
    <row r="290">
      <c r="A290" s="78" t="s">
        <v>8672</v>
      </c>
      <c r="B290" s="104" t="s">
        <v>8673</v>
      </c>
      <c r="C290" s="104" t="s">
        <v>8672</v>
      </c>
      <c r="D290" s="21" t="s">
        <v>7213</v>
      </c>
      <c r="E290" s="21" t="s">
        <v>7015</v>
      </c>
      <c r="F290" s="108" t="s">
        <v>7016</v>
      </c>
      <c r="G290" s="104" t="s">
        <v>8674</v>
      </c>
      <c r="I290" t="s">
        <v>8675</v>
      </c>
      <c r="J290" t="n">
        <v>-19.8939013773585</v>
      </c>
      <c r="K290" t="n">
        <v>-43.891504698113202</v>
      </c>
      <c r="L290" t="n">
        <v>616037.49538720795</v>
      </c>
      <c r="M290" t="n">
        <v>7799877.50537429</v>
      </c>
    </row>
    <row r="291" ht="30" customHeight="1">
      <c r="A291" s="78" t="s">
        <v>8676</v>
      </c>
      <c r="B291" s="96" t="s">
        <v>8677</v>
      </c>
      <c r="C291" s="104" t="s">
        <v>8676</v>
      </c>
      <c r="D291" s="21" t="s">
        <v>7893</v>
      </c>
      <c r="E291" s="21" t="s">
        <v>7077</v>
      </c>
      <c r="F291" s="108" t="s">
        <v>7105</v>
      </c>
      <c r="G291" s="104" t="s">
        <v>8678</v>
      </c>
      <c r="I291" t="s">
        <v>8679</v>
      </c>
      <c r="J291" t="n">
        <v>-20.0048987971015</v>
      </c>
      <c r="K291" t="n">
        <v>-44.022603130434803</v>
      </c>
      <c r="L291" t="n">
        <v>602241.48278353398</v>
      </c>
      <c r="M291" t="n">
        <v>7787678.2395276204</v>
      </c>
    </row>
    <row r="292">
      <c r="A292" s="78" t="s">
        <v>8680</v>
      </c>
      <c r="B292" s="104" t="s">
        <v>8681</v>
      </c>
      <c r="C292" s="104" t="s">
        <v>8682</v>
      </c>
      <c r="D292" s="21" t="s">
        <v>7031</v>
      </c>
      <c r="E292" s="21" t="s">
        <v>6983</v>
      </c>
      <c r="F292" s="108" t="s">
        <v>7032</v>
      </c>
      <c r="G292" s="104" t="s">
        <v>8680</v>
      </c>
      <c r="I292" s="109"/>
      <c r="J292" t="n">
        <v>-19.977323915887901</v>
      </c>
      <c r="K292" t="n">
        <v>-43.969446514018699</v>
      </c>
      <c r="L292" t="n">
        <v>607821.19729845703</v>
      </c>
      <c r="M292" t="n">
        <v>7790696.7151913997</v>
      </c>
    </row>
    <row r="293" ht="30" customHeight="1">
      <c r="A293" s="78" t="s">
        <v>8683</v>
      </c>
      <c r="B293" s="104" t="s">
        <v>8684</v>
      </c>
      <c r="C293" s="104" t="s">
        <v>8685</v>
      </c>
      <c r="D293" s="21" t="s">
        <v>7031</v>
      </c>
      <c r="E293" s="21" t="s">
        <v>6983</v>
      </c>
      <c r="F293" s="108" t="s">
        <v>7032</v>
      </c>
      <c r="G293" s="104" t="s">
        <v>8683</v>
      </c>
      <c r="I293" s="109"/>
      <c r="J293" t="n">
        <v>-19.976581975947902</v>
      </c>
      <c r="K293" t="n">
        <v>-43.968159185197301</v>
      </c>
      <c r="L293" t="n">
        <v>607956.4</v>
      </c>
      <c r="M293" t="n">
        <v>7790778</v>
      </c>
    </row>
    <row r="294">
      <c r="A294" s="78" t="s">
        <v>8686</v>
      </c>
      <c r="B294" s="96" t="s">
        <v>8687</v>
      </c>
      <c r="C294" s="104" t="s">
        <v>8688</v>
      </c>
      <c r="D294" s="21" t="s">
        <v>7031</v>
      </c>
      <c r="E294" s="21" t="s">
        <v>6983</v>
      </c>
      <c r="F294" s="108" t="s">
        <v>7032</v>
      </c>
      <c r="G294" s="104" t="s">
        <v>8686</v>
      </c>
      <c r="J294" t="n">
        <v>-19.969488772277199</v>
      </c>
      <c r="K294" t="n">
        <v>-43.9636192772277</v>
      </c>
      <c r="L294" t="n">
        <v>608436.278896695</v>
      </c>
      <c r="M294" t="n">
        <v>7791560.1013289802</v>
      </c>
    </row>
    <row r="295">
      <c r="A295" s="79" t="s">
        <v>8689</v>
      </c>
      <c r="B295" s="104" t="s">
        <v>8690</v>
      </c>
      <c r="C295" s="104" t="s">
        <v>8689</v>
      </c>
      <c r="D295" s="21" t="s">
        <v>7119</v>
      </c>
      <c r="E295" s="21" t="s">
        <v>7077</v>
      </c>
      <c r="F295" s="108" t="s">
        <v>7105</v>
      </c>
      <c r="G295" s="104" t="s">
        <v>8691</v>
      </c>
      <c r="I295" t="s">
        <v>8692</v>
      </c>
      <c r="J295" t="n">
        <v>-19.9955569886936</v>
      </c>
      <c r="K295" t="n">
        <v>-44.0323291095889</v>
      </c>
      <c r="L295" t="n">
        <v>601229.98569671297</v>
      </c>
      <c r="M295" t="n">
        <v>7788718.0266613299</v>
      </c>
    </row>
    <row r="296">
      <c r="A296" s="78" t="s">
        <v>8693</v>
      </c>
      <c r="B296" s="104" t="s">
        <v>8694</v>
      </c>
      <c r="C296" s="104" t="s">
        <v>8695</v>
      </c>
      <c r="D296" s="21" t="s">
        <v>7031</v>
      </c>
      <c r="E296" s="21" t="s">
        <v>6983</v>
      </c>
      <c r="F296" s="108" t="s">
        <v>7032</v>
      </c>
      <c r="G296" s="104" t="s">
        <v>8696</v>
      </c>
      <c r="J296" t="n">
        <v>-19.969163960187402</v>
      </c>
      <c r="K296" t="n">
        <v>-43.970139559719001</v>
      </c>
      <c r="L296" t="n">
        <v>607754.22701917705</v>
      </c>
      <c r="M296" t="n">
        <v>7791600.2513355603</v>
      </c>
    </row>
    <row r="297">
      <c r="A297" s="78" t="s">
        <v>8697</v>
      </c>
      <c r="B297" s="96" t="s">
        <v>8698</v>
      </c>
      <c r="C297" s="104" t="s">
        <v>8699</v>
      </c>
      <c r="D297" s="21" t="s">
        <v>8700</v>
      </c>
      <c r="E297" s="21" t="s">
        <v>6997</v>
      </c>
      <c r="F297" s="108" t="s">
        <v>7152</v>
      </c>
      <c r="G297" s="104" t="s">
        <v>8701</v>
      </c>
      <c r="I297" s="109" t="s">
        <v>8702</v>
      </c>
      <c r="J297" t="n">
        <v>-19.8843483913043</v>
      </c>
      <c r="K297" t="n">
        <v>-43.984631478260901</v>
      </c>
      <c r="L297" t="n">
        <v>606294.51553265599</v>
      </c>
      <c r="M297" t="n">
        <v>7800996.2486529704</v>
      </c>
    </row>
    <row r="298" ht="30" customHeight="1">
      <c r="A298" s="69" t="s">
        <v>8703</v>
      </c>
      <c r="B298" s="104" t="s">
        <v>8704</v>
      </c>
      <c r="C298" s="104" t="s">
        <v>8703</v>
      </c>
      <c r="D298" s="21" t="s">
        <v>7031</v>
      </c>
      <c r="E298" s="21" t="s">
        <v>6983</v>
      </c>
      <c r="F298" s="108" t="s">
        <v>7032</v>
      </c>
      <c r="G298" s="104" t="s">
        <v>8705</v>
      </c>
      <c r="J298" t="n">
        <v>-19.9770103470678</v>
      </c>
      <c r="K298" t="n">
        <v>-43.965691604129297</v>
      </c>
      <c r="L298" t="n">
        <v>608214.30000000005</v>
      </c>
      <c r="M298" t="n">
        <v>7790729</v>
      </c>
    </row>
    <row r="299" ht="30" customHeight="1">
      <c r="A299" s="78" t="s">
        <v>8706</v>
      </c>
      <c r="B299" s="104" t="s">
        <v>8707</v>
      </c>
      <c r="C299" s="104" t="s">
        <v>8708</v>
      </c>
      <c r="D299" s="21" t="s">
        <v>7031</v>
      </c>
      <c r="E299" s="21" t="s">
        <v>6983</v>
      </c>
      <c r="F299" s="108" t="s">
        <v>7032</v>
      </c>
      <c r="G299" s="104" t="s">
        <v>8706</v>
      </c>
      <c r="I299" s="109"/>
      <c r="J299" t="n">
        <v>-19.9714851261656</v>
      </c>
      <c r="K299" t="n">
        <v>-43.974257124555898</v>
      </c>
      <c r="L299" t="n">
        <v>607321.80000000005</v>
      </c>
      <c r="M299" t="n">
        <v>7791346</v>
      </c>
    </row>
    <row r="300" ht="30" customHeight="1">
      <c r="A300" s="79" t="s">
        <v>8709</v>
      </c>
      <c r="B300" s="96" t="s">
        <v>8710</v>
      </c>
      <c r="C300" s="104" t="s">
        <v>8711</v>
      </c>
      <c r="D300" s="21" t="s">
        <v>7031</v>
      </c>
      <c r="E300" s="21" t="s">
        <v>6983</v>
      </c>
      <c r="F300" s="108" t="s">
        <v>7032</v>
      </c>
      <c r="G300" s="104" t="s">
        <v>8709</v>
      </c>
      <c r="J300" t="n">
        <v>-19.975947946645402</v>
      </c>
      <c r="K300" t="n">
        <v>-43.969448742378297</v>
      </c>
      <c r="L300" t="n">
        <v>607821.9</v>
      </c>
      <c r="M300" t="n">
        <v>7790849</v>
      </c>
    </row>
    <row r="301" ht="30" customHeight="1">
      <c r="A301" s="79" t="s">
        <v>8712</v>
      </c>
      <c r="B301" s="104" t="s">
        <v>8713</v>
      </c>
      <c r="C301" s="104" t="s">
        <v>8714</v>
      </c>
      <c r="D301" s="21" t="s">
        <v>7213</v>
      </c>
      <c r="E301" s="21" t="s">
        <v>7015</v>
      </c>
      <c r="F301" s="108" t="s">
        <v>7016</v>
      </c>
      <c r="G301" s="104" t="s">
        <v>8330</v>
      </c>
      <c r="I301" t="s">
        <v>8332</v>
      </c>
      <c r="J301" t="n">
        <v>-19.892002913043498</v>
      </c>
      <c r="K301" t="n">
        <v>-43.890411173913002</v>
      </c>
      <c r="L301" t="n">
        <v>616153.36148987396</v>
      </c>
      <c r="M301" t="n">
        <v>7800086.8632618496</v>
      </c>
    </row>
    <row r="302">
      <c r="A302" s="89" t="s">
        <v>8715</v>
      </c>
      <c r="B302" s="104" t="s">
        <v>8716</v>
      </c>
      <c r="C302" s="104" t="s">
        <v>8715</v>
      </c>
      <c r="D302" s="21" t="s">
        <v>7031</v>
      </c>
      <c r="E302" s="21" t="s">
        <v>6983</v>
      </c>
      <c r="F302" s="108" t="s">
        <v>7032</v>
      </c>
      <c r="G302" s="104" t="s">
        <v>8715</v>
      </c>
      <c r="J302" t="n">
        <v>-19.970482123652399</v>
      </c>
      <c r="K302" t="n">
        <v>-43.974248321037898</v>
      </c>
      <c r="L302" t="n">
        <v>607323.4</v>
      </c>
      <c r="M302" t="n">
        <v>7791457</v>
      </c>
    </row>
    <row r="303" ht="30" customHeight="1">
      <c r="A303" s="90" t="s">
        <v>8717</v>
      </c>
      <c r="B303" s="96" t="s">
        <v>8718</v>
      </c>
      <c r="C303" s="104" t="s">
        <v>8717</v>
      </c>
      <c r="D303" s="21" t="s">
        <v>7104</v>
      </c>
      <c r="E303" s="21" t="s">
        <v>7077</v>
      </c>
      <c r="F303" s="108" t="s">
        <v>7105</v>
      </c>
      <c r="G303" s="104" t="s">
        <v>8719</v>
      </c>
      <c r="I303" s="109" t="s">
        <v>8720</v>
      </c>
      <c r="J303" t="n">
        <v>-19.9962973065693</v>
      </c>
      <c r="K303" t="n">
        <v>-44.033160686131403</v>
      </c>
      <c r="L303" t="n">
        <v>601142.51361915795</v>
      </c>
      <c r="M303" t="n">
        <v>7788636.5963875204</v>
      </c>
    </row>
    <row r="304" ht="30" customHeight="1">
      <c r="A304" s="89" t="s">
        <v>8721</v>
      </c>
      <c r="B304" s="104" t="s">
        <v>8722</v>
      </c>
      <c r="C304" s="104" t="s">
        <v>8721</v>
      </c>
      <c r="D304" s="21" t="s">
        <v>7066</v>
      </c>
      <c r="E304" s="21" t="s">
        <v>6997</v>
      </c>
      <c r="F304" s="108" t="s">
        <v>7061</v>
      </c>
      <c r="G304" s="104" t="s">
        <v>8723</v>
      </c>
      <c r="J304" t="n">
        <v>-19.86029216</v>
      </c>
      <c r="K304" t="n">
        <v>-43.934784839999999</v>
      </c>
      <c r="L304" t="n">
        <v>611530.025251435</v>
      </c>
      <c r="M304" t="n">
        <v>7803626.3980584498</v>
      </c>
    </row>
    <row r="305" ht="30" customHeight="1">
      <c r="A305" s="78" t="s">
        <v>8724</v>
      </c>
      <c r="B305" s="104" t="s">
        <v>8725</v>
      </c>
      <c r="C305" s="104" t="s">
        <v>8724</v>
      </c>
      <c r="D305" s="21" t="s">
        <v>8524</v>
      </c>
      <c r="E305" s="21" t="s">
        <v>7006</v>
      </c>
      <c r="F305" s="108" t="s">
        <v>7348</v>
      </c>
      <c r="G305" s="104" t="s">
        <v>8726</v>
      </c>
      <c r="I305" s="109"/>
      <c r="J305" t="n">
        <v>-19.8478326550966</v>
      </c>
      <c r="K305" t="n">
        <v>-43.911360129281199</v>
      </c>
      <c r="L305" t="n">
        <v>613991.76191200304</v>
      </c>
      <c r="M305" t="n">
        <v>7804989.6726549501</v>
      </c>
    </row>
    <row r="306" ht="30" customHeight="1">
      <c r="A306" s="78" t="s">
        <v>8727</v>
      </c>
      <c r="B306" s="96" t="s">
        <v>8728</v>
      </c>
      <c r="C306" s="104" t="s">
        <v>8727</v>
      </c>
      <c r="D306" s="21" t="s">
        <v>7862</v>
      </c>
      <c r="E306" s="21" t="s">
        <v>7077</v>
      </c>
      <c r="F306" s="108" t="s">
        <v>7105</v>
      </c>
      <c r="G306" s="104" t="s">
        <v>8729</v>
      </c>
      <c r="I306" t="s">
        <v>8730</v>
      </c>
      <c r="J306" t="n">
        <v>-20.007011408759102</v>
      </c>
      <c r="K306" t="n">
        <v>-44.039552788321203</v>
      </c>
      <c r="L306" t="n">
        <v>600466.97830485401</v>
      </c>
      <c r="M306" t="n">
        <v>7787454.6915546497</v>
      </c>
    </row>
    <row r="307" ht="30" customHeight="1">
      <c r="A307" s="78" t="s">
        <v>8731</v>
      </c>
      <c r="B307" s="104" t="s">
        <v>8732</v>
      </c>
      <c r="C307" s="104" t="s">
        <v>8733</v>
      </c>
      <c r="D307" s="21" t="s">
        <v>7031</v>
      </c>
      <c r="E307" s="21" t="s">
        <v>6983</v>
      </c>
      <c r="F307" s="108" t="s">
        <v>7032</v>
      </c>
      <c r="G307" s="104" t="s">
        <v>8731</v>
      </c>
    </row>
    <row r="308" ht="30" customHeight="1">
      <c r="A308" s="90" t="s">
        <v>8734</v>
      </c>
      <c r="B308" s="104" t="s">
        <v>8735</v>
      </c>
      <c r="C308" s="104" t="s">
        <v>8734</v>
      </c>
      <c r="D308" s="21" t="s">
        <v>7696</v>
      </c>
      <c r="E308" s="21" t="s">
        <v>7077</v>
      </c>
      <c r="F308" s="108" t="s">
        <v>7221</v>
      </c>
      <c r="G308" s="104" t="s">
        <v>8736</v>
      </c>
      <c r="I308" s="109" t="s">
        <v>8737</v>
      </c>
      <c r="J308" t="n">
        <v>-19.999633551724099</v>
      </c>
      <c r="K308" t="n">
        <v>-43.973704931034497</v>
      </c>
      <c r="L308" t="n">
        <v>607360.50571162195</v>
      </c>
      <c r="M308" t="n">
        <v>7788230.3610661104</v>
      </c>
    </row>
    <row r="309" ht="30" customHeight="1">
      <c r="A309" s="89" t="s">
        <v>8738</v>
      </c>
      <c r="B309" s="96" t="s">
        <v>8739</v>
      </c>
      <c r="C309" s="104" t="s">
        <v>8738</v>
      </c>
      <c r="D309" s="21" t="s">
        <v>7399</v>
      </c>
      <c r="E309" s="21" t="s">
        <v>7077</v>
      </c>
      <c r="F309" s="108" t="s">
        <v>7105</v>
      </c>
      <c r="G309" s="104" t="s">
        <v>8740</v>
      </c>
      <c r="I309" t="s">
        <v>8741</v>
      </c>
      <c r="J309" t="n">
        <v>-19.9925597391304</v>
      </c>
      <c r="K309" t="n">
        <v>-44.027480144927502</v>
      </c>
      <c r="L309" t="n">
        <v>601739.20840805396</v>
      </c>
      <c r="M309" t="n">
        <v>7789046.8016053904</v>
      </c>
    </row>
    <row r="310" ht="30" customHeight="1">
      <c r="A310" s="90" t="s">
        <v>8742</v>
      </c>
      <c r="B310" s="104" t="s">
        <v>8743</v>
      </c>
      <c r="C310" s="104" t="s">
        <v>8742</v>
      </c>
      <c r="D310" s="21" t="s">
        <v>8744</v>
      </c>
      <c r="E310" s="21" t="s">
        <v>7077</v>
      </c>
      <c r="F310" s="108" t="s">
        <v>7105</v>
      </c>
      <c r="G310" s="104" t="s">
        <v>8745</v>
      </c>
      <c r="I310" s="109" t="s">
        <v>8746</v>
      </c>
      <c r="J310" t="n">
        <v>-20.0006059305943</v>
      </c>
      <c r="K310" t="n">
        <v>-44.0412518634704</v>
      </c>
      <c r="L310" t="n">
        <v>600293.293103448</v>
      </c>
      <c r="M310" t="n">
        <v>7788164.6172413798</v>
      </c>
    </row>
    <row r="311">
      <c r="A311" s="78" t="s">
        <v>8747</v>
      </c>
      <c r="B311" s="104" t="s">
        <v>8748</v>
      </c>
      <c r="C311" s="104" t="s">
        <v>8749</v>
      </c>
      <c r="D311" s="21" t="s">
        <v>7031</v>
      </c>
      <c r="E311" s="21" t="s">
        <v>6983</v>
      </c>
      <c r="F311" s="108" t="s">
        <v>7032</v>
      </c>
      <c r="G311" s="104" t="s">
        <v>8747</v>
      </c>
      <c r="I311" s="109"/>
      <c r="J311" t="n">
        <v>-19.979029424379199</v>
      </c>
      <c r="K311" t="n">
        <v>-43.9767007020316</v>
      </c>
      <c r="L311" t="n">
        <v>607061.01670075196</v>
      </c>
      <c r="M311" t="n">
        <v>7790512.6092182202</v>
      </c>
    </row>
    <row r="312" ht="30" customHeight="1">
      <c r="A312" s="78" t="s">
        <v>8750</v>
      </c>
      <c r="B312" s="96" t="s">
        <v>8751</v>
      </c>
      <c r="C312" s="104" t="s">
        <v>8750</v>
      </c>
      <c r="D312" s="21" t="s">
        <v>7284</v>
      </c>
      <c r="E312" s="21" t="s">
        <v>7006</v>
      </c>
      <c r="F312" s="108" t="s">
        <v>7007</v>
      </c>
      <c r="G312" s="104" t="s">
        <v>8752</v>
      </c>
      <c r="I312" s="109"/>
      <c r="J312" t="n">
        <v>-19.898468937499999</v>
      </c>
      <c r="K312" t="n">
        <v>-43.935826650000003</v>
      </c>
      <c r="L312" t="n">
        <v>611394.248196778</v>
      </c>
      <c r="M312" t="n">
        <v>7799401.9376282403</v>
      </c>
    </row>
    <row r="313">
      <c r="A313" s="78" t="s">
        <v>8753</v>
      </c>
      <c r="B313" s="104" t="s">
        <v>8754</v>
      </c>
      <c r="C313" s="104" t="s">
        <v>8755</v>
      </c>
      <c r="D313" s="21" t="s">
        <v>7284</v>
      </c>
      <c r="E313" s="21" t="s">
        <v>7006</v>
      </c>
      <c r="F313" s="108" t="s">
        <v>7007</v>
      </c>
      <c r="G313" s="104" t="s">
        <v>8756</v>
      </c>
      <c r="J313" t="n">
        <v>-19.900253561810899</v>
      </c>
      <c r="K313" t="n">
        <v>-43.938418365118501</v>
      </c>
      <c r="L313" t="n">
        <v>611121.68601364503</v>
      </c>
      <c r="M313" t="n">
        <v>7799206.1403448898</v>
      </c>
    </row>
    <row r="314">
      <c r="A314" s="78" t="s">
        <v>8757</v>
      </c>
      <c r="B314" s="104" t="s">
        <v>8758</v>
      </c>
      <c r="C314" s="104" t="s">
        <v>8757</v>
      </c>
      <c r="D314" s="21" t="s">
        <v>7433</v>
      </c>
      <c r="E314" s="21" t="s">
        <v>7006</v>
      </c>
      <c r="F314" s="108" t="s">
        <v>7434</v>
      </c>
      <c r="G314" s="104" t="s">
        <v>8759</v>
      </c>
      <c r="H314" t="s">
        <v>8760</v>
      </c>
      <c r="I314" t="s">
        <v>8761</v>
      </c>
      <c r="J314" t="n">
        <v>-19.867806488809499</v>
      </c>
      <c r="K314" t="n">
        <v>-43.898830863902099</v>
      </c>
      <c r="L314" t="n">
        <v>615289.39544159395</v>
      </c>
      <c r="M314" t="n">
        <v>7802770.5732472902</v>
      </c>
    </row>
    <row r="315" ht="30" customHeight="1">
      <c r="A315" s="78" t="s">
        <v>8762</v>
      </c>
      <c r="B315" s="96" t="s">
        <v>8763</v>
      </c>
      <c r="C315" s="104" t="s">
        <v>8764</v>
      </c>
      <c r="D315" s="21" t="s">
        <v>7938</v>
      </c>
      <c r="E315" s="21" t="s">
        <v>6974</v>
      </c>
      <c r="F315" s="108" t="s">
        <v>7264</v>
      </c>
      <c r="G315" s="104" t="s">
        <v>8765</v>
      </c>
      <c r="I315" t="s">
        <v>8766</v>
      </c>
      <c r="J315" t="n">
        <v>-19.913884835437202</v>
      </c>
      <c r="K315" t="n">
        <v>-43.956071286200299</v>
      </c>
      <c r="L315" t="n">
        <v>609264.33629886096</v>
      </c>
      <c r="M315" t="n">
        <v>7797709.0847039996</v>
      </c>
    </row>
    <row r="316">
      <c r="A316" s="78" t="s">
        <v>8767</v>
      </c>
      <c r="B316" s="104" t="s">
        <v>8768</v>
      </c>
      <c r="C316" s="104" t="s">
        <v>8767</v>
      </c>
      <c r="D316" s="21" t="s">
        <v>8667</v>
      </c>
      <c r="E316" s="21" t="s">
        <v>7006</v>
      </c>
      <c r="F316" s="108" t="s">
        <v>7007</v>
      </c>
      <c r="G316" s="104" t="s">
        <v>8769</v>
      </c>
      <c r="H316" s="21"/>
      <c r="I316" s="109"/>
      <c r="J316" t="n">
        <v>-19.910218630379699</v>
      </c>
      <c r="K316" t="n">
        <v>-43.936433443037998</v>
      </c>
      <c r="L316" t="n">
        <v>611322.50643249101</v>
      </c>
      <c r="M316" t="n">
        <v>7798101.9587511998</v>
      </c>
    </row>
    <row r="317" ht="30" customHeight="1">
      <c r="A317" s="78" t="s">
        <v>8770</v>
      </c>
      <c r="B317" s="104" t="s">
        <v>8771</v>
      </c>
      <c r="C317" s="104" t="s">
        <v>8770</v>
      </c>
      <c r="D317" s="21" t="s">
        <v>7277</v>
      </c>
      <c r="E317" s="21" t="s">
        <v>7086</v>
      </c>
      <c r="F317" s="108" t="s">
        <v>7087</v>
      </c>
      <c r="G317" s="104" t="s">
        <v>8772</v>
      </c>
      <c r="I317" s="109"/>
      <c r="J317" t="n">
        <v>-19.8174651529412</v>
      </c>
      <c r="K317" t="n">
        <v>-43.975546847058801</v>
      </c>
      <c r="L317" t="n">
        <v>607290.57161092095</v>
      </c>
      <c r="M317" t="n">
        <v>7808392.5816941597</v>
      </c>
    </row>
    <row r="318">
      <c r="A318" s="78" t="s">
        <v>8773</v>
      </c>
      <c r="B318" s="96" t="s">
        <v>8774</v>
      </c>
      <c r="C318" s="104" t="s">
        <v>8773</v>
      </c>
      <c r="D318" s="21" t="s">
        <v>8099</v>
      </c>
      <c r="E318" s="21" t="s">
        <v>7126</v>
      </c>
      <c r="F318" s="108" t="s">
        <v>7449</v>
      </c>
      <c r="G318" s="104" t="s">
        <v>8775</v>
      </c>
      <c r="H318" t="s">
        <v>8776</v>
      </c>
      <c r="J318" t="n">
        <v>-19.830245052745799</v>
      </c>
      <c r="K318" t="n">
        <v>-43.946626819763203</v>
      </c>
      <c r="L318" t="n">
        <v>610310.796110139</v>
      </c>
      <c r="M318" t="n">
        <v>7806959.5779109104</v>
      </c>
    </row>
    <row r="319" ht="30" customHeight="1">
      <c r="A319" s="78" t="s">
        <v>8777</v>
      </c>
      <c r="B319" s="104" t="s">
        <v>8778</v>
      </c>
      <c r="C319" s="104" t="s">
        <v>8777</v>
      </c>
      <c r="D319" s="21" t="s">
        <v>7737</v>
      </c>
      <c r="E319" s="21" t="s">
        <v>6997</v>
      </c>
      <c r="F319" s="108" t="s">
        <v>7038</v>
      </c>
      <c r="G319" s="104" t="s">
        <v>8779</v>
      </c>
      <c r="J319" t="n">
        <v>-19.8266987191057</v>
      </c>
      <c r="K319" t="n">
        <v>-43.968084578590599</v>
      </c>
      <c r="L319" t="n">
        <v>608065.9</v>
      </c>
      <c r="M319" t="n">
        <v>7807366</v>
      </c>
    </row>
    <row r="320">
      <c r="A320" s="78" t="s">
        <v>8780</v>
      </c>
      <c r="B320" s="104" t="s">
        <v>8781</v>
      </c>
      <c r="C320" s="104" t="s">
        <v>8782</v>
      </c>
      <c r="D320" s="21" t="s">
        <v>7085</v>
      </c>
      <c r="E320" s="21" t="s">
        <v>7086</v>
      </c>
      <c r="F320" s="108" t="s">
        <v>7087</v>
      </c>
      <c r="G320" s="104" t="s">
        <v>7194</v>
      </c>
      <c r="H320" s="21" t="s">
        <v>7195</v>
      </c>
      <c r="I320" t="s">
        <v>7196</v>
      </c>
      <c r="J320" t="n">
        <v>-19.815273815406599</v>
      </c>
      <c r="K320" t="n">
        <v>-43.959760520077403</v>
      </c>
      <c r="L320" t="n">
        <v>608945.5</v>
      </c>
      <c r="M320" t="n">
        <v>7808625</v>
      </c>
    </row>
    <row r="321" ht="30" customHeight="1">
      <c r="A321" s="79" t="s">
        <v>8783</v>
      </c>
      <c r="B321" s="96" t="s">
        <v>8784</v>
      </c>
      <c r="C321" s="104" t="s">
        <v>8785</v>
      </c>
      <c r="D321" s="21" t="s">
        <v>8469</v>
      </c>
      <c r="E321" s="21" t="s">
        <v>7077</v>
      </c>
      <c r="F321" s="108" t="s">
        <v>7092</v>
      </c>
      <c r="G321" s="104" t="s">
        <v>8786</v>
      </c>
      <c r="H321" t="s">
        <v>8787</v>
      </c>
      <c r="I321" t="s">
        <v>8788</v>
      </c>
      <c r="J321" t="n">
        <v>-19.9957323441303</v>
      </c>
      <c r="K321" t="n">
        <v>-44.0204461891297</v>
      </c>
      <c r="L321" t="n">
        <v>602473.06115136296</v>
      </c>
      <c r="M321" t="n">
        <v>7788691.3952426398</v>
      </c>
    </row>
    <row r="322">
      <c r="A322" s="30" t="s">
        <v>8789</v>
      </c>
      <c r="B322" s="104" t="s">
        <v>8790</v>
      </c>
      <c r="C322" s="95" t="s">
        <v>8791</v>
      </c>
      <c r="D322" s="21" t="s">
        <v>8447</v>
      </c>
      <c r="E322" s="21" t="s">
        <v>7015</v>
      </c>
      <c r="F322" s="108" t="s">
        <v>7683</v>
      </c>
      <c r="G322" s="104" t="s">
        <v>8424</v>
      </c>
      <c r="H322" s="21" t="s">
        <v>8792</v>
      </c>
      <c r="I322" s="21" t="s">
        <v>8426</v>
      </c>
      <c r="J322" t="n">
        <v>-19.905585535448001</v>
      </c>
      <c r="K322" t="n">
        <v>-43.896789999196599</v>
      </c>
      <c r="L322" t="n">
        <v>615475.69999999995</v>
      </c>
      <c r="M322" t="n">
        <v>7798588</v>
      </c>
    </row>
    <row r="323">
      <c r="A323" s="77" t="s">
        <v>8793</v>
      </c>
      <c r="B323" s="104" t="s">
        <v>8794</v>
      </c>
      <c r="C323" s="95" t="s">
        <v>8795</v>
      </c>
      <c r="D323" s="21" t="s">
        <v>7822</v>
      </c>
      <c r="E323" s="21" t="s">
        <v>7006</v>
      </c>
      <c r="F323" s="108" t="s">
        <v>7413</v>
      </c>
      <c r="G323" s="104" t="s">
        <v>8796</v>
      </c>
      <c r="H323" s="21" t="s">
        <v>8797</v>
      </c>
      <c r="I323" s="109" t="s">
        <v>8798</v>
      </c>
      <c r="J323" t="n">
        <v>-19.865842000000001</v>
      </c>
      <c r="K323" t="n">
        <v>-43.925576999999997</v>
      </c>
      <c r="L323" t="n">
        <v>612490.27654707502</v>
      </c>
      <c r="M323" t="n">
        <v>7803006.0617970601</v>
      </c>
    </row>
    <row r="324">
      <c r="A324" s="77" t="s">
        <v>8799</v>
      </c>
      <c r="B324" s="96" t="s">
        <v>8800</v>
      </c>
      <c r="C324" s="104" t="s">
        <v>8801</v>
      </c>
      <c r="D324" s="21" t="s">
        <v>6973</v>
      </c>
      <c r="E324" s="21" t="s">
        <v>6974</v>
      </c>
      <c r="F324" s="108" t="s">
        <v>6975</v>
      </c>
      <c r="G324" s="104" t="s">
        <v>8802</v>
      </c>
      <c r="H324" s="21" t="s">
        <v>8070</v>
      </c>
      <c r="I324" s="109" t="s">
        <v>8803</v>
      </c>
      <c r="J324" t="n">
        <v>-19.904606885079101</v>
      </c>
      <c r="K324" t="n">
        <v>-43.947786832208799</v>
      </c>
      <c r="L324" t="n">
        <v>610137.93814135704</v>
      </c>
      <c r="M324" t="n">
        <v>7798730.5025979597</v>
      </c>
    </row>
    <row r="325">
      <c r="A325" s="77" t="s">
        <v>8804</v>
      </c>
      <c r="B325" s="104" t="s">
        <v>8805</v>
      </c>
      <c r="C325" s="104" t="s">
        <v>8806</v>
      </c>
      <c r="D325" s="21" t="s">
        <v>7615</v>
      </c>
      <c r="E325" s="21" t="s">
        <v>7126</v>
      </c>
      <c r="F325" s="108" t="s">
        <v>7127</v>
      </c>
      <c r="G325" s="104" t="s">
        <v>8807</v>
      </c>
      <c r="H325" s="21" t="s">
        <v>7215</v>
      </c>
      <c r="I325" s="109" t="s">
        <v>8808</v>
      </c>
      <c r="J325" t="n">
        <v>-19.845098084120199</v>
      </c>
      <c r="K325" t="n">
        <v>-43.914584952729498</v>
      </c>
      <c r="L325" t="n">
        <v>613656.00517628295</v>
      </c>
      <c r="M325" t="n">
        <v>7805294.4927309798</v>
      </c>
    </row>
    <row r="326">
      <c r="A326" s="77" t="s">
        <v>8809</v>
      </c>
      <c r="B326" s="104" t="s">
        <v>8810</v>
      </c>
      <c r="C326" s="104" t="s">
        <v>8811</v>
      </c>
      <c r="D326" s="21" t="s">
        <v>8812</v>
      </c>
      <c r="E326" s="21" t="s">
        <v>6983</v>
      </c>
      <c r="F326" s="108" t="s">
        <v>7228</v>
      </c>
      <c r="G326" s="104" t="s">
        <v>8813</v>
      </c>
      <c r="H326" s="21" t="s">
        <v>8022</v>
      </c>
      <c r="I326" s="109" t="s">
        <v>8814</v>
      </c>
      <c r="J326" t="n">
        <v>-19.932421999999999</v>
      </c>
      <c r="K326" t="n">
        <v>-43.967281</v>
      </c>
      <c r="L326" t="n">
        <v>608078.35429421405</v>
      </c>
      <c r="M326" t="n">
        <v>7795664.7656440604</v>
      </c>
    </row>
    <row r="327">
      <c r="A327" s="77" t="s">
        <v>8815</v>
      </c>
      <c r="B327" s="96" t="s">
        <v>8816</v>
      </c>
      <c r="C327" s="95" t="s">
        <v>8817</v>
      </c>
      <c r="D327" s="21" t="s">
        <v>7867</v>
      </c>
      <c r="E327" s="21" t="s">
        <v>6983</v>
      </c>
      <c r="F327" s="108" t="s">
        <v>7228</v>
      </c>
      <c r="G327" s="104" t="s">
        <v>8818</v>
      </c>
      <c r="H327" s="21" t="s">
        <v>8819</v>
      </c>
      <c r="I327" s="109" t="s">
        <v>8820</v>
      </c>
      <c r="J327" t="n">
        <v>-19.944287380393</v>
      </c>
      <c r="K327" t="n">
        <v>-43.970387952683303</v>
      </c>
      <c r="L327" t="n">
        <v>607745.12363954005</v>
      </c>
      <c r="M327" t="n">
        <v>7794353.58322939</v>
      </c>
    </row>
    <row r="328">
      <c r="A328" s="77" t="s">
        <v>8821</v>
      </c>
      <c r="B328" s="104" t="s">
        <v>8822</v>
      </c>
      <c r="C328" s="104" t="s">
        <v>8823</v>
      </c>
      <c r="D328" s="21" t="s">
        <v>7757</v>
      </c>
      <c r="E328" s="21" t="s">
        <v>6997</v>
      </c>
      <c r="F328" s="108" t="s">
        <v>6998</v>
      </c>
      <c r="G328" s="104" t="s">
        <v>8824</v>
      </c>
      <c r="H328" s="21" t="s">
        <v>8825</v>
      </c>
      <c r="I328" s="109" t="s">
        <v>8826</v>
      </c>
      <c r="J328" t="n">
        <v>-19.870546999999998</v>
      </c>
      <c r="K328" t="n">
        <v>-44.001010000000001</v>
      </c>
      <c r="L328" t="n">
        <v>604588.83966225898</v>
      </c>
      <c r="M328" t="n">
        <v>7802533.9226055397</v>
      </c>
    </row>
    <row r="329">
      <c r="A329" s="77" t="s">
        <v>8827</v>
      </c>
      <c r="B329" s="104" t="s">
        <v>8828</v>
      </c>
      <c r="C329" s="74" t="s">
        <v>8829</v>
      </c>
      <c r="D329" s="21" t="s">
        <v>7085</v>
      </c>
      <c r="E329" s="21" t="s">
        <v>7086</v>
      </c>
      <c r="F329" s="108" t="s">
        <v>7087</v>
      </c>
      <c r="G329" s="104" t="s">
        <v>7194</v>
      </c>
      <c r="H329" s="21" t="s">
        <v>8760</v>
      </c>
      <c r="I329" s="109" t="s">
        <v>8830</v>
      </c>
      <c r="J329" t="n">
        <v>-19.817113023968702</v>
      </c>
      <c r="K329" t="n">
        <v>-43.9554778385302</v>
      </c>
      <c r="L329" t="n">
        <v>609392.81060671597</v>
      </c>
      <c r="M329" t="n">
        <v>7808418.6844136501</v>
      </c>
    </row>
    <row r="330" ht="30" customHeight="1">
      <c r="A330" s="77" t="s">
        <v>8831</v>
      </c>
      <c r="B330" s="96" t="s">
        <v>8832</v>
      </c>
      <c r="C330" s="104" t="s">
        <v>8833</v>
      </c>
      <c r="D330" s="21" t="s">
        <v>7980</v>
      </c>
      <c r="E330" s="21" t="s">
        <v>7160</v>
      </c>
      <c r="F330" s="108" t="s">
        <v>7161</v>
      </c>
      <c r="G330" s="104" t="s">
        <v>8227</v>
      </c>
      <c r="H330" s="21" t="s">
        <v>8834</v>
      </c>
      <c r="I330" s="109" t="s">
        <v>8228</v>
      </c>
      <c r="J330" t="n">
        <v>-19.925515999999998</v>
      </c>
      <c r="K330" t="n">
        <v>-43.928429999999999</v>
      </c>
      <c r="L330" t="n">
        <v>612149.50630714803</v>
      </c>
      <c r="M330" t="n">
        <v>7796403.6218478</v>
      </c>
    </row>
    <row r="331">
      <c r="A331" s="77" t="s">
        <v>8835</v>
      </c>
      <c r="B331" s="104" t="s">
        <v>8836</v>
      </c>
      <c r="C331" s="95" t="s">
        <v>8837</v>
      </c>
      <c r="D331" s="21" t="s">
        <v>8469</v>
      </c>
      <c r="E331" s="21" t="s">
        <v>7077</v>
      </c>
      <c r="F331" s="108" t="s">
        <v>7092</v>
      </c>
      <c r="G331" s="104" t="s">
        <v>8838</v>
      </c>
      <c r="H331" s="21" t="s">
        <v>7850</v>
      </c>
      <c r="I331" s="109" t="s">
        <v>7851</v>
      </c>
      <c r="J331" t="n">
        <v>-19.991925999999999</v>
      </c>
      <c r="K331" t="n">
        <v>-44.015740000000001</v>
      </c>
      <c r="L331" t="n">
        <v>602967.89675314701</v>
      </c>
      <c r="M331" t="n">
        <v>7789109.7673556795</v>
      </c>
    </row>
    <row r="332" ht="30" customHeight="1">
      <c r="A332" s="30" t="s">
        <v>8839</v>
      </c>
      <c r="B332" s="104" t="s">
        <v>8840</v>
      </c>
      <c r="C332" s="95" t="s">
        <v>8841</v>
      </c>
      <c r="D332" s="21" t="s">
        <v>7956</v>
      </c>
      <c r="E332" s="21" t="s">
        <v>7086</v>
      </c>
      <c r="F332" s="108" t="s">
        <v>7112</v>
      </c>
      <c r="G332" s="104" t="s">
        <v>8842</v>
      </c>
      <c r="H332" s="21" t="s">
        <v>8843</v>
      </c>
      <c r="I332" s="109" t="s">
        <v>7959</v>
      </c>
      <c r="J332" t="n">
        <v>-19.828695</v>
      </c>
      <c r="K332" t="n">
        <v>-43.986130000000003</v>
      </c>
      <c r="L332" t="n">
        <v>606174.65332249098</v>
      </c>
      <c r="M332" t="n">
        <v>7807156.44585412</v>
      </c>
    </row>
    <row r="333">
      <c r="A333" s="30" t="s">
        <v>8844</v>
      </c>
      <c r="B333" s="104" t="s">
        <v>8845</v>
      </c>
      <c r="C333" s="104" t="s">
        <v>8846</v>
      </c>
      <c r="D333" s="21" t="s">
        <v>8847</v>
      </c>
      <c r="E333" s="21" t="s">
        <v>6997</v>
      </c>
      <c r="F333" s="21" t="s">
        <v>7038</v>
      </c>
      <c r="G333" s="104" t="s">
        <v>8848</v>
      </c>
      <c r="H333" s="21" t="s">
        <v>7272</v>
      </c>
      <c r="I333" s="21" t="s">
        <v>8849</v>
      </c>
      <c r="J333" s="21" t="n">
        <v>-19.838797</v>
      </c>
      <c r="K333" s="21" t="n">
        <v>-44.015315000000001</v>
      </c>
      <c r="L333" s="102" t="n">
        <v>603111.58070073801</v>
      </c>
      <c r="M333" s="102" t="n">
        <v>7806056.5359403901</v>
      </c>
    </row>
    <row r="334">
      <c r="A334" s="30" t="s">
        <v>8850</v>
      </c>
      <c r="B334" s="104" t="s">
        <v>8851</v>
      </c>
      <c r="C334" s="104" t="s">
        <v>8852</v>
      </c>
      <c r="D334" s="21" t="s">
        <v>8027</v>
      </c>
      <c r="E334" s="21" t="s">
        <v>6983</v>
      </c>
      <c r="F334" s="108" t="s">
        <v>7228</v>
      </c>
      <c r="G334" s="104" t="s">
        <v>8853</v>
      </c>
      <c r="H334" s="21" t="s">
        <v>8854</v>
      </c>
      <c r="I334" s="109" t="s">
        <v>8855</v>
      </c>
      <c r="J334" t="n">
        <v>-19.946123</v>
      </c>
      <c r="K334" t="n">
        <v>-43.966664999999999</v>
      </c>
      <c r="L334" t="n">
        <v>608133.49958347797</v>
      </c>
      <c r="M334" t="n">
        <v>7794148.0364041803</v>
      </c>
    </row>
    <row r="335">
      <c r="A335" s="30" t="s">
        <v>8856</v>
      </c>
      <c r="B335" s="104" t="s">
        <v>8857</v>
      </c>
      <c r="C335" s="104" t="s">
        <v>8858</v>
      </c>
      <c r="D335" s="21" t="s">
        <v>7277</v>
      </c>
      <c r="E335" s="21" t="s">
        <v>7086</v>
      </c>
      <c r="F335" s="108" t="s">
        <v>7087</v>
      </c>
      <c r="G335" s="104" t="s">
        <v>8859</v>
      </c>
      <c r="H335" s="21" t="s">
        <v>8860</v>
      </c>
      <c r="I335" s="109" t="s">
        <v>8861</v>
      </c>
      <c r="J335" t="n">
        <v>-19.82517</v>
      </c>
      <c r="K335" t="n">
        <v>-43.973731999999998</v>
      </c>
      <c r="L335" t="n">
        <v>607475.47595237405</v>
      </c>
      <c r="M335" t="n">
        <v>7807538.7209383203</v>
      </c>
    </row>
    <row r="336">
      <c r="A336" s="30" t="s">
        <v>8862</v>
      </c>
      <c r="B336" s="104" t="s">
        <v>8863</v>
      </c>
      <c r="C336" s="104" t="s">
        <v>8864</v>
      </c>
      <c r="D336" s="21" t="s">
        <v>7420</v>
      </c>
      <c r="E336" s="21" t="s">
        <v>6997</v>
      </c>
      <c r="F336" s="108" t="s">
        <v>7152</v>
      </c>
      <c r="G336" s="104" t="s">
        <v>8865</v>
      </c>
      <c r="H336" s="21" t="s">
        <v>7355</v>
      </c>
      <c r="I336" s="109" t="s">
        <v>8866</v>
      </c>
      <c r="J336" t="n">
        <v>-19.863837</v>
      </c>
      <c r="K336" t="n">
        <v>-43.977938999999999</v>
      </c>
      <c r="L336" t="n">
        <v>607008.94679552806</v>
      </c>
      <c r="M336" t="n">
        <v>7803262.0491734501</v>
      </c>
    </row>
    <row r="337">
      <c r="A337" s="30" t="s">
        <v>8867</v>
      </c>
      <c r="B337" s="104" t="s">
        <v>8868</v>
      </c>
      <c r="C337" s="104" t="s">
        <v>8869</v>
      </c>
      <c r="D337" s="21" t="s">
        <v>7399</v>
      </c>
      <c r="E337" s="21" t="s">
        <v>7077</v>
      </c>
      <c r="F337" s="108" t="s">
        <v>7105</v>
      </c>
      <c r="G337" s="104" t="s">
        <v>8870</v>
      </c>
      <c r="H337" s="21" t="s">
        <v>8871</v>
      </c>
      <c r="I337" s="109"/>
      <c r="J337" t="n">
        <v>-19.988750931446098</v>
      </c>
      <c r="K337" t="n">
        <v>-44.026816092085902</v>
      </c>
      <c r="L337" t="n">
        <v>601811.13072749495</v>
      </c>
      <c r="M337" t="n">
        <v>7789467.9273984795</v>
      </c>
    </row>
    <row r="338">
      <c r="A338" s="30" t="s">
        <v>10096</v>
      </c>
      <c r="B338" s="104" t="s">
        <v>10134</v>
      </c>
      <c r="C338" s="104" t="s">
        <v>10097</v>
      </c>
      <c r="D338" s="21" t="s">
        <v>10113</v>
      </c>
      <c r="E338" s="21" t="s">
        <v>10114</v>
      </c>
      <c r="F338" s="108" t="s">
        <v>10115</v>
      </c>
      <c r="G338" s="104" t="s">
        <v>10096</v>
      </c>
      <c r="H338" s="21" t="s">
        <v>10116</v>
      </c>
      <c r="I338" s="109" t="s">
        <v>10116</v>
      </c>
      <c r="J338"/>
      <c r="K338"/>
      <c r="L338"/>
      <c r="M338"/>
    </row>
    <row r="339">
      <c r="A339" t="s">
        <v>10098</v>
      </c>
      <c r="B339" t="s">
        <v>10136</v>
      </c>
      <c r="C339" t="s">
        <v>10099</v>
      </c>
      <c r="D339" t="s">
        <v>10118</v>
      </c>
      <c r="E339" t="s">
        <v>10114</v>
      </c>
      <c r="F339" t="s">
        <v>10119</v>
      </c>
      <c r="G339" t="s">
        <v>10120</v>
      </c>
      <c r="H339" t="s">
        <v>10116</v>
      </c>
      <c r="I339" t="s">
        <v>10116</v>
      </c>
      <c r="J339"/>
      <c r="K339"/>
      <c r="L339"/>
      <c r="M339"/>
    </row>
    <row r="340">
      <c r="A340" t="s">
        <v>10100</v>
      </c>
      <c r="B340" t="s">
        <v>10138</v>
      </c>
      <c r="C340" t="s">
        <v>10101</v>
      </c>
      <c r="D340" t="s">
        <v>10122</v>
      </c>
      <c r="E340" t="s">
        <v>10114</v>
      </c>
      <c r="F340" t="s">
        <v>10123</v>
      </c>
      <c r="G340" t="s">
        <v>10124</v>
      </c>
      <c r="H340" t="s">
        <v>10125</v>
      </c>
      <c r="I340" t="s">
        <v>10116</v>
      </c>
      <c r="J340"/>
      <c r="K340"/>
      <c r="L340"/>
      <c r="M340"/>
    </row>
    <row r="341">
      <c r="A341" t="s">
        <v>10094</v>
      </c>
      <c r="B341" t="s">
        <v>10128</v>
      </c>
      <c r="C341" t="s">
        <v>10095</v>
      </c>
      <c r="D341" t="s">
        <v>10103</v>
      </c>
      <c r="E341" t="s">
        <v>10104</v>
      </c>
      <c r="F341" t="s">
        <v>10105</v>
      </c>
      <c r="G341" t="s">
        <v>10106</v>
      </c>
      <c r="H341" t="s">
        <v>10107</v>
      </c>
      <c r="I341"/>
      <c r="J341"/>
      <c r="K341"/>
      <c r="L341"/>
      <c r="M341"/>
    </row>
  </sheetData>
  <autoFilter ref="A1:M337" xr:uid="{00000000-0009-0000-0000-000004000000}"/>
  <pageMargins left="0.7" right="0.7" top="0.75" bottom="0.75" header="0.3" footer="0.3"/>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pane ySplit="1" topLeftCell="A2" activePane="bottomLeft" state="frozen"/>
      <selection pane="bottomLeft"/>
    </sheetView>
  </sheetViews>
  <sheetFormatPr defaultRowHeight="15.0" baseColWidth="10"/>
  <cols>
    <col min="1" max="1" width="12" hidden="0" customWidth="1"/>
    <col min="2" max="2" width="12" hidden="0" customWidth="1"/>
    <col min="3" max="3" width="34" hidden="0" customWidth="1"/>
    <col min="4" max="4" width="38" hidden="0" customWidth="1"/>
    <col min="5" max="5" width="42" hidden="0" customWidth="1"/>
    <col min="6" max="6" width="18" hidden="0" customWidth="1"/>
    <col min="7" max="7" width="14" hidden="0" customWidth="1"/>
    <col min="8" max="8" width="12" hidden="0" customWidth="1"/>
    <col min="9" max="9" width="30" hidden="0" customWidth="1"/>
    <col min="10" max="10" width="11" hidden="0" customWidth="1"/>
    <col min="11" max="11" width="14" hidden="0" customWidth="1"/>
    <col min="12" max="12" width="14" hidden="0" customWidth="1"/>
    <col min="13" max="13" width="14" hidden="0" customWidth="1"/>
    <col min="14" max="14" width="14" hidden="0" customWidth="1"/>
    <col min="15" max="15" width="14" hidden="0" customWidth="1"/>
  </cols>
  <sheetData>
    <row r="1" ht="30" customHeight="1">
      <c r="A1" s="68" t="s">
        <v>8872</v>
      </c>
      <c r="B1" s="68" t="s">
        <v>6958</v>
      </c>
      <c r="C1" s="113" t="s">
        <v>6957</v>
      </c>
      <c r="D1" s="68" t="s">
        <v>8873</v>
      </c>
      <c r="E1" s="68" t="s">
        <v>8874</v>
      </c>
      <c r="F1" s="68" t="s">
        <v>8875</v>
      </c>
      <c r="G1" s="68" t="s">
        <v>8876</v>
      </c>
      <c r="H1" s="114" t="s">
        <v>8877</v>
      </c>
      <c r="I1" s="68" t="s">
        <v>8878</v>
      </c>
      <c r="J1" s="68" t="s">
        <v>8879</v>
      </c>
      <c r="K1" s="115" t="s">
        <v>8880</v>
      </c>
      <c r="L1" s="113" t="s">
        <v>8881</v>
      </c>
      <c r="M1" s="68" t="s">
        <v>8882</v>
      </c>
      <c r="N1" s="68" t="s">
        <v>8883</v>
      </c>
      <c r="O1" s="68" t="s">
        <v>8884</v>
      </c>
    </row>
    <row r="2" ht="30" customHeight="1">
      <c r="A2" s="105" t="s">
        <v>8885</v>
      </c>
      <c r="B2" s="105" t="s">
        <v>8857</v>
      </c>
      <c r="C2" s="30" t="s">
        <v>8856</v>
      </c>
      <c r="D2" s="30" t="s">
        <v>8886</v>
      </c>
      <c r="E2" s="104" t="s">
        <v>8858</v>
      </c>
      <c r="F2" s="104" t="s">
        <v>7277</v>
      </c>
      <c r="G2" s="104" t="s">
        <v>7086</v>
      </c>
      <c r="H2" s="116" t="s">
        <v>7087</v>
      </c>
      <c r="I2" s="104" t="s">
        <v>8859</v>
      </c>
      <c r="J2" s="104" t="s">
        <v>8860</v>
      </c>
      <c r="K2" s="117" t="s">
        <v>8861</v>
      </c>
      <c r="L2" s="105" t="n">
        <v>-19.82517</v>
      </c>
      <c r="M2" s="105" t="n">
        <v>-43.973731999999998</v>
      </c>
      <c r="N2" s="105" t="n">
        <v>607475.47595237405</v>
      </c>
      <c r="O2" s="105" t="n">
        <v>7807538.7209383203</v>
      </c>
    </row>
    <row r="3" ht="30" customHeight="1">
      <c r="A3" s="105" t="s">
        <v>8887</v>
      </c>
      <c r="B3" s="105" t="s">
        <v>6971</v>
      </c>
      <c r="C3" s="30" t="s">
        <v>6970</v>
      </c>
      <c r="D3" s="30" t="s">
        <v>8888</v>
      </c>
      <c r="E3" s="104" t="s">
        <v>6972</v>
      </c>
      <c r="F3" s="104" t="s">
        <v>6973</v>
      </c>
      <c r="G3" s="104" t="s">
        <v>6974</v>
      </c>
      <c r="H3" s="116" t="s">
        <v>6975</v>
      </c>
      <c r="I3" s="104" t="s">
        <v>6976</v>
      </c>
      <c r="J3" s="104" t="s">
        <v>6977</v>
      </c>
      <c r="K3" s="117" t="s">
        <v>6978</v>
      </c>
      <c r="L3" s="105" t="n">
        <v>-19.90157</v>
      </c>
      <c r="M3" s="105" t="n">
        <v>-43.943179000000001</v>
      </c>
      <c r="N3" s="105" t="n">
        <v>610622.40506315301</v>
      </c>
      <c r="O3" s="105" t="n">
        <v>7799063.5820822604</v>
      </c>
    </row>
    <row r="4" ht="30" customHeight="1">
      <c r="A4" s="105" t="s">
        <v>8889</v>
      </c>
      <c r="B4" s="105" t="s">
        <v>6980</v>
      </c>
      <c r="C4" s="30" t="s">
        <v>6979</v>
      </c>
      <c r="D4" s="30" t="s">
        <v>8890</v>
      </c>
      <c r="E4" s="104" t="s">
        <v>6981</v>
      </c>
      <c r="F4" s="104" t="s">
        <v>6982</v>
      </c>
      <c r="G4" s="104" t="s">
        <v>6983</v>
      </c>
      <c r="H4" s="116" t="s">
        <v>6984</v>
      </c>
      <c r="I4" s="104" t="s">
        <v>6985</v>
      </c>
      <c r="J4" s="104" t="s">
        <v>6986</v>
      </c>
      <c r="K4" s="117" t="s">
        <v>6987</v>
      </c>
      <c r="L4" s="105" t="n">
        <v>-19.951948000000002</v>
      </c>
      <c r="M4" s="105" t="n">
        <v>-43.998967999999998</v>
      </c>
      <c r="N4" s="105" t="n">
        <v>604749.03397812904</v>
      </c>
      <c r="O4" s="105" t="n">
        <v>7793523.84569168</v>
      </c>
    </row>
    <row r="5" ht="30" customHeight="1">
      <c r="A5" s="105" t="s">
        <v>8891</v>
      </c>
      <c r="B5" s="105" t="s">
        <v>6989</v>
      </c>
      <c r="C5" s="30" t="s">
        <v>6988</v>
      </c>
      <c r="D5" s="30" t="s">
        <v>8892</v>
      </c>
      <c r="E5" s="104" t="s">
        <v>6990</v>
      </c>
      <c r="F5" s="104" t="s">
        <v>6991</v>
      </c>
      <c r="G5" s="104" t="s">
        <v>6974</v>
      </c>
      <c r="H5" s="116" t="s">
        <v>6975</v>
      </c>
      <c r="I5" s="104" t="s">
        <v>6992</v>
      </c>
      <c r="J5" s="104"/>
      <c r="K5" s="117"/>
      <c r="L5" s="105" t="n">
        <v>-19.908028403340701</v>
      </c>
      <c r="M5" s="105" t="n">
        <v>-43.948043521514698</v>
      </c>
      <c r="N5" s="105" t="n">
        <v>610108.69999999995</v>
      </c>
      <c r="O5" s="105" t="n">
        <v>7798352</v>
      </c>
    </row>
    <row r="6" ht="45" customHeight="1">
      <c r="A6" s="105" t="s">
        <v>8893</v>
      </c>
      <c r="B6" s="105" t="s">
        <v>6994</v>
      </c>
      <c r="C6" s="30" t="s">
        <v>6993</v>
      </c>
      <c r="D6" s="30" t="s">
        <v>8894</v>
      </c>
      <c r="E6" s="104" t="s">
        <v>6995</v>
      </c>
      <c r="F6" s="104" t="s">
        <v>6996</v>
      </c>
      <c r="G6" s="104" t="s">
        <v>6997</v>
      </c>
      <c r="H6" s="116" t="s">
        <v>6998</v>
      </c>
      <c r="I6" s="104" t="s">
        <v>6999</v>
      </c>
      <c r="J6" s="104" t="s">
        <v>7000</v>
      </c>
      <c r="K6" s="117" t="s">
        <v>7001</v>
      </c>
      <c r="L6" s="105" t="n">
        <v>-19.892081999999998</v>
      </c>
      <c r="M6" s="105" t="n">
        <v>-43.990816000000002</v>
      </c>
      <c r="N6" s="105" t="n">
        <v>605641.90390478401</v>
      </c>
      <c r="O6" s="105" t="n">
        <v>7800144.2467171</v>
      </c>
    </row>
    <row r="7" ht="30" customHeight="1">
      <c r="A7" s="105" t="s">
        <v>8895</v>
      </c>
      <c r="B7" s="105" t="s">
        <v>7003</v>
      </c>
      <c r="C7" s="30" t="s">
        <v>7002</v>
      </c>
      <c r="D7" s="30" t="s">
        <v>8896</v>
      </c>
      <c r="E7" s="74" t="s">
        <v>7004</v>
      </c>
      <c r="F7" s="104" t="s">
        <v>7005</v>
      </c>
      <c r="G7" s="104" t="s">
        <v>7006</v>
      </c>
      <c r="H7" s="116" t="s">
        <v>7007</v>
      </c>
      <c r="I7" s="104" t="s">
        <v>7008</v>
      </c>
      <c r="J7" s="104" t="s">
        <v>7009</v>
      </c>
      <c r="K7" s="117" t="s">
        <v>7010</v>
      </c>
      <c r="L7" s="105" t="n">
        <v>-19.889593999999999</v>
      </c>
      <c r="M7" s="105" t="n">
        <v>-43.944242000000003</v>
      </c>
      <c r="N7" s="105" t="n">
        <v>610519.43834700796</v>
      </c>
      <c r="O7" s="105" t="n">
        <v>7800389.7032484198</v>
      </c>
    </row>
    <row r="8" ht="30" customHeight="1">
      <c r="A8" s="105" t="s">
        <v>8897</v>
      </c>
      <c r="B8" s="105" t="s">
        <v>8845</v>
      </c>
      <c r="C8" s="30" t="s">
        <v>8844</v>
      </c>
      <c r="D8" s="30" t="s">
        <v>8898</v>
      </c>
      <c r="E8" s="104" t="s">
        <v>8846</v>
      </c>
      <c r="F8" s="104" t="s">
        <v>8847</v>
      </c>
      <c r="G8" s="104" t="s">
        <v>6997</v>
      </c>
      <c r="H8" s="116" t="s">
        <v>7038</v>
      </c>
      <c r="I8" s="104" t="s">
        <v>8848</v>
      </c>
      <c r="J8" s="104" t="s">
        <v>7272</v>
      </c>
      <c r="K8" s="117" t="s">
        <v>8849</v>
      </c>
      <c r="L8" s="105" t="n">
        <v>-19.838797</v>
      </c>
      <c r="M8" s="105" t="n">
        <v>-44.015315000000001</v>
      </c>
      <c r="N8" s="105" t="n">
        <v>603111.58070073801</v>
      </c>
      <c r="O8" s="105" t="n">
        <v>7806056.5359403901</v>
      </c>
    </row>
    <row r="9" ht="30" customHeight="1">
      <c r="A9" s="105" t="s">
        <v>8899</v>
      </c>
      <c r="B9" s="105" t="s">
        <v>7012</v>
      </c>
      <c r="C9" s="30" t="s">
        <v>7011</v>
      </c>
      <c r="D9" s="105" t="s">
        <v>8900</v>
      </c>
      <c r="E9" s="104" t="s">
        <v>7013</v>
      </c>
      <c r="F9" s="104" t="s">
        <v>7014</v>
      </c>
      <c r="G9" s="104" t="s">
        <v>7015</v>
      </c>
      <c r="H9" s="116" t="s">
        <v>7016</v>
      </c>
      <c r="I9" s="104" t="s">
        <v>7017</v>
      </c>
      <c r="J9" s="104" t="s">
        <v>7018</v>
      </c>
      <c r="K9" s="117" t="s">
        <v>7019</v>
      </c>
      <c r="L9" s="105" t="n">
        <v>-19.894157</v>
      </c>
      <c r="M9" s="105" t="n">
        <v>-43.890256999999998</v>
      </c>
      <c r="N9" s="105" t="n">
        <v>616167.93080489105</v>
      </c>
      <c r="O9" s="105" t="n">
        <v>7799848.3538800701</v>
      </c>
    </row>
    <row r="10" ht="30" customHeight="1">
      <c r="A10" s="105" t="s">
        <v>8901</v>
      </c>
      <c r="B10" s="105" t="s">
        <v>7021</v>
      </c>
      <c r="C10" s="30" t="s">
        <v>7020</v>
      </c>
      <c r="D10" s="105" t="s">
        <v>8902</v>
      </c>
      <c r="E10" s="104" t="s">
        <v>7022</v>
      </c>
      <c r="F10" s="104" t="s">
        <v>7023</v>
      </c>
      <c r="G10" s="104" t="s">
        <v>7015</v>
      </c>
      <c r="H10" s="116" t="s">
        <v>7024</v>
      </c>
      <c r="I10" s="104" t="s">
        <v>7025</v>
      </c>
      <c r="J10" s="104" t="s">
        <v>7026</v>
      </c>
      <c r="K10" s="117" t="s">
        <v>7027</v>
      </c>
      <c r="L10" s="105" t="n">
        <v>-19.919612438069599</v>
      </c>
      <c r="M10" s="105" t="n">
        <v>-43.880060255431403</v>
      </c>
      <c r="N10" s="105" t="n">
        <v>617216.67821187305</v>
      </c>
      <c r="O10" s="105" t="n">
        <v>7797023.9992818199</v>
      </c>
    </row>
    <row r="11">
      <c r="A11" s="105" t="s">
        <v>8903</v>
      </c>
      <c r="B11" s="105" t="s">
        <v>7029</v>
      </c>
      <c r="C11" s="30" t="s">
        <v>7028</v>
      </c>
      <c r="D11" s="30" t="s">
        <v>8904</v>
      </c>
      <c r="E11" s="104" t="s">
        <v>7030</v>
      </c>
      <c r="F11" s="104" t="s">
        <v>7031</v>
      </c>
      <c r="G11" s="104" t="s">
        <v>6983</v>
      </c>
      <c r="H11" s="116" t="s">
        <v>7032</v>
      </c>
      <c r="I11" s="104" t="s">
        <v>7028</v>
      </c>
      <c r="J11" s="104"/>
      <c r="K11" s="117"/>
      <c r="L11" s="105" t="n">
        <v>-19.976536862069</v>
      </c>
      <c r="M11" s="105" t="n">
        <v>-43.976942620689698</v>
      </c>
      <c r="N11" s="105" t="n">
        <v>607037.38734965702</v>
      </c>
      <c r="O11" s="105" t="n">
        <v>7790788.6238904698</v>
      </c>
    </row>
    <row r="12">
      <c r="A12" s="105" t="s">
        <v>8905</v>
      </c>
      <c r="B12" s="105" t="s">
        <v>7029</v>
      </c>
      <c r="C12" s="30" t="s">
        <v>7028</v>
      </c>
      <c r="D12" s="30" t="s">
        <v>8906</v>
      </c>
      <c r="E12" s="104" t="s">
        <v>7030</v>
      </c>
      <c r="F12" s="104" t="s">
        <v>7031</v>
      </c>
      <c r="G12" s="104" t="s">
        <v>6983</v>
      </c>
      <c r="H12" s="116" t="s">
        <v>7032</v>
      </c>
      <c r="I12" s="104" t="s">
        <v>7028</v>
      </c>
      <c r="J12" s="104"/>
      <c r="K12" s="117"/>
      <c r="L12" s="105" t="n">
        <v>-19.976536862069</v>
      </c>
      <c r="M12" s="105" t="n">
        <v>-43.976942620689698</v>
      </c>
      <c r="N12" s="105" t="n">
        <v>607037.38734965702</v>
      </c>
      <c r="O12" s="105" t="n">
        <v>7790788.6238904698</v>
      </c>
    </row>
    <row r="13" ht="30" customHeight="1">
      <c r="A13" s="105" t="s">
        <v>8907</v>
      </c>
      <c r="B13" s="105" t="s">
        <v>7034</v>
      </c>
      <c r="C13" s="30" t="s">
        <v>7033</v>
      </c>
      <c r="D13" s="30" t="s">
        <v>8908</v>
      </c>
      <c r="E13" s="104" t="s">
        <v>7033</v>
      </c>
      <c r="F13" s="104"/>
      <c r="G13" s="104" t="s">
        <v>6974</v>
      </c>
      <c r="H13" s="116"/>
      <c r="I13" s="104"/>
      <c r="J13" s="104"/>
      <c r="K13" s="117"/>
      <c r="L13" s="105" t="n">
        <v>-19.900692092215198</v>
      </c>
      <c r="M13" s="105" t="n">
        <v>-44.018329872487399</v>
      </c>
      <c r="N13" s="105" t="n">
        <v>602755.95966061205</v>
      </c>
      <c r="O13" s="105" t="n">
        <v>7799208.3853994701</v>
      </c>
    </row>
    <row r="14" ht="30" customHeight="1">
      <c r="A14" s="105" t="s">
        <v>8909</v>
      </c>
      <c r="B14" s="105" t="s">
        <v>7036</v>
      </c>
      <c r="C14" s="30" t="s">
        <v>7035</v>
      </c>
      <c r="D14" s="30" t="s">
        <v>8910</v>
      </c>
      <c r="E14" s="104" t="s">
        <v>7035</v>
      </c>
      <c r="F14" s="104" t="s">
        <v>7037</v>
      </c>
      <c r="G14" s="104" t="s">
        <v>6997</v>
      </c>
      <c r="H14" s="116" t="s">
        <v>7038</v>
      </c>
      <c r="I14" s="104" t="s">
        <v>7039</v>
      </c>
      <c r="J14" s="104"/>
      <c r="K14" s="117"/>
      <c r="L14" s="105" t="n">
        <v>-19.8338013826531</v>
      </c>
      <c r="M14" s="105" t="n">
        <v>-43.971657005102003</v>
      </c>
      <c r="N14" s="105" t="n">
        <v>607686.98044620198</v>
      </c>
      <c r="O14" s="105" t="n">
        <v>7806582.1494624503</v>
      </c>
    </row>
    <row r="15">
      <c r="A15" s="105" t="s">
        <v>8911</v>
      </c>
      <c r="B15" s="105" t="s">
        <v>7041</v>
      </c>
      <c r="C15" s="30" t="s">
        <v>7040</v>
      </c>
      <c r="D15" s="30" t="s">
        <v>8912</v>
      </c>
      <c r="E15" s="104" t="s">
        <v>7042</v>
      </c>
      <c r="F15" s="104" t="s">
        <v>7031</v>
      </c>
      <c r="G15" s="104" t="s">
        <v>6983</v>
      </c>
      <c r="H15" s="116" t="s">
        <v>7032</v>
      </c>
      <c r="I15" s="104" t="s">
        <v>7043</v>
      </c>
      <c r="J15" s="104"/>
      <c r="K15" s="117"/>
      <c r="L15" s="105" t="n">
        <v>-19.973571960000001</v>
      </c>
      <c r="M15" s="105" t="n">
        <v>-43.975945799999998</v>
      </c>
      <c r="N15" s="105" t="n">
        <v>607143.69198977901</v>
      </c>
      <c r="O15" s="105" t="n">
        <v>7791116.1228727</v>
      </c>
    </row>
    <row r="16">
      <c r="A16" s="105" t="s">
        <v>8913</v>
      </c>
      <c r="B16" s="105" t="s">
        <v>7045</v>
      </c>
      <c r="C16" s="30" t="s">
        <v>7044</v>
      </c>
      <c r="D16" s="30" t="s">
        <v>8914</v>
      </c>
      <c r="E16" s="104" t="s">
        <v>7044</v>
      </c>
      <c r="F16" s="104" t="s">
        <v>7046</v>
      </c>
      <c r="G16" s="104" t="s">
        <v>6974</v>
      </c>
      <c r="H16" s="116" t="s">
        <v>7047</v>
      </c>
      <c r="I16" s="104" t="s">
        <v>7048</v>
      </c>
      <c r="J16" s="104"/>
      <c r="K16" s="117"/>
      <c r="L16" s="105" t="n">
        <v>-19.913496696808501</v>
      </c>
      <c r="M16" s="105" t="n">
        <v>-43.997803111702098</v>
      </c>
      <c r="N16" s="105" t="n">
        <v>604896.31762932299</v>
      </c>
      <c r="O16" s="105" t="n">
        <v>7797778.6107329801</v>
      </c>
    </row>
    <row r="17" ht="30" customHeight="1">
      <c r="A17" s="105" t="s">
        <v>8915</v>
      </c>
      <c r="B17" s="105" t="s">
        <v>7045</v>
      </c>
      <c r="C17" s="30" t="s">
        <v>7044</v>
      </c>
      <c r="D17" s="30" t="s">
        <v>8916</v>
      </c>
      <c r="E17" s="104" t="s">
        <v>7044</v>
      </c>
      <c r="F17" s="104" t="s">
        <v>7046</v>
      </c>
      <c r="G17" s="104" t="s">
        <v>6974</v>
      </c>
      <c r="H17" s="116" t="s">
        <v>7047</v>
      </c>
      <c r="I17" s="104" t="s">
        <v>7048</v>
      </c>
      <c r="J17" s="104"/>
      <c r="K17" s="117"/>
      <c r="L17" s="105" t="n">
        <v>-19.913496696808501</v>
      </c>
      <c r="M17" s="105" t="n">
        <v>-43.997803111702098</v>
      </c>
      <c r="N17" s="105" t="n">
        <v>604896.31762932299</v>
      </c>
      <c r="O17" s="105" t="n">
        <v>7797778.6107329801</v>
      </c>
    </row>
    <row r="18" ht="45" customHeight="1">
      <c r="A18" s="105" t="s">
        <v>8917</v>
      </c>
      <c r="B18" s="105" t="s">
        <v>7050</v>
      </c>
      <c r="C18" s="30" t="s">
        <v>7049</v>
      </c>
      <c r="D18" s="30" t="s">
        <v>8918</v>
      </c>
      <c r="E18" s="104" t="s">
        <v>7049</v>
      </c>
      <c r="F18" s="104" t="s">
        <v>7051</v>
      </c>
      <c r="G18" s="104" t="s">
        <v>6983</v>
      </c>
      <c r="H18" s="116" t="s">
        <v>6984</v>
      </c>
      <c r="I18" s="104" t="s">
        <v>7052</v>
      </c>
      <c r="J18" s="104"/>
      <c r="K18" s="117"/>
      <c r="L18" s="105" t="n">
        <v>-19.9515784992264</v>
      </c>
      <c r="M18" s="105" t="n">
        <v>-44.009052892199698</v>
      </c>
      <c r="N18" s="105" t="n">
        <v>603693.9</v>
      </c>
      <c r="O18" s="105" t="n">
        <v>7793571</v>
      </c>
    </row>
    <row r="19" ht="30" customHeight="1">
      <c r="A19" s="105" t="s">
        <v>8919</v>
      </c>
      <c r="B19" s="105" t="s">
        <v>7054</v>
      </c>
      <c r="C19" s="30" t="s">
        <v>7053</v>
      </c>
      <c r="D19" s="30" t="s">
        <v>8920</v>
      </c>
      <c r="E19" s="104" t="s">
        <v>7053</v>
      </c>
      <c r="F19" s="104" t="s">
        <v>7055</v>
      </c>
      <c r="G19" s="104" t="s">
        <v>7015</v>
      </c>
      <c r="H19" s="116" t="s">
        <v>7056</v>
      </c>
      <c r="I19" s="104" t="s">
        <v>7057</v>
      </c>
      <c r="J19" s="104"/>
      <c r="K19" s="117"/>
      <c r="L19" s="105" t="n">
        <v>-19.903422801704899</v>
      </c>
      <c r="M19" s="105" t="n">
        <v>-43.9189440972741</v>
      </c>
      <c r="N19" s="105" t="n">
        <v>613158.09887188405</v>
      </c>
      <c r="O19" s="105" t="n">
        <v>7798842.4111778503</v>
      </c>
    </row>
    <row r="20" ht="30" customHeight="1">
      <c r="A20" s="105" t="s">
        <v>8921</v>
      </c>
      <c r="B20" s="105" t="s">
        <v>7059</v>
      </c>
      <c r="C20" s="30" t="s">
        <v>7058</v>
      </c>
      <c r="D20" s="30" t="s">
        <v>8922</v>
      </c>
      <c r="E20" s="104" t="s">
        <v>7058</v>
      </c>
      <c r="F20" s="104" t="s">
        <v>7060</v>
      </c>
      <c r="G20" s="104" t="s">
        <v>6997</v>
      </c>
      <c r="H20" s="116" t="s">
        <v>7061</v>
      </c>
      <c r="I20" s="104" t="s">
        <v>7062</v>
      </c>
      <c r="J20" s="104"/>
      <c r="K20" s="117"/>
      <c r="L20" s="105" t="n">
        <v>-19.861116415930699</v>
      </c>
      <c r="M20" s="105" t="n">
        <v>-43.9429180344492</v>
      </c>
      <c r="N20" s="105" t="n">
        <v>610677.817573198</v>
      </c>
      <c r="O20" s="105" t="n">
        <v>7803540.5343625797</v>
      </c>
    </row>
    <row r="21" ht="30" customHeight="1">
      <c r="A21" s="105" t="s">
        <v>8923</v>
      </c>
      <c r="B21" s="105" t="s">
        <v>7064</v>
      </c>
      <c r="C21" s="30" t="s">
        <v>7063</v>
      </c>
      <c r="D21" s="30" t="s">
        <v>8924</v>
      </c>
      <c r="E21" s="104" t="s">
        <v>7065</v>
      </c>
      <c r="F21" s="104" t="s">
        <v>7066</v>
      </c>
      <c r="G21" s="104" t="s">
        <v>6997</v>
      </c>
      <c r="H21" s="116" t="s">
        <v>7061</v>
      </c>
      <c r="I21" s="104" t="s">
        <v>7062</v>
      </c>
      <c r="J21" s="104"/>
      <c r="K21" s="117"/>
      <c r="L21" s="105" t="n">
        <v>-19.8611606180556</v>
      </c>
      <c r="M21" s="105" t="n">
        <v>-43.9424497847222</v>
      </c>
      <c r="N21" s="105" t="n">
        <v>610726.817541786</v>
      </c>
      <c r="O21" s="105" t="n">
        <v>7803535.33495472</v>
      </c>
    </row>
    <row r="22" ht="30" customHeight="1">
      <c r="A22" s="105" t="s">
        <v>8925</v>
      </c>
      <c r="B22" s="105" t="s">
        <v>7068</v>
      </c>
      <c r="C22" s="30" t="s">
        <v>7067</v>
      </c>
      <c r="D22" s="30" t="s">
        <v>8926</v>
      </c>
      <c r="E22" s="104" t="s">
        <v>7069</v>
      </c>
      <c r="F22" s="104" t="s">
        <v>7031</v>
      </c>
      <c r="G22" s="104" t="s">
        <v>6983</v>
      </c>
      <c r="H22" s="116" t="s">
        <v>7032</v>
      </c>
      <c r="I22" s="97" t="s">
        <v>7070</v>
      </c>
      <c r="J22" s="104"/>
      <c r="K22" s="117"/>
      <c r="L22" s="105" t="n">
        <v>-19.969313195762901</v>
      </c>
      <c r="M22" s="105" t="n">
        <v>-43.960448635128998</v>
      </c>
      <c r="N22" s="105" t="n">
        <v>608768.17093700403</v>
      </c>
      <c r="O22" s="105" t="n">
        <v>7791577.4801482297</v>
      </c>
    </row>
    <row r="23" ht="45" customHeight="1">
      <c r="A23" s="105" t="s">
        <v>8927</v>
      </c>
      <c r="B23" s="105" t="s">
        <v>7072</v>
      </c>
      <c r="C23" s="30" t="s">
        <v>7071</v>
      </c>
      <c r="D23" s="30" t="s">
        <v>8928</v>
      </c>
      <c r="E23" s="104" t="s">
        <v>7071</v>
      </c>
      <c r="F23" s="104" t="s">
        <v>7051</v>
      </c>
      <c r="G23" s="104" t="s">
        <v>6983</v>
      </c>
      <c r="H23" s="116" t="s">
        <v>6984</v>
      </c>
      <c r="I23" s="104" t="s">
        <v>7073</v>
      </c>
      <c r="J23" s="104"/>
      <c r="K23" s="117"/>
      <c r="L23" s="105" t="n">
        <v>-19.951792432387901</v>
      </c>
      <c r="M23" s="105" t="n">
        <v>-44.003537477178298</v>
      </c>
      <c r="N23" s="105" t="n">
        <v>604270.9</v>
      </c>
      <c r="O23" s="105" t="n">
        <v>7793544</v>
      </c>
    </row>
    <row r="24" ht="45" customHeight="1">
      <c r="A24" s="105" t="s">
        <v>8929</v>
      </c>
      <c r="B24" s="105" t="s">
        <v>7075</v>
      </c>
      <c r="C24" s="30" t="s">
        <v>7074</v>
      </c>
      <c r="D24" s="30" t="s">
        <v>8930</v>
      </c>
      <c r="E24" s="104" t="s">
        <v>7074</v>
      </c>
      <c r="F24" s="104" t="s">
        <v>7076</v>
      </c>
      <c r="G24" s="104" t="s">
        <v>7077</v>
      </c>
      <c r="H24" s="116" t="s">
        <v>7078</v>
      </c>
      <c r="I24" s="104" t="s">
        <v>7079</v>
      </c>
      <c r="J24" s="104" t="s">
        <v>7080</v>
      </c>
      <c r="K24" s="117" t="s">
        <v>7081</v>
      </c>
      <c r="L24" s="105" t="n">
        <v>-20.000284000000001</v>
      </c>
      <c r="M24" s="105" t="n">
        <v>-44.042068</v>
      </c>
      <c r="N24" s="105" t="n">
        <v>600208.11582912202</v>
      </c>
      <c r="O24" s="105" t="n">
        <v>7788200.7344245203</v>
      </c>
    </row>
    <row r="25">
      <c r="A25" s="105" t="s">
        <v>8931</v>
      </c>
      <c r="B25" s="105" t="s">
        <v>7083</v>
      </c>
      <c r="C25" s="30" t="s">
        <v>7082</v>
      </c>
      <c r="D25" s="30" t="s">
        <v>8932</v>
      </c>
      <c r="E25" s="104" t="s">
        <v>7084</v>
      </c>
      <c r="F25" s="104" t="s">
        <v>7085</v>
      </c>
      <c r="G25" s="104" t="s">
        <v>7086</v>
      </c>
      <c r="H25" s="116" t="s">
        <v>7087</v>
      </c>
      <c r="I25" s="97" t="s">
        <v>7082</v>
      </c>
      <c r="J25" s="104"/>
      <c r="K25" s="117" t="s">
        <v>7088</v>
      </c>
      <c r="L25" s="105" t="n">
        <v>-19.8265833333333</v>
      </c>
      <c r="M25" s="105" t="n">
        <v>-43.984228333333299</v>
      </c>
      <c r="N25" s="105" t="n">
        <v>606375.22159892996</v>
      </c>
      <c r="O25" s="105" t="n">
        <v>7807388.9501353204</v>
      </c>
    </row>
    <row r="26" ht="30" customHeight="1">
      <c r="A26" s="105" t="s">
        <v>8933</v>
      </c>
      <c r="B26" s="105" t="s">
        <v>7090</v>
      </c>
      <c r="C26" s="30" t="s">
        <v>7089</v>
      </c>
      <c r="D26" s="30" t="s">
        <v>8934</v>
      </c>
      <c r="E26" s="104" t="s">
        <v>7089</v>
      </c>
      <c r="F26" s="104" t="s">
        <v>7091</v>
      </c>
      <c r="G26" s="104" t="s">
        <v>7077</v>
      </c>
      <c r="H26" s="116" t="s">
        <v>7092</v>
      </c>
      <c r="I26" s="104" t="s">
        <v>7093</v>
      </c>
      <c r="J26" s="104" t="s">
        <v>7094</v>
      </c>
      <c r="K26" s="117"/>
      <c r="L26" s="105" t="n">
        <v>-19.993917</v>
      </c>
      <c r="M26" s="105" t="n">
        <v>-44.028756999999999</v>
      </c>
      <c r="N26" s="105" t="n">
        <v>601604.75090947398</v>
      </c>
      <c r="O26" s="105" t="n">
        <v>7788897.3653815398</v>
      </c>
    </row>
    <row r="27" ht="45" customHeight="1">
      <c r="A27" s="105" t="s">
        <v>8935</v>
      </c>
      <c r="B27" s="105" t="s">
        <v>7096</v>
      </c>
      <c r="C27" s="30" t="s">
        <v>7095</v>
      </c>
      <c r="D27" s="30" t="s">
        <v>8936</v>
      </c>
      <c r="E27" s="104" t="s">
        <v>7097</v>
      </c>
      <c r="F27" s="104" t="s">
        <v>7055</v>
      </c>
      <c r="G27" s="104" t="s">
        <v>7015</v>
      </c>
      <c r="H27" s="116" t="s">
        <v>7056</v>
      </c>
      <c r="I27" s="104" t="s">
        <v>7098</v>
      </c>
      <c r="J27" s="104" t="s">
        <v>7099</v>
      </c>
      <c r="K27" s="117" t="s">
        <v>7100</v>
      </c>
      <c r="L27" s="105" t="n">
        <v>-19.901598026256899</v>
      </c>
      <c r="M27" s="105" t="n">
        <v>-43.921376131678201</v>
      </c>
      <c r="N27" s="105" t="n">
        <v>612904.80000000005</v>
      </c>
      <c r="O27" s="105" t="n">
        <v>7799046</v>
      </c>
    </row>
    <row r="28">
      <c r="A28" s="105" t="s">
        <v>8937</v>
      </c>
      <c r="B28" s="105" t="s">
        <v>7102</v>
      </c>
      <c r="C28" s="30" t="s">
        <v>7101</v>
      </c>
      <c r="D28" s="30" t="s">
        <v>8938</v>
      </c>
      <c r="E28" s="104" t="s">
        <v>7103</v>
      </c>
      <c r="F28" s="104" t="s">
        <v>7104</v>
      </c>
      <c r="G28" s="104" t="s">
        <v>7077</v>
      </c>
      <c r="H28" s="116" t="s">
        <v>7105</v>
      </c>
      <c r="I28" s="104" t="s">
        <v>7093</v>
      </c>
      <c r="J28" s="104" t="s">
        <v>7106</v>
      </c>
      <c r="K28" s="117" t="s">
        <v>7107</v>
      </c>
      <c r="L28" s="105" t="n">
        <v>-19.994062</v>
      </c>
      <c r="M28" s="105" t="n">
        <v>-44.029606999999999</v>
      </c>
      <c r="N28" s="105" t="n">
        <v>601515.73026432702</v>
      </c>
      <c r="O28" s="105" t="n">
        <v>7788881.8331677997</v>
      </c>
    </row>
    <row r="29" ht="30" customHeight="1">
      <c r="A29" s="105" t="s">
        <v>8939</v>
      </c>
      <c r="B29" s="105" t="s">
        <v>7109</v>
      </c>
      <c r="C29" s="30" t="s">
        <v>7108</v>
      </c>
      <c r="D29" s="30" t="s">
        <v>8940</v>
      </c>
      <c r="E29" s="104" t="s">
        <v>7110</v>
      </c>
      <c r="F29" s="104" t="s">
        <v>7111</v>
      </c>
      <c r="G29" s="104" t="s">
        <v>7086</v>
      </c>
      <c r="H29" s="116" t="s">
        <v>7112</v>
      </c>
      <c r="I29" s="104" t="s">
        <v>7113</v>
      </c>
      <c r="J29" s="104" t="s">
        <v>7114</v>
      </c>
      <c r="K29" s="117" t="s">
        <v>7115</v>
      </c>
      <c r="L29" s="105" t="n">
        <v>-19.826632740078601</v>
      </c>
      <c r="M29" s="105" t="n">
        <v>-44.002411642629902</v>
      </c>
      <c r="N29" s="105" t="n">
        <v>604470.81795443199</v>
      </c>
      <c r="O29" s="105" t="n">
        <v>7807394.8320680996</v>
      </c>
    </row>
    <row r="30" ht="30" customHeight="1">
      <c r="A30" s="105" t="s">
        <v>8941</v>
      </c>
      <c r="B30" s="105" t="s">
        <v>7117</v>
      </c>
      <c r="C30" s="30" t="s">
        <v>7116</v>
      </c>
      <c r="D30" s="30" t="s">
        <v>8942</v>
      </c>
      <c r="E30" s="104" t="s">
        <v>7118</v>
      </c>
      <c r="F30" s="104" t="s">
        <v>7119</v>
      </c>
      <c r="G30" s="104" t="s">
        <v>7077</v>
      </c>
      <c r="H30" s="116" t="s">
        <v>7105</v>
      </c>
      <c r="I30" s="104" t="s">
        <v>7120</v>
      </c>
      <c r="J30" s="104"/>
      <c r="K30" s="117" t="s">
        <v>7121</v>
      </c>
      <c r="L30" s="105" t="n">
        <v>-20.003005843603098</v>
      </c>
      <c r="M30" s="105" t="n">
        <v>-44.037894518201398</v>
      </c>
      <c r="N30" s="105" t="n">
        <v>600643</v>
      </c>
      <c r="O30" s="105" t="n">
        <v>7787897</v>
      </c>
    </row>
    <row r="31">
      <c r="A31" s="105" t="s">
        <v>8943</v>
      </c>
      <c r="B31" s="105" t="s">
        <v>7123</v>
      </c>
      <c r="C31" s="30" t="s">
        <v>7122</v>
      </c>
      <c r="D31" s="30" t="s">
        <v>8944</v>
      </c>
      <c r="E31" s="104" t="s">
        <v>7124</v>
      </c>
      <c r="F31" s="104" t="s">
        <v>7125</v>
      </c>
      <c r="G31" s="104" t="s">
        <v>7126</v>
      </c>
      <c r="H31" s="116" t="s">
        <v>7127</v>
      </c>
      <c r="I31" s="104" t="s">
        <v>7128</v>
      </c>
      <c r="J31" s="104"/>
      <c r="K31" s="117"/>
      <c r="L31" s="105" t="n">
        <v>-19.813309870808698</v>
      </c>
      <c r="M31" s="105" t="n">
        <v>-43.893824259774497</v>
      </c>
      <c r="N31" s="105" t="n">
        <v>615853.19999999995</v>
      </c>
      <c r="O31" s="105" t="n">
        <v>7808799</v>
      </c>
    </row>
    <row r="32" ht="30" customHeight="1">
      <c r="A32" s="105" t="s">
        <v>8945</v>
      </c>
      <c r="B32" s="105" t="s">
        <v>7130</v>
      </c>
      <c r="C32" s="30" t="s">
        <v>7129</v>
      </c>
      <c r="D32" s="30" t="s">
        <v>8946</v>
      </c>
      <c r="E32" s="104" t="s">
        <v>7131</v>
      </c>
      <c r="F32" s="104" t="s">
        <v>7014</v>
      </c>
      <c r="G32" s="104" t="s">
        <v>7015</v>
      </c>
      <c r="H32" s="116" t="s">
        <v>7016</v>
      </c>
      <c r="I32" s="104" t="s">
        <v>7132</v>
      </c>
      <c r="J32" s="104" t="s">
        <v>7133</v>
      </c>
      <c r="K32" s="117" t="s">
        <v>7134</v>
      </c>
      <c r="L32" s="105" t="n">
        <v>-19.896210665819201</v>
      </c>
      <c r="M32" s="105" t="n">
        <v>-43.891612756582497</v>
      </c>
      <c r="N32" s="105" t="n">
        <v>616024.5</v>
      </c>
      <c r="O32" s="105" t="n">
        <v>7799622</v>
      </c>
    </row>
    <row r="33" ht="30" customHeight="1">
      <c r="A33" s="105" t="s">
        <v>8947</v>
      </c>
      <c r="B33" s="105" t="s">
        <v>7136</v>
      </c>
      <c r="C33" s="30" t="s">
        <v>7135</v>
      </c>
      <c r="D33" s="30" t="s">
        <v>8948</v>
      </c>
      <c r="E33" s="95" t="s">
        <v>7137</v>
      </c>
      <c r="F33" s="104" t="s">
        <v>7014</v>
      </c>
      <c r="G33" s="104" t="s">
        <v>7015</v>
      </c>
      <c r="H33" s="116" t="s">
        <v>7016</v>
      </c>
      <c r="I33" s="104" t="s">
        <v>7138</v>
      </c>
      <c r="J33" s="104" t="s">
        <v>7139</v>
      </c>
      <c r="K33" s="117" t="s">
        <v>7140</v>
      </c>
      <c r="L33" s="105" t="n">
        <v>-19.895117150522701</v>
      </c>
      <c r="M33" s="105" t="n">
        <v>-43.890127381761403</v>
      </c>
      <c r="N33" s="105" t="n">
        <v>616180.80000000005</v>
      </c>
      <c r="O33" s="105" t="n">
        <v>7799742</v>
      </c>
    </row>
    <row r="34" ht="30" customHeight="1">
      <c r="A34" s="105" t="s">
        <v>8949</v>
      </c>
      <c r="B34" s="105" t="s">
        <v>7142</v>
      </c>
      <c r="C34" s="30" t="s">
        <v>7141</v>
      </c>
      <c r="D34" s="30" t="s">
        <v>8950</v>
      </c>
      <c r="E34" s="104" t="s">
        <v>7143</v>
      </c>
      <c r="F34" s="104" t="s">
        <v>7144</v>
      </c>
      <c r="G34" s="104" t="s">
        <v>7015</v>
      </c>
      <c r="H34" s="116" t="s">
        <v>7056</v>
      </c>
      <c r="I34" s="104" t="s">
        <v>7145</v>
      </c>
      <c r="J34" s="104" t="s">
        <v>7146</v>
      </c>
      <c r="K34" s="117" t="s">
        <v>7147</v>
      </c>
      <c r="L34" s="105" t="n">
        <v>-19.897357861758</v>
      </c>
      <c r="M34" s="105" t="n">
        <v>-43.919096944819401</v>
      </c>
      <c r="N34" s="105" t="n">
        <v>613146.40911177301</v>
      </c>
      <c r="O34" s="105" t="n">
        <v>7799513.7451230502</v>
      </c>
    </row>
    <row r="35">
      <c r="A35" s="105" t="s">
        <v>8951</v>
      </c>
      <c r="B35" s="105" t="s">
        <v>7149</v>
      </c>
      <c r="C35" s="30" t="s">
        <v>7148</v>
      </c>
      <c r="D35" s="30" t="s">
        <v>8952</v>
      </c>
      <c r="E35" s="104" t="s">
        <v>7150</v>
      </c>
      <c r="F35" s="104" t="s">
        <v>7151</v>
      </c>
      <c r="G35" s="104" t="s">
        <v>6997</v>
      </c>
      <c r="H35" s="116" t="s">
        <v>7152</v>
      </c>
      <c r="I35" s="104" t="s">
        <v>7153</v>
      </c>
      <c r="J35" s="104" t="s">
        <v>7154</v>
      </c>
      <c r="K35" s="117" t="s">
        <v>7155</v>
      </c>
      <c r="L35" s="105" t="n">
        <v>-19.864172299057302</v>
      </c>
      <c r="M35" s="105" t="n">
        <v>-44.005178018708698</v>
      </c>
      <c r="N35" s="105" t="n">
        <v>604156.6</v>
      </c>
      <c r="O35" s="105" t="n">
        <v>7803242</v>
      </c>
    </row>
    <row r="36" ht="30" customHeight="1">
      <c r="A36" s="105" t="s">
        <v>8953</v>
      </c>
      <c r="B36" s="105" t="s">
        <v>7157</v>
      </c>
      <c r="C36" s="30" t="s">
        <v>7156</v>
      </c>
      <c r="D36" s="30" t="s">
        <v>8954</v>
      </c>
      <c r="E36" s="104" t="s">
        <v>7158</v>
      </c>
      <c r="F36" s="104" t="s">
        <v>7159</v>
      </c>
      <c r="G36" s="104" t="s">
        <v>7160</v>
      </c>
      <c r="H36" s="116" t="s">
        <v>7161</v>
      </c>
      <c r="I36" s="104" t="s">
        <v>7162</v>
      </c>
      <c r="J36" s="104" t="s">
        <v>7163</v>
      </c>
      <c r="K36" s="117" t="s">
        <v>7164</v>
      </c>
      <c r="L36" s="105" t="n">
        <v>-19.9288073807381</v>
      </c>
      <c r="M36" s="105" t="n">
        <v>-43.909209560972798</v>
      </c>
      <c r="N36" s="105" t="n">
        <v>614158.92164726299</v>
      </c>
      <c r="O36" s="105" t="n">
        <v>7796026.4104554905</v>
      </c>
    </row>
    <row r="37" ht="30" customHeight="1">
      <c r="A37" s="105" t="s">
        <v>8955</v>
      </c>
      <c r="B37" s="105" t="s">
        <v>7166</v>
      </c>
      <c r="C37" s="30" t="s">
        <v>7165</v>
      </c>
      <c r="D37" s="30" t="s">
        <v>8956</v>
      </c>
      <c r="E37" s="104" t="s">
        <v>7167</v>
      </c>
      <c r="F37" s="104" t="s">
        <v>7168</v>
      </c>
      <c r="G37" s="104" t="s">
        <v>6983</v>
      </c>
      <c r="H37" s="116" t="s">
        <v>6984</v>
      </c>
      <c r="I37" s="104" t="s">
        <v>7169</v>
      </c>
      <c r="J37" s="104" t="s">
        <v>7170</v>
      </c>
      <c r="K37" s="117" t="s">
        <v>7171</v>
      </c>
      <c r="L37" s="105" t="n">
        <v>-19.943648</v>
      </c>
      <c r="M37" s="105" t="n">
        <v>-43.988411999999997</v>
      </c>
      <c r="N37" s="105" t="n">
        <v>605859.24664183799</v>
      </c>
      <c r="O37" s="105" t="n">
        <v>7794435.8076795796</v>
      </c>
    </row>
    <row r="38" ht="30" customHeight="1">
      <c r="A38" s="105" t="s">
        <v>8957</v>
      </c>
      <c r="B38" s="105" t="s">
        <v>7173</v>
      </c>
      <c r="C38" s="30" t="s">
        <v>7172</v>
      </c>
      <c r="D38" s="105" t="s">
        <v>8958</v>
      </c>
      <c r="E38" s="95" t="s">
        <v>7174</v>
      </c>
      <c r="F38" s="104" t="s">
        <v>7175</v>
      </c>
      <c r="G38" s="104" t="s">
        <v>7086</v>
      </c>
      <c r="H38" s="116" t="s">
        <v>7087</v>
      </c>
      <c r="I38" s="104" t="s">
        <v>7176</v>
      </c>
      <c r="J38" s="104" t="s">
        <v>7018</v>
      </c>
      <c r="K38" s="117" t="s">
        <v>7177</v>
      </c>
      <c r="L38" s="105" t="n">
        <v>-19.813927099093402</v>
      </c>
      <c r="M38" s="105" t="n">
        <v>-43.9792890367425</v>
      </c>
      <c r="N38" s="105" t="n">
        <v>606900.98630565999</v>
      </c>
      <c r="O38" s="105" t="n">
        <v>7808786.5146667399</v>
      </c>
    </row>
    <row r="39" ht="30" customHeight="1">
      <c r="A39" s="105" t="s">
        <v>8959</v>
      </c>
      <c r="B39" s="105" t="s">
        <v>7179</v>
      </c>
      <c r="C39" s="30" t="s">
        <v>7178</v>
      </c>
      <c r="D39" s="105" t="s">
        <v>8960</v>
      </c>
      <c r="E39" s="95" t="s">
        <v>7180</v>
      </c>
      <c r="F39" s="104" t="s">
        <v>7181</v>
      </c>
      <c r="G39" s="104" t="s">
        <v>6997</v>
      </c>
      <c r="H39" s="116" t="s">
        <v>7038</v>
      </c>
      <c r="I39" s="104" t="s">
        <v>7182</v>
      </c>
      <c r="J39" s="104" t="s">
        <v>7183</v>
      </c>
      <c r="K39" s="117" t="s">
        <v>7184</v>
      </c>
      <c r="L39" s="105" t="n">
        <v>-19.8404885342967</v>
      </c>
      <c r="M39" s="105" t="n">
        <v>-43.956467285567598</v>
      </c>
      <c r="N39" s="105" t="n">
        <v>609273.19234571396</v>
      </c>
      <c r="O39" s="105" t="n">
        <v>7805832.3077274803</v>
      </c>
    </row>
    <row r="40" ht="30" customHeight="1">
      <c r="A40" s="105" t="s">
        <v>8961</v>
      </c>
      <c r="B40" s="105" t="s">
        <v>7186</v>
      </c>
      <c r="C40" s="30" t="s">
        <v>7185</v>
      </c>
      <c r="D40" s="105" t="s">
        <v>8962</v>
      </c>
      <c r="E40" s="95" t="s">
        <v>7187</v>
      </c>
      <c r="F40" s="104" t="s">
        <v>7188</v>
      </c>
      <c r="G40" s="104" t="s">
        <v>7086</v>
      </c>
      <c r="H40" s="116" t="s">
        <v>7087</v>
      </c>
      <c r="I40" s="104" t="s">
        <v>7189</v>
      </c>
      <c r="J40" s="104"/>
      <c r="K40" s="117" t="s">
        <v>7190</v>
      </c>
      <c r="L40" s="105" t="n">
        <v>-19.819282622454701</v>
      </c>
      <c r="M40" s="105" t="n">
        <v>-43.986105416188401</v>
      </c>
      <c r="N40" s="105" t="n">
        <v>606183.5</v>
      </c>
      <c r="O40" s="105" t="n">
        <v>7808198</v>
      </c>
    </row>
    <row r="41" ht="30" customHeight="1">
      <c r="A41" s="105" t="s">
        <v>8963</v>
      </c>
      <c r="B41" s="105" t="s">
        <v>7186</v>
      </c>
      <c r="C41" s="30" t="s">
        <v>7185</v>
      </c>
      <c r="D41" s="110" t="s">
        <v>8964</v>
      </c>
      <c r="E41" s="95" t="s">
        <v>7187</v>
      </c>
      <c r="F41" s="104" t="s">
        <v>7188</v>
      </c>
      <c r="G41" s="104" t="s">
        <v>7086</v>
      </c>
      <c r="H41" s="116" t="s">
        <v>7087</v>
      </c>
      <c r="I41" s="104" t="s">
        <v>7189</v>
      </c>
      <c r="J41" s="104"/>
      <c r="K41" s="104" t="s">
        <v>7190</v>
      </c>
      <c r="L41" s="105" t="n">
        <v>-19.819282622454701</v>
      </c>
      <c r="M41" s="105" t="n">
        <v>-43.986105416188401</v>
      </c>
      <c r="N41" s="105" t="n">
        <v>606183.5</v>
      </c>
      <c r="O41" s="105" t="n">
        <v>7808198</v>
      </c>
    </row>
    <row r="42" ht="30" customHeight="1">
      <c r="A42" s="105" t="s">
        <v>8965</v>
      </c>
      <c r="B42" s="105" t="s">
        <v>7186</v>
      </c>
      <c r="C42" s="30" t="s">
        <v>7185</v>
      </c>
      <c r="D42" s="110" t="s">
        <v>8966</v>
      </c>
      <c r="E42" s="95" t="s">
        <v>7187</v>
      </c>
      <c r="F42" s="104" t="s">
        <v>7188</v>
      </c>
      <c r="G42" s="104" t="s">
        <v>7086</v>
      </c>
      <c r="H42" s="116" t="s">
        <v>7087</v>
      </c>
      <c r="I42" s="104" t="s">
        <v>7189</v>
      </c>
      <c r="J42" s="104"/>
      <c r="K42" s="117" t="s">
        <v>7190</v>
      </c>
      <c r="L42" s="105" t="n">
        <v>-19.819282622454701</v>
      </c>
      <c r="M42" s="105" t="n">
        <v>-43.986105416188401</v>
      </c>
      <c r="N42" s="105" t="n">
        <v>606183.5</v>
      </c>
      <c r="O42" s="105" t="n">
        <v>7808198</v>
      </c>
    </row>
    <row r="43" ht="30" customHeight="1">
      <c r="A43" s="105" t="s">
        <v>8967</v>
      </c>
      <c r="B43" s="105" t="s">
        <v>7192</v>
      </c>
      <c r="C43" s="30" t="s">
        <v>7191</v>
      </c>
      <c r="D43" s="30" t="s">
        <v>8968</v>
      </c>
      <c r="E43" s="104" t="s">
        <v>7193</v>
      </c>
      <c r="F43" s="104" t="s">
        <v>7085</v>
      </c>
      <c r="G43" s="104" t="s">
        <v>7086</v>
      </c>
      <c r="H43" s="116" t="s">
        <v>7087</v>
      </c>
      <c r="I43" s="104" t="s">
        <v>7194</v>
      </c>
      <c r="J43" s="104" t="s">
        <v>7195</v>
      </c>
      <c r="K43" s="117" t="s">
        <v>7196</v>
      </c>
      <c r="L43" s="105" t="n">
        <v>-19.8149937186625</v>
      </c>
      <c r="M43" s="105" t="n">
        <v>-43.959762341761198</v>
      </c>
      <c r="N43" s="105" t="n">
        <v>608945.5</v>
      </c>
      <c r="O43" s="105" t="n">
        <v>7808656</v>
      </c>
    </row>
    <row r="44" ht="30" customHeight="1">
      <c r="A44" s="105" t="s">
        <v>8969</v>
      </c>
      <c r="B44" s="105" t="s">
        <v>7198</v>
      </c>
      <c r="C44" s="30" t="s">
        <v>7197</v>
      </c>
      <c r="D44" s="30" t="s">
        <v>8970</v>
      </c>
      <c r="E44" s="104" t="s">
        <v>7199</v>
      </c>
      <c r="F44" s="104" t="s">
        <v>7200</v>
      </c>
      <c r="G44" s="104" t="s">
        <v>7086</v>
      </c>
      <c r="H44" s="116" t="s">
        <v>7201</v>
      </c>
      <c r="I44" s="104" t="s">
        <v>7202</v>
      </c>
      <c r="J44" s="104" t="s">
        <v>7203</v>
      </c>
      <c r="K44" s="117" t="s">
        <v>7204</v>
      </c>
      <c r="L44" s="105" t="n">
        <v>-19.799872000000001</v>
      </c>
      <c r="M44" s="105" t="n">
        <v>-43.972940999999999</v>
      </c>
      <c r="N44" s="105" t="n">
        <v>607575.33250579599</v>
      </c>
      <c r="O44" s="105" t="n">
        <v>7810337.9841545196</v>
      </c>
    </row>
    <row r="45" ht="30" customHeight="1">
      <c r="A45" s="105" t="s">
        <v>8971</v>
      </c>
      <c r="B45" s="105" t="s">
        <v>7206</v>
      </c>
      <c r="C45" s="30" t="s">
        <v>7205</v>
      </c>
      <c r="D45" s="30" t="s">
        <v>8972</v>
      </c>
      <c r="E45" s="104" t="s">
        <v>7207</v>
      </c>
      <c r="F45" s="104" t="s">
        <v>7085</v>
      </c>
      <c r="G45" s="104" t="s">
        <v>7086</v>
      </c>
      <c r="H45" s="116" t="s">
        <v>7087</v>
      </c>
      <c r="I45" s="104" t="s">
        <v>7194</v>
      </c>
      <c r="J45" s="104" t="s">
        <v>7208</v>
      </c>
      <c r="K45" s="117" t="s">
        <v>7209</v>
      </c>
      <c r="L45" s="105" t="n">
        <v>-19.818788000000001</v>
      </c>
      <c r="M45" s="105" t="n">
        <v>-43.953426</v>
      </c>
      <c r="N45" s="105" t="n">
        <v>609606.570067005</v>
      </c>
      <c r="O45" s="105" t="n">
        <v>7808231.98169073</v>
      </c>
    </row>
    <row r="46" ht="30" customHeight="1">
      <c r="A46" s="105" t="s">
        <v>8973</v>
      </c>
      <c r="B46" s="105" t="s">
        <v>7211</v>
      </c>
      <c r="C46" s="30" t="s">
        <v>7210</v>
      </c>
      <c r="D46" s="30" t="s">
        <v>8974</v>
      </c>
      <c r="E46" s="104" t="s">
        <v>7212</v>
      </c>
      <c r="F46" s="104" t="s">
        <v>7213</v>
      </c>
      <c r="G46" s="104" t="s">
        <v>7015</v>
      </c>
      <c r="H46" s="116" t="s">
        <v>7016</v>
      </c>
      <c r="I46" s="104" t="s">
        <v>7214</v>
      </c>
      <c r="J46" s="104" t="s">
        <v>7215</v>
      </c>
      <c r="K46" s="117" t="s">
        <v>7216</v>
      </c>
      <c r="L46" s="105" t="n">
        <v>-19.890934999999999</v>
      </c>
      <c r="M46" s="105" t="n">
        <v>-43.897810999999997</v>
      </c>
      <c r="N46" s="105" t="n">
        <v>615379.43649094505</v>
      </c>
      <c r="O46" s="105" t="n">
        <v>7800210.1422999399</v>
      </c>
    </row>
    <row r="47" ht="30" customHeight="1">
      <c r="A47" s="105" t="s">
        <v>8975</v>
      </c>
      <c r="B47" s="105" t="s">
        <v>7218</v>
      </c>
      <c r="C47" s="30" t="s">
        <v>7217</v>
      </c>
      <c r="D47" s="105" t="s">
        <v>8976</v>
      </c>
      <c r="E47" s="104" t="s">
        <v>7219</v>
      </c>
      <c r="F47" s="104" t="s">
        <v>7220</v>
      </c>
      <c r="G47" s="104" t="s">
        <v>7077</v>
      </c>
      <c r="H47" s="116" t="s">
        <v>7221</v>
      </c>
      <c r="I47" s="104" t="s">
        <v>7222</v>
      </c>
      <c r="J47" s="104" t="s">
        <v>7223</v>
      </c>
      <c r="K47" s="117"/>
      <c r="L47" s="105" t="n">
        <v>-19.9838504267926</v>
      </c>
      <c r="M47" s="105" t="n">
        <v>-43.992395841752398</v>
      </c>
      <c r="N47" s="105" t="n">
        <v>605415.6</v>
      </c>
      <c r="O47" s="105" t="n">
        <v>7789989</v>
      </c>
    </row>
    <row r="48" ht="30" customHeight="1">
      <c r="A48" s="105" t="s">
        <v>8977</v>
      </c>
      <c r="B48" s="105" t="s">
        <v>7225</v>
      </c>
      <c r="C48" s="30" t="s">
        <v>7224</v>
      </c>
      <c r="D48" s="30" t="s">
        <v>8978</v>
      </c>
      <c r="E48" s="104" t="s">
        <v>7226</v>
      </c>
      <c r="F48" s="104" t="s">
        <v>7227</v>
      </c>
      <c r="G48" s="104" t="s">
        <v>6983</v>
      </c>
      <c r="H48" s="116" t="s">
        <v>7228</v>
      </c>
      <c r="I48" s="104" t="s">
        <v>7229</v>
      </c>
      <c r="J48" s="104" t="s">
        <v>7230</v>
      </c>
      <c r="K48" s="117" t="s">
        <v>7231</v>
      </c>
      <c r="L48" s="105" t="n">
        <v>-19.948322000000001</v>
      </c>
      <c r="M48" s="105" t="n">
        <v>-43.979931999999998</v>
      </c>
      <c r="N48" s="105" t="n">
        <v>606743.57994832995</v>
      </c>
      <c r="O48" s="105" t="n">
        <v>7793913.1550738802</v>
      </c>
    </row>
    <row r="49" ht="30" customHeight="1">
      <c r="A49" s="105" t="s">
        <v>8979</v>
      </c>
      <c r="B49" s="105" t="s">
        <v>7233</v>
      </c>
      <c r="C49" s="30" t="s">
        <v>7232</v>
      </c>
      <c r="D49" s="30" t="s">
        <v>8980</v>
      </c>
      <c r="E49" s="104" t="s">
        <v>7234</v>
      </c>
      <c r="F49" s="104" t="s">
        <v>7235</v>
      </c>
      <c r="G49" s="104" t="s">
        <v>7006</v>
      </c>
      <c r="H49" s="116" t="s">
        <v>7236</v>
      </c>
      <c r="I49" s="104" t="s">
        <v>7237</v>
      </c>
      <c r="J49" s="104" t="s">
        <v>7238</v>
      </c>
      <c r="K49" s="117" t="s">
        <v>7239</v>
      </c>
      <c r="L49" s="105" t="n">
        <v>-19.880877999999999</v>
      </c>
      <c r="M49" s="105" t="n">
        <v>-43.930793999999999</v>
      </c>
      <c r="N49" s="105" t="n">
        <v>611933.45849562599</v>
      </c>
      <c r="O49" s="105" t="n">
        <v>7801345.4502642499</v>
      </c>
    </row>
    <row r="50" ht="30" customHeight="1">
      <c r="A50" s="105" t="s">
        <v>8981</v>
      </c>
      <c r="B50" s="105" t="s">
        <v>7233</v>
      </c>
      <c r="C50" s="30" t="s">
        <v>7232</v>
      </c>
      <c r="D50" s="30" t="s">
        <v>8982</v>
      </c>
      <c r="E50" s="104" t="s">
        <v>7234</v>
      </c>
      <c r="F50" s="104" t="s">
        <v>7235</v>
      </c>
      <c r="G50" s="104" t="s">
        <v>7006</v>
      </c>
      <c r="H50" s="116" t="s">
        <v>7236</v>
      </c>
      <c r="I50" s="104" t="s">
        <v>7237</v>
      </c>
      <c r="J50" s="104" t="s">
        <v>7238</v>
      </c>
      <c r="K50" s="117" t="s">
        <v>7239</v>
      </c>
      <c r="L50" s="105" t="n">
        <v>-19.880877999999999</v>
      </c>
      <c r="M50" s="105" t="n">
        <v>-43.930793999999999</v>
      </c>
      <c r="N50" s="105" t="n">
        <v>611933.45849562599</v>
      </c>
      <c r="O50" s="105" t="n">
        <v>7801345.4502642499</v>
      </c>
    </row>
    <row r="51" ht="30" customHeight="1">
      <c r="A51" s="105" t="s">
        <v>8983</v>
      </c>
      <c r="B51" s="105" t="s">
        <v>7241</v>
      </c>
      <c r="C51" s="30" t="s">
        <v>7240</v>
      </c>
      <c r="D51" s="30" t="s">
        <v>8984</v>
      </c>
      <c r="E51" s="104" t="s">
        <v>7242</v>
      </c>
      <c r="F51" s="104" t="s">
        <v>7243</v>
      </c>
      <c r="G51" s="104" t="s">
        <v>6974</v>
      </c>
      <c r="H51" s="116" t="s">
        <v>7244</v>
      </c>
      <c r="I51" s="104" t="s">
        <v>7245</v>
      </c>
      <c r="J51" s="104" t="s">
        <v>7246</v>
      </c>
      <c r="K51" s="117" t="s">
        <v>7247</v>
      </c>
      <c r="L51" s="105" t="n">
        <v>-19.912393999999999</v>
      </c>
      <c r="M51" s="105" t="n">
        <v>-43.972982000000002</v>
      </c>
      <c r="N51" s="105" t="n">
        <v>607495.21116192802</v>
      </c>
      <c r="O51" s="105" t="n">
        <v>7797884.9768787399</v>
      </c>
    </row>
    <row r="52" ht="45" customHeight="1">
      <c r="A52" s="105" t="s">
        <v>8985</v>
      </c>
      <c r="B52" s="105" t="s">
        <v>7249</v>
      </c>
      <c r="C52" s="30" t="s">
        <v>7248</v>
      </c>
      <c r="D52" s="30" t="s">
        <v>8986</v>
      </c>
      <c r="E52" s="104" t="s">
        <v>7250</v>
      </c>
      <c r="F52" s="104" t="s">
        <v>7159</v>
      </c>
      <c r="G52" s="104" t="s">
        <v>7160</v>
      </c>
      <c r="H52" s="116" t="s">
        <v>7161</v>
      </c>
      <c r="I52" s="104" t="s">
        <v>7251</v>
      </c>
      <c r="J52" s="104" t="s">
        <v>7252</v>
      </c>
      <c r="K52" s="117" t="s">
        <v>7253</v>
      </c>
      <c r="L52" s="105" t="n">
        <v>-19.926004019494101</v>
      </c>
      <c r="M52" s="105" t="n">
        <v>-43.9214269778751</v>
      </c>
      <c r="N52" s="105" t="n">
        <v>612882.156160402</v>
      </c>
      <c r="O52" s="105" t="n">
        <v>7796344.9228981603</v>
      </c>
    </row>
    <row r="53" ht="45" customHeight="1">
      <c r="A53" s="105" t="s">
        <v>8987</v>
      </c>
      <c r="B53" s="105" t="s">
        <v>7249</v>
      </c>
      <c r="C53" s="30" t="s">
        <v>7248</v>
      </c>
      <c r="D53" s="105" t="s">
        <v>8988</v>
      </c>
      <c r="E53" s="104" t="s">
        <v>7250</v>
      </c>
      <c r="F53" s="104" t="s">
        <v>7159</v>
      </c>
      <c r="G53" s="104" t="s">
        <v>7160</v>
      </c>
      <c r="H53" s="116" t="s">
        <v>7161</v>
      </c>
      <c r="I53" s="104" t="s">
        <v>7251</v>
      </c>
      <c r="J53" s="104" t="s">
        <v>7252</v>
      </c>
      <c r="K53" s="117" t="s">
        <v>7253</v>
      </c>
      <c r="L53" s="105" t="n">
        <v>-19.926004019494101</v>
      </c>
      <c r="M53" s="105" t="n">
        <v>-43.9214269778751</v>
      </c>
      <c r="N53" s="105" t="n">
        <v>612882.156160402</v>
      </c>
      <c r="O53" s="105" t="n">
        <v>7796344.9228981603</v>
      </c>
    </row>
    <row r="54" ht="45" customHeight="1">
      <c r="A54" s="105" t="s">
        <v>8989</v>
      </c>
      <c r="B54" s="105" t="s">
        <v>7255</v>
      </c>
      <c r="C54" s="30" t="s">
        <v>7254</v>
      </c>
      <c r="D54" s="105" t="s">
        <v>8990</v>
      </c>
      <c r="E54" s="104" t="s">
        <v>7256</v>
      </c>
      <c r="F54" s="104" t="s">
        <v>7257</v>
      </c>
      <c r="G54" s="104" t="s">
        <v>7006</v>
      </c>
      <c r="H54" s="116" t="s">
        <v>7007</v>
      </c>
      <c r="I54" s="104" t="s">
        <v>7258</v>
      </c>
      <c r="J54" s="104"/>
      <c r="K54" s="117" t="s">
        <v>7259</v>
      </c>
      <c r="L54" s="105" t="n">
        <v>-19.8906453846154</v>
      </c>
      <c r="M54" s="105" t="n">
        <v>-43.937890692307697</v>
      </c>
      <c r="N54" s="105" t="n">
        <v>611183.63424401497</v>
      </c>
      <c r="O54" s="105" t="n">
        <v>7800269.1616281597</v>
      </c>
    </row>
    <row r="55" ht="45" customHeight="1">
      <c r="A55" s="105" t="s">
        <v>8991</v>
      </c>
      <c r="B55" s="105" t="s">
        <v>7261</v>
      </c>
      <c r="C55" s="30" t="s">
        <v>7260</v>
      </c>
      <c r="D55" s="30" t="s">
        <v>8986</v>
      </c>
      <c r="E55" s="104" t="s">
        <v>7262</v>
      </c>
      <c r="F55" s="104" t="s">
        <v>7263</v>
      </c>
      <c r="G55" s="104" t="s">
        <v>6974</v>
      </c>
      <c r="H55" s="116" t="s">
        <v>7264</v>
      </c>
      <c r="I55" s="104" t="s">
        <v>7265</v>
      </c>
      <c r="J55" s="104" t="s">
        <v>7266</v>
      </c>
      <c r="K55" s="117" t="s">
        <v>7267</v>
      </c>
      <c r="L55" s="105" t="n">
        <v>-19.914999999999999</v>
      </c>
      <c r="M55" s="105" t="n">
        <v>-43.969237999999997</v>
      </c>
      <c r="N55" s="105" t="n">
        <v>607885.35074648599</v>
      </c>
      <c r="O55" s="105" t="n">
        <v>7797594.1664411901</v>
      </c>
    </row>
    <row r="56" ht="45" customHeight="1">
      <c r="A56" s="105" t="s">
        <v>8992</v>
      </c>
      <c r="B56" s="105" t="s">
        <v>7261</v>
      </c>
      <c r="C56" s="30" t="s">
        <v>7260</v>
      </c>
      <c r="D56" s="105" t="s">
        <v>8993</v>
      </c>
      <c r="E56" s="104" t="s">
        <v>7262</v>
      </c>
      <c r="F56" s="104" t="s">
        <v>7263</v>
      </c>
      <c r="G56" s="104" t="s">
        <v>6974</v>
      </c>
      <c r="H56" s="116" t="s">
        <v>7264</v>
      </c>
      <c r="I56" s="104" t="s">
        <v>7265</v>
      </c>
      <c r="J56" s="104" t="s">
        <v>7266</v>
      </c>
      <c r="K56" s="117" t="s">
        <v>7267</v>
      </c>
      <c r="L56" s="105" t="n">
        <v>-19.914999999999999</v>
      </c>
      <c r="M56" s="105" t="n">
        <v>-43.969237999999997</v>
      </c>
      <c r="N56" s="105" t="n">
        <v>607885.35074648599</v>
      </c>
      <c r="O56" s="105" t="n">
        <v>7797594.1664411901</v>
      </c>
    </row>
    <row r="57" ht="45" customHeight="1">
      <c r="A57" s="105" t="s">
        <v>8994</v>
      </c>
      <c r="B57" s="105" t="s">
        <v>7261</v>
      </c>
      <c r="C57" s="30" t="s">
        <v>7260</v>
      </c>
      <c r="D57" s="30" t="s">
        <v>8995</v>
      </c>
      <c r="E57" s="95" t="s">
        <v>7262</v>
      </c>
      <c r="F57" s="104" t="s">
        <v>7263</v>
      </c>
      <c r="G57" s="104" t="s">
        <v>6974</v>
      </c>
      <c r="H57" s="116" t="s">
        <v>7264</v>
      </c>
      <c r="I57" s="104" t="s">
        <v>7265</v>
      </c>
      <c r="J57" s="104" t="s">
        <v>7266</v>
      </c>
      <c r="K57" s="117" t="s">
        <v>7267</v>
      </c>
      <c r="L57" s="105" t="n">
        <v>-19.914999999999999</v>
      </c>
      <c r="M57" s="105" t="n">
        <v>-43.969237999999997</v>
      </c>
      <c r="N57" s="105" t="n">
        <v>607885.35074648599</v>
      </c>
      <c r="O57" s="105" t="n">
        <v>7797594.1664411901</v>
      </c>
    </row>
    <row r="58" ht="45" customHeight="1">
      <c r="A58" s="105" t="s">
        <v>8996</v>
      </c>
      <c r="B58" s="105" t="s">
        <v>7269</v>
      </c>
      <c r="C58" s="30" t="s">
        <v>7268</v>
      </c>
      <c r="D58" s="105" t="s">
        <v>8986</v>
      </c>
      <c r="E58" s="95" t="s">
        <v>7270</v>
      </c>
      <c r="F58" s="104" t="s">
        <v>7263</v>
      </c>
      <c r="G58" s="104" t="s">
        <v>6974</v>
      </c>
      <c r="H58" s="116" t="s">
        <v>7264</v>
      </c>
      <c r="I58" s="104" t="s">
        <v>7271</v>
      </c>
      <c r="J58" s="104" t="s">
        <v>7272</v>
      </c>
      <c r="K58" s="117" t="s">
        <v>7273</v>
      </c>
      <c r="L58" s="105" t="n">
        <v>-19.915316018302399</v>
      </c>
      <c r="M58" s="105" t="n">
        <v>-43.969455351232398</v>
      </c>
      <c r="N58" s="105" t="n">
        <v>607862.38534470205</v>
      </c>
      <c r="O58" s="105" t="n">
        <v>7797559.3312311899</v>
      </c>
    </row>
    <row r="59" ht="45" customHeight="1">
      <c r="A59" s="105" t="s">
        <v>8997</v>
      </c>
      <c r="B59" s="105" t="s">
        <v>7269</v>
      </c>
      <c r="C59" s="30" t="s">
        <v>7268</v>
      </c>
      <c r="D59" s="30" t="s">
        <v>8998</v>
      </c>
      <c r="E59" s="104" t="s">
        <v>7270</v>
      </c>
      <c r="F59" s="104" t="s">
        <v>7263</v>
      </c>
      <c r="G59" s="104" t="s">
        <v>6974</v>
      </c>
      <c r="H59" s="116" t="s">
        <v>7264</v>
      </c>
      <c r="I59" s="104" t="s">
        <v>7271</v>
      </c>
      <c r="J59" s="104" t="s">
        <v>7272</v>
      </c>
      <c r="K59" s="117" t="s">
        <v>7273</v>
      </c>
      <c r="L59" s="105" t="n">
        <v>-19.915316018302399</v>
      </c>
      <c r="M59" s="105" t="n">
        <v>-43.969455351232398</v>
      </c>
      <c r="N59" s="105" t="n">
        <v>607862.38534470205</v>
      </c>
      <c r="O59" s="105" t="n">
        <v>7797559.3312311899</v>
      </c>
    </row>
    <row r="60" ht="30" customHeight="1">
      <c r="A60" s="105" t="s">
        <v>8999</v>
      </c>
      <c r="B60" s="105" t="s">
        <v>7275</v>
      </c>
      <c r="C60" s="30" t="s">
        <v>7274</v>
      </c>
      <c r="D60" s="30" t="s">
        <v>9000</v>
      </c>
      <c r="E60" s="104" t="s">
        <v>7276</v>
      </c>
      <c r="F60" s="104" t="s">
        <v>7277</v>
      </c>
      <c r="G60" s="104" t="s">
        <v>7086</v>
      </c>
      <c r="H60" s="116" t="s">
        <v>7087</v>
      </c>
      <c r="I60" s="104" t="s">
        <v>7278</v>
      </c>
      <c r="J60" s="104" t="s">
        <v>7279</v>
      </c>
      <c r="K60" s="117" t="s">
        <v>7280</v>
      </c>
      <c r="L60" s="105" t="n">
        <v>-19.8174392817049</v>
      </c>
      <c r="M60" s="105" t="n">
        <v>-43.973837175169002</v>
      </c>
      <c r="N60" s="105" t="n">
        <v>607469.65708874795</v>
      </c>
      <c r="O60" s="105" t="n">
        <v>7808394.35840612</v>
      </c>
    </row>
    <row r="61" ht="30" customHeight="1">
      <c r="A61" s="105" t="s">
        <v>9001</v>
      </c>
      <c r="B61" s="105" t="s">
        <v>7275</v>
      </c>
      <c r="C61" s="30" t="s">
        <v>7274</v>
      </c>
      <c r="D61" s="30" t="s">
        <v>9002</v>
      </c>
      <c r="E61" s="104" t="s">
        <v>7276</v>
      </c>
      <c r="F61" s="104" t="s">
        <v>7277</v>
      </c>
      <c r="G61" s="104" t="s">
        <v>7086</v>
      </c>
      <c r="H61" s="116" t="s">
        <v>7087</v>
      </c>
      <c r="I61" s="104" t="s">
        <v>7278</v>
      </c>
      <c r="J61" s="104" t="s">
        <v>7279</v>
      </c>
      <c r="K61" s="117" t="s">
        <v>7280</v>
      </c>
      <c r="L61" s="105" t="n">
        <v>-19.8174392817049</v>
      </c>
      <c r="M61" s="105" t="n">
        <v>-43.973837175169002</v>
      </c>
      <c r="N61" s="105" t="n">
        <v>607469.65708874795</v>
      </c>
      <c r="O61" s="105" t="n">
        <v>7808394.35840612</v>
      </c>
    </row>
    <row r="62" ht="30" customHeight="1">
      <c r="A62" s="105" t="s">
        <v>9003</v>
      </c>
      <c r="B62" s="105" t="s">
        <v>7282</v>
      </c>
      <c r="C62" s="30" t="s">
        <v>7281</v>
      </c>
      <c r="D62" s="105" t="s">
        <v>9004</v>
      </c>
      <c r="E62" s="104" t="s">
        <v>7283</v>
      </c>
      <c r="F62" s="104" t="s">
        <v>7284</v>
      </c>
      <c r="G62" s="104" t="s">
        <v>7006</v>
      </c>
      <c r="H62" s="116" t="s">
        <v>7007</v>
      </c>
      <c r="I62" s="104" t="s">
        <v>7285</v>
      </c>
      <c r="J62" s="104" t="s">
        <v>7286</v>
      </c>
      <c r="K62" s="117" t="s">
        <v>7287</v>
      </c>
      <c r="L62" s="105" t="n">
        <v>-19.895168000000002</v>
      </c>
      <c r="M62" s="105" t="n">
        <v>-43.937480000000001</v>
      </c>
      <c r="N62" s="105" t="n">
        <v>611223.471380695</v>
      </c>
      <c r="O62" s="105" t="n">
        <v>7799768.35716982</v>
      </c>
    </row>
    <row r="63" ht="30" customHeight="1">
      <c r="A63" s="105" t="s">
        <v>9005</v>
      </c>
      <c r="B63" s="105" t="s">
        <v>7289</v>
      </c>
      <c r="C63" s="30" t="s">
        <v>7288</v>
      </c>
      <c r="D63" s="110" t="s">
        <v>9006</v>
      </c>
      <c r="E63" s="95" t="s">
        <v>7290</v>
      </c>
      <c r="F63" s="104" t="s">
        <v>7291</v>
      </c>
      <c r="G63" s="104" t="s">
        <v>7015</v>
      </c>
      <c r="H63" s="116" t="s">
        <v>7024</v>
      </c>
      <c r="I63" s="104" t="s">
        <v>7292</v>
      </c>
      <c r="J63" s="104" t="s">
        <v>7293</v>
      </c>
      <c r="K63" s="117" t="s">
        <v>7294</v>
      </c>
      <c r="L63" s="105" t="n">
        <v>-19.910578000000001</v>
      </c>
      <c r="M63" s="105" t="n">
        <v>-43.889508999999997</v>
      </c>
      <c r="N63" s="105" t="n">
        <v>616234.24656263099</v>
      </c>
      <c r="O63" s="105" t="n">
        <v>7798030.44549926</v>
      </c>
    </row>
    <row r="64" ht="30" customHeight="1">
      <c r="A64" s="105" t="s">
        <v>9007</v>
      </c>
      <c r="B64" s="105" t="s">
        <v>7296</v>
      </c>
      <c r="C64" s="30" t="s">
        <v>7295</v>
      </c>
      <c r="D64" s="105" t="s">
        <v>9008</v>
      </c>
      <c r="E64" s="95" t="s">
        <v>7297</v>
      </c>
      <c r="F64" s="104" t="s">
        <v>7298</v>
      </c>
      <c r="G64" s="104" t="s">
        <v>6983</v>
      </c>
      <c r="H64" s="116" t="s">
        <v>7299</v>
      </c>
      <c r="I64" s="104" t="s">
        <v>7300</v>
      </c>
      <c r="J64" s="104" t="s">
        <v>7301</v>
      </c>
      <c r="K64" s="117" t="s">
        <v>7302</v>
      </c>
      <c r="L64" s="105" t="n">
        <v>-19.957791397331398</v>
      </c>
      <c r="M64" s="105" t="n">
        <v>-43.984085015330798</v>
      </c>
      <c r="N64" s="105" t="n">
        <v>606302.61638223496</v>
      </c>
      <c r="O64" s="105" t="n">
        <v>7792867.7846464198</v>
      </c>
    </row>
    <row r="65" ht="30" customHeight="1">
      <c r="A65" s="105" t="s">
        <v>9009</v>
      </c>
      <c r="B65" s="105" t="s">
        <v>7296</v>
      </c>
      <c r="C65" s="30" t="s">
        <v>7295</v>
      </c>
      <c r="D65" s="30" t="s">
        <v>9010</v>
      </c>
      <c r="E65" s="104" t="s">
        <v>7297</v>
      </c>
      <c r="F65" s="104" t="s">
        <v>7298</v>
      </c>
      <c r="G65" s="104" t="s">
        <v>6983</v>
      </c>
      <c r="H65" s="116" t="s">
        <v>7299</v>
      </c>
      <c r="I65" s="104" t="s">
        <v>7300</v>
      </c>
      <c r="J65" s="104" t="s">
        <v>7301</v>
      </c>
      <c r="K65" s="117" t="s">
        <v>7302</v>
      </c>
      <c r="L65" s="105" t="n">
        <v>-19.957791397331398</v>
      </c>
      <c r="M65" s="105" t="n">
        <v>-43.984085015330798</v>
      </c>
      <c r="N65" s="105" t="n">
        <v>606302.61638223496</v>
      </c>
      <c r="O65" s="105" t="n">
        <v>7792867.7846464198</v>
      </c>
    </row>
    <row r="66" ht="45" customHeight="1">
      <c r="A66" s="105" t="s">
        <v>9011</v>
      </c>
      <c r="B66" s="105" t="s">
        <v>7304</v>
      </c>
      <c r="C66" s="30" t="s">
        <v>7303</v>
      </c>
      <c r="D66" s="105" t="s">
        <v>9012</v>
      </c>
      <c r="E66" s="104" t="s">
        <v>7305</v>
      </c>
      <c r="F66" s="104" t="s">
        <v>7306</v>
      </c>
      <c r="G66" s="104" t="s">
        <v>7086</v>
      </c>
      <c r="H66" s="116" t="s">
        <v>7087</v>
      </c>
      <c r="I66" s="104" t="s">
        <v>7307</v>
      </c>
      <c r="J66" s="104" t="s">
        <v>7308</v>
      </c>
      <c r="K66" s="117" t="s">
        <v>7309</v>
      </c>
      <c r="L66" s="105" t="n">
        <v>-19.820062</v>
      </c>
      <c r="M66" s="105" t="n">
        <v>-43.963123000000003</v>
      </c>
      <c r="N66" s="105" t="n">
        <v>608590.06208232103</v>
      </c>
      <c r="O66" s="105" t="n">
        <v>7808097.2473164499</v>
      </c>
    </row>
    <row r="67" ht="45" customHeight="1">
      <c r="A67" s="105" t="s">
        <v>9013</v>
      </c>
      <c r="B67" s="105" t="s">
        <v>7304</v>
      </c>
      <c r="C67" s="30" t="s">
        <v>7303</v>
      </c>
      <c r="D67" s="30" t="s">
        <v>9014</v>
      </c>
      <c r="E67" s="104" t="s">
        <v>7305</v>
      </c>
      <c r="F67" s="104" t="s">
        <v>7306</v>
      </c>
      <c r="G67" s="104" t="s">
        <v>7086</v>
      </c>
      <c r="H67" s="116" t="s">
        <v>7087</v>
      </c>
      <c r="I67" s="104" t="s">
        <v>7307</v>
      </c>
      <c r="J67" s="104" t="s">
        <v>7308</v>
      </c>
      <c r="K67" s="117" t="s">
        <v>7309</v>
      </c>
      <c r="L67" s="105" t="n">
        <v>-19.820062</v>
      </c>
      <c r="M67" s="105" t="n">
        <v>-43.963123000000003</v>
      </c>
      <c r="N67" s="105" t="n">
        <v>608590.06208232103</v>
      </c>
      <c r="O67" s="105" t="n">
        <v>7808097.2473164499</v>
      </c>
    </row>
    <row r="68" ht="30" customHeight="1">
      <c r="A68" s="105" t="s">
        <v>9015</v>
      </c>
      <c r="B68" s="105" t="s">
        <v>7311</v>
      </c>
      <c r="C68" s="30" t="s">
        <v>7310</v>
      </c>
      <c r="D68" s="105" t="s">
        <v>9008</v>
      </c>
      <c r="E68" s="104" t="s">
        <v>7312</v>
      </c>
      <c r="F68" s="104" t="s">
        <v>7313</v>
      </c>
      <c r="G68" s="104" t="s">
        <v>6983</v>
      </c>
      <c r="H68" s="116" t="s">
        <v>7299</v>
      </c>
      <c r="I68" s="104" t="s">
        <v>7314</v>
      </c>
      <c r="J68" s="104" t="s">
        <v>7315</v>
      </c>
      <c r="K68" s="117" t="s">
        <v>7316</v>
      </c>
      <c r="L68" s="105" t="n">
        <v>-19.962044176078599</v>
      </c>
      <c r="M68" s="105" t="n">
        <v>-43.988645928330698</v>
      </c>
      <c r="N68" s="105" t="n">
        <v>605822.5</v>
      </c>
      <c r="O68" s="105" t="n">
        <v>7792400</v>
      </c>
    </row>
    <row r="69" ht="30" customHeight="1">
      <c r="A69" s="105" t="s">
        <v>9016</v>
      </c>
      <c r="B69" s="105" t="s">
        <v>7311</v>
      </c>
      <c r="C69" s="30" t="s">
        <v>7310</v>
      </c>
      <c r="D69" s="105" t="s">
        <v>9017</v>
      </c>
      <c r="E69" s="104" t="s">
        <v>7312</v>
      </c>
      <c r="F69" s="104" t="s">
        <v>7313</v>
      </c>
      <c r="G69" s="104" t="s">
        <v>6983</v>
      </c>
      <c r="H69" s="116" t="s">
        <v>7299</v>
      </c>
      <c r="I69" s="104" t="s">
        <v>7314</v>
      </c>
      <c r="J69" s="104" t="s">
        <v>7315</v>
      </c>
      <c r="K69" s="117" t="s">
        <v>7316</v>
      </c>
      <c r="L69" s="105" t="n">
        <v>-19.962044176078599</v>
      </c>
      <c r="M69" s="105" t="n">
        <v>-43.988645928330698</v>
      </c>
      <c r="N69" s="105" t="n">
        <v>605822.5</v>
      </c>
      <c r="O69" s="105" t="n">
        <v>7792400</v>
      </c>
    </row>
    <row r="70" ht="30" customHeight="1">
      <c r="A70" s="105" t="s">
        <v>9018</v>
      </c>
      <c r="B70" s="105" t="s">
        <v>7318</v>
      </c>
      <c r="C70" s="30" t="s">
        <v>7317</v>
      </c>
      <c r="D70" s="30" t="s">
        <v>9019</v>
      </c>
      <c r="E70" s="104" t="s">
        <v>7319</v>
      </c>
      <c r="F70" s="104" t="s">
        <v>7213</v>
      </c>
      <c r="G70" s="104" t="s">
        <v>7015</v>
      </c>
      <c r="H70" s="116" t="s">
        <v>7016</v>
      </c>
      <c r="I70" s="104" t="s">
        <v>7320</v>
      </c>
      <c r="J70" s="104" t="s">
        <v>7321</v>
      </c>
      <c r="K70" s="117" t="s">
        <v>7322</v>
      </c>
      <c r="L70" s="105" t="n">
        <v>-19.892335109367199</v>
      </c>
      <c r="M70" s="105" t="n">
        <v>-43.897022453373602</v>
      </c>
      <c r="N70" s="105" t="n">
        <v>615460.97600800998</v>
      </c>
      <c r="O70" s="105" t="n">
        <v>7800054.64528492</v>
      </c>
    </row>
    <row r="71" ht="30" customHeight="1">
      <c r="A71" s="105" t="s">
        <v>9020</v>
      </c>
      <c r="B71" s="105" t="s">
        <v>7318</v>
      </c>
      <c r="C71" s="30" t="s">
        <v>7317</v>
      </c>
      <c r="D71" s="105" t="s">
        <v>9021</v>
      </c>
      <c r="E71" s="104" t="s">
        <v>7319</v>
      </c>
      <c r="F71" s="104" t="s">
        <v>7213</v>
      </c>
      <c r="G71" s="104" t="s">
        <v>7015</v>
      </c>
      <c r="H71" s="116" t="s">
        <v>7016</v>
      </c>
      <c r="I71" s="104" t="s">
        <v>7320</v>
      </c>
      <c r="J71" s="104" t="s">
        <v>7321</v>
      </c>
      <c r="K71" s="117" t="s">
        <v>7322</v>
      </c>
      <c r="L71" s="105" t="n">
        <v>-19.892335109367199</v>
      </c>
      <c r="M71" s="105" t="n">
        <v>-43.897022453373602</v>
      </c>
      <c r="N71" s="105" t="n">
        <v>615460.97600800998</v>
      </c>
      <c r="O71" s="105" t="n">
        <v>7800054.64528492</v>
      </c>
    </row>
    <row r="72" ht="30" customHeight="1">
      <c r="A72" s="105" t="s">
        <v>9022</v>
      </c>
      <c r="B72" s="105" t="s">
        <v>7318</v>
      </c>
      <c r="C72" s="30" t="s">
        <v>7317</v>
      </c>
      <c r="D72" s="30" t="s">
        <v>9023</v>
      </c>
      <c r="E72" s="104" t="s">
        <v>7319</v>
      </c>
      <c r="F72" s="104" t="s">
        <v>7213</v>
      </c>
      <c r="G72" s="104" t="s">
        <v>7015</v>
      </c>
      <c r="H72" s="116" t="s">
        <v>7016</v>
      </c>
      <c r="I72" s="104" t="s">
        <v>7320</v>
      </c>
      <c r="J72" s="104" t="s">
        <v>7321</v>
      </c>
      <c r="K72" s="117" t="s">
        <v>7322</v>
      </c>
      <c r="L72" s="105" t="n">
        <v>-19.892335109367199</v>
      </c>
      <c r="M72" s="105" t="n">
        <v>-43.897022453373602</v>
      </c>
      <c r="N72" s="105" t="n">
        <v>615460.97600800998</v>
      </c>
      <c r="O72" s="105" t="n">
        <v>7800054.64528492</v>
      </c>
    </row>
    <row r="73" ht="30" customHeight="1">
      <c r="A73" s="105" t="s">
        <v>9024</v>
      </c>
      <c r="B73" s="105" t="s">
        <v>7324</v>
      </c>
      <c r="C73" s="30" t="s">
        <v>7323</v>
      </c>
      <c r="D73" s="30" t="s">
        <v>9025</v>
      </c>
      <c r="E73" s="104" t="s">
        <v>7325</v>
      </c>
      <c r="F73" s="104" t="s">
        <v>7220</v>
      </c>
      <c r="G73" s="104" t="s">
        <v>7077</v>
      </c>
      <c r="H73" s="116" t="s">
        <v>7221</v>
      </c>
      <c r="I73" s="104" t="s">
        <v>7326</v>
      </c>
      <c r="J73" s="104" t="s">
        <v>7327</v>
      </c>
      <c r="K73" s="117" t="s">
        <v>7328</v>
      </c>
      <c r="L73" s="105" t="n">
        <v>-19.986957</v>
      </c>
      <c r="M73" s="105" t="n">
        <v>-43.988878999999997</v>
      </c>
      <c r="N73" s="105" t="n">
        <v>605781.48764586903</v>
      </c>
      <c r="O73" s="105" t="n">
        <v>7789642.9702634402</v>
      </c>
    </row>
    <row r="74" ht="30" customHeight="1">
      <c r="A74" s="105" t="s">
        <v>9026</v>
      </c>
      <c r="B74" s="105" t="s">
        <v>7324</v>
      </c>
      <c r="C74" s="30" t="s">
        <v>7323</v>
      </c>
      <c r="D74" s="105" t="s">
        <v>9027</v>
      </c>
      <c r="E74" s="104" t="s">
        <v>7325</v>
      </c>
      <c r="F74" s="104" t="s">
        <v>7220</v>
      </c>
      <c r="G74" s="104" t="s">
        <v>7077</v>
      </c>
      <c r="H74" s="116" t="s">
        <v>7221</v>
      </c>
      <c r="I74" s="104" t="s">
        <v>7326</v>
      </c>
      <c r="J74" s="104" t="s">
        <v>7327</v>
      </c>
      <c r="K74" s="117" t="s">
        <v>7328</v>
      </c>
      <c r="L74" s="105" t="n">
        <v>-19.986957</v>
      </c>
      <c r="M74" s="105" t="n">
        <v>-43.988878999999997</v>
      </c>
      <c r="N74" s="105" t="n">
        <v>605781.48764586903</v>
      </c>
      <c r="O74" s="105" t="n">
        <v>7789642.9702634402</v>
      </c>
    </row>
    <row r="75" ht="30" customHeight="1">
      <c r="A75" s="105" t="s">
        <v>9028</v>
      </c>
      <c r="B75" s="105" t="s">
        <v>7330</v>
      </c>
      <c r="C75" s="30" t="s">
        <v>7329</v>
      </c>
      <c r="D75" s="105" t="s">
        <v>9029</v>
      </c>
      <c r="E75" s="104" t="s">
        <v>7331</v>
      </c>
      <c r="F75" s="104" t="s">
        <v>7332</v>
      </c>
      <c r="G75" s="104" t="s">
        <v>7160</v>
      </c>
      <c r="H75" s="116" t="s">
        <v>7333</v>
      </c>
      <c r="I75" s="104" t="s">
        <v>7334</v>
      </c>
      <c r="J75" s="104" t="s">
        <v>7335</v>
      </c>
      <c r="K75" s="117" t="s">
        <v>7336</v>
      </c>
      <c r="L75" s="105" t="n">
        <v>-19.936281999999999</v>
      </c>
      <c r="M75" s="105" t="n">
        <v>-43.911028999999999</v>
      </c>
      <c r="N75" s="105" t="n">
        <v>613963.12598586106</v>
      </c>
      <c r="O75" s="105" t="n">
        <v>7795200.3947303696</v>
      </c>
    </row>
    <row r="76" ht="30" customHeight="1">
      <c r="A76" s="105" t="s">
        <v>9030</v>
      </c>
      <c r="B76" s="105" t="s">
        <v>7338</v>
      </c>
      <c r="C76" s="30" t="s">
        <v>7337</v>
      </c>
      <c r="D76" s="30" t="s">
        <v>9031</v>
      </c>
      <c r="E76" s="104" t="s">
        <v>7339</v>
      </c>
      <c r="F76" s="104" t="s">
        <v>7340</v>
      </c>
      <c r="G76" s="104" t="s">
        <v>6974</v>
      </c>
      <c r="H76" s="116" t="s">
        <v>7047</v>
      </c>
      <c r="I76" s="104" t="s">
        <v>7341</v>
      </c>
      <c r="J76" s="104" t="s">
        <v>7342</v>
      </c>
      <c r="K76" s="117" t="s">
        <v>7343</v>
      </c>
      <c r="L76" s="105" t="n">
        <v>-19.922326275862101</v>
      </c>
      <c r="M76" s="105" t="n">
        <v>-44.010244965517202</v>
      </c>
      <c r="N76" s="105" t="n">
        <v>603588.22179422504</v>
      </c>
      <c r="O76" s="105" t="n">
        <v>7796809.1373312799</v>
      </c>
    </row>
    <row r="77" ht="30" customHeight="1">
      <c r="A77" s="105" t="s">
        <v>9032</v>
      </c>
      <c r="B77" s="105" t="s">
        <v>7338</v>
      </c>
      <c r="C77" s="30" t="s">
        <v>7337</v>
      </c>
      <c r="D77" s="30" t="s">
        <v>9033</v>
      </c>
      <c r="E77" s="95" t="s">
        <v>7339</v>
      </c>
      <c r="F77" s="104" t="s">
        <v>7340</v>
      </c>
      <c r="G77" s="104" t="s">
        <v>6974</v>
      </c>
      <c r="H77" s="116" t="s">
        <v>7047</v>
      </c>
      <c r="I77" s="104" t="s">
        <v>7341</v>
      </c>
      <c r="J77" s="104" t="s">
        <v>7342</v>
      </c>
      <c r="K77" s="117" t="s">
        <v>7343</v>
      </c>
      <c r="L77" s="105" t="n">
        <v>-19.922326275862101</v>
      </c>
      <c r="M77" s="105" t="n">
        <v>-44.010244965517202</v>
      </c>
      <c r="N77" s="105" t="n">
        <v>603588.22179422504</v>
      </c>
      <c r="O77" s="105" t="n">
        <v>7796809.1373312799</v>
      </c>
    </row>
    <row r="78" ht="30" customHeight="1">
      <c r="A78" s="105" t="s">
        <v>9034</v>
      </c>
      <c r="B78" s="105" t="s">
        <v>7338</v>
      </c>
      <c r="C78" s="30" t="s">
        <v>7337</v>
      </c>
      <c r="D78" s="105" t="s">
        <v>9035</v>
      </c>
      <c r="E78" s="95" t="s">
        <v>7339</v>
      </c>
      <c r="F78" s="104" t="s">
        <v>7340</v>
      </c>
      <c r="G78" s="104" t="s">
        <v>6974</v>
      </c>
      <c r="H78" s="116" t="s">
        <v>7047</v>
      </c>
      <c r="I78" s="104" t="s">
        <v>7341</v>
      </c>
      <c r="J78" s="104" t="s">
        <v>7342</v>
      </c>
      <c r="K78" s="117" t="s">
        <v>7343</v>
      </c>
      <c r="L78" s="105" t="n">
        <v>-19.922326275862101</v>
      </c>
      <c r="M78" s="105" t="n">
        <v>-44.010244965517202</v>
      </c>
      <c r="N78" s="105" t="n">
        <v>603588.22179422504</v>
      </c>
      <c r="O78" s="105" t="n">
        <v>7796809.1373312799</v>
      </c>
    </row>
    <row r="79" ht="30" customHeight="1">
      <c r="A79" s="105" t="s">
        <v>9036</v>
      </c>
      <c r="B79" s="105" t="s">
        <v>7345</v>
      </c>
      <c r="C79" s="30" t="s">
        <v>7344</v>
      </c>
      <c r="D79" s="105" t="s">
        <v>9037</v>
      </c>
      <c r="E79" s="95" t="s">
        <v>7346</v>
      </c>
      <c r="F79" s="104" t="s">
        <v>7347</v>
      </c>
      <c r="G79" s="104" t="s">
        <v>7006</v>
      </c>
      <c r="H79" s="116" t="s">
        <v>7348</v>
      </c>
      <c r="I79" s="104" t="s">
        <v>7349</v>
      </c>
      <c r="J79" s="104" t="s">
        <v>7272</v>
      </c>
      <c r="K79" s="117" t="s">
        <v>7350</v>
      </c>
      <c r="L79" s="105" t="n">
        <v>-19.831044343276801</v>
      </c>
      <c r="M79" s="105" t="n">
        <v>-43.868113389060198</v>
      </c>
      <c r="N79" s="105" t="n">
        <v>618533.04602883896</v>
      </c>
      <c r="O79" s="105" t="n">
        <v>7806817.91494588</v>
      </c>
    </row>
    <row r="80">
      <c r="A80" s="105" t="s">
        <v>9038</v>
      </c>
      <c r="B80" s="105" t="s">
        <v>7352</v>
      </c>
      <c r="C80" s="30" t="s">
        <v>7351</v>
      </c>
      <c r="D80" s="105" t="s">
        <v>9039</v>
      </c>
      <c r="E80" s="95" t="s">
        <v>7353</v>
      </c>
      <c r="F80" s="104" t="s">
        <v>7111</v>
      </c>
      <c r="G80" s="104" t="s">
        <v>7086</v>
      </c>
      <c r="H80" s="116" t="s">
        <v>7112</v>
      </c>
      <c r="I80" s="104" t="s">
        <v>7354</v>
      </c>
      <c r="J80" s="104" t="s">
        <v>7355</v>
      </c>
      <c r="K80" s="117" t="s">
        <v>7356</v>
      </c>
      <c r="L80" s="105" t="n">
        <v>-19.819618999999999</v>
      </c>
      <c r="M80" s="105" t="n">
        <v>-43.998339999999999</v>
      </c>
      <c r="N80" s="105" t="n">
        <v>604901.85002685501</v>
      </c>
      <c r="O80" s="105" t="n">
        <v>7808168.5254688999</v>
      </c>
    </row>
    <row r="81">
      <c r="A81" s="105" t="s">
        <v>9040</v>
      </c>
      <c r="B81" s="105" t="s">
        <v>7352</v>
      </c>
      <c r="C81" s="30" t="s">
        <v>7351</v>
      </c>
      <c r="D81" s="30" t="s">
        <v>9041</v>
      </c>
      <c r="E81" s="104" t="s">
        <v>7353</v>
      </c>
      <c r="F81" s="104" t="s">
        <v>7111</v>
      </c>
      <c r="G81" s="104" t="s">
        <v>7086</v>
      </c>
      <c r="H81" s="116" t="s">
        <v>7112</v>
      </c>
      <c r="I81" s="104" t="s">
        <v>7354</v>
      </c>
      <c r="J81" s="104" t="s">
        <v>7355</v>
      </c>
      <c r="K81" s="117" t="s">
        <v>7356</v>
      </c>
      <c r="L81" s="105" t="n">
        <v>-19.819618999999999</v>
      </c>
      <c r="M81" s="105" t="n">
        <v>-43.998339999999999</v>
      </c>
      <c r="N81" s="105" t="n">
        <v>604901.85002685501</v>
      </c>
      <c r="O81" s="105" t="n">
        <v>7808168.5254688999</v>
      </c>
    </row>
    <row r="82" ht="30" customHeight="1">
      <c r="A82" s="105" t="s">
        <v>9042</v>
      </c>
      <c r="B82" s="105" t="s">
        <v>7352</v>
      </c>
      <c r="C82" s="30" t="s">
        <v>7351</v>
      </c>
      <c r="D82" s="105" t="s">
        <v>9043</v>
      </c>
      <c r="E82" s="104" t="s">
        <v>7353</v>
      </c>
      <c r="F82" s="104" t="s">
        <v>7111</v>
      </c>
      <c r="G82" s="104" t="s">
        <v>7086</v>
      </c>
      <c r="H82" s="116" t="s">
        <v>7112</v>
      </c>
      <c r="I82" s="104" t="s">
        <v>7354</v>
      </c>
      <c r="J82" s="104" t="s">
        <v>7355</v>
      </c>
      <c r="K82" s="117" t="s">
        <v>7356</v>
      </c>
      <c r="L82" s="105" t="n">
        <v>-19.819618999999999</v>
      </c>
      <c r="M82" s="105" t="n">
        <v>-43.998339999999999</v>
      </c>
      <c r="N82" s="105" t="n">
        <v>604901.85002685501</v>
      </c>
      <c r="O82" s="105" t="n">
        <v>7808168.5254688999</v>
      </c>
    </row>
    <row r="83" ht="30" customHeight="1">
      <c r="A83" s="105" t="s">
        <v>9044</v>
      </c>
      <c r="B83" s="105" t="s">
        <v>7352</v>
      </c>
      <c r="C83" s="30" t="s">
        <v>7351</v>
      </c>
      <c r="D83" s="105" t="s">
        <v>9045</v>
      </c>
      <c r="E83" s="104" t="s">
        <v>7353</v>
      </c>
      <c r="F83" s="104" t="s">
        <v>7111</v>
      </c>
      <c r="G83" s="104" t="s">
        <v>7086</v>
      </c>
      <c r="H83" s="116" t="s">
        <v>7112</v>
      </c>
      <c r="I83" s="104" t="s">
        <v>7354</v>
      </c>
      <c r="J83" s="104" t="s">
        <v>7355</v>
      </c>
      <c r="K83" s="117" t="s">
        <v>7356</v>
      </c>
      <c r="L83" s="105" t="n">
        <v>-19.819618999999999</v>
      </c>
      <c r="M83" s="105" t="n">
        <v>-43.998339999999999</v>
      </c>
      <c r="N83" s="105" t="n">
        <v>604901.85002685501</v>
      </c>
      <c r="O83" s="105" t="n">
        <v>7808168.5254688999</v>
      </c>
    </row>
    <row r="84" ht="30" customHeight="1">
      <c r="A84" s="105" t="s">
        <v>9046</v>
      </c>
      <c r="B84" s="105" t="s">
        <v>7358</v>
      </c>
      <c r="C84" s="30" t="s">
        <v>7357</v>
      </c>
      <c r="D84" s="30" t="s">
        <v>9047</v>
      </c>
      <c r="E84" s="104" t="s">
        <v>7359</v>
      </c>
      <c r="F84" s="104" t="s">
        <v>7235</v>
      </c>
      <c r="G84" s="104" t="s">
        <v>7006</v>
      </c>
      <c r="H84" s="116" t="s">
        <v>7236</v>
      </c>
      <c r="I84" s="104" t="s">
        <v>7360</v>
      </c>
      <c r="J84" s="104" t="s">
        <v>7361</v>
      </c>
      <c r="K84" s="117" t="s">
        <v>7362</v>
      </c>
      <c r="L84" s="105" t="n">
        <v>-19.884439</v>
      </c>
      <c r="M84" s="105" t="n">
        <v>-43.932352000000002</v>
      </c>
      <c r="N84" s="105" t="n">
        <v>611767.84147350595</v>
      </c>
      <c r="O84" s="105" t="n">
        <v>7800952.3767554797</v>
      </c>
    </row>
    <row r="85" ht="30" customHeight="1">
      <c r="A85" s="105" t="s">
        <v>9048</v>
      </c>
      <c r="B85" s="105" t="s">
        <v>7358</v>
      </c>
      <c r="C85" s="30" t="s">
        <v>7357</v>
      </c>
      <c r="D85" s="30" t="s">
        <v>9049</v>
      </c>
      <c r="E85" s="104" t="s">
        <v>7359</v>
      </c>
      <c r="F85" s="104" t="s">
        <v>7235</v>
      </c>
      <c r="G85" s="104" t="s">
        <v>7006</v>
      </c>
      <c r="H85" s="116" t="s">
        <v>7236</v>
      </c>
      <c r="I85" s="104" t="s">
        <v>7360</v>
      </c>
      <c r="J85" s="104" t="s">
        <v>7361</v>
      </c>
      <c r="K85" s="117" t="s">
        <v>7362</v>
      </c>
      <c r="L85" s="105" t="n">
        <v>-19.884439</v>
      </c>
      <c r="M85" s="105" t="n">
        <v>-43.932352000000002</v>
      </c>
      <c r="N85" s="105" t="n">
        <v>611767.84147350595</v>
      </c>
      <c r="O85" s="105" t="n">
        <v>7800952.3767554797</v>
      </c>
    </row>
    <row r="86" ht="30" customHeight="1">
      <c r="A86" s="105" t="s">
        <v>9050</v>
      </c>
      <c r="B86" s="105" t="s">
        <v>7358</v>
      </c>
      <c r="C86" s="30" t="s">
        <v>7357</v>
      </c>
      <c r="D86" s="105" t="s">
        <v>9051</v>
      </c>
      <c r="E86" s="104" t="s">
        <v>7359</v>
      </c>
      <c r="F86" s="104" t="s">
        <v>7235</v>
      </c>
      <c r="G86" s="104" t="s">
        <v>7006</v>
      </c>
      <c r="H86" s="116" t="s">
        <v>7236</v>
      </c>
      <c r="I86" s="104" t="s">
        <v>7360</v>
      </c>
      <c r="J86" s="104" t="s">
        <v>7361</v>
      </c>
      <c r="K86" s="117" t="s">
        <v>7362</v>
      </c>
      <c r="L86" s="105" t="n">
        <v>-19.884439</v>
      </c>
      <c r="M86" s="105" t="n">
        <v>-43.932352000000002</v>
      </c>
      <c r="N86" s="105" t="n">
        <v>611767.84147350595</v>
      </c>
      <c r="O86" s="105" t="n">
        <v>7800952.3767554797</v>
      </c>
    </row>
    <row r="87" ht="45" customHeight="1">
      <c r="A87" s="105" t="s">
        <v>9052</v>
      </c>
      <c r="B87" s="105" t="s">
        <v>7364</v>
      </c>
      <c r="C87" s="30" t="s">
        <v>7363</v>
      </c>
      <c r="D87" s="30" t="s">
        <v>9053</v>
      </c>
      <c r="E87" s="104" t="s">
        <v>7365</v>
      </c>
      <c r="F87" s="104" t="s">
        <v>7151</v>
      </c>
      <c r="G87" s="104" t="s">
        <v>6997</v>
      </c>
      <c r="H87" s="116" t="s">
        <v>7152</v>
      </c>
      <c r="I87" s="104" t="s">
        <v>7366</v>
      </c>
      <c r="J87" s="104" t="s">
        <v>7367</v>
      </c>
      <c r="K87" s="117" t="s">
        <v>7368</v>
      </c>
      <c r="L87" s="105" t="n">
        <v>-19.863471595249901</v>
      </c>
      <c r="M87" s="105" t="n">
        <v>-44.002583779800602</v>
      </c>
      <c r="N87" s="105" t="n">
        <v>604428.69349030196</v>
      </c>
      <c r="O87" s="105" t="n">
        <v>7803317.9429622497</v>
      </c>
    </row>
    <row r="88" ht="30" customHeight="1">
      <c r="A88" s="105" t="s">
        <v>9054</v>
      </c>
      <c r="B88" s="105" t="s">
        <v>7370</v>
      </c>
      <c r="C88" s="30" t="s">
        <v>7369</v>
      </c>
      <c r="D88" s="30" t="s">
        <v>9055</v>
      </c>
      <c r="E88" s="104" t="s">
        <v>7371</v>
      </c>
      <c r="F88" s="104" t="s">
        <v>7313</v>
      </c>
      <c r="G88" s="104" t="s">
        <v>6983</v>
      </c>
      <c r="H88" s="116" t="s">
        <v>7299</v>
      </c>
      <c r="I88" s="104" t="s">
        <v>7372</v>
      </c>
      <c r="J88" s="104" t="s">
        <v>7373</v>
      </c>
      <c r="K88" s="117" t="s">
        <v>7374</v>
      </c>
      <c r="L88" s="105" t="n">
        <v>-19.964410000000001</v>
      </c>
      <c r="M88" s="105" t="n">
        <v>-43.995916999999999</v>
      </c>
      <c r="N88" s="105" t="n">
        <v>605060.06814005296</v>
      </c>
      <c r="O88" s="105" t="n">
        <v>7792142.7370470203</v>
      </c>
    </row>
    <row r="89" ht="30" customHeight="1">
      <c r="A89" s="105" t="s">
        <v>9056</v>
      </c>
      <c r="B89" s="105" t="s">
        <v>7370</v>
      </c>
      <c r="C89" s="30" t="s">
        <v>7369</v>
      </c>
      <c r="D89" s="30" t="s">
        <v>9057</v>
      </c>
      <c r="E89" s="104" t="s">
        <v>7371</v>
      </c>
      <c r="F89" s="104" t="s">
        <v>7313</v>
      </c>
      <c r="G89" s="104" t="s">
        <v>6983</v>
      </c>
      <c r="H89" s="116" t="s">
        <v>7299</v>
      </c>
      <c r="I89" s="104" t="s">
        <v>7372</v>
      </c>
      <c r="J89" s="104" t="s">
        <v>7373</v>
      </c>
      <c r="K89" s="117" t="s">
        <v>7374</v>
      </c>
      <c r="L89" s="105" t="n">
        <v>-19.964410000000001</v>
      </c>
      <c r="M89" s="105" t="n">
        <v>-43.995916999999999</v>
      </c>
      <c r="N89" s="105" t="n">
        <v>605060.06814005296</v>
      </c>
      <c r="O89" s="105" t="n">
        <v>7792142.7370470203</v>
      </c>
    </row>
    <row r="90" ht="30" customHeight="1">
      <c r="A90" s="105" t="s">
        <v>9058</v>
      </c>
      <c r="B90" s="105" t="s">
        <v>7376</v>
      </c>
      <c r="C90" s="30" t="s">
        <v>7375</v>
      </c>
      <c r="D90" s="30" t="s">
        <v>9059</v>
      </c>
      <c r="E90" s="104" t="s">
        <v>7377</v>
      </c>
      <c r="F90" s="104" t="s">
        <v>7378</v>
      </c>
      <c r="G90" s="104" t="s">
        <v>7006</v>
      </c>
      <c r="H90" s="116" t="s">
        <v>7348</v>
      </c>
      <c r="I90" s="104" t="s">
        <v>7379</v>
      </c>
      <c r="J90" s="104" t="s">
        <v>7380</v>
      </c>
      <c r="K90" s="117" t="s">
        <v>7381</v>
      </c>
      <c r="L90" s="105" t="n">
        <v>-19.833106999999998</v>
      </c>
      <c r="M90" s="105" t="n">
        <v>-43.883094999999997</v>
      </c>
      <c r="N90" s="105" t="n">
        <v>616962.48182347103</v>
      </c>
      <c r="O90" s="105" t="n">
        <v>7806600.0794257196</v>
      </c>
    </row>
    <row r="91" ht="30" customHeight="1">
      <c r="A91" s="105" t="s">
        <v>9060</v>
      </c>
      <c r="B91" s="105" t="s">
        <v>7383</v>
      </c>
      <c r="C91" s="30" t="s">
        <v>7382</v>
      </c>
      <c r="D91" s="30" t="s">
        <v>9061</v>
      </c>
      <c r="E91" s="104" t="s">
        <v>7384</v>
      </c>
      <c r="F91" s="104" t="s">
        <v>7385</v>
      </c>
      <c r="G91" s="104" t="s">
        <v>7086</v>
      </c>
      <c r="H91" s="116" t="s">
        <v>7112</v>
      </c>
      <c r="I91" s="104" t="s">
        <v>7386</v>
      </c>
      <c r="J91" s="104" t="s">
        <v>7387</v>
      </c>
      <c r="K91" s="117" t="s">
        <v>7388</v>
      </c>
      <c r="L91" s="105" t="n">
        <v>-19.834344000000002</v>
      </c>
      <c r="M91" s="105" t="n">
        <v>-43.986032000000002</v>
      </c>
      <c r="N91" s="105" t="n">
        <v>606181.16303654597</v>
      </c>
      <c r="O91" s="105" t="n">
        <v>7806531.2018171903</v>
      </c>
    </row>
    <row r="92" ht="30" customHeight="1">
      <c r="A92" s="105" t="s">
        <v>9062</v>
      </c>
      <c r="B92" s="105" t="s">
        <v>7390</v>
      </c>
      <c r="C92" s="30" t="s">
        <v>7389</v>
      </c>
      <c r="D92" s="105" t="s">
        <v>9063</v>
      </c>
      <c r="E92" s="104" t="s">
        <v>7391</v>
      </c>
      <c r="F92" s="104" t="s">
        <v>7392</v>
      </c>
      <c r="G92" s="104" t="s">
        <v>6974</v>
      </c>
      <c r="H92" s="116" t="s">
        <v>7047</v>
      </c>
      <c r="I92" s="104" t="s">
        <v>7393</v>
      </c>
      <c r="J92" s="104" t="s">
        <v>7394</v>
      </c>
      <c r="K92" s="117" t="s">
        <v>7395</v>
      </c>
      <c r="L92" s="105" t="n">
        <v>-19.897857042350299</v>
      </c>
      <c r="M92" s="105" t="n">
        <v>-44.022017462427399</v>
      </c>
      <c r="N92" s="105" t="n">
        <v>602371.75652108004</v>
      </c>
      <c r="O92" s="105" t="n">
        <v>7799524.3911524899</v>
      </c>
    </row>
    <row r="93" ht="30" customHeight="1">
      <c r="A93" s="105" t="s">
        <v>9064</v>
      </c>
      <c r="B93" s="105" t="s">
        <v>7397</v>
      </c>
      <c r="C93" s="30" t="s">
        <v>7396</v>
      </c>
      <c r="D93" s="30" t="s">
        <v>9065</v>
      </c>
      <c r="E93" s="104" t="s">
        <v>7398</v>
      </c>
      <c r="F93" s="104" t="s">
        <v>7399</v>
      </c>
      <c r="G93" s="104" t="s">
        <v>7077</v>
      </c>
      <c r="H93" s="116" t="s">
        <v>7105</v>
      </c>
      <c r="I93" s="104" t="s">
        <v>7400</v>
      </c>
      <c r="J93" s="104" t="s">
        <v>7401</v>
      </c>
      <c r="K93" s="117" t="s">
        <v>7402</v>
      </c>
      <c r="L93" s="105" t="n">
        <v>-19.9896655224649</v>
      </c>
      <c r="M93" s="105" t="n">
        <v>-44.023179148214503</v>
      </c>
      <c r="N93" s="105" t="n">
        <v>602191.05362578295</v>
      </c>
      <c r="O93" s="105" t="n">
        <v>7789364.4938573902</v>
      </c>
    </row>
    <row r="94" ht="30" customHeight="1">
      <c r="A94" s="105" t="s">
        <v>9066</v>
      </c>
      <c r="B94" s="105" t="s">
        <v>7404</v>
      </c>
      <c r="C94" s="30" t="s">
        <v>7403</v>
      </c>
      <c r="D94" s="105" t="s">
        <v>9067</v>
      </c>
      <c r="E94" s="104" t="s">
        <v>7405</v>
      </c>
      <c r="F94" s="104" t="s">
        <v>7046</v>
      </c>
      <c r="G94" s="104" t="s">
        <v>6974</v>
      </c>
      <c r="H94" s="116" t="s">
        <v>7047</v>
      </c>
      <c r="I94" s="104" t="s">
        <v>7406</v>
      </c>
      <c r="J94" s="104" t="s">
        <v>7407</v>
      </c>
      <c r="K94" s="117" t="s">
        <v>7408</v>
      </c>
      <c r="L94" s="105" t="n">
        <v>-19.911995999999998</v>
      </c>
      <c r="M94" s="105" t="n">
        <v>-43.999577000000002</v>
      </c>
      <c r="N94" s="105" t="n">
        <v>604711.62435871596</v>
      </c>
      <c r="O94" s="105" t="n">
        <v>7797945.8011586796</v>
      </c>
    </row>
    <row r="95" ht="30" customHeight="1">
      <c r="A95" s="105" t="s">
        <v>9068</v>
      </c>
      <c r="B95" s="105" t="s">
        <v>7404</v>
      </c>
      <c r="C95" s="30" t="s">
        <v>7403</v>
      </c>
      <c r="D95" s="105" t="s">
        <v>9069</v>
      </c>
      <c r="E95" s="104" t="s">
        <v>7405</v>
      </c>
      <c r="F95" s="104" t="s">
        <v>7046</v>
      </c>
      <c r="G95" s="104" t="s">
        <v>6974</v>
      </c>
      <c r="H95" s="116" t="s">
        <v>7047</v>
      </c>
      <c r="I95" s="104" t="s">
        <v>7406</v>
      </c>
      <c r="J95" s="104" t="s">
        <v>7407</v>
      </c>
      <c r="K95" s="117" t="s">
        <v>7408</v>
      </c>
      <c r="L95" s="105" t="n">
        <v>-19.911995999999998</v>
      </c>
      <c r="M95" s="105" t="n">
        <v>-43.999577000000002</v>
      </c>
      <c r="N95" s="105" t="n">
        <v>604711.62435871596</v>
      </c>
      <c r="O95" s="105" t="n">
        <v>7797945.8011586796</v>
      </c>
    </row>
    <row r="96" ht="30" customHeight="1">
      <c r="A96" s="105" t="s">
        <v>9070</v>
      </c>
      <c r="B96" s="105" t="s">
        <v>7410</v>
      </c>
      <c r="C96" s="30" t="s">
        <v>7409</v>
      </c>
      <c r="D96" s="30" t="s">
        <v>9071</v>
      </c>
      <c r="E96" s="104" t="s">
        <v>7411</v>
      </c>
      <c r="F96" s="104" t="s">
        <v>7412</v>
      </c>
      <c r="G96" s="104" t="s">
        <v>7006</v>
      </c>
      <c r="H96" s="116" t="s">
        <v>7413</v>
      </c>
      <c r="I96" s="104" t="s">
        <v>7414</v>
      </c>
      <c r="J96" s="104" t="s">
        <v>7415</v>
      </c>
      <c r="K96" s="117" t="s">
        <v>7416</v>
      </c>
      <c r="L96" s="105" t="n">
        <v>-19.875548999999999</v>
      </c>
      <c r="M96" s="105" t="n">
        <v>-43.916105999999999</v>
      </c>
      <c r="N96" s="105" t="n">
        <v>613475.05678530305</v>
      </c>
      <c r="O96" s="105" t="n">
        <v>7801925.4038989898</v>
      </c>
    </row>
    <row r="97" ht="30" customHeight="1">
      <c r="A97" s="105" t="s">
        <v>9072</v>
      </c>
      <c r="B97" s="105" t="s">
        <v>7410</v>
      </c>
      <c r="C97" s="30" t="s">
        <v>7409</v>
      </c>
      <c r="D97" s="105" t="s">
        <v>9073</v>
      </c>
      <c r="E97" s="104" t="s">
        <v>7411</v>
      </c>
      <c r="F97" s="104" t="s">
        <v>7412</v>
      </c>
      <c r="G97" s="104" t="s">
        <v>7006</v>
      </c>
      <c r="H97" s="116" t="s">
        <v>7413</v>
      </c>
      <c r="I97" s="104" t="s">
        <v>7414</v>
      </c>
      <c r="J97" s="104" t="s">
        <v>7415</v>
      </c>
      <c r="K97" s="117" t="s">
        <v>7416</v>
      </c>
      <c r="L97" s="105" t="n">
        <v>-19.875548999999999</v>
      </c>
      <c r="M97" s="105" t="n">
        <v>-43.916105999999999</v>
      </c>
      <c r="N97" s="105" t="n">
        <v>613475.05678530305</v>
      </c>
      <c r="O97" s="105" t="n">
        <v>7801925.4038989898</v>
      </c>
    </row>
    <row r="98" ht="30" customHeight="1">
      <c r="A98" s="105" t="s">
        <v>9074</v>
      </c>
      <c r="B98" s="105" t="s">
        <v>7410</v>
      </c>
      <c r="C98" s="30" t="s">
        <v>7409</v>
      </c>
      <c r="D98" s="30" t="s">
        <v>9075</v>
      </c>
      <c r="E98" s="104" t="s">
        <v>7411</v>
      </c>
      <c r="F98" s="104" t="s">
        <v>7412</v>
      </c>
      <c r="G98" s="104" t="s">
        <v>7006</v>
      </c>
      <c r="H98" s="116" t="s">
        <v>7413</v>
      </c>
      <c r="I98" s="104" t="s">
        <v>7414</v>
      </c>
      <c r="J98" s="104" t="s">
        <v>7415</v>
      </c>
      <c r="K98" s="117" t="s">
        <v>7416</v>
      </c>
      <c r="L98" s="105" t="n">
        <v>-19.875548999999999</v>
      </c>
      <c r="M98" s="105" t="n">
        <v>-43.916105999999999</v>
      </c>
      <c r="N98" s="105" t="n">
        <v>613475.05678530305</v>
      </c>
      <c r="O98" s="105" t="n">
        <v>7801925.4038989898</v>
      </c>
    </row>
    <row r="99" ht="30" customHeight="1">
      <c r="A99" s="105" t="s">
        <v>9076</v>
      </c>
      <c r="B99" s="105" t="s">
        <v>7418</v>
      </c>
      <c r="C99" s="30" t="s">
        <v>7417</v>
      </c>
      <c r="D99" s="105" t="s">
        <v>9077</v>
      </c>
      <c r="E99" s="104" t="s">
        <v>7419</v>
      </c>
      <c r="F99" s="104" t="s">
        <v>7420</v>
      </c>
      <c r="G99" s="104" t="s">
        <v>6997</v>
      </c>
      <c r="H99" s="116" t="s">
        <v>7152</v>
      </c>
      <c r="I99" s="104" t="s">
        <v>7421</v>
      </c>
      <c r="J99" s="104" t="s">
        <v>7422</v>
      </c>
      <c r="K99" s="117" t="s">
        <v>7423</v>
      </c>
      <c r="L99" s="105" t="n">
        <v>-19.860638000000002</v>
      </c>
      <c r="M99" s="105" t="n">
        <v>-43.975147999999997</v>
      </c>
      <c r="N99" s="105" t="n">
        <v>607303.33814051503</v>
      </c>
      <c r="O99" s="105" t="n">
        <v>7803614.3149722097</v>
      </c>
    </row>
    <row r="100" ht="30" customHeight="1">
      <c r="A100" s="105" t="s">
        <v>9078</v>
      </c>
      <c r="B100" s="105" t="s">
        <v>7418</v>
      </c>
      <c r="C100" s="30" t="s">
        <v>7417</v>
      </c>
      <c r="D100" s="30" t="s">
        <v>9079</v>
      </c>
      <c r="E100" s="104" t="s">
        <v>7419</v>
      </c>
      <c r="F100" s="104" t="s">
        <v>7420</v>
      </c>
      <c r="G100" s="104" t="s">
        <v>6997</v>
      </c>
      <c r="H100" s="116" t="s">
        <v>7152</v>
      </c>
      <c r="I100" s="104" t="s">
        <v>7421</v>
      </c>
      <c r="J100" s="104" t="s">
        <v>7422</v>
      </c>
      <c r="K100" s="117" t="s">
        <v>7423</v>
      </c>
      <c r="L100" s="105" t="n">
        <v>-19.860638000000002</v>
      </c>
      <c r="M100" s="105" t="n">
        <v>-43.975147999999997</v>
      </c>
      <c r="N100" s="105" t="n">
        <v>607303.33814051503</v>
      </c>
      <c r="O100" s="105" t="n">
        <v>7803614.3149722097</v>
      </c>
    </row>
    <row r="101" ht="30" customHeight="1">
      <c r="A101" s="105" t="s">
        <v>9080</v>
      </c>
      <c r="B101" s="105" t="s">
        <v>7425</v>
      </c>
      <c r="C101" s="30" t="s">
        <v>7424</v>
      </c>
      <c r="D101" s="105" t="s">
        <v>9081</v>
      </c>
      <c r="E101" s="104" t="s">
        <v>7426</v>
      </c>
      <c r="F101" s="104" t="s">
        <v>7427</v>
      </c>
      <c r="G101" s="104" t="s">
        <v>6974</v>
      </c>
      <c r="H101" s="116" t="s">
        <v>7047</v>
      </c>
      <c r="I101" s="104" t="s">
        <v>7393</v>
      </c>
      <c r="J101" s="104" t="s">
        <v>7428</v>
      </c>
      <c r="K101" s="117" t="s">
        <v>7429</v>
      </c>
      <c r="L101" s="105" t="n">
        <v>-19.901539662219001</v>
      </c>
      <c r="M101" s="105" t="n">
        <v>-44.016557232133103</v>
      </c>
      <c r="N101" s="105" t="n">
        <v>602940.97611137701</v>
      </c>
      <c r="O101" s="105" t="n">
        <v>7799113.50034717</v>
      </c>
    </row>
    <row r="102" ht="30" customHeight="1">
      <c r="A102" s="105" t="s">
        <v>9082</v>
      </c>
      <c r="B102" s="105" t="s">
        <v>7425</v>
      </c>
      <c r="C102" s="30" t="s">
        <v>7424</v>
      </c>
      <c r="D102" s="105" t="s">
        <v>9083</v>
      </c>
      <c r="E102" s="104" t="s">
        <v>7426</v>
      </c>
      <c r="F102" s="104" t="s">
        <v>7427</v>
      </c>
      <c r="G102" s="104" t="s">
        <v>6974</v>
      </c>
      <c r="H102" s="116" t="s">
        <v>7047</v>
      </c>
      <c r="I102" s="104" t="s">
        <v>7393</v>
      </c>
      <c r="J102" s="104" t="s">
        <v>7428</v>
      </c>
      <c r="K102" s="117" t="s">
        <v>7429</v>
      </c>
      <c r="L102" s="105" t="n">
        <v>-19.901539662219001</v>
      </c>
      <c r="M102" s="105" t="n">
        <v>-44.016557232133103</v>
      </c>
      <c r="N102" s="105" t="n">
        <v>602940.97611137701</v>
      </c>
      <c r="O102" s="105" t="n">
        <v>7799113.50034717</v>
      </c>
    </row>
    <row r="103" ht="30" customHeight="1">
      <c r="A103" s="105" t="s">
        <v>9084</v>
      </c>
      <c r="B103" s="105" t="s">
        <v>7431</v>
      </c>
      <c r="C103" s="30" t="s">
        <v>7430</v>
      </c>
      <c r="D103" s="105" t="s">
        <v>9085</v>
      </c>
      <c r="E103" s="104" t="s">
        <v>7432</v>
      </c>
      <c r="F103" s="104" t="s">
        <v>7433</v>
      </c>
      <c r="G103" s="104" t="s">
        <v>7006</v>
      </c>
      <c r="H103" s="116" t="s">
        <v>7434</v>
      </c>
      <c r="I103" s="104" t="s">
        <v>7435</v>
      </c>
      <c r="J103" s="104" t="s">
        <v>7436</v>
      </c>
      <c r="K103" s="117" t="s">
        <v>7437</v>
      </c>
      <c r="L103" s="105" t="n">
        <v>-19.863472000000002</v>
      </c>
      <c r="M103" s="105" t="n">
        <v>-43.897747000000003</v>
      </c>
      <c r="N103" s="105" t="n">
        <v>615406.02032731997</v>
      </c>
      <c r="O103" s="105" t="n">
        <v>7803249.5475750696</v>
      </c>
    </row>
    <row r="104" ht="30" customHeight="1">
      <c r="A104" s="105" t="s">
        <v>9086</v>
      </c>
      <c r="B104" s="105" t="s">
        <v>7431</v>
      </c>
      <c r="C104" s="30" t="s">
        <v>7430</v>
      </c>
      <c r="D104" s="105" t="s">
        <v>9087</v>
      </c>
      <c r="E104" s="104" t="s">
        <v>7432</v>
      </c>
      <c r="F104" s="104" t="s">
        <v>7433</v>
      </c>
      <c r="G104" s="104" t="s">
        <v>7006</v>
      </c>
      <c r="H104" s="116" t="s">
        <v>7434</v>
      </c>
      <c r="I104" s="104" t="s">
        <v>7435</v>
      </c>
      <c r="J104" s="104" t="s">
        <v>7436</v>
      </c>
      <c r="K104" s="117" t="s">
        <v>7437</v>
      </c>
      <c r="L104" s="105" t="n">
        <v>-19.863472000000002</v>
      </c>
      <c r="M104" s="105" t="n">
        <v>-43.897747000000003</v>
      </c>
      <c r="N104" s="105" t="n">
        <v>615406.02032731997</v>
      </c>
      <c r="O104" s="105" t="n">
        <v>7803249.5475750696</v>
      </c>
    </row>
    <row r="105" ht="30" customHeight="1">
      <c r="A105" s="105" t="s">
        <v>9088</v>
      </c>
      <c r="B105" s="105" t="s">
        <v>7431</v>
      </c>
      <c r="C105" s="30" t="s">
        <v>7430</v>
      </c>
      <c r="D105" s="30" t="s">
        <v>9089</v>
      </c>
      <c r="E105" s="104" t="s">
        <v>7432</v>
      </c>
      <c r="F105" s="104" t="s">
        <v>7433</v>
      </c>
      <c r="G105" s="104" t="s">
        <v>7006</v>
      </c>
      <c r="H105" s="116" t="s">
        <v>7434</v>
      </c>
      <c r="I105" s="104" t="s">
        <v>7435</v>
      </c>
      <c r="J105" s="104" t="s">
        <v>7436</v>
      </c>
      <c r="K105" s="117" t="s">
        <v>7437</v>
      </c>
      <c r="L105" s="105" t="n">
        <v>-19.863472000000002</v>
      </c>
      <c r="M105" s="105" t="n">
        <v>-43.897747000000003</v>
      </c>
      <c r="N105" s="105" t="n">
        <v>615406.02032731997</v>
      </c>
      <c r="O105" s="105" t="n">
        <v>7803249.5475750696</v>
      </c>
    </row>
    <row r="106" ht="30" customHeight="1">
      <c r="A106" s="105" t="s">
        <v>9090</v>
      </c>
      <c r="B106" s="105" t="s">
        <v>7431</v>
      </c>
      <c r="C106" s="30" t="s">
        <v>7430</v>
      </c>
      <c r="D106" s="105" t="s">
        <v>9091</v>
      </c>
      <c r="E106" s="104" t="s">
        <v>7432</v>
      </c>
      <c r="F106" s="104" t="s">
        <v>7433</v>
      </c>
      <c r="G106" s="104" t="s">
        <v>7006</v>
      </c>
      <c r="H106" s="116" t="s">
        <v>7434</v>
      </c>
      <c r="I106" s="104" t="s">
        <v>7435</v>
      </c>
      <c r="J106" s="104" t="s">
        <v>7436</v>
      </c>
      <c r="K106" s="117" t="s">
        <v>7437</v>
      </c>
      <c r="L106" s="105" t="n">
        <v>-19.863472000000002</v>
      </c>
      <c r="M106" s="105" t="n">
        <v>-43.897747000000003</v>
      </c>
      <c r="N106" s="105" t="n">
        <v>615406.02032731997</v>
      </c>
      <c r="O106" s="105" t="n">
        <v>7803249.5475750696</v>
      </c>
    </row>
    <row r="107" ht="30" customHeight="1">
      <c r="A107" s="105" t="s">
        <v>9092</v>
      </c>
      <c r="B107" s="105" t="s">
        <v>7431</v>
      </c>
      <c r="C107" s="30" t="s">
        <v>7430</v>
      </c>
      <c r="D107" s="30" t="s">
        <v>9093</v>
      </c>
      <c r="E107" s="104" t="s">
        <v>7432</v>
      </c>
      <c r="F107" s="104" t="s">
        <v>7433</v>
      </c>
      <c r="G107" s="104" t="s">
        <v>7006</v>
      </c>
      <c r="H107" s="116" t="s">
        <v>7434</v>
      </c>
      <c r="I107" s="104" t="s">
        <v>7435</v>
      </c>
      <c r="J107" s="104" t="s">
        <v>7436</v>
      </c>
      <c r="K107" s="117" t="s">
        <v>7437</v>
      </c>
      <c r="L107" s="105" t="n">
        <v>-19.863472000000002</v>
      </c>
      <c r="M107" s="105" t="n">
        <v>-43.897747000000003</v>
      </c>
      <c r="N107" s="105" t="n">
        <v>615406.02032731997</v>
      </c>
      <c r="O107" s="105" t="n">
        <v>7803249.5475750696</v>
      </c>
    </row>
    <row r="108" ht="30" customHeight="1">
      <c r="A108" s="105" t="s">
        <v>9094</v>
      </c>
      <c r="B108" s="105" t="s">
        <v>7439</v>
      </c>
      <c r="C108" s="30" t="s">
        <v>7438</v>
      </c>
      <c r="D108" s="105" t="s">
        <v>9095</v>
      </c>
      <c r="E108" s="104" t="s">
        <v>7440</v>
      </c>
      <c r="F108" s="104" t="s">
        <v>7441</v>
      </c>
      <c r="G108" s="104" t="s">
        <v>7015</v>
      </c>
      <c r="H108" s="116" t="s">
        <v>7024</v>
      </c>
      <c r="I108" s="104" t="s">
        <v>7442</v>
      </c>
      <c r="J108" s="104" t="s">
        <v>7443</v>
      </c>
      <c r="K108" s="117" t="s">
        <v>7444</v>
      </c>
      <c r="L108" s="105" t="n">
        <v>-19.908559</v>
      </c>
      <c r="M108" s="105" t="n">
        <v>-43.885196999999998</v>
      </c>
      <c r="N108" s="105" t="n">
        <v>616687.10502475302</v>
      </c>
      <c r="O108" s="105" t="n">
        <v>7798250.9129988803</v>
      </c>
    </row>
    <row r="109" ht="30" customHeight="1">
      <c r="A109" s="105" t="s">
        <v>9096</v>
      </c>
      <c r="B109" s="105" t="s">
        <v>7439</v>
      </c>
      <c r="C109" s="30" t="s">
        <v>7438</v>
      </c>
      <c r="D109" s="30" t="s">
        <v>9097</v>
      </c>
      <c r="E109" s="104" t="s">
        <v>7440</v>
      </c>
      <c r="F109" s="104" t="s">
        <v>7441</v>
      </c>
      <c r="G109" s="104" t="s">
        <v>7015</v>
      </c>
      <c r="H109" s="116" t="s">
        <v>7024</v>
      </c>
      <c r="I109" s="104" t="s">
        <v>7442</v>
      </c>
      <c r="J109" s="104" t="s">
        <v>7443</v>
      </c>
      <c r="K109" s="117" t="s">
        <v>7444</v>
      </c>
      <c r="L109" s="105" t="n">
        <v>-19.908559</v>
      </c>
      <c r="M109" s="105" t="n">
        <v>-43.885196999999998</v>
      </c>
      <c r="N109" s="105" t="n">
        <v>616687.10502475302</v>
      </c>
      <c r="O109" s="105" t="n">
        <v>7798250.9129988803</v>
      </c>
    </row>
    <row r="110" ht="30" customHeight="1">
      <c r="A110" s="105" t="s">
        <v>9098</v>
      </c>
      <c r="B110" s="105" t="s">
        <v>7446</v>
      </c>
      <c r="C110" s="30" t="s">
        <v>7445</v>
      </c>
      <c r="D110" s="105" t="s">
        <v>9099</v>
      </c>
      <c r="E110" s="104" t="s">
        <v>7447</v>
      </c>
      <c r="F110" s="104" t="s">
        <v>7448</v>
      </c>
      <c r="G110" s="104" t="s">
        <v>7126</v>
      </c>
      <c r="H110" s="116" t="s">
        <v>7449</v>
      </c>
      <c r="I110" s="104" t="s">
        <v>7450</v>
      </c>
      <c r="J110" s="104" t="s">
        <v>7451</v>
      </c>
      <c r="K110" s="117" t="s">
        <v>7452</v>
      </c>
      <c r="L110" s="105" t="n">
        <v>-19.8452229099993</v>
      </c>
      <c r="M110" s="105" t="n">
        <v>-43.942619791170898</v>
      </c>
      <c r="N110" s="105" t="n">
        <v>610720.07232933096</v>
      </c>
      <c r="O110" s="105" t="n">
        <v>7805299.3170163101</v>
      </c>
    </row>
    <row r="111">
      <c r="A111" s="105" t="s">
        <v>9100</v>
      </c>
      <c r="B111" s="105" t="s">
        <v>7446</v>
      </c>
      <c r="C111" s="30" t="s">
        <v>7445</v>
      </c>
      <c r="D111" s="30" t="s">
        <v>9101</v>
      </c>
      <c r="E111" s="104" t="s">
        <v>7447</v>
      </c>
      <c r="F111" s="104" t="s">
        <v>7448</v>
      </c>
      <c r="G111" s="104" t="s">
        <v>7126</v>
      </c>
      <c r="H111" s="116" t="s">
        <v>7449</v>
      </c>
      <c r="I111" s="104" t="s">
        <v>7450</v>
      </c>
      <c r="J111" s="104" t="s">
        <v>7451</v>
      </c>
      <c r="K111" s="117" t="s">
        <v>7452</v>
      </c>
      <c r="L111" s="105" t="n">
        <v>-19.8452229099993</v>
      </c>
      <c r="M111" s="105" t="n">
        <v>-43.942619791170898</v>
      </c>
      <c r="N111" s="105" t="n">
        <v>610720.07232933096</v>
      </c>
      <c r="O111" s="105" t="n">
        <v>7805299.3170163101</v>
      </c>
    </row>
    <row r="112" ht="30" customHeight="1">
      <c r="A112" s="105" t="s">
        <v>9102</v>
      </c>
      <c r="B112" s="105" t="s">
        <v>7454</v>
      </c>
      <c r="C112" s="30" t="s">
        <v>7453</v>
      </c>
      <c r="D112" s="30" t="s">
        <v>9103</v>
      </c>
      <c r="E112" s="104" t="s">
        <v>7455</v>
      </c>
      <c r="F112" s="104" t="s">
        <v>7456</v>
      </c>
      <c r="G112" s="104" t="s">
        <v>7015</v>
      </c>
      <c r="H112" s="116" t="s">
        <v>7056</v>
      </c>
      <c r="I112" s="104" t="s">
        <v>7457</v>
      </c>
      <c r="J112" s="104" t="s">
        <v>7458</v>
      </c>
      <c r="K112" s="117" t="s">
        <v>7459</v>
      </c>
      <c r="L112" s="105" t="n">
        <v>-19.912723</v>
      </c>
      <c r="M112" s="105" t="n">
        <v>-43.920037999999998</v>
      </c>
      <c r="N112" s="105" t="n">
        <v>613036.97848867998</v>
      </c>
      <c r="O112" s="105" t="n">
        <v>7797813.8556970004</v>
      </c>
    </row>
    <row r="113" ht="30" customHeight="1">
      <c r="A113" s="105" t="s">
        <v>9104</v>
      </c>
      <c r="B113" s="105" t="s">
        <v>7454</v>
      </c>
      <c r="C113" s="30" t="s">
        <v>7453</v>
      </c>
      <c r="D113" s="30" t="s">
        <v>9105</v>
      </c>
      <c r="E113" s="74" t="s">
        <v>7455</v>
      </c>
      <c r="F113" s="104" t="s">
        <v>7456</v>
      </c>
      <c r="G113" s="104" t="s">
        <v>7015</v>
      </c>
      <c r="H113" s="116" t="s">
        <v>7056</v>
      </c>
      <c r="I113" s="104" t="s">
        <v>7457</v>
      </c>
      <c r="J113" s="104" t="s">
        <v>7458</v>
      </c>
      <c r="K113" s="117" t="s">
        <v>7459</v>
      </c>
      <c r="L113" s="105" t="n">
        <v>-19.912723</v>
      </c>
      <c r="M113" s="105" t="n">
        <v>-43.920037999999998</v>
      </c>
      <c r="N113" s="105" t="n">
        <v>613036.97848867998</v>
      </c>
      <c r="O113" s="105" t="n">
        <v>7797813.8556970004</v>
      </c>
    </row>
    <row r="114" ht="30" customHeight="1">
      <c r="A114" s="105" t="s">
        <v>9106</v>
      </c>
      <c r="B114" s="105" t="s">
        <v>7461</v>
      </c>
      <c r="C114" s="30" t="s">
        <v>7460</v>
      </c>
      <c r="D114" s="105" t="s">
        <v>9107</v>
      </c>
      <c r="E114" s="74" t="s">
        <v>7462</v>
      </c>
      <c r="F114" s="104" t="s">
        <v>7463</v>
      </c>
      <c r="G114" s="104" t="s">
        <v>7077</v>
      </c>
      <c r="H114" s="116" t="s">
        <v>7105</v>
      </c>
      <c r="I114" s="104" t="s">
        <v>7464</v>
      </c>
      <c r="J114" s="104" t="s">
        <v>7465</v>
      </c>
      <c r="K114" s="117" t="s">
        <v>7466</v>
      </c>
      <c r="L114" s="105" t="n">
        <v>-20.0197272490317</v>
      </c>
      <c r="M114" s="105" t="n">
        <v>-44.031404485316898</v>
      </c>
      <c r="N114" s="105" t="n">
        <v>601311.24593989202</v>
      </c>
      <c r="O114" s="105" t="n">
        <v>7786042.4894800996</v>
      </c>
    </row>
    <row r="115" ht="30" customHeight="1">
      <c r="A115" s="105" t="s">
        <v>9108</v>
      </c>
      <c r="B115" s="105" t="s">
        <v>7468</v>
      </c>
      <c r="C115" s="30" t="s">
        <v>7467</v>
      </c>
      <c r="D115" s="30" t="s">
        <v>9109</v>
      </c>
      <c r="E115" s="95" t="s">
        <v>7469</v>
      </c>
      <c r="F115" s="104" t="s">
        <v>7470</v>
      </c>
      <c r="G115" s="104" t="s">
        <v>6997</v>
      </c>
      <c r="H115" s="116" t="s">
        <v>7152</v>
      </c>
      <c r="I115" s="104" t="s">
        <v>7471</v>
      </c>
      <c r="J115" s="104" t="s">
        <v>7472</v>
      </c>
      <c r="K115" s="104" t="s">
        <v>7473</v>
      </c>
      <c r="L115" s="105" t="n">
        <v>-19.868541</v>
      </c>
      <c r="M115" s="105" t="n">
        <v>-43.987921999999998</v>
      </c>
      <c r="N115" s="105" t="n">
        <v>605960.52496900095</v>
      </c>
      <c r="O115" s="105" t="n">
        <v>7802747.7549459999</v>
      </c>
    </row>
    <row r="116" ht="30" customHeight="1">
      <c r="A116" s="105" t="s">
        <v>9110</v>
      </c>
      <c r="B116" s="105" t="s">
        <v>7475</v>
      </c>
      <c r="C116" s="30" t="s">
        <v>7474</v>
      </c>
      <c r="D116" s="105" t="s">
        <v>9111</v>
      </c>
      <c r="E116" s="95" t="s">
        <v>7476</v>
      </c>
      <c r="F116" s="104" t="s">
        <v>7477</v>
      </c>
      <c r="G116" s="104" t="s">
        <v>6997</v>
      </c>
      <c r="H116" s="116" t="s">
        <v>7152</v>
      </c>
      <c r="I116" s="104" t="s">
        <v>7478</v>
      </c>
      <c r="J116" s="104" t="s">
        <v>7479</v>
      </c>
      <c r="K116" s="104" t="s">
        <v>7480</v>
      </c>
      <c r="L116" s="105" t="n">
        <v>-19.893825</v>
      </c>
      <c r="M116" s="105" t="n">
        <v>-43.983711999999997</v>
      </c>
      <c r="N116" s="105" t="n">
        <v>606384.450066688</v>
      </c>
      <c r="O116" s="105" t="n">
        <v>7799946.87194217</v>
      </c>
    </row>
    <row r="117" ht="30" customHeight="1">
      <c r="A117" s="105" t="s">
        <v>9112</v>
      </c>
      <c r="B117" s="105" t="s">
        <v>7475</v>
      </c>
      <c r="C117" s="30" t="s">
        <v>7474</v>
      </c>
      <c r="D117" s="105" t="s">
        <v>9113</v>
      </c>
      <c r="E117" s="95" t="s">
        <v>7476</v>
      </c>
      <c r="F117" s="104" t="s">
        <v>7477</v>
      </c>
      <c r="G117" s="104" t="s">
        <v>6997</v>
      </c>
      <c r="H117" s="116" t="s">
        <v>7152</v>
      </c>
      <c r="I117" s="104" t="s">
        <v>7478</v>
      </c>
      <c r="J117" s="104" t="s">
        <v>7479</v>
      </c>
      <c r="K117" s="104" t="s">
        <v>7480</v>
      </c>
      <c r="L117" s="105" t="n">
        <v>-19.893825</v>
      </c>
      <c r="M117" s="105" t="n">
        <v>-43.983711999999997</v>
      </c>
      <c r="N117" s="105" t="n">
        <v>606384.450066688</v>
      </c>
      <c r="O117" s="105" t="n">
        <v>7799946.87194217</v>
      </c>
    </row>
    <row r="118" ht="30" customHeight="1">
      <c r="A118" s="105" t="s">
        <v>9114</v>
      </c>
      <c r="B118" s="105" t="s">
        <v>7482</v>
      </c>
      <c r="C118" s="30" t="s">
        <v>7481</v>
      </c>
      <c r="D118" s="30" t="s">
        <v>9115</v>
      </c>
      <c r="E118" s="104" t="s">
        <v>7483</v>
      </c>
      <c r="F118" s="104" t="s">
        <v>7484</v>
      </c>
      <c r="G118" s="104" t="s">
        <v>7086</v>
      </c>
      <c r="H118" s="116" t="s">
        <v>7485</v>
      </c>
      <c r="I118" s="104" t="s">
        <v>7486</v>
      </c>
      <c r="J118" s="104" t="s">
        <v>7487</v>
      </c>
      <c r="K118" s="117" t="s">
        <v>7488</v>
      </c>
      <c r="L118" s="105" t="n">
        <v>-19.800456000000001</v>
      </c>
      <c r="M118" s="105" t="n">
        <v>-43.967117000000002</v>
      </c>
      <c r="N118" s="105" t="n">
        <v>608185.00131690304</v>
      </c>
      <c r="O118" s="105" t="n">
        <v>7810269.6367804799</v>
      </c>
    </row>
    <row r="119" ht="30" customHeight="1">
      <c r="A119" s="105" t="s">
        <v>9116</v>
      </c>
      <c r="B119" s="105" t="s">
        <v>7482</v>
      </c>
      <c r="C119" s="30" t="s">
        <v>7481</v>
      </c>
      <c r="D119" s="30" t="s">
        <v>9117</v>
      </c>
      <c r="E119" s="74" t="s">
        <v>7483</v>
      </c>
      <c r="F119" s="104" t="s">
        <v>7484</v>
      </c>
      <c r="G119" s="104" t="s">
        <v>7086</v>
      </c>
      <c r="H119" s="116" t="s">
        <v>7485</v>
      </c>
      <c r="I119" s="104" t="s">
        <v>7486</v>
      </c>
      <c r="J119" s="104" t="s">
        <v>7487</v>
      </c>
      <c r="K119" s="117" t="s">
        <v>7488</v>
      </c>
      <c r="L119" s="105" t="n">
        <v>-19.800456000000001</v>
      </c>
      <c r="M119" s="105" t="n">
        <v>-43.967117000000002</v>
      </c>
      <c r="N119" s="105" t="n">
        <v>608185.00131690304</v>
      </c>
      <c r="O119" s="105" t="n">
        <v>7810269.6367804799</v>
      </c>
    </row>
    <row r="120" ht="30" customHeight="1">
      <c r="A120" s="105" t="s">
        <v>9118</v>
      </c>
      <c r="B120" s="105" t="s">
        <v>7482</v>
      </c>
      <c r="C120" s="30" t="s">
        <v>7481</v>
      </c>
      <c r="D120" s="30" t="s">
        <v>9119</v>
      </c>
      <c r="E120" s="74" t="s">
        <v>7483</v>
      </c>
      <c r="F120" s="104" t="s">
        <v>7484</v>
      </c>
      <c r="G120" s="104" t="s">
        <v>7086</v>
      </c>
      <c r="H120" s="116" t="s">
        <v>7485</v>
      </c>
      <c r="I120" s="104" t="s">
        <v>7486</v>
      </c>
      <c r="J120" s="104" t="s">
        <v>7487</v>
      </c>
      <c r="K120" s="117" t="s">
        <v>7488</v>
      </c>
      <c r="L120" s="105" t="n">
        <v>-19.800456000000001</v>
      </c>
      <c r="M120" s="105" t="n">
        <v>-43.967117000000002</v>
      </c>
      <c r="N120" s="105" t="n">
        <v>608185.00131690304</v>
      </c>
      <c r="O120" s="105" t="n">
        <v>7810269.6367804799</v>
      </c>
    </row>
    <row r="121" ht="30" customHeight="1">
      <c r="A121" s="105" t="s">
        <v>9120</v>
      </c>
      <c r="B121" s="105" t="s">
        <v>7490</v>
      </c>
      <c r="C121" s="30" t="s">
        <v>7489</v>
      </c>
      <c r="D121" s="30" t="s">
        <v>9121</v>
      </c>
      <c r="E121" s="74" t="s">
        <v>7491</v>
      </c>
      <c r="F121" s="104" t="s">
        <v>7492</v>
      </c>
      <c r="G121" s="104" t="s">
        <v>7126</v>
      </c>
      <c r="H121" s="116" t="s">
        <v>7127</v>
      </c>
      <c r="I121" s="104" t="s">
        <v>7493</v>
      </c>
      <c r="J121" s="104" t="s">
        <v>7494</v>
      </c>
      <c r="K121" s="117" t="s">
        <v>7495</v>
      </c>
      <c r="L121" s="105" t="n">
        <v>-19.829909518680299</v>
      </c>
      <c r="M121" s="105" t="n">
        <v>-43.927566950096903</v>
      </c>
      <c r="N121" s="105" t="n">
        <v>612307.18872261303</v>
      </c>
      <c r="O121" s="105" t="n">
        <v>7806984.1487795999</v>
      </c>
    </row>
    <row r="122" ht="30" customHeight="1">
      <c r="A122" s="105" t="s">
        <v>9122</v>
      </c>
      <c r="B122" s="105" t="s">
        <v>7497</v>
      </c>
      <c r="C122" s="30" t="s">
        <v>7496</v>
      </c>
      <c r="D122" s="30" t="s">
        <v>9123</v>
      </c>
      <c r="E122" s="104" t="s">
        <v>7498</v>
      </c>
      <c r="F122" s="104" t="s">
        <v>7499</v>
      </c>
      <c r="G122" s="104" t="s">
        <v>6974</v>
      </c>
      <c r="H122" s="116" t="s">
        <v>7047</v>
      </c>
      <c r="I122" s="104" t="s">
        <v>7500</v>
      </c>
      <c r="J122" s="104" t="s">
        <v>7501</v>
      </c>
      <c r="K122" s="117" t="s">
        <v>7502</v>
      </c>
      <c r="L122" s="105" t="n">
        <v>-19.9100481042836</v>
      </c>
      <c r="M122" s="105" t="n">
        <v>-44.008016300506199</v>
      </c>
      <c r="N122" s="105" t="n">
        <v>603829.50782109902</v>
      </c>
      <c r="O122" s="105" t="n">
        <v>7798166.6097519202</v>
      </c>
    </row>
    <row r="123" ht="30" customHeight="1">
      <c r="A123" s="105" t="s">
        <v>9124</v>
      </c>
      <c r="B123" s="105" t="s">
        <v>7504</v>
      </c>
      <c r="C123" s="30" t="s">
        <v>7503</v>
      </c>
      <c r="D123" s="105" t="s">
        <v>9125</v>
      </c>
      <c r="E123" s="104" t="s">
        <v>7505</v>
      </c>
      <c r="F123" s="104" t="s">
        <v>7506</v>
      </c>
      <c r="G123" s="104" t="s">
        <v>7126</v>
      </c>
      <c r="H123" s="116" t="s">
        <v>7449</v>
      </c>
      <c r="I123" s="104" t="s">
        <v>7507</v>
      </c>
      <c r="J123" s="104" t="s">
        <v>7508</v>
      </c>
      <c r="K123" s="117" t="s">
        <v>7509</v>
      </c>
      <c r="L123" s="105" t="n">
        <v>-19.828688</v>
      </c>
      <c r="M123" s="105" t="n">
        <v>-43.932633000000003</v>
      </c>
      <c r="N123" s="105" t="n">
        <v>611777.46924818598</v>
      </c>
      <c r="O123" s="105" t="n">
        <v>7807122.6989614395</v>
      </c>
    </row>
    <row r="124" ht="30" customHeight="1">
      <c r="A124" s="105" t="s">
        <v>9126</v>
      </c>
      <c r="B124" s="105" t="s">
        <v>7504</v>
      </c>
      <c r="C124" s="30" t="s">
        <v>7503</v>
      </c>
      <c r="D124" s="105" t="s">
        <v>9127</v>
      </c>
      <c r="E124" s="104" t="s">
        <v>7505</v>
      </c>
      <c r="F124" s="104" t="s">
        <v>7506</v>
      </c>
      <c r="G124" s="104" t="s">
        <v>7126</v>
      </c>
      <c r="H124" s="116" t="s">
        <v>7449</v>
      </c>
      <c r="I124" s="104" t="s">
        <v>7507</v>
      </c>
      <c r="J124" s="104" t="s">
        <v>7508</v>
      </c>
      <c r="K124" s="117" t="s">
        <v>7509</v>
      </c>
      <c r="L124" s="105" t="n">
        <v>-19.828688</v>
      </c>
      <c r="M124" s="105" t="n">
        <v>-43.932633000000003</v>
      </c>
      <c r="N124" s="105" t="n">
        <v>611777.46924818598</v>
      </c>
      <c r="O124" s="105" t="n">
        <v>7807122.6989614395</v>
      </c>
    </row>
    <row r="125" ht="30" customHeight="1">
      <c r="A125" s="105" t="s">
        <v>9128</v>
      </c>
      <c r="B125" s="105" t="s">
        <v>7511</v>
      </c>
      <c r="C125" s="30" t="s">
        <v>7510</v>
      </c>
      <c r="D125" s="30" t="s">
        <v>9129</v>
      </c>
      <c r="E125" s="104" t="s">
        <v>7512</v>
      </c>
      <c r="F125" s="104" t="s">
        <v>7513</v>
      </c>
      <c r="G125" s="104" t="s">
        <v>6974</v>
      </c>
      <c r="H125" s="116" t="s">
        <v>7244</v>
      </c>
      <c r="I125" s="104" t="s">
        <v>7514</v>
      </c>
      <c r="J125" s="104" t="s">
        <v>7515</v>
      </c>
      <c r="K125" s="117" t="s">
        <v>7516</v>
      </c>
      <c r="L125" s="105" t="n">
        <v>-19.903545999999999</v>
      </c>
      <c r="M125" s="105" t="n">
        <v>-43.981608999999999</v>
      </c>
      <c r="N125" s="105" t="n">
        <v>606598.09968271398</v>
      </c>
      <c r="O125" s="105" t="n">
        <v>7798869.6964920703</v>
      </c>
    </row>
    <row r="126" ht="30" customHeight="1">
      <c r="A126" s="105" t="s">
        <v>9130</v>
      </c>
      <c r="B126" s="105" t="s">
        <v>7511</v>
      </c>
      <c r="C126" s="30" t="s">
        <v>7510</v>
      </c>
      <c r="D126" s="30" t="s">
        <v>9131</v>
      </c>
      <c r="E126" s="104" t="s">
        <v>7512</v>
      </c>
      <c r="F126" s="104" t="s">
        <v>7513</v>
      </c>
      <c r="G126" s="104" t="s">
        <v>6974</v>
      </c>
      <c r="H126" s="116" t="s">
        <v>7244</v>
      </c>
      <c r="I126" s="104" t="s">
        <v>7514</v>
      </c>
      <c r="J126" s="104" t="s">
        <v>7515</v>
      </c>
      <c r="K126" s="117" t="s">
        <v>7516</v>
      </c>
      <c r="L126" s="105" t="n">
        <v>-19.903545999999999</v>
      </c>
      <c r="M126" s="105" t="n">
        <v>-43.981608999999999</v>
      </c>
      <c r="N126" s="105" t="n">
        <v>606598.09968271398</v>
      </c>
      <c r="O126" s="105" t="n">
        <v>7798869.6964920703</v>
      </c>
    </row>
    <row r="127" ht="30" customHeight="1">
      <c r="A127" s="105" t="s">
        <v>9132</v>
      </c>
      <c r="B127" s="105" t="s">
        <v>7511</v>
      </c>
      <c r="C127" s="30" t="s">
        <v>7510</v>
      </c>
      <c r="D127" s="30" t="s">
        <v>9133</v>
      </c>
      <c r="E127" s="95" t="s">
        <v>7512</v>
      </c>
      <c r="F127" s="104" t="s">
        <v>7513</v>
      </c>
      <c r="G127" s="104" t="s">
        <v>6974</v>
      </c>
      <c r="H127" s="116" t="s">
        <v>7244</v>
      </c>
      <c r="I127" s="104" t="s">
        <v>7514</v>
      </c>
      <c r="J127" s="104" t="s">
        <v>7515</v>
      </c>
      <c r="K127" s="117" t="s">
        <v>7516</v>
      </c>
      <c r="L127" s="105" t="n">
        <v>-19.903545999999999</v>
      </c>
      <c r="M127" s="105" t="n">
        <v>-43.981608999999999</v>
      </c>
      <c r="N127" s="105" t="n">
        <v>606598.09968271398</v>
      </c>
      <c r="O127" s="105" t="n">
        <v>7798869.6964920703</v>
      </c>
    </row>
    <row r="128" ht="30" customHeight="1">
      <c r="A128" s="105" t="s">
        <v>9134</v>
      </c>
      <c r="B128" s="105" t="s">
        <v>7518</v>
      </c>
      <c r="C128" s="30" t="s">
        <v>7517</v>
      </c>
      <c r="D128" s="105" t="s">
        <v>9135</v>
      </c>
      <c r="E128" s="95" t="s">
        <v>7519</v>
      </c>
      <c r="F128" s="104" t="s">
        <v>7520</v>
      </c>
      <c r="G128" s="104" t="s">
        <v>6974</v>
      </c>
      <c r="H128" s="116" t="s">
        <v>7264</v>
      </c>
      <c r="I128" s="104" t="s">
        <v>7521</v>
      </c>
      <c r="J128" s="104" t="s">
        <v>7522</v>
      </c>
      <c r="K128" s="117" t="s">
        <v>7523</v>
      </c>
      <c r="L128" s="105" t="n">
        <v>-19.927517000000002</v>
      </c>
      <c r="M128" s="105" t="n">
        <v>-44.003463000000004</v>
      </c>
      <c r="N128" s="105" t="n">
        <v>604294.67521814804</v>
      </c>
      <c r="O128" s="105" t="n">
        <v>7796230.4763361597</v>
      </c>
    </row>
    <row r="129" ht="30" customHeight="1">
      <c r="A129" s="105" t="s">
        <v>9136</v>
      </c>
      <c r="B129" s="105" t="s">
        <v>7525</v>
      </c>
      <c r="C129" s="30" t="s">
        <v>7524</v>
      </c>
      <c r="D129" s="30" t="s">
        <v>9137</v>
      </c>
      <c r="E129" s="104" t="s">
        <v>7526</v>
      </c>
      <c r="F129" s="104" t="s">
        <v>7527</v>
      </c>
      <c r="G129" s="104" t="s">
        <v>7006</v>
      </c>
      <c r="H129" s="116" t="s">
        <v>7434</v>
      </c>
      <c r="I129" s="104" t="s">
        <v>7528</v>
      </c>
      <c r="J129" s="104" t="s">
        <v>7529</v>
      </c>
      <c r="K129" s="117" t="s">
        <v>7530</v>
      </c>
      <c r="L129" s="105" t="n">
        <v>-19.852160188109099</v>
      </c>
      <c r="M129" s="105" t="n">
        <v>-43.885402216744701</v>
      </c>
      <c r="N129" s="105" t="n">
        <v>616706.92006036197</v>
      </c>
      <c r="O129" s="105" t="n">
        <v>7804492.9783429196</v>
      </c>
    </row>
    <row r="130" ht="45" customHeight="1">
      <c r="A130" s="105" t="s">
        <v>9138</v>
      </c>
      <c r="B130" s="105" t="s">
        <v>7532</v>
      </c>
      <c r="C130" s="30" t="s">
        <v>7531</v>
      </c>
      <c r="D130" s="105" t="s">
        <v>9139</v>
      </c>
      <c r="E130" s="104" t="s">
        <v>7533</v>
      </c>
      <c r="F130" s="104" t="s">
        <v>7534</v>
      </c>
      <c r="G130" s="104" t="s">
        <v>7086</v>
      </c>
      <c r="H130" s="116" t="s">
        <v>7112</v>
      </c>
      <c r="I130" s="104" t="s">
        <v>7535</v>
      </c>
      <c r="J130" s="104" t="s">
        <v>7536</v>
      </c>
      <c r="K130" s="117" t="s">
        <v>7537</v>
      </c>
      <c r="L130" s="105" t="n">
        <v>-19.809384999999999</v>
      </c>
      <c r="M130" s="105" t="n">
        <v>-44.00123</v>
      </c>
      <c r="N130" s="105" t="n">
        <v>604605.85551239003</v>
      </c>
      <c r="O130" s="105" t="n">
        <v>7809302.9216090599</v>
      </c>
    </row>
    <row r="131" ht="45" customHeight="1">
      <c r="A131" s="105" t="s">
        <v>9140</v>
      </c>
      <c r="B131" s="105" t="s">
        <v>7532</v>
      </c>
      <c r="C131" s="30" t="s">
        <v>7531</v>
      </c>
      <c r="D131" s="105" t="s">
        <v>9141</v>
      </c>
      <c r="E131" s="104" t="s">
        <v>7533</v>
      </c>
      <c r="F131" s="104" t="s">
        <v>7534</v>
      </c>
      <c r="G131" s="104" t="s">
        <v>7086</v>
      </c>
      <c r="H131" s="116" t="s">
        <v>7112</v>
      </c>
      <c r="I131" s="104" t="s">
        <v>7535</v>
      </c>
      <c r="J131" s="104" t="s">
        <v>7536</v>
      </c>
      <c r="K131" s="117" t="s">
        <v>7537</v>
      </c>
      <c r="L131" s="105" t="n">
        <v>-19.809384999999999</v>
      </c>
      <c r="M131" s="105" t="n">
        <v>-44.00123</v>
      </c>
      <c r="N131" s="105" t="n">
        <v>604605.85551239003</v>
      </c>
      <c r="O131" s="105" t="n">
        <v>7809302.9216090599</v>
      </c>
    </row>
    <row r="132" ht="30" customHeight="1">
      <c r="A132" s="105" t="s">
        <v>9142</v>
      </c>
      <c r="B132" s="105" t="s">
        <v>7539</v>
      </c>
      <c r="C132" s="30" t="s">
        <v>7538</v>
      </c>
      <c r="D132" s="30" t="s">
        <v>9143</v>
      </c>
      <c r="E132" s="104" t="s">
        <v>7540</v>
      </c>
      <c r="F132" s="104" t="s">
        <v>7541</v>
      </c>
      <c r="G132" s="104" t="s">
        <v>7006</v>
      </c>
      <c r="H132" s="116" t="s">
        <v>7236</v>
      </c>
      <c r="I132" s="104" t="s">
        <v>7542</v>
      </c>
      <c r="J132" s="104" t="s">
        <v>7543</v>
      </c>
      <c r="K132" s="117" t="s">
        <v>7544</v>
      </c>
      <c r="L132" s="105" t="n">
        <v>-19.884191000000001</v>
      </c>
      <c r="M132" s="105" t="n">
        <v>-43.921010000000003</v>
      </c>
      <c r="N132" s="105" t="n">
        <v>612955.47442597698</v>
      </c>
      <c r="O132" s="105" t="n">
        <v>7800972.2570294105</v>
      </c>
    </row>
    <row r="133" ht="30" customHeight="1">
      <c r="A133" s="105" t="s">
        <v>9144</v>
      </c>
      <c r="B133" s="105" t="s">
        <v>7539</v>
      </c>
      <c r="C133" s="30" t="s">
        <v>7538</v>
      </c>
      <c r="D133" s="30" t="s">
        <v>9145</v>
      </c>
      <c r="E133" s="104" t="s">
        <v>7540</v>
      </c>
      <c r="F133" s="104" t="s">
        <v>7541</v>
      </c>
      <c r="G133" s="104" t="s">
        <v>7006</v>
      </c>
      <c r="H133" s="116" t="s">
        <v>7236</v>
      </c>
      <c r="I133" s="104" t="s">
        <v>7542</v>
      </c>
      <c r="J133" s="104" t="s">
        <v>7543</v>
      </c>
      <c r="K133" s="117" t="s">
        <v>7544</v>
      </c>
      <c r="L133" s="105" t="n">
        <v>-19.884191000000001</v>
      </c>
      <c r="M133" s="105" t="n">
        <v>-43.921010000000003</v>
      </c>
      <c r="N133" s="105" t="n">
        <v>612955.47442597698</v>
      </c>
      <c r="O133" s="105" t="n">
        <v>7800972.2570294105</v>
      </c>
    </row>
    <row r="134" ht="30" customHeight="1">
      <c r="A134" s="105" t="s">
        <v>9146</v>
      </c>
      <c r="B134" s="105" t="s">
        <v>7539</v>
      </c>
      <c r="C134" s="30" t="s">
        <v>7538</v>
      </c>
      <c r="D134" s="30" t="s">
        <v>9147</v>
      </c>
      <c r="E134" s="104" t="s">
        <v>7540</v>
      </c>
      <c r="F134" s="104" t="s">
        <v>7541</v>
      </c>
      <c r="G134" s="104" t="s">
        <v>7006</v>
      </c>
      <c r="H134" s="116" t="s">
        <v>7236</v>
      </c>
      <c r="I134" s="104" t="s">
        <v>7542</v>
      </c>
      <c r="J134" s="104" t="s">
        <v>7543</v>
      </c>
      <c r="K134" s="117" t="s">
        <v>7544</v>
      </c>
      <c r="L134" s="105" t="n">
        <v>-19.884191000000001</v>
      </c>
      <c r="M134" s="105" t="n">
        <v>-43.921010000000003</v>
      </c>
      <c r="N134" s="105" t="n">
        <v>612955.47442597698</v>
      </c>
      <c r="O134" s="105" t="n">
        <v>7800972.2570294105</v>
      </c>
    </row>
    <row r="135" ht="30" customHeight="1">
      <c r="A135" s="105" t="s">
        <v>9148</v>
      </c>
      <c r="B135" s="105" t="s">
        <v>7546</v>
      </c>
      <c r="C135" s="30" t="s">
        <v>7545</v>
      </c>
      <c r="D135" s="105" t="s">
        <v>9149</v>
      </c>
      <c r="E135" s="104" t="s">
        <v>7547</v>
      </c>
      <c r="F135" s="104" t="s">
        <v>7548</v>
      </c>
      <c r="G135" s="104" t="s">
        <v>7077</v>
      </c>
      <c r="H135" s="116" t="s">
        <v>7078</v>
      </c>
      <c r="I135" s="104" t="s">
        <v>7549</v>
      </c>
      <c r="J135" s="104" t="s">
        <v>7550</v>
      </c>
      <c r="K135" s="117" t="s">
        <v>7551</v>
      </c>
      <c r="L135" s="105" t="n">
        <v>-19.979178000000001</v>
      </c>
      <c r="M135" s="105" t="n">
        <v>-44.046582999999998</v>
      </c>
      <c r="N135" s="105" t="n">
        <v>599749.06206022098</v>
      </c>
      <c r="O135" s="105" t="n">
        <v>7790539.2662153197</v>
      </c>
    </row>
    <row r="136" ht="30" customHeight="1">
      <c r="A136" s="105" t="s">
        <v>9150</v>
      </c>
      <c r="B136" s="105" t="s">
        <v>7553</v>
      </c>
      <c r="C136" s="30" t="s">
        <v>7552</v>
      </c>
      <c r="D136" s="105" t="s">
        <v>9151</v>
      </c>
      <c r="E136" s="104" t="s">
        <v>7554</v>
      </c>
      <c r="F136" s="104" t="s">
        <v>7527</v>
      </c>
      <c r="G136" s="104" t="s">
        <v>7006</v>
      </c>
      <c r="H136" s="116" t="s">
        <v>7434</v>
      </c>
      <c r="I136" s="104" t="s">
        <v>7555</v>
      </c>
      <c r="J136" s="104" t="s">
        <v>7556</v>
      </c>
      <c r="K136" s="117" t="s">
        <v>7557</v>
      </c>
      <c r="L136" s="105" t="n">
        <v>-19.859781999999999</v>
      </c>
      <c r="M136" s="105" t="n">
        <v>-43.882503999999997</v>
      </c>
      <c r="N136" s="105" t="n">
        <v>617004.82641942496</v>
      </c>
      <c r="O136" s="105" t="n">
        <v>7803647.4301476302</v>
      </c>
    </row>
    <row r="137" ht="30" customHeight="1">
      <c r="A137" s="105" t="s">
        <v>9152</v>
      </c>
      <c r="B137" s="105" t="s">
        <v>7559</v>
      </c>
      <c r="C137" s="30" t="s">
        <v>7558</v>
      </c>
      <c r="D137" s="30" t="s">
        <v>9153</v>
      </c>
      <c r="E137" s="104" t="s">
        <v>7560</v>
      </c>
      <c r="F137" s="104" t="s">
        <v>7456</v>
      </c>
      <c r="G137" s="104" t="s">
        <v>7015</v>
      </c>
      <c r="H137" s="116" t="s">
        <v>7056</v>
      </c>
      <c r="I137" s="104" t="s">
        <v>7561</v>
      </c>
      <c r="J137" s="104" t="s">
        <v>7562</v>
      </c>
      <c r="K137" s="117"/>
      <c r="L137" s="105" t="n">
        <v>-19.905610457796602</v>
      </c>
      <c r="M137" s="105" t="n">
        <v>-43.915538001110001</v>
      </c>
      <c r="N137" s="105" t="n">
        <v>613513.1</v>
      </c>
      <c r="O137" s="105" t="n">
        <v>7798598</v>
      </c>
    </row>
    <row r="138" ht="30" customHeight="1">
      <c r="A138" s="105" t="s">
        <v>9154</v>
      </c>
      <c r="B138" s="105" t="s">
        <v>7559</v>
      </c>
      <c r="C138" s="30" t="s">
        <v>7558</v>
      </c>
      <c r="D138" s="30" t="s">
        <v>9155</v>
      </c>
      <c r="E138" s="104" t="s">
        <v>7560</v>
      </c>
      <c r="F138" s="104" t="s">
        <v>7456</v>
      </c>
      <c r="G138" s="104" t="s">
        <v>7015</v>
      </c>
      <c r="H138" s="116" t="s">
        <v>7056</v>
      </c>
      <c r="I138" s="104" t="s">
        <v>7561</v>
      </c>
      <c r="J138" s="104" t="s">
        <v>7562</v>
      </c>
      <c r="K138" s="117"/>
      <c r="L138" s="105" t="n">
        <v>-19.905610457796602</v>
      </c>
      <c r="M138" s="105" t="n">
        <v>-43.915538001110001</v>
      </c>
      <c r="N138" s="105" t="n">
        <v>613513.1</v>
      </c>
      <c r="O138" s="105" t="n">
        <v>7798598</v>
      </c>
    </row>
    <row r="139" ht="30" customHeight="1">
      <c r="A139" s="105" t="s">
        <v>9156</v>
      </c>
      <c r="B139" s="105" t="s">
        <v>7559</v>
      </c>
      <c r="C139" s="30" t="s">
        <v>7558</v>
      </c>
      <c r="D139" s="30" t="s">
        <v>9157</v>
      </c>
      <c r="E139" s="95" t="s">
        <v>7560</v>
      </c>
      <c r="F139" s="104" t="s">
        <v>7456</v>
      </c>
      <c r="G139" s="104" t="s">
        <v>7015</v>
      </c>
      <c r="H139" s="116" t="s">
        <v>7056</v>
      </c>
      <c r="I139" s="104" t="s">
        <v>7561</v>
      </c>
      <c r="J139" s="104" t="s">
        <v>7562</v>
      </c>
      <c r="K139" s="117"/>
      <c r="L139" s="105" t="n">
        <v>-19.905610457796602</v>
      </c>
      <c r="M139" s="105" t="n">
        <v>-43.915538001110001</v>
      </c>
      <c r="N139" s="105" t="n">
        <v>613513.1</v>
      </c>
      <c r="O139" s="105" t="n">
        <v>7798598</v>
      </c>
    </row>
    <row r="140" ht="30" customHeight="1">
      <c r="A140" s="105" t="s">
        <v>9158</v>
      </c>
      <c r="B140" s="105" t="s">
        <v>7564</v>
      </c>
      <c r="C140" s="30" t="s">
        <v>7563</v>
      </c>
      <c r="D140" s="105" t="s">
        <v>9159</v>
      </c>
      <c r="E140" s="95" t="s">
        <v>7565</v>
      </c>
      <c r="F140" s="104" t="s">
        <v>7566</v>
      </c>
      <c r="G140" s="104" t="s">
        <v>7006</v>
      </c>
      <c r="H140" s="116" t="s">
        <v>7413</v>
      </c>
      <c r="I140" s="104" t="s">
        <v>7567</v>
      </c>
      <c r="J140" s="104" t="s">
        <v>7568</v>
      </c>
      <c r="K140" s="117" t="s">
        <v>7569</v>
      </c>
      <c r="L140" s="105" t="n">
        <v>-19.867550000000001</v>
      </c>
      <c r="M140" s="105" t="n">
        <v>-43.904898000000003</v>
      </c>
      <c r="N140" s="105" t="n">
        <v>614654.30724467395</v>
      </c>
      <c r="O140" s="105" t="n">
        <v>7802803.0983287403</v>
      </c>
    </row>
    <row r="141" ht="30" customHeight="1">
      <c r="A141" s="105" t="s">
        <v>9160</v>
      </c>
      <c r="B141" s="105" t="s">
        <v>7571</v>
      </c>
      <c r="C141" s="30" t="s">
        <v>7570</v>
      </c>
      <c r="D141" s="105" t="s">
        <v>9161</v>
      </c>
      <c r="E141" s="95" t="s">
        <v>7572</v>
      </c>
      <c r="F141" s="104" t="s">
        <v>7573</v>
      </c>
      <c r="G141" s="104" t="s">
        <v>7015</v>
      </c>
      <c r="H141" s="116" t="s">
        <v>7016</v>
      </c>
      <c r="I141" s="104" t="s">
        <v>7574</v>
      </c>
      <c r="J141" s="104" t="s">
        <v>7575</v>
      </c>
      <c r="K141" s="117" t="s">
        <v>7576</v>
      </c>
      <c r="L141" s="105" t="n">
        <v>-19.90081</v>
      </c>
      <c r="M141" s="105" t="n">
        <v>-43.886763999999999</v>
      </c>
      <c r="N141" s="105" t="n">
        <v>616528.74404784199</v>
      </c>
      <c r="O141" s="105" t="n">
        <v>7799109.6195767997</v>
      </c>
    </row>
    <row r="142" ht="30" customHeight="1">
      <c r="A142" s="105" t="s">
        <v>9162</v>
      </c>
      <c r="B142" s="105" t="s">
        <v>7578</v>
      </c>
      <c r="C142" s="30" t="s">
        <v>7577</v>
      </c>
      <c r="D142" s="105" t="s">
        <v>9163</v>
      </c>
      <c r="E142" s="95" t="s">
        <v>7579</v>
      </c>
      <c r="F142" s="104" t="s">
        <v>7580</v>
      </c>
      <c r="G142" s="104" t="s">
        <v>7086</v>
      </c>
      <c r="H142" s="116" t="s">
        <v>7485</v>
      </c>
      <c r="I142" s="104" t="s">
        <v>7581</v>
      </c>
      <c r="J142" s="104" t="s">
        <v>7582</v>
      </c>
      <c r="K142" s="117" t="s">
        <v>7583</v>
      </c>
      <c r="L142" s="105" t="n">
        <v>-19.805392000000001</v>
      </c>
      <c r="M142" s="105" t="n">
        <v>-43.957872999999999</v>
      </c>
      <c r="N142" s="105" t="n">
        <v>609149.94128357596</v>
      </c>
      <c r="O142" s="105" t="n">
        <v>7809717.4207700603</v>
      </c>
    </row>
    <row r="143" ht="30" customHeight="1">
      <c r="A143" s="105" t="s">
        <v>9164</v>
      </c>
      <c r="B143" s="105" t="s">
        <v>7578</v>
      </c>
      <c r="C143" s="30" t="s">
        <v>7577</v>
      </c>
      <c r="D143" s="105" t="s">
        <v>9165</v>
      </c>
      <c r="E143" s="95" t="s">
        <v>7579</v>
      </c>
      <c r="F143" s="104" t="s">
        <v>7580</v>
      </c>
      <c r="G143" s="104" t="s">
        <v>7086</v>
      </c>
      <c r="H143" s="116" t="s">
        <v>7485</v>
      </c>
      <c r="I143" s="104" t="s">
        <v>7581</v>
      </c>
      <c r="J143" s="104" t="s">
        <v>7582</v>
      </c>
      <c r="K143" s="117" t="s">
        <v>7583</v>
      </c>
      <c r="L143" s="105" t="n">
        <v>-19.805392000000001</v>
      </c>
      <c r="M143" s="105" t="n">
        <v>-43.957872999999999</v>
      </c>
      <c r="N143" s="105" t="n">
        <v>609149.94128357596</v>
      </c>
      <c r="O143" s="105" t="n">
        <v>7809717.4207700603</v>
      </c>
    </row>
    <row r="144" ht="30" customHeight="1">
      <c r="A144" s="105" t="s">
        <v>9166</v>
      </c>
      <c r="B144" s="105" t="s">
        <v>7578</v>
      </c>
      <c r="C144" s="30" t="s">
        <v>7577</v>
      </c>
      <c r="D144" s="30" t="s">
        <v>9167</v>
      </c>
      <c r="E144" s="104" t="s">
        <v>7579</v>
      </c>
      <c r="F144" s="104" t="s">
        <v>7580</v>
      </c>
      <c r="G144" s="104" t="s">
        <v>7086</v>
      </c>
      <c r="H144" s="116" t="s">
        <v>7485</v>
      </c>
      <c r="I144" s="104" t="s">
        <v>7581</v>
      </c>
      <c r="J144" s="104" t="s">
        <v>7582</v>
      </c>
      <c r="K144" s="117" t="s">
        <v>7583</v>
      </c>
      <c r="L144" s="105" t="n">
        <v>-19.805392000000001</v>
      </c>
      <c r="M144" s="105" t="n">
        <v>-43.957872999999999</v>
      </c>
      <c r="N144" s="105" t="n">
        <v>609149.94128357596</v>
      </c>
      <c r="O144" s="105" t="n">
        <v>7809717.4207700603</v>
      </c>
    </row>
    <row r="145" ht="30" customHeight="1">
      <c r="A145" s="105" t="s">
        <v>9168</v>
      </c>
      <c r="B145" s="105" t="s">
        <v>7578</v>
      </c>
      <c r="C145" s="30" t="s">
        <v>7577</v>
      </c>
      <c r="D145" s="30" t="s">
        <v>9169</v>
      </c>
      <c r="E145" s="104" t="s">
        <v>7579</v>
      </c>
      <c r="F145" s="104" t="s">
        <v>7580</v>
      </c>
      <c r="G145" s="104" t="s">
        <v>7086</v>
      </c>
      <c r="H145" s="116" t="s">
        <v>7485</v>
      </c>
      <c r="I145" s="104" t="s">
        <v>7581</v>
      </c>
      <c r="J145" s="104" t="s">
        <v>7582</v>
      </c>
      <c r="K145" s="117" t="s">
        <v>7583</v>
      </c>
      <c r="L145" s="105" t="n">
        <v>-19.805392000000001</v>
      </c>
      <c r="M145" s="105" t="n">
        <v>-43.957872999999999</v>
      </c>
      <c r="N145" s="105" t="n">
        <v>609149.94128357596</v>
      </c>
      <c r="O145" s="105" t="n">
        <v>7809717.4207700603</v>
      </c>
    </row>
    <row r="146" ht="30" customHeight="1">
      <c r="A146" s="105" t="s">
        <v>9170</v>
      </c>
      <c r="B146" s="105" t="s">
        <v>7578</v>
      </c>
      <c r="C146" s="30" t="s">
        <v>7577</v>
      </c>
      <c r="D146" s="30" t="s">
        <v>9171</v>
      </c>
      <c r="E146" s="104" t="s">
        <v>7579</v>
      </c>
      <c r="F146" s="104" t="s">
        <v>7580</v>
      </c>
      <c r="G146" s="104" t="s">
        <v>7086</v>
      </c>
      <c r="H146" s="116" t="s">
        <v>7485</v>
      </c>
      <c r="I146" s="104" t="s">
        <v>7581</v>
      </c>
      <c r="J146" s="104" t="s">
        <v>7582</v>
      </c>
      <c r="K146" s="117" t="s">
        <v>7583</v>
      </c>
      <c r="L146" s="105" t="n">
        <v>-19.805392000000001</v>
      </c>
      <c r="M146" s="105" t="n">
        <v>-43.957872999999999</v>
      </c>
      <c r="N146" s="105" t="n">
        <v>609149.94128357596</v>
      </c>
      <c r="O146" s="105" t="n">
        <v>7809717.4207700603</v>
      </c>
    </row>
    <row r="147" ht="30" customHeight="1">
      <c r="A147" s="105" t="s">
        <v>9172</v>
      </c>
      <c r="B147" s="105" t="s">
        <v>7585</v>
      </c>
      <c r="C147" s="30" t="s">
        <v>7584</v>
      </c>
      <c r="D147" s="105" t="s">
        <v>9173</v>
      </c>
      <c r="E147" s="104" t="s">
        <v>7586</v>
      </c>
      <c r="F147" s="104" t="s">
        <v>7587</v>
      </c>
      <c r="G147" s="104" t="s">
        <v>7077</v>
      </c>
      <c r="H147" s="116" t="s">
        <v>7588</v>
      </c>
      <c r="I147" s="104" t="s">
        <v>7589</v>
      </c>
      <c r="J147" s="104" t="s">
        <v>7590</v>
      </c>
      <c r="K147" s="117" t="s">
        <v>7591</v>
      </c>
      <c r="L147" s="105" t="n">
        <v>-19.9976573779843</v>
      </c>
      <c r="M147" s="105" t="n">
        <v>-44.011273118792801</v>
      </c>
      <c r="N147" s="105" t="n">
        <v>603431.48996045301</v>
      </c>
      <c r="O147" s="105" t="n">
        <v>7788472.7093124399</v>
      </c>
    </row>
    <row r="148" ht="30" customHeight="1">
      <c r="A148" s="105" t="s">
        <v>9174</v>
      </c>
      <c r="B148" s="105" t="s">
        <v>7593</v>
      </c>
      <c r="C148" s="30" t="s">
        <v>7592</v>
      </c>
      <c r="D148" s="30" t="s">
        <v>9175</v>
      </c>
      <c r="E148" s="104" t="s">
        <v>7594</v>
      </c>
      <c r="F148" s="104" t="s">
        <v>7595</v>
      </c>
      <c r="G148" s="104" t="s">
        <v>7006</v>
      </c>
      <c r="H148" s="116" t="s">
        <v>7348</v>
      </c>
      <c r="I148" s="104" t="s">
        <v>7596</v>
      </c>
      <c r="J148" s="104" t="s">
        <v>7597</v>
      </c>
      <c r="K148" s="117" t="s">
        <v>7598</v>
      </c>
      <c r="L148" s="105" t="n">
        <v>-19.852108999999999</v>
      </c>
      <c r="M148" s="105" t="n">
        <v>-43.893681000000001</v>
      </c>
      <c r="N148" s="105" t="n">
        <v>615840.02146490104</v>
      </c>
      <c r="O148" s="105" t="n">
        <v>7804504.3502065102</v>
      </c>
    </row>
    <row r="149" ht="30" customHeight="1">
      <c r="A149" s="105" t="s">
        <v>9176</v>
      </c>
      <c r="B149" s="105" t="s">
        <v>7600</v>
      </c>
      <c r="C149" s="30" t="s">
        <v>7599</v>
      </c>
      <c r="D149" s="30" t="s">
        <v>9008</v>
      </c>
      <c r="E149" s="104" t="s">
        <v>7601</v>
      </c>
      <c r="F149" s="104" t="s">
        <v>7602</v>
      </c>
      <c r="G149" s="104" t="s">
        <v>6983</v>
      </c>
      <c r="H149" s="116" t="s">
        <v>7228</v>
      </c>
      <c r="I149" s="104" t="s">
        <v>7603</v>
      </c>
      <c r="J149" s="104" t="s">
        <v>7604</v>
      </c>
      <c r="K149" s="117" t="s">
        <v>7605</v>
      </c>
      <c r="L149" s="105" t="n">
        <v>-19.929817613605799</v>
      </c>
      <c r="M149" s="105" t="n">
        <v>-43.974283042463497</v>
      </c>
      <c r="N149" s="105" t="n">
        <v>607347.25980426103</v>
      </c>
      <c r="O149" s="105" t="n">
        <v>7795957.48891511</v>
      </c>
    </row>
    <row r="150" ht="30" customHeight="1">
      <c r="A150" s="105" t="s">
        <v>9177</v>
      </c>
      <c r="B150" s="105" t="s">
        <v>7600</v>
      </c>
      <c r="C150" s="30" t="s">
        <v>7599</v>
      </c>
      <c r="D150" s="30" t="s">
        <v>9178</v>
      </c>
      <c r="E150" s="104" t="s">
        <v>7601</v>
      </c>
      <c r="F150" s="104" t="s">
        <v>7602</v>
      </c>
      <c r="G150" s="104" t="s">
        <v>6983</v>
      </c>
      <c r="H150" s="116" t="s">
        <v>7228</v>
      </c>
      <c r="I150" s="104" t="s">
        <v>7603</v>
      </c>
      <c r="J150" s="104" t="s">
        <v>7604</v>
      </c>
      <c r="K150" s="117" t="s">
        <v>7605</v>
      </c>
      <c r="L150" s="105" t="n">
        <v>-19.929817613605799</v>
      </c>
      <c r="M150" s="105" t="n">
        <v>-43.974283042463497</v>
      </c>
      <c r="N150" s="105" t="n">
        <v>607347.25980426103</v>
      </c>
      <c r="O150" s="105" t="n">
        <v>7795957.48891511</v>
      </c>
    </row>
    <row r="151" ht="30" customHeight="1">
      <c r="A151" s="105" t="s">
        <v>9179</v>
      </c>
      <c r="B151" s="105" t="s">
        <v>7607</v>
      </c>
      <c r="C151" s="30" t="s">
        <v>7606</v>
      </c>
      <c r="D151" s="105" t="s">
        <v>9180</v>
      </c>
      <c r="E151" s="104" t="s">
        <v>7608</v>
      </c>
      <c r="F151" s="104" t="s">
        <v>7609</v>
      </c>
      <c r="G151" s="104" t="s">
        <v>7086</v>
      </c>
      <c r="H151" s="116" t="s">
        <v>7201</v>
      </c>
      <c r="I151" s="104" t="s">
        <v>7610</v>
      </c>
      <c r="J151" s="104" t="s">
        <v>7272</v>
      </c>
      <c r="K151" s="117" t="s">
        <v>7611</v>
      </c>
      <c r="L151" s="105" t="n">
        <v>-19.794305999999999</v>
      </c>
      <c r="M151" s="105" t="n">
        <v>-43.967821999999998</v>
      </c>
      <c r="N151" s="105" t="n">
        <v>608115.30620109802</v>
      </c>
      <c r="O151" s="105" t="n">
        <v>7810950.7168849204</v>
      </c>
    </row>
    <row r="152" ht="30" customHeight="1">
      <c r="A152" s="105" t="s">
        <v>9181</v>
      </c>
      <c r="B152" s="105" t="s">
        <v>7613</v>
      </c>
      <c r="C152" s="30" t="s">
        <v>7612</v>
      </c>
      <c r="D152" s="105" t="s">
        <v>9182</v>
      </c>
      <c r="E152" s="104" t="s">
        <v>7614</v>
      </c>
      <c r="F152" s="104" t="s">
        <v>7615</v>
      </c>
      <c r="G152" s="104" t="s">
        <v>7126</v>
      </c>
      <c r="H152" s="116" t="s">
        <v>7127</v>
      </c>
      <c r="I152" s="104" t="s">
        <v>7616</v>
      </c>
      <c r="J152" s="104" t="s">
        <v>7617</v>
      </c>
      <c r="K152" s="117" t="s">
        <v>7618</v>
      </c>
      <c r="L152" s="105" t="n">
        <v>-19.841718661559401</v>
      </c>
      <c r="M152" s="105" t="n">
        <v>-43.909065287027602</v>
      </c>
      <c r="N152" s="105" t="n">
        <v>614236.45216410095</v>
      </c>
      <c r="O152" s="105" t="n">
        <v>7805664.7783275498</v>
      </c>
    </row>
    <row r="153" ht="30" customHeight="1">
      <c r="A153" s="105" t="s">
        <v>9183</v>
      </c>
      <c r="B153" s="105" t="s">
        <v>7620</v>
      </c>
      <c r="C153" s="30" t="s">
        <v>7619</v>
      </c>
      <c r="D153" s="105" t="s">
        <v>9184</v>
      </c>
      <c r="E153" s="104" t="s">
        <v>7621</v>
      </c>
      <c r="F153" s="104" t="s">
        <v>7622</v>
      </c>
      <c r="G153" s="104" t="s">
        <v>7015</v>
      </c>
      <c r="H153" s="116" t="s">
        <v>7024</v>
      </c>
      <c r="I153" s="104" t="s">
        <v>7623</v>
      </c>
      <c r="J153" s="104" t="s">
        <v>7624</v>
      </c>
      <c r="K153" s="117" t="s">
        <v>7625</v>
      </c>
      <c r="L153" s="105" t="n">
        <v>-19.919501</v>
      </c>
      <c r="M153" s="105" t="n">
        <v>-43.877144000000001</v>
      </c>
      <c r="N153" s="105" t="n">
        <v>617522.01589182497</v>
      </c>
      <c r="O153" s="105" t="n">
        <v>7797034.2969597997</v>
      </c>
    </row>
    <row r="154" ht="30" customHeight="1">
      <c r="A154" s="105" t="s">
        <v>9185</v>
      </c>
      <c r="B154" s="105" t="s">
        <v>7620</v>
      </c>
      <c r="C154" s="30" t="s">
        <v>7619</v>
      </c>
      <c r="D154" s="30" t="s">
        <v>9186</v>
      </c>
      <c r="E154" s="104" t="s">
        <v>7621</v>
      </c>
      <c r="F154" s="104" t="s">
        <v>7622</v>
      </c>
      <c r="G154" s="104" t="s">
        <v>7015</v>
      </c>
      <c r="H154" s="116" t="s">
        <v>7024</v>
      </c>
      <c r="I154" s="104" t="s">
        <v>7623</v>
      </c>
      <c r="J154" s="104" t="s">
        <v>7624</v>
      </c>
      <c r="K154" s="117" t="s">
        <v>7625</v>
      </c>
      <c r="L154" s="105" t="n">
        <v>-19.919501</v>
      </c>
      <c r="M154" s="105" t="n">
        <v>-43.877144000000001</v>
      </c>
      <c r="N154" s="105" t="n">
        <v>617522.01589182497</v>
      </c>
      <c r="O154" s="105" t="n">
        <v>7797034.2969597997</v>
      </c>
    </row>
    <row r="155" ht="30" customHeight="1">
      <c r="A155" s="105" t="s">
        <v>9187</v>
      </c>
      <c r="B155" s="105" t="s">
        <v>7620</v>
      </c>
      <c r="C155" s="30" t="s">
        <v>7619</v>
      </c>
      <c r="D155" s="30" t="s">
        <v>9188</v>
      </c>
      <c r="E155" s="104" t="s">
        <v>7621</v>
      </c>
      <c r="F155" s="104" t="s">
        <v>7622</v>
      </c>
      <c r="G155" s="104" t="s">
        <v>7015</v>
      </c>
      <c r="H155" s="116" t="s">
        <v>7024</v>
      </c>
      <c r="I155" s="104" t="s">
        <v>7623</v>
      </c>
      <c r="J155" s="104" t="s">
        <v>7624</v>
      </c>
      <c r="K155" s="117" t="s">
        <v>7625</v>
      </c>
      <c r="L155" s="105" t="n">
        <v>-19.919501</v>
      </c>
      <c r="M155" s="105" t="n">
        <v>-43.877144000000001</v>
      </c>
      <c r="N155" s="105" t="n">
        <v>617522.01589182497</v>
      </c>
      <c r="O155" s="105" t="n">
        <v>7797034.2969597997</v>
      </c>
    </row>
    <row r="156" ht="30" customHeight="1">
      <c r="A156" s="105" t="s">
        <v>9189</v>
      </c>
      <c r="B156" s="105" t="s">
        <v>7620</v>
      </c>
      <c r="C156" s="30" t="s">
        <v>7619</v>
      </c>
      <c r="D156" s="105" t="s">
        <v>9190</v>
      </c>
      <c r="E156" s="104" t="s">
        <v>7621</v>
      </c>
      <c r="F156" s="104" t="s">
        <v>7622</v>
      </c>
      <c r="G156" s="104" t="s">
        <v>7015</v>
      </c>
      <c r="H156" s="116" t="s">
        <v>7024</v>
      </c>
      <c r="I156" s="104" t="s">
        <v>7623</v>
      </c>
      <c r="J156" s="104" t="s">
        <v>7624</v>
      </c>
      <c r="K156" s="117" t="s">
        <v>7625</v>
      </c>
      <c r="L156" s="105" t="n">
        <v>-19.919501</v>
      </c>
      <c r="M156" s="105" t="n">
        <v>-43.877144000000001</v>
      </c>
      <c r="N156" s="105" t="n">
        <v>617522.01589182497</v>
      </c>
      <c r="O156" s="105" t="n">
        <v>7797034.2969597997</v>
      </c>
    </row>
    <row r="157" ht="45" customHeight="1">
      <c r="A157" s="105" t="s">
        <v>9191</v>
      </c>
      <c r="B157" s="105" t="s">
        <v>7627</v>
      </c>
      <c r="C157" s="30" t="s">
        <v>7626</v>
      </c>
      <c r="D157" s="105" t="s">
        <v>9192</v>
      </c>
      <c r="E157" s="104" t="s">
        <v>7628</v>
      </c>
      <c r="F157" s="104" t="s">
        <v>7629</v>
      </c>
      <c r="G157" s="104" t="s">
        <v>7006</v>
      </c>
      <c r="H157" s="116" t="s">
        <v>7348</v>
      </c>
      <c r="I157" s="104" t="s">
        <v>7630</v>
      </c>
      <c r="J157" s="104" t="s">
        <v>7631</v>
      </c>
      <c r="K157" s="117" t="s">
        <v>7632</v>
      </c>
      <c r="L157" s="105" t="n">
        <v>-19.849258887357099</v>
      </c>
      <c r="M157" s="105" t="n">
        <v>-43.905621859687997</v>
      </c>
      <c r="N157" s="105" t="n">
        <v>614591.65025948698</v>
      </c>
      <c r="O157" s="105" t="n">
        <v>7804827.9389495403</v>
      </c>
    </row>
    <row r="158" ht="30" customHeight="1">
      <c r="A158" s="105" t="s">
        <v>9193</v>
      </c>
      <c r="B158" s="105" t="s">
        <v>7634</v>
      </c>
      <c r="C158" s="30" t="s">
        <v>7633</v>
      </c>
      <c r="D158" s="105" t="s">
        <v>9194</v>
      </c>
      <c r="E158" s="104" t="s">
        <v>7635</v>
      </c>
      <c r="F158" s="104" t="s">
        <v>7636</v>
      </c>
      <c r="G158" s="104" t="s">
        <v>6997</v>
      </c>
      <c r="H158" s="116" t="s">
        <v>7152</v>
      </c>
      <c r="I158" s="104" t="s">
        <v>7637</v>
      </c>
      <c r="J158" s="104" t="s">
        <v>7638</v>
      </c>
      <c r="K158" s="117" t="s">
        <v>7639</v>
      </c>
      <c r="L158" s="105" t="n">
        <v>-19.885197000000002</v>
      </c>
      <c r="M158" s="105" t="n">
        <v>-43.987670000000001</v>
      </c>
      <c r="N158" s="105" t="n">
        <v>605975.83578587405</v>
      </c>
      <c r="O158" s="105" t="n">
        <v>7800904.2462534904</v>
      </c>
    </row>
    <row r="159" ht="30" customHeight="1">
      <c r="A159" s="105" t="s">
        <v>9195</v>
      </c>
      <c r="B159" s="105" t="s">
        <v>7634</v>
      </c>
      <c r="C159" s="30" t="s">
        <v>7633</v>
      </c>
      <c r="D159" s="105" t="s">
        <v>9196</v>
      </c>
      <c r="E159" s="104" t="s">
        <v>7635</v>
      </c>
      <c r="F159" s="104" t="s">
        <v>7636</v>
      </c>
      <c r="G159" s="104" t="s">
        <v>6997</v>
      </c>
      <c r="H159" s="116" t="s">
        <v>7152</v>
      </c>
      <c r="I159" s="104" t="s">
        <v>7637</v>
      </c>
      <c r="J159" s="104" t="s">
        <v>7638</v>
      </c>
      <c r="K159" s="117" t="s">
        <v>7639</v>
      </c>
      <c r="L159" s="105" t="n">
        <v>-19.885197000000002</v>
      </c>
      <c r="M159" s="105" t="n">
        <v>-43.987670000000001</v>
      </c>
      <c r="N159" s="105" t="n">
        <v>605975.83578587405</v>
      </c>
      <c r="O159" s="105" t="n">
        <v>7800904.2462534904</v>
      </c>
    </row>
    <row r="160" ht="30" customHeight="1">
      <c r="A160" s="105" t="s">
        <v>9197</v>
      </c>
      <c r="B160" s="105" t="s">
        <v>7634</v>
      </c>
      <c r="C160" s="30" t="s">
        <v>7633</v>
      </c>
      <c r="D160" s="30" t="s">
        <v>9198</v>
      </c>
      <c r="E160" s="104" t="s">
        <v>7635</v>
      </c>
      <c r="F160" s="104" t="s">
        <v>7636</v>
      </c>
      <c r="G160" s="104" t="s">
        <v>6997</v>
      </c>
      <c r="H160" s="116" t="s">
        <v>7152</v>
      </c>
      <c r="I160" s="104" t="s">
        <v>7637</v>
      </c>
      <c r="J160" s="104" t="s">
        <v>7638</v>
      </c>
      <c r="K160" s="117" t="s">
        <v>7639</v>
      </c>
      <c r="L160" s="105" t="n">
        <v>-19.885197000000002</v>
      </c>
      <c r="M160" s="105" t="n">
        <v>-43.987670000000001</v>
      </c>
      <c r="N160" s="105" t="n">
        <v>605975.83578587405</v>
      </c>
      <c r="O160" s="105" t="n">
        <v>7800904.2462534904</v>
      </c>
    </row>
    <row r="161" ht="30" customHeight="1">
      <c r="A161" s="105" t="s">
        <v>9199</v>
      </c>
      <c r="B161" s="105" t="s">
        <v>7634</v>
      </c>
      <c r="C161" s="30" t="s">
        <v>7633</v>
      </c>
      <c r="D161" s="30" t="s">
        <v>9200</v>
      </c>
      <c r="E161" s="104" t="s">
        <v>7635</v>
      </c>
      <c r="F161" s="104" t="s">
        <v>7636</v>
      </c>
      <c r="G161" s="104" t="s">
        <v>6997</v>
      </c>
      <c r="H161" s="116" t="s">
        <v>7152</v>
      </c>
      <c r="I161" s="104" t="s">
        <v>7637</v>
      </c>
      <c r="J161" s="104" t="s">
        <v>7638</v>
      </c>
      <c r="K161" s="117" t="s">
        <v>7639</v>
      </c>
      <c r="L161" s="105" t="n">
        <v>-19.885197000000002</v>
      </c>
      <c r="M161" s="105" t="n">
        <v>-43.987670000000001</v>
      </c>
      <c r="N161" s="105" t="n">
        <v>605975.83578587405</v>
      </c>
      <c r="O161" s="105" t="n">
        <v>7800904.2462534904</v>
      </c>
    </row>
    <row r="162" ht="30" customHeight="1">
      <c r="A162" s="105" t="s">
        <v>9201</v>
      </c>
      <c r="B162" s="105" t="s">
        <v>7634</v>
      </c>
      <c r="C162" s="30" t="s">
        <v>7633</v>
      </c>
      <c r="D162" s="30" t="s">
        <v>9202</v>
      </c>
      <c r="E162" s="104" t="s">
        <v>7635</v>
      </c>
      <c r="F162" s="104" t="s">
        <v>7636</v>
      </c>
      <c r="G162" s="104" t="s">
        <v>6997</v>
      </c>
      <c r="H162" s="116" t="s">
        <v>7152</v>
      </c>
      <c r="I162" s="104" t="s">
        <v>7637</v>
      </c>
      <c r="J162" s="104" t="s">
        <v>7638</v>
      </c>
      <c r="K162" s="117" t="s">
        <v>7639</v>
      </c>
      <c r="L162" s="105" t="n">
        <v>-19.885197000000002</v>
      </c>
      <c r="M162" s="105" t="n">
        <v>-43.987670000000001</v>
      </c>
      <c r="N162" s="105" t="n">
        <v>605975.83578587405</v>
      </c>
      <c r="O162" s="105" t="n">
        <v>7800904.2462534904</v>
      </c>
    </row>
    <row r="163" ht="30" customHeight="1">
      <c r="A163" s="105" t="s">
        <v>9203</v>
      </c>
      <c r="B163" s="105" t="s">
        <v>7641</v>
      </c>
      <c r="C163" s="30" t="s">
        <v>7640</v>
      </c>
      <c r="D163" s="105" t="s">
        <v>9204</v>
      </c>
      <c r="E163" s="104" t="s">
        <v>7642</v>
      </c>
      <c r="F163" s="104" t="s">
        <v>7263</v>
      </c>
      <c r="G163" s="104" t="s">
        <v>6974</v>
      </c>
      <c r="H163" s="116" t="s">
        <v>7264</v>
      </c>
      <c r="I163" s="104" t="s">
        <v>7643</v>
      </c>
      <c r="J163" s="104" t="s">
        <v>7644</v>
      </c>
      <c r="K163" s="117" t="s">
        <v>7645</v>
      </c>
      <c r="L163" s="105" t="n">
        <v>-19.915704000000002</v>
      </c>
      <c r="M163" s="105" t="n">
        <v>-43.989739999999998</v>
      </c>
      <c r="N163" s="105" t="n">
        <v>605738.85435833002</v>
      </c>
      <c r="O163" s="105" t="n">
        <v>7797529.2744822903</v>
      </c>
    </row>
    <row r="164" ht="30" customHeight="1">
      <c r="A164" s="105" t="s">
        <v>9205</v>
      </c>
      <c r="B164" s="105" t="s">
        <v>7647</v>
      </c>
      <c r="C164" s="30" t="s">
        <v>7646</v>
      </c>
      <c r="D164" s="105" t="s">
        <v>9206</v>
      </c>
      <c r="E164" s="104" t="s">
        <v>7648</v>
      </c>
      <c r="F164" s="104" t="s">
        <v>7263</v>
      </c>
      <c r="G164" s="104" t="s">
        <v>6974</v>
      </c>
      <c r="H164" s="116" t="s">
        <v>7264</v>
      </c>
      <c r="I164" s="104" t="s">
        <v>7649</v>
      </c>
      <c r="J164" s="104" t="s">
        <v>7650</v>
      </c>
      <c r="K164" s="117" t="s">
        <v>7651</v>
      </c>
      <c r="L164" s="105" t="n">
        <v>-19.920832000000001</v>
      </c>
      <c r="M164" s="105" t="n">
        <v>-43.983088000000002</v>
      </c>
      <c r="N164" s="105" t="n">
        <v>606431.71027927694</v>
      </c>
      <c r="O164" s="105" t="n">
        <v>7796957.5497985799</v>
      </c>
    </row>
    <row r="165" ht="30" customHeight="1">
      <c r="A165" s="105" t="s">
        <v>9207</v>
      </c>
      <c r="B165" s="105" t="s">
        <v>7653</v>
      </c>
      <c r="C165" s="30" t="s">
        <v>7652</v>
      </c>
      <c r="D165" s="105" t="s">
        <v>9208</v>
      </c>
      <c r="E165" s="104" t="s">
        <v>7654</v>
      </c>
      <c r="F165" s="104" t="s">
        <v>7655</v>
      </c>
      <c r="G165" s="104" t="s">
        <v>7006</v>
      </c>
      <c r="H165" s="116" t="s">
        <v>7236</v>
      </c>
      <c r="I165" s="104" t="s">
        <v>7656</v>
      </c>
      <c r="J165" s="104" t="s">
        <v>7252</v>
      </c>
      <c r="K165" s="117" t="s">
        <v>7657</v>
      </c>
      <c r="L165" s="105" t="n">
        <v>-19.872273085511001</v>
      </c>
      <c r="M165" s="105" t="n">
        <v>-43.9388683642226</v>
      </c>
      <c r="N165" s="105" t="n">
        <v>611094.08852590201</v>
      </c>
      <c r="O165" s="105" t="n">
        <v>7802303.1284488104</v>
      </c>
    </row>
    <row r="166" ht="30" customHeight="1">
      <c r="A166" s="105" t="s">
        <v>9209</v>
      </c>
      <c r="B166" s="105" t="s">
        <v>7653</v>
      </c>
      <c r="C166" s="30" t="s">
        <v>7652</v>
      </c>
      <c r="D166" s="31" t="s">
        <v>9210</v>
      </c>
      <c r="E166" s="106" t="s">
        <v>7654</v>
      </c>
      <c r="F166" s="106" t="s">
        <v>7655</v>
      </c>
      <c r="G166" s="106" t="s">
        <v>7006</v>
      </c>
      <c r="H166" s="118" t="s">
        <v>7236</v>
      </c>
      <c r="I166" s="106" t="s">
        <v>7656</v>
      </c>
      <c r="J166" s="106" t="s">
        <v>7252</v>
      </c>
      <c r="K166" s="119" t="s">
        <v>7657</v>
      </c>
      <c r="L166" s="105" t="n">
        <v>-19.872273085511001</v>
      </c>
      <c r="M166" s="105" t="n">
        <v>-43.9388683642226</v>
      </c>
      <c r="N166" s="105" t="n">
        <v>611094.08852590201</v>
      </c>
      <c r="O166" s="105" t="n">
        <v>7802303.1284488104</v>
      </c>
    </row>
    <row r="167" ht="30" customHeight="1">
      <c r="A167" s="105" t="s">
        <v>9211</v>
      </c>
      <c r="B167" s="105" t="s">
        <v>7653</v>
      </c>
      <c r="C167" s="30" t="s">
        <v>7652</v>
      </c>
      <c r="D167" s="30" t="s">
        <v>9212</v>
      </c>
      <c r="E167" s="104" t="s">
        <v>7654</v>
      </c>
      <c r="F167" s="104" t="s">
        <v>7655</v>
      </c>
      <c r="G167" s="104" t="s">
        <v>7006</v>
      </c>
      <c r="H167" s="116" t="s">
        <v>7236</v>
      </c>
      <c r="I167" s="104" t="s">
        <v>7656</v>
      </c>
      <c r="J167" s="104" t="s">
        <v>7252</v>
      </c>
      <c r="K167" s="117" t="s">
        <v>7657</v>
      </c>
      <c r="L167" s="105" t="n">
        <v>-19.872273085511001</v>
      </c>
      <c r="M167" s="105" t="n">
        <v>-43.9388683642226</v>
      </c>
      <c r="N167" s="105" t="n">
        <v>611094.08852590201</v>
      </c>
      <c r="O167" s="105" t="n">
        <v>7802303.1284488104</v>
      </c>
    </row>
    <row r="168" ht="30" customHeight="1">
      <c r="A168" s="105" t="s">
        <v>9213</v>
      </c>
      <c r="B168" s="105" t="s">
        <v>7653</v>
      </c>
      <c r="C168" s="30" t="s">
        <v>7652</v>
      </c>
      <c r="D168" s="29" t="s">
        <v>9214</v>
      </c>
      <c r="E168" s="101" t="s">
        <v>7654</v>
      </c>
      <c r="F168" s="101" t="s">
        <v>7655</v>
      </c>
      <c r="G168" s="101" t="s">
        <v>7006</v>
      </c>
      <c r="H168" s="120" t="s">
        <v>7236</v>
      </c>
      <c r="I168" s="101" t="s">
        <v>7656</v>
      </c>
      <c r="J168" s="101" t="s">
        <v>7252</v>
      </c>
      <c r="K168" s="121" t="s">
        <v>7657</v>
      </c>
      <c r="L168" s="105" t="n">
        <v>-19.872273085511001</v>
      </c>
      <c r="M168" s="105" t="n">
        <v>-43.9388683642226</v>
      </c>
      <c r="N168" s="105" t="n">
        <v>611094.08852590201</v>
      </c>
      <c r="O168" s="105" t="n">
        <v>7802303.1284488104</v>
      </c>
    </row>
    <row r="169" ht="30" customHeight="1">
      <c r="A169" s="105" t="s">
        <v>9215</v>
      </c>
      <c r="B169" s="105" t="s">
        <v>7659</v>
      </c>
      <c r="C169" s="30" t="s">
        <v>7658</v>
      </c>
      <c r="D169" s="30" t="s">
        <v>9216</v>
      </c>
      <c r="E169" s="104" t="s">
        <v>7660</v>
      </c>
      <c r="F169" s="104" t="s">
        <v>7661</v>
      </c>
      <c r="G169" s="104" t="s">
        <v>6997</v>
      </c>
      <c r="H169" s="116" t="s">
        <v>7061</v>
      </c>
      <c r="I169" s="104" t="s">
        <v>7662</v>
      </c>
      <c r="J169" s="104" t="s">
        <v>7663</v>
      </c>
      <c r="K169" s="117" t="s">
        <v>7664</v>
      </c>
      <c r="L169" s="105" t="n">
        <v>-19.859495250369001</v>
      </c>
      <c r="M169" s="105" t="n">
        <v>-43.957164073519102</v>
      </c>
      <c r="N169" s="105" t="n">
        <v>609187.22038363002</v>
      </c>
      <c r="O169" s="105" t="n">
        <v>7803729.2409373699</v>
      </c>
    </row>
    <row r="170" ht="30" customHeight="1">
      <c r="A170" s="105" t="s">
        <v>9217</v>
      </c>
      <c r="B170" s="105" t="s">
        <v>7666</v>
      </c>
      <c r="C170" s="30" t="s">
        <v>7665</v>
      </c>
      <c r="D170" s="105" t="s">
        <v>9218</v>
      </c>
      <c r="E170" s="104" t="s">
        <v>7667</v>
      </c>
      <c r="F170" s="104" t="s">
        <v>7668</v>
      </c>
      <c r="G170" s="104" t="s">
        <v>6997</v>
      </c>
      <c r="H170" s="116" t="s">
        <v>6998</v>
      </c>
      <c r="I170" s="104" t="s">
        <v>7669</v>
      </c>
      <c r="J170" s="104" t="s">
        <v>7670</v>
      </c>
      <c r="K170" s="117" t="s">
        <v>7671</v>
      </c>
      <c r="L170" s="105" t="n">
        <v>-19.898034959214701</v>
      </c>
      <c r="M170" s="105" t="n">
        <v>-44.005301264141004</v>
      </c>
      <c r="N170" s="105" t="n">
        <v>604121.56759576802</v>
      </c>
      <c r="O170" s="105" t="n">
        <v>7799494.4469624497</v>
      </c>
    </row>
    <row r="171" ht="30" customHeight="1">
      <c r="A171" s="105" t="s">
        <v>9219</v>
      </c>
      <c r="B171" s="105" t="s">
        <v>7673</v>
      </c>
      <c r="C171" s="30" t="s">
        <v>7672</v>
      </c>
      <c r="D171" s="110" t="s">
        <v>9008</v>
      </c>
      <c r="E171" s="95" t="s">
        <v>7674</v>
      </c>
      <c r="F171" s="104" t="s">
        <v>7675</v>
      </c>
      <c r="G171" s="104" t="s">
        <v>6983</v>
      </c>
      <c r="H171" s="116" t="s">
        <v>7299</v>
      </c>
      <c r="I171" s="104" t="s">
        <v>7676</v>
      </c>
      <c r="J171" s="104" t="s">
        <v>7677</v>
      </c>
      <c r="K171" s="104" t="s">
        <v>7678</v>
      </c>
      <c r="L171" s="105" t="n">
        <v>-19.972052000000001</v>
      </c>
      <c r="M171" s="105" t="n">
        <v>-43.978386999999998</v>
      </c>
      <c r="N171" s="105" t="n">
        <v>606889.28033969202</v>
      </c>
      <c r="O171" s="105" t="n">
        <v>7791285.8995848401</v>
      </c>
    </row>
    <row r="172" ht="30" customHeight="1">
      <c r="A172" s="105" t="s">
        <v>9220</v>
      </c>
      <c r="B172" s="105" t="s">
        <v>7680</v>
      </c>
      <c r="C172" s="30" t="s">
        <v>7679</v>
      </c>
      <c r="D172" s="105" t="s">
        <v>9221</v>
      </c>
      <c r="E172" s="95" t="s">
        <v>7681</v>
      </c>
      <c r="F172" s="104" t="s">
        <v>7682</v>
      </c>
      <c r="G172" s="104" t="s">
        <v>7015</v>
      </c>
      <c r="H172" s="116" t="s">
        <v>7683</v>
      </c>
      <c r="I172" s="104" t="s">
        <v>7684</v>
      </c>
      <c r="J172" s="104" t="s">
        <v>7163</v>
      </c>
      <c r="K172" s="104" t="s">
        <v>7685</v>
      </c>
      <c r="L172" s="105" t="n">
        <v>-19.927687178813098</v>
      </c>
      <c r="M172" s="105" t="n">
        <v>-43.908683563433698</v>
      </c>
      <c r="N172" s="105" t="n">
        <v>614214.78111930995</v>
      </c>
      <c r="O172" s="105" t="n">
        <v>7796150.0310029797</v>
      </c>
    </row>
    <row r="173" ht="30" customHeight="1">
      <c r="A173" s="105" t="s">
        <v>9222</v>
      </c>
      <c r="B173" s="105" t="s">
        <v>7680</v>
      </c>
      <c r="C173" s="30" t="s">
        <v>7679</v>
      </c>
      <c r="D173" s="105" t="s">
        <v>9223</v>
      </c>
      <c r="E173" s="95" t="s">
        <v>7681</v>
      </c>
      <c r="F173" s="104" t="s">
        <v>7682</v>
      </c>
      <c r="G173" s="104" t="s">
        <v>7015</v>
      </c>
      <c r="H173" s="116" t="s">
        <v>7683</v>
      </c>
      <c r="I173" s="104" t="s">
        <v>7684</v>
      </c>
      <c r="J173" s="104" t="s">
        <v>7163</v>
      </c>
      <c r="K173" s="104" t="s">
        <v>7685</v>
      </c>
      <c r="L173" s="105" t="n">
        <v>-19.927687178813098</v>
      </c>
      <c r="M173" s="105" t="n">
        <v>-43.908683563433698</v>
      </c>
      <c r="N173" s="105" t="n">
        <v>614214.78111930995</v>
      </c>
      <c r="O173" s="105" t="n">
        <v>7796150.0310029797</v>
      </c>
    </row>
    <row r="174" ht="30" customHeight="1">
      <c r="A174" s="105" t="s">
        <v>9224</v>
      </c>
      <c r="B174" s="105" t="s">
        <v>7687</v>
      </c>
      <c r="C174" s="30" t="s">
        <v>7686</v>
      </c>
      <c r="D174" s="30" t="s">
        <v>9225</v>
      </c>
      <c r="E174" s="104" t="s">
        <v>7688</v>
      </c>
      <c r="F174" s="104" t="s">
        <v>7689</v>
      </c>
      <c r="G174" s="104" t="s">
        <v>7086</v>
      </c>
      <c r="H174" s="116" t="s">
        <v>7201</v>
      </c>
      <c r="I174" s="104" t="s">
        <v>7690</v>
      </c>
      <c r="J174" s="104" t="s">
        <v>7691</v>
      </c>
      <c r="K174" s="117" t="s">
        <v>7692</v>
      </c>
      <c r="L174" s="105" t="n">
        <v>-19.802461000000001</v>
      </c>
      <c r="M174" s="105" t="n">
        <v>-43.989015999999999</v>
      </c>
      <c r="N174" s="105" t="n">
        <v>605889.76914498198</v>
      </c>
      <c r="O174" s="105" t="n">
        <v>7810061.60265618</v>
      </c>
    </row>
    <row r="175" ht="30" customHeight="1">
      <c r="A175" s="105" t="s">
        <v>9226</v>
      </c>
      <c r="B175" s="105" t="s">
        <v>7687</v>
      </c>
      <c r="C175" s="30" t="s">
        <v>7686</v>
      </c>
      <c r="D175" s="105" t="s">
        <v>9227</v>
      </c>
      <c r="E175" s="104" t="s">
        <v>7688</v>
      </c>
      <c r="F175" s="104" t="s">
        <v>7689</v>
      </c>
      <c r="G175" s="104" t="s">
        <v>7086</v>
      </c>
      <c r="H175" s="116" t="s">
        <v>7201</v>
      </c>
      <c r="I175" s="104" t="s">
        <v>7690</v>
      </c>
      <c r="J175" s="104" t="s">
        <v>7691</v>
      </c>
      <c r="K175" s="117" t="s">
        <v>7692</v>
      </c>
      <c r="L175" s="105" t="n">
        <v>-19.802461000000001</v>
      </c>
      <c r="M175" s="105" t="n">
        <v>-43.989015999999999</v>
      </c>
      <c r="N175" s="105" t="n">
        <v>605889.76914498198</v>
      </c>
      <c r="O175" s="105" t="n">
        <v>7810061.60265618</v>
      </c>
    </row>
    <row r="176" ht="30" customHeight="1">
      <c r="A176" s="105" t="s">
        <v>9228</v>
      </c>
      <c r="B176" s="105" t="s">
        <v>7687</v>
      </c>
      <c r="C176" s="30" t="s">
        <v>7686</v>
      </c>
      <c r="D176" s="105" t="s">
        <v>9229</v>
      </c>
      <c r="E176" s="104" t="s">
        <v>7688</v>
      </c>
      <c r="F176" s="104" t="s">
        <v>7689</v>
      </c>
      <c r="G176" s="104" t="s">
        <v>7086</v>
      </c>
      <c r="H176" s="116" t="s">
        <v>7201</v>
      </c>
      <c r="I176" s="104" t="s">
        <v>7690</v>
      </c>
      <c r="J176" s="104" t="s">
        <v>7691</v>
      </c>
      <c r="K176" s="117" t="s">
        <v>7692</v>
      </c>
      <c r="L176" s="105" t="n">
        <v>-19.802461000000001</v>
      </c>
      <c r="M176" s="105" t="n">
        <v>-43.989015999999999</v>
      </c>
      <c r="N176" s="105" t="n">
        <v>605889.76914498198</v>
      </c>
      <c r="O176" s="105" t="n">
        <v>7810061.60265618</v>
      </c>
    </row>
    <row r="177" ht="30" customHeight="1">
      <c r="A177" s="105" t="s">
        <v>9230</v>
      </c>
      <c r="B177" s="105" t="s">
        <v>7694</v>
      </c>
      <c r="C177" s="30" t="s">
        <v>7693</v>
      </c>
      <c r="D177" s="30" t="s">
        <v>9008</v>
      </c>
      <c r="E177" s="104" t="s">
        <v>7695</v>
      </c>
      <c r="F177" s="104" t="s">
        <v>7696</v>
      </c>
      <c r="G177" s="104" t="s">
        <v>7077</v>
      </c>
      <c r="H177" s="116" t="s">
        <v>7221</v>
      </c>
      <c r="I177" s="104" t="s">
        <v>7697</v>
      </c>
      <c r="J177" s="104" t="s">
        <v>7698</v>
      </c>
      <c r="K177" s="117" t="s">
        <v>7699</v>
      </c>
      <c r="L177" s="105" t="n">
        <v>-19.999542999999999</v>
      </c>
      <c r="M177" s="105" t="n">
        <v>-43.967055000000002</v>
      </c>
      <c r="N177" s="105" t="n">
        <v>608056.273308228</v>
      </c>
      <c r="O177" s="105" t="n">
        <v>7788236.1064430801</v>
      </c>
    </row>
    <row r="178" ht="30" customHeight="1">
      <c r="A178" s="105" t="s">
        <v>9231</v>
      </c>
      <c r="B178" s="105" t="s">
        <v>7694</v>
      </c>
      <c r="C178" s="30" t="s">
        <v>7693</v>
      </c>
      <c r="D178" s="105" t="s">
        <v>9232</v>
      </c>
      <c r="E178" s="104" t="s">
        <v>7695</v>
      </c>
      <c r="F178" s="104" t="s">
        <v>7696</v>
      </c>
      <c r="G178" s="104" t="s">
        <v>7077</v>
      </c>
      <c r="H178" s="116" t="s">
        <v>7221</v>
      </c>
      <c r="I178" s="104" t="s">
        <v>7697</v>
      </c>
      <c r="J178" s="104" t="s">
        <v>7698</v>
      </c>
      <c r="K178" s="117" t="s">
        <v>7699</v>
      </c>
      <c r="L178" s="105" t="n">
        <v>-19.999542999999999</v>
      </c>
      <c r="M178" s="105" t="n">
        <v>-43.967055000000002</v>
      </c>
      <c r="N178" s="105" t="n">
        <v>608056.273308228</v>
      </c>
      <c r="O178" s="105" t="n">
        <v>7788236.1064430801</v>
      </c>
    </row>
    <row r="179" ht="30" customHeight="1">
      <c r="A179" s="105" t="s">
        <v>9233</v>
      </c>
      <c r="B179" s="105" t="s">
        <v>7694</v>
      </c>
      <c r="C179" s="30" t="s">
        <v>7693</v>
      </c>
      <c r="D179" s="30" t="s">
        <v>9234</v>
      </c>
      <c r="E179" s="104" t="s">
        <v>7695</v>
      </c>
      <c r="F179" s="104" t="s">
        <v>7696</v>
      </c>
      <c r="G179" s="104" t="s">
        <v>7077</v>
      </c>
      <c r="H179" s="116" t="s">
        <v>7221</v>
      </c>
      <c r="I179" s="104" t="s">
        <v>7697</v>
      </c>
      <c r="J179" s="104" t="s">
        <v>7698</v>
      </c>
      <c r="K179" s="117" t="s">
        <v>7699</v>
      </c>
      <c r="L179" s="105" t="n">
        <v>-19.999542999999999</v>
      </c>
      <c r="M179" s="105" t="n">
        <v>-43.967055000000002</v>
      </c>
      <c r="N179" s="105" t="n">
        <v>608056.273308228</v>
      </c>
      <c r="O179" s="105" t="n">
        <v>7788236.1064430801</v>
      </c>
    </row>
    <row r="180" ht="30" customHeight="1">
      <c r="A180" s="105" t="s">
        <v>9235</v>
      </c>
      <c r="B180" s="105" t="s">
        <v>7701</v>
      </c>
      <c r="C180" s="30" t="s">
        <v>7700</v>
      </c>
      <c r="D180" s="105" t="s">
        <v>9236</v>
      </c>
      <c r="E180" s="104" t="s">
        <v>7702</v>
      </c>
      <c r="F180" s="104" t="s">
        <v>7703</v>
      </c>
      <c r="G180" s="104" t="s">
        <v>6974</v>
      </c>
      <c r="H180" s="116" t="s">
        <v>7047</v>
      </c>
      <c r="I180" s="104" t="s">
        <v>7704</v>
      </c>
      <c r="J180" s="104" t="s">
        <v>7705</v>
      </c>
      <c r="K180" s="117" t="s">
        <v>7706</v>
      </c>
      <c r="L180" s="105" t="n">
        <v>-19.908412999999999</v>
      </c>
      <c r="M180" s="105" t="n">
        <v>-44.020634999999999</v>
      </c>
      <c r="N180" s="105" t="n">
        <v>602509.67998629296</v>
      </c>
      <c r="O180" s="105" t="n">
        <v>7798355.30812361</v>
      </c>
    </row>
    <row r="181" ht="30" customHeight="1">
      <c r="A181" s="105" t="s">
        <v>9237</v>
      </c>
      <c r="B181" s="105" t="s">
        <v>7701</v>
      </c>
      <c r="C181" s="30" t="s">
        <v>7700</v>
      </c>
      <c r="D181" s="105" t="s">
        <v>9238</v>
      </c>
      <c r="E181" s="104" t="s">
        <v>7702</v>
      </c>
      <c r="F181" s="104" t="s">
        <v>7703</v>
      </c>
      <c r="G181" s="104" t="s">
        <v>6974</v>
      </c>
      <c r="H181" s="116" t="s">
        <v>7047</v>
      </c>
      <c r="I181" s="104" t="s">
        <v>7704</v>
      </c>
      <c r="J181" s="104" t="s">
        <v>7705</v>
      </c>
      <c r="K181" s="117" t="s">
        <v>7706</v>
      </c>
      <c r="L181" s="105" t="n">
        <v>-19.908412999999999</v>
      </c>
      <c r="M181" s="105" t="n">
        <v>-44.020634999999999</v>
      </c>
      <c r="N181" s="105" t="n">
        <v>602509.67998629296</v>
      </c>
      <c r="O181" s="105" t="n">
        <v>7798355.30812361</v>
      </c>
    </row>
    <row r="182" ht="30" customHeight="1">
      <c r="A182" s="105" t="s">
        <v>9239</v>
      </c>
      <c r="B182" s="105" t="s">
        <v>7708</v>
      </c>
      <c r="C182" s="30" t="s">
        <v>7707</v>
      </c>
      <c r="D182" s="105" t="s">
        <v>9240</v>
      </c>
      <c r="E182" s="104" t="s">
        <v>7709</v>
      </c>
      <c r="F182" s="104" t="s">
        <v>7710</v>
      </c>
      <c r="G182" s="104" t="s">
        <v>7015</v>
      </c>
      <c r="H182" s="116" t="s">
        <v>7683</v>
      </c>
      <c r="I182" s="104" t="s">
        <v>7711</v>
      </c>
      <c r="J182" s="104" t="s">
        <v>7712</v>
      </c>
      <c r="K182" s="117" t="s">
        <v>7713</v>
      </c>
      <c r="L182" s="105" t="n">
        <v>-19.912423</v>
      </c>
      <c r="M182" s="105" t="n">
        <v>-43.904446</v>
      </c>
      <c r="N182" s="105" t="n">
        <v>614669.32391643303</v>
      </c>
      <c r="O182" s="105" t="n">
        <v>7797836.5033392403</v>
      </c>
    </row>
    <row r="183" ht="30" customHeight="1">
      <c r="A183" s="105" t="s">
        <v>9241</v>
      </c>
      <c r="B183" s="105" t="s">
        <v>7708</v>
      </c>
      <c r="C183" s="30" t="s">
        <v>7707</v>
      </c>
      <c r="D183" s="30" t="s">
        <v>9242</v>
      </c>
      <c r="E183" s="74" t="s">
        <v>7709</v>
      </c>
      <c r="F183" s="104" t="s">
        <v>7710</v>
      </c>
      <c r="G183" s="104" t="s">
        <v>7015</v>
      </c>
      <c r="H183" s="116" t="s">
        <v>7683</v>
      </c>
      <c r="I183" s="104" t="s">
        <v>7711</v>
      </c>
      <c r="J183" s="104" t="s">
        <v>7712</v>
      </c>
      <c r="K183" s="117" t="s">
        <v>7713</v>
      </c>
      <c r="L183" s="105" t="n">
        <v>-19.912423</v>
      </c>
      <c r="M183" s="105" t="n">
        <v>-43.904446</v>
      </c>
      <c r="N183" s="105" t="n">
        <v>614669.32391643303</v>
      </c>
      <c r="O183" s="105" t="n">
        <v>7797836.5033392403</v>
      </c>
    </row>
    <row r="184" ht="30" customHeight="1">
      <c r="A184" s="105" t="s">
        <v>9243</v>
      </c>
      <c r="B184" s="105" t="s">
        <v>7708</v>
      </c>
      <c r="C184" s="30" t="s">
        <v>7707</v>
      </c>
      <c r="D184" s="105" t="s">
        <v>9244</v>
      </c>
      <c r="E184" s="74" t="s">
        <v>7709</v>
      </c>
      <c r="F184" s="104" t="s">
        <v>7710</v>
      </c>
      <c r="G184" s="104" t="s">
        <v>7015</v>
      </c>
      <c r="H184" s="116" t="s">
        <v>7683</v>
      </c>
      <c r="I184" s="104" t="s">
        <v>7711</v>
      </c>
      <c r="J184" s="104" t="s">
        <v>7712</v>
      </c>
      <c r="K184" s="117" t="s">
        <v>7713</v>
      </c>
      <c r="L184" s="105" t="n">
        <v>-19.912423</v>
      </c>
      <c r="M184" s="105" t="n">
        <v>-43.904446</v>
      </c>
      <c r="N184" s="105" t="n">
        <v>614669.32391643303</v>
      </c>
      <c r="O184" s="105" t="n">
        <v>7797836.5033392403</v>
      </c>
    </row>
    <row r="185" ht="30" customHeight="1">
      <c r="A185" s="105" t="s">
        <v>9245</v>
      </c>
      <c r="B185" s="105" t="s">
        <v>7708</v>
      </c>
      <c r="C185" s="30" t="s">
        <v>7707</v>
      </c>
      <c r="D185" s="30" t="s">
        <v>9246</v>
      </c>
      <c r="E185" s="95" t="s">
        <v>7709</v>
      </c>
      <c r="F185" s="104" t="s">
        <v>7710</v>
      </c>
      <c r="G185" s="104" t="s">
        <v>7015</v>
      </c>
      <c r="H185" s="116" t="s">
        <v>7683</v>
      </c>
      <c r="I185" s="104" t="s">
        <v>7711</v>
      </c>
      <c r="J185" s="104" t="s">
        <v>7712</v>
      </c>
      <c r="K185" s="117" t="s">
        <v>7713</v>
      </c>
      <c r="L185" s="105" t="n">
        <v>-19.912423</v>
      </c>
      <c r="M185" s="105" t="n">
        <v>-43.904446</v>
      </c>
      <c r="N185" s="105" t="n">
        <v>614669.32391643303</v>
      </c>
      <c r="O185" s="105" t="n">
        <v>7797836.5033392403</v>
      </c>
    </row>
    <row r="186" ht="30" customHeight="1">
      <c r="A186" s="105" t="s">
        <v>9247</v>
      </c>
      <c r="B186" s="105" t="s">
        <v>7715</v>
      </c>
      <c r="C186" s="30" t="s">
        <v>7714</v>
      </c>
      <c r="D186" s="105" t="s">
        <v>9248</v>
      </c>
      <c r="E186" s="95" t="s">
        <v>7716</v>
      </c>
      <c r="F186" s="104" t="s">
        <v>7717</v>
      </c>
      <c r="G186" s="104" t="s">
        <v>7126</v>
      </c>
      <c r="H186" s="116" t="s">
        <v>7718</v>
      </c>
      <c r="I186" s="104" t="s">
        <v>7719</v>
      </c>
      <c r="J186" s="104" t="s">
        <v>7720</v>
      </c>
      <c r="K186" s="117" t="s">
        <v>7721</v>
      </c>
      <c r="L186" s="105" t="n">
        <v>-19.86243</v>
      </c>
      <c r="M186" s="105" t="n">
        <v>-43.929290999999999</v>
      </c>
      <c r="N186" s="105" t="n">
        <v>612103.78997784003</v>
      </c>
      <c r="O186" s="105" t="n">
        <v>7803386.1531496197</v>
      </c>
    </row>
    <row r="187" ht="30" customHeight="1">
      <c r="A187" s="105" t="s">
        <v>9249</v>
      </c>
      <c r="B187" s="105" t="s">
        <v>7715</v>
      </c>
      <c r="C187" s="30" t="s">
        <v>7714</v>
      </c>
      <c r="D187" s="30" t="s">
        <v>9250</v>
      </c>
      <c r="E187" s="104" t="s">
        <v>7716</v>
      </c>
      <c r="F187" s="104" t="s">
        <v>7717</v>
      </c>
      <c r="G187" s="104" t="s">
        <v>7126</v>
      </c>
      <c r="H187" s="116" t="s">
        <v>7718</v>
      </c>
      <c r="I187" s="104" t="s">
        <v>7719</v>
      </c>
      <c r="J187" s="104" t="s">
        <v>7720</v>
      </c>
      <c r="K187" s="117" t="s">
        <v>7721</v>
      </c>
      <c r="L187" s="105" t="n">
        <v>-19.86243</v>
      </c>
      <c r="M187" s="105" t="n">
        <v>-43.929290999999999</v>
      </c>
      <c r="N187" s="105" t="n">
        <v>612103.78997784003</v>
      </c>
      <c r="O187" s="105" t="n">
        <v>7803386.1531496197</v>
      </c>
    </row>
    <row r="188" ht="30" customHeight="1">
      <c r="A188" s="105" t="s">
        <v>9251</v>
      </c>
      <c r="B188" s="105" t="s">
        <v>7723</v>
      </c>
      <c r="C188" s="30" t="s">
        <v>7722</v>
      </c>
      <c r="D188" s="105" t="s">
        <v>9252</v>
      </c>
      <c r="E188" s="104" t="s">
        <v>7724</v>
      </c>
      <c r="F188" s="104" t="s">
        <v>7725</v>
      </c>
      <c r="G188" s="104" t="s">
        <v>7077</v>
      </c>
      <c r="H188" s="116" t="s">
        <v>7078</v>
      </c>
      <c r="I188" s="104" t="s">
        <v>7726</v>
      </c>
      <c r="J188" s="104" t="s">
        <v>7727</v>
      </c>
      <c r="K188" s="117" t="s">
        <v>7728</v>
      </c>
      <c r="L188" s="105" t="n">
        <v>-19.982695</v>
      </c>
      <c r="M188" s="105" t="n">
        <v>-44.054670999999999</v>
      </c>
      <c r="N188" s="105" t="n">
        <v>598900.61950037803</v>
      </c>
      <c r="O188" s="105" t="n">
        <v>7790154.8264098996</v>
      </c>
    </row>
    <row r="189" ht="30" customHeight="1">
      <c r="A189" s="105" t="s">
        <v>9253</v>
      </c>
      <c r="B189" s="105" t="s">
        <v>7723</v>
      </c>
      <c r="C189" s="30" t="s">
        <v>7722</v>
      </c>
      <c r="D189" s="105" t="s">
        <v>9254</v>
      </c>
      <c r="E189" s="104" t="s">
        <v>7724</v>
      </c>
      <c r="F189" s="104" t="s">
        <v>7725</v>
      </c>
      <c r="G189" s="104" t="s">
        <v>7077</v>
      </c>
      <c r="H189" s="116" t="s">
        <v>7078</v>
      </c>
      <c r="I189" s="104" t="s">
        <v>7726</v>
      </c>
      <c r="J189" s="104" t="s">
        <v>7727</v>
      </c>
      <c r="K189" s="117" t="s">
        <v>7728</v>
      </c>
      <c r="L189" s="105" t="n">
        <v>-19.982695</v>
      </c>
      <c r="M189" s="105" t="n">
        <v>-44.054670999999999</v>
      </c>
      <c r="N189" s="105" t="n">
        <v>598900.61950037803</v>
      </c>
      <c r="O189" s="105" t="n">
        <v>7790154.8264098996</v>
      </c>
    </row>
    <row r="190" ht="30" customHeight="1">
      <c r="A190" s="105" t="s">
        <v>9255</v>
      </c>
      <c r="B190" s="105" t="s">
        <v>7730</v>
      </c>
      <c r="C190" s="30" t="s">
        <v>7729</v>
      </c>
      <c r="D190" s="105" t="s">
        <v>9008</v>
      </c>
      <c r="E190" s="104" t="s">
        <v>7731</v>
      </c>
      <c r="F190" s="104" t="s">
        <v>7227</v>
      </c>
      <c r="G190" s="104" t="s">
        <v>6983</v>
      </c>
      <c r="H190" s="116" t="s">
        <v>7228</v>
      </c>
      <c r="I190" s="104" t="s">
        <v>7732</v>
      </c>
      <c r="J190" s="104" t="s">
        <v>7230</v>
      </c>
      <c r="K190" s="117" t="s">
        <v>7733</v>
      </c>
      <c r="L190" s="105" t="n">
        <v>-19.944201346356799</v>
      </c>
      <c r="M190" s="105" t="n">
        <v>-43.985090994850999</v>
      </c>
      <c r="N190" s="105" t="n">
        <v>606206.43652362004</v>
      </c>
      <c r="O190" s="105" t="n">
        <v>7794372.4705889001</v>
      </c>
    </row>
    <row r="191" ht="30" customHeight="1">
      <c r="A191" s="105" t="s">
        <v>9256</v>
      </c>
      <c r="B191" s="105" t="s">
        <v>7730</v>
      </c>
      <c r="C191" s="30" t="s">
        <v>7729</v>
      </c>
      <c r="D191" s="30" t="s">
        <v>9257</v>
      </c>
      <c r="E191" s="104" t="s">
        <v>7731</v>
      </c>
      <c r="F191" s="104" t="s">
        <v>7227</v>
      </c>
      <c r="G191" s="104" t="s">
        <v>6983</v>
      </c>
      <c r="H191" s="116" t="s">
        <v>7228</v>
      </c>
      <c r="I191" s="104" t="s">
        <v>7732</v>
      </c>
      <c r="J191" s="104" t="s">
        <v>7230</v>
      </c>
      <c r="K191" s="117" t="s">
        <v>7733</v>
      </c>
      <c r="L191" s="105" t="n">
        <v>-19.944201346356799</v>
      </c>
      <c r="M191" s="105" t="n">
        <v>-43.985090994850999</v>
      </c>
      <c r="N191" s="105" t="n">
        <v>606206.43652362004</v>
      </c>
      <c r="O191" s="105" t="n">
        <v>7794372.4705889001</v>
      </c>
    </row>
    <row r="192" ht="30" customHeight="1">
      <c r="A192" s="105" t="s">
        <v>9258</v>
      </c>
      <c r="B192" s="105" t="s">
        <v>7730</v>
      </c>
      <c r="C192" s="30" t="s">
        <v>7729</v>
      </c>
      <c r="D192" s="30" t="s">
        <v>9259</v>
      </c>
      <c r="E192" s="104" t="s">
        <v>7731</v>
      </c>
      <c r="F192" s="104" t="s">
        <v>7227</v>
      </c>
      <c r="G192" s="104" t="s">
        <v>6983</v>
      </c>
      <c r="H192" s="116" t="s">
        <v>7228</v>
      </c>
      <c r="I192" s="104" t="s">
        <v>7732</v>
      </c>
      <c r="J192" s="104" t="s">
        <v>7230</v>
      </c>
      <c r="K192" s="117" t="s">
        <v>7733</v>
      </c>
      <c r="L192" s="105" t="n">
        <v>-19.944201346356799</v>
      </c>
      <c r="M192" s="105" t="n">
        <v>-43.985090994850999</v>
      </c>
      <c r="N192" s="105" t="n">
        <v>606206.43652362004</v>
      </c>
      <c r="O192" s="105" t="n">
        <v>7794372.4705889001</v>
      </c>
    </row>
    <row r="193" ht="30" customHeight="1">
      <c r="A193" s="105" t="s">
        <v>9260</v>
      </c>
      <c r="B193" s="105" t="s">
        <v>7730</v>
      </c>
      <c r="C193" s="30" t="s">
        <v>7729</v>
      </c>
      <c r="D193" s="30" t="s">
        <v>9261</v>
      </c>
      <c r="E193" s="104" t="s">
        <v>7731</v>
      </c>
      <c r="F193" s="104" t="s">
        <v>7227</v>
      </c>
      <c r="G193" s="104" t="s">
        <v>6983</v>
      </c>
      <c r="H193" s="116" t="s">
        <v>7228</v>
      </c>
      <c r="I193" s="104" t="s">
        <v>7732</v>
      </c>
      <c r="J193" s="104" t="s">
        <v>7230</v>
      </c>
      <c r="K193" s="117" t="s">
        <v>7733</v>
      </c>
      <c r="L193" s="105" t="n">
        <v>-19.944201346356799</v>
      </c>
      <c r="M193" s="105" t="n">
        <v>-43.985090994850999</v>
      </c>
      <c r="N193" s="105" t="n">
        <v>606206.43652362004</v>
      </c>
      <c r="O193" s="105" t="n">
        <v>7794372.4705889001</v>
      </c>
    </row>
    <row r="194" ht="30" customHeight="1">
      <c r="A194" s="105" t="s">
        <v>9262</v>
      </c>
      <c r="B194" s="105" t="s">
        <v>7735</v>
      </c>
      <c r="C194" s="30" t="s">
        <v>7734</v>
      </c>
      <c r="D194" s="30" t="s">
        <v>9263</v>
      </c>
      <c r="E194" s="104" t="s">
        <v>7736</v>
      </c>
      <c r="F194" s="104" t="s">
        <v>7737</v>
      </c>
      <c r="G194" s="104" t="s">
        <v>6997</v>
      </c>
      <c r="H194" s="116" t="s">
        <v>7038</v>
      </c>
      <c r="I194" s="104" t="s">
        <v>7738</v>
      </c>
      <c r="J194" s="104" t="s">
        <v>7739</v>
      </c>
      <c r="K194" s="117" t="s">
        <v>7740</v>
      </c>
      <c r="L194" s="105" t="n">
        <v>-19.837668000000001</v>
      </c>
      <c r="M194" s="105" t="n">
        <v>-43.967323</v>
      </c>
      <c r="N194" s="105" t="n">
        <v>608138.25342262897</v>
      </c>
      <c r="O194" s="105" t="n">
        <v>7806151.4534471901</v>
      </c>
    </row>
    <row r="195">
      <c r="A195" s="105" t="s">
        <v>9264</v>
      </c>
      <c r="B195" s="105" t="s">
        <v>7742</v>
      </c>
      <c r="C195" s="30" t="s">
        <v>7741</v>
      </c>
      <c r="D195" s="105" t="s">
        <v>9265</v>
      </c>
      <c r="E195" s="104" t="s">
        <v>7743</v>
      </c>
      <c r="F195" s="104" t="s">
        <v>7744</v>
      </c>
      <c r="G195" s="104" t="s">
        <v>7015</v>
      </c>
      <c r="H195" s="116" t="s">
        <v>7016</v>
      </c>
      <c r="I195" s="104" t="s">
        <v>7745</v>
      </c>
      <c r="J195" s="104" t="s">
        <v>7746</v>
      </c>
      <c r="K195" s="117" t="s">
        <v>7747</v>
      </c>
      <c r="L195" s="105" t="n">
        <v>-19.887808</v>
      </c>
      <c r="M195" s="105" t="n">
        <v>-43.906049000000003</v>
      </c>
      <c r="N195" s="105" t="n">
        <v>614519.23237568699</v>
      </c>
      <c r="O195" s="105" t="n">
        <v>7800561.8449636502</v>
      </c>
    </row>
    <row r="196" ht="30" customHeight="1">
      <c r="A196" s="105" t="s">
        <v>9266</v>
      </c>
      <c r="B196" s="105" t="s">
        <v>7749</v>
      </c>
      <c r="C196" s="30" t="s">
        <v>7748</v>
      </c>
      <c r="D196" s="105" t="s">
        <v>9267</v>
      </c>
      <c r="E196" s="104" t="s">
        <v>7750</v>
      </c>
      <c r="F196" s="104" t="s">
        <v>7751</v>
      </c>
      <c r="G196" s="104" t="s">
        <v>6997</v>
      </c>
      <c r="H196" s="116" t="s">
        <v>7061</v>
      </c>
      <c r="I196" s="104" t="s">
        <v>7752</v>
      </c>
      <c r="J196" s="104" t="s">
        <v>7018</v>
      </c>
      <c r="K196" s="117" t="s">
        <v>7753</v>
      </c>
      <c r="L196" s="105" t="n">
        <v>-19.8664712713794</v>
      </c>
      <c r="M196" s="105" t="n">
        <v>-43.942801010952998</v>
      </c>
      <c r="N196" s="105" t="n">
        <v>610686.35513997695</v>
      </c>
      <c r="O196" s="105" t="n">
        <v>7802947.8201608397</v>
      </c>
    </row>
    <row r="197" ht="30" customHeight="1">
      <c r="A197" s="105" t="s">
        <v>9268</v>
      </c>
      <c r="B197" s="105" t="s">
        <v>7755</v>
      </c>
      <c r="C197" s="30" t="s">
        <v>7754</v>
      </c>
      <c r="D197" s="110" t="s">
        <v>9194</v>
      </c>
      <c r="E197" s="95" t="s">
        <v>7756</v>
      </c>
      <c r="F197" s="104" t="s">
        <v>7757</v>
      </c>
      <c r="G197" s="104" t="s">
        <v>6997</v>
      </c>
      <c r="H197" s="116" t="s">
        <v>6998</v>
      </c>
      <c r="I197" s="104" t="s">
        <v>7758</v>
      </c>
      <c r="J197" s="104" t="s">
        <v>7543</v>
      </c>
      <c r="K197" s="117" t="s">
        <v>7759</v>
      </c>
      <c r="L197" s="105" t="n">
        <v>-19.875299999999999</v>
      </c>
      <c r="M197" s="105" t="n">
        <v>-44.007074000000003</v>
      </c>
      <c r="N197" s="105" t="n">
        <v>603950.82325217396</v>
      </c>
      <c r="O197" s="105" t="n">
        <v>7802011.65364803</v>
      </c>
    </row>
    <row r="198" ht="30" customHeight="1">
      <c r="A198" s="105" t="s">
        <v>9269</v>
      </c>
      <c r="B198" s="105" t="s">
        <v>7755</v>
      </c>
      <c r="C198" s="30" t="s">
        <v>7754</v>
      </c>
      <c r="D198" s="105" t="s">
        <v>9270</v>
      </c>
      <c r="E198" s="95" t="s">
        <v>7756</v>
      </c>
      <c r="F198" s="104" t="s">
        <v>7757</v>
      </c>
      <c r="G198" s="104" t="s">
        <v>6997</v>
      </c>
      <c r="H198" s="116" t="s">
        <v>6998</v>
      </c>
      <c r="I198" s="104" t="s">
        <v>7758</v>
      </c>
      <c r="J198" s="104" t="s">
        <v>7543</v>
      </c>
      <c r="K198" s="117" t="s">
        <v>7759</v>
      </c>
      <c r="L198" s="105" t="n">
        <v>-19.875299999999999</v>
      </c>
      <c r="M198" s="105" t="n">
        <v>-44.007074000000003</v>
      </c>
      <c r="N198" s="105" t="n">
        <v>603950.82325217396</v>
      </c>
      <c r="O198" s="105" t="n">
        <v>7802011.65364803</v>
      </c>
    </row>
    <row r="199" ht="30" customHeight="1">
      <c r="A199" s="105" t="s">
        <v>9271</v>
      </c>
      <c r="B199" s="105" t="s">
        <v>7755</v>
      </c>
      <c r="C199" s="30" t="s">
        <v>7754</v>
      </c>
      <c r="D199" s="30" t="s">
        <v>9272</v>
      </c>
      <c r="E199" s="104" t="s">
        <v>7756</v>
      </c>
      <c r="F199" s="104" t="s">
        <v>7757</v>
      </c>
      <c r="G199" s="104" t="s">
        <v>6997</v>
      </c>
      <c r="H199" s="116" t="s">
        <v>6998</v>
      </c>
      <c r="I199" s="104" t="s">
        <v>7758</v>
      </c>
      <c r="J199" s="104" t="s">
        <v>7543</v>
      </c>
      <c r="K199" s="117" t="s">
        <v>7759</v>
      </c>
      <c r="L199" s="105" t="n">
        <v>-19.875299999999999</v>
      </c>
      <c r="M199" s="105" t="n">
        <v>-44.007074000000003</v>
      </c>
      <c r="N199" s="105" t="n">
        <v>603950.82325217396</v>
      </c>
      <c r="O199" s="105" t="n">
        <v>7802011.65364803</v>
      </c>
    </row>
    <row r="200" ht="30" customHeight="1">
      <c r="A200" s="105" t="s">
        <v>9273</v>
      </c>
      <c r="B200" s="105" t="s">
        <v>7761</v>
      </c>
      <c r="C200" s="30" t="s">
        <v>7760</v>
      </c>
      <c r="D200" s="30" t="s">
        <v>9274</v>
      </c>
      <c r="E200" s="104" t="s">
        <v>7762</v>
      </c>
      <c r="F200" s="104" t="s">
        <v>7306</v>
      </c>
      <c r="G200" s="104" t="s">
        <v>7086</v>
      </c>
      <c r="H200" s="116" t="s">
        <v>7087</v>
      </c>
      <c r="I200" s="104" t="s">
        <v>7763</v>
      </c>
      <c r="J200" s="104" t="s">
        <v>7764</v>
      </c>
      <c r="K200" s="117" t="s">
        <v>7765</v>
      </c>
      <c r="L200" s="105" t="n">
        <v>-19.817782999999999</v>
      </c>
      <c r="M200" s="105" t="n">
        <v>-43.958922999999999</v>
      </c>
      <c r="N200" s="105" t="n">
        <v>609031.51117723505</v>
      </c>
      <c r="O200" s="105" t="n">
        <v>7808346.76362711</v>
      </c>
    </row>
    <row r="201" ht="30" customHeight="1">
      <c r="A201" s="105" t="s">
        <v>9275</v>
      </c>
      <c r="B201" s="105" t="s">
        <v>7761</v>
      </c>
      <c r="C201" s="30" t="s">
        <v>7760</v>
      </c>
      <c r="D201" s="30" t="s">
        <v>9276</v>
      </c>
      <c r="E201" s="104" t="s">
        <v>7762</v>
      </c>
      <c r="F201" s="104" t="s">
        <v>7306</v>
      </c>
      <c r="G201" s="104" t="s">
        <v>7086</v>
      </c>
      <c r="H201" s="116" t="s">
        <v>7087</v>
      </c>
      <c r="I201" s="104" t="s">
        <v>7763</v>
      </c>
      <c r="J201" s="104" t="s">
        <v>7764</v>
      </c>
      <c r="K201" s="117" t="s">
        <v>7765</v>
      </c>
      <c r="L201" s="105" t="n">
        <v>-19.817782999999999</v>
      </c>
      <c r="M201" s="105" t="n">
        <v>-43.958922999999999</v>
      </c>
      <c r="N201" s="105" t="n">
        <v>609031.51117723505</v>
      </c>
      <c r="O201" s="105" t="n">
        <v>7808346.76362711</v>
      </c>
    </row>
    <row r="202" ht="30" customHeight="1">
      <c r="A202" s="105" t="s">
        <v>9277</v>
      </c>
      <c r="B202" s="105" t="s">
        <v>7767</v>
      </c>
      <c r="C202" s="30" t="s">
        <v>7766</v>
      </c>
      <c r="D202" s="105" t="s">
        <v>9278</v>
      </c>
      <c r="E202" s="104" t="s">
        <v>7768</v>
      </c>
      <c r="F202" s="104" t="s">
        <v>7243</v>
      </c>
      <c r="G202" s="104" t="s">
        <v>6974</v>
      </c>
      <c r="H202" s="116" t="s">
        <v>7244</v>
      </c>
      <c r="I202" s="104" t="s">
        <v>7769</v>
      </c>
      <c r="J202" s="104" t="s">
        <v>7556</v>
      </c>
      <c r="K202" s="117" t="s">
        <v>7770</v>
      </c>
      <c r="L202" s="105" t="n">
        <v>-19.904917995483601</v>
      </c>
      <c r="M202" s="105" t="n">
        <v>-43.956954969017403</v>
      </c>
      <c r="N202" s="105" t="n">
        <v>609177.98920231499</v>
      </c>
      <c r="O202" s="105" t="n">
        <v>7798702.0461803405</v>
      </c>
    </row>
    <row r="203" ht="30" customHeight="1">
      <c r="A203" s="105" t="s">
        <v>9279</v>
      </c>
      <c r="B203" s="105" t="s">
        <v>7772</v>
      </c>
      <c r="C203" s="30" t="s">
        <v>7771</v>
      </c>
      <c r="D203" s="30" t="s">
        <v>9280</v>
      </c>
      <c r="E203" s="104" t="s">
        <v>7773</v>
      </c>
      <c r="F203" s="104" t="s">
        <v>6991</v>
      </c>
      <c r="G203" s="104" t="s">
        <v>6974</v>
      </c>
      <c r="H203" s="116" t="s">
        <v>6975</v>
      </c>
      <c r="I203" s="104" t="s">
        <v>7774</v>
      </c>
      <c r="J203" s="104" t="s">
        <v>7775</v>
      </c>
      <c r="K203" s="117" t="s">
        <v>7776</v>
      </c>
      <c r="L203" s="105" t="n">
        <v>-19.908479</v>
      </c>
      <c r="M203" s="105" t="n">
        <v>-43.944456000000002</v>
      </c>
      <c r="N203" s="105" t="n">
        <v>610483.92721854604</v>
      </c>
      <c r="O203" s="105" t="n">
        <v>7798299.7788581802</v>
      </c>
    </row>
    <row r="204" ht="30" customHeight="1">
      <c r="A204" s="105" t="s">
        <v>9281</v>
      </c>
      <c r="B204" s="105" t="s">
        <v>7778</v>
      </c>
      <c r="C204" s="30" t="s">
        <v>7777</v>
      </c>
      <c r="D204" s="30" t="s">
        <v>9282</v>
      </c>
      <c r="E204" s="74" t="s">
        <v>7779</v>
      </c>
      <c r="F204" s="104" t="s">
        <v>7780</v>
      </c>
      <c r="G204" s="104" t="s">
        <v>7015</v>
      </c>
      <c r="H204" s="116" t="s">
        <v>7016</v>
      </c>
      <c r="I204" s="104" t="s">
        <v>7781</v>
      </c>
      <c r="J204" s="104" t="s">
        <v>7782</v>
      </c>
      <c r="K204" s="117" t="s">
        <v>7783</v>
      </c>
      <c r="L204" s="105" t="n">
        <v>-19.899913398152599</v>
      </c>
      <c r="M204" s="105" t="n">
        <v>-43.904753329469003</v>
      </c>
      <c r="N204" s="105" t="n">
        <v>614646.16547206999</v>
      </c>
      <c r="O204" s="105" t="n">
        <v>7799221.2064706096</v>
      </c>
    </row>
    <row r="205" ht="30" customHeight="1">
      <c r="A205" s="105" t="s">
        <v>9283</v>
      </c>
      <c r="B205" s="105" t="s">
        <v>7778</v>
      </c>
      <c r="C205" s="30" t="s">
        <v>7777</v>
      </c>
      <c r="D205" s="105" t="s">
        <v>9284</v>
      </c>
      <c r="E205" s="74" t="s">
        <v>7779</v>
      </c>
      <c r="F205" s="104" t="s">
        <v>7780</v>
      </c>
      <c r="G205" s="104" t="s">
        <v>7015</v>
      </c>
      <c r="H205" s="116" t="s">
        <v>7016</v>
      </c>
      <c r="I205" s="104" t="s">
        <v>7781</v>
      </c>
      <c r="J205" s="104" t="s">
        <v>7782</v>
      </c>
      <c r="K205" s="117" t="s">
        <v>7783</v>
      </c>
      <c r="L205" s="105" t="n">
        <v>-19.899913398152599</v>
      </c>
      <c r="M205" s="105" t="n">
        <v>-43.904753329469003</v>
      </c>
      <c r="N205" s="105" t="n">
        <v>614646.16547206999</v>
      </c>
      <c r="O205" s="105" t="n">
        <v>7799221.2064706096</v>
      </c>
    </row>
    <row r="206" ht="30" customHeight="1">
      <c r="A206" s="105" t="s">
        <v>9285</v>
      </c>
      <c r="B206" s="105" t="s">
        <v>7785</v>
      </c>
      <c r="C206" s="30" t="s">
        <v>7784</v>
      </c>
      <c r="D206" s="30" t="s">
        <v>9286</v>
      </c>
      <c r="E206" s="104" t="s">
        <v>7786</v>
      </c>
      <c r="F206" s="104" t="s">
        <v>7787</v>
      </c>
      <c r="G206" s="104" t="s">
        <v>6983</v>
      </c>
      <c r="H206" s="116" t="s">
        <v>7228</v>
      </c>
      <c r="I206" s="104" t="s">
        <v>7788</v>
      </c>
      <c r="J206" s="104" t="s">
        <v>7789</v>
      </c>
      <c r="K206" s="117" t="s">
        <v>7790</v>
      </c>
      <c r="L206" s="105" t="n">
        <v>-19.942104303474899</v>
      </c>
      <c r="M206" s="105" t="n">
        <v>-43.9638136086893</v>
      </c>
      <c r="N206" s="105" t="n">
        <v>608434.65291901701</v>
      </c>
      <c r="O206" s="105" t="n">
        <v>7794590.9600975299</v>
      </c>
    </row>
    <row r="207" ht="30" customHeight="1">
      <c r="A207" s="105" t="s">
        <v>9287</v>
      </c>
      <c r="B207" s="105" t="s">
        <v>7792</v>
      </c>
      <c r="C207" s="30" t="s">
        <v>7791</v>
      </c>
      <c r="D207" s="105" t="s">
        <v>9288</v>
      </c>
      <c r="E207" s="104" t="s">
        <v>7793</v>
      </c>
      <c r="F207" s="104" t="s">
        <v>7794</v>
      </c>
      <c r="G207" s="104" t="s">
        <v>6997</v>
      </c>
      <c r="H207" s="116" t="s">
        <v>6998</v>
      </c>
      <c r="I207" s="104" t="s">
        <v>7795</v>
      </c>
      <c r="J207" s="104" t="s">
        <v>7796</v>
      </c>
      <c r="K207" s="117" t="s">
        <v>7797</v>
      </c>
      <c r="L207" s="105" t="n">
        <v>-19.900483000000001</v>
      </c>
      <c r="M207" s="105" t="n">
        <v>-43.998897999999997</v>
      </c>
      <c r="N207" s="105" t="n">
        <v>604790.27997683105</v>
      </c>
      <c r="O207" s="105" t="n">
        <v>7799219.5439414</v>
      </c>
    </row>
    <row r="208" ht="30" customHeight="1">
      <c r="A208" s="105" t="s">
        <v>9289</v>
      </c>
      <c r="B208" s="105" t="s">
        <v>7792</v>
      </c>
      <c r="C208" s="30" t="s">
        <v>7791</v>
      </c>
      <c r="D208" s="30" t="s">
        <v>9290</v>
      </c>
      <c r="E208" s="104" t="s">
        <v>7793</v>
      </c>
      <c r="F208" s="104" t="s">
        <v>7794</v>
      </c>
      <c r="G208" s="104" t="s">
        <v>6997</v>
      </c>
      <c r="H208" s="116" t="s">
        <v>6998</v>
      </c>
      <c r="I208" s="104" t="s">
        <v>7795</v>
      </c>
      <c r="J208" s="104" t="s">
        <v>7796</v>
      </c>
      <c r="K208" s="117" t="s">
        <v>7797</v>
      </c>
      <c r="L208" s="105" t="n">
        <v>-19.900483000000001</v>
      </c>
      <c r="M208" s="105" t="n">
        <v>-43.998897999999997</v>
      </c>
      <c r="N208" s="105" t="n">
        <v>604790.27997683105</v>
      </c>
      <c r="O208" s="105" t="n">
        <v>7799219.5439414</v>
      </c>
    </row>
    <row r="209" ht="30" customHeight="1">
      <c r="A209" s="105" t="s">
        <v>9291</v>
      </c>
      <c r="B209" s="105" t="s">
        <v>7799</v>
      </c>
      <c r="C209" s="30" t="s">
        <v>7798</v>
      </c>
      <c r="D209" s="30" t="s">
        <v>9292</v>
      </c>
      <c r="E209" s="104" t="s">
        <v>7800</v>
      </c>
      <c r="F209" s="104" t="s">
        <v>7801</v>
      </c>
      <c r="G209" s="104" t="s">
        <v>7015</v>
      </c>
      <c r="H209" s="116" t="s">
        <v>7016</v>
      </c>
      <c r="I209" s="104" t="s">
        <v>7802</v>
      </c>
      <c r="J209" s="104" t="s">
        <v>7597</v>
      </c>
      <c r="K209" s="117" t="s">
        <v>7803</v>
      </c>
      <c r="L209" s="105" t="n">
        <v>-19.888826999999999</v>
      </c>
      <c r="M209" s="105" t="n">
        <v>-43.896585999999999</v>
      </c>
      <c r="N209" s="105" t="n">
        <v>615509.213061683</v>
      </c>
      <c r="O209" s="105" t="n">
        <v>7800442.6042296104</v>
      </c>
    </row>
    <row r="210" ht="30" customHeight="1">
      <c r="A210" s="105" t="s">
        <v>9293</v>
      </c>
      <c r="B210" s="105" t="s">
        <v>7799</v>
      </c>
      <c r="C210" s="30" t="s">
        <v>7798</v>
      </c>
      <c r="D210" s="30" t="s">
        <v>9294</v>
      </c>
      <c r="E210" s="104" t="s">
        <v>7800</v>
      </c>
      <c r="F210" s="104" t="s">
        <v>7801</v>
      </c>
      <c r="G210" s="104" t="s">
        <v>7015</v>
      </c>
      <c r="H210" s="116" t="s">
        <v>7016</v>
      </c>
      <c r="I210" s="104" t="s">
        <v>7802</v>
      </c>
      <c r="J210" s="104" t="s">
        <v>7597</v>
      </c>
      <c r="K210" s="117" t="s">
        <v>7803</v>
      </c>
      <c r="L210" s="105" t="n">
        <v>-19.888826999999999</v>
      </c>
      <c r="M210" s="105" t="n">
        <v>-43.896585999999999</v>
      </c>
      <c r="N210" s="105" t="n">
        <v>615509.213061683</v>
      </c>
      <c r="O210" s="105" t="n">
        <v>7800442.6042296104</v>
      </c>
    </row>
    <row r="211" ht="30" customHeight="1">
      <c r="A211" s="105" t="s">
        <v>9295</v>
      </c>
      <c r="B211" s="105" t="s">
        <v>7805</v>
      </c>
      <c r="C211" s="30" t="s">
        <v>7804</v>
      </c>
      <c r="D211" s="30" t="s">
        <v>9296</v>
      </c>
      <c r="E211" s="104" t="s">
        <v>7806</v>
      </c>
      <c r="F211" s="104" t="s">
        <v>7807</v>
      </c>
      <c r="G211" s="104" t="s">
        <v>7006</v>
      </c>
      <c r="H211" s="116" t="s">
        <v>7413</v>
      </c>
      <c r="I211" s="104" t="s">
        <v>7808</v>
      </c>
      <c r="J211" s="104" t="s">
        <v>7809</v>
      </c>
      <c r="K211" s="117" t="s">
        <v>7810</v>
      </c>
      <c r="L211" s="105" t="n">
        <v>-19.869945023912901</v>
      </c>
      <c r="M211" s="105" t="n">
        <v>-43.915369077500102</v>
      </c>
      <c r="N211" s="105" t="n">
        <v>613556.20541078004</v>
      </c>
      <c r="O211" s="105" t="n">
        <v>7802545.1206150502</v>
      </c>
    </row>
    <row r="212" ht="45" customHeight="1">
      <c r="A212" s="105" t="s">
        <v>9297</v>
      </c>
      <c r="B212" s="105" t="s">
        <v>7812</v>
      </c>
      <c r="C212" s="30" t="s">
        <v>7811</v>
      </c>
      <c r="D212" s="30" t="s">
        <v>9298</v>
      </c>
      <c r="E212" s="74" t="s">
        <v>7813</v>
      </c>
      <c r="F212" s="104" t="s">
        <v>7814</v>
      </c>
      <c r="G212" s="104" t="s">
        <v>7160</v>
      </c>
      <c r="H212" s="116" t="s">
        <v>7815</v>
      </c>
      <c r="I212" s="104" t="s">
        <v>7816</v>
      </c>
      <c r="J212" s="104" t="s">
        <v>7817</v>
      </c>
      <c r="K212" s="117" t="s">
        <v>7818</v>
      </c>
      <c r="L212" s="105" t="n">
        <v>-19.93468</v>
      </c>
      <c r="M212" s="105" t="n">
        <v>-43.902526999999999</v>
      </c>
      <c r="N212" s="105" t="n">
        <v>614854.12018205505</v>
      </c>
      <c r="O212" s="105" t="n">
        <v>7795371.9059967604</v>
      </c>
    </row>
    <row r="213" ht="30" customHeight="1">
      <c r="A213" s="105" t="s">
        <v>9299</v>
      </c>
      <c r="B213" s="105" t="s">
        <v>7820</v>
      </c>
      <c r="C213" s="30" t="s">
        <v>7819</v>
      </c>
      <c r="D213" s="30" t="s">
        <v>9300</v>
      </c>
      <c r="E213" s="104" t="s">
        <v>7821</v>
      </c>
      <c r="F213" s="104" t="s">
        <v>7822</v>
      </c>
      <c r="G213" s="104" t="s">
        <v>7006</v>
      </c>
      <c r="H213" s="116" t="s">
        <v>7413</v>
      </c>
      <c r="I213" s="104" t="s">
        <v>7823</v>
      </c>
      <c r="J213" s="104" t="s">
        <v>7824</v>
      </c>
      <c r="K213" s="117" t="s">
        <v>7825</v>
      </c>
      <c r="L213" s="105" t="n">
        <v>-19.866756919518899</v>
      </c>
      <c r="M213" s="105" t="n">
        <v>-43.9241706830935</v>
      </c>
      <c r="N213" s="105" t="n">
        <v>612636.88276284595</v>
      </c>
      <c r="O213" s="105" t="n">
        <v>7802903.8654273096</v>
      </c>
    </row>
    <row r="214" ht="30" customHeight="1">
      <c r="A214" s="105" t="s">
        <v>9301</v>
      </c>
      <c r="B214" s="105" t="s">
        <v>7827</v>
      </c>
      <c r="C214" s="30" t="s">
        <v>7826</v>
      </c>
      <c r="D214" s="30" t="s">
        <v>9302</v>
      </c>
      <c r="E214" s="104" t="s">
        <v>7828</v>
      </c>
      <c r="F214" s="104" t="s">
        <v>7829</v>
      </c>
      <c r="G214" s="104" t="s">
        <v>7126</v>
      </c>
      <c r="H214" s="116" t="s">
        <v>7449</v>
      </c>
      <c r="I214" s="104" t="s">
        <v>7830</v>
      </c>
      <c r="J214" s="104" t="s">
        <v>7831</v>
      </c>
      <c r="K214" s="117" t="s">
        <v>7832</v>
      </c>
      <c r="L214" s="105" t="n">
        <v>-19.785773829667299</v>
      </c>
      <c r="M214" s="105" t="n">
        <v>-43.977988182683099</v>
      </c>
      <c r="N214" s="105" t="n">
        <v>607056.06640287302</v>
      </c>
      <c r="O214" s="105" t="n">
        <v>7811901.4467759803</v>
      </c>
    </row>
    <row r="215" ht="30" customHeight="1">
      <c r="A215" s="105" t="s">
        <v>9303</v>
      </c>
      <c r="B215" s="105" t="s">
        <v>7834</v>
      </c>
      <c r="C215" s="30" t="s">
        <v>7833</v>
      </c>
      <c r="D215" s="30" t="s">
        <v>9304</v>
      </c>
      <c r="E215" s="104" t="s">
        <v>7835</v>
      </c>
      <c r="F215" s="104" t="s">
        <v>7836</v>
      </c>
      <c r="G215" s="104" t="s">
        <v>6997</v>
      </c>
      <c r="H215" s="116" t="s">
        <v>6998</v>
      </c>
      <c r="I215" s="104" t="s">
        <v>7837</v>
      </c>
      <c r="J215" s="104" t="s">
        <v>7838</v>
      </c>
      <c r="K215" s="117"/>
      <c r="L215" s="105" t="n">
        <v>-19.884174999999999</v>
      </c>
      <c r="M215" s="105" t="n">
        <v>-44.010705999999999</v>
      </c>
      <c r="N215" s="105" t="n">
        <v>603564.78722777695</v>
      </c>
      <c r="O215" s="105" t="n">
        <v>7801031.6826094296</v>
      </c>
    </row>
    <row r="216" ht="30" customHeight="1">
      <c r="A216" s="105" t="s">
        <v>9305</v>
      </c>
      <c r="B216" s="105" t="s">
        <v>7840</v>
      </c>
      <c r="C216" s="30" t="s">
        <v>7839</v>
      </c>
      <c r="D216" s="30" t="s">
        <v>9306</v>
      </c>
      <c r="E216" s="74" t="s">
        <v>7841</v>
      </c>
      <c r="F216" s="104" t="s">
        <v>7622</v>
      </c>
      <c r="G216" s="104" t="s">
        <v>7015</v>
      </c>
      <c r="H216" s="116" t="s">
        <v>7024</v>
      </c>
      <c r="I216" s="104" t="s">
        <v>7842</v>
      </c>
      <c r="J216" s="104" t="s">
        <v>7843</v>
      </c>
      <c r="K216" s="117" t="s">
        <v>7844</v>
      </c>
      <c r="L216" s="105" t="n">
        <v>-19.918199999999999</v>
      </c>
      <c r="M216" s="105" t="n">
        <v>-43.887765999999999</v>
      </c>
      <c r="N216" s="105" t="n">
        <v>616411.12431839795</v>
      </c>
      <c r="O216" s="105" t="n">
        <v>7797185.6747646397</v>
      </c>
    </row>
    <row r="217" ht="30" customHeight="1">
      <c r="A217" s="105" t="s">
        <v>9307</v>
      </c>
      <c r="B217" s="105" t="s">
        <v>7846</v>
      </c>
      <c r="C217" s="30" t="s">
        <v>7845</v>
      </c>
      <c r="D217" s="105" t="s">
        <v>9308</v>
      </c>
      <c r="E217" s="74" t="s">
        <v>7847</v>
      </c>
      <c r="F217" s="104" t="s">
        <v>7848</v>
      </c>
      <c r="G217" s="104" t="s">
        <v>7077</v>
      </c>
      <c r="H217" s="116" t="s">
        <v>7092</v>
      </c>
      <c r="I217" s="104" t="s">
        <v>7849</v>
      </c>
      <c r="J217" s="104" t="s">
        <v>7850</v>
      </c>
      <c r="K217" s="117" t="s">
        <v>7851</v>
      </c>
      <c r="L217" s="105" t="n">
        <v>-19.991925999999999</v>
      </c>
      <c r="M217" s="105" t="n">
        <v>-44.015740000000001</v>
      </c>
      <c r="N217" s="105" t="n">
        <v>602967.89675314701</v>
      </c>
      <c r="O217" s="105" t="n">
        <v>7789109.7673556795</v>
      </c>
    </row>
    <row r="218" ht="30" customHeight="1">
      <c r="A218" s="105" t="s">
        <v>9309</v>
      </c>
      <c r="B218" s="105" t="s">
        <v>7853</v>
      </c>
      <c r="C218" s="30" t="s">
        <v>7852</v>
      </c>
      <c r="D218" s="105" t="s">
        <v>9310</v>
      </c>
      <c r="E218" s="74" t="s">
        <v>7854</v>
      </c>
      <c r="F218" s="104" t="s">
        <v>7855</v>
      </c>
      <c r="G218" s="104" t="s">
        <v>7077</v>
      </c>
      <c r="H218" s="116" t="s">
        <v>7588</v>
      </c>
      <c r="I218" s="104" t="s">
        <v>7856</v>
      </c>
      <c r="J218" s="104" t="s">
        <v>7857</v>
      </c>
      <c r="K218" s="117" t="s">
        <v>7858</v>
      </c>
      <c r="L218" s="105" t="n">
        <v>-20.009477</v>
      </c>
      <c r="M218" s="105" t="n">
        <v>-44.008029000000001</v>
      </c>
      <c r="N218" s="105" t="n">
        <v>603763.13784479303</v>
      </c>
      <c r="O218" s="105" t="n">
        <v>7787162.5917411698</v>
      </c>
    </row>
    <row r="219" ht="30" customHeight="1">
      <c r="A219" s="105" t="s">
        <v>9311</v>
      </c>
      <c r="B219" s="105" t="s">
        <v>7860</v>
      </c>
      <c r="C219" s="30" t="s">
        <v>7859</v>
      </c>
      <c r="D219" s="105" t="s">
        <v>9312</v>
      </c>
      <c r="E219" s="74" t="s">
        <v>7861</v>
      </c>
      <c r="F219" s="104" t="s">
        <v>7862</v>
      </c>
      <c r="G219" s="104" t="s">
        <v>7077</v>
      </c>
      <c r="H219" s="116" t="s">
        <v>7105</v>
      </c>
      <c r="I219" s="104" t="s">
        <v>7863</v>
      </c>
      <c r="J219" s="104" t="s">
        <v>7018</v>
      </c>
      <c r="K219" s="117"/>
      <c r="L219" s="105" t="n">
        <v>-20.010734745419899</v>
      </c>
      <c r="M219" s="105" t="n">
        <v>-44.0362653374589</v>
      </c>
      <c r="N219" s="105" t="n">
        <v>600808.51317717799</v>
      </c>
      <c r="O219" s="105" t="n">
        <v>7787040.6457989002</v>
      </c>
    </row>
    <row r="220" ht="30" customHeight="1">
      <c r="A220" s="105" t="s">
        <v>9313</v>
      </c>
      <c r="B220" s="105" t="s">
        <v>7860</v>
      </c>
      <c r="C220" s="30" t="s">
        <v>7859</v>
      </c>
      <c r="D220" s="30" t="s">
        <v>9314</v>
      </c>
      <c r="E220" s="104" t="s">
        <v>7861</v>
      </c>
      <c r="F220" s="104" t="s">
        <v>7862</v>
      </c>
      <c r="G220" s="104" t="s">
        <v>7077</v>
      </c>
      <c r="H220" s="116" t="s">
        <v>7105</v>
      </c>
      <c r="I220" s="104" t="s">
        <v>7863</v>
      </c>
      <c r="J220" s="104" t="s">
        <v>7018</v>
      </c>
      <c r="K220" s="117"/>
      <c r="L220" s="105" t="n">
        <v>-20.010734745419899</v>
      </c>
      <c r="M220" s="105" t="n">
        <v>-44.0362653374589</v>
      </c>
      <c r="N220" s="105" t="n">
        <v>600808.51317717799</v>
      </c>
      <c r="O220" s="105" t="n">
        <v>7787040.6457989002</v>
      </c>
    </row>
    <row r="221" ht="30" customHeight="1">
      <c r="A221" s="105" t="s">
        <v>9315</v>
      </c>
      <c r="B221" s="105" t="s">
        <v>7860</v>
      </c>
      <c r="C221" s="30" t="s">
        <v>7859</v>
      </c>
      <c r="D221" s="105" t="s">
        <v>9316</v>
      </c>
      <c r="E221" s="104" t="s">
        <v>7861</v>
      </c>
      <c r="F221" s="104" t="s">
        <v>7862</v>
      </c>
      <c r="G221" s="104" t="s">
        <v>7077</v>
      </c>
      <c r="H221" s="116" t="s">
        <v>7105</v>
      </c>
      <c r="I221" s="104" t="s">
        <v>7863</v>
      </c>
      <c r="J221" s="104" t="s">
        <v>7018</v>
      </c>
      <c r="K221" s="117"/>
      <c r="L221" s="105" t="n">
        <v>-20.010734745419899</v>
      </c>
      <c r="M221" s="105" t="n">
        <v>-44.0362653374589</v>
      </c>
      <c r="N221" s="105" t="n">
        <v>600808.51317717799</v>
      </c>
      <c r="O221" s="105" t="n">
        <v>7787040.6457989002</v>
      </c>
    </row>
    <row r="222" ht="30" customHeight="1">
      <c r="A222" s="105" t="s">
        <v>9317</v>
      </c>
      <c r="B222" s="105" t="s">
        <v>7860</v>
      </c>
      <c r="C222" s="30" t="s">
        <v>7859</v>
      </c>
      <c r="D222" s="30" t="s">
        <v>9318</v>
      </c>
      <c r="E222" s="104" t="s">
        <v>7861</v>
      </c>
      <c r="F222" s="104" t="s">
        <v>7862</v>
      </c>
      <c r="G222" s="104" t="s">
        <v>7077</v>
      </c>
      <c r="H222" s="116" t="s">
        <v>7105</v>
      </c>
      <c r="I222" s="104" t="s">
        <v>7863</v>
      </c>
      <c r="J222" s="104" t="s">
        <v>7018</v>
      </c>
      <c r="K222" s="117"/>
      <c r="L222" s="105" t="n">
        <v>-20.010734745419899</v>
      </c>
      <c r="M222" s="105" t="n">
        <v>-44.0362653374589</v>
      </c>
      <c r="N222" s="105" t="n">
        <v>600808.51317717799</v>
      </c>
      <c r="O222" s="105" t="n">
        <v>7787040.6457989002</v>
      </c>
    </row>
    <row r="223" ht="30" customHeight="1">
      <c r="A223" s="105" t="s">
        <v>9319</v>
      </c>
      <c r="B223" s="105" t="s">
        <v>7865</v>
      </c>
      <c r="C223" s="30" t="s">
        <v>7864</v>
      </c>
      <c r="D223" s="105" t="s">
        <v>9320</v>
      </c>
      <c r="E223" s="104" t="s">
        <v>7866</v>
      </c>
      <c r="F223" s="104" t="s">
        <v>7867</v>
      </c>
      <c r="G223" s="104" t="s">
        <v>6983</v>
      </c>
      <c r="H223" s="116" t="s">
        <v>7228</v>
      </c>
      <c r="I223" s="104" t="s">
        <v>7868</v>
      </c>
      <c r="J223" s="104" t="s">
        <v>7869</v>
      </c>
      <c r="K223" s="117" t="s">
        <v>7870</v>
      </c>
      <c r="L223" s="105" t="n">
        <v>-19.950748999999998</v>
      </c>
      <c r="M223" s="105" t="n">
        <v>-43.971708999999997</v>
      </c>
      <c r="N223" s="105" t="n">
        <v>607602.49034363905</v>
      </c>
      <c r="O223" s="105" t="n">
        <v>7793639.3026347701</v>
      </c>
    </row>
    <row r="224" ht="30" customHeight="1">
      <c r="A224" s="105" t="s">
        <v>9321</v>
      </c>
      <c r="B224" s="105" t="s">
        <v>7865</v>
      </c>
      <c r="C224" s="30" t="s">
        <v>7864</v>
      </c>
      <c r="D224" s="105" t="s">
        <v>9322</v>
      </c>
      <c r="E224" s="104" t="s">
        <v>7866</v>
      </c>
      <c r="F224" s="104" t="s">
        <v>7867</v>
      </c>
      <c r="G224" s="104" t="s">
        <v>6983</v>
      </c>
      <c r="H224" s="116" t="s">
        <v>7228</v>
      </c>
      <c r="I224" s="104" t="s">
        <v>7868</v>
      </c>
      <c r="J224" s="104" t="s">
        <v>7869</v>
      </c>
      <c r="K224" s="117" t="s">
        <v>7870</v>
      </c>
      <c r="L224" s="105" t="n">
        <v>-19.950748999999998</v>
      </c>
      <c r="M224" s="105" t="n">
        <v>-43.971708999999997</v>
      </c>
      <c r="N224" s="105" t="n">
        <v>607602.49034363905</v>
      </c>
      <c r="O224" s="105" t="n">
        <v>7793639.3026347701</v>
      </c>
    </row>
    <row r="225" ht="30" customHeight="1">
      <c r="A225" s="105" t="s">
        <v>9323</v>
      </c>
      <c r="B225" s="105" t="s">
        <v>7872</v>
      </c>
      <c r="C225" s="30" t="s">
        <v>7871</v>
      </c>
      <c r="D225" s="30" t="s">
        <v>9324</v>
      </c>
      <c r="E225" s="104" t="s">
        <v>7873</v>
      </c>
      <c r="F225" s="104" t="s">
        <v>7874</v>
      </c>
      <c r="G225" s="104" t="s">
        <v>7077</v>
      </c>
      <c r="H225" s="116" t="s">
        <v>7588</v>
      </c>
      <c r="I225" s="104" t="s">
        <v>7875</v>
      </c>
      <c r="J225" s="104" t="s">
        <v>7223</v>
      </c>
      <c r="K225" s="117" t="s">
        <v>7876</v>
      </c>
      <c r="L225" s="105" t="n">
        <v>-19.997869000000001</v>
      </c>
      <c r="M225" s="105" t="n">
        <v>-43.992417000000003</v>
      </c>
      <c r="N225" s="105" t="n">
        <v>605404.05776804104</v>
      </c>
      <c r="O225" s="105" t="n">
        <v>7788437.53442783</v>
      </c>
    </row>
    <row r="226" ht="30" customHeight="1">
      <c r="A226" s="105" t="s">
        <v>9325</v>
      </c>
      <c r="B226" s="105" t="s">
        <v>7872</v>
      </c>
      <c r="C226" s="30" t="s">
        <v>7871</v>
      </c>
      <c r="D226" s="30" t="s">
        <v>9326</v>
      </c>
      <c r="E226" s="104" t="s">
        <v>7873</v>
      </c>
      <c r="F226" s="104" t="s">
        <v>7874</v>
      </c>
      <c r="G226" s="104" t="s">
        <v>7077</v>
      </c>
      <c r="H226" s="116" t="s">
        <v>7588</v>
      </c>
      <c r="I226" s="104" t="s">
        <v>7875</v>
      </c>
      <c r="J226" s="104" t="s">
        <v>7223</v>
      </c>
      <c r="K226" s="117" t="s">
        <v>7876</v>
      </c>
      <c r="L226" s="105" t="n">
        <v>-19.997869000000001</v>
      </c>
      <c r="M226" s="105" t="n">
        <v>-43.992417000000003</v>
      </c>
      <c r="N226" s="105" t="n">
        <v>605404.05776804104</v>
      </c>
      <c r="O226" s="105" t="n">
        <v>7788437.53442783</v>
      </c>
    </row>
    <row r="227" ht="30" customHeight="1">
      <c r="A227" s="105" t="s">
        <v>9327</v>
      </c>
      <c r="B227" s="105" t="s">
        <v>7872</v>
      </c>
      <c r="C227" s="30" t="s">
        <v>7871</v>
      </c>
      <c r="D227" s="105" t="s">
        <v>9328</v>
      </c>
      <c r="E227" s="104" t="s">
        <v>7873</v>
      </c>
      <c r="F227" s="104" t="s">
        <v>7874</v>
      </c>
      <c r="G227" s="104" t="s">
        <v>7077</v>
      </c>
      <c r="H227" s="116" t="s">
        <v>7588</v>
      </c>
      <c r="I227" s="104" t="s">
        <v>7875</v>
      </c>
      <c r="J227" s="104" t="s">
        <v>7223</v>
      </c>
      <c r="K227" s="117" t="s">
        <v>7876</v>
      </c>
      <c r="L227" s="105" t="n">
        <v>-19.997869000000001</v>
      </c>
      <c r="M227" s="105" t="n">
        <v>-43.992417000000003</v>
      </c>
      <c r="N227" s="105" t="n">
        <v>605404.05776804104</v>
      </c>
      <c r="O227" s="105" t="n">
        <v>7788437.53442783</v>
      </c>
    </row>
    <row r="228" ht="30" customHeight="1">
      <c r="A228" s="105" t="s">
        <v>9329</v>
      </c>
      <c r="B228" s="105" t="s">
        <v>7878</v>
      </c>
      <c r="C228" s="30" t="s">
        <v>7877</v>
      </c>
      <c r="D228" s="105" t="s">
        <v>9008</v>
      </c>
      <c r="E228" s="104" t="s">
        <v>7879</v>
      </c>
      <c r="F228" s="104" t="s">
        <v>7051</v>
      </c>
      <c r="G228" s="104" t="s">
        <v>6983</v>
      </c>
      <c r="H228" s="116" t="s">
        <v>6984</v>
      </c>
      <c r="I228" s="104" t="s">
        <v>7880</v>
      </c>
      <c r="J228" s="104" t="s">
        <v>7881</v>
      </c>
      <c r="K228" s="117" t="s">
        <v>7882</v>
      </c>
      <c r="L228" s="105" t="n">
        <v>-19.948622</v>
      </c>
      <c r="M228" s="105" t="n">
        <v>-44.004714999999997</v>
      </c>
      <c r="N228" s="105" t="n">
        <v>604149.79699115397</v>
      </c>
      <c r="O228" s="105" t="n">
        <v>7793895.5173024898</v>
      </c>
    </row>
    <row r="229" ht="30" customHeight="1">
      <c r="A229" s="105" t="s">
        <v>9330</v>
      </c>
      <c r="B229" s="105" t="s">
        <v>7884</v>
      </c>
      <c r="C229" s="30" t="s">
        <v>7883</v>
      </c>
      <c r="D229" s="105" t="s">
        <v>9008</v>
      </c>
      <c r="E229" s="104" t="s">
        <v>7885</v>
      </c>
      <c r="F229" s="104" t="s">
        <v>7886</v>
      </c>
      <c r="G229" s="104" t="s">
        <v>6983</v>
      </c>
      <c r="H229" s="116" t="s">
        <v>7887</v>
      </c>
      <c r="I229" s="104" t="s">
        <v>7888</v>
      </c>
      <c r="J229" s="104" t="s">
        <v>7133</v>
      </c>
      <c r="K229" s="117" t="s">
        <v>7889</v>
      </c>
      <c r="L229" s="105" t="n">
        <v>-19.955874000000001</v>
      </c>
      <c r="M229" s="105" t="n">
        <v>-43.965443</v>
      </c>
      <c r="N229" s="105" t="n">
        <v>608254.73699610401</v>
      </c>
      <c r="O229" s="105" t="n">
        <v>7793068.0733911796</v>
      </c>
    </row>
    <row r="230" ht="30" customHeight="1">
      <c r="A230" s="105" t="s">
        <v>9331</v>
      </c>
      <c r="B230" s="105" t="s">
        <v>7884</v>
      </c>
      <c r="C230" s="30" t="s">
        <v>7883</v>
      </c>
      <c r="D230" s="30" t="s">
        <v>9332</v>
      </c>
      <c r="E230" s="104" t="s">
        <v>7885</v>
      </c>
      <c r="F230" s="104" t="s">
        <v>7886</v>
      </c>
      <c r="G230" s="104" t="s">
        <v>6983</v>
      </c>
      <c r="H230" s="116" t="s">
        <v>7887</v>
      </c>
      <c r="I230" s="104" t="s">
        <v>7888</v>
      </c>
      <c r="J230" s="104" t="s">
        <v>7133</v>
      </c>
      <c r="K230" s="117" t="s">
        <v>7889</v>
      </c>
      <c r="L230" s="105" t="n">
        <v>-19.955874000000001</v>
      </c>
      <c r="M230" s="105" t="n">
        <v>-43.965443</v>
      </c>
      <c r="N230" s="105" t="n">
        <v>608254.73699610401</v>
      </c>
      <c r="O230" s="105" t="n">
        <v>7793068.0733911796</v>
      </c>
    </row>
    <row r="231" ht="30" customHeight="1">
      <c r="A231" s="105" t="s">
        <v>9333</v>
      </c>
      <c r="B231" s="105" t="s">
        <v>7884</v>
      </c>
      <c r="C231" s="30" t="s">
        <v>7883</v>
      </c>
      <c r="D231" s="105" t="s">
        <v>9334</v>
      </c>
      <c r="E231" s="104" t="s">
        <v>7885</v>
      </c>
      <c r="F231" s="104" t="s">
        <v>7886</v>
      </c>
      <c r="G231" s="104" t="s">
        <v>6983</v>
      </c>
      <c r="H231" s="116" t="s">
        <v>7887</v>
      </c>
      <c r="I231" s="104" t="s">
        <v>7888</v>
      </c>
      <c r="J231" s="104" t="s">
        <v>7133</v>
      </c>
      <c r="K231" s="117" t="s">
        <v>7889</v>
      </c>
      <c r="L231" s="105" t="n">
        <v>-19.955874000000001</v>
      </c>
      <c r="M231" s="105" t="n">
        <v>-43.965443</v>
      </c>
      <c r="N231" s="105" t="n">
        <v>608254.73699610401</v>
      </c>
      <c r="O231" s="105" t="n">
        <v>7793068.0733911796</v>
      </c>
    </row>
    <row r="232" ht="30" customHeight="1">
      <c r="A232" s="105" t="s">
        <v>9335</v>
      </c>
      <c r="B232" s="105" t="s">
        <v>7884</v>
      </c>
      <c r="C232" s="30" t="s">
        <v>7883</v>
      </c>
      <c r="D232" s="30" t="s">
        <v>9336</v>
      </c>
      <c r="E232" s="104" t="s">
        <v>7885</v>
      </c>
      <c r="F232" s="104" t="s">
        <v>7886</v>
      </c>
      <c r="G232" s="104" t="s">
        <v>6983</v>
      </c>
      <c r="H232" s="116" t="s">
        <v>7887</v>
      </c>
      <c r="I232" s="104" t="s">
        <v>7888</v>
      </c>
      <c r="J232" s="104" t="s">
        <v>7133</v>
      </c>
      <c r="K232" s="117" t="s">
        <v>7889</v>
      </c>
      <c r="L232" s="105" t="n">
        <v>-19.955874000000001</v>
      </c>
      <c r="M232" s="105" t="n">
        <v>-43.965443</v>
      </c>
      <c r="N232" s="105" t="n">
        <v>608254.73699610401</v>
      </c>
      <c r="O232" s="105" t="n">
        <v>7793068.0733911796</v>
      </c>
    </row>
    <row r="233" ht="45" customHeight="1">
      <c r="A233" s="105" t="s">
        <v>9337</v>
      </c>
      <c r="B233" s="105" t="s">
        <v>7891</v>
      </c>
      <c r="C233" s="30" t="s">
        <v>7890</v>
      </c>
      <c r="D233" s="30" t="s">
        <v>9338</v>
      </c>
      <c r="E233" s="104" t="s">
        <v>7892</v>
      </c>
      <c r="F233" s="104" t="s">
        <v>7893</v>
      </c>
      <c r="G233" s="104" t="s">
        <v>7077</v>
      </c>
      <c r="H233" s="116" t="s">
        <v>7105</v>
      </c>
      <c r="I233" s="104" t="s">
        <v>7894</v>
      </c>
      <c r="J233" s="104" t="s">
        <v>7895</v>
      </c>
      <c r="K233" s="117" t="s">
        <v>7896</v>
      </c>
      <c r="L233" s="105" t="n">
        <v>-20.000624701948301</v>
      </c>
      <c r="M233" s="105" t="n">
        <v>-44.0261464195993</v>
      </c>
      <c r="N233" s="105" t="n">
        <v>601873.55670616205</v>
      </c>
      <c r="O233" s="105" t="n">
        <v>7788153.4232592201</v>
      </c>
    </row>
    <row r="234" ht="45" customHeight="1">
      <c r="A234" s="105" t="s">
        <v>9339</v>
      </c>
      <c r="B234" s="105" t="s">
        <v>7891</v>
      </c>
      <c r="C234" s="30" t="s">
        <v>7890</v>
      </c>
      <c r="D234" s="105" t="s">
        <v>9340</v>
      </c>
      <c r="E234" s="104" t="s">
        <v>7892</v>
      </c>
      <c r="F234" s="104" t="s">
        <v>7893</v>
      </c>
      <c r="G234" s="104" t="s">
        <v>7077</v>
      </c>
      <c r="H234" s="116" t="s">
        <v>7105</v>
      </c>
      <c r="I234" s="104" t="s">
        <v>7894</v>
      </c>
      <c r="J234" s="104" t="s">
        <v>7895</v>
      </c>
      <c r="K234" s="117" t="s">
        <v>7896</v>
      </c>
      <c r="L234" s="105" t="n">
        <v>-20.000624701948301</v>
      </c>
      <c r="M234" s="105" t="n">
        <v>-44.0261464195993</v>
      </c>
      <c r="N234" s="105" t="n">
        <v>601873.55670616205</v>
      </c>
      <c r="O234" s="105" t="n">
        <v>7788153.4232592201</v>
      </c>
    </row>
    <row r="235" ht="30" customHeight="1">
      <c r="A235" s="105" t="s">
        <v>9341</v>
      </c>
      <c r="B235" s="105" t="s">
        <v>7898</v>
      </c>
      <c r="C235" s="30" t="s">
        <v>7897</v>
      </c>
      <c r="D235" s="105" t="s">
        <v>9342</v>
      </c>
      <c r="E235" s="104" t="s">
        <v>7899</v>
      </c>
      <c r="F235" s="104" t="s">
        <v>7900</v>
      </c>
      <c r="G235" s="104" t="s">
        <v>6983</v>
      </c>
      <c r="H235" s="116" t="s">
        <v>6984</v>
      </c>
      <c r="I235" s="104" t="s">
        <v>7901</v>
      </c>
      <c r="J235" s="104" t="s">
        <v>7902</v>
      </c>
      <c r="K235" s="117" t="s">
        <v>7903</v>
      </c>
      <c r="L235" s="105" t="n">
        <v>-19.9493902471261</v>
      </c>
      <c r="M235" s="105" t="n">
        <v>-43.990420276921597</v>
      </c>
      <c r="N235" s="105" t="n">
        <v>605645.24994980299</v>
      </c>
      <c r="O235" s="105" t="n">
        <v>7793801.5627999203</v>
      </c>
    </row>
    <row r="236" ht="30" customHeight="1">
      <c r="A236" s="105" t="s">
        <v>9343</v>
      </c>
      <c r="B236" s="105" t="s">
        <v>7905</v>
      </c>
      <c r="C236" s="30" t="s">
        <v>7904</v>
      </c>
      <c r="D236" s="30" t="s">
        <v>9008</v>
      </c>
      <c r="E236" s="104" t="s">
        <v>7906</v>
      </c>
      <c r="F236" s="104" t="s">
        <v>7051</v>
      </c>
      <c r="G236" s="104" t="s">
        <v>6983</v>
      </c>
      <c r="H236" s="116" t="s">
        <v>6984</v>
      </c>
      <c r="I236" s="104" t="s">
        <v>7603</v>
      </c>
      <c r="J236" s="104" t="s">
        <v>7907</v>
      </c>
      <c r="K236" s="117" t="s">
        <v>7908</v>
      </c>
      <c r="L236" s="105" t="n">
        <v>-19.918580590435599</v>
      </c>
      <c r="M236" s="105" t="n">
        <v>-43.937898017514399</v>
      </c>
      <c r="N236" s="105" t="n">
        <v>611163.35320305103</v>
      </c>
      <c r="O236" s="105" t="n">
        <v>7797177.4787603496</v>
      </c>
    </row>
    <row r="237" ht="30" customHeight="1">
      <c r="A237" s="105" t="s">
        <v>9344</v>
      </c>
      <c r="B237" s="105" t="s">
        <v>7905</v>
      </c>
      <c r="C237" s="30" t="s">
        <v>7904</v>
      </c>
      <c r="D237" s="30" t="s">
        <v>9345</v>
      </c>
      <c r="E237" s="95" t="s">
        <v>7906</v>
      </c>
      <c r="F237" s="104" t="s">
        <v>7051</v>
      </c>
      <c r="G237" s="104" t="s">
        <v>6983</v>
      </c>
      <c r="H237" s="116" t="s">
        <v>6984</v>
      </c>
      <c r="I237" s="104" t="s">
        <v>7603</v>
      </c>
      <c r="J237" s="104" t="s">
        <v>7907</v>
      </c>
      <c r="K237" s="117" t="s">
        <v>7908</v>
      </c>
      <c r="L237" s="105" t="n">
        <v>-19.918580590435599</v>
      </c>
      <c r="M237" s="105" t="n">
        <v>-43.937898017514399</v>
      </c>
      <c r="N237" s="105" t="n">
        <v>611163.35320305103</v>
      </c>
      <c r="O237" s="105" t="n">
        <v>7797177.4787603496</v>
      </c>
    </row>
    <row r="238" ht="30" customHeight="1">
      <c r="A238" s="105" t="s">
        <v>9346</v>
      </c>
      <c r="B238" s="105" t="s">
        <v>7905</v>
      </c>
      <c r="C238" s="30" t="s">
        <v>7904</v>
      </c>
      <c r="D238" s="30" t="s">
        <v>9347</v>
      </c>
      <c r="E238" s="95" t="s">
        <v>7906</v>
      </c>
      <c r="F238" s="104" t="s">
        <v>7051</v>
      </c>
      <c r="G238" s="104" t="s">
        <v>6983</v>
      </c>
      <c r="H238" s="116" t="s">
        <v>6984</v>
      </c>
      <c r="I238" s="104" t="s">
        <v>7603</v>
      </c>
      <c r="J238" s="104" t="s">
        <v>7907</v>
      </c>
      <c r="K238" s="117" t="s">
        <v>7908</v>
      </c>
      <c r="L238" s="105" t="n">
        <v>-19.918580590435599</v>
      </c>
      <c r="M238" s="105" t="n">
        <v>-43.937898017514399</v>
      </c>
      <c r="N238" s="105" t="n">
        <v>611163.35320305103</v>
      </c>
      <c r="O238" s="105" t="n">
        <v>7797177.4787603496</v>
      </c>
    </row>
    <row r="239" ht="30" customHeight="1">
      <c r="A239" s="105" t="s">
        <v>9348</v>
      </c>
      <c r="B239" s="105" t="s">
        <v>7910</v>
      </c>
      <c r="C239" s="30" t="s">
        <v>7909</v>
      </c>
      <c r="D239" s="30" t="s">
        <v>9349</v>
      </c>
      <c r="E239" s="104" t="s">
        <v>7911</v>
      </c>
      <c r="F239" s="104" t="s">
        <v>7441</v>
      </c>
      <c r="G239" s="104" t="s">
        <v>7015</v>
      </c>
      <c r="H239" s="116" t="s">
        <v>7024</v>
      </c>
      <c r="I239" s="104" t="s">
        <v>7912</v>
      </c>
      <c r="J239" s="104"/>
      <c r="K239" s="117" t="s">
        <v>7913</v>
      </c>
      <c r="L239" s="105" t="n">
        <v>-19.9087365587093</v>
      </c>
      <c r="M239" s="105" t="n">
        <v>-43.886261903263097</v>
      </c>
      <c r="N239" s="105" t="n">
        <v>616575.5</v>
      </c>
      <c r="O239" s="105" t="n">
        <v>7798232</v>
      </c>
    </row>
    <row r="240" ht="30" customHeight="1">
      <c r="A240" s="105" t="s">
        <v>9350</v>
      </c>
      <c r="B240" s="105" t="s">
        <v>7915</v>
      </c>
      <c r="C240" s="30" t="s">
        <v>7914</v>
      </c>
      <c r="D240" s="30" t="s">
        <v>9351</v>
      </c>
      <c r="E240" s="104" t="s">
        <v>7916</v>
      </c>
      <c r="F240" s="104" t="s">
        <v>7306</v>
      </c>
      <c r="G240" s="104" t="s">
        <v>7086</v>
      </c>
      <c r="H240" s="116" t="s">
        <v>7087</v>
      </c>
      <c r="I240" s="104" t="s">
        <v>7917</v>
      </c>
      <c r="J240" s="104" t="s">
        <v>7918</v>
      </c>
      <c r="K240" s="117" t="s">
        <v>7919</v>
      </c>
      <c r="L240" s="105" t="n">
        <v>-19.826091000000002</v>
      </c>
      <c r="M240" s="105" t="n">
        <v>-43.960045000000001</v>
      </c>
      <c r="N240" s="105" t="n">
        <v>608908.33484393801</v>
      </c>
      <c r="O240" s="105" t="n">
        <v>7807428.0248849904</v>
      </c>
    </row>
    <row r="241" ht="30" customHeight="1">
      <c r="A241" s="105" t="s">
        <v>9352</v>
      </c>
      <c r="B241" s="105" t="s">
        <v>7921</v>
      </c>
      <c r="C241" s="30" t="s">
        <v>7920</v>
      </c>
      <c r="D241" s="30" t="s">
        <v>9353</v>
      </c>
      <c r="E241" s="104" t="s">
        <v>7922</v>
      </c>
      <c r="F241" s="104" t="s">
        <v>7085</v>
      </c>
      <c r="G241" s="104" t="s">
        <v>7086</v>
      </c>
      <c r="H241" s="116" t="s">
        <v>7087</v>
      </c>
      <c r="I241" s="104" t="s">
        <v>7194</v>
      </c>
      <c r="J241" s="104" t="s">
        <v>7208</v>
      </c>
      <c r="K241" s="117" t="s">
        <v>7209</v>
      </c>
      <c r="L241" s="105" t="n">
        <v>-19.818788000000001</v>
      </c>
      <c r="M241" s="105" t="n">
        <v>-43.953426</v>
      </c>
      <c r="N241" s="105" t="n">
        <v>609606.570067005</v>
      </c>
      <c r="O241" s="105" t="n">
        <v>7808231.98169073</v>
      </c>
    </row>
    <row r="242" ht="45" customHeight="1">
      <c r="A242" s="105" t="s">
        <v>9354</v>
      </c>
      <c r="B242" s="105" t="s">
        <v>7924</v>
      </c>
      <c r="C242" s="30" t="s">
        <v>7923</v>
      </c>
      <c r="D242" s="105" t="s">
        <v>9355</v>
      </c>
      <c r="E242" s="104" t="s">
        <v>7925</v>
      </c>
      <c r="F242" s="104" t="s">
        <v>7926</v>
      </c>
      <c r="G242" s="104" t="s">
        <v>7077</v>
      </c>
      <c r="H242" s="116" t="s">
        <v>7105</v>
      </c>
      <c r="I242" s="104" t="s">
        <v>7927</v>
      </c>
      <c r="J242" s="104"/>
      <c r="K242" s="117"/>
      <c r="L242" s="105" t="n">
        <v>-20.010636191968899</v>
      </c>
      <c r="M242" s="105" t="n">
        <v>-44.022165087224003</v>
      </c>
      <c r="N242" s="105" t="n">
        <v>602283.6</v>
      </c>
      <c r="O242" s="105" t="n">
        <v>7787043</v>
      </c>
    </row>
    <row r="243" ht="30" customHeight="1">
      <c r="A243" s="105" t="s">
        <v>9356</v>
      </c>
      <c r="B243" s="105" t="s">
        <v>7929</v>
      </c>
      <c r="C243" s="30" t="s">
        <v>7928</v>
      </c>
      <c r="D243" s="30" t="s">
        <v>9357</v>
      </c>
      <c r="E243" s="104" t="s">
        <v>7930</v>
      </c>
      <c r="F243" s="104" t="s">
        <v>7931</v>
      </c>
      <c r="G243" s="104" t="s">
        <v>7077</v>
      </c>
      <c r="H243" s="116" t="s">
        <v>7588</v>
      </c>
      <c r="I243" s="104" t="s">
        <v>7932</v>
      </c>
      <c r="J243" s="104" t="s">
        <v>7933</v>
      </c>
      <c r="K243" s="117" t="s">
        <v>7934</v>
      </c>
      <c r="L243" s="105" t="n">
        <v>-20.009336611965299</v>
      </c>
      <c r="M243" s="105" t="n">
        <v>-44.0107101322075</v>
      </c>
      <c r="N243" s="105" t="n">
        <v>603482.75366902899</v>
      </c>
      <c r="O243" s="105" t="n">
        <v>7787179.7883858103</v>
      </c>
    </row>
    <row r="244" ht="30" customHeight="1">
      <c r="A244" s="105" t="s">
        <v>9358</v>
      </c>
      <c r="B244" s="105" t="s">
        <v>8851</v>
      </c>
      <c r="C244" s="30" t="s">
        <v>8850</v>
      </c>
      <c r="D244" s="105" t="s">
        <v>9359</v>
      </c>
      <c r="E244" s="104" t="s">
        <v>8852</v>
      </c>
      <c r="F244" s="104" t="s">
        <v>8027</v>
      </c>
      <c r="G244" s="104" t="s">
        <v>6983</v>
      </c>
      <c r="H244" s="116" t="s">
        <v>7228</v>
      </c>
      <c r="I244" s="104" t="s">
        <v>8853</v>
      </c>
      <c r="J244" s="104" t="s">
        <v>8854</v>
      </c>
      <c r="K244" s="117" t="s">
        <v>8855</v>
      </c>
      <c r="L244" s="105" t="n">
        <v>-19.946123</v>
      </c>
      <c r="M244" s="105" t="n">
        <v>-43.966664999999999</v>
      </c>
      <c r="N244" s="105" t="n">
        <v>608133.49958347797</v>
      </c>
      <c r="O244" s="105" t="n">
        <v>7794148.0364041803</v>
      </c>
    </row>
    <row r="245" ht="30" customHeight="1">
      <c r="A245" s="105" t="s">
        <v>9360</v>
      </c>
      <c r="B245" s="105" t="s">
        <v>7936</v>
      </c>
      <c r="C245" s="30" t="s">
        <v>7935</v>
      </c>
      <c r="D245" s="105" t="s">
        <v>9361</v>
      </c>
      <c r="E245" s="104" t="s">
        <v>7937</v>
      </c>
      <c r="F245" s="104" t="s">
        <v>7938</v>
      </c>
      <c r="G245" s="104" t="s">
        <v>6974</v>
      </c>
      <c r="H245" s="116" t="s">
        <v>7264</v>
      </c>
      <c r="I245" s="104" t="s">
        <v>7939</v>
      </c>
      <c r="J245" s="104" t="s">
        <v>7940</v>
      </c>
      <c r="K245" s="117" t="s">
        <v>7941</v>
      </c>
      <c r="L245" s="105" t="n">
        <v>-19.915514824046699</v>
      </c>
      <c r="M245" s="105" t="n">
        <v>-43.968119314587902</v>
      </c>
      <c r="N245" s="105" t="n">
        <v>608002.09886720695</v>
      </c>
      <c r="O245" s="105" t="n">
        <v>7797536.4713743301</v>
      </c>
    </row>
    <row r="246" ht="30" customHeight="1">
      <c r="A246" s="105" t="s">
        <v>9362</v>
      </c>
      <c r="B246" s="105" t="s">
        <v>7936</v>
      </c>
      <c r="C246" s="30" t="s">
        <v>7935</v>
      </c>
      <c r="D246" s="105" t="s">
        <v>9363</v>
      </c>
      <c r="E246" s="104" t="s">
        <v>7937</v>
      </c>
      <c r="F246" s="104" t="s">
        <v>7938</v>
      </c>
      <c r="G246" s="104" t="s">
        <v>6974</v>
      </c>
      <c r="H246" s="116" t="s">
        <v>7264</v>
      </c>
      <c r="I246" s="104" t="s">
        <v>7939</v>
      </c>
      <c r="J246" s="104" t="s">
        <v>7940</v>
      </c>
      <c r="K246" s="117" t="s">
        <v>7941</v>
      </c>
      <c r="L246" s="105" t="n">
        <v>-19.915514824046699</v>
      </c>
      <c r="M246" s="105" t="n">
        <v>-43.968119314587902</v>
      </c>
      <c r="N246" s="105" t="n">
        <v>608002.09886720695</v>
      </c>
      <c r="O246" s="105" t="n">
        <v>7797536.4713743301</v>
      </c>
    </row>
    <row r="247" ht="30" customHeight="1">
      <c r="A247" s="105" t="s">
        <v>9364</v>
      </c>
      <c r="B247" s="105" t="s">
        <v>7943</v>
      </c>
      <c r="C247" s="30" t="s">
        <v>7942</v>
      </c>
      <c r="D247" s="105" t="s">
        <v>9365</v>
      </c>
      <c r="E247" s="104" t="s">
        <v>7944</v>
      </c>
      <c r="F247" s="104" t="s">
        <v>7284</v>
      </c>
      <c r="G247" s="104" t="s">
        <v>7006</v>
      </c>
      <c r="H247" s="116" t="s">
        <v>7007</v>
      </c>
      <c r="I247" s="104" t="s">
        <v>7945</v>
      </c>
      <c r="J247" s="104" t="s">
        <v>7946</v>
      </c>
      <c r="K247" s="117" t="s">
        <v>7947</v>
      </c>
      <c r="L247" s="105" t="n">
        <v>-19.903134000000001</v>
      </c>
      <c r="M247" s="105" t="n">
        <v>-43.933897000000002</v>
      </c>
      <c r="N247" s="105" t="n">
        <v>611592.98531605594</v>
      </c>
      <c r="O247" s="105" t="n">
        <v>7798884.36011035</v>
      </c>
    </row>
    <row r="248" ht="30" customHeight="1">
      <c r="A248" s="105" t="s">
        <v>9366</v>
      </c>
      <c r="B248" s="105" t="s">
        <v>7943</v>
      </c>
      <c r="C248" s="30" t="s">
        <v>7942</v>
      </c>
      <c r="D248" s="105" t="s">
        <v>9367</v>
      </c>
      <c r="E248" s="104" t="s">
        <v>7944</v>
      </c>
      <c r="F248" s="104" t="s">
        <v>7284</v>
      </c>
      <c r="G248" s="104" t="s">
        <v>7006</v>
      </c>
      <c r="H248" s="116" t="s">
        <v>7007</v>
      </c>
      <c r="I248" s="104" t="s">
        <v>7945</v>
      </c>
      <c r="J248" s="104" t="s">
        <v>7946</v>
      </c>
      <c r="K248" s="117" t="s">
        <v>7947</v>
      </c>
      <c r="L248" s="105" t="n">
        <v>-19.903134000000001</v>
      </c>
      <c r="M248" s="105" t="n">
        <v>-43.933897000000002</v>
      </c>
      <c r="N248" s="105" t="n">
        <v>611592.98531605594</v>
      </c>
      <c r="O248" s="105" t="n">
        <v>7798884.36011035</v>
      </c>
    </row>
    <row r="249" ht="30" customHeight="1">
      <c r="A249" s="105" t="s">
        <v>9368</v>
      </c>
      <c r="B249" s="105" t="s">
        <v>7943</v>
      </c>
      <c r="C249" s="30" t="s">
        <v>7942</v>
      </c>
      <c r="D249" s="105" t="s">
        <v>9369</v>
      </c>
      <c r="E249" s="104" t="s">
        <v>7944</v>
      </c>
      <c r="F249" s="104" t="s">
        <v>7284</v>
      </c>
      <c r="G249" s="104" t="s">
        <v>7006</v>
      </c>
      <c r="H249" s="116" t="s">
        <v>7007</v>
      </c>
      <c r="I249" s="104" t="s">
        <v>7945</v>
      </c>
      <c r="J249" s="104" t="s">
        <v>7946</v>
      </c>
      <c r="K249" s="117" t="s">
        <v>7947</v>
      </c>
      <c r="L249" s="105" t="n">
        <v>-19.903134000000001</v>
      </c>
      <c r="M249" s="105" t="n">
        <v>-43.933897000000002</v>
      </c>
      <c r="N249" s="105" t="n">
        <v>611592.98531605594</v>
      </c>
      <c r="O249" s="105" t="n">
        <v>7798884.36011035</v>
      </c>
    </row>
    <row r="250" ht="30" customHeight="1">
      <c r="A250" s="105" t="s">
        <v>9370</v>
      </c>
      <c r="B250" s="105" t="s">
        <v>7943</v>
      </c>
      <c r="C250" s="30" t="s">
        <v>7942</v>
      </c>
      <c r="D250" s="105" t="s">
        <v>9371</v>
      </c>
      <c r="E250" s="104" t="s">
        <v>7944</v>
      </c>
      <c r="F250" s="104" t="s">
        <v>7284</v>
      </c>
      <c r="G250" s="104" t="s">
        <v>7006</v>
      </c>
      <c r="H250" s="116" t="s">
        <v>7007</v>
      </c>
      <c r="I250" s="104" t="s">
        <v>7945</v>
      </c>
      <c r="J250" s="104" t="s">
        <v>7946</v>
      </c>
      <c r="K250" s="117" t="s">
        <v>7947</v>
      </c>
      <c r="L250" s="105" t="n">
        <v>-19.903134000000001</v>
      </c>
      <c r="M250" s="105" t="n">
        <v>-43.933897000000002</v>
      </c>
      <c r="N250" s="105" t="n">
        <v>611592.98531605594</v>
      </c>
      <c r="O250" s="105" t="n">
        <v>7798884.36011035</v>
      </c>
    </row>
    <row r="251" ht="30" customHeight="1">
      <c r="A251" s="105" t="s">
        <v>9372</v>
      </c>
      <c r="B251" s="105" t="s">
        <v>7943</v>
      </c>
      <c r="C251" s="30" t="s">
        <v>7942</v>
      </c>
      <c r="D251" s="30" t="s">
        <v>9373</v>
      </c>
      <c r="E251" s="104" t="s">
        <v>7944</v>
      </c>
      <c r="F251" s="104" t="s">
        <v>7284</v>
      </c>
      <c r="G251" s="104" t="s">
        <v>7006</v>
      </c>
      <c r="H251" s="116" t="s">
        <v>7007</v>
      </c>
      <c r="I251" s="104" t="s">
        <v>7945</v>
      </c>
      <c r="J251" s="104" t="s">
        <v>7946</v>
      </c>
      <c r="K251" s="117" t="s">
        <v>7947</v>
      </c>
      <c r="L251" s="105" t="n">
        <v>-19.903134000000001</v>
      </c>
      <c r="M251" s="105" t="n">
        <v>-43.933897000000002</v>
      </c>
      <c r="N251" s="105" t="n">
        <v>611592.98531605594</v>
      </c>
      <c r="O251" s="105" t="n">
        <v>7798884.36011035</v>
      </c>
    </row>
    <row r="252" ht="30" customHeight="1">
      <c r="A252" s="105" t="s">
        <v>9374</v>
      </c>
      <c r="B252" s="105" t="s">
        <v>7943</v>
      </c>
      <c r="C252" s="30" t="s">
        <v>7942</v>
      </c>
      <c r="D252" s="30" t="s">
        <v>9375</v>
      </c>
      <c r="E252" s="104" t="s">
        <v>7944</v>
      </c>
      <c r="F252" s="104" t="s">
        <v>7284</v>
      </c>
      <c r="G252" s="104" t="s">
        <v>7006</v>
      </c>
      <c r="H252" s="116" t="s">
        <v>7007</v>
      </c>
      <c r="I252" s="104" t="s">
        <v>7945</v>
      </c>
      <c r="J252" s="104" t="s">
        <v>7946</v>
      </c>
      <c r="K252" s="117" t="s">
        <v>7947</v>
      </c>
      <c r="L252" s="105" t="n">
        <v>-19.903134000000001</v>
      </c>
      <c r="M252" s="105" t="n">
        <v>-43.933897000000002</v>
      </c>
      <c r="N252" s="105" t="n">
        <v>611592.98531605594</v>
      </c>
      <c r="O252" s="105" t="n">
        <v>7798884.36011035</v>
      </c>
    </row>
    <row r="253" ht="30" customHeight="1">
      <c r="A253" s="105" t="s">
        <v>9376</v>
      </c>
      <c r="B253" s="105" t="s">
        <v>7943</v>
      </c>
      <c r="C253" s="30" t="s">
        <v>7942</v>
      </c>
      <c r="D253" s="30" t="s">
        <v>9377</v>
      </c>
      <c r="E253" s="104" t="s">
        <v>7944</v>
      </c>
      <c r="F253" s="104" t="s">
        <v>7284</v>
      </c>
      <c r="G253" s="104" t="s">
        <v>7006</v>
      </c>
      <c r="H253" s="116" t="s">
        <v>7007</v>
      </c>
      <c r="I253" s="104" t="s">
        <v>7945</v>
      </c>
      <c r="J253" s="104" t="s">
        <v>7946</v>
      </c>
      <c r="K253" s="117" t="s">
        <v>7947</v>
      </c>
      <c r="L253" s="105" t="n">
        <v>-19.903134000000001</v>
      </c>
      <c r="M253" s="105" t="n">
        <v>-43.933897000000002</v>
      </c>
      <c r="N253" s="105" t="n">
        <v>611592.98531605594</v>
      </c>
      <c r="O253" s="105" t="n">
        <v>7798884.36011035</v>
      </c>
    </row>
    <row r="254" ht="30" customHeight="1">
      <c r="A254" s="105" t="s">
        <v>9378</v>
      </c>
      <c r="B254" s="105" t="s">
        <v>7943</v>
      </c>
      <c r="C254" s="30" t="s">
        <v>7942</v>
      </c>
      <c r="D254" s="30" t="s">
        <v>9379</v>
      </c>
      <c r="E254" s="104" t="s">
        <v>7944</v>
      </c>
      <c r="F254" s="104" t="s">
        <v>7284</v>
      </c>
      <c r="G254" s="104" t="s">
        <v>7006</v>
      </c>
      <c r="H254" s="116" t="s">
        <v>7007</v>
      </c>
      <c r="I254" s="104" t="s">
        <v>7945</v>
      </c>
      <c r="J254" s="104" t="s">
        <v>7946</v>
      </c>
      <c r="K254" s="117" t="s">
        <v>7947</v>
      </c>
      <c r="L254" s="105" t="n">
        <v>-19.903134000000001</v>
      </c>
      <c r="M254" s="105" t="n">
        <v>-43.933897000000002</v>
      </c>
      <c r="N254" s="105" t="n">
        <v>611592.98531605594</v>
      </c>
      <c r="O254" s="105" t="n">
        <v>7798884.36011035</v>
      </c>
    </row>
    <row r="255" ht="30" customHeight="1">
      <c r="A255" s="105" t="s">
        <v>9380</v>
      </c>
      <c r="B255" s="105" t="s">
        <v>7949</v>
      </c>
      <c r="C255" s="30" t="s">
        <v>7948</v>
      </c>
      <c r="D255" s="30" t="s">
        <v>9381</v>
      </c>
      <c r="E255" s="104" t="s">
        <v>7950</v>
      </c>
      <c r="F255" s="104" t="s">
        <v>7862</v>
      </c>
      <c r="G255" s="104" t="s">
        <v>7077</v>
      </c>
      <c r="H255" s="116" t="s">
        <v>7105</v>
      </c>
      <c r="I255" s="104" t="s">
        <v>7951</v>
      </c>
      <c r="J255" s="104" t="s">
        <v>7952</v>
      </c>
      <c r="K255" s="117"/>
      <c r="L255" s="105" t="n">
        <v>-20.008691014316099</v>
      </c>
      <c r="M255" s="105" t="n">
        <v>-44.035019248050602</v>
      </c>
      <c r="N255" s="105" t="n">
        <v>600940.16966995504</v>
      </c>
      <c r="O255" s="105" t="n">
        <v>7787266.0792285902</v>
      </c>
    </row>
    <row r="256" ht="30" customHeight="1">
      <c r="A256" s="105" t="s">
        <v>9382</v>
      </c>
      <c r="B256" s="105" t="s">
        <v>7954</v>
      </c>
      <c r="C256" s="30" t="s">
        <v>7953</v>
      </c>
      <c r="D256" s="105" t="s">
        <v>9383</v>
      </c>
      <c r="E256" s="104" t="s">
        <v>7955</v>
      </c>
      <c r="F256" s="104" t="s">
        <v>7956</v>
      </c>
      <c r="G256" s="104" t="s">
        <v>7086</v>
      </c>
      <c r="H256" s="116" t="s">
        <v>7112</v>
      </c>
      <c r="I256" s="104" t="s">
        <v>7957</v>
      </c>
      <c r="J256" s="104" t="s">
        <v>7958</v>
      </c>
      <c r="K256" s="117" t="s">
        <v>7959</v>
      </c>
      <c r="L256" s="105" t="n">
        <v>-19.828845000000001</v>
      </c>
      <c r="M256" s="105" t="n">
        <v>-43.987231000000001</v>
      </c>
      <c r="N256" s="105" t="n">
        <v>606059.24536673399</v>
      </c>
      <c r="O256" s="105" t="n">
        <v>7807140.5369904302</v>
      </c>
    </row>
    <row r="257" ht="30" customHeight="1">
      <c r="A257" s="105" t="s">
        <v>9384</v>
      </c>
      <c r="B257" s="105" t="s">
        <v>7961</v>
      </c>
      <c r="C257" s="30" t="s">
        <v>7960</v>
      </c>
      <c r="D257" s="30" t="s">
        <v>9385</v>
      </c>
      <c r="E257" s="104" t="s">
        <v>7962</v>
      </c>
      <c r="F257" s="104" t="s">
        <v>7963</v>
      </c>
      <c r="G257" s="104" t="s">
        <v>7126</v>
      </c>
      <c r="H257" s="116" t="s">
        <v>7718</v>
      </c>
      <c r="I257" s="104" t="s">
        <v>7964</v>
      </c>
      <c r="J257" s="104" t="s">
        <v>7487</v>
      </c>
      <c r="K257" s="117" t="s">
        <v>7965</v>
      </c>
      <c r="L257" s="105" t="n">
        <v>-19.853603319586099</v>
      </c>
      <c r="M257" s="105" t="n">
        <v>-43.930284759266002</v>
      </c>
      <c r="N257" s="105" t="n">
        <v>612005.92962038005</v>
      </c>
      <c r="O257" s="105" t="n">
        <v>7804363.6903817505</v>
      </c>
    </row>
    <row r="258" ht="30" customHeight="1">
      <c r="A258" s="105" t="s">
        <v>9386</v>
      </c>
      <c r="B258" s="105" t="s">
        <v>7967</v>
      </c>
      <c r="C258" s="30" t="s">
        <v>7966</v>
      </c>
      <c r="D258" s="30" t="s">
        <v>9387</v>
      </c>
      <c r="E258" s="104" t="s">
        <v>7968</v>
      </c>
      <c r="F258" s="104" t="s">
        <v>7023</v>
      </c>
      <c r="G258" s="104" t="s">
        <v>7015</v>
      </c>
      <c r="H258" s="116" t="s">
        <v>7024</v>
      </c>
      <c r="I258" s="104" t="s">
        <v>7969</v>
      </c>
      <c r="J258" s="104" t="s">
        <v>7970</v>
      </c>
      <c r="K258" s="117" t="s">
        <v>7971</v>
      </c>
      <c r="L258" s="105" t="n">
        <v>-19.920387000000002</v>
      </c>
      <c r="M258" s="105" t="n">
        <v>-43.875517000000002</v>
      </c>
      <c r="N258" s="105" t="n">
        <v>617691.66449258802</v>
      </c>
      <c r="O258" s="105" t="n">
        <v>7796935.1004060404</v>
      </c>
    </row>
    <row r="259" ht="30" customHeight="1">
      <c r="A259" s="105" t="s">
        <v>9388</v>
      </c>
      <c r="B259" s="105" t="s">
        <v>8840</v>
      </c>
      <c r="C259" s="30" t="s">
        <v>8839</v>
      </c>
      <c r="D259" s="30" t="s">
        <v>9389</v>
      </c>
      <c r="E259" s="104" t="s">
        <v>8841</v>
      </c>
      <c r="F259" s="104" t="s">
        <v>7956</v>
      </c>
      <c r="G259" s="104" t="s">
        <v>7086</v>
      </c>
      <c r="H259" s="116" t="s">
        <v>7112</v>
      </c>
      <c r="I259" s="104" t="s">
        <v>8842</v>
      </c>
      <c r="J259" s="104" t="s">
        <v>8843</v>
      </c>
      <c r="K259" s="117" t="s">
        <v>7959</v>
      </c>
      <c r="L259" s="105" t="n">
        <v>-19.828695</v>
      </c>
      <c r="M259" s="105" t="n">
        <v>-43.986130000000003</v>
      </c>
      <c r="N259" s="105" t="n">
        <v>606174.65332249098</v>
      </c>
      <c r="O259" s="105" t="n">
        <v>7807156.44585412</v>
      </c>
    </row>
    <row r="260" ht="30" customHeight="1">
      <c r="A260" s="105" t="s">
        <v>9390</v>
      </c>
      <c r="B260" s="105" t="s">
        <v>7973</v>
      </c>
      <c r="C260" s="30" t="s">
        <v>7972</v>
      </c>
      <c r="D260" s="30" t="s">
        <v>9391</v>
      </c>
      <c r="E260" s="104" t="s">
        <v>7974</v>
      </c>
      <c r="F260" s="104" t="s">
        <v>7717</v>
      </c>
      <c r="G260" s="104" t="s">
        <v>7126</v>
      </c>
      <c r="H260" s="116" t="s">
        <v>7718</v>
      </c>
      <c r="I260" s="104" t="s">
        <v>7975</v>
      </c>
      <c r="J260" s="104" t="s">
        <v>7976</v>
      </c>
      <c r="K260" s="117" t="s">
        <v>7977</v>
      </c>
      <c r="L260" s="105" t="n">
        <v>-19.856858258778502</v>
      </c>
      <c r="M260" s="105" t="n">
        <v>-43.932716790723298</v>
      </c>
      <c r="N260" s="105" t="n">
        <v>611748.97836702096</v>
      </c>
      <c r="O260" s="105" t="n">
        <v>7804005.06939389</v>
      </c>
    </row>
    <row r="261" ht="30" customHeight="1">
      <c r="A261" s="105" t="s">
        <v>9392</v>
      </c>
      <c r="B261" s="105" t="s">
        <v>7973</v>
      </c>
      <c r="C261" s="30" t="s">
        <v>7972</v>
      </c>
      <c r="D261" s="30" t="s">
        <v>9393</v>
      </c>
      <c r="E261" s="104" t="s">
        <v>7974</v>
      </c>
      <c r="F261" s="104" t="s">
        <v>7717</v>
      </c>
      <c r="G261" s="104" t="s">
        <v>7126</v>
      </c>
      <c r="H261" s="116" t="s">
        <v>7718</v>
      </c>
      <c r="I261" s="104" t="s">
        <v>7975</v>
      </c>
      <c r="J261" s="104" t="s">
        <v>7976</v>
      </c>
      <c r="K261" s="117" t="s">
        <v>7977</v>
      </c>
      <c r="L261" s="105" t="n">
        <v>-19.856858258778502</v>
      </c>
      <c r="M261" s="105" t="n">
        <v>-43.932716790723298</v>
      </c>
      <c r="N261" s="105" t="n">
        <v>611748.97836702096</v>
      </c>
      <c r="O261" s="105" t="n">
        <v>7804005.06939389</v>
      </c>
    </row>
    <row r="262" ht="30" customHeight="1">
      <c r="A262" s="105" t="s">
        <v>9394</v>
      </c>
      <c r="B262" s="105" t="s">
        <v>7979</v>
      </c>
      <c r="C262" s="30" t="s">
        <v>7978</v>
      </c>
      <c r="D262" s="105" t="s">
        <v>9395</v>
      </c>
      <c r="E262" s="104" t="s">
        <v>7978</v>
      </c>
      <c r="F262" s="104" t="s">
        <v>7980</v>
      </c>
      <c r="G262" s="104" t="s">
        <v>7160</v>
      </c>
      <c r="H262" s="116" t="s">
        <v>7161</v>
      </c>
      <c r="I262" s="104" t="s">
        <v>7981</v>
      </c>
      <c r="J262" s="104"/>
      <c r="K262" s="117"/>
      <c r="L262" s="105" t="n">
        <v>-19.9393909089357</v>
      </c>
      <c r="M262" s="105" t="n">
        <v>-43.935902959997698</v>
      </c>
      <c r="N262" s="105" t="n">
        <v>611357.6</v>
      </c>
      <c r="O262" s="105" t="n">
        <v>7794873</v>
      </c>
    </row>
    <row r="263" ht="30" customHeight="1">
      <c r="A263" s="105" t="s">
        <v>9396</v>
      </c>
      <c r="B263" s="105" t="s">
        <v>7983</v>
      </c>
      <c r="C263" s="30" t="s">
        <v>7982</v>
      </c>
      <c r="D263" s="30" t="s">
        <v>9397</v>
      </c>
      <c r="E263" s="104" t="s">
        <v>7982</v>
      </c>
      <c r="F263" s="104" t="s">
        <v>7513</v>
      </c>
      <c r="G263" s="104" t="s">
        <v>6974</v>
      </c>
      <c r="H263" s="116" t="s">
        <v>7244</v>
      </c>
      <c r="I263" s="104" t="s">
        <v>7984</v>
      </c>
      <c r="J263" s="104" t="s">
        <v>7985</v>
      </c>
      <c r="K263" s="117" t="s">
        <v>7986</v>
      </c>
      <c r="L263" s="105" t="n">
        <v>-19.898520000000001</v>
      </c>
      <c r="M263" s="105" t="n">
        <v>-43.985047999999999</v>
      </c>
      <c r="N263" s="105" t="n">
        <v>606241.45426676504</v>
      </c>
      <c r="O263" s="105" t="n">
        <v>7799428.1099207401</v>
      </c>
    </row>
    <row r="264" ht="30" customHeight="1">
      <c r="A264" s="105" t="s">
        <v>9398</v>
      </c>
      <c r="B264" s="105" t="s">
        <v>7988</v>
      </c>
      <c r="C264" s="30" t="s">
        <v>7987</v>
      </c>
      <c r="D264" s="30" t="s">
        <v>9399</v>
      </c>
      <c r="E264" s="104" t="s">
        <v>7989</v>
      </c>
      <c r="F264" s="104" t="s">
        <v>7990</v>
      </c>
      <c r="G264" s="104" t="s">
        <v>7006</v>
      </c>
      <c r="H264" s="116" t="s">
        <v>7348</v>
      </c>
      <c r="I264" s="104" t="s">
        <v>7991</v>
      </c>
      <c r="J264" s="104" t="s">
        <v>7992</v>
      </c>
      <c r="K264" s="117" t="s">
        <v>7993</v>
      </c>
      <c r="L264" s="105" t="n">
        <v>-19.837928000000002</v>
      </c>
      <c r="M264" s="105" t="n">
        <v>-43.888429000000002</v>
      </c>
      <c r="N264" s="105" t="n">
        <v>616400.33710126102</v>
      </c>
      <c r="O264" s="105" t="n">
        <v>7806070.2059325101</v>
      </c>
    </row>
    <row r="265" ht="30" customHeight="1">
      <c r="A265" s="105" t="s">
        <v>9400</v>
      </c>
      <c r="B265" s="105" t="s">
        <v>7995</v>
      </c>
      <c r="C265" s="30" t="s">
        <v>7994</v>
      </c>
      <c r="D265" s="30" t="s">
        <v>9401</v>
      </c>
      <c r="E265" s="104" t="s">
        <v>7996</v>
      </c>
      <c r="F265" s="104" t="s">
        <v>7235</v>
      </c>
      <c r="G265" s="104" t="s">
        <v>7006</v>
      </c>
      <c r="H265" s="116" t="s">
        <v>7236</v>
      </c>
      <c r="I265" s="104" t="s">
        <v>7997</v>
      </c>
      <c r="J265" s="104" t="s">
        <v>7998</v>
      </c>
      <c r="K265" s="117" t="s">
        <v>7999</v>
      </c>
      <c r="L265" s="105" t="n">
        <v>-19.885778999999999</v>
      </c>
      <c r="M265" s="105" t="n">
        <v>-43.931950999999998</v>
      </c>
      <c r="N265" s="105" t="n">
        <v>611808.88392332802</v>
      </c>
      <c r="O265" s="105" t="n">
        <v>7800803.80816082</v>
      </c>
    </row>
    <row r="266" ht="30" customHeight="1">
      <c r="A266" s="105" t="s">
        <v>9402</v>
      </c>
      <c r="B266" s="105" t="s">
        <v>8001</v>
      </c>
      <c r="C266" s="30" t="s">
        <v>8000</v>
      </c>
      <c r="D266" s="30" t="s">
        <v>9403</v>
      </c>
      <c r="E266" s="104" t="s">
        <v>8002</v>
      </c>
      <c r="F266" s="104" t="s">
        <v>7111</v>
      </c>
      <c r="G266" s="104" t="s">
        <v>7086</v>
      </c>
      <c r="H266" s="116" t="s">
        <v>7112</v>
      </c>
      <c r="I266" s="104" t="s">
        <v>8003</v>
      </c>
      <c r="J266" s="104" t="s">
        <v>6977</v>
      </c>
      <c r="K266" s="117" t="s">
        <v>8004</v>
      </c>
      <c r="L266" s="105" t="n">
        <v>-19.8165804480454</v>
      </c>
      <c r="M266" s="105" t="n">
        <v>-43.997884915707601</v>
      </c>
      <c r="N266" s="105" t="n">
        <v>604951.50813593995</v>
      </c>
      <c r="O266" s="105" t="n">
        <v>7808504.5220358698</v>
      </c>
    </row>
    <row r="267" ht="30" customHeight="1">
      <c r="A267" s="105" t="s">
        <v>9404</v>
      </c>
      <c r="B267" s="105" t="s">
        <v>8001</v>
      </c>
      <c r="C267" s="30" t="s">
        <v>8000</v>
      </c>
      <c r="D267" s="30" t="s">
        <v>9405</v>
      </c>
      <c r="E267" s="104" t="s">
        <v>8002</v>
      </c>
      <c r="F267" s="104" t="s">
        <v>7111</v>
      </c>
      <c r="G267" s="104" t="s">
        <v>7086</v>
      </c>
      <c r="H267" s="116" t="s">
        <v>7112</v>
      </c>
      <c r="I267" s="104" t="s">
        <v>8003</v>
      </c>
      <c r="J267" s="104" t="s">
        <v>6977</v>
      </c>
      <c r="K267" s="117" t="s">
        <v>8004</v>
      </c>
      <c r="L267" s="105" t="n">
        <v>-19.8165804480454</v>
      </c>
      <c r="M267" s="105" t="n">
        <v>-43.997884915707601</v>
      </c>
      <c r="N267" s="105" t="n">
        <v>604951.50813593995</v>
      </c>
      <c r="O267" s="105" t="n">
        <v>7808504.5220358698</v>
      </c>
    </row>
    <row r="268" ht="30" customHeight="1">
      <c r="A268" s="105" t="s">
        <v>9406</v>
      </c>
      <c r="B268" s="105" t="s">
        <v>8006</v>
      </c>
      <c r="C268" s="30" t="s">
        <v>8005</v>
      </c>
      <c r="D268" s="30" t="s">
        <v>9407</v>
      </c>
      <c r="E268" s="104" t="s">
        <v>8007</v>
      </c>
      <c r="F268" s="104" t="s">
        <v>8008</v>
      </c>
      <c r="G268" s="104" t="s">
        <v>7126</v>
      </c>
      <c r="H268" s="116" t="s">
        <v>7718</v>
      </c>
      <c r="I268" s="104" t="s">
        <v>8009</v>
      </c>
      <c r="J268" s="104" t="s">
        <v>7335</v>
      </c>
      <c r="K268" s="117" t="s">
        <v>8010</v>
      </c>
      <c r="L268" s="105" t="n">
        <v>-19.850646058136199</v>
      </c>
      <c r="M268" s="105" t="n">
        <v>-43.927307277737199</v>
      </c>
      <c r="N268" s="105" t="n">
        <v>612319.80000000005</v>
      </c>
      <c r="O268" s="105" t="n">
        <v>7804689</v>
      </c>
    </row>
    <row r="269" ht="30" customHeight="1">
      <c r="A269" s="105" t="s">
        <v>9408</v>
      </c>
      <c r="B269" s="105" t="s">
        <v>8025</v>
      </c>
      <c r="C269" s="30" t="s">
        <v>8024</v>
      </c>
      <c r="D269" s="30" t="s">
        <v>9409</v>
      </c>
      <c r="E269" s="104" t="s">
        <v>8026</v>
      </c>
      <c r="F269" s="104" t="s">
        <v>8027</v>
      </c>
      <c r="G269" s="104" t="s">
        <v>6983</v>
      </c>
      <c r="H269" s="116" t="s">
        <v>7228</v>
      </c>
      <c r="I269" s="104" t="s">
        <v>8028</v>
      </c>
      <c r="J269" s="104" t="s">
        <v>7422</v>
      </c>
      <c r="K269" s="117" t="s">
        <v>8029</v>
      </c>
      <c r="L269" s="105" t="n">
        <v>-19.937666351493998</v>
      </c>
      <c r="M269" s="105" t="n">
        <v>-43.969210487084801</v>
      </c>
      <c r="N269" s="105" t="n">
        <v>607872.84794741101</v>
      </c>
      <c r="O269" s="105" t="n">
        <v>7795085.5972120902</v>
      </c>
    </row>
    <row r="270" ht="30" customHeight="1">
      <c r="A270" s="105" t="s">
        <v>9410</v>
      </c>
      <c r="B270" s="105" t="s">
        <v>8031</v>
      </c>
      <c r="C270" s="30" t="s">
        <v>8030</v>
      </c>
      <c r="D270" s="30" t="s">
        <v>9411</v>
      </c>
      <c r="E270" s="104" t="s">
        <v>8032</v>
      </c>
      <c r="F270" s="104" t="s">
        <v>7931</v>
      </c>
      <c r="G270" s="104" t="s">
        <v>7077</v>
      </c>
      <c r="H270" s="116" t="s">
        <v>7588</v>
      </c>
      <c r="I270" s="104" t="s">
        <v>8033</v>
      </c>
      <c r="J270" s="104" t="s">
        <v>8034</v>
      </c>
      <c r="K270" s="117" t="s">
        <v>8035</v>
      </c>
      <c r="L270" s="105" t="n">
        <v>-20.0103151975655</v>
      </c>
      <c r="M270" s="105" t="n">
        <v>-44.0147863405533</v>
      </c>
      <c r="N270" s="105" t="n">
        <v>603055.69999999995</v>
      </c>
      <c r="O270" s="105" t="n">
        <v>7787074</v>
      </c>
    </row>
    <row r="271" ht="30" customHeight="1">
      <c r="A271" s="105" t="s">
        <v>9412</v>
      </c>
      <c r="B271" s="105" t="s">
        <v>8037</v>
      </c>
      <c r="C271" s="30" t="s">
        <v>8036</v>
      </c>
      <c r="D271" s="30" t="s">
        <v>9413</v>
      </c>
      <c r="E271" s="104" t="s">
        <v>8038</v>
      </c>
      <c r="F271" s="104" t="s">
        <v>7622</v>
      </c>
      <c r="G271" s="104" t="s">
        <v>7015</v>
      </c>
      <c r="H271" s="116" t="s">
        <v>7024</v>
      </c>
      <c r="I271" s="104" t="s">
        <v>7842</v>
      </c>
      <c r="J271" s="104" t="s">
        <v>8039</v>
      </c>
      <c r="K271" s="117" t="s">
        <v>7844</v>
      </c>
      <c r="L271" s="105" t="n">
        <v>-19.921426504457902</v>
      </c>
      <c r="M271" s="105" t="n">
        <v>-43.881917307141102</v>
      </c>
      <c r="N271" s="105" t="n">
        <v>617020.95874346595</v>
      </c>
      <c r="O271" s="105" t="n">
        <v>7796824.5205375599</v>
      </c>
    </row>
    <row r="272" ht="30" customHeight="1">
      <c r="A272" s="105" t="s">
        <v>9414</v>
      </c>
      <c r="B272" s="105" t="s">
        <v>8041</v>
      </c>
      <c r="C272" s="30" t="s">
        <v>8040</v>
      </c>
      <c r="D272" s="105" t="s">
        <v>9415</v>
      </c>
      <c r="E272" s="104" t="s">
        <v>8042</v>
      </c>
      <c r="F272" s="104" t="s">
        <v>7085</v>
      </c>
      <c r="G272" s="104" t="s">
        <v>7086</v>
      </c>
      <c r="H272" s="116" t="s">
        <v>7087</v>
      </c>
      <c r="I272" s="104" t="s">
        <v>8043</v>
      </c>
      <c r="J272" s="104" t="s">
        <v>8044</v>
      </c>
      <c r="K272" s="117" t="s">
        <v>8045</v>
      </c>
      <c r="L272" s="105" t="n">
        <v>-19.819976833105802</v>
      </c>
      <c r="M272" s="105" t="n">
        <v>-43.954262035577401</v>
      </c>
      <c r="N272" s="105" t="n">
        <v>609518.19112654799</v>
      </c>
      <c r="O272" s="105" t="n">
        <v>7808100.9532289999</v>
      </c>
    </row>
    <row r="273" ht="30" customHeight="1">
      <c r="A273" s="105" t="s">
        <v>9416</v>
      </c>
      <c r="B273" s="105" t="s">
        <v>8047</v>
      </c>
      <c r="C273" s="30" t="s">
        <v>8046</v>
      </c>
      <c r="D273" s="105" t="s">
        <v>9417</v>
      </c>
      <c r="E273" s="104" t="s">
        <v>8048</v>
      </c>
      <c r="F273" s="104" t="s">
        <v>8049</v>
      </c>
      <c r="G273" s="104" t="s">
        <v>6983</v>
      </c>
      <c r="H273" s="116" t="s">
        <v>7887</v>
      </c>
      <c r="I273" s="104" t="s">
        <v>8050</v>
      </c>
      <c r="J273" s="104" t="s">
        <v>8051</v>
      </c>
      <c r="K273" s="117" t="s">
        <v>8052</v>
      </c>
      <c r="L273" s="105" t="n">
        <v>-19.952685413781101</v>
      </c>
      <c r="M273" s="105" t="n">
        <v>-43.964542268596503</v>
      </c>
      <c r="N273" s="105" t="n">
        <v>608351.17300789501</v>
      </c>
      <c r="O273" s="105" t="n">
        <v>7793420.3838518998</v>
      </c>
    </row>
    <row r="274" ht="30" customHeight="1">
      <c r="A274" s="105" t="s">
        <v>9418</v>
      </c>
      <c r="B274" s="105" t="s">
        <v>8012</v>
      </c>
      <c r="C274" s="30" t="s">
        <v>8011</v>
      </c>
      <c r="D274" s="30" t="s">
        <v>9419</v>
      </c>
      <c r="E274" s="104" t="s">
        <v>8013</v>
      </c>
      <c r="F274" s="104" t="s">
        <v>8014</v>
      </c>
      <c r="G274" s="104" t="s">
        <v>7086</v>
      </c>
      <c r="H274" s="116" t="s">
        <v>7112</v>
      </c>
      <c r="I274" s="104" t="s">
        <v>8015</v>
      </c>
      <c r="J274" s="104" t="s">
        <v>8016</v>
      </c>
      <c r="K274" s="117"/>
      <c r="L274" s="105" t="n">
        <v>-19.820309741208401</v>
      </c>
      <c r="M274" s="105" t="n">
        <v>-43.991798208838503</v>
      </c>
      <c r="N274" s="105" t="n">
        <v>605586.55724676896</v>
      </c>
      <c r="O274" s="105" t="n">
        <v>7808088.0053935898</v>
      </c>
    </row>
    <row r="275" ht="45" customHeight="1">
      <c r="A275" s="105" t="s">
        <v>9420</v>
      </c>
      <c r="B275" s="105" t="s">
        <v>8018</v>
      </c>
      <c r="C275" s="30" t="s">
        <v>8017</v>
      </c>
      <c r="D275" s="30" t="s">
        <v>9421</v>
      </c>
      <c r="E275" s="104" t="s">
        <v>8019</v>
      </c>
      <c r="F275" s="104" t="s">
        <v>8020</v>
      </c>
      <c r="G275" s="104" t="s">
        <v>6983</v>
      </c>
      <c r="H275" s="116" t="s">
        <v>7032</v>
      </c>
      <c r="I275" s="104" t="s">
        <v>8021</v>
      </c>
      <c r="J275" s="104" t="s">
        <v>8022</v>
      </c>
      <c r="K275" s="117" t="s">
        <v>8023</v>
      </c>
      <c r="L275" s="105" t="n">
        <v>-19.956708903043701</v>
      </c>
      <c r="M275" s="105" t="n">
        <v>-43.968366117485097</v>
      </c>
      <c r="N275" s="105" t="n">
        <v>607948.27221449395</v>
      </c>
      <c r="O275" s="105" t="n">
        <v>7792977.5545650003</v>
      </c>
    </row>
    <row r="276" ht="30" customHeight="1">
      <c r="A276" s="105" t="s">
        <v>9422</v>
      </c>
      <c r="B276" s="105" t="s">
        <v>8054</v>
      </c>
      <c r="C276" s="30" t="s">
        <v>8053</v>
      </c>
      <c r="D276" s="30" t="s">
        <v>9423</v>
      </c>
      <c r="E276" s="104" t="s">
        <v>8055</v>
      </c>
      <c r="F276" s="104" t="s">
        <v>8056</v>
      </c>
      <c r="G276" s="104" t="s">
        <v>6983</v>
      </c>
      <c r="H276" s="116" t="s">
        <v>7299</v>
      </c>
      <c r="I276" s="104" t="s">
        <v>8057</v>
      </c>
      <c r="J276" s="104" t="s">
        <v>8058</v>
      </c>
      <c r="K276" s="117" t="s">
        <v>8059</v>
      </c>
      <c r="L276" s="105" t="n">
        <v>-19.950807000000001</v>
      </c>
      <c r="M276" s="105" t="n">
        <v>-43.979062999999996</v>
      </c>
      <c r="N276" s="105" t="n">
        <v>606832.85045172495</v>
      </c>
      <c r="O276" s="105" t="n">
        <v>7793637.5801087199</v>
      </c>
    </row>
    <row r="277" ht="30" customHeight="1">
      <c r="A277" s="105" t="s">
        <v>9424</v>
      </c>
      <c r="B277" s="105" t="s">
        <v>8054</v>
      </c>
      <c r="C277" s="30" t="s">
        <v>8053</v>
      </c>
      <c r="D277" s="30" t="s">
        <v>9425</v>
      </c>
      <c r="E277" s="104" t="s">
        <v>8055</v>
      </c>
      <c r="F277" s="104" t="s">
        <v>8056</v>
      </c>
      <c r="G277" s="104" t="s">
        <v>6983</v>
      </c>
      <c r="H277" s="116" t="s">
        <v>7299</v>
      </c>
      <c r="I277" s="104" t="s">
        <v>8057</v>
      </c>
      <c r="J277" s="104" t="s">
        <v>8058</v>
      </c>
      <c r="K277" s="117" t="s">
        <v>8059</v>
      </c>
      <c r="L277" s="105" t="n">
        <v>-19.950807000000001</v>
      </c>
      <c r="M277" s="105" t="n">
        <v>-43.979062999999996</v>
      </c>
      <c r="N277" s="105" t="n">
        <v>606832.85045172495</v>
      </c>
      <c r="O277" s="105" t="n">
        <v>7793637.5801087199</v>
      </c>
    </row>
    <row r="278" ht="30" customHeight="1">
      <c r="A278" s="105" t="s">
        <v>9426</v>
      </c>
      <c r="B278" s="105" t="s">
        <v>8054</v>
      </c>
      <c r="C278" s="30" t="s">
        <v>8053</v>
      </c>
      <c r="D278" s="30" t="s">
        <v>9427</v>
      </c>
      <c r="E278" s="104" t="s">
        <v>8055</v>
      </c>
      <c r="F278" s="104" t="s">
        <v>8056</v>
      </c>
      <c r="G278" s="104" t="s">
        <v>6983</v>
      </c>
      <c r="H278" s="116" t="s">
        <v>7299</v>
      </c>
      <c r="I278" s="104" t="s">
        <v>8057</v>
      </c>
      <c r="J278" s="104" t="s">
        <v>8058</v>
      </c>
      <c r="K278" s="117" t="s">
        <v>8059</v>
      </c>
      <c r="L278" s="105" t="n">
        <v>-19.950807000000001</v>
      </c>
      <c r="M278" s="105" t="n">
        <v>-43.979062999999996</v>
      </c>
      <c r="N278" s="105" t="n">
        <v>606832.85045172495</v>
      </c>
      <c r="O278" s="105" t="n">
        <v>7793637.5801087199</v>
      </c>
    </row>
    <row r="279" ht="30" customHeight="1">
      <c r="A279" s="105" t="s">
        <v>9428</v>
      </c>
      <c r="B279" s="105" t="s">
        <v>8061</v>
      </c>
      <c r="C279" s="30" t="s">
        <v>8060</v>
      </c>
      <c r="D279" s="30" t="s">
        <v>9429</v>
      </c>
      <c r="E279" s="104" t="s">
        <v>8062</v>
      </c>
      <c r="F279" s="104" t="s">
        <v>8020</v>
      </c>
      <c r="G279" s="104" t="s">
        <v>6983</v>
      </c>
      <c r="H279" s="116" t="s">
        <v>7032</v>
      </c>
      <c r="I279" s="104" t="s">
        <v>8063</v>
      </c>
      <c r="J279" s="104" t="s">
        <v>8064</v>
      </c>
      <c r="K279" s="117" t="s">
        <v>8065</v>
      </c>
      <c r="L279" s="105" t="n">
        <v>-19.955358559247699</v>
      </c>
      <c r="M279" s="105" t="n">
        <v>-43.969127678658701</v>
      </c>
      <c r="N279" s="105" t="n">
        <v>607869.49501880503</v>
      </c>
      <c r="O279" s="105" t="n">
        <v>7793127.4911909401</v>
      </c>
    </row>
    <row r="280" ht="30" customHeight="1">
      <c r="A280" s="105" t="s">
        <v>9430</v>
      </c>
      <c r="B280" s="105" t="s">
        <v>8067</v>
      </c>
      <c r="C280" s="30" t="s">
        <v>8066</v>
      </c>
      <c r="D280" s="30" t="s">
        <v>9431</v>
      </c>
      <c r="E280" s="104" t="s">
        <v>8068</v>
      </c>
      <c r="F280" s="104" t="s">
        <v>7104</v>
      </c>
      <c r="G280" s="104" t="s">
        <v>7077</v>
      </c>
      <c r="H280" s="116" t="s">
        <v>7105</v>
      </c>
      <c r="I280" s="104" t="s">
        <v>8069</v>
      </c>
      <c r="J280" s="104" t="s">
        <v>8070</v>
      </c>
      <c r="K280" s="117" t="s">
        <v>8071</v>
      </c>
      <c r="L280" s="105" t="n">
        <v>-19.996338999999999</v>
      </c>
      <c r="M280" s="105" t="n">
        <v>-44.030130999999997</v>
      </c>
      <c r="N280" s="105" t="n">
        <v>601459.45024156</v>
      </c>
      <c r="O280" s="105" t="n">
        <v>7788630.1500347499</v>
      </c>
    </row>
    <row r="281" ht="30" customHeight="1">
      <c r="A281" s="105" t="s">
        <v>9432</v>
      </c>
      <c r="B281" s="105" t="s">
        <v>8073</v>
      </c>
      <c r="C281" s="30" t="s">
        <v>8072</v>
      </c>
      <c r="D281" s="30" t="s">
        <v>9433</v>
      </c>
      <c r="E281" s="104" t="s">
        <v>8074</v>
      </c>
      <c r="F281" s="104" t="s">
        <v>8014</v>
      </c>
      <c r="G281" s="104" t="s">
        <v>7086</v>
      </c>
      <c r="H281" s="116" t="s">
        <v>7112</v>
      </c>
      <c r="I281" s="104" t="s">
        <v>8075</v>
      </c>
      <c r="J281" s="104" t="s">
        <v>7342</v>
      </c>
      <c r="K281" s="117" t="s">
        <v>8076</v>
      </c>
      <c r="L281" s="105" t="n">
        <v>-19.805011</v>
      </c>
      <c r="M281" s="105" t="n">
        <v>-43.983133000000002</v>
      </c>
      <c r="N281" s="105" t="n">
        <v>606504.30347498402</v>
      </c>
      <c r="O281" s="105" t="n">
        <v>7809775.6966000404</v>
      </c>
    </row>
    <row r="282" ht="30" customHeight="1">
      <c r="A282" s="105" t="s">
        <v>9434</v>
      </c>
      <c r="B282" s="105" t="s">
        <v>8078</v>
      </c>
      <c r="C282" s="30" t="s">
        <v>8077</v>
      </c>
      <c r="D282" s="30" t="s">
        <v>9435</v>
      </c>
      <c r="E282" s="104" t="s">
        <v>8079</v>
      </c>
      <c r="F282" s="104" t="s">
        <v>7412</v>
      </c>
      <c r="G282" s="104" t="s">
        <v>7006</v>
      </c>
      <c r="H282" s="116" t="s">
        <v>7413</v>
      </c>
      <c r="I282" s="104" t="s">
        <v>8080</v>
      </c>
      <c r="J282" s="104" t="s">
        <v>8081</v>
      </c>
      <c r="K282" s="117" t="s">
        <v>8082</v>
      </c>
      <c r="L282" s="105" t="n">
        <v>-19.874196999999999</v>
      </c>
      <c r="M282" s="105" t="n">
        <v>-43.913795</v>
      </c>
      <c r="N282" s="105" t="n">
        <v>613717.98696404195</v>
      </c>
      <c r="O282" s="105" t="n">
        <v>7802073.4768749299</v>
      </c>
    </row>
    <row r="283" ht="30" customHeight="1">
      <c r="A283" s="105" t="s">
        <v>9436</v>
      </c>
      <c r="B283" s="105" t="s">
        <v>8084</v>
      </c>
      <c r="C283" s="30" t="s">
        <v>8083</v>
      </c>
      <c r="D283" s="30" t="s">
        <v>9437</v>
      </c>
      <c r="E283" s="104" t="s">
        <v>8085</v>
      </c>
      <c r="F283" s="104" t="s">
        <v>8086</v>
      </c>
      <c r="G283" s="104" t="s">
        <v>6983</v>
      </c>
      <c r="H283" s="116" t="s">
        <v>7887</v>
      </c>
      <c r="I283" s="104" t="s">
        <v>8087</v>
      </c>
      <c r="J283" s="104" t="s">
        <v>8088</v>
      </c>
      <c r="K283" s="117" t="s">
        <v>8089</v>
      </c>
      <c r="L283" s="105" t="n">
        <v>-19.9439779276201</v>
      </c>
      <c r="M283" s="105" t="n">
        <v>-43.9634416871708</v>
      </c>
      <c r="N283" s="105" t="n">
        <v>608472.29727746104</v>
      </c>
      <c r="O283" s="105" t="n">
        <v>7794383.3597903196</v>
      </c>
    </row>
    <row r="284" ht="30" customHeight="1">
      <c r="A284" s="105" t="s">
        <v>9438</v>
      </c>
      <c r="B284" s="105" t="s">
        <v>8091</v>
      </c>
      <c r="C284" s="30" t="s">
        <v>8090</v>
      </c>
      <c r="D284" s="30" t="s">
        <v>9439</v>
      </c>
      <c r="E284" s="104" t="s">
        <v>8092</v>
      </c>
      <c r="F284" s="104" t="s">
        <v>7862</v>
      </c>
      <c r="G284" s="104" t="s">
        <v>7077</v>
      </c>
      <c r="H284" s="116" t="s">
        <v>7105</v>
      </c>
      <c r="I284" s="104" t="s">
        <v>8093</v>
      </c>
      <c r="J284" s="104" t="s">
        <v>8094</v>
      </c>
      <c r="K284" s="117" t="s">
        <v>8095</v>
      </c>
      <c r="L284" s="105" t="n">
        <v>-20.008438684273099</v>
      </c>
      <c r="M284" s="105" t="n">
        <v>-44.032663501008798</v>
      </c>
      <c r="N284" s="105" t="n">
        <v>601186.76795109897</v>
      </c>
      <c r="O284" s="105" t="n">
        <v>7787292.5831474196</v>
      </c>
    </row>
    <row r="285" ht="30" customHeight="1">
      <c r="A285" s="105" t="s">
        <v>9440</v>
      </c>
      <c r="B285" s="105" t="s">
        <v>8097</v>
      </c>
      <c r="C285" s="30" t="s">
        <v>8096</v>
      </c>
      <c r="D285" s="105" t="s">
        <v>9441</v>
      </c>
      <c r="E285" s="104" t="s">
        <v>8098</v>
      </c>
      <c r="F285" s="104" t="s">
        <v>8099</v>
      </c>
      <c r="G285" s="104" t="s">
        <v>7126</v>
      </c>
      <c r="H285" s="116" t="s">
        <v>7449</v>
      </c>
      <c r="I285" s="104" t="s">
        <v>8100</v>
      </c>
      <c r="J285" s="104" t="s">
        <v>8101</v>
      </c>
      <c r="K285" s="117" t="s">
        <v>8102</v>
      </c>
      <c r="L285" s="105" t="n">
        <v>-19.829576148964598</v>
      </c>
      <c r="M285" s="105" t="n">
        <v>-43.946757841748699</v>
      </c>
      <c r="N285" s="105" t="n">
        <v>610297.53578695597</v>
      </c>
      <c r="O285" s="105" t="n">
        <v>7807033.6926733898</v>
      </c>
    </row>
    <row r="286" ht="30" customHeight="1">
      <c r="A286" s="105" t="s">
        <v>9442</v>
      </c>
      <c r="B286" s="105" t="s">
        <v>8104</v>
      </c>
      <c r="C286" s="30" t="s">
        <v>8103</v>
      </c>
      <c r="D286" s="30" t="s">
        <v>9443</v>
      </c>
      <c r="E286" s="104" t="s">
        <v>8105</v>
      </c>
      <c r="F286" s="104" t="s">
        <v>7867</v>
      </c>
      <c r="G286" s="104" t="s">
        <v>6983</v>
      </c>
      <c r="H286" s="116" t="s">
        <v>7228</v>
      </c>
      <c r="I286" s="104" t="s">
        <v>8106</v>
      </c>
      <c r="J286" s="104" t="s">
        <v>7843</v>
      </c>
      <c r="K286" s="117" t="s">
        <v>8107</v>
      </c>
      <c r="L286" s="105" t="n">
        <v>-19.954408000000001</v>
      </c>
      <c r="M286" s="105" t="n">
        <v>-43.969051999999998</v>
      </c>
      <c r="N286" s="105" t="n">
        <v>607878.06071385497</v>
      </c>
      <c r="O286" s="105" t="n">
        <v>7793232.6440634998</v>
      </c>
    </row>
    <row r="287" ht="30" customHeight="1">
      <c r="A287" s="105" t="s">
        <v>9444</v>
      </c>
      <c r="B287" s="105" t="s">
        <v>8109</v>
      </c>
      <c r="C287" s="30" t="s">
        <v>8108</v>
      </c>
      <c r="D287" s="105" t="s">
        <v>9445</v>
      </c>
      <c r="E287" s="104" t="s">
        <v>8110</v>
      </c>
      <c r="F287" s="104" t="s">
        <v>8111</v>
      </c>
      <c r="G287" s="104" t="s">
        <v>6974</v>
      </c>
      <c r="H287" s="116" t="s">
        <v>7047</v>
      </c>
      <c r="I287" s="104" t="s">
        <v>8112</v>
      </c>
      <c r="J287" s="104" t="s">
        <v>8113</v>
      </c>
      <c r="K287" s="117" t="s">
        <v>7502</v>
      </c>
      <c r="L287" s="105" t="n">
        <v>-19.909751</v>
      </c>
      <c r="M287" s="105" t="n">
        <v>-44.008965000000003</v>
      </c>
      <c r="N287" s="105" t="n">
        <v>603730.39484541398</v>
      </c>
      <c r="O287" s="105" t="n">
        <v>7798200.0760732098</v>
      </c>
    </row>
    <row r="288" ht="30" customHeight="1">
      <c r="A288" s="105" t="s">
        <v>9446</v>
      </c>
      <c r="B288" s="105" t="s">
        <v>8115</v>
      </c>
      <c r="C288" s="30" t="s">
        <v>8114</v>
      </c>
      <c r="D288" s="30" t="s">
        <v>9447</v>
      </c>
      <c r="E288" s="104" t="s">
        <v>8116</v>
      </c>
      <c r="F288" s="104" t="s">
        <v>8117</v>
      </c>
      <c r="G288" s="104" t="s">
        <v>7126</v>
      </c>
      <c r="H288" s="116" t="s">
        <v>8118</v>
      </c>
      <c r="I288" s="104" t="s">
        <v>8119</v>
      </c>
      <c r="J288" s="104" t="s">
        <v>8120</v>
      </c>
      <c r="K288" s="117" t="s">
        <v>8121</v>
      </c>
      <c r="L288" s="105" t="n">
        <v>-19.804650411316501</v>
      </c>
      <c r="M288" s="105" t="n">
        <v>-43.927967334020401</v>
      </c>
      <c r="N288" s="105" t="n">
        <v>612282.99064565997</v>
      </c>
      <c r="O288" s="105" t="n">
        <v>7809779.91004276</v>
      </c>
    </row>
    <row r="289" ht="30" customHeight="1">
      <c r="A289" s="105" t="s">
        <v>9448</v>
      </c>
      <c r="B289" s="105" t="s">
        <v>8123</v>
      </c>
      <c r="C289" s="30" t="s">
        <v>8122</v>
      </c>
      <c r="D289" s="30" t="s">
        <v>9449</v>
      </c>
      <c r="E289" s="104" t="s">
        <v>8124</v>
      </c>
      <c r="F289" s="104" t="s">
        <v>7456</v>
      </c>
      <c r="G289" s="104" t="s">
        <v>7015</v>
      </c>
      <c r="H289" s="116" t="s">
        <v>7056</v>
      </c>
      <c r="I289" s="104" t="s">
        <v>8125</v>
      </c>
      <c r="J289" s="104" t="s">
        <v>8126</v>
      </c>
      <c r="K289" s="117" t="s">
        <v>8127</v>
      </c>
      <c r="L289" s="105" t="n">
        <v>-19.903039</v>
      </c>
      <c r="M289" s="105" t="n">
        <v>-43.915906999999997</v>
      </c>
      <c r="N289" s="105" t="n">
        <v>613476.30596235197</v>
      </c>
      <c r="O289" s="105" t="n">
        <v>7798882.8427860104</v>
      </c>
    </row>
    <row r="290" ht="30" customHeight="1">
      <c r="A290" s="105" t="s">
        <v>9450</v>
      </c>
      <c r="B290" s="105" t="s">
        <v>8123</v>
      </c>
      <c r="C290" s="30" t="s">
        <v>8122</v>
      </c>
      <c r="D290" s="30" t="s">
        <v>9451</v>
      </c>
      <c r="E290" s="104" t="s">
        <v>8124</v>
      </c>
      <c r="F290" s="104" t="s">
        <v>7456</v>
      </c>
      <c r="G290" s="104" t="s">
        <v>7015</v>
      </c>
      <c r="H290" s="116" t="s">
        <v>7056</v>
      </c>
      <c r="I290" s="104" t="s">
        <v>8125</v>
      </c>
      <c r="J290" s="104" t="s">
        <v>8126</v>
      </c>
      <c r="K290" s="117" t="s">
        <v>8127</v>
      </c>
      <c r="L290" s="105" t="n">
        <v>-19.903039</v>
      </c>
      <c r="M290" s="105" t="n">
        <v>-43.915906999999997</v>
      </c>
      <c r="N290" s="105" t="n">
        <v>613476.30596235197</v>
      </c>
      <c r="O290" s="105" t="n">
        <v>7798882.8427860104</v>
      </c>
    </row>
    <row r="291" ht="30" customHeight="1">
      <c r="A291" s="105" t="s">
        <v>9452</v>
      </c>
      <c r="B291" s="105" t="s">
        <v>8129</v>
      </c>
      <c r="C291" s="30" t="s">
        <v>8128</v>
      </c>
      <c r="D291" s="105" t="s">
        <v>9453</v>
      </c>
      <c r="E291" s="104" t="s">
        <v>8130</v>
      </c>
      <c r="F291" s="104" t="s">
        <v>7744</v>
      </c>
      <c r="G291" s="104" t="s">
        <v>7015</v>
      </c>
      <c r="H291" s="116" t="s">
        <v>7016</v>
      </c>
      <c r="I291" s="104" t="s">
        <v>8131</v>
      </c>
      <c r="J291" s="104" t="s">
        <v>8132</v>
      </c>
      <c r="K291" s="117" t="s">
        <v>8133</v>
      </c>
      <c r="L291" s="105" t="n">
        <v>-19.880502581101101</v>
      </c>
      <c r="M291" s="105" t="n">
        <v>-43.911326076801501</v>
      </c>
      <c r="N291" s="105" t="n">
        <v>613971.98075163504</v>
      </c>
      <c r="O291" s="105" t="n">
        <v>7801373.9452400804</v>
      </c>
    </row>
    <row r="292" ht="30" customHeight="1">
      <c r="A292" s="105" t="s">
        <v>9454</v>
      </c>
      <c r="B292" s="105" t="s">
        <v>8129</v>
      </c>
      <c r="C292" s="30" t="s">
        <v>8128</v>
      </c>
      <c r="D292" s="30" t="s">
        <v>9455</v>
      </c>
      <c r="E292" s="104" t="s">
        <v>8130</v>
      </c>
      <c r="F292" s="104" t="s">
        <v>7744</v>
      </c>
      <c r="G292" s="104" t="s">
        <v>7015</v>
      </c>
      <c r="H292" s="116" t="s">
        <v>7016</v>
      </c>
      <c r="I292" s="104" t="s">
        <v>8131</v>
      </c>
      <c r="J292" s="104" t="s">
        <v>8132</v>
      </c>
      <c r="K292" s="117" t="s">
        <v>8133</v>
      </c>
      <c r="L292" s="105" t="n">
        <v>-19.880502581101101</v>
      </c>
      <c r="M292" s="105" t="n">
        <v>-43.911326076801501</v>
      </c>
      <c r="N292" s="105" t="n">
        <v>613971.98075163504</v>
      </c>
      <c r="O292" s="105" t="n">
        <v>7801373.9452400804</v>
      </c>
    </row>
    <row r="293" ht="45" customHeight="1">
      <c r="A293" s="105" t="s">
        <v>9456</v>
      </c>
      <c r="B293" s="105" t="s">
        <v>8135</v>
      </c>
      <c r="C293" s="30" t="s">
        <v>8134</v>
      </c>
      <c r="D293" s="30" t="s">
        <v>9457</v>
      </c>
      <c r="E293" s="104" t="s">
        <v>8136</v>
      </c>
      <c r="F293" s="104" t="s">
        <v>7534</v>
      </c>
      <c r="G293" s="104" t="s">
        <v>7086</v>
      </c>
      <c r="H293" s="116" t="s">
        <v>7112</v>
      </c>
      <c r="I293" s="104" t="s">
        <v>8137</v>
      </c>
      <c r="J293" s="104" t="s">
        <v>8138</v>
      </c>
      <c r="K293" s="117" t="s">
        <v>8139</v>
      </c>
      <c r="L293" s="105" t="n">
        <v>-19.807839999999999</v>
      </c>
      <c r="M293" s="105" t="n">
        <v>-43.997520000000002</v>
      </c>
      <c r="N293" s="105" t="n">
        <v>604995.46579108399</v>
      </c>
      <c r="O293" s="105" t="n">
        <v>7809471.6078059701</v>
      </c>
    </row>
    <row r="294" ht="30" customHeight="1">
      <c r="A294" s="105" t="s">
        <v>9458</v>
      </c>
      <c r="B294" s="105" t="s">
        <v>8141</v>
      </c>
      <c r="C294" s="30" t="s">
        <v>8140</v>
      </c>
      <c r="D294" s="30" t="s">
        <v>9459</v>
      </c>
      <c r="E294" s="104" t="s">
        <v>8142</v>
      </c>
      <c r="F294" s="104" t="s">
        <v>8143</v>
      </c>
      <c r="G294" s="104" t="s">
        <v>7006</v>
      </c>
      <c r="H294" s="116" t="s">
        <v>7236</v>
      </c>
      <c r="I294" s="104" t="s">
        <v>8144</v>
      </c>
      <c r="J294" s="104" t="s">
        <v>8145</v>
      </c>
      <c r="K294" s="117" t="s">
        <v>8146</v>
      </c>
      <c r="L294" s="105" t="n">
        <v>-19.8901736800855</v>
      </c>
      <c r="M294" s="105" t="n">
        <v>-43.9208144960539</v>
      </c>
      <c r="N294" s="105" t="n">
        <v>612971.69999999995</v>
      </c>
      <c r="O294" s="105" t="n">
        <v>7800310</v>
      </c>
    </row>
    <row r="295" ht="30" customHeight="1">
      <c r="A295" s="105" t="s">
        <v>9460</v>
      </c>
      <c r="B295" s="105" t="s">
        <v>8141</v>
      </c>
      <c r="C295" s="30" t="s">
        <v>8140</v>
      </c>
      <c r="D295" s="30" t="s">
        <v>9461</v>
      </c>
      <c r="E295" s="104" t="s">
        <v>8142</v>
      </c>
      <c r="F295" s="104" t="s">
        <v>8143</v>
      </c>
      <c r="G295" s="104" t="s">
        <v>7006</v>
      </c>
      <c r="H295" s="116" t="s">
        <v>7236</v>
      </c>
      <c r="I295" s="104" t="s">
        <v>8144</v>
      </c>
      <c r="J295" s="104" t="s">
        <v>8145</v>
      </c>
      <c r="K295" s="117" t="s">
        <v>8146</v>
      </c>
      <c r="L295" s="105" t="n">
        <v>-19.8901736800855</v>
      </c>
      <c r="M295" s="105" t="n">
        <v>-43.9208144960539</v>
      </c>
      <c r="N295" s="105" t="n">
        <v>612971.69999999995</v>
      </c>
      <c r="O295" s="105" t="n">
        <v>7800310</v>
      </c>
    </row>
    <row r="296" ht="30" customHeight="1">
      <c r="A296" s="105" t="s">
        <v>9462</v>
      </c>
      <c r="B296" s="105" t="s">
        <v>8141</v>
      </c>
      <c r="C296" s="30" t="s">
        <v>8140</v>
      </c>
      <c r="D296" s="30" t="s">
        <v>9463</v>
      </c>
      <c r="E296" s="104" t="s">
        <v>8142</v>
      </c>
      <c r="F296" s="104" t="s">
        <v>8143</v>
      </c>
      <c r="G296" s="104" t="s">
        <v>7006</v>
      </c>
      <c r="H296" s="116" t="s">
        <v>7236</v>
      </c>
      <c r="I296" s="104" t="s">
        <v>8144</v>
      </c>
      <c r="J296" s="104" t="s">
        <v>8145</v>
      </c>
      <c r="K296" s="117" t="s">
        <v>8146</v>
      </c>
      <c r="L296" s="105" t="n">
        <v>-19.8901736800855</v>
      </c>
      <c r="M296" s="105" t="n">
        <v>-43.9208144960539</v>
      </c>
      <c r="N296" s="105" t="n">
        <v>612971.69999999995</v>
      </c>
      <c r="O296" s="105" t="n">
        <v>7800310</v>
      </c>
    </row>
    <row r="297" ht="30" customHeight="1">
      <c r="A297" s="105" t="s">
        <v>9464</v>
      </c>
      <c r="B297" s="105" t="s">
        <v>8148</v>
      </c>
      <c r="C297" s="30" t="s">
        <v>8147</v>
      </c>
      <c r="D297" s="30" t="s">
        <v>9465</v>
      </c>
      <c r="E297" s="104" t="s">
        <v>8149</v>
      </c>
      <c r="F297" s="104" t="s">
        <v>7492</v>
      </c>
      <c r="G297" s="104" t="s">
        <v>7126</v>
      </c>
      <c r="H297" s="116" t="s">
        <v>7127</v>
      </c>
      <c r="I297" s="104" t="s">
        <v>8150</v>
      </c>
      <c r="J297" s="104" t="s">
        <v>8151</v>
      </c>
      <c r="K297" s="117" t="s">
        <v>7495</v>
      </c>
      <c r="L297" s="105" t="n">
        <v>-19.8298618873478</v>
      </c>
      <c r="M297" s="105" t="n">
        <v>-43.9277146182839</v>
      </c>
      <c r="N297" s="105" t="n">
        <v>612291.75670590496</v>
      </c>
      <c r="O297" s="105" t="n">
        <v>7806989.5184811996</v>
      </c>
    </row>
    <row r="298" ht="30" customHeight="1">
      <c r="A298" s="105" t="s">
        <v>9466</v>
      </c>
      <c r="B298" s="105" t="s">
        <v>8153</v>
      </c>
      <c r="C298" s="30" t="s">
        <v>8152</v>
      </c>
      <c r="D298" s="30" t="s">
        <v>9467</v>
      </c>
      <c r="E298" s="104" t="s">
        <v>8154</v>
      </c>
      <c r="F298" s="104" t="s">
        <v>7159</v>
      </c>
      <c r="G298" s="104" t="s">
        <v>7160</v>
      </c>
      <c r="H298" s="116" t="s">
        <v>7161</v>
      </c>
      <c r="I298" s="104" t="s">
        <v>7684</v>
      </c>
      <c r="J298" s="104" t="s">
        <v>8155</v>
      </c>
      <c r="K298" s="117" t="s">
        <v>7685</v>
      </c>
      <c r="L298" s="105" t="n">
        <v>-19.9222</v>
      </c>
      <c r="M298" s="105" t="n">
        <v>-43.911434</v>
      </c>
      <c r="N298" s="105" t="n">
        <v>613930.83215156</v>
      </c>
      <c r="O298" s="105" t="n">
        <v>7796759.1886012601</v>
      </c>
    </row>
    <row r="299" ht="30" customHeight="1">
      <c r="A299" s="105" t="s">
        <v>9468</v>
      </c>
      <c r="B299" s="105" t="s">
        <v>8157</v>
      </c>
      <c r="C299" s="30" t="s">
        <v>8156</v>
      </c>
      <c r="D299" s="30" t="s">
        <v>9469</v>
      </c>
      <c r="E299" s="104" t="s">
        <v>8158</v>
      </c>
      <c r="F299" s="104" t="s">
        <v>7399</v>
      </c>
      <c r="G299" s="104" t="s">
        <v>7077</v>
      </c>
      <c r="H299" s="116" t="s">
        <v>7105</v>
      </c>
      <c r="I299" s="104" t="s">
        <v>8159</v>
      </c>
      <c r="J299" s="104" t="s">
        <v>7272</v>
      </c>
      <c r="K299" s="117" t="s">
        <v>8160</v>
      </c>
      <c r="L299" s="105" t="n">
        <v>-19.989563</v>
      </c>
      <c r="M299" s="105" t="n">
        <v>-44.02955</v>
      </c>
      <c r="N299" s="105" t="n">
        <v>601524.57720041205</v>
      </c>
      <c r="O299" s="105" t="n">
        <v>7789379.71263636</v>
      </c>
    </row>
    <row r="300" ht="30" customHeight="1">
      <c r="A300" s="105" t="s">
        <v>9470</v>
      </c>
      <c r="B300" s="105" t="s">
        <v>8162</v>
      </c>
      <c r="C300" s="30" t="s">
        <v>8161</v>
      </c>
      <c r="D300" s="105" t="s">
        <v>9471</v>
      </c>
      <c r="E300" s="104" t="s">
        <v>8163</v>
      </c>
      <c r="F300" s="104" t="s">
        <v>8164</v>
      </c>
      <c r="G300" s="104" t="s">
        <v>7006</v>
      </c>
      <c r="H300" s="116" t="s">
        <v>7348</v>
      </c>
      <c r="I300" s="104" t="s">
        <v>8165</v>
      </c>
      <c r="J300" s="104" t="s">
        <v>8166</v>
      </c>
      <c r="K300" s="117" t="s">
        <v>8167</v>
      </c>
      <c r="L300" s="105" t="n">
        <v>-19.8229759905491</v>
      </c>
      <c r="M300" s="105" t="n">
        <v>-43.901659538508497</v>
      </c>
      <c r="N300" s="105" t="n">
        <v>615025.50558853697</v>
      </c>
      <c r="O300" s="105" t="n">
        <v>7807734.0688514402</v>
      </c>
    </row>
    <row r="301" ht="30" customHeight="1">
      <c r="A301" s="105" t="s">
        <v>9472</v>
      </c>
      <c r="B301" s="105" t="s">
        <v>8169</v>
      </c>
      <c r="C301" s="30" t="s">
        <v>8168</v>
      </c>
      <c r="D301" s="30" t="s">
        <v>9473</v>
      </c>
      <c r="E301" s="104" t="s">
        <v>8170</v>
      </c>
      <c r="F301" s="104" t="s">
        <v>7980</v>
      </c>
      <c r="G301" s="104" t="s">
        <v>7160</v>
      </c>
      <c r="H301" s="116" t="s">
        <v>7161</v>
      </c>
      <c r="I301" s="104" t="s">
        <v>8171</v>
      </c>
      <c r="J301" s="104" t="s">
        <v>7746</v>
      </c>
      <c r="K301" s="117" t="s">
        <v>8172</v>
      </c>
      <c r="L301" s="105" t="n">
        <v>-19.915705181150798</v>
      </c>
      <c r="M301" s="105" t="n">
        <v>-43.933804987075703</v>
      </c>
      <c r="N301" s="105" t="n">
        <v>611593.80000000005</v>
      </c>
      <c r="O301" s="105" t="n">
        <v>7797493</v>
      </c>
    </row>
    <row r="302" ht="30" customHeight="1">
      <c r="A302" s="105" t="s">
        <v>9474</v>
      </c>
      <c r="B302" s="105" t="s">
        <v>8169</v>
      </c>
      <c r="C302" s="30" t="s">
        <v>8168</v>
      </c>
      <c r="D302" s="105" t="s">
        <v>9475</v>
      </c>
      <c r="E302" s="104" t="s">
        <v>8170</v>
      </c>
      <c r="F302" s="104" t="s">
        <v>7980</v>
      </c>
      <c r="G302" s="104" t="s">
        <v>7160</v>
      </c>
      <c r="H302" s="116" t="s">
        <v>7161</v>
      </c>
      <c r="I302" s="104" t="s">
        <v>8171</v>
      </c>
      <c r="J302" s="104" t="s">
        <v>7746</v>
      </c>
      <c r="K302" s="117" t="s">
        <v>8172</v>
      </c>
      <c r="L302" s="105" t="n">
        <v>-19.915705181150798</v>
      </c>
      <c r="M302" s="105" t="n">
        <v>-43.933804987075703</v>
      </c>
      <c r="N302" s="105" t="n">
        <v>611593.80000000005</v>
      </c>
      <c r="O302" s="105" t="n">
        <v>7797493</v>
      </c>
    </row>
    <row r="303" ht="45" customHeight="1">
      <c r="A303" s="105" t="s">
        <v>9476</v>
      </c>
      <c r="B303" s="105" t="s">
        <v>8174</v>
      </c>
      <c r="C303" s="30" t="s">
        <v>8173</v>
      </c>
      <c r="D303" s="105" t="s">
        <v>9477</v>
      </c>
      <c r="E303" s="104" t="s">
        <v>8175</v>
      </c>
      <c r="F303" s="104" t="s">
        <v>8176</v>
      </c>
      <c r="G303" s="104" t="s">
        <v>6983</v>
      </c>
      <c r="H303" s="116" t="s">
        <v>7228</v>
      </c>
      <c r="I303" s="104" t="s">
        <v>8177</v>
      </c>
      <c r="J303" s="104" t="s">
        <v>8178</v>
      </c>
      <c r="K303" s="117" t="s">
        <v>8179</v>
      </c>
      <c r="L303" s="105" t="n">
        <v>-19.954065613585399</v>
      </c>
      <c r="M303" s="105" t="n">
        <v>-43.972891454471302</v>
      </c>
      <c r="N303" s="105" t="n">
        <v>607476.5</v>
      </c>
      <c r="O303" s="105" t="n">
        <v>7793273</v>
      </c>
    </row>
    <row r="304" ht="45" customHeight="1">
      <c r="A304" s="105" t="s">
        <v>9478</v>
      </c>
      <c r="B304" s="105" t="s">
        <v>8181</v>
      </c>
      <c r="C304" s="30" t="s">
        <v>8180</v>
      </c>
      <c r="D304" s="105" t="s">
        <v>9479</v>
      </c>
      <c r="E304" s="104" t="s">
        <v>8182</v>
      </c>
      <c r="F304" s="104" t="s">
        <v>7822</v>
      </c>
      <c r="G304" s="104" t="s">
        <v>7006</v>
      </c>
      <c r="H304" s="116" t="s">
        <v>7413</v>
      </c>
      <c r="I304" s="104" t="s">
        <v>8183</v>
      </c>
      <c r="J304" s="104" t="s">
        <v>8184</v>
      </c>
      <c r="K304" s="117" t="s">
        <v>8185</v>
      </c>
      <c r="L304" s="105" t="n">
        <v>-19.867073100627099</v>
      </c>
      <c r="M304" s="105" t="n">
        <v>-43.921372013261497</v>
      </c>
      <c r="N304" s="105" t="n">
        <v>612929.69999999995</v>
      </c>
      <c r="O304" s="105" t="n">
        <v>7802867</v>
      </c>
    </row>
    <row r="305" ht="30" customHeight="1">
      <c r="A305" s="105" t="s">
        <v>9480</v>
      </c>
      <c r="B305" s="105" t="s">
        <v>8187</v>
      </c>
      <c r="C305" s="30" t="s">
        <v>8186</v>
      </c>
      <c r="D305" s="105" t="s">
        <v>9481</v>
      </c>
      <c r="E305" s="104" t="s">
        <v>8188</v>
      </c>
      <c r="F305" s="104" t="s">
        <v>7159</v>
      </c>
      <c r="G305" s="104" t="s">
        <v>7160</v>
      </c>
      <c r="H305" s="116" t="s">
        <v>7161</v>
      </c>
      <c r="I305" s="104" t="s">
        <v>8189</v>
      </c>
      <c r="J305" s="104" t="s">
        <v>8190</v>
      </c>
      <c r="K305" s="117" t="s">
        <v>8191</v>
      </c>
      <c r="L305" s="105" t="n">
        <v>-19.924645000000002</v>
      </c>
      <c r="M305" s="105" t="n">
        <v>-43.931907000000002</v>
      </c>
      <c r="N305" s="105" t="n">
        <v>611786.18660202599</v>
      </c>
      <c r="O305" s="105" t="n">
        <v>7796502.3349713599</v>
      </c>
    </row>
    <row r="306" ht="30" customHeight="1">
      <c r="A306" s="105" t="s">
        <v>9482</v>
      </c>
      <c r="B306" s="105" t="s">
        <v>8193</v>
      </c>
      <c r="C306" s="30" t="s">
        <v>8192</v>
      </c>
      <c r="D306" s="105" t="s">
        <v>9483</v>
      </c>
      <c r="E306" s="104" t="s">
        <v>8194</v>
      </c>
      <c r="F306" s="104" t="s">
        <v>7263</v>
      </c>
      <c r="G306" s="104" t="s">
        <v>6974</v>
      </c>
      <c r="H306" s="116" t="s">
        <v>7264</v>
      </c>
      <c r="I306" s="104" t="s">
        <v>8195</v>
      </c>
      <c r="J306" s="104" t="s">
        <v>8196</v>
      </c>
      <c r="K306" s="117" t="s">
        <v>8197</v>
      </c>
      <c r="L306" s="105" t="n">
        <v>-19.911821</v>
      </c>
      <c r="M306" s="105" t="n">
        <v>-43.988930000000003</v>
      </c>
      <c r="N306" s="105" t="n">
        <v>605826.22302722395</v>
      </c>
      <c r="O306" s="105" t="n">
        <v>7797958.5053526899</v>
      </c>
    </row>
    <row r="307" ht="30" customHeight="1">
      <c r="A307" s="105" t="s">
        <v>9484</v>
      </c>
      <c r="B307" s="105" t="s">
        <v>8193</v>
      </c>
      <c r="C307" s="30" t="s">
        <v>8192</v>
      </c>
      <c r="D307" s="105" t="s">
        <v>9485</v>
      </c>
      <c r="E307" s="104" t="s">
        <v>8194</v>
      </c>
      <c r="F307" s="104" t="s">
        <v>7263</v>
      </c>
      <c r="G307" s="104" t="s">
        <v>6974</v>
      </c>
      <c r="H307" s="116" t="s">
        <v>7264</v>
      </c>
      <c r="I307" s="104" t="s">
        <v>8195</v>
      </c>
      <c r="J307" s="104" t="s">
        <v>8196</v>
      </c>
      <c r="K307" s="117" t="s">
        <v>8197</v>
      </c>
      <c r="L307" s="105" t="n">
        <v>-19.911821</v>
      </c>
      <c r="M307" s="105" t="n">
        <v>-43.988930000000003</v>
      </c>
      <c r="N307" s="105" t="n">
        <v>605826.22302722395</v>
      </c>
      <c r="O307" s="105" t="n">
        <v>7797958.5053526899</v>
      </c>
    </row>
    <row r="308" ht="30" customHeight="1">
      <c r="A308" s="105" t="s">
        <v>9486</v>
      </c>
      <c r="B308" s="105" t="s">
        <v>8199</v>
      </c>
      <c r="C308" s="30" t="s">
        <v>8198</v>
      </c>
      <c r="D308" s="105" t="s">
        <v>9487</v>
      </c>
      <c r="E308" s="104" t="s">
        <v>8200</v>
      </c>
      <c r="F308" s="104" t="s">
        <v>8201</v>
      </c>
      <c r="G308" s="104" t="s">
        <v>7015</v>
      </c>
      <c r="H308" s="116" t="s">
        <v>7683</v>
      </c>
      <c r="I308" s="104" t="s">
        <v>8202</v>
      </c>
      <c r="J308" s="104" t="s">
        <v>8203</v>
      </c>
      <c r="K308" s="117" t="s">
        <v>8204</v>
      </c>
      <c r="L308" s="105" t="n">
        <v>-19.924436309554402</v>
      </c>
      <c r="M308" s="105" t="n">
        <v>-43.897235350798702</v>
      </c>
      <c r="N308" s="105" t="n">
        <v>615415.4</v>
      </c>
      <c r="O308" s="105" t="n">
        <v>7796502</v>
      </c>
    </row>
    <row r="309" ht="30" customHeight="1">
      <c r="A309" s="105" t="s">
        <v>9488</v>
      </c>
      <c r="B309" s="105" t="s">
        <v>8199</v>
      </c>
      <c r="C309" s="30" t="s">
        <v>8198</v>
      </c>
      <c r="D309" s="105" t="s">
        <v>9489</v>
      </c>
      <c r="E309" s="104" t="s">
        <v>8200</v>
      </c>
      <c r="F309" s="104" t="s">
        <v>8201</v>
      </c>
      <c r="G309" s="104" t="s">
        <v>7015</v>
      </c>
      <c r="H309" s="116" t="s">
        <v>7683</v>
      </c>
      <c r="I309" s="104" t="s">
        <v>8202</v>
      </c>
      <c r="J309" s="104" t="s">
        <v>8203</v>
      </c>
      <c r="K309" s="117" t="s">
        <v>8204</v>
      </c>
      <c r="L309" s="105" t="n">
        <v>-19.924436309554402</v>
      </c>
      <c r="M309" s="105" t="n">
        <v>-43.897235350798702</v>
      </c>
      <c r="N309" s="105" t="n">
        <v>615415.4</v>
      </c>
      <c r="O309" s="105" t="n">
        <v>7796502</v>
      </c>
    </row>
    <row r="310" ht="30" customHeight="1">
      <c r="A310" s="105" t="s">
        <v>9490</v>
      </c>
      <c r="B310" s="105" t="s">
        <v>8199</v>
      </c>
      <c r="C310" s="30" t="s">
        <v>8198</v>
      </c>
      <c r="D310" s="105" t="s">
        <v>9491</v>
      </c>
      <c r="E310" s="104" t="s">
        <v>8200</v>
      </c>
      <c r="F310" s="104" t="s">
        <v>8201</v>
      </c>
      <c r="G310" s="104" t="s">
        <v>7015</v>
      </c>
      <c r="H310" s="116" t="s">
        <v>7683</v>
      </c>
      <c r="I310" s="104" t="s">
        <v>8202</v>
      </c>
      <c r="J310" s="104" t="s">
        <v>8203</v>
      </c>
      <c r="K310" s="117" t="s">
        <v>8204</v>
      </c>
      <c r="L310" s="105" t="n">
        <v>-19.924436309554402</v>
      </c>
      <c r="M310" s="105" t="n">
        <v>-43.897235350798702</v>
      </c>
      <c r="N310" s="105" t="n">
        <v>615415.4</v>
      </c>
      <c r="O310" s="105" t="n">
        <v>7796502</v>
      </c>
    </row>
    <row r="311" ht="30" customHeight="1">
      <c r="A311" s="105" t="s">
        <v>9492</v>
      </c>
      <c r="B311" s="105" t="s">
        <v>8199</v>
      </c>
      <c r="C311" s="30" t="s">
        <v>8198</v>
      </c>
      <c r="D311" s="105" t="s">
        <v>9493</v>
      </c>
      <c r="E311" s="104" t="s">
        <v>8200</v>
      </c>
      <c r="F311" s="104" t="s">
        <v>8201</v>
      </c>
      <c r="G311" s="104" t="s">
        <v>7015</v>
      </c>
      <c r="H311" s="116" t="s">
        <v>7683</v>
      </c>
      <c r="I311" s="104" t="s">
        <v>8202</v>
      </c>
      <c r="J311" s="104" t="s">
        <v>8203</v>
      </c>
      <c r="K311" s="117" t="s">
        <v>8204</v>
      </c>
      <c r="L311" s="105" t="n">
        <v>-19.924436309554402</v>
      </c>
      <c r="M311" s="105" t="n">
        <v>-43.897235350798702</v>
      </c>
      <c r="N311" s="105" t="n">
        <v>615415.4</v>
      </c>
      <c r="O311" s="105" t="n">
        <v>7796502</v>
      </c>
    </row>
    <row r="312" ht="30" customHeight="1">
      <c r="A312" s="105" t="s">
        <v>9494</v>
      </c>
      <c r="B312" s="105" t="s">
        <v>8199</v>
      </c>
      <c r="C312" s="30" t="s">
        <v>8198</v>
      </c>
      <c r="D312" s="105" t="s">
        <v>9495</v>
      </c>
      <c r="E312" s="104" t="s">
        <v>8200</v>
      </c>
      <c r="F312" s="104" t="s">
        <v>8201</v>
      </c>
      <c r="G312" s="104" t="s">
        <v>7015</v>
      </c>
      <c r="H312" s="116" t="s">
        <v>7683</v>
      </c>
      <c r="I312" s="104" t="s">
        <v>8202</v>
      </c>
      <c r="J312" s="104" t="s">
        <v>8203</v>
      </c>
      <c r="K312" s="117" t="s">
        <v>8204</v>
      </c>
      <c r="L312" s="105" t="n">
        <v>-19.924436309554402</v>
      </c>
      <c r="M312" s="105" t="n">
        <v>-43.897235350798702</v>
      </c>
      <c r="N312" s="105" t="n">
        <v>615415.4</v>
      </c>
      <c r="O312" s="105" t="n">
        <v>7796502</v>
      </c>
    </row>
    <row r="313" ht="30" customHeight="1">
      <c r="A313" s="105" t="s">
        <v>9496</v>
      </c>
      <c r="B313" s="105" t="s">
        <v>8199</v>
      </c>
      <c r="C313" s="30" t="s">
        <v>8198</v>
      </c>
      <c r="D313" s="105" t="s">
        <v>9497</v>
      </c>
      <c r="E313" s="104" t="s">
        <v>8200</v>
      </c>
      <c r="F313" s="104" t="s">
        <v>8201</v>
      </c>
      <c r="G313" s="104" t="s">
        <v>7015</v>
      </c>
      <c r="H313" s="116" t="s">
        <v>7683</v>
      </c>
      <c r="I313" s="104" t="s">
        <v>8202</v>
      </c>
      <c r="J313" s="104" t="s">
        <v>8203</v>
      </c>
      <c r="K313" s="117" t="s">
        <v>8204</v>
      </c>
      <c r="L313" s="105" t="n">
        <v>-19.924436309554402</v>
      </c>
      <c r="M313" s="105" t="n">
        <v>-43.897235350798702</v>
      </c>
      <c r="N313" s="105" t="n">
        <v>615415.4</v>
      </c>
      <c r="O313" s="105" t="n">
        <v>7796502</v>
      </c>
    </row>
    <row r="314" ht="30" customHeight="1">
      <c r="A314" s="105" t="s">
        <v>9498</v>
      </c>
      <c r="B314" s="105" t="s">
        <v>8199</v>
      </c>
      <c r="C314" s="30" t="s">
        <v>8198</v>
      </c>
      <c r="D314" s="105" t="s">
        <v>9499</v>
      </c>
      <c r="E314" s="104" t="s">
        <v>8200</v>
      </c>
      <c r="F314" s="104" t="s">
        <v>8201</v>
      </c>
      <c r="G314" s="104" t="s">
        <v>7015</v>
      </c>
      <c r="H314" s="116" t="s">
        <v>7683</v>
      </c>
      <c r="I314" s="104" t="s">
        <v>8202</v>
      </c>
      <c r="J314" s="104" t="s">
        <v>8203</v>
      </c>
      <c r="K314" s="117" t="s">
        <v>8204</v>
      </c>
      <c r="L314" s="105" t="n">
        <v>-19.924436309554402</v>
      </c>
      <c r="M314" s="105" t="n">
        <v>-43.897235350798702</v>
      </c>
      <c r="N314" s="105" t="n">
        <v>615415.4</v>
      </c>
      <c r="O314" s="105" t="n">
        <v>7796502</v>
      </c>
    </row>
    <row r="315" ht="30" customHeight="1">
      <c r="A315" s="105" t="s">
        <v>9500</v>
      </c>
      <c r="B315" s="105" t="s">
        <v>8199</v>
      </c>
      <c r="C315" s="30" t="s">
        <v>8198</v>
      </c>
      <c r="D315" s="105" t="s">
        <v>9501</v>
      </c>
      <c r="E315" s="104" t="s">
        <v>8200</v>
      </c>
      <c r="F315" s="104" t="s">
        <v>8201</v>
      </c>
      <c r="G315" s="104" t="s">
        <v>7015</v>
      </c>
      <c r="H315" s="116" t="s">
        <v>7683</v>
      </c>
      <c r="I315" s="104" t="s">
        <v>8202</v>
      </c>
      <c r="J315" s="104" t="s">
        <v>8203</v>
      </c>
      <c r="K315" s="117" t="s">
        <v>8204</v>
      </c>
      <c r="L315" s="105" t="n">
        <v>-19.924436309554402</v>
      </c>
      <c r="M315" s="105" t="n">
        <v>-43.897235350798702</v>
      </c>
      <c r="N315" s="105" t="n">
        <v>615415.4</v>
      </c>
      <c r="O315" s="105" t="n">
        <v>7796502</v>
      </c>
    </row>
    <row r="316" ht="30" customHeight="1">
      <c r="A316" s="105" t="s">
        <v>9502</v>
      </c>
      <c r="B316" s="105" t="s">
        <v>8199</v>
      </c>
      <c r="C316" s="30" t="s">
        <v>8198</v>
      </c>
      <c r="D316" s="105" t="s">
        <v>9503</v>
      </c>
      <c r="E316" s="104" t="s">
        <v>8200</v>
      </c>
      <c r="F316" s="104" t="s">
        <v>8201</v>
      </c>
      <c r="G316" s="104" t="s">
        <v>7015</v>
      </c>
      <c r="H316" s="116" t="s">
        <v>7683</v>
      </c>
      <c r="I316" s="104" t="s">
        <v>8202</v>
      </c>
      <c r="J316" s="104" t="s">
        <v>8203</v>
      </c>
      <c r="K316" s="117" t="s">
        <v>8204</v>
      </c>
      <c r="L316" s="105" t="n">
        <v>-19.924436309554402</v>
      </c>
      <c r="M316" s="105" t="n">
        <v>-43.897235350798702</v>
      </c>
      <c r="N316" s="105" t="n">
        <v>615415.4</v>
      </c>
      <c r="O316" s="105" t="n">
        <v>7796502</v>
      </c>
    </row>
    <row r="317" ht="30" customHeight="1">
      <c r="A317" s="105" t="s">
        <v>9504</v>
      </c>
      <c r="B317" s="105" t="s">
        <v>8199</v>
      </c>
      <c r="C317" s="30" t="s">
        <v>8198</v>
      </c>
      <c r="D317" s="105" t="s">
        <v>9505</v>
      </c>
      <c r="E317" s="104" t="s">
        <v>8200</v>
      </c>
      <c r="F317" s="104" t="s">
        <v>8201</v>
      </c>
      <c r="G317" s="104" t="s">
        <v>7015</v>
      </c>
      <c r="H317" s="116" t="s">
        <v>7683</v>
      </c>
      <c r="I317" s="104" t="s">
        <v>8202</v>
      </c>
      <c r="J317" s="104" t="s">
        <v>8203</v>
      </c>
      <c r="K317" s="117" t="s">
        <v>8204</v>
      </c>
      <c r="L317" s="105" t="n">
        <v>-19.924436309554402</v>
      </c>
      <c r="M317" s="105" t="n">
        <v>-43.897235350798702</v>
      </c>
      <c r="N317" s="105" t="n">
        <v>615415.4</v>
      </c>
      <c r="O317" s="105" t="n">
        <v>7796502</v>
      </c>
    </row>
    <row r="318" ht="30" customHeight="1">
      <c r="A318" s="105" t="s">
        <v>9506</v>
      </c>
      <c r="B318" s="105" t="s">
        <v>8199</v>
      </c>
      <c r="C318" s="30" t="s">
        <v>8198</v>
      </c>
      <c r="D318" s="105" t="s">
        <v>9507</v>
      </c>
      <c r="E318" s="104" t="s">
        <v>8200</v>
      </c>
      <c r="F318" s="104" t="s">
        <v>8201</v>
      </c>
      <c r="G318" s="104" t="s">
        <v>7015</v>
      </c>
      <c r="H318" s="116" t="s">
        <v>7683</v>
      </c>
      <c r="I318" s="104" t="s">
        <v>8202</v>
      </c>
      <c r="J318" s="104" t="s">
        <v>8203</v>
      </c>
      <c r="K318" s="117" t="s">
        <v>8204</v>
      </c>
      <c r="L318" s="105" t="n">
        <v>-19.924436309554402</v>
      </c>
      <c r="M318" s="105" t="n">
        <v>-43.897235350798702</v>
      </c>
      <c r="N318" s="105" t="n">
        <v>615415.4</v>
      </c>
      <c r="O318" s="105" t="n">
        <v>7796502</v>
      </c>
    </row>
    <row r="319" ht="30" customHeight="1">
      <c r="A319" s="105" t="s">
        <v>9508</v>
      </c>
      <c r="B319" s="105" t="s">
        <v>8199</v>
      </c>
      <c r="C319" s="30" t="s">
        <v>8198</v>
      </c>
      <c r="D319" s="30" t="s">
        <v>9509</v>
      </c>
      <c r="E319" s="95" t="s">
        <v>8200</v>
      </c>
      <c r="F319" s="104" t="s">
        <v>8201</v>
      </c>
      <c r="G319" s="104" t="s">
        <v>7015</v>
      </c>
      <c r="H319" s="116" t="s">
        <v>7683</v>
      </c>
      <c r="I319" s="104" t="s">
        <v>8202</v>
      </c>
      <c r="J319" s="104" t="s">
        <v>8203</v>
      </c>
      <c r="K319" s="117" t="s">
        <v>8204</v>
      </c>
      <c r="L319" s="105" t="n">
        <v>-19.924436309554402</v>
      </c>
      <c r="M319" s="105" t="n">
        <v>-43.897235350798702</v>
      </c>
      <c r="N319" s="105" t="n">
        <v>615415.4</v>
      </c>
      <c r="O319" s="105" t="n">
        <v>7796502</v>
      </c>
    </row>
    <row r="320" ht="30" customHeight="1">
      <c r="A320" s="105" t="s">
        <v>9510</v>
      </c>
      <c r="B320" s="105" t="s">
        <v>8199</v>
      </c>
      <c r="C320" s="30" t="s">
        <v>8198</v>
      </c>
      <c r="D320" s="105" t="s">
        <v>9511</v>
      </c>
      <c r="E320" s="95" t="s">
        <v>8200</v>
      </c>
      <c r="F320" s="104" t="s">
        <v>8201</v>
      </c>
      <c r="G320" s="104" t="s">
        <v>7015</v>
      </c>
      <c r="H320" s="116" t="s">
        <v>7683</v>
      </c>
      <c r="I320" s="104" t="s">
        <v>8202</v>
      </c>
      <c r="J320" s="104" t="s">
        <v>8203</v>
      </c>
      <c r="K320" s="117" t="s">
        <v>8204</v>
      </c>
      <c r="L320" s="105" t="n">
        <v>-19.924436309554402</v>
      </c>
      <c r="M320" s="105" t="n">
        <v>-43.897235350798702</v>
      </c>
      <c r="N320" s="105" t="n">
        <v>615415.4</v>
      </c>
      <c r="O320" s="105" t="n">
        <v>7796502</v>
      </c>
    </row>
    <row r="321" ht="30" customHeight="1">
      <c r="A321" s="105" t="s">
        <v>9512</v>
      </c>
      <c r="B321" s="105" t="s">
        <v>8199</v>
      </c>
      <c r="C321" s="30" t="s">
        <v>8198</v>
      </c>
      <c r="D321" s="30" t="s">
        <v>9513</v>
      </c>
      <c r="E321" s="95" t="s">
        <v>8200</v>
      </c>
      <c r="F321" s="104" t="s">
        <v>8201</v>
      </c>
      <c r="G321" s="104" t="s">
        <v>7015</v>
      </c>
      <c r="H321" s="116" t="s">
        <v>7683</v>
      </c>
      <c r="I321" s="104" t="s">
        <v>8202</v>
      </c>
      <c r="J321" s="104" t="s">
        <v>8203</v>
      </c>
      <c r="K321" s="117" t="s">
        <v>8204</v>
      </c>
      <c r="L321" s="105" t="n">
        <v>-19.924436309554402</v>
      </c>
      <c r="M321" s="105" t="n">
        <v>-43.897235350798702</v>
      </c>
      <c r="N321" s="105" t="n">
        <v>615415.4</v>
      </c>
      <c r="O321" s="105" t="n">
        <v>7796502</v>
      </c>
    </row>
    <row r="322" ht="30" customHeight="1">
      <c r="A322" s="105" t="s">
        <v>9514</v>
      </c>
      <c r="B322" s="105" t="s">
        <v>8199</v>
      </c>
      <c r="C322" s="30" t="s">
        <v>8198</v>
      </c>
      <c r="D322" s="105" t="s">
        <v>9515</v>
      </c>
      <c r="E322" s="95" t="s">
        <v>8200</v>
      </c>
      <c r="F322" s="104" t="s">
        <v>8201</v>
      </c>
      <c r="G322" s="104" t="s">
        <v>7015</v>
      </c>
      <c r="H322" s="116" t="s">
        <v>7683</v>
      </c>
      <c r="I322" s="104" t="s">
        <v>8202</v>
      </c>
      <c r="J322" s="104" t="s">
        <v>8203</v>
      </c>
      <c r="K322" s="117" t="s">
        <v>8204</v>
      </c>
      <c r="L322" s="105" t="n">
        <v>-19.924436309554402</v>
      </c>
      <c r="M322" s="105" t="n">
        <v>-43.897235350798702</v>
      </c>
      <c r="N322" s="105" t="n">
        <v>615415.4</v>
      </c>
      <c r="O322" s="105" t="n">
        <v>7796502</v>
      </c>
    </row>
    <row r="323" ht="30" customHeight="1">
      <c r="A323" s="105" t="s">
        <v>9516</v>
      </c>
      <c r="B323" s="105" t="s">
        <v>8199</v>
      </c>
      <c r="C323" s="30" t="s">
        <v>8198</v>
      </c>
      <c r="D323" s="30" t="s">
        <v>9517</v>
      </c>
      <c r="E323" s="104" t="s">
        <v>8200</v>
      </c>
      <c r="F323" s="104" t="s">
        <v>8201</v>
      </c>
      <c r="G323" s="104" t="s">
        <v>7015</v>
      </c>
      <c r="H323" s="116" t="s">
        <v>7683</v>
      </c>
      <c r="I323" s="104" t="s">
        <v>8202</v>
      </c>
      <c r="J323" s="104" t="s">
        <v>8203</v>
      </c>
      <c r="K323" s="117" t="s">
        <v>8204</v>
      </c>
      <c r="L323" s="105" t="n">
        <v>-19.924436309554402</v>
      </c>
      <c r="M323" s="105" t="n">
        <v>-43.897235350798702</v>
      </c>
      <c r="N323" s="105" t="n">
        <v>615415.4</v>
      </c>
      <c r="O323" s="105" t="n">
        <v>7796502</v>
      </c>
    </row>
    <row r="324" ht="30" customHeight="1">
      <c r="A324" s="105" t="s">
        <v>9518</v>
      </c>
      <c r="B324" s="105" t="s">
        <v>8199</v>
      </c>
      <c r="C324" s="30" t="s">
        <v>8198</v>
      </c>
      <c r="D324" s="105" t="s">
        <v>9519</v>
      </c>
      <c r="E324" s="104" t="s">
        <v>8200</v>
      </c>
      <c r="F324" s="104" t="s">
        <v>8201</v>
      </c>
      <c r="G324" s="104" t="s">
        <v>7015</v>
      </c>
      <c r="H324" s="116" t="s">
        <v>7683</v>
      </c>
      <c r="I324" s="104" t="s">
        <v>8202</v>
      </c>
      <c r="J324" s="104" t="s">
        <v>8203</v>
      </c>
      <c r="K324" s="117" t="s">
        <v>8204</v>
      </c>
      <c r="L324" s="105" t="n">
        <v>-19.924436309554402</v>
      </c>
      <c r="M324" s="105" t="n">
        <v>-43.897235350798702</v>
      </c>
      <c r="N324" s="105" t="n">
        <v>615415.4</v>
      </c>
      <c r="O324" s="105" t="n">
        <v>7796502</v>
      </c>
    </row>
    <row r="325" ht="30" customHeight="1">
      <c r="A325" s="105" t="s">
        <v>9520</v>
      </c>
      <c r="B325" s="105" t="s">
        <v>8199</v>
      </c>
      <c r="C325" s="30" t="s">
        <v>8198</v>
      </c>
      <c r="D325" s="105" t="s">
        <v>9521</v>
      </c>
      <c r="E325" s="104" t="s">
        <v>8200</v>
      </c>
      <c r="F325" s="104" t="s">
        <v>8201</v>
      </c>
      <c r="G325" s="104" t="s">
        <v>7015</v>
      </c>
      <c r="H325" s="116" t="s">
        <v>7683</v>
      </c>
      <c r="I325" s="104" t="s">
        <v>8202</v>
      </c>
      <c r="J325" s="104" t="s">
        <v>8203</v>
      </c>
      <c r="K325" s="117" t="s">
        <v>8204</v>
      </c>
      <c r="L325" s="105" t="n">
        <v>-19.924436309554402</v>
      </c>
      <c r="M325" s="105" t="n">
        <v>-43.897235350798702</v>
      </c>
      <c r="N325" s="105" t="n">
        <v>615415.4</v>
      </c>
      <c r="O325" s="105" t="n">
        <v>7796502</v>
      </c>
    </row>
    <row r="326" ht="30" customHeight="1">
      <c r="A326" s="105" t="s">
        <v>9522</v>
      </c>
      <c r="B326" s="105" t="s">
        <v>8206</v>
      </c>
      <c r="C326" s="30" t="s">
        <v>8205</v>
      </c>
      <c r="D326" s="105" t="s">
        <v>9523</v>
      </c>
      <c r="E326" s="104" t="s">
        <v>8207</v>
      </c>
      <c r="F326" s="104" t="s">
        <v>7220</v>
      </c>
      <c r="G326" s="104" t="s">
        <v>7077</v>
      </c>
      <c r="H326" s="116" t="s">
        <v>7221</v>
      </c>
      <c r="I326" s="104" t="s">
        <v>8208</v>
      </c>
      <c r="J326" s="104" t="s">
        <v>8209</v>
      </c>
      <c r="K326" s="117" t="s">
        <v>8210</v>
      </c>
      <c r="L326" s="105" t="n">
        <v>-19.984738906342901</v>
      </c>
      <c r="M326" s="105" t="n">
        <v>-43.988521105309502</v>
      </c>
      <c r="N326" s="105" t="n">
        <v>605820.414238745</v>
      </c>
      <c r="O326" s="105" t="n">
        <v>7789888.2277120696</v>
      </c>
    </row>
    <row r="327" ht="30" customHeight="1">
      <c r="A327" s="105" t="s">
        <v>9524</v>
      </c>
      <c r="B327" s="105" t="s">
        <v>8206</v>
      </c>
      <c r="C327" s="30" t="s">
        <v>8205</v>
      </c>
      <c r="D327" s="105" t="s">
        <v>9525</v>
      </c>
      <c r="E327" s="104" t="s">
        <v>8207</v>
      </c>
      <c r="F327" s="104" t="s">
        <v>7220</v>
      </c>
      <c r="G327" s="104" t="s">
        <v>7077</v>
      </c>
      <c r="H327" s="116" t="s">
        <v>7221</v>
      </c>
      <c r="I327" s="104" t="s">
        <v>8208</v>
      </c>
      <c r="J327" s="104" t="s">
        <v>8209</v>
      </c>
      <c r="K327" s="117" t="s">
        <v>8210</v>
      </c>
      <c r="L327" s="105" t="n">
        <v>-19.984738906342901</v>
      </c>
      <c r="M327" s="105" t="n">
        <v>-43.988521105309502</v>
      </c>
      <c r="N327" s="105" t="n">
        <v>605820.414238745</v>
      </c>
      <c r="O327" s="105" t="n">
        <v>7789888.2277120696</v>
      </c>
    </row>
    <row r="328" ht="30" customHeight="1">
      <c r="A328" s="105" t="s">
        <v>9526</v>
      </c>
      <c r="B328" s="105" t="s">
        <v>8212</v>
      </c>
      <c r="C328" s="30" t="s">
        <v>8211</v>
      </c>
      <c r="D328" s="105" t="s">
        <v>9527</v>
      </c>
      <c r="E328" s="104" t="s">
        <v>8207</v>
      </c>
      <c r="F328" s="104" t="s">
        <v>7220</v>
      </c>
      <c r="G328" s="104" t="s">
        <v>7077</v>
      </c>
      <c r="H328" s="116" t="s">
        <v>7221</v>
      </c>
      <c r="I328" s="104" t="s">
        <v>8208</v>
      </c>
      <c r="J328" s="104" t="s">
        <v>8209</v>
      </c>
      <c r="K328" s="117" t="s">
        <v>8210</v>
      </c>
      <c r="L328" s="105" t="n">
        <v>-19.984738906342901</v>
      </c>
      <c r="M328" s="105" t="n">
        <v>-43.988521105309502</v>
      </c>
      <c r="N328" s="105" t="n">
        <v>605820.414238745</v>
      </c>
      <c r="O328" s="105" t="n">
        <v>7789888.2277120696</v>
      </c>
    </row>
    <row r="329" ht="30" customHeight="1">
      <c r="A329" s="105" t="s">
        <v>9528</v>
      </c>
      <c r="B329" s="105" t="s">
        <v>8212</v>
      </c>
      <c r="C329" s="30" t="s">
        <v>8211</v>
      </c>
      <c r="D329" s="105" t="s">
        <v>9529</v>
      </c>
      <c r="E329" s="104" t="s">
        <v>8207</v>
      </c>
      <c r="F329" s="104" t="s">
        <v>7220</v>
      </c>
      <c r="G329" s="104" t="s">
        <v>7077</v>
      </c>
      <c r="H329" s="116" t="s">
        <v>7221</v>
      </c>
      <c r="I329" s="104" t="s">
        <v>8208</v>
      </c>
      <c r="J329" s="104" t="s">
        <v>8209</v>
      </c>
      <c r="K329" s="117" t="s">
        <v>8210</v>
      </c>
      <c r="L329" s="105" t="n">
        <v>-19.984738906342901</v>
      </c>
      <c r="M329" s="105" t="n">
        <v>-43.988521105309502</v>
      </c>
      <c r="N329" s="105" t="n">
        <v>605820.414238745</v>
      </c>
      <c r="O329" s="105" t="n">
        <v>7789888.2277120696</v>
      </c>
    </row>
    <row r="330" ht="30" customHeight="1">
      <c r="A330" s="105" t="s">
        <v>9530</v>
      </c>
      <c r="B330" s="105" t="s">
        <v>8214</v>
      </c>
      <c r="C330" s="30" t="s">
        <v>8213</v>
      </c>
      <c r="D330" s="105" t="s">
        <v>9531</v>
      </c>
      <c r="E330" s="104" t="s">
        <v>8215</v>
      </c>
      <c r="F330" s="104" t="s">
        <v>7332</v>
      </c>
      <c r="G330" s="104" t="s">
        <v>7160</v>
      </c>
      <c r="H330" s="116" t="s">
        <v>7333</v>
      </c>
      <c r="I330" s="104" t="s">
        <v>8216</v>
      </c>
      <c r="J330" s="104" t="s">
        <v>8217</v>
      </c>
      <c r="K330" s="117" t="s">
        <v>8218</v>
      </c>
      <c r="L330" s="105" t="n">
        <v>-19.938969</v>
      </c>
      <c r="M330" s="105" t="n">
        <v>-43.912968999999997</v>
      </c>
      <c r="N330" s="105" t="n">
        <v>613758.15788010298</v>
      </c>
      <c r="O330" s="105" t="n">
        <v>7794904.3268657001</v>
      </c>
    </row>
    <row r="331" ht="30" customHeight="1">
      <c r="A331" s="105" t="s">
        <v>9532</v>
      </c>
      <c r="B331" s="105" t="s">
        <v>8214</v>
      </c>
      <c r="C331" s="30" t="s">
        <v>8213</v>
      </c>
      <c r="D331" s="105" t="s">
        <v>9533</v>
      </c>
      <c r="E331" s="104" t="s">
        <v>8215</v>
      </c>
      <c r="F331" s="104" t="s">
        <v>7332</v>
      </c>
      <c r="G331" s="104" t="s">
        <v>7160</v>
      </c>
      <c r="H331" s="116" t="s">
        <v>7333</v>
      </c>
      <c r="I331" s="104" t="s">
        <v>8216</v>
      </c>
      <c r="J331" s="104" t="s">
        <v>8217</v>
      </c>
      <c r="K331" s="117" t="s">
        <v>8218</v>
      </c>
      <c r="L331" s="105" t="n">
        <v>-19.938969</v>
      </c>
      <c r="M331" s="105" t="n">
        <v>-43.912968999999997</v>
      </c>
      <c r="N331" s="105" t="n">
        <v>613758.15788010298</v>
      </c>
      <c r="O331" s="105" t="n">
        <v>7794904.3268657001</v>
      </c>
    </row>
    <row r="332" ht="30" customHeight="1">
      <c r="A332" s="105" t="s">
        <v>9534</v>
      </c>
      <c r="B332" s="105" t="s">
        <v>8214</v>
      </c>
      <c r="C332" s="30" t="s">
        <v>8213</v>
      </c>
      <c r="D332" s="105" t="s">
        <v>9535</v>
      </c>
      <c r="E332" s="104" t="s">
        <v>8215</v>
      </c>
      <c r="F332" s="104" t="s">
        <v>7332</v>
      </c>
      <c r="G332" s="104" t="s">
        <v>7160</v>
      </c>
      <c r="H332" s="116" t="s">
        <v>7333</v>
      </c>
      <c r="I332" s="104" t="s">
        <v>8216</v>
      </c>
      <c r="J332" s="104" t="s">
        <v>8217</v>
      </c>
      <c r="K332" s="117" t="s">
        <v>8218</v>
      </c>
      <c r="L332" s="105" t="n">
        <v>-19.938969</v>
      </c>
      <c r="M332" s="105" t="n">
        <v>-43.912968999999997</v>
      </c>
      <c r="N332" s="105" t="n">
        <v>613758.15788010298</v>
      </c>
      <c r="O332" s="105" t="n">
        <v>7794904.3268657001</v>
      </c>
    </row>
    <row r="333" ht="30" customHeight="1">
      <c r="A333" s="105" t="s">
        <v>9536</v>
      </c>
      <c r="B333" s="105" t="s">
        <v>8214</v>
      </c>
      <c r="C333" s="30" t="s">
        <v>8213</v>
      </c>
      <c r="D333" s="105" t="s">
        <v>9537</v>
      </c>
      <c r="E333" s="104" t="s">
        <v>8215</v>
      </c>
      <c r="F333" s="104" t="s">
        <v>7332</v>
      </c>
      <c r="G333" s="104" t="s">
        <v>7160</v>
      </c>
      <c r="H333" s="116" t="s">
        <v>7333</v>
      </c>
      <c r="I333" s="104" t="s">
        <v>8216</v>
      </c>
      <c r="J333" s="104" t="s">
        <v>8217</v>
      </c>
      <c r="K333" s="117" t="s">
        <v>8218</v>
      </c>
      <c r="L333" s="105" t="n">
        <v>-19.938969</v>
      </c>
      <c r="M333" s="105" t="n">
        <v>-43.912968999999997</v>
      </c>
      <c r="N333" s="105" t="n">
        <v>613758.15788010298</v>
      </c>
      <c r="O333" s="105" t="n">
        <v>7794904.3268657001</v>
      </c>
    </row>
    <row r="334" ht="30" customHeight="1">
      <c r="A334" s="105" t="s">
        <v>9538</v>
      </c>
      <c r="B334" s="105" t="s">
        <v>8214</v>
      </c>
      <c r="C334" s="30" t="s">
        <v>8213</v>
      </c>
      <c r="D334" s="105" t="s">
        <v>9539</v>
      </c>
      <c r="E334" s="104" t="s">
        <v>8215</v>
      </c>
      <c r="F334" s="104" t="s">
        <v>7332</v>
      </c>
      <c r="G334" s="104" t="s">
        <v>7160</v>
      </c>
      <c r="H334" s="116" t="s">
        <v>7333</v>
      </c>
      <c r="I334" s="104" t="s">
        <v>8216</v>
      </c>
      <c r="J334" s="104" t="s">
        <v>8217</v>
      </c>
      <c r="K334" s="117" t="s">
        <v>8218</v>
      </c>
      <c r="L334" s="105" t="n">
        <v>-19.938969</v>
      </c>
      <c r="M334" s="105" t="n">
        <v>-43.912968999999997</v>
      </c>
      <c r="N334" s="105" t="n">
        <v>613758.15788010298</v>
      </c>
      <c r="O334" s="105" t="n">
        <v>7794904.3268657001</v>
      </c>
    </row>
    <row r="335" ht="30" customHeight="1">
      <c r="A335" s="105" t="s">
        <v>9540</v>
      </c>
      <c r="B335" s="105" t="s">
        <v>8214</v>
      </c>
      <c r="C335" s="30" t="s">
        <v>8213</v>
      </c>
      <c r="D335" s="105" t="s">
        <v>9541</v>
      </c>
      <c r="E335" s="104" t="s">
        <v>8215</v>
      </c>
      <c r="F335" s="104" t="s">
        <v>7332</v>
      </c>
      <c r="G335" s="104" t="s">
        <v>7160</v>
      </c>
      <c r="H335" s="116" t="s">
        <v>7333</v>
      </c>
      <c r="I335" s="104" t="s">
        <v>8216</v>
      </c>
      <c r="J335" s="104" t="s">
        <v>8217</v>
      </c>
      <c r="K335" s="117" t="s">
        <v>8218</v>
      </c>
      <c r="L335" s="105" t="n">
        <v>-19.938969</v>
      </c>
      <c r="M335" s="105" t="n">
        <v>-43.912968999999997</v>
      </c>
      <c r="N335" s="105" t="n">
        <v>613758.15788010298</v>
      </c>
      <c r="O335" s="105" t="n">
        <v>7794904.3268657001</v>
      </c>
    </row>
    <row r="336" ht="30" customHeight="1">
      <c r="A336" s="105" t="s">
        <v>9542</v>
      </c>
      <c r="B336" s="105" t="s">
        <v>8214</v>
      </c>
      <c r="C336" s="30" t="s">
        <v>8213</v>
      </c>
      <c r="D336" s="105" t="s">
        <v>9543</v>
      </c>
      <c r="E336" s="104" t="s">
        <v>8215</v>
      </c>
      <c r="F336" s="104" t="s">
        <v>7332</v>
      </c>
      <c r="G336" s="104" t="s">
        <v>7160</v>
      </c>
      <c r="H336" s="116" t="s">
        <v>7333</v>
      </c>
      <c r="I336" s="104" t="s">
        <v>8216</v>
      </c>
      <c r="J336" s="104" t="s">
        <v>8217</v>
      </c>
      <c r="K336" s="117" t="s">
        <v>8218</v>
      </c>
      <c r="L336" s="105" t="n">
        <v>-19.938969</v>
      </c>
      <c r="M336" s="105" t="n">
        <v>-43.912968999999997</v>
      </c>
      <c r="N336" s="105" t="n">
        <v>613758.15788010298</v>
      </c>
      <c r="O336" s="105" t="n">
        <v>7794904.3268657001</v>
      </c>
    </row>
    <row r="337" ht="30" customHeight="1">
      <c r="A337" s="105" t="s">
        <v>9544</v>
      </c>
      <c r="B337" s="105" t="s">
        <v>8214</v>
      </c>
      <c r="C337" s="30" t="s">
        <v>8213</v>
      </c>
      <c r="D337" s="105" t="s">
        <v>9545</v>
      </c>
      <c r="E337" s="104" t="s">
        <v>8215</v>
      </c>
      <c r="F337" s="104" t="s">
        <v>7332</v>
      </c>
      <c r="G337" s="104" t="s">
        <v>7160</v>
      </c>
      <c r="H337" s="116" t="s">
        <v>7333</v>
      </c>
      <c r="I337" s="104" t="s">
        <v>8216</v>
      </c>
      <c r="J337" s="104" t="s">
        <v>8217</v>
      </c>
      <c r="K337" s="117" t="s">
        <v>8218</v>
      </c>
      <c r="L337" s="105" t="n">
        <v>-19.938969</v>
      </c>
      <c r="M337" s="105" t="n">
        <v>-43.912968999999997</v>
      </c>
      <c r="N337" s="105" t="n">
        <v>613758.15788010298</v>
      </c>
      <c r="O337" s="105" t="n">
        <v>7794904.3268657001</v>
      </c>
    </row>
    <row r="338" ht="30" customHeight="1">
      <c r="A338" s="105" t="s">
        <v>9546</v>
      </c>
      <c r="B338" s="105" t="s">
        <v>8214</v>
      </c>
      <c r="C338" s="30" t="s">
        <v>8213</v>
      </c>
      <c r="D338" s="105" t="s">
        <v>9547</v>
      </c>
      <c r="E338" s="104" t="s">
        <v>8215</v>
      </c>
      <c r="F338" s="104" t="s">
        <v>7332</v>
      </c>
      <c r="G338" s="104" t="s">
        <v>7160</v>
      </c>
      <c r="H338" s="116" t="s">
        <v>7333</v>
      </c>
      <c r="I338" s="104" t="s">
        <v>8216</v>
      </c>
      <c r="J338" s="104" t="s">
        <v>8217</v>
      </c>
      <c r="K338" s="117" t="s">
        <v>8218</v>
      </c>
      <c r="L338" s="105" t="n">
        <v>-19.938969</v>
      </c>
      <c r="M338" s="105" t="n">
        <v>-43.912968999999997</v>
      </c>
      <c r="N338" s="105" t="n">
        <v>613758.15788010298</v>
      </c>
      <c r="O338" s="105" t="n">
        <v>7794904.3268657001</v>
      </c>
    </row>
    <row r="339" ht="30" customHeight="1">
      <c r="A339" s="105" t="s">
        <v>9548</v>
      </c>
      <c r="B339" s="105" t="s">
        <v>8214</v>
      </c>
      <c r="C339" s="30" t="s">
        <v>8213</v>
      </c>
      <c r="D339" s="105" t="s">
        <v>9549</v>
      </c>
      <c r="E339" s="104" t="s">
        <v>8215</v>
      </c>
      <c r="F339" s="104" t="s">
        <v>7332</v>
      </c>
      <c r="G339" s="104" t="s">
        <v>7160</v>
      </c>
      <c r="H339" s="116" t="s">
        <v>7333</v>
      </c>
      <c r="I339" s="104" t="s">
        <v>8216</v>
      </c>
      <c r="J339" s="104" t="s">
        <v>8217</v>
      </c>
      <c r="K339" s="117" t="s">
        <v>8218</v>
      </c>
      <c r="L339" s="105" t="n">
        <v>-19.938969</v>
      </c>
      <c r="M339" s="105" t="n">
        <v>-43.912968999999997</v>
      </c>
      <c r="N339" s="105" t="n">
        <v>613758.15788010298</v>
      </c>
      <c r="O339" s="105" t="n">
        <v>7794904.3268657001</v>
      </c>
    </row>
    <row r="340" ht="30" customHeight="1">
      <c r="A340" s="105" t="s">
        <v>9550</v>
      </c>
      <c r="B340" s="105" t="s">
        <v>8214</v>
      </c>
      <c r="C340" s="30" t="s">
        <v>8213</v>
      </c>
      <c r="D340" s="30" t="s">
        <v>9551</v>
      </c>
      <c r="E340" s="104" t="s">
        <v>8215</v>
      </c>
      <c r="F340" s="104" t="s">
        <v>7332</v>
      </c>
      <c r="G340" s="104" t="s">
        <v>7160</v>
      </c>
      <c r="H340" s="116" t="s">
        <v>7333</v>
      </c>
      <c r="I340" s="104" t="s">
        <v>8216</v>
      </c>
      <c r="J340" s="104" t="s">
        <v>8217</v>
      </c>
      <c r="K340" s="117" t="s">
        <v>8218</v>
      </c>
      <c r="L340" s="105" t="n">
        <v>-19.938969</v>
      </c>
      <c r="M340" s="105" t="n">
        <v>-43.912968999999997</v>
      </c>
      <c r="N340" s="105" t="n">
        <v>613758.15788010298</v>
      </c>
      <c r="O340" s="105" t="n">
        <v>7794904.3268657001</v>
      </c>
    </row>
    <row r="341" ht="30" customHeight="1">
      <c r="A341" s="105" t="s">
        <v>9552</v>
      </c>
      <c r="B341" s="105" t="s">
        <v>8214</v>
      </c>
      <c r="C341" s="30" t="s">
        <v>8213</v>
      </c>
      <c r="D341" s="105" t="s">
        <v>9553</v>
      </c>
      <c r="E341" s="104" t="s">
        <v>8215</v>
      </c>
      <c r="F341" s="104" t="s">
        <v>7332</v>
      </c>
      <c r="G341" s="104" t="s">
        <v>7160</v>
      </c>
      <c r="H341" s="116" t="s">
        <v>7333</v>
      </c>
      <c r="I341" s="104" t="s">
        <v>8216</v>
      </c>
      <c r="J341" s="104" t="s">
        <v>8217</v>
      </c>
      <c r="K341" s="117" t="s">
        <v>8218</v>
      </c>
      <c r="L341" s="105" t="n">
        <v>-19.938969</v>
      </c>
      <c r="M341" s="105" t="n">
        <v>-43.912968999999997</v>
      </c>
      <c r="N341" s="105" t="n">
        <v>613758.15788010298</v>
      </c>
      <c r="O341" s="105" t="n">
        <v>7794904.3268657001</v>
      </c>
    </row>
    <row r="342" ht="30" customHeight="1">
      <c r="A342" s="105" t="s">
        <v>9554</v>
      </c>
      <c r="B342" s="105" t="s">
        <v>8214</v>
      </c>
      <c r="C342" s="30" t="s">
        <v>8213</v>
      </c>
      <c r="D342" s="105" t="s">
        <v>9555</v>
      </c>
      <c r="E342" s="104" t="s">
        <v>8215</v>
      </c>
      <c r="F342" s="104" t="s">
        <v>7332</v>
      </c>
      <c r="G342" s="104" t="s">
        <v>7160</v>
      </c>
      <c r="H342" s="116" t="s">
        <v>7333</v>
      </c>
      <c r="I342" s="104" t="s">
        <v>8216</v>
      </c>
      <c r="J342" s="104" t="s">
        <v>8217</v>
      </c>
      <c r="K342" s="117" t="s">
        <v>8218</v>
      </c>
      <c r="L342" s="105" t="n">
        <v>-19.938969</v>
      </c>
      <c r="M342" s="105" t="n">
        <v>-43.912968999999997</v>
      </c>
      <c r="N342" s="105" t="n">
        <v>613758.15788010298</v>
      </c>
      <c r="O342" s="105" t="n">
        <v>7794904.3268657001</v>
      </c>
    </row>
    <row r="343" ht="30" customHeight="1">
      <c r="A343" s="105" t="s">
        <v>9556</v>
      </c>
      <c r="B343" s="105" t="s">
        <v>8214</v>
      </c>
      <c r="C343" s="30" t="s">
        <v>8213</v>
      </c>
      <c r="D343" s="105" t="s">
        <v>9557</v>
      </c>
      <c r="E343" s="104" t="s">
        <v>8215</v>
      </c>
      <c r="F343" s="104" t="s">
        <v>7332</v>
      </c>
      <c r="G343" s="104" t="s">
        <v>7160</v>
      </c>
      <c r="H343" s="116" t="s">
        <v>7333</v>
      </c>
      <c r="I343" s="104" t="s">
        <v>8216</v>
      </c>
      <c r="J343" s="104" t="s">
        <v>8217</v>
      </c>
      <c r="K343" s="117" t="s">
        <v>8218</v>
      </c>
      <c r="L343" s="105" t="n">
        <v>-19.938969</v>
      </c>
      <c r="M343" s="105" t="n">
        <v>-43.912968999999997</v>
      </c>
      <c r="N343" s="105" t="n">
        <v>613758.15788010298</v>
      </c>
      <c r="O343" s="105" t="n">
        <v>7794904.3268657001</v>
      </c>
    </row>
    <row r="344" ht="30" customHeight="1">
      <c r="A344" s="105" t="s">
        <v>9558</v>
      </c>
      <c r="B344" s="105" t="s">
        <v>8214</v>
      </c>
      <c r="C344" s="30" t="s">
        <v>8213</v>
      </c>
      <c r="D344" s="105" t="s">
        <v>9559</v>
      </c>
      <c r="E344" s="104" t="s">
        <v>8215</v>
      </c>
      <c r="F344" s="104" t="s">
        <v>7332</v>
      </c>
      <c r="G344" s="104" t="s">
        <v>7160</v>
      </c>
      <c r="H344" s="116" t="s">
        <v>7333</v>
      </c>
      <c r="I344" s="104" t="s">
        <v>8216</v>
      </c>
      <c r="J344" s="104" t="s">
        <v>8217</v>
      </c>
      <c r="K344" s="117" t="s">
        <v>8218</v>
      </c>
      <c r="L344" s="105" t="n">
        <v>-19.938969</v>
      </c>
      <c r="M344" s="105" t="n">
        <v>-43.912968999999997</v>
      </c>
      <c r="N344" s="105" t="n">
        <v>613758.15788010298</v>
      </c>
      <c r="O344" s="105" t="n">
        <v>7794904.3268657001</v>
      </c>
    </row>
    <row r="345" ht="30" customHeight="1">
      <c r="A345" s="105" t="s">
        <v>9560</v>
      </c>
      <c r="B345" s="105" t="s">
        <v>8214</v>
      </c>
      <c r="C345" s="30" t="s">
        <v>8213</v>
      </c>
      <c r="D345" s="30" t="s">
        <v>9561</v>
      </c>
      <c r="E345" s="104" t="s">
        <v>8215</v>
      </c>
      <c r="F345" s="104" t="s">
        <v>7332</v>
      </c>
      <c r="G345" s="104" t="s">
        <v>7160</v>
      </c>
      <c r="H345" s="116" t="s">
        <v>7333</v>
      </c>
      <c r="I345" s="104" t="s">
        <v>8216</v>
      </c>
      <c r="J345" s="104" t="s">
        <v>8217</v>
      </c>
      <c r="K345" s="117" t="s">
        <v>8218</v>
      </c>
      <c r="L345" s="105" t="n">
        <v>-19.938969</v>
      </c>
      <c r="M345" s="105" t="n">
        <v>-43.912968999999997</v>
      </c>
      <c r="N345" s="105" t="n">
        <v>613758.15788010298</v>
      </c>
      <c r="O345" s="105" t="n">
        <v>7794904.3268657001</v>
      </c>
    </row>
    <row r="346" ht="30" customHeight="1">
      <c r="A346" s="105" t="s">
        <v>9562</v>
      </c>
      <c r="B346" s="105" t="s">
        <v>8214</v>
      </c>
      <c r="C346" s="30" t="s">
        <v>8213</v>
      </c>
      <c r="D346" s="105" t="s">
        <v>9563</v>
      </c>
      <c r="E346" s="104" t="s">
        <v>8215</v>
      </c>
      <c r="F346" s="104" t="s">
        <v>7332</v>
      </c>
      <c r="G346" s="104" t="s">
        <v>7160</v>
      </c>
      <c r="H346" s="116" t="s">
        <v>7333</v>
      </c>
      <c r="I346" s="104" t="s">
        <v>8216</v>
      </c>
      <c r="J346" s="104" t="s">
        <v>8217</v>
      </c>
      <c r="K346" s="117" t="s">
        <v>8218</v>
      </c>
      <c r="L346" s="105" t="n">
        <v>-19.938969</v>
      </c>
      <c r="M346" s="105" t="n">
        <v>-43.912968999999997</v>
      </c>
      <c r="N346" s="105" t="n">
        <v>613758.15788010298</v>
      </c>
      <c r="O346" s="105" t="n">
        <v>7794904.3268657001</v>
      </c>
    </row>
    <row r="347" ht="30" customHeight="1">
      <c r="A347" s="105" t="s">
        <v>9564</v>
      </c>
      <c r="B347" s="105" t="s">
        <v>8220</v>
      </c>
      <c r="C347" s="30" t="s">
        <v>8219</v>
      </c>
      <c r="D347" s="105" t="s">
        <v>9565</v>
      </c>
      <c r="E347" s="104" t="s">
        <v>8221</v>
      </c>
      <c r="F347" s="104" t="s">
        <v>7980</v>
      </c>
      <c r="G347" s="104" t="s">
        <v>7160</v>
      </c>
      <c r="H347" s="116" t="s">
        <v>7161</v>
      </c>
      <c r="I347" s="104" t="s">
        <v>8222</v>
      </c>
      <c r="J347" s="104" t="s">
        <v>8223</v>
      </c>
      <c r="K347" s="117" t="s">
        <v>8191</v>
      </c>
      <c r="L347" s="105" t="n">
        <v>-19.925151</v>
      </c>
      <c r="M347" s="105" t="n">
        <v>-43.931947000000001</v>
      </c>
      <c r="N347" s="105" t="n">
        <v>611781.64404671697</v>
      </c>
      <c r="O347" s="105" t="n">
        <v>7796446.3605611203</v>
      </c>
    </row>
    <row r="348" ht="30" customHeight="1">
      <c r="A348" s="105" t="s">
        <v>9566</v>
      </c>
      <c r="B348" s="105" t="s">
        <v>8220</v>
      </c>
      <c r="C348" s="30" t="s">
        <v>8219</v>
      </c>
      <c r="D348" s="105" t="s">
        <v>9567</v>
      </c>
      <c r="E348" s="104" t="s">
        <v>8221</v>
      </c>
      <c r="F348" s="104" t="s">
        <v>7980</v>
      </c>
      <c r="G348" s="104" t="s">
        <v>7160</v>
      </c>
      <c r="H348" s="116" t="s">
        <v>7161</v>
      </c>
      <c r="I348" s="104" t="s">
        <v>8222</v>
      </c>
      <c r="J348" s="104" t="s">
        <v>8223</v>
      </c>
      <c r="K348" s="117" t="s">
        <v>8191</v>
      </c>
      <c r="L348" s="105" t="n">
        <v>-19.925151</v>
      </c>
      <c r="M348" s="105" t="n">
        <v>-43.931947000000001</v>
      </c>
      <c r="N348" s="105" t="n">
        <v>611781.64404671697</v>
      </c>
      <c r="O348" s="105" t="n">
        <v>7796446.3605611203</v>
      </c>
    </row>
    <row r="349" ht="30" customHeight="1">
      <c r="A349" s="105" t="s">
        <v>9568</v>
      </c>
      <c r="B349" s="105" t="s">
        <v>8220</v>
      </c>
      <c r="C349" s="30" t="s">
        <v>8219</v>
      </c>
      <c r="D349" s="105" t="s">
        <v>9569</v>
      </c>
      <c r="E349" s="104" t="s">
        <v>8221</v>
      </c>
      <c r="F349" s="104" t="s">
        <v>7980</v>
      </c>
      <c r="G349" s="104" t="s">
        <v>7160</v>
      </c>
      <c r="H349" s="116" t="s">
        <v>7161</v>
      </c>
      <c r="I349" s="104" t="s">
        <v>8222</v>
      </c>
      <c r="J349" s="104" t="s">
        <v>8223</v>
      </c>
      <c r="K349" s="117" t="s">
        <v>8191</v>
      </c>
      <c r="L349" s="105" t="n">
        <v>-19.925151</v>
      </c>
      <c r="M349" s="105" t="n">
        <v>-43.931947000000001</v>
      </c>
      <c r="N349" s="105" t="n">
        <v>611781.64404671697</v>
      </c>
      <c r="O349" s="105" t="n">
        <v>7796446.3605611203</v>
      </c>
    </row>
    <row r="350" ht="30" customHeight="1">
      <c r="A350" s="105" t="s">
        <v>9570</v>
      </c>
      <c r="B350" s="105" t="s">
        <v>8220</v>
      </c>
      <c r="C350" s="30" t="s">
        <v>8219</v>
      </c>
      <c r="D350" s="105" t="s">
        <v>9571</v>
      </c>
      <c r="E350" s="104" t="s">
        <v>8221</v>
      </c>
      <c r="F350" s="104" t="s">
        <v>7980</v>
      </c>
      <c r="G350" s="104" t="s">
        <v>7160</v>
      </c>
      <c r="H350" s="116" t="s">
        <v>7161</v>
      </c>
      <c r="I350" s="104" t="s">
        <v>8222</v>
      </c>
      <c r="J350" s="104" t="s">
        <v>8223</v>
      </c>
      <c r="K350" s="117" t="s">
        <v>8191</v>
      </c>
      <c r="L350" s="105" t="n">
        <v>-19.925151</v>
      </c>
      <c r="M350" s="105" t="n">
        <v>-43.931947000000001</v>
      </c>
      <c r="N350" s="105" t="n">
        <v>611781.64404671697</v>
      </c>
      <c r="O350" s="105" t="n">
        <v>7796446.3605611203</v>
      </c>
    </row>
    <row r="351" ht="30" customHeight="1">
      <c r="A351" s="105" t="s">
        <v>9572</v>
      </c>
      <c r="B351" s="105" t="s">
        <v>8220</v>
      </c>
      <c r="C351" s="30" t="s">
        <v>8219</v>
      </c>
      <c r="D351" s="30" t="s">
        <v>9573</v>
      </c>
      <c r="E351" s="104" t="s">
        <v>8221</v>
      </c>
      <c r="F351" s="104" t="s">
        <v>7980</v>
      </c>
      <c r="G351" s="104" t="s">
        <v>7160</v>
      </c>
      <c r="H351" s="116" t="s">
        <v>7161</v>
      </c>
      <c r="I351" s="104" t="s">
        <v>8222</v>
      </c>
      <c r="J351" s="104" t="s">
        <v>8223</v>
      </c>
      <c r="K351" s="117" t="s">
        <v>8191</v>
      </c>
      <c r="L351" s="105" t="n">
        <v>-19.925151</v>
      </c>
      <c r="M351" s="105" t="n">
        <v>-43.931947000000001</v>
      </c>
      <c r="N351" s="105" t="n">
        <v>611781.64404671697</v>
      </c>
      <c r="O351" s="105" t="n">
        <v>7796446.3605611203</v>
      </c>
    </row>
    <row r="352" ht="30" customHeight="1">
      <c r="A352" s="105" t="s">
        <v>9574</v>
      </c>
      <c r="B352" s="105" t="s">
        <v>8225</v>
      </c>
      <c r="C352" s="30" t="s">
        <v>8224</v>
      </c>
      <c r="D352" s="105" t="s">
        <v>9575</v>
      </c>
      <c r="E352" s="104" t="s">
        <v>8226</v>
      </c>
      <c r="F352" s="104" t="s">
        <v>7980</v>
      </c>
      <c r="G352" s="104" t="s">
        <v>7160</v>
      </c>
      <c r="H352" s="116" t="s">
        <v>7161</v>
      </c>
      <c r="I352" s="104" t="s">
        <v>8227</v>
      </c>
      <c r="J352" s="104"/>
      <c r="K352" s="117" t="s">
        <v>8228</v>
      </c>
      <c r="L352" s="105" t="n">
        <v>-19.925603059680199</v>
      </c>
      <c r="M352" s="105" t="n">
        <v>-43.929961572368001</v>
      </c>
      <c r="N352" s="105" t="n">
        <v>611989.13763822604</v>
      </c>
      <c r="O352" s="105" t="n">
        <v>7796395.0077550896</v>
      </c>
    </row>
    <row r="353" ht="30" customHeight="1">
      <c r="A353" s="105" t="s">
        <v>9576</v>
      </c>
      <c r="B353" s="105" t="s">
        <v>8225</v>
      </c>
      <c r="C353" s="30" t="s">
        <v>8224</v>
      </c>
      <c r="D353" s="105" t="s">
        <v>9577</v>
      </c>
      <c r="E353" s="104" t="s">
        <v>8226</v>
      </c>
      <c r="F353" s="104" t="s">
        <v>7980</v>
      </c>
      <c r="G353" s="104" t="s">
        <v>7160</v>
      </c>
      <c r="H353" s="116" t="s">
        <v>7161</v>
      </c>
      <c r="I353" s="104" t="s">
        <v>8227</v>
      </c>
      <c r="J353" s="104"/>
      <c r="K353" s="117" t="s">
        <v>8228</v>
      </c>
      <c r="L353" s="105" t="n">
        <v>-19.925603059680199</v>
      </c>
      <c r="M353" s="105" t="n">
        <v>-43.929961572368001</v>
      </c>
      <c r="N353" s="105" t="n">
        <v>611989.13763822604</v>
      </c>
      <c r="O353" s="105" t="n">
        <v>7796395.0077550896</v>
      </c>
    </row>
    <row r="354" ht="30" customHeight="1">
      <c r="A354" s="105" t="s">
        <v>9578</v>
      </c>
      <c r="B354" s="105" t="s">
        <v>8225</v>
      </c>
      <c r="C354" s="30" t="s">
        <v>8224</v>
      </c>
      <c r="D354" s="105" t="s">
        <v>9579</v>
      </c>
      <c r="E354" s="104" t="s">
        <v>8226</v>
      </c>
      <c r="F354" s="104" t="s">
        <v>7980</v>
      </c>
      <c r="G354" s="104" t="s">
        <v>7160</v>
      </c>
      <c r="H354" s="116" t="s">
        <v>7161</v>
      </c>
      <c r="I354" s="104" t="s">
        <v>8227</v>
      </c>
      <c r="J354" s="104"/>
      <c r="K354" s="117" t="s">
        <v>8228</v>
      </c>
      <c r="L354" s="105" t="n">
        <v>-19.925603059680199</v>
      </c>
      <c r="M354" s="105" t="n">
        <v>-43.929961572368001</v>
      </c>
      <c r="N354" s="105" t="n">
        <v>611989.13763822604</v>
      </c>
      <c r="O354" s="105" t="n">
        <v>7796395.0077550896</v>
      </c>
    </row>
    <row r="355" ht="30" customHeight="1">
      <c r="A355" s="105" t="s">
        <v>9580</v>
      </c>
      <c r="B355" s="105" t="s">
        <v>8225</v>
      </c>
      <c r="C355" s="30" t="s">
        <v>8224</v>
      </c>
      <c r="D355" s="30" t="s">
        <v>9581</v>
      </c>
      <c r="E355" s="104" t="s">
        <v>8226</v>
      </c>
      <c r="F355" s="104" t="s">
        <v>7980</v>
      </c>
      <c r="G355" s="104" t="s">
        <v>7160</v>
      </c>
      <c r="H355" s="116" t="s">
        <v>7161</v>
      </c>
      <c r="I355" s="104" t="s">
        <v>8227</v>
      </c>
      <c r="J355" s="104"/>
      <c r="K355" s="117" t="s">
        <v>8228</v>
      </c>
      <c r="L355" s="105" t="n">
        <v>-19.925603059680199</v>
      </c>
      <c r="M355" s="105" t="n">
        <v>-43.929961572368001</v>
      </c>
      <c r="N355" s="105" t="n">
        <v>611989.13763822604</v>
      </c>
      <c r="O355" s="105" t="n">
        <v>7796395.0077550896</v>
      </c>
    </row>
    <row r="356" ht="30" customHeight="1">
      <c r="A356" s="105" t="s">
        <v>9582</v>
      </c>
      <c r="B356" s="105" t="s">
        <v>8225</v>
      </c>
      <c r="C356" s="30" t="s">
        <v>8224</v>
      </c>
      <c r="D356" s="105" t="s">
        <v>9583</v>
      </c>
      <c r="E356" s="104" t="s">
        <v>8226</v>
      </c>
      <c r="F356" s="104" t="s">
        <v>7980</v>
      </c>
      <c r="G356" s="104" t="s">
        <v>7160</v>
      </c>
      <c r="H356" s="116" t="s">
        <v>7161</v>
      </c>
      <c r="I356" s="104" t="s">
        <v>8227</v>
      </c>
      <c r="J356" s="104"/>
      <c r="K356" s="117" t="s">
        <v>8228</v>
      </c>
      <c r="L356" s="105" t="n">
        <v>-19.925603059680199</v>
      </c>
      <c r="M356" s="105" t="n">
        <v>-43.929961572368001</v>
      </c>
      <c r="N356" s="105" t="n">
        <v>611989.13763822604</v>
      </c>
      <c r="O356" s="105" t="n">
        <v>7796395.0077550896</v>
      </c>
    </row>
    <row r="357" ht="30" customHeight="1">
      <c r="A357" s="105" t="s">
        <v>9584</v>
      </c>
      <c r="B357" s="105" t="s">
        <v>8225</v>
      </c>
      <c r="C357" s="30" t="s">
        <v>8224</v>
      </c>
      <c r="D357" s="105" t="s">
        <v>9585</v>
      </c>
      <c r="E357" s="104" t="s">
        <v>8226</v>
      </c>
      <c r="F357" s="104" t="s">
        <v>7980</v>
      </c>
      <c r="G357" s="104" t="s">
        <v>7160</v>
      </c>
      <c r="H357" s="116" t="s">
        <v>7161</v>
      </c>
      <c r="I357" s="104" t="s">
        <v>8227</v>
      </c>
      <c r="J357" s="104"/>
      <c r="K357" s="117" t="s">
        <v>8228</v>
      </c>
      <c r="L357" s="105" t="n">
        <v>-19.925603059680199</v>
      </c>
      <c r="M357" s="105" t="n">
        <v>-43.929961572368001</v>
      </c>
      <c r="N357" s="105" t="n">
        <v>611989.13763822604</v>
      </c>
      <c r="O357" s="105" t="n">
        <v>7796395.0077550896</v>
      </c>
    </row>
    <row r="358" ht="30" customHeight="1">
      <c r="A358" s="105" t="s">
        <v>9586</v>
      </c>
      <c r="B358" s="105" t="s">
        <v>8230</v>
      </c>
      <c r="C358" s="30" t="s">
        <v>8229</v>
      </c>
      <c r="D358" s="105" t="s">
        <v>9587</v>
      </c>
      <c r="E358" s="104" t="s">
        <v>8231</v>
      </c>
      <c r="F358" s="104" t="s">
        <v>8232</v>
      </c>
      <c r="G358" s="104" t="s">
        <v>7077</v>
      </c>
      <c r="H358" s="116" t="s">
        <v>7221</v>
      </c>
      <c r="I358" s="104" t="s">
        <v>8233</v>
      </c>
      <c r="J358" s="104" t="s">
        <v>8234</v>
      </c>
      <c r="K358" s="117" t="s">
        <v>8235</v>
      </c>
      <c r="L358" s="105" t="n">
        <v>-19.973207231606601</v>
      </c>
      <c r="M358" s="105" t="n">
        <v>-43.992812367948297</v>
      </c>
      <c r="N358" s="105" t="n">
        <v>605379.09494178905</v>
      </c>
      <c r="O358" s="105" t="n">
        <v>7791167.1755478801</v>
      </c>
    </row>
    <row r="359" ht="30" customHeight="1">
      <c r="A359" s="105" t="s">
        <v>9588</v>
      </c>
      <c r="B359" s="105" t="s">
        <v>8230</v>
      </c>
      <c r="C359" s="30" t="s">
        <v>8229</v>
      </c>
      <c r="D359" s="105" t="s">
        <v>9589</v>
      </c>
      <c r="E359" s="104" t="s">
        <v>8231</v>
      </c>
      <c r="F359" s="104" t="s">
        <v>8232</v>
      </c>
      <c r="G359" s="104" t="s">
        <v>7077</v>
      </c>
      <c r="H359" s="116" t="s">
        <v>7221</v>
      </c>
      <c r="I359" s="104" t="s">
        <v>8233</v>
      </c>
      <c r="J359" s="104" t="s">
        <v>8234</v>
      </c>
      <c r="K359" s="117" t="s">
        <v>8235</v>
      </c>
      <c r="L359" s="105" t="n">
        <v>-19.973207231606601</v>
      </c>
      <c r="M359" s="105" t="n">
        <v>-43.992812367948297</v>
      </c>
      <c r="N359" s="105" t="n">
        <v>605379.09494178905</v>
      </c>
      <c r="O359" s="105" t="n">
        <v>7791167.1755478801</v>
      </c>
    </row>
    <row r="360" ht="30" customHeight="1">
      <c r="A360" s="105" t="s">
        <v>9590</v>
      </c>
      <c r="B360" s="105" t="s">
        <v>8230</v>
      </c>
      <c r="C360" s="30" t="s">
        <v>8229</v>
      </c>
      <c r="D360" s="105" t="s">
        <v>9591</v>
      </c>
      <c r="E360" s="104" t="s">
        <v>8231</v>
      </c>
      <c r="F360" s="104" t="s">
        <v>8232</v>
      </c>
      <c r="G360" s="104" t="s">
        <v>7077</v>
      </c>
      <c r="H360" s="116" t="s">
        <v>7221</v>
      </c>
      <c r="I360" s="104" t="s">
        <v>8233</v>
      </c>
      <c r="J360" s="104" t="s">
        <v>8234</v>
      </c>
      <c r="K360" s="117" t="s">
        <v>8235</v>
      </c>
      <c r="L360" s="105" t="n">
        <v>-19.973207231606601</v>
      </c>
      <c r="M360" s="105" t="n">
        <v>-43.992812367948297</v>
      </c>
      <c r="N360" s="105" t="n">
        <v>605379.09494178905</v>
      </c>
      <c r="O360" s="105" t="n">
        <v>7791167.1755478801</v>
      </c>
    </row>
    <row r="361" ht="30" customHeight="1">
      <c r="A361" s="105" t="s">
        <v>9592</v>
      </c>
      <c r="B361" s="105" t="s">
        <v>8230</v>
      </c>
      <c r="C361" s="30" t="s">
        <v>8229</v>
      </c>
      <c r="D361" s="105" t="s">
        <v>9593</v>
      </c>
      <c r="E361" s="104" t="s">
        <v>8231</v>
      </c>
      <c r="F361" s="104" t="s">
        <v>8232</v>
      </c>
      <c r="G361" s="104" t="s">
        <v>7077</v>
      </c>
      <c r="H361" s="116" t="s">
        <v>7221</v>
      </c>
      <c r="I361" s="104" t="s">
        <v>8233</v>
      </c>
      <c r="J361" s="104" t="s">
        <v>8234</v>
      </c>
      <c r="K361" s="117" t="s">
        <v>8235</v>
      </c>
      <c r="L361" s="105" t="n">
        <v>-19.973207231606601</v>
      </c>
      <c r="M361" s="105" t="n">
        <v>-43.992812367948297</v>
      </c>
      <c r="N361" s="105" t="n">
        <v>605379.09494178905</v>
      </c>
      <c r="O361" s="105" t="n">
        <v>7791167.1755478801</v>
      </c>
    </row>
    <row r="362" ht="30" customHeight="1">
      <c r="A362" s="105" t="s">
        <v>9594</v>
      </c>
      <c r="B362" s="105" t="s">
        <v>8237</v>
      </c>
      <c r="C362" s="30" t="s">
        <v>8236</v>
      </c>
      <c r="D362" s="105" t="s">
        <v>9595</v>
      </c>
      <c r="E362" s="104" t="s">
        <v>8238</v>
      </c>
      <c r="F362" s="104" t="s">
        <v>8239</v>
      </c>
      <c r="G362" s="104" t="s">
        <v>6983</v>
      </c>
      <c r="H362" s="116" t="s">
        <v>7228</v>
      </c>
      <c r="I362" s="104" t="s">
        <v>8240</v>
      </c>
      <c r="J362" s="104" t="s">
        <v>8241</v>
      </c>
      <c r="K362" s="117" t="s">
        <v>8242</v>
      </c>
      <c r="L362" s="105" t="n">
        <v>-19.943082</v>
      </c>
      <c r="M362" s="105" t="n">
        <v>-43.957003</v>
      </c>
      <c r="N362" s="105" t="n">
        <v>609146.75702853</v>
      </c>
      <c r="O362" s="105" t="n">
        <v>7794478.3435481396</v>
      </c>
    </row>
    <row r="363" ht="30" customHeight="1">
      <c r="A363" s="105" t="s">
        <v>9596</v>
      </c>
      <c r="B363" s="105" t="s">
        <v>8237</v>
      </c>
      <c r="C363" s="30" t="s">
        <v>8236</v>
      </c>
      <c r="D363" s="105" t="s">
        <v>9597</v>
      </c>
      <c r="E363" s="104" t="s">
        <v>8238</v>
      </c>
      <c r="F363" s="104" t="s">
        <v>8239</v>
      </c>
      <c r="G363" s="104" t="s">
        <v>6983</v>
      </c>
      <c r="H363" s="116" t="s">
        <v>7228</v>
      </c>
      <c r="I363" s="104" t="s">
        <v>8240</v>
      </c>
      <c r="J363" s="104" t="s">
        <v>8241</v>
      </c>
      <c r="K363" s="117" t="s">
        <v>8242</v>
      </c>
      <c r="L363" s="105" t="n">
        <v>-19.943082</v>
      </c>
      <c r="M363" s="105" t="n">
        <v>-43.957003</v>
      </c>
      <c r="N363" s="105" t="n">
        <v>609146.75702853</v>
      </c>
      <c r="O363" s="105" t="n">
        <v>7794478.3435481396</v>
      </c>
    </row>
    <row r="364" ht="30" customHeight="1">
      <c r="A364" s="105" t="s">
        <v>9598</v>
      </c>
      <c r="B364" s="105" t="s">
        <v>8237</v>
      </c>
      <c r="C364" s="30" t="s">
        <v>8236</v>
      </c>
      <c r="D364" s="105" t="s">
        <v>9599</v>
      </c>
      <c r="E364" s="104" t="s">
        <v>8238</v>
      </c>
      <c r="F364" s="104" t="s">
        <v>8239</v>
      </c>
      <c r="G364" s="104" t="s">
        <v>6983</v>
      </c>
      <c r="H364" s="116" t="s">
        <v>7228</v>
      </c>
      <c r="I364" s="104" t="s">
        <v>8240</v>
      </c>
      <c r="J364" s="104" t="s">
        <v>8241</v>
      </c>
      <c r="K364" s="117" t="s">
        <v>8242</v>
      </c>
      <c r="L364" s="105" t="n">
        <v>-19.943082</v>
      </c>
      <c r="M364" s="105" t="n">
        <v>-43.957003</v>
      </c>
      <c r="N364" s="105" t="n">
        <v>609146.75702853</v>
      </c>
      <c r="O364" s="105" t="n">
        <v>7794478.3435481396</v>
      </c>
    </row>
    <row r="365" ht="30" customHeight="1">
      <c r="A365" s="105" t="s">
        <v>9600</v>
      </c>
      <c r="B365" s="105" t="s">
        <v>8237</v>
      </c>
      <c r="C365" s="30" t="s">
        <v>8236</v>
      </c>
      <c r="D365" s="105" t="s">
        <v>9601</v>
      </c>
      <c r="E365" s="104" t="s">
        <v>8238</v>
      </c>
      <c r="F365" s="104" t="s">
        <v>8239</v>
      </c>
      <c r="G365" s="104" t="s">
        <v>6983</v>
      </c>
      <c r="H365" s="116" t="s">
        <v>7228</v>
      </c>
      <c r="I365" s="104" t="s">
        <v>8240</v>
      </c>
      <c r="J365" s="104" t="s">
        <v>8241</v>
      </c>
      <c r="K365" s="117" t="s">
        <v>8242</v>
      </c>
      <c r="L365" s="105" t="n">
        <v>-19.943082</v>
      </c>
      <c r="M365" s="105" t="n">
        <v>-43.957003</v>
      </c>
      <c r="N365" s="105" t="n">
        <v>609146.75702853</v>
      </c>
      <c r="O365" s="105" t="n">
        <v>7794478.3435481396</v>
      </c>
    </row>
    <row r="366" ht="30" customHeight="1">
      <c r="A366" s="105" t="s">
        <v>9602</v>
      </c>
      <c r="B366" s="105" t="s">
        <v>8237</v>
      </c>
      <c r="C366" s="30" t="s">
        <v>8236</v>
      </c>
      <c r="D366" s="30" t="s">
        <v>9603</v>
      </c>
      <c r="E366" s="104" t="s">
        <v>8238</v>
      </c>
      <c r="F366" s="104" t="s">
        <v>8239</v>
      </c>
      <c r="G366" s="104" t="s">
        <v>6983</v>
      </c>
      <c r="H366" s="116" t="s">
        <v>7228</v>
      </c>
      <c r="I366" s="104" t="s">
        <v>8240</v>
      </c>
      <c r="J366" s="104" t="s">
        <v>8241</v>
      </c>
      <c r="K366" s="117" t="s">
        <v>8242</v>
      </c>
      <c r="L366" s="105" t="n">
        <v>-19.943082</v>
      </c>
      <c r="M366" s="105" t="n">
        <v>-43.957003</v>
      </c>
      <c r="N366" s="105" t="n">
        <v>609146.75702853</v>
      </c>
      <c r="O366" s="105" t="n">
        <v>7794478.3435481396</v>
      </c>
    </row>
    <row r="367" ht="30" customHeight="1">
      <c r="A367" s="105" t="s">
        <v>9604</v>
      </c>
      <c r="B367" s="105" t="s">
        <v>8237</v>
      </c>
      <c r="C367" s="30" t="s">
        <v>8236</v>
      </c>
      <c r="D367" s="105" t="s">
        <v>9605</v>
      </c>
      <c r="E367" s="104" t="s">
        <v>8238</v>
      </c>
      <c r="F367" s="104" t="s">
        <v>8239</v>
      </c>
      <c r="G367" s="104" t="s">
        <v>6983</v>
      </c>
      <c r="H367" s="116" t="s">
        <v>7228</v>
      </c>
      <c r="I367" s="104" t="s">
        <v>8240</v>
      </c>
      <c r="J367" s="104" t="s">
        <v>8241</v>
      </c>
      <c r="K367" s="117" t="s">
        <v>8242</v>
      </c>
      <c r="L367" s="105" t="n">
        <v>-19.943082</v>
      </c>
      <c r="M367" s="105" t="n">
        <v>-43.957003</v>
      </c>
      <c r="N367" s="105" t="n">
        <v>609146.75702853</v>
      </c>
      <c r="O367" s="105" t="n">
        <v>7794478.3435481396</v>
      </c>
    </row>
    <row r="368" ht="30" customHeight="1">
      <c r="A368" s="105" t="s">
        <v>9606</v>
      </c>
      <c r="B368" s="105" t="s">
        <v>8237</v>
      </c>
      <c r="C368" s="30" t="s">
        <v>8236</v>
      </c>
      <c r="D368" s="105" t="s">
        <v>9607</v>
      </c>
      <c r="E368" s="104" t="s">
        <v>8238</v>
      </c>
      <c r="F368" s="104" t="s">
        <v>8239</v>
      </c>
      <c r="G368" s="104" t="s">
        <v>6983</v>
      </c>
      <c r="H368" s="116" t="s">
        <v>7228</v>
      </c>
      <c r="I368" s="104" t="s">
        <v>8240</v>
      </c>
      <c r="J368" s="104" t="s">
        <v>8241</v>
      </c>
      <c r="K368" s="117" t="s">
        <v>8242</v>
      </c>
      <c r="L368" s="105" t="n">
        <v>-19.943082</v>
      </c>
      <c r="M368" s="105" t="n">
        <v>-43.957003</v>
      </c>
      <c r="N368" s="105" t="n">
        <v>609146.75702853</v>
      </c>
      <c r="O368" s="105" t="n">
        <v>7794478.3435481396</v>
      </c>
    </row>
    <row r="369" ht="30" customHeight="1">
      <c r="A369" s="105" t="s">
        <v>9608</v>
      </c>
      <c r="B369" s="105" t="s">
        <v>8237</v>
      </c>
      <c r="C369" s="30" t="s">
        <v>8236</v>
      </c>
      <c r="D369" s="105" t="s">
        <v>9609</v>
      </c>
      <c r="E369" s="104" t="s">
        <v>8238</v>
      </c>
      <c r="F369" s="104" t="s">
        <v>8239</v>
      </c>
      <c r="G369" s="104" t="s">
        <v>6983</v>
      </c>
      <c r="H369" s="116" t="s">
        <v>7228</v>
      </c>
      <c r="I369" s="104" t="s">
        <v>8240</v>
      </c>
      <c r="J369" s="104" t="s">
        <v>8241</v>
      </c>
      <c r="K369" s="117" t="s">
        <v>8242</v>
      </c>
      <c r="L369" s="105" t="n">
        <v>-19.943082</v>
      </c>
      <c r="M369" s="105" t="n">
        <v>-43.957003</v>
      </c>
      <c r="N369" s="105" t="n">
        <v>609146.75702853</v>
      </c>
      <c r="O369" s="105" t="n">
        <v>7794478.3435481396</v>
      </c>
    </row>
    <row r="370" ht="30" customHeight="1">
      <c r="A370" s="105" t="s">
        <v>9610</v>
      </c>
      <c r="B370" s="105" t="s">
        <v>8237</v>
      </c>
      <c r="C370" s="30" t="s">
        <v>8236</v>
      </c>
      <c r="D370" s="105" t="s">
        <v>9611</v>
      </c>
      <c r="E370" s="104" t="s">
        <v>8238</v>
      </c>
      <c r="F370" s="104" t="s">
        <v>8239</v>
      </c>
      <c r="G370" s="104" t="s">
        <v>6983</v>
      </c>
      <c r="H370" s="116" t="s">
        <v>7228</v>
      </c>
      <c r="I370" s="104" t="s">
        <v>8240</v>
      </c>
      <c r="J370" s="104" t="s">
        <v>8241</v>
      </c>
      <c r="K370" s="117" t="s">
        <v>8242</v>
      </c>
      <c r="L370" s="105" t="n">
        <v>-19.943082</v>
      </c>
      <c r="M370" s="105" t="n">
        <v>-43.957003</v>
      </c>
      <c r="N370" s="105" t="n">
        <v>609146.75702853</v>
      </c>
      <c r="O370" s="105" t="n">
        <v>7794478.3435481396</v>
      </c>
    </row>
    <row r="371" ht="30" customHeight="1">
      <c r="A371" s="105" t="s">
        <v>9612</v>
      </c>
      <c r="B371" s="105" t="s">
        <v>8237</v>
      </c>
      <c r="C371" s="30" t="s">
        <v>8236</v>
      </c>
      <c r="D371" s="105" t="s">
        <v>9613</v>
      </c>
      <c r="E371" s="104" t="s">
        <v>8238</v>
      </c>
      <c r="F371" s="104" t="s">
        <v>8239</v>
      </c>
      <c r="G371" s="104" t="s">
        <v>6983</v>
      </c>
      <c r="H371" s="116" t="s">
        <v>7228</v>
      </c>
      <c r="I371" s="104" t="s">
        <v>8240</v>
      </c>
      <c r="J371" s="104" t="s">
        <v>8241</v>
      </c>
      <c r="K371" s="117" t="s">
        <v>8242</v>
      </c>
      <c r="L371" s="105" t="n">
        <v>-19.943082</v>
      </c>
      <c r="M371" s="105" t="n">
        <v>-43.957003</v>
      </c>
      <c r="N371" s="105" t="n">
        <v>609146.75702853</v>
      </c>
      <c r="O371" s="105" t="n">
        <v>7794478.3435481396</v>
      </c>
    </row>
    <row r="372" ht="30" customHeight="1">
      <c r="A372" s="105" t="s">
        <v>9614</v>
      </c>
      <c r="B372" s="105" t="s">
        <v>8237</v>
      </c>
      <c r="C372" s="30" t="s">
        <v>8236</v>
      </c>
      <c r="D372" s="105" t="s">
        <v>9615</v>
      </c>
      <c r="E372" s="104" t="s">
        <v>8238</v>
      </c>
      <c r="F372" s="104" t="s">
        <v>8239</v>
      </c>
      <c r="G372" s="104" t="s">
        <v>6983</v>
      </c>
      <c r="H372" s="116" t="s">
        <v>7228</v>
      </c>
      <c r="I372" s="104" t="s">
        <v>8240</v>
      </c>
      <c r="J372" s="104" t="s">
        <v>8241</v>
      </c>
      <c r="K372" s="117" t="s">
        <v>8242</v>
      </c>
      <c r="L372" s="105" t="n">
        <v>-19.943082</v>
      </c>
      <c r="M372" s="105" t="n">
        <v>-43.957003</v>
      </c>
      <c r="N372" s="105" t="n">
        <v>609146.75702853</v>
      </c>
      <c r="O372" s="105" t="n">
        <v>7794478.3435481396</v>
      </c>
    </row>
    <row r="373" ht="30" customHeight="1">
      <c r="A373" s="105" t="s">
        <v>9616</v>
      </c>
      <c r="B373" s="105" t="s">
        <v>8244</v>
      </c>
      <c r="C373" s="30" t="s">
        <v>8243</v>
      </c>
      <c r="D373" s="105" t="s">
        <v>9617</v>
      </c>
      <c r="E373" s="104" t="s">
        <v>8245</v>
      </c>
      <c r="F373" s="104" t="s">
        <v>8246</v>
      </c>
      <c r="G373" s="104" t="s">
        <v>7160</v>
      </c>
      <c r="H373" s="116" t="s">
        <v>8247</v>
      </c>
      <c r="I373" s="104" t="s">
        <v>8248</v>
      </c>
      <c r="J373" s="104" t="s">
        <v>8249</v>
      </c>
      <c r="K373" s="117" t="s">
        <v>8250</v>
      </c>
      <c r="L373" s="105" t="n">
        <v>-19.950219134444399</v>
      </c>
      <c r="M373" s="105" t="n">
        <v>-43.958640725685598</v>
      </c>
      <c r="N373" s="105" t="n">
        <v>608970.46080449398</v>
      </c>
      <c r="O373" s="105" t="n">
        <v>7793689.51567325</v>
      </c>
    </row>
    <row r="374" ht="30" customHeight="1">
      <c r="A374" s="105" t="s">
        <v>9618</v>
      </c>
      <c r="B374" s="105" t="s">
        <v>8244</v>
      </c>
      <c r="C374" s="30" t="s">
        <v>8243</v>
      </c>
      <c r="D374" s="105" t="s">
        <v>9619</v>
      </c>
      <c r="E374" s="104" t="s">
        <v>8245</v>
      </c>
      <c r="F374" s="104" t="s">
        <v>8246</v>
      </c>
      <c r="G374" s="104" t="s">
        <v>7160</v>
      </c>
      <c r="H374" s="116" t="s">
        <v>8247</v>
      </c>
      <c r="I374" s="104" t="s">
        <v>8248</v>
      </c>
      <c r="J374" s="104" t="s">
        <v>8249</v>
      </c>
      <c r="K374" s="117" t="s">
        <v>8250</v>
      </c>
      <c r="L374" s="105" t="n">
        <v>-19.950219134444399</v>
      </c>
      <c r="M374" s="105" t="n">
        <v>-43.958640725685598</v>
      </c>
      <c r="N374" s="105" t="n">
        <v>608970.46080449398</v>
      </c>
      <c r="O374" s="105" t="n">
        <v>7793689.51567325</v>
      </c>
    </row>
    <row r="375" ht="30" customHeight="1">
      <c r="A375" s="105" t="s">
        <v>9620</v>
      </c>
      <c r="B375" s="105" t="s">
        <v>8244</v>
      </c>
      <c r="C375" s="30" t="s">
        <v>8243</v>
      </c>
      <c r="D375" s="105" t="s">
        <v>9621</v>
      </c>
      <c r="E375" s="104" t="s">
        <v>8245</v>
      </c>
      <c r="F375" s="104" t="s">
        <v>8246</v>
      </c>
      <c r="G375" s="104" t="s">
        <v>7160</v>
      </c>
      <c r="H375" s="116" t="s">
        <v>8247</v>
      </c>
      <c r="I375" s="104" t="s">
        <v>8248</v>
      </c>
      <c r="J375" s="104" t="s">
        <v>8249</v>
      </c>
      <c r="K375" s="117" t="s">
        <v>8250</v>
      </c>
      <c r="L375" s="105" t="n">
        <v>-19.950219134444399</v>
      </c>
      <c r="M375" s="105" t="n">
        <v>-43.958640725685598</v>
      </c>
      <c r="N375" s="105" t="n">
        <v>608970.46080449398</v>
      </c>
      <c r="O375" s="105" t="n">
        <v>7793689.51567325</v>
      </c>
    </row>
    <row r="376" ht="30" customHeight="1">
      <c r="A376" s="105" t="s">
        <v>9622</v>
      </c>
      <c r="B376" s="105" t="s">
        <v>8244</v>
      </c>
      <c r="C376" s="30" t="s">
        <v>8243</v>
      </c>
      <c r="D376" s="105" t="s">
        <v>9623</v>
      </c>
      <c r="E376" s="104" t="s">
        <v>8245</v>
      </c>
      <c r="F376" s="104" t="s">
        <v>8246</v>
      </c>
      <c r="G376" s="104" t="s">
        <v>7160</v>
      </c>
      <c r="H376" s="116" t="s">
        <v>8247</v>
      </c>
      <c r="I376" s="104" t="s">
        <v>8248</v>
      </c>
      <c r="J376" s="104" t="s">
        <v>8249</v>
      </c>
      <c r="K376" s="117" t="s">
        <v>8250</v>
      </c>
      <c r="L376" s="105" t="n">
        <v>-19.950219134444399</v>
      </c>
      <c r="M376" s="105" t="n">
        <v>-43.958640725685598</v>
      </c>
      <c r="N376" s="105" t="n">
        <v>608970.46080449398</v>
      </c>
      <c r="O376" s="105" t="n">
        <v>7793689.51567325</v>
      </c>
    </row>
    <row r="377" ht="30" customHeight="1">
      <c r="A377" s="105" t="s">
        <v>9624</v>
      </c>
      <c r="B377" s="105" t="s">
        <v>8244</v>
      </c>
      <c r="C377" s="30" t="s">
        <v>8243</v>
      </c>
      <c r="D377" s="105" t="s">
        <v>9625</v>
      </c>
      <c r="E377" s="104" t="s">
        <v>8245</v>
      </c>
      <c r="F377" s="104" t="s">
        <v>8246</v>
      </c>
      <c r="G377" s="104" t="s">
        <v>7160</v>
      </c>
      <c r="H377" s="116" t="s">
        <v>8247</v>
      </c>
      <c r="I377" s="104" t="s">
        <v>8248</v>
      </c>
      <c r="J377" s="104" t="s">
        <v>8249</v>
      </c>
      <c r="K377" s="117" t="s">
        <v>8250</v>
      </c>
      <c r="L377" s="105" t="n">
        <v>-19.950219134444399</v>
      </c>
      <c r="M377" s="105" t="n">
        <v>-43.958640725685598</v>
      </c>
      <c r="N377" s="105" t="n">
        <v>608970.46080449398</v>
      </c>
      <c r="O377" s="105" t="n">
        <v>7793689.51567325</v>
      </c>
    </row>
    <row r="378" ht="30" customHeight="1">
      <c r="A378" s="105" t="s">
        <v>9626</v>
      </c>
      <c r="B378" s="105" t="s">
        <v>8244</v>
      </c>
      <c r="C378" s="30" t="s">
        <v>8243</v>
      </c>
      <c r="D378" s="105" t="s">
        <v>9627</v>
      </c>
      <c r="E378" s="104" t="s">
        <v>8245</v>
      </c>
      <c r="F378" s="104" t="s">
        <v>8246</v>
      </c>
      <c r="G378" s="104" t="s">
        <v>7160</v>
      </c>
      <c r="H378" s="116" t="s">
        <v>8247</v>
      </c>
      <c r="I378" s="104" t="s">
        <v>8248</v>
      </c>
      <c r="J378" s="104" t="s">
        <v>8249</v>
      </c>
      <c r="K378" s="117" t="s">
        <v>8250</v>
      </c>
      <c r="L378" s="105" t="n">
        <v>-19.950219134444399</v>
      </c>
      <c r="M378" s="105" t="n">
        <v>-43.958640725685598</v>
      </c>
      <c r="N378" s="105" t="n">
        <v>608970.46080449398</v>
      </c>
      <c r="O378" s="105" t="n">
        <v>7793689.51567325</v>
      </c>
    </row>
    <row r="379" ht="30" customHeight="1">
      <c r="A379" s="105" t="s">
        <v>9628</v>
      </c>
      <c r="B379" s="105" t="s">
        <v>8244</v>
      </c>
      <c r="C379" s="30" t="s">
        <v>8243</v>
      </c>
      <c r="D379" s="30" t="s">
        <v>9629</v>
      </c>
      <c r="E379" s="104" t="s">
        <v>8245</v>
      </c>
      <c r="F379" s="104" t="s">
        <v>8246</v>
      </c>
      <c r="G379" s="104" t="s">
        <v>7160</v>
      </c>
      <c r="H379" s="116" t="s">
        <v>8247</v>
      </c>
      <c r="I379" s="104" t="s">
        <v>8248</v>
      </c>
      <c r="J379" s="104" t="s">
        <v>8249</v>
      </c>
      <c r="K379" s="117" t="s">
        <v>8250</v>
      </c>
      <c r="L379" s="105" t="n">
        <v>-19.950219134444399</v>
      </c>
      <c r="M379" s="105" t="n">
        <v>-43.958640725685598</v>
      </c>
      <c r="N379" s="105" t="n">
        <v>608970.46080449398</v>
      </c>
      <c r="O379" s="105" t="n">
        <v>7793689.51567325</v>
      </c>
    </row>
    <row r="380" ht="30" customHeight="1">
      <c r="A380" s="105" t="s">
        <v>9630</v>
      </c>
      <c r="B380" s="105" t="s">
        <v>8244</v>
      </c>
      <c r="C380" s="30" t="s">
        <v>8243</v>
      </c>
      <c r="D380" s="105" t="s">
        <v>9631</v>
      </c>
      <c r="E380" s="104" t="s">
        <v>8245</v>
      </c>
      <c r="F380" s="104" t="s">
        <v>8246</v>
      </c>
      <c r="G380" s="104" t="s">
        <v>7160</v>
      </c>
      <c r="H380" s="116" t="s">
        <v>8247</v>
      </c>
      <c r="I380" s="104" t="s">
        <v>8248</v>
      </c>
      <c r="J380" s="104" t="s">
        <v>8249</v>
      </c>
      <c r="K380" s="117" t="s">
        <v>8250</v>
      </c>
      <c r="L380" s="105" t="n">
        <v>-19.950219134444399</v>
      </c>
      <c r="M380" s="105" t="n">
        <v>-43.958640725685598</v>
      </c>
      <c r="N380" s="105" t="n">
        <v>608970.46080449398</v>
      </c>
      <c r="O380" s="105" t="n">
        <v>7793689.51567325</v>
      </c>
    </row>
    <row r="381" ht="30" customHeight="1">
      <c r="A381" s="105" t="s">
        <v>9632</v>
      </c>
      <c r="B381" s="105" t="s">
        <v>8244</v>
      </c>
      <c r="C381" s="30" t="s">
        <v>8243</v>
      </c>
      <c r="D381" s="105" t="s">
        <v>9633</v>
      </c>
      <c r="E381" s="104" t="s">
        <v>8245</v>
      </c>
      <c r="F381" s="104" t="s">
        <v>8246</v>
      </c>
      <c r="G381" s="104" t="s">
        <v>7160</v>
      </c>
      <c r="H381" s="116" t="s">
        <v>8247</v>
      </c>
      <c r="I381" s="104" t="s">
        <v>8248</v>
      </c>
      <c r="J381" s="104" t="s">
        <v>8249</v>
      </c>
      <c r="K381" s="117" t="s">
        <v>8250</v>
      </c>
      <c r="L381" s="105" t="n">
        <v>-19.950219134444399</v>
      </c>
      <c r="M381" s="105" t="n">
        <v>-43.958640725685598</v>
      </c>
      <c r="N381" s="105" t="n">
        <v>608970.46080449398</v>
      </c>
      <c r="O381" s="105" t="n">
        <v>7793689.51567325</v>
      </c>
    </row>
    <row r="382" ht="30" customHeight="1">
      <c r="A382" s="105" t="s">
        <v>9634</v>
      </c>
      <c r="B382" s="105" t="s">
        <v>8244</v>
      </c>
      <c r="C382" s="30" t="s">
        <v>8243</v>
      </c>
      <c r="D382" s="105" t="s">
        <v>9635</v>
      </c>
      <c r="E382" s="104" t="s">
        <v>8245</v>
      </c>
      <c r="F382" s="104" t="s">
        <v>8246</v>
      </c>
      <c r="G382" s="104" t="s">
        <v>7160</v>
      </c>
      <c r="H382" s="116" t="s">
        <v>8247</v>
      </c>
      <c r="I382" s="104" t="s">
        <v>8248</v>
      </c>
      <c r="J382" s="104" t="s">
        <v>8249</v>
      </c>
      <c r="K382" s="117" t="s">
        <v>8250</v>
      </c>
      <c r="L382" s="105" t="n">
        <v>-19.950219134444399</v>
      </c>
      <c r="M382" s="105" t="n">
        <v>-43.958640725685598</v>
      </c>
      <c r="N382" s="105" t="n">
        <v>608970.46080449398</v>
      </c>
      <c r="O382" s="105" t="n">
        <v>7793689.51567325</v>
      </c>
    </row>
    <row r="383" ht="30" customHeight="1">
      <c r="A383" s="105" t="s">
        <v>9636</v>
      </c>
      <c r="B383" s="105" t="s">
        <v>8244</v>
      </c>
      <c r="C383" s="30" t="s">
        <v>8243</v>
      </c>
      <c r="D383" s="105" t="s">
        <v>9637</v>
      </c>
      <c r="E383" s="104" t="s">
        <v>8245</v>
      </c>
      <c r="F383" s="104" t="s">
        <v>8246</v>
      </c>
      <c r="G383" s="104" t="s">
        <v>7160</v>
      </c>
      <c r="H383" s="116" t="s">
        <v>8247</v>
      </c>
      <c r="I383" s="104" t="s">
        <v>8248</v>
      </c>
      <c r="J383" s="104" t="s">
        <v>8249</v>
      </c>
      <c r="K383" s="117" t="s">
        <v>8250</v>
      </c>
      <c r="L383" s="105" t="n">
        <v>-19.950219134444399</v>
      </c>
      <c r="M383" s="105" t="n">
        <v>-43.958640725685598</v>
      </c>
      <c r="N383" s="105" t="n">
        <v>608970.46080449398</v>
      </c>
      <c r="O383" s="105" t="n">
        <v>7793689.51567325</v>
      </c>
    </row>
    <row r="384" ht="30" customHeight="1">
      <c r="A384" s="105" t="s">
        <v>9638</v>
      </c>
      <c r="B384" s="105" t="s">
        <v>8244</v>
      </c>
      <c r="C384" s="30" t="s">
        <v>8243</v>
      </c>
      <c r="D384" s="30" t="s">
        <v>9639</v>
      </c>
      <c r="E384" s="95" t="s">
        <v>8245</v>
      </c>
      <c r="F384" s="104" t="s">
        <v>8246</v>
      </c>
      <c r="G384" s="104" t="s">
        <v>7160</v>
      </c>
      <c r="H384" s="116" t="s">
        <v>8247</v>
      </c>
      <c r="I384" s="104" t="s">
        <v>8248</v>
      </c>
      <c r="J384" s="104" t="s">
        <v>8249</v>
      </c>
      <c r="K384" s="117" t="s">
        <v>8250</v>
      </c>
      <c r="L384" s="105" t="n">
        <v>-19.950219134444399</v>
      </c>
      <c r="M384" s="105" t="n">
        <v>-43.958640725685598</v>
      </c>
      <c r="N384" s="105" t="n">
        <v>608970.46080449398</v>
      </c>
      <c r="O384" s="105" t="n">
        <v>7793689.51567325</v>
      </c>
    </row>
    <row r="385" ht="30" customHeight="1">
      <c r="A385" s="105" t="s">
        <v>9640</v>
      </c>
      <c r="B385" s="105" t="s">
        <v>8244</v>
      </c>
      <c r="C385" s="30" t="s">
        <v>8243</v>
      </c>
      <c r="D385" s="105" t="s">
        <v>9641</v>
      </c>
      <c r="E385" s="95" t="s">
        <v>8245</v>
      </c>
      <c r="F385" s="104" t="s">
        <v>8246</v>
      </c>
      <c r="G385" s="104" t="s">
        <v>7160</v>
      </c>
      <c r="H385" s="116" t="s">
        <v>8247</v>
      </c>
      <c r="I385" s="104" t="s">
        <v>8248</v>
      </c>
      <c r="J385" s="104" t="s">
        <v>8249</v>
      </c>
      <c r="K385" s="117" t="s">
        <v>8250</v>
      </c>
      <c r="L385" s="105" t="n">
        <v>-19.950219134444399</v>
      </c>
      <c r="M385" s="105" t="n">
        <v>-43.958640725685598</v>
      </c>
      <c r="N385" s="105" t="n">
        <v>608970.46080449398</v>
      </c>
      <c r="O385" s="105" t="n">
        <v>7793689.51567325</v>
      </c>
    </row>
    <row r="386" ht="30" customHeight="1">
      <c r="A386" s="105" t="s">
        <v>9642</v>
      </c>
      <c r="B386" s="105" t="s">
        <v>8252</v>
      </c>
      <c r="C386" s="30" t="s">
        <v>8251</v>
      </c>
      <c r="D386" s="105" t="s">
        <v>9643</v>
      </c>
      <c r="E386" s="95" t="s">
        <v>8253</v>
      </c>
      <c r="F386" s="104" t="s">
        <v>8254</v>
      </c>
      <c r="G386" s="104" t="s">
        <v>7077</v>
      </c>
      <c r="H386" s="116" t="s">
        <v>7221</v>
      </c>
      <c r="I386" s="104" t="s">
        <v>8255</v>
      </c>
      <c r="J386" s="104" t="s">
        <v>8256</v>
      </c>
      <c r="K386" s="117" t="s">
        <v>8257</v>
      </c>
      <c r="L386" s="105" t="n">
        <v>-19.985783264704299</v>
      </c>
      <c r="M386" s="105" t="n">
        <v>-44.005808845190202</v>
      </c>
      <c r="N386" s="105" t="n">
        <v>604010.95274823497</v>
      </c>
      <c r="O386" s="105" t="n">
        <v>7789783.4668508004</v>
      </c>
    </row>
    <row r="387" ht="30" customHeight="1">
      <c r="A387" s="105" t="s">
        <v>9644</v>
      </c>
      <c r="B387" s="105" t="s">
        <v>8252</v>
      </c>
      <c r="C387" s="30" t="s">
        <v>8251</v>
      </c>
      <c r="D387" s="105" t="s">
        <v>9645</v>
      </c>
      <c r="E387" s="95" t="s">
        <v>8253</v>
      </c>
      <c r="F387" s="104" t="s">
        <v>8254</v>
      </c>
      <c r="G387" s="104" t="s">
        <v>7077</v>
      </c>
      <c r="H387" s="116" t="s">
        <v>7221</v>
      </c>
      <c r="I387" s="104" t="s">
        <v>8255</v>
      </c>
      <c r="J387" s="104" t="s">
        <v>8256</v>
      </c>
      <c r="K387" s="117" t="s">
        <v>8257</v>
      </c>
      <c r="L387" s="105" t="n">
        <v>-19.985783264704299</v>
      </c>
      <c r="M387" s="105" t="n">
        <v>-44.005808845190202</v>
      </c>
      <c r="N387" s="105" t="n">
        <v>604010.95274823497</v>
      </c>
      <c r="O387" s="105" t="n">
        <v>7789783.4668508004</v>
      </c>
    </row>
    <row r="388" ht="30" customHeight="1">
      <c r="A388" s="105" t="s">
        <v>9646</v>
      </c>
      <c r="B388" s="105" t="s">
        <v>8252</v>
      </c>
      <c r="C388" s="30" t="s">
        <v>8251</v>
      </c>
      <c r="D388" s="105" t="s">
        <v>9647</v>
      </c>
      <c r="E388" s="95" t="s">
        <v>8253</v>
      </c>
      <c r="F388" s="104" t="s">
        <v>8254</v>
      </c>
      <c r="G388" s="104" t="s">
        <v>7077</v>
      </c>
      <c r="H388" s="116" t="s">
        <v>7221</v>
      </c>
      <c r="I388" s="104" t="s">
        <v>8255</v>
      </c>
      <c r="J388" s="104" t="s">
        <v>8256</v>
      </c>
      <c r="K388" s="117" t="s">
        <v>8257</v>
      </c>
      <c r="L388" s="105" t="n">
        <v>-19.985783264704299</v>
      </c>
      <c r="M388" s="105" t="n">
        <v>-44.005808845190202</v>
      </c>
      <c r="N388" s="105" t="n">
        <v>604010.95274823497</v>
      </c>
      <c r="O388" s="105" t="n">
        <v>7789783.4668508004</v>
      </c>
    </row>
    <row r="389" ht="30" customHeight="1">
      <c r="A389" s="105" t="s">
        <v>9648</v>
      </c>
      <c r="B389" s="105" t="s">
        <v>8252</v>
      </c>
      <c r="C389" s="30" t="s">
        <v>8251</v>
      </c>
      <c r="D389" s="105" t="s">
        <v>9649</v>
      </c>
      <c r="E389" s="95" t="s">
        <v>8253</v>
      </c>
      <c r="F389" s="104" t="s">
        <v>8254</v>
      </c>
      <c r="G389" s="104" t="s">
        <v>7077</v>
      </c>
      <c r="H389" s="116" t="s">
        <v>7221</v>
      </c>
      <c r="I389" s="104" t="s">
        <v>8255</v>
      </c>
      <c r="J389" s="104" t="s">
        <v>8256</v>
      </c>
      <c r="K389" s="117" t="s">
        <v>8257</v>
      </c>
      <c r="L389" s="105" t="n">
        <v>-19.985783264704299</v>
      </c>
      <c r="M389" s="105" t="n">
        <v>-44.005808845190202</v>
      </c>
      <c r="N389" s="105" t="n">
        <v>604010.95274823497</v>
      </c>
      <c r="O389" s="105" t="n">
        <v>7789783.4668508004</v>
      </c>
    </row>
    <row r="390" ht="30" customHeight="1">
      <c r="A390" s="105" t="s">
        <v>9650</v>
      </c>
      <c r="B390" s="105" t="s">
        <v>8252</v>
      </c>
      <c r="C390" s="30" t="s">
        <v>8251</v>
      </c>
      <c r="D390" s="105" t="s">
        <v>9651</v>
      </c>
      <c r="E390" s="95" t="s">
        <v>8253</v>
      </c>
      <c r="F390" s="104" t="s">
        <v>8254</v>
      </c>
      <c r="G390" s="104" t="s">
        <v>7077</v>
      </c>
      <c r="H390" s="116" t="s">
        <v>7221</v>
      </c>
      <c r="I390" s="104" t="s">
        <v>8255</v>
      </c>
      <c r="J390" s="104" t="s">
        <v>8256</v>
      </c>
      <c r="K390" s="117" t="s">
        <v>8257</v>
      </c>
      <c r="L390" s="105" t="n">
        <v>-19.985783264704299</v>
      </c>
      <c r="M390" s="105" t="n">
        <v>-44.005808845190202</v>
      </c>
      <c r="N390" s="105" t="n">
        <v>604010.95274823497</v>
      </c>
      <c r="O390" s="105" t="n">
        <v>7789783.4668508004</v>
      </c>
    </row>
    <row r="391" ht="30" customHeight="1">
      <c r="A391" s="105" t="s">
        <v>9652</v>
      </c>
      <c r="B391" s="105" t="s">
        <v>8259</v>
      </c>
      <c r="C391" s="30" t="s">
        <v>8258</v>
      </c>
      <c r="D391" s="105" t="s">
        <v>9653</v>
      </c>
      <c r="E391" s="95" t="s">
        <v>8260</v>
      </c>
      <c r="F391" s="104" t="s">
        <v>6973</v>
      </c>
      <c r="G391" s="104" t="s">
        <v>6974</v>
      </c>
      <c r="H391" s="116" t="s">
        <v>6975</v>
      </c>
      <c r="I391" s="104" t="s">
        <v>8261</v>
      </c>
      <c r="J391" s="104" t="s">
        <v>7746</v>
      </c>
      <c r="K391" s="117" t="s">
        <v>8262</v>
      </c>
      <c r="L391" s="105" t="n">
        <v>-19.902957943261701</v>
      </c>
      <c r="M391" s="105" t="n">
        <v>-43.943247949552003</v>
      </c>
      <c r="N391" s="105" t="n">
        <v>610614.22260438604</v>
      </c>
      <c r="O391" s="105" t="n">
        <v>7798910.0190763902</v>
      </c>
    </row>
    <row r="392" ht="30" customHeight="1">
      <c r="A392" s="105" t="s">
        <v>9654</v>
      </c>
      <c r="B392" s="105" t="s">
        <v>8259</v>
      </c>
      <c r="C392" s="30" t="s">
        <v>8258</v>
      </c>
      <c r="D392" s="105" t="s">
        <v>9655</v>
      </c>
      <c r="E392" s="95" t="s">
        <v>8260</v>
      </c>
      <c r="F392" s="104" t="s">
        <v>6973</v>
      </c>
      <c r="G392" s="104" t="s">
        <v>6974</v>
      </c>
      <c r="H392" s="116" t="s">
        <v>6975</v>
      </c>
      <c r="I392" s="104" t="s">
        <v>8261</v>
      </c>
      <c r="J392" s="104" t="s">
        <v>7746</v>
      </c>
      <c r="K392" s="117" t="s">
        <v>8262</v>
      </c>
      <c r="L392" s="105" t="n">
        <v>-19.902957943261701</v>
      </c>
      <c r="M392" s="105" t="n">
        <v>-43.943247949552003</v>
      </c>
      <c r="N392" s="105" t="n">
        <v>610614.22260438604</v>
      </c>
      <c r="O392" s="105" t="n">
        <v>7798910.0190763902</v>
      </c>
    </row>
    <row r="393" ht="30" customHeight="1">
      <c r="A393" s="105" t="s">
        <v>9656</v>
      </c>
      <c r="B393" s="105" t="s">
        <v>8259</v>
      </c>
      <c r="C393" s="30" t="s">
        <v>8258</v>
      </c>
      <c r="D393" s="105" t="s">
        <v>9657</v>
      </c>
      <c r="E393" s="95" t="s">
        <v>8260</v>
      </c>
      <c r="F393" s="104" t="s">
        <v>6973</v>
      </c>
      <c r="G393" s="104" t="s">
        <v>6974</v>
      </c>
      <c r="H393" s="116" t="s">
        <v>6975</v>
      </c>
      <c r="I393" s="104" t="s">
        <v>8261</v>
      </c>
      <c r="J393" s="104" t="s">
        <v>7746</v>
      </c>
      <c r="K393" s="117" t="s">
        <v>8262</v>
      </c>
      <c r="L393" s="105" t="n">
        <v>-19.902957943261701</v>
      </c>
      <c r="M393" s="105" t="n">
        <v>-43.943247949552003</v>
      </c>
      <c r="N393" s="105" t="n">
        <v>610614.22260438604</v>
      </c>
      <c r="O393" s="105" t="n">
        <v>7798910.0190763902</v>
      </c>
    </row>
    <row r="394" ht="30" customHeight="1">
      <c r="A394" s="105" t="s">
        <v>9658</v>
      </c>
      <c r="B394" s="105" t="s">
        <v>8259</v>
      </c>
      <c r="C394" s="30" t="s">
        <v>8258</v>
      </c>
      <c r="D394" s="105" t="s">
        <v>9659</v>
      </c>
      <c r="E394" s="95" t="s">
        <v>8260</v>
      </c>
      <c r="F394" s="104" t="s">
        <v>6973</v>
      </c>
      <c r="G394" s="104" t="s">
        <v>6974</v>
      </c>
      <c r="H394" s="116" t="s">
        <v>6975</v>
      </c>
      <c r="I394" s="104" t="s">
        <v>8261</v>
      </c>
      <c r="J394" s="104" t="s">
        <v>7746</v>
      </c>
      <c r="K394" s="117" t="s">
        <v>8262</v>
      </c>
      <c r="L394" s="105" t="n">
        <v>-19.902957943261701</v>
      </c>
      <c r="M394" s="105" t="n">
        <v>-43.943247949552003</v>
      </c>
      <c r="N394" s="105" t="n">
        <v>610614.22260438604</v>
      </c>
      <c r="O394" s="105" t="n">
        <v>7798910.0190763902</v>
      </c>
    </row>
    <row r="395" ht="30" customHeight="1">
      <c r="A395" s="105" t="s">
        <v>9660</v>
      </c>
      <c r="B395" s="105" t="s">
        <v>8259</v>
      </c>
      <c r="C395" s="30" t="s">
        <v>8258</v>
      </c>
      <c r="D395" s="105" t="s">
        <v>9661</v>
      </c>
      <c r="E395" s="95" t="s">
        <v>8260</v>
      </c>
      <c r="F395" s="104" t="s">
        <v>6973</v>
      </c>
      <c r="G395" s="104" t="s">
        <v>6974</v>
      </c>
      <c r="H395" s="116" t="s">
        <v>6975</v>
      </c>
      <c r="I395" s="104" t="s">
        <v>8261</v>
      </c>
      <c r="J395" s="104" t="s">
        <v>7746</v>
      </c>
      <c r="K395" s="117" t="s">
        <v>8262</v>
      </c>
      <c r="L395" s="105" t="n">
        <v>-19.902957943261701</v>
      </c>
      <c r="M395" s="105" t="n">
        <v>-43.943247949552003</v>
      </c>
      <c r="N395" s="105" t="n">
        <v>610614.22260438604</v>
      </c>
      <c r="O395" s="105" t="n">
        <v>7798910.0190763902</v>
      </c>
    </row>
    <row r="396" ht="30" customHeight="1">
      <c r="A396" s="105" t="s">
        <v>9662</v>
      </c>
      <c r="B396" s="105" t="s">
        <v>8259</v>
      </c>
      <c r="C396" s="30" t="s">
        <v>8258</v>
      </c>
      <c r="D396" s="105" t="s">
        <v>9663</v>
      </c>
      <c r="E396" s="95" t="s">
        <v>8260</v>
      </c>
      <c r="F396" s="104" t="s">
        <v>6973</v>
      </c>
      <c r="G396" s="104" t="s">
        <v>6974</v>
      </c>
      <c r="H396" s="116" t="s">
        <v>6975</v>
      </c>
      <c r="I396" s="104" t="s">
        <v>8261</v>
      </c>
      <c r="J396" s="104" t="s">
        <v>7746</v>
      </c>
      <c r="K396" s="117" t="s">
        <v>8262</v>
      </c>
      <c r="L396" s="105" t="n">
        <v>-19.902957943261701</v>
      </c>
      <c r="M396" s="105" t="n">
        <v>-43.943247949552003</v>
      </c>
      <c r="N396" s="105" t="n">
        <v>610614.22260438604</v>
      </c>
      <c r="O396" s="105" t="n">
        <v>7798910.0190763902</v>
      </c>
    </row>
    <row r="397" ht="30" customHeight="1">
      <c r="A397" s="105" t="s">
        <v>9664</v>
      </c>
      <c r="B397" s="105" t="s">
        <v>8259</v>
      </c>
      <c r="C397" s="30" t="s">
        <v>8258</v>
      </c>
      <c r="D397" s="105" t="s">
        <v>9665</v>
      </c>
      <c r="E397" s="95" t="s">
        <v>8260</v>
      </c>
      <c r="F397" s="104" t="s">
        <v>6973</v>
      </c>
      <c r="G397" s="104" t="s">
        <v>6974</v>
      </c>
      <c r="H397" s="116" t="s">
        <v>6975</v>
      </c>
      <c r="I397" s="104" t="s">
        <v>8261</v>
      </c>
      <c r="J397" s="104" t="s">
        <v>7746</v>
      </c>
      <c r="K397" s="117" t="s">
        <v>8262</v>
      </c>
      <c r="L397" s="105" t="n">
        <v>-19.902957943261701</v>
      </c>
      <c r="M397" s="105" t="n">
        <v>-43.943247949552003</v>
      </c>
      <c r="N397" s="105" t="n">
        <v>610614.22260438604</v>
      </c>
      <c r="O397" s="105" t="n">
        <v>7798910.0190763902</v>
      </c>
    </row>
    <row r="398" ht="30" customHeight="1">
      <c r="A398" s="105" t="s">
        <v>9666</v>
      </c>
      <c r="B398" s="105" t="s">
        <v>8259</v>
      </c>
      <c r="C398" s="30" t="s">
        <v>8258</v>
      </c>
      <c r="D398" s="105" t="s">
        <v>9667</v>
      </c>
      <c r="E398" s="95" t="s">
        <v>8260</v>
      </c>
      <c r="F398" s="104" t="s">
        <v>6973</v>
      </c>
      <c r="G398" s="104" t="s">
        <v>6974</v>
      </c>
      <c r="H398" s="116" t="s">
        <v>6975</v>
      </c>
      <c r="I398" s="104" t="s">
        <v>8261</v>
      </c>
      <c r="J398" s="104" t="s">
        <v>7746</v>
      </c>
      <c r="K398" s="117" t="s">
        <v>8262</v>
      </c>
      <c r="L398" s="105" t="n">
        <v>-19.902957943261701</v>
      </c>
      <c r="M398" s="105" t="n">
        <v>-43.943247949552003</v>
      </c>
      <c r="N398" s="105" t="n">
        <v>610614.22260438604</v>
      </c>
      <c r="O398" s="105" t="n">
        <v>7798910.0190763902</v>
      </c>
    </row>
    <row r="399" ht="30" customHeight="1">
      <c r="A399" s="105" t="s">
        <v>9668</v>
      </c>
      <c r="B399" s="105" t="s">
        <v>8259</v>
      </c>
      <c r="C399" s="30" t="s">
        <v>8258</v>
      </c>
      <c r="D399" s="105" t="s">
        <v>9669</v>
      </c>
      <c r="E399" s="95" t="s">
        <v>8260</v>
      </c>
      <c r="F399" s="104" t="s">
        <v>6973</v>
      </c>
      <c r="G399" s="104" t="s">
        <v>6974</v>
      </c>
      <c r="H399" s="116" t="s">
        <v>6975</v>
      </c>
      <c r="I399" s="104" t="s">
        <v>8261</v>
      </c>
      <c r="J399" s="104" t="s">
        <v>7746</v>
      </c>
      <c r="K399" s="117" t="s">
        <v>8262</v>
      </c>
      <c r="L399" s="105" t="n">
        <v>-19.902957943261701</v>
      </c>
      <c r="M399" s="105" t="n">
        <v>-43.943247949552003</v>
      </c>
      <c r="N399" s="105" t="n">
        <v>610614.22260438604</v>
      </c>
      <c r="O399" s="105" t="n">
        <v>7798910.0190763902</v>
      </c>
    </row>
    <row r="400" ht="30" customHeight="1">
      <c r="A400" s="105" t="s">
        <v>9670</v>
      </c>
      <c r="B400" s="105" t="s">
        <v>8259</v>
      </c>
      <c r="C400" s="30" t="s">
        <v>8258</v>
      </c>
      <c r="D400" s="105" t="s">
        <v>9671</v>
      </c>
      <c r="E400" s="95" t="s">
        <v>8260</v>
      </c>
      <c r="F400" s="104" t="s">
        <v>6973</v>
      </c>
      <c r="G400" s="104" t="s">
        <v>6974</v>
      </c>
      <c r="H400" s="116" t="s">
        <v>6975</v>
      </c>
      <c r="I400" s="104" t="s">
        <v>8261</v>
      </c>
      <c r="J400" s="104" t="s">
        <v>7746</v>
      </c>
      <c r="K400" s="117" t="s">
        <v>8262</v>
      </c>
      <c r="L400" s="105" t="n">
        <v>-19.902957943261701</v>
      </c>
      <c r="M400" s="105" t="n">
        <v>-43.943247949552003</v>
      </c>
      <c r="N400" s="105" t="n">
        <v>610614.22260438604</v>
      </c>
      <c r="O400" s="105" t="n">
        <v>7798910.0190763902</v>
      </c>
    </row>
    <row r="401" ht="30" customHeight="1">
      <c r="A401" s="105" t="s">
        <v>9672</v>
      </c>
      <c r="B401" s="105" t="s">
        <v>8259</v>
      </c>
      <c r="C401" s="30" t="s">
        <v>8258</v>
      </c>
      <c r="D401" s="105" t="s">
        <v>9673</v>
      </c>
      <c r="E401" s="95" t="s">
        <v>8260</v>
      </c>
      <c r="F401" s="104" t="s">
        <v>6973</v>
      </c>
      <c r="G401" s="104" t="s">
        <v>6974</v>
      </c>
      <c r="H401" s="116" t="s">
        <v>6975</v>
      </c>
      <c r="I401" s="104" t="s">
        <v>8261</v>
      </c>
      <c r="J401" s="104" t="s">
        <v>7746</v>
      </c>
      <c r="K401" s="117" t="s">
        <v>8262</v>
      </c>
      <c r="L401" s="105" t="n">
        <v>-19.902957943261701</v>
      </c>
      <c r="M401" s="105" t="n">
        <v>-43.943247949552003</v>
      </c>
      <c r="N401" s="105" t="n">
        <v>610614.22260438604</v>
      </c>
      <c r="O401" s="105" t="n">
        <v>7798910.0190763902</v>
      </c>
    </row>
    <row r="402" ht="30" customHeight="1">
      <c r="A402" s="105" t="s">
        <v>9674</v>
      </c>
      <c r="B402" s="105" t="s">
        <v>8259</v>
      </c>
      <c r="C402" s="30" t="s">
        <v>8258</v>
      </c>
      <c r="D402" s="105" t="s">
        <v>9675</v>
      </c>
      <c r="E402" s="95" t="s">
        <v>8260</v>
      </c>
      <c r="F402" s="104" t="s">
        <v>6973</v>
      </c>
      <c r="G402" s="104" t="s">
        <v>6974</v>
      </c>
      <c r="H402" s="116" t="s">
        <v>6975</v>
      </c>
      <c r="I402" s="104" t="s">
        <v>8261</v>
      </c>
      <c r="J402" s="104" t="s">
        <v>7746</v>
      </c>
      <c r="K402" s="117" t="s">
        <v>8262</v>
      </c>
      <c r="L402" s="105" t="n">
        <v>-19.902957943261701</v>
      </c>
      <c r="M402" s="105" t="n">
        <v>-43.943247949552003</v>
      </c>
      <c r="N402" s="105" t="n">
        <v>610614.22260438604</v>
      </c>
      <c r="O402" s="105" t="n">
        <v>7798910.0190763902</v>
      </c>
    </row>
    <row r="403" ht="30" customHeight="1">
      <c r="A403" s="105" t="s">
        <v>9676</v>
      </c>
      <c r="B403" s="105" t="s">
        <v>8259</v>
      </c>
      <c r="C403" s="30" t="s">
        <v>8258</v>
      </c>
      <c r="D403" s="30" t="s">
        <v>9677</v>
      </c>
      <c r="E403" s="104" t="s">
        <v>8260</v>
      </c>
      <c r="F403" s="104" t="s">
        <v>6973</v>
      </c>
      <c r="G403" s="104" t="s">
        <v>6974</v>
      </c>
      <c r="H403" s="116" t="s">
        <v>6975</v>
      </c>
      <c r="I403" s="104" t="s">
        <v>8261</v>
      </c>
      <c r="J403" s="104" t="s">
        <v>7746</v>
      </c>
      <c r="K403" s="117" t="s">
        <v>8262</v>
      </c>
      <c r="L403" s="105" t="n">
        <v>-19.902957943261701</v>
      </c>
      <c r="M403" s="105" t="n">
        <v>-43.943247949552003</v>
      </c>
      <c r="N403" s="105" t="n">
        <v>610614.22260438604</v>
      </c>
      <c r="O403" s="105" t="n">
        <v>7798910.0190763902</v>
      </c>
    </row>
    <row r="404" ht="30" customHeight="1">
      <c r="A404" s="105" t="s">
        <v>9678</v>
      </c>
      <c r="B404" s="105" t="s">
        <v>8259</v>
      </c>
      <c r="C404" s="30" t="s">
        <v>8258</v>
      </c>
      <c r="D404" s="105" t="s">
        <v>9679</v>
      </c>
      <c r="E404" s="104" t="s">
        <v>8260</v>
      </c>
      <c r="F404" s="104" t="s">
        <v>6973</v>
      </c>
      <c r="G404" s="104" t="s">
        <v>6974</v>
      </c>
      <c r="H404" s="116" t="s">
        <v>6975</v>
      </c>
      <c r="I404" s="104" t="s">
        <v>8261</v>
      </c>
      <c r="J404" s="104" t="s">
        <v>7746</v>
      </c>
      <c r="K404" s="117" t="s">
        <v>8262</v>
      </c>
      <c r="L404" s="105" t="n">
        <v>-19.902957943261701</v>
      </c>
      <c r="M404" s="105" t="n">
        <v>-43.943247949552003</v>
      </c>
      <c r="N404" s="105" t="n">
        <v>610614.22260438604</v>
      </c>
      <c r="O404" s="105" t="n">
        <v>7798910.0190763902</v>
      </c>
    </row>
    <row r="405" ht="30" customHeight="1">
      <c r="A405" s="105" t="s">
        <v>9680</v>
      </c>
      <c r="B405" s="105" t="s">
        <v>8259</v>
      </c>
      <c r="C405" s="30" t="s">
        <v>8258</v>
      </c>
      <c r="D405" s="105" t="s">
        <v>9681</v>
      </c>
      <c r="E405" s="104" t="s">
        <v>8260</v>
      </c>
      <c r="F405" s="104" t="s">
        <v>6973</v>
      </c>
      <c r="G405" s="104" t="s">
        <v>6974</v>
      </c>
      <c r="H405" s="116" t="s">
        <v>6975</v>
      </c>
      <c r="I405" s="104" t="s">
        <v>8261</v>
      </c>
      <c r="J405" s="104" t="s">
        <v>7746</v>
      </c>
      <c r="K405" s="117" t="s">
        <v>8262</v>
      </c>
      <c r="L405" s="105" t="n">
        <v>-19.902957943261701</v>
      </c>
      <c r="M405" s="105" t="n">
        <v>-43.943247949552003</v>
      </c>
      <c r="N405" s="105" t="n">
        <v>610614.22260438604</v>
      </c>
      <c r="O405" s="105" t="n">
        <v>7798910.0190763902</v>
      </c>
    </row>
    <row r="406" ht="30" customHeight="1">
      <c r="A406" s="105" t="s">
        <v>9682</v>
      </c>
      <c r="B406" s="105" t="s">
        <v>8259</v>
      </c>
      <c r="C406" s="30" t="s">
        <v>8258</v>
      </c>
      <c r="D406" s="105" t="s">
        <v>9683</v>
      </c>
      <c r="E406" s="104" t="s">
        <v>8260</v>
      </c>
      <c r="F406" s="104" t="s">
        <v>6973</v>
      </c>
      <c r="G406" s="104" t="s">
        <v>6974</v>
      </c>
      <c r="H406" s="116" t="s">
        <v>6975</v>
      </c>
      <c r="I406" s="104" t="s">
        <v>8261</v>
      </c>
      <c r="J406" s="104" t="s">
        <v>7746</v>
      </c>
      <c r="K406" s="117" t="s">
        <v>8262</v>
      </c>
      <c r="L406" s="105" t="n">
        <v>-19.902957943261701</v>
      </c>
      <c r="M406" s="105" t="n">
        <v>-43.943247949552003</v>
      </c>
      <c r="N406" s="105" t="n">
        <v>610614.22260438604</v>
      </c>
      <c r="O406" s="105" t="n">
        <v>7798910.0190763902</v>
      </c>
    </row>
    <row r="407" ht="30" customHeight="1">
      <c r="A407" s="105" t="s">
        <v>9684</v>
      </c>
      <c r="B407" s="105" t="s">
        <v>8259</v>
      </c>
      <c r="C407" s="30" t="s">
        <v>8258</v>
      </c>
      <c r="D407" s="105" t="s">
        <v>9685</v>
      </c>
      <c r="E407" s="104" t="s">
        <v>8260</v>
      </c>
      <c r="F407" s="104" t="s">
        <v>6973</v>
      </c>
      <c r="G407" s="104" t="s">
        <v>6974</v>
      </c>
      <c r="H407" s="116" t="s">
        <v>6975</v>
      </c>
      <c r="I407" s="104" t="s">
        <v>8261</v>
      </c>
      <c r="J407" s="104" t="s">
        <v>7746</v>
      </c>
      <c r="K407" s="117" t="s">
        <v>8262</v>
      </c>
      <c r="L407" s="105" t="n">
        <v>-19.902957943261701</v>
      </c>
      <c r="M407" s="105" t="n">
        <v>-43.943247949552003</v>
      </c>
      <c r="N407" s="105" t="n">
        <v>610614.22260438604</v>
      </c>
      <c r="O407" s="105" t="n">
        <v>7798910.0190763902</v>
      </c>
    </row>
    <row r="408" ht="30" customHeight="1">
      <c r="A408" s="105" t="s">
        <v>9686</v>
      </c>
      <c r="B408" s="105" t="s">
        <v>8259</v>
      </c>
      <c r="C408" s="30" t="s">
        <v>8258</v>
      </c>
      <c r="D408" s="105" t="s">
        <v>9687</v>
      </c>
      <c r="E408" s="104" t="s">
        <v>8260</v>
      </c>
      <c r="F408" s="104" t="s">
        <v>6973</v>
      </c>
      <c r="G408" s="104" t="s">
        <v>6974</v>
      </c>
      <c r="H408" s="116" t="s">
        <v>6975</v>
      </c>
      <c r="I408" s="104" t="s">
        <v>8261</v>
      </c>
      <c r="J408" s="104" t="s">
        <v>7746</v>
      </c>
      <c r="K408" s="117" t="s">
        <v>8262</v>
      </c>
      <c r="L408" s="105" t="n">
        <v>-19.902957943261701</v>
      </c>
      <c r="M408" s="105" t="n">
        <v>-43.943247949552003</v>
      </c>
      <c r="N408" s="105" t="n">
        <v>610614.22260438604</v>
      </c>
      <c r="O408" s="105" t="n">
        <v>7798910.0190763902</v>
      </c>
    </row>
    <row r="409" ht="30" customHeight="1">
      <c r="A409" s="105" t="s">
        <v>9688</v>
      </c>
      <c r="B409" s="105" t="s">
        <v>8259</v>
      </c>
      <c r="C409" s="30" t="s">
        <v>8258</v>
      </c>
      <c r="D409" s="30" t="s">
        <v>9689</v>
      </c>
      <c r="E409" s="104" t="s">
        <v>8260</v>
      </c>
      <c r="F409" s="104" t="s">
        <v>6973</v>
      </c>
      <c r="G409" s="104" t="s">
        <v>6974</v>
      </c>
      <c r="H409" s="116" t="s">
        <v>6975</v>
      </c>
      <c r="I409" s="104" t="s">
        <v>8261</v>
      </c>
      <c r="J409" s="104" t="s">
        <v>7746</v>
      </c>
      <c r="K409" s="117" t="s">
        <v>8262</v>
      </c>
      <c r="L409" s="105" t="n">
        <v>-19.902957943261701</v>
      </c>
      <c r="M409" s="105" t="n">
        <v>-43.943247949552003</v>
      </c>
      <c r="N409" s="105" t="n">
        <v>610614.22260438604</v>
      </c>
      <c r="O409" s="105" t="n">
        <v>7798910.0190763902</v>
      </c>
    </row>
    <row r="410" ht="30" customHeight="1">
      <c r="A410" s="105" t="s">
        <v>9690</v>
      </c>
      <c r="B410" s="105" t="s">
        <v>8264</v>
      </c>
      <c r="C410" s="30" t="s">
        <v>8263</v>
      </c>
      <c r="D410" s="105" t="s">
        <v>9691</v>
      </c>
      <c r="E410" s="104" t="s">
        <v>8265</v>
      </c>
      <c r="F410" s="104" t="s">
        <v>8266</v>
      </c>
      <c r="G410" s="104" t="s">
        <v>6997</v>
      </c>
      <c r="H410" s="116" t="s">
        <v>7061</v>
      </c>
      <c r="I410" s="104" t="s">
        <v>8267</v>
      </c>
      <c r="J410" s="104" t="s">
        <v>8081</v>
      </c>
      <c r="K410" s="117" t="s">
        <v>8268</v>
      </c>
      <c r="L410" s="105" t="n">
        <v>-19.870550000000001</v>
      </c>
      <c r="M410" s="105" t="n">
        <v>-43.952385999999997</v>
      </c>
      <c r="N410" s="105" t="n">
        <v>609679.93595163699</v>
      </c>
      <c r="O410" s="105" t="n">
        <v>7802502.6815214204</v>
      </c>
    </row>
    <row r="411" ht="30" customHeight="1">
      <c r="A411" s="105" t="s">
        <v>9692</v>
      </c>
      <c r="B411" s="105" t="s">
        <v>8264</v>
      </c>
      <c r="C411" s="30" t="s">
        <v>8263</v>
      </c>
      <c r="D411" s="105" t="s">
        <v>9693</v>
      </c>
      <c r="E411" s="104" t="s">
        <v>8265</v>
      </c>
      <c r="F411" s="104" t="s">
        <v>8266</v>
      </c>
      <c r="G411" s="104" t="s">
        <v>6997</v>
      </c>
      <c r="H411" s="116" t="s">
        <v>7061</v>
      </c>
      <c r="I411" s="104" t="s">
        <v>8267</v>
      </c>
      <c r="J411" s="104" t="s">
        <v>8081</v>
      </c>
      <c r="K411" s="117" t="s">
        <v>8268</v>
      </c>
      <c r="L411" s="105" t="n">
        <v>-19.870550000000001</v>
      </c>
      <c r="M411" s="105" t="n">
        <v>-43.952385999999997</v>
      </c>
      <c r="N411" s="105" t="n">
        <v>609679.93595163699</v>
      </c>
      <c r="O411" s="105" t="n">
        <v>7802502.6815214204</v>
      </c>
    </row>
    <row r="412" ht="30" customHeight="1">
      <c r="A412" s="105" t="s">
        <v>9694</v>
      </c>
      <c r="B412" s="105" t="s">
        <v>8264</v>
      </c>
      <c r="C412" s="30" t="s">
        <v>8263</v>
      </c>
      <c r="D412" s="105" t="s">
        <v>9695</v>
      </c>
      <c r="E412" s="104" t="s">
        <v>8265</v>
      </c>
      <c r="F412" s="104" t="s">
        <v>8266</v>
      </c>
      <c r="G412" s="104" t="s">
        <v>6997</v>
      </c>
      <c r="H412" s="116" t="s">
        <v>7061</v>
      </c>
      <c r="I412" s="104" t="s">
        <v>8267</v>
      </c>
      <c r="J412" s="104" t="s">
        <v>8081</v>
      </c>
      <c r="K412" s="117" t="s">
        <v>8268</v>
      </c>
      <c r="L412" s="105" t="n">
        <v>-19.870550000000001</v>
      </c>
      <c r="M412" s="105" t="n">
        <v>-43.952385999999997</v>
      </c>
      <c r="N412" s="105" t="n">
        <v>609679.93595163699</v>
      </c>
      <c r="O412" s="105" t="n">
        <v>7802502.6815214204</v>
      </c>
    </row>
    <row r="413" ht="30" customHeight="1">
      <c r="A413" s="105" t="s">
        <v>9696</v>
      </c>
      <c r="B413" s="105" t="s">
        <v>8264</v>
      </c>
      <c r="C413" s="30" t="s">
        <v>8263</v>
      </c>
      <c r="D413" s="30" t="s">
        <v>9697</v>
      </c>
      <c r="E413" s="104" t="s">
        <v>8265</v>
      </c>
      <c r="F413" s="104" t="s">
        <v>8266</v>
      </c>
      <c r="G413" s="104" t="s">
        <v>6997</v>
      </c>
      <c r="H413" s="116" t="s">
        <v>7061</v>
      </c>
      <c r="I413" s="104" t="s">
        <v>8267</v>
      </c>
      <c r="J413" s="104" t="s">
        <v>8081</v>
      </c>
      <c r="K413" s="117" t="s">
        <v>8268</v>
      </c>
      <c r="L413" s="105" t="n">
        <v>-19.870550000000001</v>
      </c>
      <c r="M413" s="105" t="n">
        <v>-43.952385999999997</v>
      </c>
      <c r="N413" s="105" t="n">
        <v>609679.93595163699</v>
      </c>
      <c r="O413" s="105" t="n">
        <v>7802502.6815214204</v>
      </c>
    </row>
    <row r="414" ht="30" customHeight="1">
      <c r="A414" s="105" t="s">
        <v>9698</v>
      </c>
      <c r="B414" s="105" t="s">
        <v>8264</v>
      </c>
      <c r="C414" s="30" t="s">
        <v>8263</v>
      </c>
      <c r="D414" s="105" t="s">
        <v>9699</v>
      </c>
      <c r="E414" s="104" t="s">
        <v>8265</v>
      </c>
      <c r="F414" s="104" t="s">
        <v>8266</v>
      </c>
      <c r="G414" s="104" t="s">
        <v>6997</v>
      </c>
      <c r="H414" s="116" t="s">
        <v>7061</v>
      </c>
      <c r="I414" s="104" t="s">
        <v>8267</v>
      </c>
      <c r="J414" s="104" t="s">
        <v>8081</v>
      </c>
      <c r="K414" s="117" t="s">
        <v>8268</v>
      </c>
      <c r="L414" s="105" t="n">
        <v>-19.870550000000001</v>
      </c>
      <c r="M414" s="105" t="n">
        <v>-43.952385999999997</v>
      </c>
      <c r="N414" s="105" t="n">
        <v>609679.93595163699</v>
      </c>
      <c r="O414" s="105" t="n">
        <v>7802502.6815214204</v>
      </c>
    </row>
    <row r="415" ht="30" customHeight="1">
      <c r="A415" s="105" t="s">
        <v>9700</v>
      </c>
      <c r="B415" s="105" t="s">
        <v>8264</v>
      </c>
      <c r="C415" s="30" t="s">
        <v>8263</v>
      </c>
      <c r="D415" s="105" t="s">
        <v>9701</v>
      </c>
      <c r="E415" s="104" t="s">
        <v>8265</v>
      </c>
      <c r="F415" s="104" t="s">
        <v>8266</v>
      </c>
      <c r="G415" s="104" t="s">
        <v>6997</v>
      </c>
      <c r="H415" s="116" t="s">
        <v>7061</v>
      </c>
      <c r="I415" s="104" t="s">
        <v>8267</v>
      </c>
      <c r="J415" s="104" t="s">
        <v>8081</v>
      </c>
      <c r="K415" s="117" t="s">
        <v>8268</v>
      </c>
      <c r="L415" s="105" t="n">
        <v>-19.870550000000001</v>
      </c>
      <c r="M415" s="105" t="n">
        <v>-43.952385999999997</v>
      </c>
      <c r="N415" s="105" t="n">
        <v>609679.93595163699</v>
      </c>
      <c r="O415" s="105" t="n">
        <v>7802502.6815214204</v>
      </c>
    </row>
    <row r="416" ht="30" customHeight="1">
      <c r="A416" s="105" t="s">
        <v>9702</v>
      </c>
      <c r="B416" s="105" t="s">
        <v>8270</v>
      </c>
      <c r="C416" s="30" t="s">
        <v>8269</v>
      </c>
      <c r="D416" s="105" t="s">
        <v>9703</v>
      </c>
      <c r="E416" s="104" t="s">
        <v>8271</v>
      </c>
      <c r="F416" s="104" t="s">
        <v>8272</v>
      </c>
      <c r="G416" s="104" t="s">
        <v>7126</v>
      </c>
      <c r="H416" s="116" t="s">
        <v>7449</v>
      </c>
      <c r="I416" s="104" t="s">
        <v>8273</v>
      </c>
      <c r="J416" s="104" t="s">
        <v>8274</v>
      </c>
      <c r="K416" s="117" t="s">
        <v>8275</v>
      </c>
      <c r="L416" s="105" t="n">
        <v>-19.818314000000001</v>
      </c>
      <c r="M416" s="105" t="n">
        <v>-43.948672000000002</v>
      </c>
      <c r="N416" s="105" t="n">
        <v>610104.82099647797</v>
      </c>
      <c r="O416" s="105" t="n">
        <v>7808281.3492723303</v>
      </c>
    </row>
    <row r="417" ht="30" customHeight="1">
      <c r="A417" s="105" t="s">
        <v>9704</v>
      </c>
      <c r="B417" s="105" t="s">
        <v>8270</v>
      </c>
      <c r="C417" s="30" t="s">
        <v>8269</v>
      </c>
      <c r="D417" s="105" t="s">
        <v>9705</v>
      </c>
      <c r="E417" s="104" t="s">
        <v>8271</v>
      </c>
      <c r="F417" s="104" t="s">
        <v>8272</v>
      </c>
      <c r="G417" s="104" t="s">
        <v>7126</v>
      </c>
      <c r="H417" s="116" t="s">
        <v>7449</v>
      </c>
      <c r="I417" s="104" t="s">
        <v>8273</v>
      </c>
      <c r="J417" s="104" t="s">
        <v>8274</v>
      </c>
      <c r="K417" s="117" t="s">
        <v>8275</v>
      </c>
      <c r="L417" s="105" t="n">
        <v>-19.818314000000001</v>
      </c>
      <c r="M417" s="105" t="n">
        <v>-43.948672000000002</v>
      </c>
      <c r="N417" s="105" t="n">
        <v>610104.82099647797</v>
      </c>
      <c r="O417" s="105" t="n">
        <v>7808281.3492723303</v>
      </c>
    </row>
    <row r="418" ht="30" customHeight="1">
      <c r="A418" s="105" t="s">
        <v>9706</v>
      </c>
      <c r="B418" s="105" t="s">
        <v>8270</v>
      </c>
      <c r="C418" s="30" t="s">
        <v>8269</v>
      </c>
      <c r="D418" s="105" t="s">
        <v>9707</v>
      </c>
      <c r="E418" s="104" t="s">
        <v>8271</v>
      </c>
      <c r="F418" s="104" t="s">
        <v>8272</v>
      </c>
      <c r="G418" s="104" t="s">
        <v>7126</v>
      </c>
      <c r="H418" s="116" t="s">
        <v>7449</v>
      </c>
      <c r="I418" s="104" t="s">
        <v>8273</v>
      </c>
      <c r="J418" s="104" t="s">
        <v>8274</v>
      </c>
      <c r="K418" s="117" t="s">
        <v>8275</v>
      </c>
      <c r="L418" s="105" t="n">
        <v>-19.818314000000001</v>
      </c>
      <c r="M418" s="105" t="n">
        <v>-43.948672000000002</v>
      </c>
      <c r="N418" s="105" t="n">
        <v>610104.82099647797</v>
      </c>
      <c r="O418" s="105" t="n">
        <v>7808281.3492723303</v>
      </c>
    </row>
    <row r="419" ht="30" customHeight="1">
      <c r="A419" s="105" t="s">
        <v>9708</v>
      </c>
      <c r="B419" s="105" t="s">
        <v>8270</v>
      </c>
      <c r="C419" s="30" t="s">
        <v>8269</v>
      </c>
      <c r="D419" s="105" t="s">
        <v>9709</v>
      </c>
      <c r="E419" s="104" t="s">
        <v>8271</v>
      </c>
      <c r="F419" s="104" t="s">
        <v>8272</v>
      </c>
      <c r="G419" s="104" t="s">
        <v>7126</v>
      </c>
      <c r="H419" s="116" t="s">
        <v>7449</v>
      </c>
      <c r="I419" s="104" t="s">
        <v>8273</v>
      </c>
      <c r="J419" s="104" t="s">
        <v>8274</v>
      </c>
      <c r="K419" s="117" t="s">
        <v>8275</v>
      </c>
      <c r="L419" s="105" t="n">
        <v>-19.818314000000001</v>
      </c>
      <c r="M419" s="105" t="n">
        <v>-43.948672000000002</v>
      </c>
      <c r="N419" s="105" t="n">
        <v>610104.82099647797</v>
      </c>
      <c r="O419" s="105" t="n">
        <v>7808281.3492723303</v>
      </c>
    </row>
    <row r="420" ht="30" customHeight="1">
      <c r="A420" s="105" t="s">
        <v>9710</v>
      </c>
      <c r="B420" s="105" t="s">
        <v>8277</v>
      </c>
      <c r="C420" s="30" t="s">
        <v>8276</v>
      </c>
      <c r="D420" s="105" t="s">
        <v>9711</v>
      </c>
      <c r="E420" s="104" t="s">
        <v>8278</v>
      </c>
      <c r="F420" s="104" t="s">
        <v>7159</v>
      </c>
      <c r="G420" s="104" t="s">
        <v>7160</v>
      </c>
      <c r="H420" s="116" t="s">
        <v>7161</v>
      </c>
      <c r="I420" s="104" t="s">
        <v>8279</v>
      </c>
      <c r="J420" s="104" t="s">
        <v>8280</v>
      </c>
      <c r="K420" s="117" t="s">
        <v>8281</v>
      </c>
      <c r="L420" s="105" t="n">
        <v>-19.925058</v>
      </c>
      <c r="M420" s="105" t="n">
        <v>-43.925944999999999</v>
      </c>
      <c r="N420" s="105" t="n">
        <v>612409.93144902098</v>
      </c>
      <c r="O420" s="105" t="n">
        <v>7796452.6506475201</v>
      </c>
    </row>
    <row r="421" ht="30" customHeight="1">
      <c r="A421" s="105" t="s">
        <v>9712</v>
      </c>
      <c r="B421" s="105" t="s">
        <v>8277</v>
      </c>
      <c r="C421" s="30" t="s">
        <v>8276</v>
      </c>
      <c r="D421" s="105" t="s">
        <v>9713</v>
      </c>
      <c r="E421" s="104" t="s">
        <v>8278</v>
      </c>
      <c r="F421" s="104" t="s">
        <v>7159</v>
      </c>
      <c r="G421" s="104" t="s">
        <v>7160</v>
      </c>
      <c r="H421" s="116" t="s">
        <v>7161</v>
      </c>
      <c r="I421" s="104" t="s">
        <v>8279</v>
      </c>
      <c r="J421" s="104" t="s">
        <v>8280</v>
      </c>
      <c r="K421" s="117" t="s">
        <v>8281</v>
      </c>
      <c r="L421" s="105" t="n">
        <v>-19.925058</v>
      </c>
      <c r="M421" s="105" t="n">
        <v>-43.925944999999999</v>
      </c>
      <c r="N421" s="105" t="n">
        <v>612409.93144902098</v>
      </c>
      <c r="O421" s="105" t="n">
        <v>7796452.6506475201</v>
      </c>
    </row>
    <row r="422" ht="30" customHeight="1">
      <c r="A422" s="105" t="s">
        <v>9714</v>
      </c>
      <c r="B422" s="105" t="s">
        <v>8277</v>
      </c>
      <c r="C422" s="30" t="s">
        <v>8276</v>
      </c>
      <c r="D422" s="105" t="s">
        <v>9715</v>
      </c>
      <c r="E422" s="104" t="s">
        <v>8278</v>
      </c>
      <c r="F422" s="104" t="s">
        <v>7159</v>
      </c>
      <c r="G422" s="104" t="s">
        <v>7160</v>
      </c>
      <c r="H422" s="116" t="s">
        <v>7161</v>
      </c>
      <c r="I422" s="104" t="s">
        <v>8279</v>
      </c>
      <c r="J422" s="104" t="s">
        <v>8280</v>
      </c>
      <c r="K422" s="117" t="s">
        <v>8281</v>
      </c>
      <c r="L422" s="105" t="n">
        <v>-19.925058</v>
      </c>
      <c r="M422" s="105" t="n">
        <v>-43.925944999999999</v>
      </c>
      <c r="N422" s="105" t="n">
        <v>612409.93144902098</v>
      </c>
      <c r="O422" s="105" t="n">
        <v>7796452.6506475201</v>
      </c>
    </row>
    <row r="423" ht="30" customHeight="1">
      <c r="A423" s="105" t="s">
        <v>9716</v>
      </c>
      <c r="B423" s="105" t="s">
        <v>8277</v>
      </c>
      <c r="C423" s="30" t="s">
        <v>8276</v>
      </c>
      <c r="D423" s="105" t="s">
        <v>9717</v>
      </c>
      <c r="E423" s="104" t="s">
        <v>8278</v>
      </c>
      <c r="F423" s="104" t="s">
        <v>7159</v>
      </c>
      <c r="G423" s="104" t="s">
        <v>7160</v>
      </c>
      <c r="H423" s="116" t="s">
        <v>7161</v>
      </c>
      <c r="I423" s="104" t="s">
        <v>8279</v>
      </c>
      <c r="J423" s="104" t="s">
        <v>8280</v>
      </c>
      <c r="K423" s="117" t="s">
        <v>8281</v>
      </c>
      <c r="L423" s="105" t="n">
        <v>-19.925058</v>
      </c>
      <c r="M423" s="105" t="n">
        <v>-43.925944999999999</v>
      </c>
      <c r="N423" s="105" t="n">
        <v>612409.93144902098</v>
      </c>
      <c r="O423" s="105" t="n">
        <v>7796452.6506475201</v>
      </c>
    </row>
    <row r="424" ht="30" customHeight="1">
      <c r="A424" s="105" t="s">
        <v>9718</v>
      </c>
      <c r="B424" s="105" t="s">
        <v>8277</v>
      </c>
      <c r="C424" s="30" t="s">
        <v>8276</v>
      </c>
      <c r="D424" s="105" t="s">
        <v>9719</v>
      </c>
      <c r="E424" s="104" t="s">
        <v>8278</v>
      </c>
      <c r="F424" s="104" t="s">
        <v>7159</v>
      </c>
      <c r="G424" s="104" t="s">
        <v>7160</v>
      </c>
      <c r="H424" s="116" t="s">
        <v>7161</v>
      </c>
      <c r="I424" s="104" t="s">
        <v>8279</v>
      </c>
      <c r="J424" s="104" t="s">
        <v>8280</v>
      </c>
      <c r="K424" s="117" t="s">
        <v>8281</v>
      </c>
      <c r="L424" s="105" t="n">
        <v>-19.925058</v>
      </c>
      <c r="M424" s="105" t="n">
        <v>-43.925944999999999</v>
      </c>
      <c r="N424" s="105" t="n">
        <v>612409.93144902098</v>
      </c>
      <c r="O424" s="105" t="n">
        <v>7796452.6506475201</v>
      </c>
    </row>
    <row r="425" ht="30" customHeight="1">
      <c r="A425" s="105" t="s">
        <v>9720</v>
      </c>
      <c r="B425" s="105" t="s">
        <v>8277</v>
      </c>
      <c r="C425" s="30" t="s">
        <v>8276</v>
      </c>
      <c r="D425" s="105" t="s">
        <v>9721</v>
      </c>
      <c r="E425" s="104" t="s">
        <v>8278</v>
      </c>
      <c r="F425" s="104" t="s">
        <v>7159</v>
      </c>
      <c r="G425" s="104" t="s">
        <v>7160</v>
      </c>
      <c r="H425" s="116" t="s">
        <v>7161</v>
      </c>
      <c r="I425" s="104" t="s">
        <v>8279</v>
      </c>
      <c r="J425" s="104" t="s">
        <v>8280</v>
      </c>
      <c r="K425" s="117" t="s">
        <v>8281</v>
      </c>
      <c r="L425" s="105" t="n">
        <v>-19.925058</v>
      </c>
      <c r="M425" s="105" t="n">
        <v>-43.925944999999999</v>
      </c>
      <c r="N425" s="105" t="n">
        <v>612409.93144902098</v>
      </c>
      <c r="O425" s="105" t="n">
        <v>7796452.6506475201</v>
      </c>
    </row>
    <row r="426" ht="30" customHeight="1">
      <c r="A426" s="105" t="s">
        <v>9722</v>
      </c>
      <c r="B426" s="105" t="s">
        <v>8277</v>
      </c>
      <c r="C426" s="30" t="s">
        <v>8276</v>
      </c>
      <c r="D426" s="105" t="s">
        <v>9723</v>
      </c>
      <c r="E426" s="104" t="s">
        <v>8278</v>
      </c>
      <c r="F426" s="104" t="s">
        <v>7159</v>
      </c>
      <c r="G426" s="104" t="s">
        <v>7160</v>
      </c>
      <c r="H426" s="116" t="s">
        <v>7161</v>
      </c>
      <c r="I426" s="104" t="s">
        <v>8279</v>
      </c>
      <c r="J426" s="104" t="s">
        <v>8280</v>
      </c>
      <c r="K426" s="117" t="s">
        <v>8281</v>
      </c>
      <c r="L426" s="105" t="n">
        <v>-19.925058</v>
      </c>
      <c r="M426" s="105" t="n">
        <v>-43.925944999999999</v>
      </c>
      <c r="N426" s="105" t="n">
        <v>612409.93144902098</v>
      </c>
      <c r="O426" s="105" t="n">
        <v>7796452.6506475201</v>
      </c>
    </row>
    <row r="427" ht="30" customHeight="1">
      <c r="A427" s="105" t="s">
        <v>9724</v>
      </c>
      <c r="B427" s="105" t="s">
        <v>8277</v>
      </c>
      <c r="C427" s="30" t="s">
        <v>8276</v>
      </c>
      <c r="D427" s="105" t="s">
        <v>9725</v>
      </c>
      <c r="E427" s="104" t="s">
        <v>8278</v>
      </c>
      <c r="F427" s="104" t="s">
        <v>7159</v>
      </c>
      <c r="G427" s="104" t="s">
        <v>7160</v>
      </c>
      <c r="H427" s="116" t="s">
        <v>7161</v>
      </c>
      <c r="I427" s="104" t="s">
        <v>8279</v>
      </c>
      <c r="J427" s="104" t="s">
        <v>8280</v>
      </c>
      <c r="K427" s="117" t="s">
        <v>8281</v>
      </c>
      <c r="L427" s="105" t="n">
        <v>-19.925058</v>
      </c>
      <c r="M427" s="105" t="n">
        <v>-43.925944999999999</v>
      </c>
      <c r="N427" s="105" t="n">
        <v>612409.93144902098</v>
      </c>
      <c r="O427" s="105" t="n">
        <v>7796452.6506475201</v>
      </c>
    </row>
    <row r="428" ht="30" customHeight="1">
      <c r="A428" s="105" t="s">
        <v>9726</v>
      </c>
      <c r="B428" s="105" t="s">
        <v>8277</v>
      </c>
      <c r="C428" s="30" t="s">
        <v>8276</v>
      </c>
      <c r="D428" s="105" t="s">
        <v>9727</v>
      </c>
      <c r="E428" s="104" t="s">
        <v>8278</v>
      </c>
      <c r="F428" s="104" t="s">
        <v>7159</v>
      </c>
      <c r="G428" s="104" t="s">
        <v>7160</v>
      </c>
      <c r="H428" s="116" t="s">
        <v>7161</v>
      </c>
      <c r="I428" s="104" t="s">
        <v>8279</v>
      </c>
      <c r="J428" s="104" t="s">
        <v>8280</v>
      </c>
      <c r="K428" s="117" t="s">
        <v>8281</v>
      </c>
      <c r="L428" s="105" t="n">
        <v>-19.925058</v>
      </c>
      <c r="M428" s="105" t="n">
        <v>-43.925944999999999</v>
      </c>
      <c r="N428" s="105" t="n">
        <v>612409.93144902098</v>
      </c>
      <c r="O428" s="105" t="n">
        <v>7796452.6506475201</v>
      </c>
    </row>
    <row r="429" ht="30" customHeight="1">
      <c r="A429" s="105" t="s">
        <v>9728</v>
      </c>
      <c r="B429" s="105" t="s">
        <v>8277</v>
      </c>
      <c r="C429" s="30" t="s">
        <v>8276</v>
      </c>
      <c r="D429" s="105" t="s">
        <v>9729</v>
      </c>
      <c r="E429" s="104" t="s">
        <v>8278</v>
      </c>
      <c r="F429" s="104" t="s">
        <v>7159</v>
      </c>
      <c r="G429" s="104" t="s">
        <v>7160</v>
      </c>
      <c r="H429" s="116" t="s">
        <v>7161</v>
      </c>
      <c r="I429" s="104" t="s">
        <v>8279</v>
      </c>
      <c r="J429" s="104" t="s">
        <v>8280</v>
      </c>
      <c r="K429" s="117" t="s">
        <v>8281</v>
      </c>
      <c r="L429" s="105" t="n">
        <v>-19.925058</v>
      </c>
      <c r="M429" s="105" t="n">
        <v>-43.925944999999999</v>
      </c>
      <c r="N429" s="105" t="n">
        <v>612409.93144902098</v>
      </c>
      <c r="O429" s="105" t="n">
        <v>7796452.6506475201</v>
      </c>
    </row>
    <row r="430" ht="30" customHeight="1">
      <c r="A430" s="105" t="s">
        <v>9730</v>
      </c>
      <c r="B430" s="105" t="s">
        <v>8277</v>
      </c>
      <c r="C430" s="30" t="s">
        <v>8276</v>
      </c>
      <c r="D430" s="105" t="s">
        <v>9731</v>
      </c>
      <c r="E430" s="104" t="s">
        <v>8278</v>
      </c>
      <c r="F430" s="104" t="s">
        <v>7159</v>
      </c>
      <c r="G430" s="104" t="s">
        <v>7160</v>
      </c>
      <c r="H430" s="116" t="s">
        <v>7161</v>
      </c>
      <c r="I430" s="104" t="s">
        <v>8279</v>
      </c>
      <c r="J430" s="104" t="s">
        <v>8280</v>
      </c>
      <c r="K430" s="117" t="s">
        <v>8281</v>
      </c>
      <c r="L430" s="105" t="n">
        <v>-19.925058</v>
      </c>
      <c r="M430" s="105" t="n">
        <v>-43.925944999999999</v>
      </c>
      <c r="N430" s="105" t="n">
        <v>612409.93144902098</v>
      </c>
      <c r="O430" s="105" t="n">
        <v>7796452.6506475201</v>
      </c>
    </row>
    <row r="431" ht="30" customHeight="1">
      <c r="A431" s="105" t="s">
        <v>9732</v>
      </c>
      <c r="B431" s="105" t="s">
        <v>8277</v>
      </c>
      <c r="C431" s="30" t="s">
        <v>8276</v>
      </c>
      <c r="D431" s="30" t="s">
        <v>9733</v>
      </c>
      <c r="E431" s="104" t="s">
        <v>8278</v>
      </c>
      <c r="F431" s="104" t="s">
        <v>7159</v>
      </c>
      <c r="G431" s="104" t="s">
        <v>7160</v>
      </c>
      <c r="H431" s="116" t="s">
        <v>7161</v>
      </c>
      <c r="I431" s="104" t="s">
        <v>8279</v>
      </c>
      <c r="J431" s="104" t="s">
        <v>8280</v>
      </c>
      <c r="K431" s="117" t="s">
        <v>8281</v>
      </c>
      <c r="L431" s="105" t="n">
        <v>-19.925058</v>
      </c>
      <c r="M431" s="105" t="n">
        <v>-43.925944999999999</v>
      </c>
      <c r="N431" s="105" t="n">
        <v>612409.93144902098</v>
      </c>
      <c r="O431" s="105" t="n">
        <v>7796452.6506475201</v>
      </c>
    </row>
    <row r="432" ht="30" customHeight="1">
      <c r="A432" s="105" t="s">
        <v>9734</v>
      </c>
      <c r="B432" s="105" t="s">
        <v>8277</v>
      </c>
      <c r="C432" s="30" t="s">
        <v>8276</v>
      </c>
      <c r="D432" s="105" t="s">
        <v>9735</v>
      </c>
      <c r="E432" s="104" t="s">
        <v>8278</v>
      </c>
      <c r="F432" s="104" t="s">
        <v>7159</v>
      </c>
      <c r="G432" s="104" t="s">
        <v>7160</v>
      </c>
      <c r="H432" s="116" t="s">
        <v>7161</v>
      </c>
      <c r="I432" s="104" t="s">
        <v>8279</v>
      </c>
      <c r="J432" s="104" t="s">
        <v>8280</v>
      </c>
      <c r="K432" s="117" t="s">
        <v>8281</v>
      </c>
      <c r="L432" s="105" t="n">
        <v>-19.925058</v>
      </c>
      <c r="M432" s="105" t="n">
        <v>-43.925944999999999</v>
      </c>
      <c r="N432" s="105" t="n">
        <v>612409.93144902098</v>
      </c>
      <c r="O432" s="105" t="n">
        <v>7796452.6506475201</v>
      </c>
    </row>
    <row r="433" ht="30" customHeight="1">
      <c r="A433" s="105" t="s">
        <v>9736</v>
      </c>
      <c r="B433" s="105" t="s">
        <v>8277</v>
      </c>
      <c r="C433" s="30" t="s">
        <v>8276</v>
      </c>
      <c r="D433" s="105" t="s">
        <v>9737</v>
      </c>
      <c r="E433" s="104" t="s">
        <v>8278</v>
      </c>
      <c r="F433" s="104" t="s">
        <v>7159</v>
      </c>
      <c r="G433" s="104" t="s">
        <v>7160</v>
      </c>
      <c r="H433" s="116" t="s">
        <v>7161</v>
      </c>
      <c r="I433" s="104" t="s">
        <v>8279</v>
      </c>
      <c r="J433" s="104" t="s">
        <v>8280</v>
      </c>
      <c r="K433" s="117" t="s">
        <v>8281</v>
      </c>
      <c r="L433" s="105" t="n">
        <v>-19.925058</v>
      </c>
      <c r="M433" s="105" t="n">
        <v>-43.925944999999999</v>
      </c>
      <c r="N433" s="105" t="n">
        <v>612409.93144902098</v>
      </c>
      <c r="O433" s="105" t="n">
        <v>7796452.6506475201</v>
      </c>
    </row>
    <row r="434" ht="30" customHeight="1">
      <c r="A434" s="105" t="s">
        <v>9738</v>
      </c>
      <c r="B434" s="105" t="s">
        <v>8277</v>
      </c>
      <c r="C434" s="30" t="s">
        <v>8276</v>
      </c>
      <c r="D434" s="105" t="s">
        <v>9739</v>
      </c>
      <c r="E434" s="104" t="s">
        <v>8278</v>
      </c>
      <c r="F434" s="104" t="s">
        <v>7159</v>
      </c>
      <c r="G434" s="104" t="s">
        <v>7160</v>
      </c>
      <c r="H434" s="116" t="s">
        <v>7161</v>
      </c>
      <c r="I434" s="104" t="s">
        <v>8279</v>
      </c>
      <c r="J434" s="104" t="s">
        <v>8280</v>
      </c>
      <c r="K434" s="117" t="s">
        <v>8281</v>
      </c>
      <c r="L434" s="105" t="n">
        <v>-19.925058</v>
      </c>
      <c r="M434" s="105" t="n">
        <v>-43.925944999999999</v>
      </c>
      <c r="N434" s="105" t="n">
        <v>612409.93144902098</v>
      </c>
      <c r="O434" s="105" t="n">
        <v>7796452.6506475201</v>
      </c>
    </row>
    <row r="435" ht="30" customHeight="1">
      <c r="A435" s="105" t="s">
        <v>9740</v>
      </c>
      <c r="B435" s="105" t="s">
        <v>8277</v>
      </c>
      <c r="C435" s="30" t="s">
        <v>8276</v>
      </c>
      <c r="D435" s="105" t="s">
        <v>9741</v>
      </c>
      <c r="E435" s="104" t="s">
        <v>8278</v>
      </c>
      <c r="F435" s="104" t="s">
        <v>7159</v>
      </c>
      <c r="G435" s="104" t="s">
        <v>7160</v>
      </c>
      <c r="H435" s="116" t="s">
        <v>7161</v>
      </c>
      <c r="I435" s="104" t="s">
        <v>8279</v>
      </c>
      <c r="J435" s="104" t="s">
        <v>8280</v>
      </c>
      <c r="K435" s="117" t="s">
        <v>8281</v>
      </c>
      <c r="L435" s="105" t="n">
        <v>-19.925058</v>
      </c>
      <c r="M435" s="105" t="n">
        <v>-43.925944999999999</v>
      </c>
      <c r="N435" s="105" t="n">
        <v>612409.93144902098</v>
      </c>
      <c r="O435" s="105" t="n">
        <v>7796452.6506475201</v>
      </c>
    </row>
    <row r="436" ht="30" customHeight="1">
      <c r="A436" s="105" t="s">
        <v>9742</v>
      </c>
      <c r="B436" s="105" t="s">
        <v>8277</v>
      </c>
      <c r="C436" s="30" t="s">
        <v>8276</v>
      </c>
      <c r="D436" s="105" t="s">
        <v>9743</v>
      </c>
      <c r="E436" s="104" t="s">
        <v>8278</v>
      </c>
      <c r="F436" s="104" t="s">
        <v>7159</v>
      </c>
      <c r="G436" s="104" t="s">
        <v>7160</v>
      </c>
      <c r="H436" s="116" t="s">
        <v>7161</v>
      </c>
      <c r="I436" s="104" t="s">
        <v>8279</v>
      </c>
      <c r="J436" s="104" t="s">
        <v>8280</v>
      </c>
      <c r="K436" s="117" t="s">
        <v>8281</v>
      </c>
      <c r="L436" s="105" t="n">
        <v>-19.925058</v>
      </c>
      <c r="M436" s="105" t="n">
        <v>-43.925944999999999</v>
      </c>
      <c r="N436" s="105" t="n">
        <v>612409.93144902098</v>
      </c>
      <c r="O436" s="105" t="n">
        <v>7796452.6506475201</v>
      </c>
    </row>
    <row r="437" ht="30" customHeight="1">
      <c r="A437" s="105" t="s">
        <v>9744</v>
      </c>
      <c r="B437" s="105" t="s">
        <v>8277</v>
      </c>
      <c r="C437" s="30" t="s">
        <v>8276</v>
      </c>
      <c r="D437" s="105" t="s">
        <v>9745</v>
      </c>
      <c r="E437" s="104" t="s">
        <v>8278</v>
      </c>
      <c r="F437" s="104" t="s">
        <v>7159</v>
      </c>
      <c r="G437" s="104" t="s">
        <v>7160</v>
      </c>
      <c r="H437" s="116" t="s">
        <v>7161</v>
      </c>
      <c r="I437" s="104" t="s">
        <v>8279</v>
      </c>
      <c r="J437" s="104" t="s">
        <v>8280</v>
      </c>
      <c r="K437" s="117" t="s">
        <v>8281</v>
      </c>
      <c r="L437" s="105" t="n">
        <v>-19.925058</v>
      </c>
      <c r="M437" s="105" t="n">
        <v>-43.925944999999999</v>
      </c>
      <c r="N437" s="105" t="n">
        <v>612409.93144902098</v>
      </c>
      <c r="O437" s="105" t="n">
        <v>7796452.6506475201</v>
      </c>
    </row>
    <row r="438" ht="30" customHeight="1">
      <c r="A438" s="105" t="s">
        <v>9746</v>
      </c>
      <c r="B438" s="105" t="s">
        <v>8283</v>
      </c>
      <c r="C438" s="30" t="s">
        <v>8282</v>
      </c>
      <c r="D438" s="105" t="s">
        <v>9747</v>
      </c>
      <c r="E438" s="104" t="s">
        <v>8284</v>
      </c>
      <c r="F438" s="104" t="s">
        <v>8285</v>
      </c>
      <c r="G438" s="104" t="s">
        <v>7126</v>
      </c>
      <c r="H438" s="116" t="s">
        <v>7127</v>
      </c>
      <c r="I438" s="104" t="s">
        <v>8286</v>
      </c>
      <c r="J438" s="104" t="s">
        <v>8287</v>
      </c>
      <c r="K438" s="117" t="s">
        <v>8288</v>
      </c>
      <c r="L438" s="105" t="n">
        <v>-19.836951537076398</v>
      </c>
      <c r="M438" s="105" t="n">
        <v>-43.915484069802602</v>
      </c>
      <c r="N438" s="105" t="n">
        <v>613567.64117102104</v>
      </c>
      <c r="O438" s="105" t="n">
        <v>7806196.7040784396</v>
      </c>
    </row>
    <row r="439" ht="30" customHeight="1">
      <c r="A439" s="105" t="s">
        <v>9748</v>
      </c>
      <c r="B439" s="105" t="s">
        <v>8283</v>
      </c>
      <c r="C439" s="30" t="s">
        <v>8282</v>
      </c>
      <c r="D439" s="105" t="s">
        <v>9749</v>
      </c>
      <c r="E439" s="104" t="s">
        <v>8284</v>
      </c>
      <c r="F439" s="104" t="s">
        <v>8285</v>
      </c>
      <c r="G439" s="104" t="s">
        <v>7126</v>
      </c>
      <c r="H439" s="116" t="s">
        <v>7127</v>
      </c>
      <c r="I439" s="104" t="s">
        <v>8286</v>
      </c>
      <c r="J439" s="104" t="s">
        <v>8287</v>
      </c>
      <c r="K439" s="117" t="s">
        <v>8288</v>
      </c>
      <c r="L439" s="105" t="n">
        <v>-19.836951537076398</v>
      </c>
      <c r="M439" s="105" t="n">
        <v>-43.915484069802602</v>
      </c>
      <c r="N439" s="105" t="n">
        <v>613567.64117102104</v>
      </c>
      <c r="O439" s="105" t="n">
        <v>7806196.7040784396</v>
      </c>
    </row>
    <row r="440" ht="30" customHeight="1">
      <c r="A440" s="105" t="s">
        <v>9750</v>
      </c>
      <c r="B440" s="105" t="s">
        <v>8283</v>
      </c>
      <c r="C440" s="30" t="s">
        <v>8282</v>
      </c>
      <c r="D440" s="105" t="s">
        <v>9751</v>
      </c>
      <c r="E440" s="104" t="s">
        <v>8284</v>
      </c>
      <c r="F440" s="104" t="s">
        <v>8285</v>
      </c>
      <c r="G440" s="104" t="s">
        <v>7126</v>
      </c>
      <c r="H440" s="116" t="s">
        <v>7127</v>
      </c>
      <c r="I440" s="104" t="s">
        <v>8286</v>
      </c>
      <c r="J440" s="104" t="s">
        <v>8287</v>
      </c>
      <c r="K440" s="117" t="s">
        <v>8288</v>
      </c>
      <c r="L440" s="105" t="n">
        <v>-19.836951537076398</v>
      </c>
      <c r="M440" s="105" t="n">
        <v>-43.915484069802602</v>
      </c>
      <c r="N440" s="105" t="n">
        <v>613567.64117102104</v>
      </c>
      <c r="O440" s="105" t="n">
        <v>7806196.7040784396</v>
      </c>
    </row>
    <row r="441" ht="30" customHeight="1">
      <c r="A441" s="105" t="s">
        <v>9752</v>
      </c>
      <c r="B441" s="105" t="s">
        <v>8283</v>
      </c>
      <c r="C441" s="30" t="s">
        <v>8282</v>
      </c>
      <c r="D441" s="105" t="s">
        <v>9753</v>
      </c>
      <c r="E441" s="104" t="s">
        <v>8284</v>
      </c>
      <c r="F441" s="104" t="s">
        <v>8285</v>
      </c>
      <c r="G441" s="104" t="s">
        <v>7126</v>
      </c>
      <c r="H441" s="116" t="s">
        <v>7127</v>
      </c>
      <c r="I441" s="104" t="s">
        <v>8286</v>
      </c>
      <c r="J441" s="104" t="s">
        <v>8287</v>
      </c>
      <c r="K441" s="117" t="s">
        <v>8288</v>
      </c>
      <c r="L441" s="105" t="n">
        <v>-19.836951537076398</v>
      </c>
      <c r="M441" s="105" t="n">
        <v>-43.915484069802602</v>
      </c>
      <c r="N441" s="105" t="n">
        <v>613567.64117102104</v>
      </c>
      <c r="O441" s="105" t="n">
        <v>7806196.7040784396</v>
      </c>
    </row>
    <row r="442" ht="30" customHeight="1">
      <c r="A442" s="105" t="s">
        <v>9754</v>
      </c>
      <c r="B442" s="105" t="s">
        <v>8283</v>
      </c>
      <c r="C442" s="30" t="s">
        <v>8282</v>
      </c>
      <c r="D442" s="105" t="s">
        <v>9755</v>
      </c>
      <c r="E442" s="104" t="s">
        <v>8284</v>
      </c>
      <c r="F442" s="104" t="s">
        <v>8285</v>
      </c>
      <c r="G442" s="104" t="s">
        <v>7126</v>
      </c>
      <c r="H442" s="116" t="s">
        <v>7127</v>
      </c>
      <c r="I442" s="104" t="s">
        <v>8286</v>
      </c>
      <c r="J442" s="104" t="s">
        <v>8287</v>
      </c>
      <c r="K442" s="117" t="s">
        <v>8288</v>
      </c>
      <c r="L442" s="105" t="n">
        <v>-19.836951537076398</v>
      </c>
      <c r="M442" s="105" t="n">
        <v>-43.915484069802602</v>
      </c>
      <c r="N442" s="105" t="n">
        <v>613567.64117102104</v>
      </c>
      <c r="O442" s="105" t="n">
        <v>7806196.7040784396</v>
      </c>
    </row>
    <row r="443" ht="30" customHeight="1">
      <c r="A443" s="105" t="s">
        <v>9756</v>
      </c>
      <c r="B443" s="105" t="s">
        <v>8283</v>
      </c>
      <c r="C443" s="30" t="s">
        <v>8282</v>
      </c>
      <c r="D443" s="30" t="s">
        <v>9757</v>
      </c>
      <c r="E443" s="104" t="s">
        <v>8284</v>
      </c>
      <c r="F443" s="104" t="s">
        <v>8285</v>
      </c>
      <c r="G443" s="104" t="s">
        <v>7126</v>
      </c>
      <c r="H443" s="116" t="s">
        <v>7127</v>
      </c>
      <c r="I443" s="104" t="s">
        <v>8286</v>
      </c>
      <c r="J443" s="104" t="s">
        <v>8287</v>
      </c>
      <c r="K443" s="117" t="s">
        <v>8288</v>
      </c>
      <c r="L443" s="105" t="n">
        <v>-19.836951537076398</v>
      </c>
      <c r="M443" s="105" t="n">
        <v>-43.915484069802602</v>
      </c>
      <c r="N443" s="105" t="n">
        <v>613567.64117102104</v>
      </c>
      <c r="O443" s="105" t="n">
        <v>7806196.7040784396</v>
      </c>
    </row>
    <row r="444" ht="30" customHeight="1">
      <c r="A444" s="105" t="s">
        <v>9758</v>
      </c>
      <c r="B444" s="105" t="s">
        <v>8283</v>
      </c>
      <c r="C444" s="30" t="s">
        <v>8282</v>
      </c>
      <c r="D444" s="30" t="s">
        <v>9759</v>
      </c>
      <c r="E444" s="104" t="s">
        <v>8284</v>
      </c>
      <c r="F444" s="104" t="s">
        <v>8285</v>
      </c>
      <c r="G444" s="104" t="s">
        <v>7126</v>
      </c>
      <c r="H444" s="116" t="s">
        <v>7127</v>
      </c>
      <c r="I444" s="104" t="s">
        <v>8286</v>
      </c>
      <c r="J444" s="104" t="s">
        <v>8287</v>
      </c>
      <c r="K444" s="117" t="s">
        <v>8288</v>
      </c>
      <c r="L444" s="105" t="n">
        <v>-19.836951537076398</v>
      </c>
      <c r="M444" s="105" t="n">
        <v>-43.915484069802602</v>
      </c>
      <c r="N444" s="105" t="n">
        <v>613567.64117102104</v>
      </c>
      <c r="O444" s="105" t="n">
        <v>7806196.7040784396</v>
      </c>
    </row>
    <row r="445" ht="30" customHeight="1">
      <c r="A445" s="105" t="s">
        <v>9760</v>
      </c>
      <c r="B445" s="105" t="s">
        <v>8283</v>
      </c>
      <c r="C445" s="30" t="s">
        <v>8282</v>
      </c>
      <c r="D445" s="105" t="s">
        <v>9761</v>
      </c>
      <c r="E445" s="104" t="s">
        <v>8284</v>
      </c>
      <c r="F445" s="104" t="s">
        <v>8285</v>
      </c>
      <c r="G445" s="104" t="s">
        <v>7126</v>
      </c>
      <c r="H445" s="116" t="s">
        <v>7127</v>
      </c>
      <c r="I445" s="104" t="s">
        <v>8286</v>
      </c>
      <c r="J445" s="104" t="s">
        <v>8287</v>
      </c>
      <c r="K445" s="117" t="s">
        <v>8288</v>
      </c>
      <c r="L445" s="105" t="n">
        <v>-19.836951537076398</v>
      </c>
      <c r="M445" s="105" t="n">
        <v>-43.915484069802602</v>
      </c>
      <c r="N445" s="105" t="n">
        <v>613567.64117102104</v>
      </c>
      <c r="O445" s="105" t="n">
        <v>7806196.7040784396</v>
      </c>
    </row>
    <row r="446" ht="30" customHeight="1">
      <c r="A446" s="105" t="s">
        <v>9762</v>
      </c>
      <c r="B446" s="105" t="s">
        <v>8283</v>
      </c>
      <c r="C446" s="30" t="s">
        <v>8282</v>
      </c>
      <c r="D446" s="30" t="s">
        <v>9763</v>
      </c>
      <c r="E446" s="104" t="s">
        <v>8284</v>
      </c>
      <c r="F446" s="104" t="s">
        <v>8285</v>
      </c>
      <c r="G446" s="104" t="s">
        <v>7126</v>
      </c>
      <c r="H446" s="116" t="s">
        <v>7127</v>
      </c>
      <c r="I446" s="104" t="s">
        <v>8286</v>
      </c>
      <c r="J446" s="104" t="s">
        <v>8287</v>
      </c>
      <c r="K446" s="117" t="s">
        <v>8288</v>
      </c>
      <c r="L446" s="105" t="n">
        <v>-19.836951537076398</v>
      </c>
      <c r="M446" s="105" t="n">
        <v>-43.915484069802602</v>
      </c>
      <c r="N446" s="105" t="n">
        <v>613567.64117102104</v>
      </c>
      <c r="O446" s="105" t="n">
        <v>7806196.7040784396</v>
      </c>
    </row>
    <row r="447" ht="30" customHeight="1">
      <c r="A447" s="105" t="s">
        <v>9764</v>
      </c>
      <c r="B447" s="105" t="s">
        <v>8283</v>
      </c>
      <c r="C447" s="30" t="s">
        <v>8282</v>
      </c>
      <c r="D447" s="30" t="s">
        <v>9765</v>
      </c>
      <c r="E447" s="104" t="s">
        <v>8284</v>
      </c>
      <c r="F447" s="104" t="s">
        <v>8285</v>
      </c>
      <c r="G447" s="104" t="s">
        <v>7126</v>
      </c>
      <c r="H447" s="116" t="s">
        <v>7127</v>
      </c>
      <c r="I447" s="104" t="s">
        <v>8286</v>
      </c>
      <c r="J447" s="104" t="s">
        <v>8287</v>
      </c>
      <c r="K447" s="117" t="s">
        <v>8288</v>
      </c>
      <c r="L447" s="105" t="n">
        <v>-19.836951537076398</v>
      </c>
      <c r="M447" s="105" t="n">
        <v>-43.915484069802602</v>
      </c>
      <c r="N447" s="105" t="n">
        <v>613567.64117102104</v>
      </c>
      <c r="O447" s="105" t="n">
        <v>7806196.7040784396</v>
      </c>
    </row>
    <row r="448" ht="30" customHeight="1">
      <c r="A448" s="105" t="s">
        <v>9766</v>
      </c>
      <c r="B448" s="105" t="s">
        <v>8283</v>
      </c>
      <c r="C448" s="30" t="s">
        <v>8282</v>
      </c>
      <c r="D448" s="30" t="s">
        <v>9767</v>
      </c>
      <c r="E448" s="104" t="s">
        <v>8284</v>
      </c>
      <c r="F448" s="104" t="s">
        <v>8285</v>
      </c>
      <c r="G448" s="104" t="s">
        <v>7126</v>
      </c>
      <c r="H448" s="116" t="s">
        <v>7127</v>
      </c>
      <c r="I448" s="104" t="s">
        <v>8286</v>
      </c>
      <c r="J448" s="104" t="s">
        <v>8287</v>
      </c>
      <c r="K448" s="117" t="s">
        <v>8288</v>
      </c>
      <c r="L448" s="105" t="n">
        <v>-19.836951537076398</v>
      </c>
      <c r="M448" s="105" t="n">
        <v>-43.915484069802602</v>
      </c>
      <c r="N448" s="105" t="n">
        <v>613567.64117102104</v>
      </c>
      <c r="O448" s="105" t="n">
        <v>7806196.7040784396</v>
      </c>
    </row>
    <row r="449" ht="30" customHeight="1">
      <c r="A449" s="105" t="s">
        <v>9768</v>
      </c>
      <c r="B449" s="105" t="s">
        <v>8283</v>
      </c>
      <c r="C449" s="30" t="s">
        <v>8282</v>
      </c>
      <c r="D449" s="105" t="s">
        <v>9769</v>
      </c>
      <c r="E449" s="104" t="s">
        <v>8284</v>
      </c>
      <c r="F449" s="104" t="s">
        <v>8285</v>
      </c>
      <c r="G449" s="104" t="s">
        <v>7126</v>
      </c>
      <c r="H449" s="116" t="s">
        <v>7127</v>
      </c>
      <c r="I449" s="104" t="s">
        <v>8286</v>
      </c>
      <c r="J449" s="104" t="s">
        <v>8287</v>
      </c>
      <c r="K449" s="117" t="s">
        <v>8288</v>
      </c>
      <c r="L449" s="105" t="n">
        <v>-19.836951537076398</v>
      </c>
      <c r="M449" s="105" t="n">
        <v>-43.915484069802602</v>
      </c>
      <c r="N449" s="105" t="n">
        <v>613567.64117102104</v>
      </c>
      <c r="O449" s="105" t="n">
        <v>7806196.7040784396</v>
      </c>
    </row>
    <row r="450" ht="30" customHeight="1">
      <c r="A450" s="105" t="s">
        <v>9770</v>
      </c>
      <c r="B450" s="105" t="s">
        <v>8290</v>
      </c>
      <c r="C450" s="30" t="s">
        <v>8289</v>
      </c>
      <c r="D450" s="105" t="s">
        <v>9771</v>
      </c>
      <c r="E450" s="104" t="s">
        <v>8291</v>
      </c>
      <c r="F450" s="104" t="s">
        <v>8292</v>
      </c>
      <c r="G450" s="104" t="s">
        <v>7160</v>
      </c>
      <c r="H450" s="116" t="s">
        <v>7161</v>
      </c>
      <c r="I450" s="104" t="s">
        <v>8293</v>
      </c>
      <c r="J450" s="104" t="s">
        <v>8294</v>
      </c>
      <c r="K450" s="117" t="s">
        <v>8295</v>
      </c>
      <c r="L450" s="105" t="n">
        <v>-19.925098941136898</v>
      </c>
      <c r="M450" s="105" t="n">
        <v>-43.951621023368403</v>
      </c>
      <c r="N450" s="105" t="n">
        <v>609722.43181036599</v>
      </c>
      <c r="O450" s="105" t="n">
        <v>7796465.0849360796</v>
      </c>
    </row>
    <row r="451">
      <c r="A451" s="105" t="s">
        <v>9772</v>
      </c>
      <c r="B451" s="105" t="s">
        <v>8297</v>
      </c>
      <c r="C451" s="30" t="s">
        <v>8296</v>
      </c>
      <c r="D451" s="105" t="s">
        <v>9773</v>
      </c>
      <c r="E451" s="104" t="s">
        <v>8298</v>
      </c>
      <c r="F451" s="104" t="s">
        <v>6991</v>
      </c>
      <c r="G451" s="104" t="s">
        <v>6974</v>
      </c>
      <c r="H451" s="116" t="s">
        <v>6975</v>
      </c>
      <c r="I451" s="104" t="s">
        <v>7774</v>
      </c>
      <c r="J451" s="104" t="s">
        <v>8299</v>
      </c>
      <c r="K451" s="117" t="s">
        <v>7776</v>
      </c>
      <c r="L451" s="105" t="n">
        <v>-19.905933000000001</v>
      </c>
      <c r="M451" s="105" t="n">
        <v>-43.946482000000003</v>
      </c>
      <c r="N451" s="105" t="n">
        <v>610273.61138472403</v>
      </c>
      <c r="O451" s="105" t="n">
        <v>7798582.8824437503</v>
      </c>
    </row>
    <row r="452" ht="30" customHeight="1">
      <c r="A452" s="105" t="s">
        <v>9774</v>
      </c>
      <c r="B452" s="105" t="s">
        <v>8297</v>
      </c>
      <c r="C452" s="30" t="s">
        <v>8296</v>
      </c>
      <c r="D452" s="105" t="s">
        <v>9775</v>
      </c>
      <c r="E452" s="104" t="s">
        <v>8298</v>
      </c>
      <c r="F452" s="104" t="s">
        <v>6991</v>
      </c>
      <c r="G452" s="104" t="s">
        <v>6974</v>
      </c>
      <c r="H452" s="116" t="s">
        <v>6975</v>
      </c>
      <c r="I452" s="104" t="s">
        <v>7774</v>
      </c>
      <c r="J452" s="104" t="s">
        <v>8299</v>
      </c>
      <c r="K452" s="117" t="s">
        <v>7776</v>
      </c>
      <c r="L452" s="105" t="n">
        <v>-19.905933000000001</v>
      </c>
      <c r="M452" s="105" t="n">
        <v>-43.946482000000003</v>
      </c>
      <c r="N452" s="105" t="n">
        <v>610273.61138472403</v>
      </c>
      <c r="O452" s="105" t="n">
        <v>7798582.8824437503</v>
      </c>
    </row>
    <row r="453" ht="30" customHeight="1">
      <c r="A453" s="105" t="s">
        <v>9776</v>
      </c>
      <c r="B453" s="105" t="s">
        <v>8301</v>
      </c>
      <c r="C453" s="30" t="s">
        <v>8300</v>
      </c>
      <c r="D453" s="105" t="s">
        <v>9777</v>
      </c>
      <c r="E453" s="104" t="s">
        <v>8302</v>
      </c>
      <c r="F453" s="104" t="s">
        <v>7159</v>
      </c>
      <c r="G453" s="104" t="s">
        <v>7160</v>
      </c>
      <c r="H453" s="116" t="s">
        <v>7161</v>
      </c>
      <c r="I453" s="104" t="s">
        <v>8303</v>
      </c>
      <c r="J453" s="104" t="s">
        <v>8304</v>
      </c>
      <c r="K453" s="117" t="s">
        <v>8305</v>
      </c>
      <c r="L453" s="105" t="n">
        <v>-19.924560663710299</v>
      </c>
      <c r="M453" s="105" t="n">
        <v>-43.9191977150521</v>
      </c>
      <c r="N453" s="105" t="n">
        <v>613116.51654073305</v>
      </c>
      <c r="O453" s="105" t="n">
        <v>7796503.1665916601</v>
      </c>
    </row>
    <row r="454" ht="30" customHeight="1">
      <c r="A454" s="105" t="s">
        <v>9778</v>
      </c>
      <c r="B454" s="105" t="s">
        <v>8307</v>
      </c>
      <c r="C454" s="30" t="s">
        <v>8306</v>
      </c>
      <c r="D454" s="30" t="s">
        <v>9779</v>
      </c>
      <c r="E454" s="104" t="s">
        <v>7937</v>
      </c>
      <c r="F454" s="104" t="s">
        <v>7938</v>
      </c>
      <c r="G454" s="104" t="s">
        <v>6974</v>
      </c>
      <c r="H454" s="116" t="s">
        <v>7264</v>
      </c>
      <c r="I454" s="104" t="s">
        <v>7939</v>
      </c>
      <c r="J454" s="104" t="s">
        <v>7940</v>
      </c>
      <c r="K454" s="117" t="s">
        <v>7941</v>
      </c>
      <c r="L454" s="105" t="n">
        <v>-19.915514824046699</v>
      </c>
      <c r="M454" s="105" t="n">
        <v>-43.968119314587902</v>
      </c>
      <c r="N454" s="105" t="n">
        <v>608002.09886720695</v>
      </c>
      <c r="O454" s="105" t="n">
        <v>7797536.4713743301</v>
      </c>
    </row>
    <row r="455" ht="30" customHeight="1">
      <c r="A455" s="105" t="s">
        <v>9780</v>
      </c>
      <c r="B455" s="105" t="s">
        <v>8863</v>
      </c>
      <c r="C455" s="30" t="s">
        <v>8862</v>
      </c>
      <c r="D455" s="105" t="s">
        <v>9781</v>
      </c>
      <c r="E455" s="104" t="s">
        <v>8864</v>
      </c>
      <c r="F455" s="104" t="s">
        <v>7420</v>
      </c>
      <c r="G455" s="104" t="s">
        <v>6997</v>
      </c>
      <c r="H455" s="116" t="s">
        <v>7152</v>
      </c>
      <c r="I455" s="104" t="s">
        <v>8865</v>
      </c>
      <c r="J455" s="104" t="s">
        <v>7355</v>
      </c>
      <c r="K455" s="117" t="s">
        <v>8866</v>
      </c>
      <c r="L455" s="105" t="n">
        <v>-19.863837</v>
      </c>
      <c r="M455" s="105" t="n">
        <v>-43.977938999999999</v>
      </c>
      <c r="N455" s="105" t="n">
        <v>607008.94679552806</v>
      </c>
      <c r="O455" s="105" t="n">
        <v>7803262.0491734501</v>
      </c>
    </row>
    <row r="456" ht="30" customHeight="1">
      <c r="A456" s="105" t="s">
        <v>9782</v>
      </c>
      <c r="B456" s="105" t="s">
        <v>8309</v>
      </c>
      <c r="C456" s="30" t="s">
        <v>8308</v>
      </c>
      <c r="D456" s="30" t="s">
        <v>9783</v>
      </c>
      <c r="E456" s="104" t="s">
        <v>8310</v>
      </c>
      <c r="F456" s="104" t="s">
        <v>8311</v>
      </c>
      <c r="G456" s="104" t="s">
        <v>6983</v>
      </c>
      <c r="H456" s="116" t="s">
        <v>7228</v>
      </c>
      <c r="I456" s="104" t="s">
        <v>8303</v>
      </c>
      <c r="J456" s="104" t="s">
        <v>8312</v>
      </c>
      <c r="K456" s="117" t="s">
        <v>8313</v>
      </c>
      <c r="L456" s="105" t="n">
        <v>-19.922211404862299</v>
      </c>
      <c r="M456" s="105" t="n">
        <v>-43.957294666098299</v>
      </c>
      <c r="N456" s="105" t="n">
        <v>609130.56454189599</v>
      </c>
      <c r="O456" s="105" t="n">
        <v>7796788.35133358</v>
      </c>
    </row>
    <row r="457" ht="30" customHeight="1">
      <c r="A457" s="105" t="s">
        <v>9784</v>
      </c>
      <c r="B457" s="105" t="s">
        <v>8309</v>
      </c>
      <c r="C457" s="30" t="s">
        <v>8308</v>
      </c>
      <c r="D457" s="30" t="s">
        <v>9785</v>
      </c>
      <c r="E457" s="104" t="s">
        <v>8310</v>
      </c>
      <c r="F457" s="104" t="s">
        <v>8311</v>
      </c>
      <c r="G457" s="104" t="s">
        <v>6983</v>
      </c>
      <c r="H457" s="116" t="s">
        <v>7228</v>
      </c>
      <c r="I457" s="104" t="s">
        <v>8303</v>
      </c>
      <c r="J457" s="104" t="s">
        <v>8312</v>
      </c>
      <c r="K457" s="117" t="s">
        <v>8313</v>
      </c>
      <c r="L457" s="105" t="n">
        <v>-19.922211404862299</v>
      </c>
      <c r="M457" s="105" t="n">
        <v>-43.957294666098299</v>
      </c>
      <c r="N457" s="105" t="n">
        <v>609130.56454189599</v>
      </c>
      <c r="O457" s="105" t="n">
        <v>7796788.35133358</v>
      </c>
    </row>
    <row r="458" ht="30" customHeight="1">
      <c r="A458" s="105" t="s">
        <v>9786</v>
      </c>
      <c r="B458" s="105" t="s">
        <v>8309</v>
      </c>
      <c r="C458" s="30" t="s">
        <v>8308</v>
      </c>
      <c r="D458" s="30" t="s">
        <v>9787</v>
      </c>
      <c r="E458" s="95" t="s">
        <v>8310</v>
      </c>
      <c r="F458" s="104" t="s">
        <v>8311</v>
      </c>
      <c r="G458" s="104" t="s">
        <v>6983</v>
      </c>
      <c r="H458" s="116" t="s">
        <v>7228</v>
      </c>
      <c r="I458" s="104" t="s">
        <v>8303</v>
      </c>
      <c r="J458" s="104" t="s">
        <v>8312</v>
      </c>
      <c r="K458" s="117" t="s">
        <v>8313</v>
      </c>
      <c r="L458" s="105" t="n">
        <v>-19.922211404862299</v>
      </c>
      <c r="M458" s="105" t="n">
        <v>-43.957294666098299</v>
      </c>
      <c r="N458" s="105" t="n">
        <v>609130.56454189599</v>
      </c>
      <c r="O458" s="105" t="n">
        <v>7796788.35133358</v>
      </c>
    </row>
    <row r="459" ht="30" customHeight="1">
      <c r="A459" s="105" t="s">
        <v>9788</v>
      </c>
      <c r="B459" s="105" t="s">
        <v>8309</v>
      </c>
      <c r="C459" s="30" t="s">
        <v>8308</v>
      </c>
      <c r="D459" s="30" t="s">
        <v>9789</v>
      </c>
      <c r="E459" s="95" t="s">
        <v>8310</v>
      </c>
      <c r="F459" s="104" t="s">
        <v>8311</v>
      </c>
      <c r="G459" s="104" t="s">
        <v>6983</v>
      </c>
      <c r="H459" s="116" t="s">
        <v>7228</v>
      </c>
      <c r="I459" s="104" t="s">
        <v>8303</v>
      </c>
      <c r="J459" s="104" t="s">
        <v>8312</v>
      </c>
      <c r="K459" s="117" t="s">
        <v>8313</v>
      </c>
      <c r="L459" s="105" t="n">
        <v>-19.922211404862299</v>
      </c>
      <c r="M459" s="105" t="n">
        <v>-43.957294666098299</v>
      </c>
      <c r="N459" s="105" t="n">
        <v>609130.56454189599</v>
      </c>
      <c r="O459" s="105" t="n">
        <v>7796788.35133358</v>
      </c>
    </row>
    <row r="460" ht="30" customHeight="1">
      <c r="A460" s="105" t="s">
        <v>9790</v>
      </c>
      <c r="B460" s="105" t="s">
        <v>8309</v>
      </c>
      <c r="C460" s="30" t="s">
        <v>8308</v>
      </c>
      <c r="D460" s="30" t="s">
        <v>9791</v>
      </c>
      <c r="E460" s="95" t="s">
        <v>8310</v>
      </c>
      <c r="F460" s="104" t="s">
        <v>8311</v>
      </c>
      <c r="G460" s="104" t="s">
        <v>6983</v>
      </c>
      <c r="H460" s="116" t="s">
        <v>7228</v>
      </c>
      <c r="I460" s="104" t="s">
        <v>8303</v>
      </c>
      <c r="J460" s="104" t="s">
        <v>8312</v>
      </c>
      <c r="K460" s="117" t="s">
        <v>8313</v>
      </c>
      <c r="L460" s="105" t="n">
        <v>-19.922211404862299</v>
      </c>
      <c r="M460" s="105" t="n">
        <v>-43.957294666098299</v>
      </c>
      <c r="N460" s="105" t="n">
        <v>609130.56454189599</v>
      </c>
      <c r="O460" s="105" t="n">
        <v>7796788.35133358</v>
      </c>
    </row>
    <row r="461" ht="30" customHeight="1">
      <c r="A461" s="105" t="s">
        <v>9792</v>
      </c>
      <c r="B461" s="105" t="s">
        <v>8309</v>
      </c>
      <c r="C461" s="30" t="s">
        <v>8308</v>
      </c>
      <c r="D461" s="30" t="s">
        <v>9793</v>
      </c>
      <c r="E461" s="104" t="s">
        <v>8310</v>
      </c>
      <c r="F461" s="104" t="s">
        <v>8311</v>
      </c>
      <c r="G461" s="104" t="s">
        <v>6983</v>
      </c>
      <c r="H461" s="116" t="s">
        <v>7228</v>
      </c>
      <c r="I461" s="104" t="s">
        <v>8303</v>
      </c>
      <c r="J461" s="104" t="s">
        <v>8312</v>
      </c>
      <c r="K461" s="117" t="s">
        <v>8313</v>
      </c>
      <c r="L461" s="105" t="n">
        <v>-19.922211404862299</v>
      </c>
      <c r="M461" s="105" t="n">
        <v>-43.957294666098299</v>
      </c>
      <c r="N461" s="105" t="n">
        <v>609130.56454189599</v>
      </c>
      <c r="O461" s="105" t="n">
        <v>7796788.35133358</v>
      </c>
    </row>
    <row r="462">
      <c r="A462" s="105" t="s">
        <v>9794</v>
      </c>
      <c r="B462" s="105" t="s">
        <v>8315</v>
      </c>
      <c r="C462" s="30" t="s">
        <v>8314</v>
      </c>
      <c r="D462" s="30" t="s">
        <v>9795</v>
      </c>
      <c r="E462" s="96" t="s">
        <v>8316</v>
      </c>
      <c r="F462" s="104" t="s">
        <v>8317</v>
      </c>
      <c r="G462" s="104" t="s">
        <v>7160</v>
      </c>
      <c r="H462" s="116" t="s">
        <v>7815</v>
      </c>
      <c r="I462" s="104" t="s">
        <v>8318</v>
      </c>
      <c r="J462" s="104"/>
      <c r="K462" s="117" t="s">
        <v>8319</v>
      </c>
      <c r="L462" s="105" t="n">
        <v>-19.943528419642899</v>
      </c>
      <c r="M462" s="105" t="n">
        <v>-43.911447187500002</v>
      </c>
      <c r="N462" s="105" t="n">
        <v>613914.16074050695</v>
      </c>
      <c r="O462" s="105" t="n">
        <v>7794398.68310876</v>
      </c>
    </row>
    <row r="463">
      <c r="A463" s="105" t="s">
        <v>9796</v>
      </c>
      <c r="B463" s="105" t="s">
        <v>8315</v>
      </c>
      <c r="C463" s="30" t="s">
        <v>8314</v>
      </c>
      <c r="D463" s="30" t="s">
        <v>9797</v>
      </c>
      <c r="E463" s="104" t="s">
        <v>8316</v>
      </c>
      <c r="F463" s="104" t="s">
        <v>8317</v>
      </c>
      <c r="G463" s="104" t="s">
        <v>7160</v>
      </c>
      <c r="H463" s="116" t="s">
        <v>7815</v>
      </c>
      <c r="I463" s="104" t="s">
        <v>8318</v>
      </c>
      <c r="J463" s="104"/>
      <c r="K463" s="117" t="s">
        <v>8319</v>
      </c>
      <c r="L463" s="105" t="n">
        <v>-19.943528419642899</v>
      </c>
      <c r="M463" s="105" t="n">
        <v>-43.911447187500002</v>
      </c>
      <c r="N463" s="105" t="n">
        <v>613914.16074050695</v>
      </c>
      <c r="O463" s="105" t="n">
        <v>7794398.68310876</v>
      </c>
    </row>
    <row r="464" ht="30" customHeight="1">
      <c r="A464" s="105" t="s">
        <v>9798</v>
      </c>
      <c r="B464" s="105" t="s">
        <v>8321</v>
      </c>
      <c r="C464" s="30" t="s">
        <v>8320</v>
      </c>
      <c r="D464" s="30" t="s">
        <v>9799</v>
      </c>
      <c r="E464" s="104" t="s">
        <v>8322</v>
      </c>
      <c r="F464" s="104" t="s">
        <v>8323</v>
      </c>
      <c r="G464" s="104" t="s">
        <v>7126</v>
      </c>
      <c r="H464" s="116" t="s">
        <v>7449</v>
      </c>
      <c r="I464" s="104" t="s">
        <v>8324</v>
      </c>
      <c r="J464" s="104" t="s">
        <v>8325</v>
      </c>
      <c r="K464" s="117" t="s">
        <v>8326</v>
      </c>
      <c r="L464" s="105" t="n">
        <v>-19.834773450592699</v>
      </c>
      <c r="M464" s="105" t="n">
        <v>-43.932101743837698</v>
      </c>
      <c r="N464" s="105" t="n">
        <v>611828.84962460701</v>
      </c>
      <c r="O464" s="105" t="n">
        <v>7806448.8533014497</v>
      </c>
    </row>
    <row r="465" ht="30" customHeight="1">
      <c r="A465" s="105" t="s">
        <v>9800</v>
      </c>
      <c r="B465" s="105" t="s">
        <v>8328</v>
      </c>
      <c r="C465" s="30" t="s">
        <v>8327</v>
      </c>
      <c r="D465" s="105" t="s">
        <v>9801</v>
      </c>
      <c r="E465" s="104" t="s">
        <v>8329</v>
      </c>
      <c r="F465" s="104" t="s">
        <v>7213</v>
      </c>
      <c r="G465" s="104" t="s">
        <v>7015</v>
      </c>
      <c r="H465" s="116" t="s">
        <v>7016</v>
      </c>
      <c r="I465" s="104" t="s">
        <v>8330</v>
      </c>
      <c r="J465" s="104" t="s">
        <v>8331</v>
      </c>
      <c r="K465" s="117" t="s">
        <v>8332</v>
      </c>
      <c r="L465" s="105" t="n">
        <v>-19.892896425307299</v>
      </c>
      <c r="M465" s="105" t="n">
        <v>-43.890356069555402</v>
      </c>
      <c r="N465" s="105" t="n">
        <v>616158.47871752805</v>
      </c>
      <c r="O465" s="105" t="n">
        <v>7799987.9360181298</v>
      </c>
    </row>
    <row r="466" ht="45" customHeight="1">
      <c r="A466" s="105" t="s">
        <v>9802</v>
      </c>
      <c r="B466" s="105" t="s">
        <v>8832</v>
      </c>
      <c r="C466" s="30" t="s">
        <v>8831</v>
      </c>
      <c r="D466" s="30" t="s">
        <v>9803</v>
      </c>
      <c r="E466" s="104" t="s">
        <v>8833</v>
      </c>
      <c r="F466" s="104" t="s">
        <v>7980</v>
      </c>
      <c r="G466" s="104" t="s">
        <v>7160</v>
      </c>
      <c r="H466" s="116" t="s">
        <v>7161</v>
      </c>
      <c r="I466" s="104" t="s">
        <v>8227</v>
      </c>
      <c r="J466" s="104" t="s">
        <v>8834</v>
      </c>
      <c r="K466" s="117" t="s">
        <v>8228</v>
      </c>
      <c r="L466" s="105" t="n">
        <v>-19.925515999999998</v>
      </c>
      <c r="M466" s="105" t="n">
        <v>-43.928429999999999</v>
      </c>
      <c r="N466" s="105" t="n">
        <v>612149.50630714803</v>
      </c>
      <c r="O466" s="105" t="n">
        <v>7796403.6218478</v>
      </c>
    </row>
    <row r="467" ht="30" customHeight="1">
      <c r="A467" s="105" t="s">
        <v>9804</v>
      </c>
      <c r="B467" s="105" t="s">
        <v>8334</v>
      </c>
      <c r="C467" s="30" t="s">
        <v>8333</v>
      </c>
      <c r="D467" s="30" t="s">
        <v>9805</v>
      </c>
      <c r="E467" s="104" t="s">
        <v>8335</v>
      </c>
      <c r="F467" s="104" t="s">
        <v>7031</v>
      </c>
      <c r="G467" s="104" t="s">
        <v>6983</v>
      </c>
      <c r="H467" s="116" t="s">
        <v>7032</v>
      </c>
      <c r="I467" s="104" t="s">
        <v>8336</v>
      </c>
      <c r="J467" s="104" t="s">
        <v>8337</v>
      </c>
      <c r="K467" s="117" t="s">
        <v>8338</v>
      </c>
      <c r="L467" s="105" t="n">
        <v>-19.9760169000152</v>
      </c>
      <c r="M467" s="105" t="n">
        <v>-43.971466885558598</v>
      </c>
      <c r="N467" s="105" t="n">
        <v>607610.68651108304</v>
      </c>
      <c r="O467" s="105" t="n">
        <v>7790842.6651087403</v>
      </c>
    </row>
    <row r="468" ht="30" customHeight="1">
      <c r="A468" s="105" t="s">
        <v>9806</v>
      </c>
      <c r="B468" s="105" t="s">
        <v>8340</v>
      </c>
      <c r="C468" s="30" t="s">
        <v>8339</v>
      </c>
      <c r="D468" s="105" t="s">
        <v>9805</v>
      </c>
      <c r="E468" s="104" t="s">
        <v>8341</v>
      </c>
      <c r="F468" s="104" t="s">
        <v>8020</v>
      </c>
      <c r="G468" s="104" t="s">
        <v>6983</v>
      </c>
      <c r="H468" s="116" t="s">
        <v>7032</v>
      </c>
      <c r="I468" s="104" t="s">
        <v>8342</v>
      </c>
      <c r="J468" s="104" t="s">
        <v>8343</v>
      </c>
      <c r="K468" s="117" t="s">
        <v>8344</v>
      </c>
      <c r="L468" s="105" t="n">
        <v>-19.964442999999999</v>
      </c>
      <c r="M468" s="105" t="n">
        <v>-43.963754000000002</v>
      </c>
      <c r="N468" s="105" t="n">
        <v>608425.630933924</v>
      </c>
      <c r="O468" s="105" t="n">
        <v>7792118.6220412003</v>
      </c>
    </row>
    <row r="469" ht="30" customHeight="1">
      <c r="A469" s="105" t="s">
        <v>9807</v>
      </c>
      <c r="B469" s="105" t="s">
        <v>8346</v>
      </c>
      <c r="C469" s="30" t="s">
        <v>8345</v>
      </c>
      <c r="D469" s="105" t="s">
        <v>9805</v>
      </c>
      <c r="E469" s="104" t="s">
        <v>8347</v>
      </c>
      <c r="F469" s="104" t="s">
        <v>8348</v>
      </c>
      <c r="G469" s="104" t="s">
        <v>6983</v>
      </c>
      <c r="H469" s="116" t="s">
        <v>7299</v>
      </c>
      <c r="I469" s="104" t="s">
        <v>8349</v>
      </c>
      <c r="J469" s="104" t="s">
        <v>7080</v>
      </c>
      <c r="K469" s="117" t="s">
        <v>8350</v>
      </c>
      <c r="L469" s="105" t="n">
        <v>-19.964212</v>
      </c>
      <c r="M469" s="105" t="n">
        <v>-43.970475</v>
      </c>
      <c r="N469" s="105" t="n">
        <v>607722.49010605796</v>
      </c>
      <c r="O469" s="105" t="n">
        <v>7792148.5169794103</v>
      </c>
    </row>
    <row r="470" ht="30" customHeight="1">
      <c r="A470" s="105" t="s">
        <v>9808</v>
      </c>
      <c r="B470" s="105" t="s">
        <v>8352</v>
      </c>
      <c r="C470" s="30" t="s">
        <v>8351</v>
      </c>
      <c r="D470" s="30" t="s">
        <v>9809</v>
      </c>
      <c r="E470" s="104" t="s">
        <v>8353</v>
      </c>
      <c r="F470" s="104" t="s">
        <v>8354</v>
      </c>
      <c r="G470" s="104" t="s">
        <v>7077</v>
      </c>
      <c r="H470" s="116" t="s">
        <v>7588</v>
      </c>
      <c r="I470" s="104" t="s">
        <v>8355</v>
      </c>
      <c r="J470" s="104" t="s">
        <v>8356</v>
      </c>
      <c r="K470" s="117" t="s">
        <v>8357</v>
      </c>
      <c r="L470" s="105" t="n">
        <v>-19.999142696659799</v>
      </c>
      <c r="M470" s="105" t="n">
        <v>-44.0004278820495</v>
      </c>
      <c r="N470" s="105" t="n">
        <v>604565.12605752004</v>
      </c>
      <c r="O470" s="105" t="n">
        <v>7788301.5914112898</v>
      </c>
    </row>
    <row r="471" ht="30" customHeight="1">
      <c r="A471" s="105" t="s">
        <v>9810</v>
      </c>
      <c r="B471" s="105" t="s">
        <v>8359</v>
      </c>
      <c r="C471" s="30" t="s">
        <v>8358</v>
      </c>
      <c r="D471" s="105" t="s">
        <v>9811</v>
      </c>
      <c r="E471" s="104" t="s">
        <v>8360</v>
      </c>
      <c r="F471" s="104" t="s">
        <v>7980</v>
      </c>
      <c r="G471" s="104" t="s">
        <v>7160</v>
      </c>
      <c r="H471" s="116" t="s">
        <v>7161</v>
      </c>
      <c r="I471" s="104" t="s">
        <v>8361</v>
      </c>
      <c r="J471" s="104" t="s">
        <v>8362</v>
      </c>
      <c r="K471" s="117" t="s">
        <v>8363</v>
      </c>
      <c r="L471" s="105" t="n">
        <v>-19.920952416614899</v>
      </c>
      <c r="M471" s="105" t="n">
        <v>-43.937635216496901</v>
      </c>
      <c r="N471" s="105" t="n">
        <v>611189.20286057296</v>
      </c>
      <c r="O471" s="105" t="n">
        <v>7796914.8061827598</v>
      </c>
    </row>
    <row r="472" ht="30" customHeight="1">
      <c r="A472" s="105" t="s">
        <v>9812</v>
      </c>
      <c r="B472" s="105" t="s">
        <v>8365</v>
      </c>
      <c r="C472" s="30" t="s">
        <v>8364</v>
      </c>
      <c r="D472" s="105" t="s">
        <v>9813</v>
      </c>
      <c r="E472" s="104" t="s">
        <v>8366</v>
      </c>
      <c r="F472" s="104" t="s">
        <v>7470</v>
      </c>
      <c r="G472" s="104" t="s">
        <v>6997</v>
      </c>
      <c r="H472" s="116" t="s">
        <v>7152</v>
      </c>
      <c r="I472" s="104" t="s">
        <v>8367</v>
      </c>
      <c r="J472" s="104" t="s">
        <v>8368</v>
      </c>
      <c r="K472" s="117" t="s">
        <v>8369</v>
      </c>
      <c r="L472" s="105" t="n">
        <v>-19.875727630995598</v>
      </c>
      <c r="M472" s="105" t="n">
        <v>-43.992859895785301</v>
      </c>
      <c r="N472" s="105" t="n">
        <v>605438.75282186596</v>
      </c>
      <c r="O472" s="105" t="n">
        <v>7801955.4952398399</v>
      </c>
    </row>
    <row r="473" ht="30" customHeight="1">
      <c r="A473" s="105" t="s">
        <v>9814</v>
      </c>
      <c r="B473" s="105" t="s">
        <v>8371</v>
      </c>
      <c r="C473" s="30" t="s">
        <v>8370</v>
      </c>
      <c r="D473" s="105" t="s">
        <v>9815</v>
      </c>
      <c r="E473" s="104" t="s">
        <v>8372</v>
      </c>
      <c r="F473" s="104" t="s">
        <v>8373</v>
      </c>
      <c r="G473" s="104" t="s">
        <v>7160</v>
      </c>
      <c r="H473" s="116" t="s">
        <v>8247</v>
      </c>
      <c r="I473" s="104" t="s">
        <v>8374</v>
      </c>
      <c r="J473" s="104" t="s">
        <v>8375</v>
      </c>
      <c r="K473" s="117" t="s">
        <v>8376</v>
      </c>
      <c r="L473" s="105" t="n">
        <v>-19.951431275905399</v>
      </c>
      <c r="M473" s="105" t="n">
        <v>-43.948104041350902</v>
      </c>
      <c r="N473" s="105" t="n">
        <v>610072.30076427897</v>
      </c>
      <c r="O473" s="105" t="n">
        <v>7793548.4898101296</v>
      </c>
    </row>
    <row r="474" ht="30" customHeight="1">
      <c r="A474" s="105" t="s">
        <v>9816</v>
      </c>
      <c r="B474" s="105" t="s">
        <v>8371</v>
      </c>
      <c r="C474" s="30" t="s">
        <v>8370</v>
      </c>
      <c r="D474" s="30" t="s">
        <v>9817</v>
      </c>
      <c r="E474" s="104" t="s">
        <v>8372</v>
      </c>
      <c r="F474" s="104" t="s">
        <v>8373</v>
      </c>
      <c r="G474" s="104" t="s">
        <v>7160</v>
      </c>
      <c r="H474" s="116" t="s">
        <v>8247</v>
      </c>
      <c r="I474" s="104" t="s">
        <v>8374</v>
      </c>
      <c r="J474" s="104" t="s">
        <v>8375</v>
      </c>
      <c r="K474" s="117" t="s">
        <v>8376</v>
      </c>
      <c r="L474" s="105" t="n">
        <v>-19.951431275905399</v>
      </c>
      <c r="M474" s="105" t="n">
        <v>-43.948104041350902</v>
      </c>
      <c r="N474" s="105" t="n">
        <v>610072.30076427897</v>
      </c>
      <c r="O474" s="105" t="n">
        <v>7793548.4898101296</v>
      </c>
    </row>
    <row r="475" ht="45" customHeight="1">
      <c r="A475" s="105" t="s">
        <v>9818</v>
      </c>
      <c r="B475" s="105" t="s">
        <v>8378</v>
      </c>
      <c r="C475" s="30" t="s">
        <v>8377</v>
      </c>
      <c r="D475" s="30" t="s">
        <v>9819</v>
      </c>
      <c r="E475" s="104" t="s">
        <v>8379</v>
      </c>
      <c r="F475" s="104" t="s">
        <v>8380</v>
      </c>
      <c r="G475" s="104" t="s">
        <v>7160</v>
      </c>
      <c r="H475" s="116" t="s">
        <v>7333</v>
      </c>
      <c r="I475" s="104" t="s">
        <v>8381</v>
      </c>
      <c r="J475" s="104" t="s">
        <v>8382</v>
      </c>
      <c r="K475" s="117" t="s">
        <v>8383</v>
      </c>
      <c r="L475" s="105" t="n">
        <v>-19.954062</v>
      </c>
      <c r="M475" s="105" t="n">
        <v>-43.927053999999998</v>
      </c>
      <c r="N475" s="105" t="n">
        <v>612273.35142047296</v>
      </c>
      <c r="O475" s="105" t="n">
        <v>7793243.3960597003</v>
      </c>
    </row>
    <row r="476" ht="30" customHeight="1">
      <c r="A476" s="105" t="s">
        <v>9820</v>
      </c>
      <c r="B476" s="105" t="s">
        <v>8385</v>
      </c>
      <c r="C476" s="30" t="s">
        <v>8384</v>
      </c>
      <c r="D476" s="30" t="s">
        <v>9821</v>
      </c>
      <c r="E476" s="104" t="s">
        <v>8386</v>
      </c>
      <c r="F476" s="104" t="s">
        <v>8143</v>
      </c>
      <c r="G476" s="104" t="s">
        <v>7006</v>
      </c>
      <c r="H476" s="116" t="s">
        <v>7236</v>
      </c>
      <c r="I476" s="104" t="s">
        <v>8387</v>
      </c>
      <c r="J476" s="104" t="s">
        <v>8388</v>
      </c>
      <c r="K476" s="117" t="s">
        <v>8389</v>
      </c>
      <c r="L476" s="105" t="n">
        <v>-19.889633</v>
      </c>
      <c r="M476" s="105" t="n">
        <v>-43.920426999999997</v>
      </c>
      <c r="N476" s="105" t="n">
        <v>613012.65135621699</v>
      </c>
      <c r="O476" s="105" t="n">
        <v>7800369.5790984901</v>
      </c>
    </row>
    <row r="477" ht="30" customHeight="1">
      <c r="A477" s="105" t="s">
        <v>9822</v>
      </c>
      <c r="B477" s="105" t="s">
        <v>8391</v>
      </c>
      <c r="C477" s="30" t="s">
        <v>8390</v>
      </c>
      <c r="D477" s="30" t="s">
        <v>9823</v>
      </c>
      <c r="E477" s="104" t="s">
        <v>8392</v>
      </c>
      <c r="F477" s="104" t="s">
        <v>7655</v>
      </c>
      <c r="G477" s="104" t="s">
        <v>7006</v>
      </c>
      <c r="H477" s="116" t="s">
        <v>7236</v>
      </c>
      <c r="I477" s="104" t="s">
        <v>8393</v>
      </c>
      <c r="J477" s="104" t="s">
        <v>8394</v>
      </c>
      <c r="K477" s="117" t="s">
        <v>8395</v>
      </c>
      <c r="L477" s="105" t="n">
        <v>-19.8737885325144</v>
      </c>
      <c r="M477" s="105" t="n">
        <v>-43.936332237625003</v>
      </c>
      <c r="N477" s="105" t="n">
        <v>611358.57072671503</v>
      </c>
      <c r="O477" s="105" t="n">
        <v>7802133.7351948703</v>
      </c>
    </row>
    <row r="478" ht="30" customHeight="1">
      <c r="A478" s="105" t="s">
        <v>9824</v>
      </c>
      <c r="B478" s="105" t="s">
        <v>8391</v>
      </c>
      <c r="C478" s="30" t="s">
        <v>8390</v>
      </c>
      <c r="D478" s="30" t="s">
        <v>9825</v>
      </c>
      <c r="E478" s="104" t="s">
        <v>8392</v>
      </c>
      <c r="F478" s="104" t="s">
        <v>7655</v>
      </c>
      <c r="G478" s="104" t="s">
        <v>7006</v>
      </c>
      <c r="H478" s="116" t="s">
        <v>7236</v>
      </c>
      <c r="I478" s="104" t="s">
        <v>8393</v>
      </c>
      <c r="J478" s="104" t="s">
        <v>8394</v>
      </c>
      <c r="K478" s="117" t="s">
        <v>8395</v>
      </c>
      <c r="L478" s="105" t="n">
        <v>-19.8737885325144</v>
      </c>
      <c r="M478" s="105" t="n">
        <v>-43.936332237625003</v>
      </c>
      <c r="N478" s="105" t="n">
        <v>611358.57072671503</v>
      </c>
      <c r="O478" s="105" t="n">
        <v>7802133.7351948703</v>
      </c>
    </row>
    <row r="479" ht="30" customHeight="1">
      <c r="A479" s="105" t="s">
        <v>9826</v>
      </c>
      <c r="B479" s="105" t="s">
        <v>8397</v>
      </c>
      <c r="C479" s="30" t="s">
        <v>8396</v>
      </c>
      <c r="D479" s="30" t="s">
        <v>9827</v>
      </c>
      <c r="E479" s="104" t="s">
        <v>8398</v>
      </c>
      <c r="F479" s="104" t="s">
        <v>8399</v>
      </c>
      <c r="G479" s="104" t="s">
        <v>7015</v>
      </c>
      <c r="H479" s="116" t="s">
        <v>7683</v>
      </c>
      <c r="I479" s="104" t="s">
        <v>8400</v>
      </c>
      <c r="J479" s="104"/>
      <c r="K479" s="117"/>
      <c r="L479" s="105" t="n">
        <v>-19.9064741957012</v>
      </c>
      <c r="M479" s="105" t="n">
        <v>-43.901984850293999</v>
      </c>
      <c r="N479" s="105" t="n">
        <v>614931.19999999995</v>
      </c>
      <c r="O479" s="105" t="n">
        <v>7798493</v>
      </c>
    </row>
    <row r="480" ht="30" customHeight="1">
      <c r="A480" s="105" t="s">
        <v>9828</v>
      </c>
      <c r="B480" s="105" t="s">
        <v>8397</v>
      </c>
      <c r="C480" s="30" t="s">
        <v>8396</v>
      </c>
      <c r="D480" s="30" t="s">
        <v>9829</v>
      </c>
      <c r="E480" s="104" t="s">
        <v>8398</v>
      </c>
      <c r="F480" s="104" t="s">
        <v>8399</v>
      </c>
      <c r="G480" s="104" t="s">
        <v>7015</v>
      </c>
      <c r="H480" s="116" t="s">
        <v>7683</v>
      </c>
      <c r="I480" s="104" t="s">
        <v>8400</v>
      </c>
      <c r="J480" s="104"/>
      <c r="K480" s="117"/>
      <c r="L480" s="105" t="n">
        <v>-19.9064741957012</v>
      </c>
      <c r="M480" s="105" t="n">
        <v>-43.901984850293999</v>
      </c>
      <c r="N480" s="105" t="n">
        <v>614931.19999999995</v>
      </c>
      <c r="O480" s="105" t="n">
        <v>7798493</v>
      </c>
    </row>
    <row r="481" ht="30" customHeight="1">
      <c r="A481" s="105" t="s">
        <v>9830</v>
      </c>
      <c r="B481" s="105" t="s">
        <v>8397</v>
      </c>
      <c r="C481" s="30" t="s">
        <v>8396</v>
      </c>
      <c r="D481" s="30" t="s">
        <v>9831</v>
      </c>
      <c r="E481" s="104" t="s">
        <v>8398</v>
      </c>
      <c r="F481" s="104" t="s">
        <v>8399</v>
      </c>
      <c r="G481" s="104" t="s">
        <v>7015</v>
      </c>
      <c r="H481" s="116" t="s">
        <v>7683</v>
      </c>
      <c r="I481" s="104" t="s">
        <v>8400</v>
      </c>
      <c r="J481" s="104"/>
      <c r="K481" s="117"/>
      <c r="L481" s="105" t="n">
        <v>-19.9064741957012</v>
      </c>
      <c r="M481" s="105" t="n">
        <v>-43.901984850293999</v>
      </c>
      <c r="N481" s="105" t="n">
        <v>614931.19999999995</v>
      </c>
      <c r="O481" s="105" t="n">
        <v>7798493</v>
      </c>
    </row>
    <row r="482" ht="30" customHeight="1">
      <c r="A482" s="105" t="s">
        <v>9832</v>
      </c>
      <c r="B482" s="105" t="s">
        <v>8402</v>
      </c>
      <c r="C482" s="30" t="s">
        <v>8401</v>
      </c>
      <c r="D482" s="30" t="s">
        <v>9833</v>
      </c>
      <c r="E482" s="104" t="s">
        <v>8403</v>
      </c>
      <c r="F482" s="104" t="s">
        <v>7655</v>
      </c>
      <c r="G482" s="104" t="s">
        <v>7006</v>
      </c>
      <c r="H482" s="116" t="s">
        <v>7236</v>
      </c>
      <c r="I482" s="104" t="s">
        <v>8401</v>
      </c>
      <c r="J482" s="104"/>
      <c r="K482" s="117" t="s">
        <v>8404</v>
      </c>
      <c r="L482" s="105" t="n">
        <v>-19.869898836797201</v>
      </c>
      <c r="M482" s="105" t="n">
        <v>-43.9292424294037</v>
      </c>
      <c r="N482" s="105" t="n">
        <v>612103.6</v>
      </c>
      <c r="O482" s="105" t="n">
        <v>7802560</v>
      </c>
    </row>
    <row r="483" ht="30" customHeight="1">
      <c r="A483" s="105" t="s">
        <v>9834</v>
      </c>
      <c r="B483" s="105" t="s">
        <v>8406</v>
      </c>
      <c r="C483" s="30" t="s">
        <v>8405</v>
      </c>
      <c r="D483" s="30" t="s">
        <v>9835</v>
      </c>
      <c r="E483" s="104" t="s">
        <v>8407</v>
      </c>
      <c r="F483" s="104" t="s">
        <v>8408</v>
      </c>
      <c r="G483" s="104" t="s">
        <v>7160</v>
      </c>
      <c r="H483" s="116" t="s">
        <v>8247</v>
      </c>
      <c r="I483" s="104" t="s">
        <v>8405</v>
      </c>
      <c r="J483" s="104"/>
      <c r="K483" s="117" t="s">
        <v>8409</v>
      </c>
      <c r="L483" s="105" t="n">
        <v>-19.9673083352444</v>
      </c>
      <c r="M483" s="105" t="n">
        <v>-43.951518066368102</v>
      </c>
      <c r="N483" s="105" t="n">
        <v>609704</v>
      </c>
      <c r="O483" s="105" t="n">
        <v>7791794</v>
      </c>
    </row>
    <row r="484" ht="30" customHeight="1">
      <c r="A484" s="105" t="s">
        <v>9836</v>
      </c>
      <c r="B484" s="105" t="s">
        <v>8411</v>
      </c>
      <c r="C484" s="30" t="s">
        <v>8410</v>
      </c>
      <c r="D484" s="30" t="s">
        <v>9837</v>
      </c>
      <c r="E484" s="104" t="s">
        <v>8412</v>
      </c>
      <c r="F484" s="104" t="s">
        <v>7031</v>
      </c>
      <c r="G484" s="104" t="s">
        <v>6983</v>
      </c>
      <c r="H484" s="116" t="s">
        <v>7032</v>
      </c>
      <c r="I484" s="104" t="s">
        <v>8336</v>
      </c>
      <c r="J484" s="104" t="s">
        <v>8413</v>
      </c>
      <c r="K484" s="117"/>
      <c r="L484" s="105" t="n">
        <v>-19.974502999999999</v>
      </c>
      <c r="M484" s="105" t="n">
        <v>-43.967922999999999</v>
      </c>
      <c r="N484" s="105" t="n">
        <v>607982.52898176596</v>
      </c>
      <c r="O484" s="105" t="n">
        <v>7791007.9355870103</v>
      </c>
    </row>
    <row r="485" ht="30" customHeight="1">
      <c r="A485" s="105" t="s">
        <v>9838</v>
      </c>
      <c r="B485" s="105" t="s">
        <v>8415</v>
      </c>
      <c r="C485" s="30" t="s">
        <v>8414</v>
      </c>
      <c r="D485" s="30" t="s">
        <v>9839</v>
      </c>
      <c r="E485" s="104" t="s">
        <v>8414</v>
      </c>
      <c r="F485" s="104" t="s">
        <v>7412</v>
      </c>
      <c r="G485" s="104" t="s">
        <v>7006</v>
      </c>
      <c r="H485" s="116" t="s">
        <v>7413</v>
      </c>
      <c r="I485" s="104" t="s">
        <v>8416</v>
      </c>
      <c r="J485" s="104"/>
      <c r="K485" s="117"/>
      <c r="L485" s="105" t="n">
        <v>-19.872377690116998</v>
      </c>
      <c r="M485" s="105" t="n">
        <v>-43.9240133867835</v>
      </c>
      <c r="N485" s="105" t="n">
        <v>612649.4</v>
      </c>
      <c r="O485" s="105" t="n">
        <v>7802282</v>
      </c>
    </row>
    <row r="486" ht="60" customHeight="1">
      <c r="A486" s="105" t="s">
        <v>9840</v>
      </c>
      <c r="B486" s="105" t="s">
        <v>8418</v>
      </c>
      <c r="C486" s="30" t="s">
        <v>8417</v>
      </c>
      <c r="D486" s="30" t="s">
        <v>9841</v>
      </c>
      <c r="E486" s="104" t="s">
        <v>8419</v>
      </c>
      <c r="F486" s="104" t="s">
        <v>7862</v>
      </c>
      <c r="G486" s="104" t="s">
        <v>7077</v>
      </c>
      <c r="H486" s="116" t="s">
        <v>7105</v>
      </c>
      <c r="I486" s="104" t="s">
        <v>8417</v>
      </c>
      <c r="J486" s="104"/>
      <c r="K486" s="117" t="s">
        <v>8420</v>
      </c>
      <c r="L486" s="105" t="n">
        <v>-20.011199702371201</v>
      </c>
      <c r="M486" s="105" t="n">
        <v>-44.035986421976297</v>
      </c>
      <c r="N486" s="105" t="n">
        <v>600837.4</v>
      </c>
      <c r="O486" s="105" t="n">
        <v>7786989</v>
      </c>
    </row>
    <row r="487" ht="30" customHeight="1">
      <c r="A487" s="105" t="s">
        <v>9842</v>
      </c>
      <c r="B487" s="105" t="s">
        <v>8422</v>
      </c>
      <c r="C487" s="30" t="s">
        <v>8421</v>
      </c>
      <c r="D487" s="30" t="s">
        <v>9843</v>
      </c>
      <c r="E487" s="104" t="s">
        <v>8423</v>
      </c>
      <c r="F487" s="104" t="s">
        <v>7980</v>
      </c>
      <c r="G487" s="104" t="s">
        <v>7160</v>
      </c>
      <c r="H487" s="116" t="s">
        <v>7161</v>
      </c>
      <c r="I487" s="104" t="s">
        <v>8424</v>
      </c>
      <c r="J487" s="104" t="s">
        <v>8425</v>
      </c>
      <c r="K487" s="117" t="s">
        <v>8426</v>
      </c>
      <c r="L487" s="105" t="n">
        <v>-19.9181505985485</v>
      </c>
      <c r="M487" s="105" t="n">
        <v>-43.934985665712098</v>
      </c>
      <c r="N487" s="105" t="n">
        <v>611468.49875335</v>
      </c>
      <c r="O487" s="105" t="n">
        <v>7797223.1395287002</v>
      </c>
    </row>
    <row r="488" ht="30" customHeight="1">
      <c r="A488" s="105" t="s">
        <v>9844</v>
      </c>
      <c r="B488" s="105" t="s">
        <v>8428</v>
      </c>
      <c r="C488" s="30" t="s">
        <v>8427</v>
      </c>
      <c r="D488" s="30" t="s">
        <v>9845</v>
      </c>
      <c r="E488" s="104" t="s">
        <v>8427</v>
      </c>
      <c r="F488" s="104" t="s">
        <v>7534</v>
      </c>
      <c r="G488" s="104" t="s">
        <v>7086</v>
      </c>
      <c r="H488" s="116" t="s">
        <v>7112</v>
      </c>
      <c r="I488" s="104" t="s">
        <v>8429</v>
      </c>
      <c r="J488" s="104"/>
      <c r="K488" s="117"/>
      <c r="L488" s="105" t="n">
        <v>-19.809131007867201</v>
      </c>
      <c r="M488" s="105" t="n">
        <v>-44.000218774052797</v>
      </c>
      <c r="N488" s="105" t="n">
        <v>604711.9</v>
      </c>
      <c r="O488" s="105" t="n">
        <v>7809330</v>
      </c>
    </row>
    <row r="489" ht="30" customHeight="1">
      <c r="A489" s="105" t="s">
        <v>9846</v>
      </c>
      <c r="B489" s="105" t="s">
        <v>8431</v>
      </c>
      <c r="C489" s="30" t="s">
        <v>8430</v>
      </c>
      <c r="D489" s="30" t="s">
        <v>9847</v>
      </c>
      <c r="E489" s="104" t="s">
        <v>8430</v>
      </c>
      <c r="F489" s="104" t="s">
        <v>8432</v>
      </c>
      <c r="G489" s="104" t="s">
        <v>7160</v>
      </c>
      <c r="H489" s="116" t="s">
        <v>7333</v>
      </c>
      <c r="I489" s="104" t="s">
        <v>8433</v>
      </c>
      <c r="J489" s="104"/>
      <c r="K489" s="117" t="s">
        <v>8434</v>
      </c>
      <c r="L489" s="105" t="n">
        <v>-19.9571538376753</v>
      </c>
      <c r="M489" s="105" t="n">
        <v>-43.933646248250803</v>
      </c>
      <c r="N489" s="105" t="n">
        <v>611581.30000000005</v>
      </c>
      <c r="O489" s="105" t="n">
        <v>7792906</v>
      </c>
    </row>
    <row r="490" ht="45" customHeight="1">
      <c r="A490" s="105" t="s">
        <v>9848</v>
      </c>
      <c r="B490" s="105" t="s">
        <v>8436</v>
      </c>
      <c r="C490" s="30" t="s">
        <v>8435</v>
      </c>
      <c r="D490" s="30" t="s">
        <v>9849</v>
      </c>
      <c r="E490" s="104" t="s">
        <v>8437</v>
      </c>
      <c r="F490" s="104" t="s">
        <v>7862</v>
      </c>
      <c r="G490" s="104" t="s">
        <v>7077</v>
      </c>
      <c r="H490" s="116" t="s">
        <v>7105</v>
      </c>
      <c r="I490" s="104" t="s">
        <v>8438</v>
      </c>
      <c r="J490" s="104"/>
      <c r="K490" s="117" t="s">
        <v>8439</v>
      </c>
      <c r="L490" s="105" t="n">
        <v>-20.008866839157399</v>
      </c>
      <c r="M490" s="105" t="n">
        <v>-44.0375847394603</v>
      </c>
      <c r="N490" s="105" t="n">
        <v>600671.69999999995</v>
      </c>
      <c r="O490" s="105" t="n">
        <v>7787248</v>
      </c>
    </row>
    <row r="491" ht="30" customHeight="1">
      <c r="A491" s="105" t="s">
        <v>9850</v>
      </c>
      <c r="B491" s="105" t="s">
        <v>8441</v>
      </c>
      <c r="C491" s="30" t="s">
        <v>8440</v>
      </c>
      <c r="D491" s="30" t="s">
        <v>9851</v>
      </c>
      <c r="E491" s="104" t="s">
        <v>8440</v>
      </c>
      <c r="F491" s="104" t="s">
        <v>7787</v>
      </c>
      <c r="G491" s="104" t="s">
        <v>6983</v>
      </c>
      <c r="H491" s="116" t="s">
        <v>7228</v>
      </c>
      <c r="I491" s="104" t="s">
        <v>8442</v>
      </c>
      <c r="J491" s="104"/>
      <c r="K491" s="117" t="s">
        <v>8443</v>
      </c>
      <c r="L491" s="105" t="n">
        <v>-19.936782385242299</v>
      </c>
      <c r="M491" s="105" t="n">
        <v>-43.963102736495003</v>
      </c>
      <c r="N491" s="105" t="n">
        <v>608512.69999999995</v>
      </c>
      <c r="O491" s="105" t="n">
        <v>7795179</v>
      </c>
    </row>
    <row r="492" ht="30" customHeight="1">
      <c r="A492" s="105" t="s">
        <v>9852</v>
      </c>
      <c r="B492" s="105" t="s">
        <v>8445</v>
      </c>
      <c r="C492" s="30" t="s">
        <v>8444</v>
      </c>
      <c r="D492" s="105" t="s">
        <v>9853</v>
      </c>
      <c r="E492" s="104" t="s">
        <v>8446</v>
      </c>
      <c r="F492" s="104" t="s">
        <v>8447</v>
      </c>
      <c r="G492" s="104" t="s">
        <v>7015</v>
      </c>
      <c r="H492" s="116" t="s">
        <v>7683</v>
      </c>
      <c r="I492" s="104" t="s">
        <v>8448</v>
      </c>
      <c r="J492" s="104"/>
      <c r="K492" s="117" t="s">
        <v>8449</v>
      </c>
      <c r="L492" s="105" t="n">
        <v>-19.905371823584499</v>
      </c>
      <c r="M492" s="105" t="n">
        <v>-43.895854280379098</v>
      </c>
      <c r="N492" s="105" t="n">
        <v>615573.80000000005</v>
      </c>
      <c r="O492" s="105" t="n">
        <v>7798611</v>
      </c>
    </row>
    <row r="493" ht="60" customHeight="1">
      <c r="A493" s="105" t="s">
        <v>9854</v>
      </c>
      <c r="B493" s="105" t="s">
        <v>8451</v>
      </c>
      <c r="C493" s="30" t="s">
        <v>8450</v>
      </c>
      <c r="D493" s="30" t="s">
        <v>9841</v>
      </c>
      <c r="E493" s="104" t="s">
        <v>8450</v>
      </c>
      <c r="F493" s="104" t="s">
        <v>7862</v>
      </c>
      <c r="G493" s="104" t="s">
        <v>7077</v>
      </c>
      <c r="H493" s="116" t="s">
        <v>7105</v>
      </c>
      <c r="I493" s="104" t="s">
        <v>8450</v>
      </c>
      <c r="J493" s="104"/>
      <c r="K493" s="117"/>
      <c r="L493" s="122" t="n">
        <v>-20.008310242762501</v>
      </c>
      <c r="M493" s="122" t="n">
        <v>-44.036886958165198</v>
      </c>
      <c r="N493" s="105" t="n">
        <v>600745</v>
      </c>
      <c r="O493" s="105" t="n">
        <v>7787309</v>
      </c>
    </row>
    <row r="494" ht="60" customHeight="1">
      <c r="A494" s="105" t="s">
        <v>9855</v>
      </c>
      <c r="B494" s="105" t="s">
        <v>8453</v>
      </c>
      <c r="C494" s="30" t="s">
        <v>8452</v>
      </c>
      <c r="D494" s="30" t="s">
        <v>9841</v>
      </c>
      <c r="E494" s="104" t="s">
        <v>8452</v>
      </c>
      <c r="F494" s="104" t="s">
        <v>7862</v>
      </c>
      <c r="G494" s="104" t="s">
        <v>7077</v>
      </c>
      <c r="H494" s="116" t="s">
        <v>7105</v>
      </c>
      <c r="I494" s="104" t="s">
        <v>8454</v>
      </c>
      <c r="J494" s="104"/>
      <c r="K494" s="117"/>
      <c r="L494" s="105" t="n">
        <v>-20.008178044606399</v>
      </c>
      <c r="M494" s="105" t="n">
        <v>-44.0385824935965</v>
      </c>
      <c r="N494" s="105" t="n">
        <v>600567.69999999995</v>
      </c>
      <c r="O494" s="105" t="n">
        <v>7787325</v>
      </c>
    </row>
    <row r="495" ht="45" customHeight="1">
      <c r="A495" s="105" t="s">
        <v>9856</v>
      </c>
      <c r="B495" s="105" t="s">
        <v>8436</v>
      </c>
      <c r="C495" s="30" t="s">
        <v>8435</v>
      </c>
      <c r="D495" s="30" t="s">
        <v>9857</v>
      </c>
      <c r="E495" s="104" t="s">
        <v>8437</v>
      </c>
      <c r="F495" s="104" t="s">
        <v>7862</v>
      </c>
      <c r="G495" s="104" t="s">
        <v>7077</v>
      </c>
      <c r="H495" s="116" t="s">
        <v>7105</v>
      </c>
      <c r="I495" s="104" t="s">
        <v>8438</v>
      </c>
      <c r="J495" s="104"/>
      <c r="K495" s="117" t="s">
        <v>8439</v>
      </c>
      <c r="L495" s="105" t="n">
        <v>-20.008866839157399</v>
      </c>
      <c r="M495" s="105" t="n">
        <v>-44.0375847394603</v>
      </c>
      <c r="N495" s="105" t="n">
        <v>600671.69999999995</v>
      </c>
      <c r="O495" s="105" t="n">
        <v>7787248</v>
      </c>
    </row>
    <row r="496" ht="30" customHeight="1">
      <c r="A496" s="105" t="s">
        <v>9858</v>
      </c>
      <c r="B496" s="105" t="s">
        <v>8402</v>
      </c>
      <c r="C496" s="30" t="s">
        <v>8401</v>
      </c>
      <c r="D496" s="30" t="s">
        <v>9859</v>
      </c>
      <c r="E496" s="104" t="s">
        <v>8403</v>
      </c>
      <c r="F496" s="104" t="s">
        <v>7655</v>
      </c>
      <c r="G496" s="104" t="s">
        <v>7006</v>
      </c>
      <c r="H496" s="116" t="s">
        <v>7236</v>
      </c>
      <c r="I496" s="104" t="s">
        <v>8401</v>
      </c>
      <c r="J496" s="104"/>
      <c r="K496" s="117" t="s">
        <v>8404</v>
      </c>
      <c r="L496" s="105" t="n">
        <v>-19.869898836797201</v>
      </c>
      <c r="M496" s="105" t="n">
        <v>-43.9292424294037</v>
      </c>
      <c r="N496" s="105" t="n">
        <v>612103.6</v>
      </c>
      <c r="O496" s="105" t="n">
        <v>7802560</v>
      </c>
    </row>
    <row r="497" ht="30" customHeight="1">
      <c r="A497" s="105" t="s">
        <v>9860</v>
      </c>
      <c r="B497" s="105" t="s">
        <v>8456</v>
      </c>
      <c r="C497" s="30" t="s">
        <v>8455</v>
      </c>
      <c r="D497" s="30" t="s">
        <v>9861</v>
      </c>
      <c r="E497" s="104" t="s">
        <v>8457</v>
      </c>
      <c r="F497" s="104" t="s">
        <v>7456</v>
      </c>
      <c r="G497" s="104" t="s">
        <v>7015</v>
      </c>
      <c r="H497" s="116" t="s">
        <v>7056</v>
      </c>
      <c r="I497" s="104" t="s">
        <v>8458</v>
      </c>
      <c r="J497" s="104" t="s">
        <v>8217</v>
      </c>
      <c r="K497" s="117"/>
      <c r="L497" s="105" t="n">
        <v>-19.905244522470799</v>
      </c>
      <c r="M497" s="105" t="n">
        <v>-43.913317576238803</v>
      </c>
      <c r="N497" s="105" t="n">
        <v>613745.80000000005</v>
      </c>
      <c r="O497" s="105" t="n">
        <v>7798637</v>
      </c>
    </row>
    <row r="498" ht="30" customHeight="1">
      <c r="A498" s="105" t="s">
        <v>9862</v>
      </c>
      <c r="B498" s="105" t="s">
        <v>8460</v>
      </c>
      <c r="C498" s="30" t="s">
        <v>8459</v>
      </c>
      <c r="D498" s="30" t="s">
        <v>9863</v>
      </c>
      <c r="E498" s="104" t="s">
        <v>8459</v>
      </c>
      <c r="F498" s="104" t="s">
        <v>8099</v>
      </c>
      <c r="G498" s="104" t="s">
        <v>7126</v>
      </c>
      <c r="H498" s="116" t="s">
        <v>7449</v>
      </c>
      <c r="I498" s="104" t="s">
        <v>8461</v>
      </c>
      <c r="J498" s="104"/>
      <c r="K498" s="117" t="s">
        <v>8462</v>
      </c>
      <c r="L498" s="105" t="n">
        <v>-19.8305141260036</v>
      </c>
      <c r="M498" s="105" t="n">
        <v>-43.947378808311903</v>
      </c>
      <c r="N498" s="105" t="n">
        <v>610231.9</v>
      </c>
      <c r="O498" s="105" t="n">
        <v>7806930</v>
      </c>
    </row>
    <row r="499">
      <c r="A499" s="105" t="s">
        <v>9864</v>
      </c>
      <c r="B499" s="105" t="s">
        <v>8464</v>
      </c>
      <c r="C499" s="30" t="s">
        <v>8463</v>
      </c>
      <c r="D499" s="30" t="s">
        <v>9865</v>
      </c>
      <c r="E499" s="104" t="s">
        <v>8463</v>
      </c>
      <c r="F499" s="104" t="s">
        <v>7111</v>
      </c>
      <c r="G499" s="104" t="s">
        <v>7086</v>
      </c>
      <c r="H499" s="116" t="s">
        <v>7112</v>
      </c>
      <c r="I499" s="104" t="s">
        <v>8465</v>
      </c>
      <c r="J499" s="104"/>
      <c r="K499" s="117"/>
      <c r="L499" s="105" t="n">
        <v>-19.817900368690498</v>
      </c>
      <c r="M499" s="105" t="n">
        <v>-43.996476726768599</v>
      </c>
      <c r="N499" s="105" t="n">
        <v>605098.1</v>
      </c>
      <c r="O499" s="105" t="n">
        <v>7808358</v>
      </c>
    </row>
    <row r="500" ht="30" customHeight="1">
      <c r="A500" s="105" t="s">
        <v>9866</v>
      </c>
      <c r="B500" s="105" t="s">
        <v>8868</v>
      </c>
      <c r="C500" s="30" t="s">
        <v>8867</v>
      </c>
      <c r="D500" s="30" t="s">
        <v>9867</v>
      </c>
      <c r="E500" s="104" t="s">
        <v>8869</v>
      </c>
      <c r="F500" s="104" t="s">
        <v>7399</v>
      </c>
      <c r="G500" s="104" t="s">
        <v>7077</v>
      </c>
      <c r="H500" s="116" t="s">
        <v>7105</v>
      </c>
      <c r="I500" s="104" t="s">
        <v>8870</v>
      </c>
      <c r="J500" s="104" t="s">
        <v>8871</v>
      </c>
      <c r="K500" s="117"/>
      <c r="L500" s="105" t="n">
        <v>-19.988750931446098</v>
      </c>
      <c r="M500" s="105" t="n">
        <v>-44.026816092085902</v>
      </c>
      <c r="N500" s="105" t="n">
        <v>601811.13072749495</v>
      </c>
      <c r="O500" s="105" t="n">
        <v>7789467.9273984795</v>
      </c>
    </row>
    <row r="501" ht="30" customHeight="1">
      <c r="A501" s="105" t="s">
        <v>9868</v>
      </c>
      <c r="B501" s="105" t="s">
        <v>8467</v>
      </c>
      <c r="C501" s="30" t="s">
        <v>8466</v>
      </c>
      <c r="D501" s="30" t="s">
        <v>9869</v>
      </c>
      <c r="E501" s="104" t="s">
        <v>8468</v>
      </c>
      <c r="F501" s="104" t="s">
        <v>8469</v>
      </c>
      <c r="G501" s="104" t="s">
        <v>7077</v>
      </c>
      <c r="H501" s="116" t="s">
        <v>7092</v>
      </c>
      <c r="I501" s="104" t="s">
        <v>8470</v>
      </c>
      <c r="J501" s="104" t="s">
        <v>8471</v>
      </c>
      <c r="K501" s="117" t="s">
        <v>8472</v>
      </c>
      <c r="L501" s="105" t="n">
        <v>-19.987996471398901</v>
      </c>
      <c r="M501" s="105" t="n">
        <v>-44.026967622640697</v>
      </c>
      <c r="N501" s="105" t="n">
        <v>601795.76171453204</v>
      </c>
      <c r="O501" s="105" t="n">
        <v>7789551.5171840098</v>
      </c>
    </row>
    <row r="502" ht="45" customHeight="1">
      <c r="A502" s="105" t="s">
        <v>9870</v>
      </c>
      <c r="B502" s="105" t="s">
        <v>8474</v>
      </c>
      <c r="C502" s="30" t="s">
        <v>8473</v>
      </c>
      <c r="D502" s="30" t="s">
        <v>9871</v>
      </c>
      <c r="E502" s="104" t="s">
        <v>8473</v>
      </c>
      <c r="F502" s="104" t="s">
        <v>8475</v>
      </c>
      <c r="G502" s="104" t="s">
        <v>7126</v>
      </c>
      <c r="H502" s="116" t="s">
        <v>7127</v>
      </c>
      <c r="I502" s="104" t="s">
        <v>8476</v>
      </c>
      <c r="J502" s="104"/>
      <c r="K502" s="117"/>
      <c r="L502" s="105" t="n">
        <v>-19.818228000000001</v>
      </c>
      <c r="M502" s="105" t="n">
        <v>-43.886614000000002</v>
      </c>
      <c r="N502" s="105" t="n">
        <v>616604.80000000005</v>
      </c>
      <c r="O502" s="105" t="n">
        <v>7808249</v>
      </c>
    </row>
    <row r="503" ht="45" customHeight="1">
      <c r="A503" s="105" t="s">
        <v>9872</v>
      </c>
      <c r="B503" s="105" t="s">
        <v>8478</v>
      </c>
      <c r="C503" s="30" t="s">
        <v>8477</v>
      </c>
      <c r="D503" s="105" t="s">
        <v>9873</v>
      </c>
      <c r="E503" s="104" t="s">
        <v>8477</v>
      </c>
      <c r="F503" s="104" t="s">
        <v>7848</v>
      </c>
      <c r="G503" s="104" t="s">
        <v>7077</v>
      </c>
      <c r="H503" s="116" t="s">
        <v>7092</v>
      </c>
      <c r="I503" s="104" t="s">
        <v>8479</v>
      </c>
      <c r="J503" s="104" t="s">
        <v>8480</v>
      </c>
      <c r="K503" s="117"/>
      <c r="L503" s="105" t="n">
        <v>-19.984214799890299</v>
      </c>
      <c r="M503" s="105" t="n">
        <v>-44.025251926246298</v>
      </c>
      <c r="N503" s="105" t="n">
        <v>601977.69999999995</v>
      </c>
      <c r="O503" s="105" t="n">
        <v>7789969</v>
      </c>
    </row>
    <row r="504" ht="30" customHeight="1">
      <c r="A504" s="105" t="s">
        <v>9874</v>
      </c>
      <c r="B504" s="105" t="s">
        <v>8482</v>
      </c>
      <c r="C504" s="30" t="s">
        <v>8481</v>
      </c>
      <c r="D504" s="30" t="s">
        <v>9875</v>
      </c>
      <c r="E504" s="104" t="s">
        <v>8483</v>
      </c>
      <c r="F504" s="104" t="s">
        <v>8484</v>
      </c>
      <c r="G504" s="104" t="s">
        <v>6997</v>
      </c>
      <c r="H504" s="116" t="s">
        <v>7152</v>
      </c>
      <c r="I504" s="104" t="s">
        <v>8485</v>
      </c>
      <c r="J504" s="104"/>
      <c r="K504" s="117"/>
      <c r="L504" s="105" t="n">
        <v>-19.875843391960998</v>
      </c>
      <c r="M504" s="105" t="n">
        <v>-43.999483509353801</v>
      </c>
      <c r="N504" s="105" t="n">
        <v>604745.19999999995</v>
      </c>
      <c r="O504" s="105" t="n">
        <v>7801947</v>
      </c>
    </row>
    <row r="505" ht="45" customHeight="1">
      <c r="A505" s="105" t="s">
        <v>9876</v>
      </c>
      <c r="B505" s="105" t="s">
        <v>8487</v>
      </c>
      <c r="C505" s="30" t="s">
        <v>8486</v>
      </c>
      <c r="D505" s="105" t="s">
        <v>9877</v>
      </c>
      <c r="E505" s="104" t="s">
        <v>8488</v>
      </c>
      <c r="F505" s="104" t="s">
        <v>8489</v>
      </c>
      <c r="G505" s="104" t="s">
        <v>7077</v>
      </c>
      <c r="H505" s="116" t="s">
        <v>7092</v>
      </c>
      <c r="I505" s="104" t="s">
        <v>8486</v>
      </c>
      <c r="J505" s="104"/>
      <c r="K505" s="117"/>
      <c r="L505" s="105" t="n">
        <v>-19.978172912195301</v>
      </c>
      <c r="M505" s="105" t="n">
        <v>-44.028275872075298</v>
      </c>
      <c r="N505" s="105" t="n">
        <v>601665.19999999995</v>
      </c>
      <c r="O505" s="105" t="n">
        <v>7790640</v>
      </c>
    </row>
    <row r="506" ht="30" customHeight="1">
      <c r="A506" s="105" t="s">
        <v>9878</v>
      </c>
      <c r="B506" s="105" t="s">
        <v>8491</v>
      </c>
      <c r="C506" s="30" t="s">
        <v>8490</v>
      </c>
      <c r="D506" s="30" t="s">
        <v>9879</v>
      </c>
      <c r="E506" s="104" t="s">
        <v>8490</v>
      </c>
      <c r="F506" s="104" t="s">
        <v>7076</v>
      </c>
      <c r="G506" s="104" t="s">
        <v>7077</v>
      </c>
      <c r="H506" s="116" t="s">
        <v>7078</v>
      </c>
      <c r="I506" s="104" t="s">
        <v>8492</v>
      </c>
      <c r="J506" s="104"/>
      <c r="K506" s="117"/>
      <c r="L506" s="105" t="n">
        <v>-19.9912594081256</v>
      </c>
      <c r="M506" s="105" t="n">
        <v>-44.055585036816602</v>
      </c>
      <c r="N506" s="105" t="n">
        <v>598799.6</v>
      </c>
      <c r="O506" s="105" t="n">
        <v>7789208</v>
      </c>
    </row>
    <row r="507" ht="30" customHeight="1">
      <c r="A507" s="105" t="s">
        <v>9880</v>
      </c>
      <c r="B507" s="105" t="s">
        <v>8494</v>
      </c>
      <c r="C507" s="30" t="s">
        <v>8493</v>
      </c>
      <c r="D507" s="105" t="s">
        <v>9881</v>
      </c>
      <c r="E507" s="104" t="s">
        <v>8495</v>
      </c>
      <c r="F507" s="104" t="s">
        <v>7046</v>
      </c>
      <c r="G507" s="104" t="s">
        <v>6974</v>
      </c>
      <c r="H507" s="116" t="s">
        <v>7047</v>
      </c>
      <c r="I507" s="104" t="s">
        <v>8496</v>
      </c>
      <c r="J507" s="104"/>
      <c r="K507" s="117" t="s">
        <v>8497</v>
      </c>
      <c r="L507" s="105" t="n">
        <v>-19.914624941630301</v>
      </c>
      <c r="M507" s="105" t="n">
        <v>-43.996232153761497</v>
      </c>
      <c r="N507" s="105" t="n">
        <v>605060</v>
      </c>
      <c r="O507" s="105" t="n">
        <v>7797653</v>
      </c>
    </row>
    <row r="508">
      <c r="A508" s="105" t="s">
        <v>9882</v>
      </c>
      <c r="B508" s="105" t="s">
        <v>8499</v>
      </c>
      <c r="C508" s="30" t="s">
        <v>8498</v>
      </c>
      <c r="D508" s="30" t="s">
        <v>9883</v>
      </c>
      <c r="E508" s="104" t="s">
        <v>8500</v>
      </c>
      <c r="F508" s="104" t="s">
        <v>7622</v>
      </c>
      <c r="G508" s="104" t="s">
        <v>7015</v>
      </c>
      <c r="H508" s="116" t="s">
        <v>7024</v>
      </c>
      <c r="I508" s="104" t="s">
        <v>8498</v>
      </c>
      <c r="J508" s="104"/>
      <c r="K508" s="117" t="s">
        <v>8501</v>
      </c>
      <c r="L508" s="105" t="n">
        <v>-19.918562625</v>
      </c>
      <c r="M508" s="105" t="n">
        <v>-43.882258374999999</v>
      </c>
      <c r="N508" s="105" t="n">
        <v>616987.4</v>
      </c>
      <c r="O508" s="105" t="n">
        <v>7797142</v>
      </c>
    </row>
    <row r="509" ht="45" customHeight="1">
      <c r="A509" s="105" t="s">
        <v>9884</v>
      </c>
      <c r="B509" s="105" t="s">
        <v>8503</v>
      </c>
      <c r="C509" s="30" t="s">
        <v>8502</v>
      </c>
      <c r="D509" s="30" t="s">
        <v>9885</v>
      </c>
      <c r="E509" s="104" t="s">
        <v>8504</v>
      </c>
      <c r="F509" s="104" t="s">
        <v>7456</v>
      </c>
      <c r="G509" s="104" t="s">
        <v>7015</v>
      </c>
      <c r="H509" s="116" t="s">
        <v>7056</v>
      </c>
      <c r="I509" s="104" t="s">
        <v>7457</v>
      </c>
      <c r="J509" s="104" t="s">
        <v>8505</v>
      </c>
      <c r="K509" s="117"/>
      <c r="L509" s="105" t="n">
        <v>-19.909213000000001</v>
      </c>
      <c r="M509" s="105" t="n">
        <v>-43.914391999999999</v>
      </c>
      <c r="N509" s="105" t="n">
        <v>613630.49300537398</v>
      </c>
      <c r="O509" s="105" t="n">
        <v>7798198.51787131</v>
      </c>
    </row>
    <row r="510" ht="45" customHeight="1">
      <c r="A510" s="105" t="s">
        <v>9886</v>
      </c>
      <c r="B510" s="105" t="s">
        <v>8507</v>
      </c>
      <c r="C510" s="30" t="s">
        <v>8506</v>
      </c>
      <c r="D510" s="30" t="s">
        <v>9841</v>
      </c>
      <c r="E510" s="104" t="s">
        <v>8508</v>
      </c>
      <c r="F510" s="104" t="s">
        <v>7862</v>
      </c>
      <c r="G510" s="104" t="s">
        <v>7077</v>
      </c>
      <c r="H510" s="116" t="s">
        <v>7105</v>
      </c>
      <c r="I510" s="104" t="s">
        <v>8506</v>
      </c>
      <c r="J510" s="104"/>
      <c r="K510" s="117" t="s">
        <v>8509</v>
      </c>
      <c r="L510" s="105" t="n">
        <v>-20.010999549440299</v>
      </c>
      <c r="M510" s="105" t="n">
        <v>-44.034275715030901</v>
      </c>
      <c r="N510" s="105" t="n">
        <v>601016.5</v>
      </c>
      <c r="O510" s="105" t="n">
        <v>7787010</v>
      </c>
    </row>
    <row r="511" ht="30" customHeight="1">
      <c r="A511" s="105" t="s">
        <v>9887</v>
      </c>
      <c r="B511" s="105" t="s">
        <v>8511</v>
      </c>
      <c r="C511" s="30" t="s">
        <v>8510</v>
      </c>
      <c r="D511" s="30" t="s">
        <v>9888</v>
      </c>
      <c r="E511" s="104" t="s">
        <v>8510</v>
      </c>
      <c r="F511" s="104" t="s">
        <v>7066</v>
      </c>
      <c r="G511" s="104" t="s">
        <v>6997</v>
      </c>
      <c r="H511" s="116" t="s">
        <v>7061</v>
      </c>
      <c r="I511" s="104" t="s">
        <v>8512</v>
      </c>
      <c r="J511" s="104"/>
      <c r="K511" s="117"/>
      <c r="L511" s="105" t="n">
        <v>-19.858811031831401</v>
      </c>
      <c r="M511" s="105" t="n">
        <v>-43.9465308585564</v>
      </c>
      <c r="N511" s="105" t="n">
        <v>610301.1</v>
      </c>
      <c r="O511" s="105" t="n">
        <v>7803798</v>
      </c>
    </row>
    <row r="512" ht="30" customHeight="1">
      <c r="A512" s="105" t="s">
        <v>9889</v>
      </c>
      <c r="B512" s="105" t="s">
        <v>8511</v>
      </c>
      <c r="C512" s="30" t="s">
        <v>8510</v>
      </c>
      <c r="D512" s="30" t="s">
        <v>9890</v>
      </c>
      <c r="E512" s="104" t="s">
        <v>8510</v>
      </c>
      <c r="F512" s="104" t="s">
        <v>7066</v>
      </c>
      <c r="G512" s="104" t="s">
        <v>6997</v>
      </c>
      <c r="H512" s="116" t="s">
        <v>7061</v>
      </c>
      <c r="I512" s="104" t="s">
        <v>8512</v>
      </c>
      <c r="J512" s="104"/>
      <c r="K512" s="117"/>
      <c r="L512" s="105" t="n">
        <v>-19.858811031831401</v>
      </c>
      <c r="M512" s="105" t="n">
        <v>-43.9465308585564</v>
      </c>
      <c r="N512" s="105" t="n">
        <v>610301.1</v>
      </c>
      <c r="O512" s="105" t="n">
        <v>7803798</v>
      </c>
    </row>
    <row r="513" ht="30" customHeight="1">
      <c r="A513" s="105" t="s">
        <v>9891</v>
      </c>
      <c r="B513" s="105" t="s">
        <v>8514</v>
      </c>
      <c r="C513" s="30" t="s">
        <v>8513</v>
      </c>
      <c r="D513" s="30" t="s">
        <v>9892</v>
      </c>
      <c r="E513" s="104" t="s">
        <v>8513</v>
      </c>
      <c r="F513" s="104" t="s">
        <v>8515</v>
      </c>
      <c r="G513" s="104" t="s">
        <v>6997</v>
      </c>
      <c r="H513" s="116" t="s">
        <v>7061</v>
      </c>
      <c r="I513" s="104" t="s">
        <v>8516</v>
      </c>
      <c r="J513" s="104"/>
      <c r="K513" s="117" t="s">
        <v>8517</v>
      </c>
      <c r="L513" s="105" t="n">
        <v>-19.8548367381653</v>
      </c>
      <c r="M513" s="105" t="n">
        <v>-43.955165967651098</v>
      </c>
      <c r="N513" s="105" t="n">
        <v>609399.6</v>
      </c>
      <c r="O513" s="105" t="n">
        <v>7804244</v>
      </c>
    </row>
    <row r="514" ht="30" customHeight="1">
      <c r="A514" s="105" t="s">
        <v>9893</v>
      </c>
      <c r="B514" s="105" t="s">
        <v>8514</v>
      </c>
      <c r="C514" s="30" t="s">
        <v>8513</v>
      </c>
      <c r="D514" s="30" t="s">
        <v>9894</v>
      </c>
      <c r="E514" s="104" t="s">
        <v>8513</v>
      </c>
      <c r="F514" s="104" t="s">
        <v>8515</v>
      </c>
      <c r="G514" s="104" t="s">
        <v>6997</v>
      </c>
      <c r="H514" s="116" t="s">
        <v>7061</v>
      </c>
      <c r="I514" s="104" t="s">
        <v>8516</v>
      </c>
      <c r="J514" s="104"/>
      <c r="K514" s="117" t="s">
        <v>8517</v>
      </c>
      <c r="L514" s="105" t="n">
        <v>-19.8548367381653</v>
      </c>
      <c r="M514" s="105" t="n">
        <v>-43.955165967651098</v>
      </c>
      <c r="N514" s="105" t="n">
        <v>609399.6</v>
      </c>
      <c r="O514" s="105" t="n">
        <v>7804244</v>
      </c>
    </row>
    <row r="515" ht="30" customHeight="1">
      <c r="A515" s="105" t="s">
        <v>9895</v>
      </c>
      <c r="B515" s="105" t="s">
        <v>8519</v>
      </c>
      <c r="C515" s="30" t="s">
        <v>8518</v>
      </c>
      <c r="D515" s="30" t="s">
        <v>9896</v>
      </c>
      <c r="E515" s="104" t="s">
        <v>8518</v>
      </c>
      <c r="F515" s="104" t="s">
        <v>8014</v>
      </c>
      <c r="G515" s="104" t="s">
        <v>7086</v>
      </c>
      <c r="H515" s="116" t="s">
        <v>7112</v>
      </c>
      <c r="I515" s="104" t="s">
        <v>8520</v>
      </c>
      <c r="J515" s="104"/>
      <c r="K515" s="117"/>
      <c r="L515" s="105" t="n">
        <v>-19.805710833904101</v>
      </c>
      <c r="M515" s="105" t="n">
        <v>-43.987818420285201</v>
      </c>
      <c r="N515" s="105" t="n">
        <v>606013.1</v>
      </c>
      <c r="O515" s="105" t="n">
        <v>7809701</v>
      </c>
    </row>
    <row r="516" ht="30" customHeight="1">
      <c r="A516" s="105" t="s">
        <v>9897</v>
      </c>
      <c r="B516" s="105" t="s">
        <v>8519</v>
      </c>
      <c r="C516" s="30" t="s">
        <v>8518</v>
      </c>
      <c r="D516" s="30" t="s">
        <v>9898</v>
      </c>
      <c r="E516" s="104" t="s">
        <v>8518</v>
      </c>
      <c r="F516" s="104" t="s">
        <v>8014</v>
      </c>
      <c r="G516" s="104" t="s">
        <v>7086</v>
      </c>
      <c r="H516" s="116" t="s">
        <v>7112</v>
      </c>
      <c r="I516" s="104" t="s">
        <v>8520</v>
      </c>
      <c r="J516" s="104"/>
      <c r="K516" s="117"/>
      <c r="L516" s="105" t="n">
        <v>-19.805710833904101</v>
      </c>
      <c r="M516" s="105" t="n">
        <v>-43.987818420285201</v>
      </c>
      <c r="N516" s="105" t="n">
        <v>606013.1</v>
      </c>
      <c r="O516" s="105" t="n">
        <v>7809701</v>
      </c>
    </row>
    <row r="517" ht="30" customHeight="1">
      <c r="A517" s="105" t="s">
        <v>9899</v>
      </c>
      <c r="B517" s="105" t="s">
        <v>8522</v>
      </c>
      <c r="C517" s="30" t="s">
        <v>8521</v>
      </c>
      <c r="D517" s="30" t="s">
        <v>9900</v>
      </c>
      <c r="E517" s="104" t="s">
        <v>8523</v>
      </c>
      <c r="F517" s="104" t="s">
        <v>8524</v>
      </c>
      <c r="G517" s="104" t="s">
        <v>7006</v>
      </c>
      <c r="H517" s="116" t="s">
        <v>7348</v>
      </c>
      <c r="I517" s="104" t="s">
        <v>8525</v>
      </c>
      <c r="J517" s="104" t="s">
        <v>8526</v>
      </c>
      <c r="K517" s="117" t="s">
        <v>8527</v>
      </c>
      <c r="L517" s="105" t="n">
        <v>-19.851894999999999</v>
      </c>
      <c r="M517" s="105" t="n">
        <v>-43.910409999999999</v>
      </c>
      <c r="N517" s="105" t="n">
        <v>614088.35594839405</v>
      </c>
      <c r="O517" s="105" t="n">
        <v>7804539.4359287303</v>
      </c>
    </row>
    <row r="518" ht="30" customHeight="1">
      <c r="A518" s="105" t="s">
        <v>9901</v>
      </c>
      <c r="B518" s="105" t="s">
        <v>8529</v>
      </c>
      <c r="C518" s="30" t="s">
        <v>8528</v>
      </c>
      <c r="D518" s="30" t="s">
        <v>9902</v>
      </c>
      <c r="E518" s="104" t="s">
        <v>8530</v>
      </c>
      <c r="F518" s="104" t="s">
        <v>8014</v>
      </c>
      <c r="G518" s="104" t="s">
        <v>7086</v>
      </c>
      <c r="H518" s="116" t="s">
        <v>7112</v>
      </c>
      <c r="I518" s="104" t="s">
        <v>8531</v>
      </c>
      <c r="J518" s="104" t="s">
        <v>8532</v>
      </c>
      <c r="K518" s="117" t="s">
        <v>8533</v>
      </c>
      <c r="L518" s="105" t="n">
        <v>-19.812476066950499</v>
      </c>
      <c r="M518" s="105" t="n">
        <v>-43.993177552975702</v>
      </c>
      <c r="N518" s="105" t="n">
        <v>605447.25546357303</v>
      </c>
      <c r="O518" s="105" t="n">
        <v>7808955.8272054503</v>
      </c>
    </row>
    <row r="519" ht="60" customHeight="1">
      <c r="A519" s="105" t="s">
        <v>9903</v>
      </c>
      <c r="B519" s="105" t="s">
        <v>8535</v>
      </c>
      <c r="C519" s="30" t="s">
        <v>8534</v>
      </c>
      <c r="D519" s="30" t="s">
        <v>9904</v>
      </c>
      <c r="E519" s="104" t="s">
        <v>8536</v>
      </c>
      <c r="F519" s="104" t="s">
        <v>7862</v>
      </c>
      <c r="G519" s="104" t="s">
        <v>7077</v>
      </c>
      <c r="H519" s="116" t="s">
        <v>7105</v>
      </c>
      <c r="I519" s="104" t="s">
        <v>8534</v>
      </c>
      <c r="J519" s="104"/>
      <c r="K519" s="117" t="s">
        <v>8537</v>
      </c>
      <c r="L519" s="105" t="n">
        <v>-20.010193231852799</v>
      </c>
      <c r="M519" s="105" t="n">
        <v>-44.035192633212503</v>
      </c>
      <c r="N519" s="105" t="n">
        <v>600921.1</v>
      </c>
      <c r="O519" s="105" t="n">
        <v>7787100</v>
      </c>
    </row>
    <row r="520" ht="30" customHeight="1">
      <c r="A520" s="105" t="s">
        <v>9905</v>
      </c>
      <c r="B520" s="105" t="s">
        <v>8539</v>
      </c>
      <c r="C520" s="30" t="s">
        <v>8538</v>
      </c>
      <c r="D520" s="30" t="s">
        <v>9906</v>
      </c>
      <c r="E520" s="104" t="s">
        <v>8540</v>
      </c>
      <c r="F520" s="104" t="s">
        <v>8541</v>
      </c>
      <c r="G520" s="104" t="s">
        <v>6997</v>
      </c>
      <c r="H520" s="116" t="s">
        <v>7038</v>
      </c>
      <c r="I520" s="104" t="s">
        <v>8542</v>
      </c>
      <c r="J520" s="104" t="s">
        <v>7775</v>
      </c>
      <c r="K520" s="117" t="s">
        <v>8543</v>
      </c>
      <c r="L520" s="105" t="n">
        <v>-19.844313</v>
      </c>
      <c r="M520" s="105" t="n">
        <v>-43.960296999999997</v>
      </c>
      <c r="N520" s="105" t="n">
        <v>608869.52350581496</v>
      </c>
      <c r="O520" s="105" t="n">
        <v>7805411.5207465403</v>
      </c>
    </row>
    <row r="521" ht="30" customHeight="1">
      <c r="A521" s="105" t="s">
        <v>9907</v>
      </c>
      <c r="B521" s="105" t="s">
        <v>8545</v>
      </c>
      <c r="C521" s="30" t="s">
        <v>8544</v>
      </c>
      <c r="D521" s="30" t="s">
        <v>9908</v>
      </c>
      <c r="E521" s="104" t="s">
        <v>8546</v>
      </c>
      <c r="F521" s="104" t="s">
        <v>6991</v>
      </c>
      <c r="G521" s="104" t="s">
        <v>6974</v>
      </c>
      <c r="H521" s="116" t="s">
        <v>6975</v>
      </c>
      <c r="I521" s="104" t="s">
        <v>8547</v>
      </c>
      <c r="J521" s="104" t="s">
        <v>8532</v>
      </c>
      <c r="K521" s="117" t="s">
        <v>8548</v>
      </c>
      <c r="L521" s="105" t="n">
        <v>-19.910727000000001</v>
      </c>
      <c r="M521" s="105" t="n">
        <v>-43.943727000000003</v>
      </c>
      <c r="N521" s="105" t="n">
        <v>610558.67633044196</v>
      </c>
      <c r="O521" s="105" t="n">
        <v>7798050.5060588503</v>
      </c>
    </row>
    <row r="522" ht="45" customHeight="1">
      <c r="A522" s="105" t="s">
        <v>9909</v>
      </c>
      <c r="B522" s="105" t="s">
        <v>8550</v>
      </c>
      <c r="C522" s="30" t="s">
        <v>8549</v>
      </c>
      <c r="D522" s="30" t="s">
        <v>9910</v>
      </c>
      <c r="E522" s="104" t="s">
        <v>8551</v>
      </c>
      <c r="F522" s="104" t="s">
        <v>8552</v>
      </c>
      <c r="G522" s="104" t="s">
        <v>7077</v>
      </c>
      <c r="H522" s="116" t="s">
        <v>7588</v>
      </c>
      <c r="I522" s="104" t="s">
        <v>8553</v>
      </c>
      <c r="J522" s="104" t="s">
        <v>8554</v>
      </c>
      <c r="K522" s="117" t="s">
        <v>8555</v>
      </c>
      <c r="L522" s="105" t="n">
        <v>-19.992937950641299</v>
      </c>
      <c r="M522" s="105" t="n">
        <v>-43.989101793402199</v>
      </c>
      <c r="N522" s="105" t="n">
        <v>605754.18470015901</v>
      </c>
      <c r="O522" s="105" t="n">
        <v>7788981.1800983604</v>
      </c>
    </row>
    <row r="523" ht="30" customHeight="1">
      <c r="A523" s="105" t="s">
        <v>9911</v>
      </c>
      <c r="B523" s="105" t="s">
        <v>8557</v>
      </c>
      <c r="C523" s="30" t="s">
        <v>8556</v>
      </c>
      <c r="D523" s="105" t="s">
        <v>9912</v>
      </c>
      <c r="E523" s="104" t="s">
        <v>8558</v>
      </c>
      <c r="F523" s="104" t="s">
        <v>6991</v>
      </c>
      <c r="G523" s="104" t="s">
        <v>6974</v>
      </c>
      <c r="H523" s="116" t="s">
        <v>6975</v>
      </c>
      <c r="I523" s="104" t="s">
        <v>8559</v>
      </c>
      <c r="J523" s="104" t="s">
        <v>8151</v>
      </c>
      <c r="K523" s="117" t="s">
        <v>8560</v>
      </c>
      <c r="L523" s="105" t="n">
        <v>-19.907888422572199</v>
      </c>
      <c r="M523" s="105" t="n">
        <v>-43.947113200787399</v>
      </c>
      <c r="N523" s="105" t="n">
        <v>610206.18246204196</v>
      </c>
      <c r="O523" s="105" t="n">
        <v>7798366.8829593603</v>
      </c>
    </row>
    <row r="524" ht="30" customHeight="1">
      <c r="A524" s="105" t="s">
        <v>9913</v>
      </c>
      <c r="B524" s="105" t="s">
        <v>8562</v>
      </c>
      <c r="C524" s="30" t="s">
        <v>8561</v>
      </c>
      <c r="D524" s="30" t="s">
        <v>9914</v>
      </c>
      <c r="E524" s="104" t="s">
        <v>8563</v>
      </c>
      <c r="F524" s="104" t="s">
        <v>6973</v>
      </c>
      <c r="G524" s="104" t="s">
        <v>6974</v>
      </c>
      <c r="H524" s="116" t="s">
        <v>6975</v>
      </c>
      <c r="I524" s="104" t="s">
        <v>8564</v>
      </c>
      <c r="J524" s="104" t="s">
        <v>7739</v>
      </c>
      <c r="K524" s="117" t="s">
        <v>8565</v>
      </c>
      <c r="L524" s="105" t="n">
        <v>-19.904081752808999</v>
      </c>
      <c r="M524" s="105" t="n">
        <v>-43.948331561797801</v>
      </c>
      <c r="N524" s="105" t="n">
        <v>610081.27812032006</v>
      </c>
      <c r="O524" s="105" t="n">
        <v>7798788.9771606</v>
      </c>
    </row>
    <row r="525" ht="30" customHeight="1">
      <c r="A525" s="105" t="s">
        <v>9915</v>
      </c>
      <c r="B525" s="105" t="s">
        <v>8567</v>
      </c>
      <c r="C525" s="30" t="s">
        <v>8566</v>
      </c>
      <c r="D525" s="30" t="s">
        <v>9916</v>
      </c>
      <c r="E525" s="104" t="s">
        <v>8568</v>
      </c>
      <c r="F525" s="104" t="s">
        <v>8569</v>
      </c>
      <c r="G525" s="104" t="s">
        <v>6974</v>
      </c>
      <c r="H525" s="116" t="s">
        <v>7047</v>
      </c>
      <c r="I525" s="104" t="s">
        <v>8570</v>
      </c>
      <c r="J525" s="104" t="s">
        <v>8571</v>
      </c>
      <c r="K525" s="117" t="s">
        <v>8572</v>
      </c>
      <c r="L525" s="105" t="n">
        <v>-19.927478000000001</v>
      </c>
      <c r="M525" s="105" t="n">
        <v>-44.017074999999998</v>
      </c>
      <c r="N525" s="105" t="n">
        <v>602869.99920164701</v>
      </c>
      <c r="O525" s="105" t="n">
        <v>7796243.18136313</v>
      </c>
    </row>
    <row r="526" ht="30" customHeight="1">
      <c r="A526" s="105" t="s">
        <v>9917</v>
      </c>
      <c r="B526" s="105" t="s">
        <v>8574</v>
      </c>
      <c r="C526" s="30" t="s">
        <v>8573</v>
      </c>
      <c r="D526" s="30" t="s">
        <v>9918</v>
      </c>
      <c r="E526" s="104" t="s">
        <v>8575</v>
      </c>
      <c r="F526" s="104" t="s">
        <v>7580</v>
      </c>
      <c r="G526" s="104" t="s">
        <v>7086</v>
      </c>
      <c r="H526" s="116" t="s">
        <v>7485</v>
      </c>
      <c r="I526" s="104" t="s">
        <v>8576</v>
      </c>
      <c r="J526" s="104"/>
      <c r="K526" s="117" t="s">
        <v>8577</v>
      </c>
      <c r="L526" s="105" t="n">
        <v>-19.8077840268095</v>
      </c>
      <c r="M526" s="105" t="n">
        <v>-43.951110050193797</v>
      </c>
      <c r="N526" s="105" t="n">
        <v>609856.69999999995</v>
      </c>
      <c r="O526" s="105" t="n">
        <v>7809448</v>
      </c>
    </row>
    <row r="527">
      <c r="A527" s="105" t="s">
        <v>9919</v>
      </c>
      <c r="B527" s="105" t="s">
        <v>8579</v>
      </c>
      <c r="C527" s="30" t="s">
        <v>8578</v>
      </c>
      <c r="D527" s="30" t="s">
        <v>9920</v>
      </c>
      <c r="E527" s="104" t="s">
        <v>8580</v>
      </c>
      <c r="F527" s="104" t="s">
        <v>8020</v>
      </c>
      <c r="G527" s="104" t="s">
        <v>6983</v>
      </c>
      <c r="H527" s="116" t="s">
        <v>7032</v>
      </c>
      <c r="I527" s="104" t="s">
        <v>8581</v>
      </c>
      <c r="J527" s="104"/>
      <c r="K527" s="117"/>
      <c r="L527" s="105" t="n">
        <v>-19.955219555555601</v>
      </c>
      <c r="M527" s="105" t="n">
        <v>-43.9659228518519</v>
      </c>
      <c r="N527" s="105" t="n">
        <v>608204.96788229502</v>
      </c>
      <c r="O527" s="105" t="n">
        <v>7793140.8123836098</v>
      </c>
    </row>
    <row r="528" ht="45" customHeight="1">
      <c r="A528" s="105" t="s">
        <v>9921</v>
      </c>
      <c r="B528" s="105" t="s">
        <v>8583</v>
      </c>
      <c r="C528" s="30" t="s">
        <v>8582</v>
      </c>
      <c r="D528" s="30" t="s">
        <v>9873</v>
      </c>
      <c r="E528" s="104" t="s">
        <v>8582</v>
      </c>
      <c r="F528" s="104" t="s">
        <v>8469</v>
      </c>
      <c r="G528" s="104" t="s">
        <v>7077</v>
      </c>
      <c r="H528" s="116" t="s">
        <v>7092</v>
      </c>
      <c r="I528" s="104" t="s">
        <v>8584</v>
      </c>
      <c r="J528" s="104" t="s">
        <v>8585</v>
      </c>
      <c r="K528" s="117" t="s">
        <v>8586</v>
      </c>
      <c r="L528" s="105" t="n">
        <v>-19.994116140897699</v>
      </c>
      <c r="M528" s="105" t="n">
        <v>-44.016828620966798</v>
      </c>
      <c r="N528" s="105" t="n">
        <v>602852.58033045498</v>
      </c>
      <c r="O528" s="105" t="n">
        <v>7788868.0476258304</v>
      </c>
    </row>
    <row r="529" ht="45" customHeight="1">
      <c r="A529" s="105" t="s">
        <v>9922</v>
      </c>
      <c r="B529" s="105" t="s">
        <v>8588</v>
      </c>
      <c r="C529" s="30" t="s">
        <v>8587</v>
      </c>
      <c r="D529" s="30" t="s">
        <v>9873</v>
      </c>
      <c r="E529" s="104" t="s">
        <v>8589</v>
      </c>
      <c r="F529" s="104" t="s">
        <v>8590</v>
      </c>
      <c r="G529" s="104" t="s">
        <v>7077</v>
      </c>
      <c r="H529" s="116" t="s">
        <v>7092</v>
      </c>
      <c r="I529" s="104" t="s">
        <v>8591</v>
      </c>
      <c r="J529" s="104" t="s">
        <v>8592</v>
      </c>
      <c r="K529" s="117" t="s">
        <v>8593</v>
      </c>
      <c r="L529" s="105" t="n">
        <v>-19.984069999999999</v>
      </c>
      <c r="M529" s="105" t="n">
        <v>-44.025084999999997</v>
      </c>
      <c r="N529" s="105" t="n">
        <v>601995.25824817398</v>
      </c>
      <c r="O529" s="105" t="n">
        <v>7789984.9237536704</v>
      </c>
    </row>
    <row r="530">
      <c r="A530" s="105" t="s">
        <v>9923</v>
      </c>
      <c r="B530" s="105" t="s">
        <v>8595</v>
      </c>
      <c r="C530" s="30" t="s">
        <v>8594</v>
      </c>
      <c r="D530" s="30" t="s">
        <v>9924</v>
      </c>
      <c r="E530" s="104" t="s">
        <v>8594</v>
      </c>
      <c r="F530" s="104" t="s">
        <v>7703</v>
      </c>
      <c r="G530" s="104" t="s">
        <v>6974</v>
      </c>
      <c r="H530" s="116" t="s">
        <v>7047</v>
      </c>
      <c r="I530" s="104" t="s">
        <v>8596</v>
      </c>
      <c r="J530" s="104"/>
      <c r="K530" s="117"/>
      <c r="L530" s="105" t="n">
        <v>-19.916536587500001</v>
      </c>
      <c r="M530" s="105" t="n">
        <v>-44.0214332125</v>
      </c>
      <c r="N530" s="105" t="n">
        <v>602420.89496561198</v>
      </c>
      <c r="O530" s="105" t="n">
        <v>7797456.7455242202</v>
      </c>
    </row>
    <row r="531" ht="30" customHeight="1">
      <c r="A531" s="105" t="s">
        <v>9925</v>
      </c>
      <c r="B531" s="105" t="s">
        <v>8598</v>
      </c>
      <c r="C531" s="30" t="s">
        <v>8597</v>
      </c>
      <c r="D531" s="110" t="s">
        <v>9926</v>
      </c>
      <c r="E531" s="95" t="s">
        <v>8597</v>
      </c>
      <c r="F531" s="104" t="s">
        <v>7463</v>
      </c>
      <c r="G531" s="104" t="s">
        <v>7077</v>
      </c>
      <c r="H531" s="116" t="s">
        <v>7105</v>
      </c>
      <c r="I531" s="104" t="s">
        <v>8599</v>
      </c>
      <c r="J531" s="104"/>
      <c r="K531" s="104" t="s">
        <v>8600</v>
      </c>
      <c r="L531" s="105" t="n">
        <v>-20.022764952543302</v>
      </c>
      <c r="M531" s="105" t="n">
        <v>-44.030910229040103</v>
      </c>
      <c r="N531" s="105" t="n">
        <v>601361</v>
      </c>
      <c r="O531" s="105" t="n">
        <v>7785706</v>
      </c>
    </row>
    <row r="532" ht="30" customHeight="1">
      <c r="A532" s="105" t="s">
        <v>9927</v>
      </c>
      <c r="B532" s="105" t="s">
        <v>8598</v>
      </c>
      <c r="C532" s="30" t="s">
        <v>8597</v>
      </c>
      <c r="D532" s="30" t="s">
        <v>9928</v>
      </c>
      <c r="E532" s="104" t="s">
        <v>8597</v>
      </c>
      <c r="F532" s="104" t="s">
        <v>7463</v>
      </c>
      <c r="G532" s="104" t="s">
        <v>7077</v>
      </c>
      <c r="H532" s="116" t="s">
        <v>7105</v>
      </c>
      <c r="I532" s="104" t="s">
        <v>8599</v>
      </c>
      <c r="J532" s="104"/>
      <c r="K532" s="117" t="s">
        <v>8600</v>
      </c>
      <c r="L532" s="105" t="n">
        <v>-20.022764952543302</v>
      </c>
      <c r="M532" s="105" t="n">
        <v>-44.030910229040103</v>
      </c>
      <c r="N532" s="105" t="n">
        <v>601361</v>
      </c>
      <c r="O532" s="105" t="n">
        <v>7785706</v>
      </c>
    </row>
    <row r="533" ht="30" customHeight="1">
      <c r="A533" s="105" t="s">
        <v>9929</v>
      </c>
      <c r="B533" s="105" t="s">
        <v>8602</v>
      </c>
      <c r="C533" s="30" t="s">
        <v>8601</v>
      </c>
      <c r="D533" s="30" t="s">
        <v>9930</v>
      </c>
      <c r="E533" s="104" t="s">
        <v>8601</v>
      </c>
      <c r="F533" s="104" t="s">
        <v>8603</v>
      </c>
      <c r="G533" s="104" t="s">
        <v>7160</v>
      </c>
      <c r="H533" s="116" t="s">
        <v>8247</v>
      </c>
      <c r="I533" s="104" t="s">
        <v>8604</v>
      </c>
      <c r="J533" s="104"/>
      <c r="K533" s="117"/>
      <c r="L533" s="105" t="n">
        <v>-19.946950999999999</v>
      </c>
      <c r="M533" s="105" t="n">
        <v>-43.944192000000001</v>
      </c>
      <c r="N533" s="105" t="n">
        <v>610484.81743370695</v>
      </c>
      <c r="O533" s="105" t="n">
        <v>7794041.7696017399</v>
      </c>
    </row>
    <row r="534" ht="30" customHeight="1">
      <c r="A534" s="105" t="s">
        <v>9931</v>
      </c>
      <c r="B534" s="105" t="s">
        <v>8606</v>
      </c>
      <c r="C534" s="30" t="s">
        <v>8605</v>
      </c>
      <c r="D534" s="110" t="s">
        <v>9932</v>
      </c>
      <c r="E534" s="104" t="s">
        <v>8605</v>
      </c>
      <c r="F534" s="104" t="s">
        <v>7277</v>
      </c>
      <c r="G534" s="104" t="s">
        <v>7086</v>
      </c>
      <c r="H534" s="116" t="s">
        <v>7087</v>
      </c>
      <c r="I534" s="104" t="s">
        <v>8607</v>
      </c>
      <c r="J534" s="104"/>
      <c r="K534" s="117"/>
      <c r="L534" s="105" t="n">
        <v>-19.816856333333298</v>
      </c>
      <c r="M534" s="105" t="n">
        <v>-43.975152733333303</v>
      </c>
      <c r="N534" s="105" t="n">
        <v>607332.25902995002</v>
      </c>
      <c r="O534" s="105" t="n">
        <v>7808459.71035136</v>
      </c>
    </row>
    <row r="535" ht="30" customHeight="1">
      <c r="A535" s="105" t="s">
        <v>9933</v>
      </c>
      <c r="B535" s="105" t="s">
        <v>8609</v>
      </c>
      <c r="C535" s="30" t="s">
        <v>8608</v>
      </c>
      <c r="D535" s="30" t="s">
        <v>9934</v>
      </c>
      <c r="E535" s="104" t="s">
        <v>8608</v>
      </c>
      <c r="F535" s="104" t="s">
        <v>7263</v>
      </c>
      <c r="G535" s="104" t="s">
        <v>6974</v>
      </c>
      <c r="H535" s="116" t="s">
        <v>7264</v>
      </c>
      <c r="I535" s="104" t="s">
        <v>8610</v>
      </c>
      <c r="J535" s="104"/>
      <c r="K535" s="117" t="s">
        <v>8611</v>
      </c>
      <c r="L535" s="105" t="n">
        <v>-19.916514977011499</v>
      </c>
      <c r="M535" s="105" t="n">
        <v>-43.985787701149398</v>
      </c>
      <c r="N535" s="105" t="n">
        <v>606152.01377374097</v>
      </c>
      <c r="O535" s="105" t="n">
        <v>7797437.0318276295</v>
      </c>
    </row>
    <row r="536" ht="30" customHeight="1">
      <c r="A536" s="105" t="s">
        <v>9935</v>
      </c>
      <c r="B536" s="105" t="s">
        <v>8613</v>
      </c>
      <c r="C536" s="30" t="s">
        <v>8612</v>
      </c>
      <c r="D536" s="30" t="s">
        <v>9936</v>
      </c>
      <c r="E536" s="104" t="s">
        <v>8612</v>
      </c>
      <c r="F536" s="104" t="s">
        <v>7636</v>
      </c>
      <c r="G536" s="104" t="s">
        <v>6997</v>
      </c>
      <c r="H536" s="116" t="s">
        <v>7152</v>
      </c>
      <c r="I536" s="104" t="s">
        <v>8614</v>
      </c>
      <c r="J536" s="104"/>
      <c r="K536" s="117"/>
      <c r="L536" s="105" t="n">
        <v>-19.874414823529399</v>
      </c>
      <c r="M536" s="105" t="n">
        <v>-43.9818598823529</v>
      </c>
      <c r="N536" s="105" t="n">
        <v>606591.32909884397</v>
      </c>
      <c r="O536" s="105" t="n">
        <v>7802093.8651864696</v>
      </c>
    </row>
    <row r="537" ht="30" customHeight="1">
      <c r="A537" s="105" t="s">
        <v>9937</v>
      </c>
      <c r="B537" s="105" t="s">
        <v>8616</v>
      </c>
      <c r="C537" s="30" t="s">
        <v>8615</v>
      </c>
      <c r="D537" s="30" t="s">
        <v>9938</v>
      </c>
      <c r="E537" s="104" t="s">
        <v>8615</v>
      </c>
      <c r="F537" s="104" t="s">
        <v>8617</v>
      </c>
      <c r="G537" s="104" t="s">
        <v>6974</v>
      </c>
      <c r="H537" s="116" t="s">
        <v>7264</v>
      </c>
      <c r="I537" s="104" t="s">
        <v>8618</v>
      </c>
      <c r="J537" s="104"/>
      <c r="K537" s="117"/>
      <c r="L537" s="105" t="n">
        <v>-19.921648296610201</v>
      </c>
      <c r="M537" s="105" t="n">
        <v>-43.986757254237297</v>
      </c>
      <c r="N537" s="105" t="n">
        <v>606047.10457108403</v>
      </c>
      <c r="O537" s="105" t="n">
        <v>7796869.5268737804</v>
      </c>
    </row>
    <row r="538" ht="45" customHeight="1">
      <c r="A538" s="105" t="s">
        <v>9939</v>
      </c>
      <c r="B538" s="105" t="s">
        <v>8620</v>
      </c>
      <c r="C538" s="30" t="s">
        <v>8619</v>
      </c>
      <c r="D538" s="30" t="s">
        <v>9940</v>
      </c>
      <c r="E538" s="104" t="s">
        <v>8619</v>
      </c>
      <c r="F538" s="104" t="s">
        <v>7862</v>
      </c>
      <c r="G538" s="104" t="s">
        <v>7077</v>
      </c>
      <c r="H538" s="116" t="s">
        <v>7105</v>
      </c>
      <c r="I538" s="104" t="s">
        <v>7863</v>
      </c>
      <c r="J538" s="104"/>
      <c r="K538" s="117" t="s">
        <v>8621</v>
      </c>
      <c r="L538" s="105" t="n">
        <v>-20.010857117647099</v>
      </c>
      <c r="M538" s="105" t="n">
        <v>-44.036143764705898</v>
      </c>
      <c r="N538" s="105" t="n">
        <v>600821.15287735895</v>
      </c>
      <c r="O538" s="105" t="n">
        <v>7787027.0293807099</v>
      </c>
    </row>
    <row r="539">
      <c r="A539" s="105" t="s">
        <v>9941</v>
      </c>
      <c r="B539" s="105" t="s">
        <v>8623</v>
      </c>
      <c r="C539" s="30" t="s">
        <v>8622</v>
      </c>
      <c r="D539" s="30" t="s">
        <v>9942</v>
      </c>
      <c r="E539" s="104" t="s">
        <v>8622</v>
      </c>
      <c r="F539" s="104" t="s">
        <v>8624</v>
      </c>
      <c r="G539" s="104" t="s">
        <v>7077</v>
      </c>
      <c r="H539" s="116" t="s">
        <v>7078</v>
      </c>
      <c r="I539" s="104" t="s">
        <v>8625</v>
      </c>
      <c r="J539" s="104"/>
      <c r="K539" s="117"/>
      <c r="L539" s="105" t="n">
        <v>-19.9750710839695</v>
      </c>
      <c r="M539" s="105" t="n">
        <v>-44.049804923664098</v>
      </c>
      <c r="N539" s="105" t="n">
        <v>599414.52728503104</v>
      </c>
      <c r="O539" s="105" t="n">
        <v>7790995.6982588004</v>
      </c>
    </row>
    <row r="540" ht="30" customHeight="1">
      <c r="A540" s="105" t="s">
        <v>9943</v>
      </c>
      <c r="B540" s="105" t="s">
        <v>8627</v>
      </c>
      <c r="C540" s="30" t="s">
        <v>8626</v>
      </c>
      <c r="D540" s="30" t="s">
        <v>9944</v>
      </c>
      <c r="E540" s="104" t="s">
        <v>8628</v>
      </c>
      <c r="F540" s="104" t="s">
        <v>7580</v>
      </c>
      <c r="G540" s="104" t="s">
        <v>7086</v>
      </c>
      <c r="H540" s="116" t="s">
        <v>7485</v>
      </c>
      <c r="I540" s="104" t="s">
        <v>8626</v>
      </c>
      <c r="J540" s="104"/>
      <c r="K540" s="117" t="s">
        <v>8629</v>
      </c>
      <c r="L540" s="105" t="n">
        <v>-19.809210291999999</v>
      </c>
      <c r="M540" s="105" t="n">
        <v>-43.955840195999997</v>
      </c>
      <c r="N540" s="105" t="n">
        <v>609360.26082055096</v>
      </c>
      <c r="O540" s="105" t="n">
        <v>7809293.52961036</v>
      </c>
    </row>
    <row r="541" ht="30" customHeight="1">
      <c r="A541" s="105" t="s">
        <v>9945</v>
      </c>
      <c r="B541" s="105" t="s">
        <v>8631</v>
      </c>
      <c r="C541" s="30" t="s">
        <v>8630</v>
      </c>
      <c r="D541" s="30" t="s">
        <v>9946</v>
      </c>
      <c r="E541" s="104" t="s">
        <v>8630</v>
      </c>
      <c r="F541" s="104" t="s">
        <v>8632</v>
      </c>
      <c r="G541" s="104" t="s">
        <v>6974</v>
      </c>
      <c r="H541" s="116" t="s">
        <v>7047</v>
      </c>
      <c r="I541" s="104" t="s">
        <v>8633</v>
      </c>
      <c r="J541" s="104"/>
      <c r="K541" s="117"/>
      <c r="L541" s="105" t="n">
        <v>-19.907052952381001</v>
      </c>
      <c r="M541" s="105" t="n">
        <v>-44.0154778333333</v>
      </c>
      <c r="N541" s="105" t="n">
        <v>603050.39997625502</v>
      </c>
      <c r="O541" s="105" t="n">
        <v>7798502.6758942604</v>
      </c>
    </row>
    <row r="542" ht="30" customHeight="1">
      <c r="A542" s="105" t="s">
        <v>9947</v>
      </c>
      <c r="B542" s="105" t="s">
        <v>8635</v>
      </c>
      <c r="C542" s="30" t="s">
        <v>8634</v>
      </c>
      <c r="D542" s="30" t="s">
        <v>9948</v>
      </c>
      <c r="E542" s="104" t="s">
        <v>8634</v>
      </c>
      <c r="F542" s="104" t="s">
        <v>7696</v>
      </c>
      <c r="G542" s="104" t="s">
        <v>7077</v>
      </c>
      <c r="H542" s="116" t="s">
        <v>7221</v>
      </c>
      <c r="I542" s="104" t="s">
        <v>8636</v>
      </c>
      <c r="J542" s="104"/>
      <c r="K542" s="117" t="s">
        <v>8637</v>
      </c>
      <c r="L542" s="105" t="n">
        <v>-19.995546749999999</v>
      </c>
      <c r="M542" s="105" t="n">
        <v>-43.971423250000001</v>
      </c>
      <c r="N542" s="105" t="n">
        <v>607601.98872555105</v>
      </c>
      <c r="O542" s="105" t="n">
        <v>7788681.1985102296</v>
      </c>
    </row>
    <row r="543" ht="30" customHeight="1">
      <c r="A543" s="105" t="s">
        <v>9949</v>
      </c>
      <c r="B543" s="105" t="s">
        <v>8639</v>
      </c>
      <c r="C543" s="30" t="s">
        <v>8638</v>
      </c>
      <c r="D543" s="30" t="s">
        <v>9950</v>
      </c>
      <c r="E543" s="104" t="s">
        <v>8640</v>
      </c>
      <c r="F543" s="104" t="s">
        <v>7031</v>
      </c>
      <c r="G543" s="104" t="s">
        <v>6983</v>
      </c>
      <c r="H543" s="116" t="s">
        <v>7032</v>
      </c>
      <c r="I543" s="104" t="s">
        <v>8638</v>
      </c>
      <c r="J543" s="104"/>
      <c r="K543" s="117"/>
      <c r="L543" s="105" t="n">
        <v>-19.969521249055301</v>
      </c>
      <c r="M543" s="105" t="n">
        <v>-43.969036563760703</v>
      </c>
      <c r="N543" s="105" t="n">
        <v>607869.4</v>
      </c>
      <c r="O543" s="105" t="n">
        <v>7791560</v>
      </c>
    </row>
    <row r="544" ht="30" customHeight="1">
      <c r="A544" s="105" t="s">
        <v>9951</v>
      </c>
      <c r="B544" s="105" t="s">
        <v>8642</v>
      </c>
      <c r="C544" s="30" t="s">
        <v>8641</v>
      </c>
      <c r="D544" s="30" t="s">
        <v>9952</v>
      </c>
      <c r="E544" s="104" t="s">
        <v>8643</v>
      </c>
      <c r="F544" s="104" t="s">
        <v>7031</v>
      </c>
      <c r="G544" s="104" t="s">
        <v>6983</v>
      </c>
      <c r="H544" s="116" t="s">
        <v>7032</v>
      </c>
      <c r="I544" s="104" t="s">
        <v>8641</v>
      </c>
      <c r="J544" s="104"/>
      <c r="K544" s="117"/>
      <c r="L544" s="105" t="n">
        <v>-19.970396562959401</v>
      </c>
      <c r="M544" s="105" t="n">
        <v>-43.968840694006403</v>
      </c>
      <c r="N544" s="105" t="n">
        <v>607889.30000000005</v>
      </c>
      <c r="O544" s="105" t="n">
        <v>7791463</v>
      </c>
    </row>
    <row r="545" ht="30" customHeight="1">
      <c r="A545" s="105" t="s">
        <v>9953</v>
      </c>
      <c r="B545" s="105" t="s">
        <v>8645</v>
      </c>
      <c r="C545" s="30" t="s">
        <v>8644</v>
      </c>
      <c r="D545" s="30" t="s">
        <v>9954</v>
      </c>
      <c r="E545" s="104" t="s">
        <v>8646</v>
      </c>
      <c r="F545" s="104" t="s">
        <v>7031</v>
      </c>
      <c r="G545" s="104" t="s">
        <v>6983</v>
      </c>
      <c r="H545" s="116" t="s">
        <v>7032</v>
      </c>
      <c r="I545" s="104" t="s">
        <v>8644</v>
      </c>
      <c r="J545" s="104"/>
      <c r="K545" s="117"/>
      <c r="L545" s="105" t="n">
        <v>-19.9709610897796</v>
      </c>
      <c r="M545" s="105" t="n">
        <v>-43.971141169855997</v>
      </c>
      <c r="N545" s="105" t="n">
        <v>607648.19999999995</v>
      </c>
      <c r="O545" s="105" t="n">
        <v>7791402</v>
      </c>
    </row>
    <row r="546" ht="30" customHeight="1">
      <c r="A546" s="105" t="s">
        <v>9955</v>
      </c>
      <c r="B546" s="105" t="s">
        <v>8648</v>
      </c>
      <c r="C546" s="30" t="s">
        <v>8647</v>
      </c>
      <c r="D546" s="30" t="s">
        <v>9956</v>
      </c>
      <c r="E546" s="104" t="s">
        <v>8647</v>
      </c>
      <c r="F546" s="104" t="s">
        <v>7399</v>
      </c>
      <c r="G546" s="104" t="s">
        <v>7077</v>
      </c>
      <c r="H546" s="116" t="s">
        <v>7105</v>
      </c>
      <c r="I546" s="104" t="s">
        <v>8649</v>
      </c>
      <c r="J546" s="104"/>
      <c r="K546" s="117" t="s">
        <v>8650</v>
      </c>
      <c r="L546" s="105" t="n">
        <v>-19.9902071666667</v>
      </c>
      <c r="M546" s="105" t="n">
        <v>-44.0314040833333</v>
      </c>
      <c r="N546" s="105" t="n">
        <v>601330.184146318</v>
      </c>
      <c r="O546" s="105" t="n">
        <v>7789309.5435730703</v>
      </c>
    </row>
    <row r="547">
      <c r="A547" s="105" t="s">
        <v>9957</v>
      </c>
      <c r="B547" s="105" t="s">
        <v>8652</v>
      </c>
      <c r="C547" s="30" t="s">
        <v>8651</v>
      </c>
      <c r="D547" s="110" t="s">
        <v>9395</v>
      </c>
      <c r="E547" s="104" t="s">
        <v>8651</v>
      </c>
      <c r="F547" s="104" t="s">
        <v>7980</v>
      </c>
      <c r="G547" s="104" t="s">
        <v>7160</v>
      </c>
      <c r="H547" s="116" t="s">
        <v>7161</v>
      </c>
      <c r="I547" s="104" t="s">
        <v>8653</v>
      </c>
      <c r="J547" s="104"/>
      <c r="K547" s="117"/>
      <c r="L547" s="105" t="n">
        <v>-19.926126142076502</v>
      </c>
      <c r="M547" s="105" t="n">
        <v>-43.935374147540998</v>
      </c>
      <c r="N547" s="105" t="n">
        <v>611422.24583648006</v>
      </c>
      <c r="O547" s="105" t="n">
        <v>7796340.7132615503</v>
      </c>
    </row>
    <row r="548" ht="30" customHeight="1">
      <c r="A548" s="105" t="s">
        <v>9958</v>
      </c>
      <c r="B548" s="105" t="s">
        <v>8655</v>
      </c>
      <c r="C548" s="30" t="s">
        <v>8654</v>
      </c>
      <c r="D548" s="30" t="s">
        <v>9959</v>
      </c>
      <c r="E548" s="104" t="s">
        <v>8656</v>
      </c>
      <c r="F548" s="104" t="s">
        <v>7801</v>
      </c>
      <c r="G548" s="104" t="s">
        <v>7015</v>
      </c>
      <c r="H548" s="116" t="s">
        <v>7016</v>
      </c>
      <c r="I548" s="104" t="s">
        <v>8657</v>
      </c>
      <c r="J548" s="104"/>
      <c r="K548" s="117" t="s">
        <v>8658</v>
      </c>
      <c r="L548" s="105" t="n">
        <v>-19.888205403614499</v>
      </c>
      <c r="M548" s="105" t="n">
        <v>-43.899272963855402</v>
      </c>
      <c r="N548" s="105" t="n">
        <v>615228.35519994795</v>
      </c>
      <c r="O548" s="105" t="n">
        <v>7800513.2400423801</v>
      </c>
    </row>
    <row r="549">
      <c r="A549" s="105" t="s">
        <v>9960</v>
      </c>
      <c r="B549" s="105" t="s">
        <v>8660</v>
      </c>
      <c r="C549" s="30" t="s">
        <v>8659</v>
      </c>
      <c r="D549" s="30" t="s">
        <v>9961</v>
      </c>
      <c r="E549" s="104" t="s">
        <v>8659</v>
      </c>
      <c r="F549" s="104" t="s">
        <v>7284</v>
      </c>
      <c r="G549" s="104" t="s">
        <v>7006</v>
      </c>
      <c r="H549" s="116" t="s">
        <v>7007</v>
      </c>
      <c r="I549" s="104" t="s">
        <v>8661</v>
      </c>
      <c r="J549" s="104"/>
      <c r="K549" s="117"/>
      <c r="L549" s="105" t="n">
        <v>-19.902349085603099</v>
      </c>
      <c r="M549" s="105" t="n">
        <v>-43.936719101167299</v>
      </c>
      <c r="N549" s="105" t="n">
        <v>611298.10803611297</v>
      </c>
      <c r="O549" s="105" t="n">
        <v>7798973.09845124</v>
      </c>
    </row>
    <row r="550" ht="45" customHeight="1">
      <c r="A550" s="105" t="s">
        <v>9962</v>
      </c>
      <c r="B550" s="105" t="s">
        <v>8663</v>
      </c>
      <c r="C550" s="30" t="s">
        <v>8662</v>
      </c>
      <c r="D550" s="110" t="s">
        <v>9963</v>
      </c>
      <c r="E550" s="104" t="s">
        <v>8662</v>
      </c>
      <c r="F550" s="104" t="s">
        <v>8541</v>
      </c>
      <c r="G550" s="104" t="s">
        <v>6997</v>
      </c>
      <c r="H550" s="116" t="s">
        <v>7038</v>
      </c>
      <c r="I550" s="104" t="s">
        <v>8664</v>
      </c>
      <c r="J550" s="104"/>
      <c r="K550" s="117"/>
      <c r="L550" s="105" t="n">
        <v>-19.8475741912284</v>
      </c>
      <c r="M550" s="105" t="n">
        <v>-43.979208067453101</v>
      </c>
      <c r="N550" s="105" t="n">
        <v>606887</v>
      </c>
      <c r="O550" s="105" t="n">
        <v>7805063</v>
      </c>
    </row>
    <row r="551">
      <c r="A551" s="105" t="s">
        <v>9964</v>
      </c>
      <c r="B551" s="105" t="s">
        <v>8666</v>
      </c>
      <c r="C551" s="30" t="s">
        <v>8665</v>
      </c>
      <c r="D551" s="30" t="s">
        <v>9965</v>
      </c>
      <c r="E551" s="104" t="s">
        <v>8665</v>
      </c>
      <c r="F551" s="104" t="s">
        <v>8667</v>
      </c>
      <c r="G551" s="104" t="s">
        <v>7006</v>
      </c>
      <c r="H551" s="116" t="s">
        <v>7007</v>
      </c>
      <c r="I551" s="104" t="s">
        <v>8668</v>
      </c>
      <c r="J551" s="104"/>
      <c r="K551" s="117"/>
      <c r="L551" s="105" t="n">
        <v>-19.907744000000001</v>
      </c>
      <c r="M551" s="105" t="n">
        <v>-43.940134999999998</v>
      </c>
      <c r="N551" s="105" t="n">
        <v>610936.75910384301</v>
      </c>
      <c r="O551" s="105" t="n">
        <v>7798378.2802219801</v>
      </c>
    </row>
    <row r="552">
      <c r="A552" s="105" t="s">
        <v>9966</v>
      </c>
      <c r="B552" s="105" t="s">
        <v>8670</v>
      </c>
      <c r="C552" s="30" t="s">
        <v>8669</v>
      </c>
      <c r="D552" s="30" t="s">
        <v>9967</v>
      </c>
      <c r="E552" s="104" t="s">
        <v>8669</v>
      </c>
      <c r="F552" s="104" t="s">
        <v>7284</v>
      </c>
      <c r="G552" s="104" t="s">
        <v>7006</v>
      </c>
      <c r="H552" s="116" t="s">
        <v>7007</v>
      </c>
      <c r="I552" s="104" t="s">
        <v>8671</v>
      </c>
      <c r="J552" s="104"/>
      <c r="K552" s="117"/>
      <c r="L552" s="105" t="n">
        <v>-19.901669576051798</v>
      </c>
      <c r="M552" s="105" t="n">
        <v>-43.937308106796102</v>
      </c>
      <c r="N552" s="105" t="n">
        <v>611236.92373179295</v>
      </c>
      <c r="O552" s="105" t="n">
        <v>7799048.6916214498</v>
      </c>
    </row>
    <row r="553">
      <c r="A553" s="105" t="s">
        <v>9968</v>
      </c>
      <c r="B553" s="105" t="s">
        <v>8673</v>
      </c>
      <c r="C553" s="30" t="s">
        <v>8672</v>
      </c>
      <c r="D553" s="30" t="s">
        <v>9969</v>
      </c>
      <c r="E553" s="104" t="s">
        <v>8672</v>
      </c>
      <c r="F553" s="104" t="s">
        <v>7213</v>
      </c>
      <c r="G553" s="104" t="s">
        <v>7015</v>
      </c>
      <c r="H553" s="116" t="s">
        <v>7016</v>
      </c>
      <c r="I553" s="104" t="s">
        <v>8674</v>
      </c>
      <c r="J553" s="104"/>
      <c r="K553" s="117" t="s">
        <v>8675</v>
      </c>
      <c r="L553" s="105" t="n">
        <v>-19.8939013773585</v>
      </c>
      <c r="M553" s="105" t="n">
        <v>-43.891504698113202</v>
      </c>
      <c r="N553" s="105" t="n">
        <v>616037.49538720795</v>
      </c>
      <c r="O553" s="105" t="n">
        <v>7799877.50537429</v>
      </c>
    </row>
    <row r="554" ht="30" customHeight="1">
      <c r="A554" s="105" t="s">
        <v>9970</v>
      </c>
      <c r="B554" s="105" t="s">
        <v>8677</v>
      </c>
      <c r="C554" s="30" t="s">
        <v>8676</v>
      </c>
      <c r="D554" s="30" t="s">
        <v>9971</v>
      </c>
      <c r="E554" s="104" t="s">
        <v>8676</v>
      </c>
      <c r="F554" s="104" t="s">
        <v>7893</v>
      </c>
      <c r="G554" s="104" t="s">
        <v>7077</v>
      </c>
      <c r="H554" s="116" t="s">
        <v>7105</v>
      </c>
      <c r="I554" s="104" t="s">
        <v>8678</v>
      </c>
      <c r="J554" s="104"/>
      <c r="K554" s="117" t="s">
        <v>8679</v>
      </c>
      <c r="L554" s="105" t="n">
        <v>-20.0048987971015</v>
      </c>
      <c r="M554" s="105" t="n">
        <v>-44.022603130434803</v>
      </c>
      <c r="N554" s="105" t="n">
        <v>602241.48278353398</v>
      </c>
      <c r="O554" s="105" t="n">
        <v>7787678.2395276204</v>
      </c>
    </row>
    <row r="555">
      <c r="A555" s="105" t="s">
        <v>9972</v>
      </c>
      <c r="B555" s="105" t="s">
        <v>8681</v>
      </c>
      <c r="C555" s="30" t="s">
        <v>8680</v>
      </c>
      <c r="D555" s="30" t="s">
        <v>9973</v>
      </c>
      <c r="E555" s="104" t="s">
        <v>8682</v>
      </c>
      <c r="F555" s="104" t="s">
        <v>7031</v>
      </c>
      <c r="G555" s="104" t="s">
        <v>6983</v>
      </c>
      <c r="H555" s="116" t="s">
        <v>7032</v>
      </c>
      <c r="I555" s="104" t="s">
        <v>8680</v>
      </c>
      <c r="J555" s="104"/>
      <c r="K555" s="117"/>
      <c r="L555" s="105" t="n">
        <v>-19.977323915887901</v>
      </c>
      <c r="M555" s="105" t="n">
        <v>-43.969446514018699</v>
      </c>
      <c r="N555" s="105" t="n">
        <v>607821.19729845703</v>
      </c>
      <c r="O555" s="105" t="n">
        <v>7790696.7151913997</v>
      </c>
    </row>
    <row r="556" ht="30" customHeight="1">
      <c r="A556" s="105" t="s">
        <v>9974</v>
      </c>
      <c r="B556" s="105" t="s">
        <v>8684</v>
      </c>
      <c r="C556" s="30" t="s">
        <v>8683</v>
      </c>
      <c r="D556" s="30" t="s">
        <v>9975</v>
      </c>
      <c r="E556" s="104" t="s">
        <v>8685</v>
      </c>
      <c r="F556" s="104" t="s">
        <v>7031</v>
      </c>
      <c r="G556" s="104" t="s">
        <v>6983</v>
      </c>
      <c r="H556" s="116" t="s">
        <v>7032</v>
      </c>
      <c r="I556" s="104" t="s">
        <v>8683</v>
      </c>
      <c r="J556" s="104"/>
      <c r="K556" s="117"/>
      <c r="L556" s="105" t="n">
        <v>-19.976581975947902</v>
      </c>
      <c r="M556" s="105" t="n">
        <v>-43.968159185197301</v>
      </c>
      <c r="N556" s="105" t="n">
        <v>607956.4</v>
      </c>
      <c r="O556" s="105" t="n">
        <v>7790778</v>
      </c>
    </row>
    <row r="557">
      <c r="A557" s="105" t="s">
        <v>9976</v>
      </c>
      <c r="B557" s="105" t="s">
        <v>8687</v>
      </c>
      <c r="C557" s="30" t="s">
        <v>8686</v>
      </c>
      <c r="D557" s="30" t="s">
        <v>9977</v>
      </c>
      <c r="E557" s="104" t="s">
        <v>8688</v>
      </c>
      <c r="F557" s="104" t="s">
        <v>7031</v>
      </c>
      <c r="G557" s="104" t="s">
        <v>6983</v>
      </c>
      <c r="H557" s="116" t="s">
        <v>7032</v>
      </c>
      <c r="I557" s="104" t="s">
        <v>8686</v>
      </c>
      <c r="J557" s="104"/>
      <c r="K557" s="117"/>
      <c r="L557" s="105" t="n">
        <v>-19.969488772277199</v>
      </c>
      <c r="M557" s="105" t="n">
        <v>-43.9636192772277</v>
      </c>
      <c r="N557" s="105" t="n">
        <v>608436.278896695</v>
      </c>
      <c r="O557" s="105" t="n">
        <v>7791560.1013289802</v>
      </c>
    </row>
    <row r="558" ht="30" customHeight="1">
      <c r="A558" s="105" t="s">
        <v>9978</v>
      </c>
      <c r="B558" s="105" t="s">
        <v>8690</v>
      </c>
      <c r="C558" s="30" t="s">
        <v>8689</v>
      </c>
      <c r="D558" s="30" t="s">
        <v>9979</v>
      </c>
      <c r="E558" s="104" t="s">
        <v>8689</v>
      </c>
      <c r="F558" s="104" t="s">
        <v>7119</v>
      </c>
      <c r="G558" s="104" t="s">
        <v>7077</v>
      </c>
      <c r="H558" s="116" t="s">
        <v>7105</v>
      </c>
      <c r="I558" s="104" t="s">
        <v>8691</v>
      </c>
      <c r="J558" s="104"/>
      <c r="K558" s="117" t="s">
        <v>8692</v>
      </c>
      <c r="L558" s="105" t="n">
        <v>-19.9955569886936</v>
      </c>
      <c r="M558" s="105" t="n">
        <v>-44.0323291095889</v>
      </c>
      <c r="N558" s="105" t="n">
        <v>601229.98569671297</v>
      </c>
      <c r="O558" s="105" t="n">
        <v>7788718.0266613299</v>
      </c>
    </row>
    <row r="559">
      <c r="A559" s="105" t="s">
        <v>9980</v>
      </c>
      <c r="B559" s="105" t="s">
        <v>8694</v>
      </c>
      <c r="C559" s="30" t="s">
        <v>8693</v>
      </c>
      <c r="D559" s="30" t="s">
        <v>9981</v>
      </c>
      <c r="E559" s="104" t="s">
        <v>8695</v>
      </c>
      <c r="F559" s="104" t="s">
        <v>7031</v>
      </c>
      <c r="G559" s="104" t="s">
        <v>6983</v>
      </c>
      <c r="H559" s="116" t="s">
        <v>7032</v>
      </c>
      <c r="I559" s="104" t="s">
        <v>8696</v>
      </c>
      <c r="J559" s="104"/>
      <c r="K559" s="117"/>
      <c r="L559" s="105" t="n">
        <v>-19.969163960187402</v>
      </c>
      <c r="M559" s="105" t="n">
        <v>-43.970139559719001</v>
      </c>
      <c r="N559" s="105" t="n">
        <v>607754.22701917705</v>
      </c>
      <c r="O559" s="105" t="n">
        <v>7791600.2513355603</v>
      </c>
    </row>
    <row r="560" ht="30" customHeight="1">
      <c r="A560" s="105" t="s">
        <v>9982</v>
      </c>
      <c r="B560" s="105" t="s">
        <v>8698</v>
      </c>
      <c r="C560" s="30" t="s">
        <v>8697</v>
      </c>
      <c r="D560" s="30" t="s">
        <v>9983</v>
      </c>
      <c r="E560" s="104" t="s">
        <v>8699</v>
      </c>
      <c r="F560" s="104" t="s">
        <v>8700</v>
      </c>
      <c r="G560" s="104" t="s">
        <v>6997</v>
      </c>
      <c r="H560" s="116" t="s">
        <v>7152</v>
      </c>
      <c r="I560" s="104" t="s">
        <v>8701</v>
      </c>
      <c r="J560" s="104"/>
      <c r="K560" s="117" t="s">
        <v>8702</v>
      </c>
      <c r="L560" s="105" t="n">
        <v>-19.8843483913043</v>
      </c>
      <c r="M560" s="105" t="n">
        <v>-43.984631478260901</v>
      </c>
      <c r="N560" s="105" t="n">
        <v>606294.51553265599</v>
      </c>
      <c r="O560" s="105" t="n">
        <v>7800996.2486529704</v>
      </c>
    </row>
    <row r="561" ht="45" customHeight="1">
      <c r="A561" s="105" t="s">
        <v>9984</v>
      </c>
      <c r="B561" s="105" t="s">
        <v>8704</v>
      </c>
      <c r="C561" s="30" t="s">
        <v>8703</v>
      </c>
      <c r="D561" s="30" t="s">
        <v>9985</v>
      </c>
      <c r="E561" s="104" t="s">
        <v>8703</v>
      </c>
      <c r="F561" s="104" t="s">
        <v>7031</v>
      </c>
      <c r="G561" s="104" t="s">
        <v>6983</v>
      </c>
      <c r="H561" s="116" t="s">
        <v>7032</v>
      </c>
      <c r="I561" s="104" t="s">
        <v>8705</v>
      </c>
      <c r="J561" s="104"/>
      <c r="K561" s="117"/>
      <c r="L561" s="105" t="n">
        <v>-19.9770103470678</v>
      </c>
      <c r="M561" s="105" t="n">
        <v>-43.965691604129297</v>
      </c>
      <c r="N561" s="105" t="n">
        <v>608214.30000000005</v>
      </c>
      <c r="O561" s="105" t="n">
        <v>7790729</v>
      </c>
    </row>
    <row r="562" ht="45" customHeight="1">
      <c r="A562" s="105" t="s">
        <v>9986</v>
      </c>
      <c r="B562" s="105" t="s">
        <v>8707</v>
      </c>
      <c r="C562" s="30" t="s">
        <v>8706</v>
      </c>
      <c r="D562" s="30" t="s">
        <v>9987</v>
      </c>
      <c r="E562" s="104" t="s">
        <v>8708</v>
      </c>
      <c r="F562" s="104" t="s">
        <v>7031</v>
      </c>
      <c r="G562" s="104" t="s">
        <v>6983</v>
      </c>
      <c r="H562" s="116" t="s">
        <v>7032</v>
      </c>
      <c r="I562" s="104" t="s">
        <v>8706</v>
      </c>
      <c r="J562" s="104"/>
      <c r="K562" s="117"/>
      <c r="L562" s="105" t="n">
        <v>-19.9714851261656</v>
      </c>
      <c r="M562" s="105" t="n">
        <v>-43.974257124555898</v>
      </c>
      <c r="N562" s="105" t="n">
        <v>607321.80000000005</v>
      </c>
      <c r="O562" s="105" t="n">
        <v>7791346</v>
      </c>
    </row>
    <row r="563" ht="30" customHeight="1">
      <c r="A563" s="105" t="s">
        <v>9988</v>
      </c>
      <c r="B563" s="105" t="s">
        <v>8710</v>
      </c>
      <c r="C563" s="30" t="s">
        <v>8709</v>
      </c>
      <c r="D563" s="30" t="s">
        <v>9989</v>
      </c>
      <c r="E563" s="104" t="s">
        <v>8711</v>
      </c>
      <c r="F563" s="104" t="s">
        <v>7031</v>
      </c>
      <c r="G563" s="104" t="s">
        <v>6983</v>
      </c>
      <c r="H563" s="116" t="s">
        <v>7032</v>
      </c>
      <c r="I563" s="104" t="s">
        <v>8709</v>
      </c>
      <c r="J563" s="104"/>
      <c r="K563" s="117"/>
      <c r="L563" s="105" t="n">
        <v>-19.975947946645402</v>
      </c>
      <c r="M563" s="105" t="n">
        <v>-43.969448742378297</v>
      </c>
      <c r="N563" s="105" t="n">
        <v>607821.9</v>
      </c>
      <c r="O563" s="105" t="n">
        <v>7790849</v>
      </c>
    </row>
    <row r="564">
      <c r="A564" s="105" t="s">
        <v>9990</v>
      </c>
      <c r="B564" s="105" t="s">
        <v>8713</v>
      </c>
      <c r="C564" s="30" t="s">
        <v>8712</v>
      </c>
      <c r="D564" s="30" t="s">
        <v>9991</v>
      </c>
      <c r="E564" s="104" t="s">
        <v>8714</v>
      </c>
      <c r="F564" s="104" t="s">
        <v>7213</v>
      </c>
      <c r="G564" s="104" t="s">
        <v>7015</v>
      </c>
      <c r="H564" s="116" t="s">
        <v>7016</v>
      </c>
      <c r="I564" s="104" t="s">
        <v>8330</v>
      </c>
      <c r="J564" s="104"/>
      <c r="K564" s="117" t="s">
        <v>8332</v>
      </c>
      <c r="L564" s="105" t="n">
        <v>-19.892002913043498</v>
      </c>
      <c r="M564" s="105" t="n">
        <v>-43.890411173913002</v>
      </c>
      <c r="N564" s="105" t="n">
        <v>616153.36148987396</v>
      </c>
      <c r="O564" s="105" t="n">
        <v>7800086.8632618496</v>
      </c>
    </row>
    <row r="565" ht="30" customHeight="1">
      <c r="A565" s="105" t="s">
        <v>9992</v>
      </c>
      <c r="B565" s="105" t="s">
        <v>8716</v>
      </c>
      <c r="C565" s="30" t="s">
        <v>8715</v>
      </c>
      <c r="D565" s="30" t="s">
        <v>9993</v>
      </c>
      <c r="E565" s="104" t="s">
        <v>8715</v>
      </c>
      <c r="F565" s="104" t="s">
        <v>7031</v>
      </c>
      <c r="G565" s="104" t="s">
        <v>6983</v>
      </c>
      <c r="H565" s="116" t="s">
        <v>7032</v>
      </c>
      <c r="I565" s="104" t="s">
        <v>8715</v>
      </c>
      <c r="J565" s="104"/>
      <c r="K565" s="117"/>
      <c r="L565" s="105" t="n">
        <v>-19.970482123652399</v>
      </c>
      <c r="M565" s="105" t="n">
        <v>-43.974248321037898</v>
      </c>
      <c r="N565" s="105" t="n">
        <v>607323.4</v>
      </c>
      <c r="O565" s="105" t="n">
        <v>7791457</v>
      </c>
    </row>
    <row r="566" ht="30" customHeight="1">
      <c r="A566" s="105" t="s">
        <v>9994</v>
      </c>
      <c r="B566" s="105" t="s">
        <v>8718</v>
      </c>
      <c r="C566" s="30" t="s">
        <v>8717</v>
      </c>
      <c r="D566" s="30" t="s">
        <v>9995</v>
      </c>
      <c r="E566" s="104" t="s">
        <v>8717</v>
      </c>
      <c r="F566" s="104" t="s">
        <v>7104</v>
      </c>
      <c r="G566" s="104" t="s">
        <v>7077</v>
      </c>
      <c r="H566" s="116" t="s">
        <v>7105</v>
      </c>
      <c r="I566" s="104" t="s">
        <v>8719</v>
      </c>
      <c r="J566" s="104"/>
      <c r="K566" s="117" t="s">
        <v>8720</v>
      </c>
      <c r="L566" s="105" t="n">
        <v>-19.9962973065693</v>
      </c>
      <c r="M566" s="105" t="n">
        <v>-44.033160686131403</v>
      </c>
      <c r="N566" s="105" t="n">
        <v>601142.51361915795</v>
      </c>
      <c r="O566" s="105" t="n">
        <v>7788636.5963875204</v>
      </c>
    </row>
    <row r="567" ht="30" customHeight="1">
      <c r="A567" s="105" t="s">
        <v>9996</v>
      </c>
      <c r="B567" s="105" t="s">
        <v>8722</v>
      </c>
      <c r="C567" s="30" t="s">
        <v>8721</v>
      </c>
      <c r="D567" s="30" t="s">
        <v>9997</v>
      </c>
      <c r="E567" s="104" t="s">
        <v>8721</v>
      </c>
      <c r="F567" s="104" t="s">
        <v>7066</v>
      </c>
      <c r="G567" s="104" t="s">
        <v>6997</v>
      </c>
      <c r="H567" s="116" t="s">
        <v>7061</v>
      </c>
      <c r="I567" s="104" t="s">
        <v>8723</v>
      </c>
      <c r="J567" s="104"/>
      <c r="K567" s="117"/>
      <c r="L567" s="105" t="n">
        <v>-19.86029216</v>
      </c>
      <c r="M567" s="105" t="n">
        <v>-43.934784839999999</v>
      </c>
      <c r="N567" s="105" t="n">
        <v>611530.025251435</v>
      </c>
      <c r="O567" s="105" t="n">
        <v>7803626.3980584498</v>
      </c>
    </row>
    <row r="568" ht="30" customHeight="1">
      <c r="A568" s="105" t="s">
        <v>9998</v>
      </c>
      <c r="B568" s="105" t="s">
        <v>8725</v>
      </c>
      <c r="C568" s="30" t="s">
        <v>8724</v>
      </c>
      <c r="D568" s="30" t="s">
        <v>9999</v>
      </c>
      <c r="E568" s="104" t="s">
        <v>8724</v>
      </c>
      <c r="F568" s="104" t="s">
        <v>8524</v>
      </c>
      <c r="G568" s="104" t="s">
        <v>7006</v>
      </c>
      <c r="H568" s="116" t="s">
        <v>7348</v>
      </c>
      <c r="I568" s="104" t="s">
        <v>8726</v>
      </c>
      <c r="J568" s="104"/>
      <c r="K568" s="117"/>
      <c r="L568" s="105" t="n">
        <v>-19.8478326550966</v>
      </c>
      <c r="M568" s="105" t="n">
        <v>-43.911360129281199</v>
      </c>
      <c r="N568" s="105" t="n">
        <v>613991.76191200304</v>
      </c>
      <c r="O568" s="105" t="n">
        <v>7804989.6726549501</v>
      </c>
    </row>
    <row r="569" ht="45" customHeight="1">
      <c r="A569" s="105" t="s">
        <v>10000</v>
      </c>
      <c r="B569" s="105" t="s">
        <v>8728</v>
      </c>
      <c r="C569" s="30" t="s">
        <v>8727</v>
      </c>
      <c r="D569" s="30" t="s">
        <v>10001</v>
      </c>
      <c r="E569" s="104" t="s">
        <v>8727</v>
      </c>
      <c r="F569" s="104" t="s">
        <v>7862</v>
      </c>
      <c r="G569" s="104" t="s">
        <v>7077</v>
      </c>
      <c r="H569" s="116" t="s">
        <v>7105</v>
      </c>
      <c r="I569" s="104" t="s">
        <v>8729</v>
      </c>
      <c r="J569" s="104"/>
      <c r="K569" s="117" t="s">
        <v>8730</v>
      </c>
      <c r="L569" s="105" t="n">
        <v>-20.007011408759102</v>
      </c>
      <c r="M569" s="105" t="n">
        <v>-44.039552788321203</v>
      </c>
      <c r="N569" s="105" t="n">
        <v>600466.97830485401</v>
      </c>
      <c r="O569" s="105" t="n">
        <v>7787454.6915546497</v>
      </c>
    </row>
    <row r="570" ht="45" customHeight="1">
      <c r="A570" s="105" t="s">
        <v>10002</v>
      </c>
      <c r="B570" s="105" t="s">
        <v>8732</v>
      </c>
      <c r="C570" s="30" t="s">
        <v>8731</v>
      </c>
      <c r="D570" s="30" t="s">
        <v>10003</v>
      </c>
      <c r="E570" s="104" t="s">
        <v>8733</v>
      </c>
      <c r="F570" s="104" t="s">
        <v>7031</v>
      </c>
      <c r="G570" s="104" t="s">
        <v>6983</v>
      </c>
      <c r="H570" s="116" t="s">
        <v>7032</v>
      </c>
      <c r="I570" s="104" t="s">
        <v>8731</v>
      </c>
      <c r="J570" s="104"/>
      <c r="K570" s="117"/>
      <c r="L570" s="105"/>
      <c r="M570" s="105"/>
      <c r="N570" s="105"/>
      <c r="O570" s="105"/>
    </row>
    <row r="571" ht="30" customHeight="1">
      <c r="A571" s="105" t="s">
        <v>10004</v>
      </c>
      <c r="B571" s="105" t="s">
        <v>8735</v>
      </c>
      <c r="C571" s="30" t="s">
        <v>8734</v>
      </c>
      <c r="D571" s="30" t="s">
        <v>10005</v>
      </c>
      <c r="E571" s="104" t="s">
        <v>8734</v>
      </c>
      <c r="F571" s="104" t="s">
        <v>7696</v>
      </c>
      <c r="G571" s="104" t="s">
        <v>7077</v>
      </c>
      <c r="H571" s="116" t="s">
        <v>7221</v>
      </c>
      <c r="I571" s="104" t="s">
        <v>8736</v>
      </c>
      <c r="J571" s="104"/>
      <c r="K571" s="117" t="s">
        <v>8737</v>
      </c>
      <c r="L571" s="105" t="n">
        <v>-19.999633551724099</v>
      </c>
      <c r="M571" s="105" t="n">
        <v>-43.973704931034497</v>
      </c>
      <c r="N571" s="105" t="n">
        <v>607360.50571162195</v>
      </c>
      <c r="O571" s="105" t="n">
        <v>7788230.3610661104</v>
      </c>
    </row>
    <row r="572" ht="30" customHeight="1">
      <c r="A572" s="105" t="s">
        <v>10006</v>
      </c>
      <c r="B572" s="105" t="s">
        <v>8739</v>
      </c>
      <c r="C572" s="30" t="s">
        <v>8738</v>
      </c>
      <c r="D572" s="30" t="s">
        <v>10007</v>
      </c>
      <c r="E572" s="104" t="s">
        <v>8738</v>
      </c>
      <c r="F572" s="104" t="s">
        <v>7399</v>
      </c>
      <c r="G572" s="104" t="s">
        <v>7077</v>
      </c>
      <c r="H572" s="116" t="s">
        <v>7105</v>
      </c>
      <c r="I572" s="104" t="s">
        <v>8740</v>
      </c>
      <c r="J572" s="104"/>
      <c r="K572" s="117" t="s">
        <v>8741</v>
      </c>
      <c r="L572" s="105" t="n">
        <v>-19.9925597391304</v>
      </c>
      <c r="M572" s="105" t="n">
        <v>-44.027480144927502</v>
      </c>
      <c r="N572" s="105" t="n">
        <v>601739.20840805396</v>
      </c>
      <c r="O572" s="105" t="n">
        <v>7789046.8016053904</v>
      </c>
    </row>
    <row r="573" ht="30" customHeight="1">
      <c r="A573" s="105" t="s">
        <v>10008</v>
      </c>
      <c r="B573" s="105" t="s">
        <v>8743</v>
      </c>
      <c r="C573" s="30" t="s">
        <v>8742</v>
      </c>
      <c r="D573" s="30" t="s">
        <v>10009</v>
      </c>
      <c r="E573" s="104" t="s">
        <v>8742</v>
      </c>
      <c r="F573" s="104" t="s">
        <v>8744</v>
      </c>
      <c r="G573" s="104" t="s">
        <v>7077</v>
      </c>
      <c r="H573" s="116" t="s">
        <v>7105</v>
      </c>
      <c r="I573" s="104" t="s">
        <v>8745</v>
      </c>
      <c r="J573" s="104"/>
      <c r="K573" s="117" t="s">
        <v>8746</v>
      </c>
      <c r="L573" s="105" t="n">
        <v>-20.0006059305943</v>
      </c>
      <c r="M573" s="105" t="n">
        <v>-44.0412518634704</v>
      </c>
      <c r="N573" s="105" t="n">
        <v>600293.293103448</v>
      </c>
      <c r="O573" s="105" t="n">
        <v>7788164.6172413798</v>
      </c>
    </row>
    <row r="574">
      <c r="A574" s="105" t="s">
        <v>10010</v>
      </c>
      <c r="B574" s="105" t="s">
        <v>8748</v>
      </c>
      <c r="C574" s="30" t="s">
        <v>8747</v>
      </c>
      <c r="D574" s="30" t="s">
        <v>10011</v>
      </c>
      <c r="E574" s="95" t="s">
        <v>8749</v>
      </c>
      <c r="F574" s="104" t="s">
        <v>7031</v>
      </c>
      <c r="G574" s="104" t="s">
        <v>6983</v>
      </c>
      <c r="H574" s="116" t="s">
        <v>7032</v>
      </c>
      <c r="I574" s="104" t="s">
        <v>8747</v>
      </c>
      <c r="J574" s="104"/>
      <c r="K574" s="104"/>
      <c r="L574" s="105" t="n">
        <v>-19.979029424379199</v>
      </c>
      <c r="M574" s="105" t="n">
        <v>-43.9767007020316</v>
      </c>
      <c r="N574" s="105" t="n">
        <v>607061.01670075196</v>
      </c>
      <c r="O574" s="105" t="n">
        <v>7790512.6092182202</v>
      </c>
    </row>
    <row r="575">
      <c r="A575" s="105" t="s">
        <v>10012</v>
      </c>
      <c r="B575" s="105" t="s">
        <v>8751</v>
      </c>
      <c r="C575" s="30" t="s">
        <v>8750</v>
      </c>
      <c r="D575" s="30" t="s">
        <v>10013</v>
      </c>
      <c r="E575" s="95" t="s">
        <v>8750</v>
      </c>
      <c r="F575" s="104" t="s">
        <v>7284</v>
      </c>
      <c r="G575" s="104" t="s">
        <v>7006</v>
      </c>
      <c r="H575" s="116" t="s">
        <v>7007</v>
      </c>
      <c r="I575" s="104" t="s">
        <v>8752</v>
      </c>
      <c r="J575" s="104"/>
      <c r="K575" s="117"/>
      <c r="L575" s="105" t="n">
        <v>-19.898468937499999</v>
      </c>
      <c r="M575" s="105" t="n">
        <v>-43.935826650000003</v>
      </c>
      <c r="N575" s="105" t="n">
        <v>611394.248196778</v>
      </c>
      <c r="O575" s="105" t="n">
        <v>7799401.9376282403</v>
      </c>
    </row>
    <row r="576">
      <c r="A576" s="105" t="s">
        <v>10014</v>
      </c>
      <c r="B576" s="105" t="s">
        <v>8754</v>
      </c>
      <c r="C576" s="30" t="s">
        <v>8753</v>
      </c>
      <c r="D576" s="105" t="s">
        <v>10015</v>
      </c>
      <c r="E576" s="95" t="s">
        <v>8755</v>
      </c>
      <c r="F576" s="104" t="s">
        <v>7284</v>
      </c>
      <c r="G576" s="104" t="s">
        <v>7006</v>
      </c>
      <c r="H576" s="116" t="s">
        <v>7007</v>
      </c>
      <c r="I576" s="104" t="s">
        <v>8756</v>
      </c>
      <c r="J576" s="104"/>
      <c r="K576" s="117"/>
      <c r="L576" s="105" t="n">
        <v>-19.900253561810899</v>
      </c>
      <c r="M576" s="105" t="n">
        <v>-43.938418365118501</v>
      </c>
      <c r="N576" s="105" t="n">
        <v>611121.68601364503</v>
      </c>
      <c r="O576" s="105" t="n">
        <v>7799206.1403448898</v>
      </c>
    </row>
    <row r="577" ht="30" customHeight="1">
      <c r="A577" s="105" t="s">
        <v>10016</v>
      </c>
      <c r="B577" s="105" t="s">
        <v>8758</v>
      </c>
      <c r="C577" s="30" t="s">
        <v>8757</v>
      </c>
      <c r="D577" s="105" t="s">
        <v>10017</v>
      </c>
      <c r="E577" s="95" t="s">
        <v>8757</v>
      </c>
      <c r="F577" s="104" t="s">
        <v>7433</v>
      </c>
      <c r="G577" s="104" t="s">
        <v>7006</v>
      </c>
      <c r="H577" s="116" t="s">
        <v>7434</v>
      </c>
      <c r="I577" s="104" t="s">
        <v>8759</v>
      </c>
      <c r="J577" s="104" t="s">
        <v>8760</v>
      </c>
      <c r="K577" s="117" t="s">
        <v>8761</v>
      </c>
      <c r="L577" s="105" t="n">
        <v>-19.867806488809499</v>
      </c>
      <c r="M577" s="105" t="n">
        <v>-43.898830863902099</v>
      </c>
      <c r="N577" s="105" t="n">
        <v>615289.39544159395</v>
      </c>
      <c r="O577" s="105" t="n">
        <v>7802770.5732472902</v>
      </c>
    </row>
    <row r="578" ht="45" customHeight="1">
      <c r="A578" s="105" t="s">
        <v>10018</v>
      </c>
      <c r="B578" s="105" t="s">
        <v>8763</v>
      </c>
      <c r="C578" s="30" t="s">
        <v>8762</v>
      </c>
      <c r="D578" s="105" t="s">
        <v>10019</v>
      </c>
      <c r="E578" s="95" t="s">
        <v>8764</v>
      </c>
      <c r="F578" s="104" t="s">
        <v>7938</v>
      </c>
      <c r="G578" s="104" t="s">
        <v>6974</v>
      </c>
      <c r="H578" s="116" t="s">
        <v>7264</v>
      </c>
      <c r="I578" s="104" t="s">
        <v>8765</v>
      </c>
      <c r="J578" s="104"/>
      <c r="K578" s="117" t="s">
        <v>8766</v>
      </c>
      <c r="L578" s="105" t="n">
        <v>-19.913884835437202</v>
      </c>
      <c r="M578" s="105" t="n">
        <v>-43.956071286200299</v>
      </c>
      <c r="N578" s="105" t="n">
        <v>609264.33629886096</v>
      </c>
      <c r="O578" s="105" t="n">
        <v>7797709.0847039996</v>
      </c>
    </row>
    <row r="579">
      <c r="A579" s="105" t="s">
        <v>10020</v>
      </c>
      <c r="B579" s="105" t="s">
        <v>8768</v>
      </c>
      <c r="C579" s="30" t="s">
        <v>8767</v>
      </c>
      <c r="D579" s="105" t="s">
        <v>10021</v>
      </c>
      <c r="E579" s="95" t="s">
        <v>8767</v>
      </c>
      <c r="F579" s="104" t="s">
        <v>8667</v>
      </c>
      <c r="G579" s="104" t="s">
        <v>7006</v>
      </c>
      <c r="H579" s="116" t="s">
        <v>7007</v>
      </c>
      <c r="I579" s="104" t="s">
        <v>8769</v>
      </c>
      <c r="J579" s="104"/>
      <c r="K579" s="117"/>
      <c r="L579" s="105" t="n">
        <v>-19.910218630379699</v>
      </c>
      <c r="M579" s="105" t="n">
        <v>-43.936433443037998</v>
      </c>
      <c r="N579" s="105" t="n">
        <v>611322.50643249101</v>
      </c>
      <c r="O579" s="105" t="n">
        <v>7798101.9587511998</v>
      </c>
    </row>
    <row r="580" ht="30" customHeight="1">
      <c r="A580" s="105" t="s">
        <v>10022</v>
      </c>
      <c r="B580" s="105" t="s">
        <v>8771</v>
      </c>
      <c r="C580" s="30" t="s">
        <v>8770</v>
      </c>
      <c r="D580" s="105" t="s">
        <v>10023</v>
      </c>
      <c r="E580" s="95" t="s">
        <v>8770</v>
      </c>
      <c r="F580" s="104" t="s">
        <v>7277</v>
      </c>
      <c r="G580" s="104" t="s">
        <v>7086</v>
      </c>
      <c r="H580" s="116" t="s">
        <v>7087</v>
      </c>
      <c r="I580" s="104" t="s">
        <v>8772</v>
      </c>
      <c r="J580" s="104"/>
      <c r="K580" s="117"/>
      <c r="L580" s="105" t="n">
        <v>-19.8174651529412</v>
      </c>
      <c r="M580" s="105" t="n">
        <v>-43.975546847058801</v>
      </c>
      <c r="N580" s="105" t="n">
        <v>607290.57161092095</v>
      </c>
      <c r="O580" s="105" t="n">
        <v>7808392.5816941597</v>
      </c>
    </row>
    <row r="581" ht="30" customHeight="1">
      <c r="A581" s="105" t="s">
        <v>10024</v>
      </c>
      <c r="B581" s="105" t="s">
        <v>8774</v>
      </c>
      <c r="C581" s="30" t="s">
        <v>8773</v>
      </c>
      <c r="D581" s="105" t="s">
        <v>10025</v>
      </c>
      <c r="E581" s="95" t="s">
        <v>8773</v>
      </c>
      <c r="F581" s="104" t="s">
        <v>8099</v>
      </c>
      <c r="G581" s="104" t="s">
        <v>7126</v>
      </c>
      <c r="H581" s="116" t="s">
        <v>7449</v>
      </c>
      <c r="I581" s="104" t="s">
        <v>8775</v>
      </c>
      <c r="J581" s="104" t="s">
        <v>8776</v>
      </c>
      <c r="K581" s="117"/>
      <c r="L581" s="105" t="n">
        <v>-19.830245052745799</v>
      </c>
      <c r="M581" s="105" t="n">
        <v>-43.946626819763203</v>
      </c>
      <c r="N581" s="105" t="n">
        <v>610310.796110139</v>
      </c>
      <c r="O581" s="105" t="n">
        <v>7806959.5779109104</v>
      </c>
    </row>
    <row r="582" ht="60" customHeight="1">
      <c r="A582" s="105" t="s">
        <v>10026</v>
      </c>
      <c r="B582" s="105" t="s">
        <v>8778</v>
      </c>
      <c r="C582" s="30" t="s">
        <v>8777</v>
      </c>
      <c r="D582" s="105" t="s">
        <v>10027</v>
      </c>
      <c r="E582" s="95" t="s">
        <v>8777</v>
      </c>
      <c r="F582" s="104" t="s">
        <v>7737</v>
      </c>
      <c r="G582" s="104" t="s">
        <v>6997</v>
      </c>
      <c r="H582" s="116" t="s">
        <v>7038</v>
      </c>
      <c r="I582" s="104" t="s">
        <v>8779</v>
      </c>
      <c r="J582" s="104"/>
      <c r="K582" s="117"/>
      <c r="L582" s="105" t="n">
        <v>-19.8266987191057</v>
      </c>
      <c r="M582" s="105" t="n">
        <v>-43.968084578590599</v>
      </c>
      <c r="N582" s="105" t="n">
        <v>608065.9</v>
      </c>
      <c r="O582" s="105" t="n">
        <v>7807366</v>
      </c>
    </row>
    <row r="583" ht="30" customHeight="1">
      <c r="A583" s="105" t="s">
        <v>10028</v>
      </c>
      <c r="B583" s="105" t="s">
        <v>8781</v>
      </c>
      <c r="C583" s="30" t="s">
        <v>8780</v>
      </c>
      <c r="D583" s="105" t="s">
        <v>10029</v>
      </c>
      <c r="E583" s="95" t="s">
        <v>8782</v>
      </c>
      <c r="F583" s="104" t="s">
        <v>7085</v>
      </c>
      <c r="G583" s="104" t="s">
        <v>7086</v>
      </c>
      <c r="H583" s="116" t="s">
        <v>7087</v>
      </c>
      <c r="I583" s="104" t="s">
        <v>7194</v>
      </c>
      <c r="J583" s="104" t="s">
        <v>7195</v>
      </c>
      <c r="K583" s="117" t="s">
        <v>7196</v>
      </c>
      <c r="L583" s="105" t="n">
        <v>-19.815273815406599</v>
      </c>
      <c r="M583" s="105" t="n">
        <v>-43.959760520077403</v>
      </c>
      <c r="N583" s="105" t="n">
        <v>608945.5</v>
      </c>
      <c r="O583" s="105" t="n">
        <v>7808625</v>
      </c>
    </row>
    <row r="584" ht="30" customHeight="1">
      <c r="A584" s="105" t="s">
        <v>10030</v>
      </c>
      <c r="B584" s="105" t="s">
        <v>8836</v>
      </c>
      <c r="C584" s="30" t="s">
        <v>8835</v>
      </c>
      <c r="D584" s="30" t="s">
        <v>10031</v>
      </c>
      <c r="E584" s="104" t="s">
        <v>8837</v>
      </c>
      <c r="F584" s="104" t="s">
        <v>8469</v>
      </c>
      <c r="G584" s="104" t="s">
        <v>7077</v>
      </c>
      <c r="H584" s="116" t="s">
        <v>7092</v>
      </c>
      <c r="I584" s="104" t="s">
        <v>8838</v>
      </c>
      <c r="J584" s="104" t="s">
        <v>7850</v>
      </c>
      <c r="K584" s="117" t="s">
        <v>7851</v>
      </c>
      <c r="L584" s="105" t="n">
        <v>-19.991925999999999</v>
      </c>
      <c r="M584" s="105" t="n">
        <v>-44.015740000000001</v>
      </c>
      <c r="N584" s="105" t="n">
        <v>602967.89675314701</v>
      </c>
      <c r="O584" s="105" t="n">
        <v>7789109.7673556795</v>
      </c>
    </row>
    <row r="585" ht="30" customHeight="1">
      <c r="A585" s="105" t="s">
        <v>10032</v>
      </c>
      <c r="B585" s="105" t="s">
        <v>8784</v>
      </c>
      <c r="C585" s="30" t="s">
        <v>8783</v>
      </c>
      <c r="D585" s="105" t="s">
        <v>10033</v>
      </c>
      <c r="E585" s="104" t="s">
        <v>8785</v>
      </c>
      <c r="F585" s="104" t="s">
        <v>8469</v>
      </c>
      <c r="G585" s="104" t="s">
        <v>7077</v>
      </c>
      <c r="H585" s="116" t="s">
        <v>7092</v>
      </c>
      <c r="I585" s="104" t="s">
        <v>8786</v>
      </c>
      <c r="J585" s="104" t="s">
        <v>8787</v>
      </c>
      <c r="K585" s="117" t="s">
        <v>8788</v>
      </c>
      <c r="L585" s="105" t="n">
        <v>-19.9957323441303</v>
      </c>
      <c r="M585" s="105" t="n">
        <v>-44.0204461891297</v>
      </c>
      <c r="N585" s="105" t="n">
        <v>602473.06115136296</v>
      </c>
      <c r="O585" s="105" t="n">
        <v>7788691.3952426398</v>
      </c>
    </row>
    <row r="586" ht="30" customHeight="1">
      <c r="A586" s="105" t="s">
        <v>10034</v>
      </c>
      <c r="B586" s="105" t="s">
        <v>8784</v>
      </c>
      <c r="C586" s="30" t="s">
        <v>8783</v>
      </c>
      <c r="D586" s="105" t="s">
        <v>10035</v>
      </c>
      <c r="E586" s="104" t="s">
        <v>8785</v>
      </c>
      <c r="F586" s="104" t="s">
        <v>8469</v>
      </c>
      <c r="G586" s="104" t="s">
        <v>7077</v>
      </c>
      <c r="H586" s="116" t="s">
        <v>7092</v>
      </c>
      <c r="I586" s="104" t="s">
        <v>8786</v>
      </c>
      <c r="J586" s="104" t="s">
        <v>8787</v>
      </c>
      <c r="K586" s="117" t="s">
        <v>8788</v>
      </c>
      <c r="L586" s="105" t="n">
        <v>-19.9957323441303</v>
      </c>
      <c r="M586" s="105" t="n">
        <v>-44.0204461891297</v>
      </c>
      <c r="N586" s="105" t="n">
        <v>602473.06115136296</v>
      </c>
      <c r="O586" s="105" t="n">
        <v>7788691.3952426398</v>
      </c>
    </row>
    <row r="587" ht="30" customHeight="1">
      <c r="A587" s="105" t="s">
        <v>10036</v>
      </c>
      <c r="B587" s="105" t="s">
        <v>8784</v>
      </c>
      <c r="C587" s="30" t="s">
        <v>8783</v>
      </c>
      <c r="D587" s="105" t="s">
        <v>10037</v>
      </c>
      <c r="E587" s="104" t="s">
        <v>8785</v>
      </c>
      <c r="F587" s="104" t="s">
        <v>8469</v>
      </c>
      <c r="G587" s="104" t="s">
        <v>7077</v>
      </c>
      <c r="H587" s="116" t="s">
        <v>7092</v>
      </c>
      <c r="I587" s="104" t="s">
        <v>8786</v>
      </c>
      <c r="J587" s="104" t="s">
        <v>8787</v>
      </c>
      <c r="K587" s="117" t="s">
        <v>8788</v>
      </c>
      <c r="L587" s="105" t="n">
        <v>-19.9957323441303</v>
      </c>
      <c r="M587" s="105" t="n">
        <v>-44.0204461891297</v>
      </c>
      <c r="N587" s="105" t="n">
        <v>602473.06115136296</v>
      </c>
      <c r="O587" s="105" t="n">
        <v>7788691.3952426398</v>
      </c>
    </row>
    <row r="588" ht="30" customHeight="1">
      <c r="A588" s="105" t="s">
        <v>10038</v>
      </c>
      <c r="B588" s="105" t="s">
        <v>8784</v>
      </c>
      <c r="C588" s="30" t="s">
        <v>8783</v>
      </c>
      <c r="D588" s="105" t="s">
        <v>10039</v>
      </c>
      <c r="E588" s="104" t="s">
        <v>8785</v>
      </c>
      <c r="F588" s="104" t="s">
        <v>8469</v>
      </c>
      <c r="G588" s="104" t="s">
        <v>7077</v>
      </c>
      <c r="H588" s="116" t="s">
        <v>7092</v>
      </c>
      <c r="I588" s="104" t="s">
        <v>8786</v>
      </c>
      <c r="J588" s="104" t="s">
        <v>8787</v>
      </c>
      <c r="K588" s="117" t="s">
        <v>8788</v>
      </c>
      <c r="L588" s="105" t="n">
        <v>-19.9957323441303</v>
      </c>
      <c r="M588" s="105" t="n">
        <v>-44.0204461891297</v>
      </c>
      <c r="N588" s="105" t="n">
        <v>602473.06115136296</v>
      </c>
      <c r="O588" s="105" t="n">
        <v>7788691.3952426398</v>
      </c>
    </row>
    <row r="589" ht="30" customHeight="1">
      <c r="A589" s="105" t="s">
        <v>10040</v>
      </c>
      <c r="B589" s="105" t="s">
        <v>8784</v>
      </c>
      <c r="C589" s="30" t="s">
        <v>8783</v>
      </c>
      <c r="D589" s="105" t="s">
        <v>10041</v>
      </c>
      <c r="E589" s="104" t="s">
        <v>8785</v>
      </c>
      <c r="F589" s="104" t="s">
        <v>8469</v>
      </c>
      <c r="G589" s="104" t="s">
        <v>7077</v>
      </c>
      <c r="H589" s="116" t="s">
        <v>7092</v>
      </c>
      <c r="I589" s="104" t="s">
        <v>8786</v>
      </c>
      <c r="J589" s="104" t="s">
        <v>8787</v>
      </c>
      <c r="K589" s="117" t="s">
        <v>8788</v>
      </c>
      <c r="L589" s="105" t="n">
        <v>-19.9957323441303</v>
      </c>
      <c r="M589" s="105" t="n">
        <v>-44.0204461891297</v>
      </c>
      <c r="N589" s="105" t="n">
        <v>602473.06115136296</v>
      </c>
      <c r="O589" s="105" t="n">
        <v>7788691.3952426398</v>
      </c>
    </row>
    <row r="590" ht="30" customHeight="1">
      <c r="A590" s="105" t="s">
        <v>10042</v>
      </c>
      <c r="B590" s="105" t="s">
        <v>8784</v>
      </c>
      <c r="C590" s="30" t="s">
        <v>8783</v>
      </c>
      <c r="D590" s="30" t="s">
        <v>10043</v>
      </c>
      <c r="E590" s="104" t="s">
        <v>8785</v>
      </c>
      <c r="F590" s="104" t="s">
        <v>8469</v>
      </c>
      <c r="G590" s="104" t="s">
        <v>7077</v>
      </c>
      <c r="H590" s="116" t="s">
        <v>7092</v>
      </c>
      <c r="I590" s="104" t="s">
        <v>8786</v>
      </c>
      <c r="J590" s="104" t="s">
        <v>8787</v>
      </c>
      <c r="K590" s="117" t="s">
        <v>8788</v>
      </c>
      <c r="L590" s="105" t="n">
        <v>-19.9957323441303</v>
      </c>
      <c r="M590" s="105" t="n">
        <v>-44.0204461891297</v>
      </c>
      <c r="N590" s="105" t="n">
        <v>602473.06115136296</v>
      </c>
      <c r="O590" s="105" t="n">
        <v>7788691.3952426398</v>
      </c>
    </row>
    <row r="591" ht="30" customHeight="1">
      <c r="A591" s="105" t="s">
        <v>10044</v>
      </c>
      <c r="B591" s="105" t="s">
        <v>8784</v>
      </c>
      <c r="C591" s="30" t="s">
        <v>8783</v>
      </c>
      <c r="D591" s="105" t="s">
        <v>10045</v>
      </c>
      <c r="E591" s="104" t="s">
        <v>8785</v>
      </c>
      <c r="F591" s="104" t="s">
        <v>8469</v>
      </c>
      <c r="G591" s="104" t="s">
        <v>7077</v>
      </c>
      <c r="H591" s="116" t="s">
        <v>7092</v>
      </c>
      <c r="I591" s="104" t="s">
        <v>8786</v>
      </c>
      <c r="J591" s="104" t="s">
        <v>8787</v>
      </c>
      <c r="K591" s="117" t="s">
        <v>8788</v>
      </c>
      <c r="L591" s="105" t="n">
        <v>-19.9957323441303</v>
      </c>
      <c r="M591" s="105" t="n">
        <v>-44.0204461891297</v>
      </c>
      <c r="N591" s="105" t="n">
        <v>602473.06115136296</v>
      </c>
      <c r="O591" s="105" t="n">
        <v>7788691.3952426398</v>
      </c>
    </row>
    <row r="592" ht="30" customHeight="1">
      <c r="A592" s="105" t="s">
        <v>10046</v>
      </c>
      <c r="B592" s="105" t="s">
        <v>8784</v>
      </c>
      <c r="C592" s="30" t="s">
        <v>8783</v>
      </c>
      <c r="D592" s="105" t="s">
        <v>10047</v>
      </c>
      <c r="E592" s="104" t="s">
        <v>8785</v>
      </c>
      <c r="F592" s="104" t="s">
        <v>8469</v>
      </c>
      <c r="G592" s="104" t="s">
        <v>7077</v>
      </c>
      <c r="H592" s="116" t="s">
        <v>7092</v>
      </c>
      <c r="I592" s="104" t="s">
        <v>8786</v>
      </c>
      <c r="J592" s="104" t="s">
        <v>8787</v>
      </c>
      <c r="K592" s="117" t="s">
        <v>8788</v>
      </c>
      <c r="L592" s="105" t="n">
        <v>-19.9957323441303</v>
      </c>
      <c r="M592" s="105" t="n">
        <v>-44.0204461891297</v>
      </c>
      <c r="N592" s="105" t="n">
        <v>602473.06115136296</v>
      </c>
      <c r="O592" s="105" t="n">
        <v>7788691.3952426398</v>
      </c>
    </row>
    <row r="593" ht="30" customHeight="1">
      <c r="A593" s="105" t="s">
        <v>10048</v>
      </c>
      <c r="B593" s="105" t="s">
        <v>8784</v>
      </c>
      <c r="C593" s="30" t="s">
        <v>8783</v>
      </c>
      <c r="D593" s="30" t="s">
        <v>10049</v>
      </c>
      <c r="E593" s="104" t="s">
        <v>8785</v>
      </c>
      <c r="F593" s="104" t="s">
        <v>8469</v>
      </c>
      <c r="G593" s="104" t="s">
        <v>7077</v>
      </c>
      <c r="H593" s="116" t="s">
        <v>7092</v>
      </c>
      <c r="I593" s="104" t="s">
        <v>8786</v>
      </c>
      <c r="J593" s="104" t="s">
        <v>8787</v>
      </c>
      <c r="K593" s="117" t="s">
        <v>8788</v>
      </c>
      <c r="L593" s="105" t="n">
        <v>-19.9957323441303</v>
      </c>
      <c r="M593" s="105" t="n">
        <v>-44.0204461891297</v>
      </c>
      <c r="N593" s="105" t="n">
        <v>602473.06115136296</v>
      </c>
      <c r="O593" s="105" t="n">
        <v>7788691.3952426398</v>
      </c>
    </row>
    <row r="594" ht="30" customHeight="1">
      <c r="A594" s="105" t="s">
        <v>10050</v>
      </c>
      <c r="B594" s="105" t="s">
        <v>8790</v>
      </c>
      <c r="C594" s="30" t="s">
        <v>8789</v>
      </c>
      <c r="D594" s="105" t="s">
        <v>10051</v>
      </c>
      <c r="E594" s="104" t="s">
        <v>8791</v>
      </c>
      <c r="F594" s="104" t="s">
        <v>8447</v>
      </c>
      <c r="G594" s="104" t="s">
        <v>7015</v>
      </c>
      <c r="H594" s="116" t="s">
        <v>7683</v>
      </c>
      <c r="I594" s="104" t="s">
        <v>8424</v>
      </c>
      <c r="J594" s="104" t="s">
        <v>8792</v>
      </c>
      <c r="K594" s="117" t="s">
        <v>8426</v>
      </c>
      <c r="L594" s="105" t="n">
        <v>-19.905585535448001</v>
      </c>
      <c r="M594" s="105" t="n">
        <v>-43.896789999196599</v>
      </c>
      <c r="N594" s="105" t="n">
        <v>615475.69999999995</v>
      </c>
      <c r="O594" s="105" t="n">
        <v>7798588</v>
      </c>
    </row>
    <row r="595" ht="30" customHeight="1">
      <c r="A595" s="105" t="s">
        <v>10052</v>
      </c>
      <c r="B595" s="105" t="s">
        <v>8790</v>
      </c>
      <c r="C595" s="30" t="s">
        <v>8789</v>
      </c>
      <c r="D595" s="30" t="s">
        <v>10053</v>
      </c>
      <c r="E595" s="95" t="s">
        <v>8791</v>
      </c>
      <c r="F595" s="104" t="s">
        <v>8447</v>
      </c>
      <c r="G595" s="104" t="s">
        <v>7015</v>
      </c>
      <c r="H595" s="116" t="s">
        <v>7683</v>
      </c>
      <c r="I595" s="104" t="s">
        <v>8424</v>
      </c>
      <c r="J595" s="104" t="s">
        <v>8792</v>
      </c>
      <c r="K595" s="117" t="s">
        <v>8426</v>
      </c>
      <c r="L595" s="105" t="n">
        <v>-19.905585535448001</v>
      </c>
      <c r="M595" s="105" t="n">
        <v>-43.896789999196599</v>
      </c>
      <c r="N595" s="105" t="n">
        <v>615475.69999999995</v>
      </c>
      <c r="O595" s="105" t="n">
        <v>7798588</v>
      </c>
    </row>
    <row r="596" ht="30" customHeight="1">
      <c r="A596" s="105" t="s">
        <v>10054</v>
      </c>
      <c r="B596" s="105" t="s">
        <v>8790</v>
      </c>
      <c r="C596" s="30" t="s">
        <v>8789</v>
      </c>
      <c r="D596" s="30" t="s">
        <v>10055</v>
      </c>
      <c r="E596" s="104" t="s">
        <v>8791</v>
      </c>
      <c r="F596" s="104" t="s">
        <v>8447</v>
      </c>
      <c r="G596" s="104" t="s">
        <v>7015</v>
      </c>
      <c r="H596" s="116" t="s">
        <v>7683</v>
      </c>
      <c r="I596" s="104" t="s">
        <v>8424</v>
      </c>
      <c r="J596" s="104" t="s">
        <v>8792</v>
      </c>
      <c r="K596" s="117" t="s">
        <v>8426</v>
      </c>
      <c r="L596" s="105" t="n">
        <v>-19.905585535448001</v>
      </c>
      <c r="M596" s="105" t="n">
        <v>-43.896789999196599</v>
      </c>
      <c r="N596" s="105" t="n">
        <v>615475.69999999995</v>
      </c>
      <c r="O596" s="105" t="n">
        <v>7798588</v>
      </c>
    </row>
    <row r="597" ht="30" customHeight="1">
      <c r="A597" s="105" t="s">
        <v>10056</v>
      </c>
      <c r="B597" s="105" t="s">
        <v>8790</v>
      </c>
      <c r="C597" s="30" t="s">
        <v>8789</v>
      </c>
      <c r="D597" s="105" t="s">
        <v>10057</v>
      </c>
      <c r="E597" s="104" t="s">
        <v>8791</v>
      </c>
      <c r="F597" s="104" t="s">
        <v>8447</v>
      </c>
      <c r="G597" s="104" t="s">
        <v>7015</v>
      </c>
      <c r="H597" s="116" t="s">
        <v>7683</v>
      </c>
      <c r="I597" s="104" t="s">
        <v>8424</v>
      </c>
      <c r="J597" s="104" t="s">
        <v>8792</v>
      </c>
      <c r="K597" s="117" t="s">
        <v>8426</v>
      </c>
      <c r="L597" s="105" t="n">
        <v>-19.905585535448001</v>
      </c>
      <c r="M597" s="105" t="n">
        <v>-43.896789999196599</v>
      </c>
      <c r="N597" s="105" t="n">
        <v>615475.69999999995</v>
      </c>
      <c r="O597" s="105" t="n">
        <v>7798588</v>
      </c>
    </row>
    <row r="598" ht="30" customHeight="1">
      <c r="A598" s="105" t="s">
        <v>10058</v>
      </c>
      <c r="B598" s="105" t="s">
        <v>8790</v>
      </c>
      <c r="C598" s="30" t="s">
        <v>8789</v>
      </c>
      <c r="D598" s="105" t="s">
        <v>10059</v>
      </c>
      <c r="E598" s="104" t="s">
        <v>8791</v>
      </c>
      <c r="F598" s="104" t="s">
        <v>8447</v>
      </c>
      <c r="G598" s="104" t="s">
        <v>7015</v>
      </c>
      <c r="H598" s="116" t="s">
        <v>7683</v>
      </c>
      <c r="I598" s="104" t="s">
        <v>8424</v>
      </c>
      <c r="J598" s="104" t="s">
        <v>8792</v>
      </c>
      <c r="K598" s="117" t="s">
        <v>8426</v>
      </c>
      <c r="L598" s="105" t="n">
        <v>-19.905585535448001</v>
      </c>
      <c r="M598" s="105" t="n">
        <v>-43.896789999196599</v>
      </c>
      <c r="N598" s="105" t="n">
        <v>615475.69999999995</v>
      </c>
      <c r="O598" s="105" t="n">
        <v>7798588</v>
      </c>
    </row>
    <row r="599" ht="30" customHeight="1">
      <c r="A599" s="105" t="s">
        <v>10060</v>
      </c>
      <c r="B599" s="105" t="s">
        <v>8790</v>
      </c>
      <c r="C599" s="30" t="s">
        <v>8789</v>
      </c>
      <c r="D599" s="30" t="s">
        <v>10061</v>
      </c>
      <c r="E599" s="74" t="s">
        <v>8791</v>
      </c>
      <c r="F599" s="104" t="s">
        <v>8447</v>
      </c>
      <c r="G599" s="104" t="s">
        <v>7015</v>
      </c>
      <c r="H599" s="116" t="s">
        <v>7683</v>
      </c>
      <c r="I599" s="104" t="s">
        <v>8424</v>
      </c>
      <c r="J599" s="104" t="s">
        <v>8792</v>
      </c>
      <c r="K599" s="117" t="s">
        <v>8426</v>
      </c>
      <c r="L599" s="105" t="n">
        <v>-19.905585535448001</v>
      </c>
      <c r="M599" s="105" t="n">
        <v>-43.896789999196599</v>
      </c>
      <c r="N599" s="105" t="n">
        <v>615475.69999999995</v>
      </c>
      <c r="O599" s="105" t="n">
        <v>7798588</v>
      </c>
    </row>
    <row r="600" ht="30" customHeight="1">
      <c r="A600" s="105" t="s">
        <v>10062</v>
      </c>
      <c r="B600" s="105" t="s">
        <v>8794</v>
      </c>
      <c r="C600" s="30" t="s">
        <v>8793</v>
      </c>
      <c r="D600" s="105" t="s">
        <v>10063</v>
      </c>
      <c r="E600" s="74" t="s">
        <v>8795</v>
      </c>
      <c r="F600" s="104" t="s">
        <v>7822</v>
      </c>
      <c r="G600" s="104" t="s">
        <v>7006</v>
      </c>
      <c r="H600" s="116" t="s">
        <v>7413</v>
      </c>
      <c r="I600" s="104" t="s">
        <v>8796</v>
      </c>
      <c r="J600" s="104" t="s">
        <v>8797</v>
      </c>
      <c r="K600" s="117" t="s">
        <v>8798</v>
      </c>
      <c r="L600" s="105" t="n">
        <v>-19.865842000000001</v>
      </c>
      <c r="M600" s="105" t="n">
        <v>-43.925576999999997</v>
      </c>
      <c r="N600" s="105" t="n">
        <v>612490.27654707502</v>
      </c>
      <c r="O600" s="105" t="n">
        <v>7803006.0617970601</v>
      </c>
    </row>
    <row r="601" ht="30" customHeight="1">
      <c r="A601" s="105" t="s">
        <v>10064</v>
      </c>
      <c r="B601" s="105" t="s">
        <v>8794</v>
      </c>
      <c r="C601" s="30" t="s">
        <v>8793</v>
      </c>
      <c r="D601" s="30" t="s">
        <v>10065</v>
      </c>
      <c r="E601" s="104" t="s">
        <v>8795</v>
      </c>
      <c r="F601" s="104" t="s">
        <v>7822</v>
      </c>
      <c r="G601" s="104" t="s">
        <v>7006</v>
      </c>
      <c r="H601" s="116" t="s">
        <v>7413</v>
      </c>
      <c r="I601" s="104" t="s">
        <v>8796</v>
      </c>
      <c r="J601" s="104" t="s">
        <v>8797</v>
      </c>
      <c r="K601" s="117" t="s">
        <v>8798</v>
      </c>
      <c r="L601" s="105" t="n">
        <v>-19.865842000000001</v>
      </c>
      <c r="M601" s="105" t="n">
        <v>-43.925576999999997</v>
      </c>
      <c r="N601" s="105" t="n">
        <v>612490.27654707502</v>
      </c>
      <c r="O601" s="105" t="n">
        <v>7803006.0617970601</v>
      </c>
    </row>
    <row r="602" ht="30" customHeight="1">
      <c r="A602" s="105" t="s">
        <v>10066</v>
      </c>
      <c r="B602" s="105" t="s">
        <v>8794</v>
      </c>
      <c r="C602" s="30" t="s">
        <v>8793</v>
      </c>
      <c r="D602" s="30" t="s">
        <v>10067</v>
      </c>
      <c r="E602" s="95" t="s">
        <v>8795</v>
      </c>
      <c r="F602" s="104" t="s">
        <v>7822</v>
      </c>
      <c r="G602" s="104" t="s">
        <v>7006</v>
      </c>
      <c r="H602" s="116" t="s">
        <v>7413</v>
      </c>
      <c r="I602" s="104" t="s">
        <v>8796</v>
      </c>
      <c r="J602" s="104" t="s">
        <v>8797</v>
      </c>
      <c r="K602" s="117" t="s">
        <v>8798</v>
      </c>
      <c r="L602" s="105" t="n">
        <v>-19.865842000000001</v>
      </c>
      <c r="M602" s="105" t="n">
        <v>-43.925576999999997</v>
      </c>
      <c r="N602" s="105" t="n">
        <v>612490.27654707502</v>
      </c>
      <c r="O602" s="105" t="n">
        <v>7803006.0617970601</v>
      </c>
    </row>
    <row r="603" ht="30" customHeight="1">
      <c r="A603" s="105" t="s">
        <v>10068</v>
      </c>
      <c r="B603" s="105" t="s">
        <v>8800</v>
      </c>
      <c r="C603" s="30" t="s">
        <v>8799</v>
      </c>
      <c r="D603" s="30" t="s">
        <v>10069</v>
      </c>
      <c r="E603" s="95" t="s">
        <v>8801</v>
      </c>
      <c r="F603" s="104" t="s">
        <v>6973</v>
      </c>
      <c r="G603" s="104" t="s">
        <v>6974</v>
      </c>
      <c r="H603" s="116" t="s">
        <v>6975</v>
      </c>
      <c r="I603" s="104" t="s">
        <v>8802</v>
      </c>
      <c r="J603" s="104" t="s">
        <v>8070</v>
      </c>
      <c r="K603" s="117" t="s">
        <v>8803</v>
      </c>
      <c r="L603" s="105" t="n">
        <v>-19.904606885079101</v>
      </c>
      <c r="M603" s="105" t="n">
        <v>-43.947786832208799</v>
      </c>
      <c r="N603" s="105" t="n">
        <v>610137.93814135704</v>
      </c>
      <c r="O603" s="105" t="n">
        <v>7798730.5025979597</v>
      </c>
    </row>
    <row r="604" ht="30" customHeight="1">
      <c r="A604" s="105" t="s">
        <v>10070</v>
      </c>
      <c r="B604" s="105" t="s">
        <v>8800</v>
      </c>
      <c r="C604" s="30" t="s">
        <v>8799</v>
      </c>
      <c r="D604" s="105" t="s">
        <v>10071</v>
      </c>
      <c r="E604" s="95" t="s">
        <v>8801</v>
      </c>
      <c r="F604" s="104" t="s">
        <v>6973</v>
      </c>
      <c r="G604" s="104" t="s">
        <v>6974</v>
      </c>
      <c r="H604" s="116" t="s">
        <v>6975</v>
      </c>
      <c r="I604" s="104" t="s">
        <v>8802</v>
      </c>
      <c r="J604" s="104" t="s">
        <v>8070</v>
      </c>
      <c r="K604" s="117" t="s">
        <v>8803</v>
      </c>
      <c r="L604" s="105" t="n">
        <v>-19.904606885079101</v>
      </c>
      <c r="M604" s="105" t="n">
        <v>-43.947786832208799</v>
      </c>
      <c r="N604" s="105" t="n">
        <v>610137.93814135704</v>
      </c>
      <c r="O604" s="105" t="n">
        <v>7798730.5025979597</v>
      </c>
    </row>
    <row r="605" ht="30" customHeight="1">
      <c r="A605" s="105" t="s">
        <v>10072</v>
      </c>
      <c r="B605" s="105" t="s">
        <v>8805</v>
      </c>
      <c r="C605" s="30" t="s">
        <v>8804</v>
      </c>
      <c r="D605" s="105" t="s">
        <v>10073</v>
      </c>
      <c r="E605" s="95" t="s">
        <v>8806</v>
      </c>
      <c r="F605" s="104" t="s">
        <v>7615</v>
      </c>
      <c r="G605" s="104" t="s">
        <v>7126</v>
      </c>
      <c r="H605" s="116" t="s">
        <v>7127</v>
      </c>
      <c r="I605" s="104" t="s">
        <v>8807</v>
      </c>
      <c r="J605" s="104" t="s">
        <v>7215</v>
      </c>
      <c r="K605" s="117" t="s">
        <v>8808</v>
      </c>
      <c r="L605" s="105" t="n">
        <v>-19.845098084120199</v>
      </c>
      <c r="M605" s="105" t="n">
        <v>-43.914584952729498</v>
      </c>
      <c r="N605" s="105" t="n">
        <v>613656.00517628295</v>
      </c>
      <c r="O605" s="105" t="n">
        <v>7805294.4927309798</v>
      </c>
    </row>
    <row r="606" ht="30" customHeight="1">
      <c r="A606" s="105" t="s">
        <v>10074</v>
      </c>
      <c r="B606" s="105" t="s">
        <v>8810</v>
      </c>
      <c r="C606" s="30" t="s">
        <v>8809</v>
      </c>
      <c r="D606" s="105" t="s">
        <v>10075</v>
      </c>
      <c r="E606" s="95" t="s">
        <v>8811</v>
      </c>
      <c r="F606" s="104" t="s">
        <v>8812</v>
      </c>
      <c r="G606" s="104" t="s">
        <v>6983</v>
      </c>
      <c r="H606" s="116" t="s">
        <v>7228</v>
      </c>
      <c r="I606" s="104" t="s">
        <v>8813</v>
      </c>
      <c r="J606" s="104" t="s">
        <v>8022</v>
      </c>
      <c r="K606" s="117" t="s">
        <v>8814</v>
      </c>
      <c r="L606" s="105" t="n">
        <v>-19.932421999999999</v>
      </c>
      <c r="M606" s="105" t="n">
        <v>-43.967281</v>
      </c>
      <c r="N606" s="105" t="n">
        <v>608078.35429421405</v>
      </c>
      <c r="O606" s="105" t="n">
        <v>7795664.7656440604</v>
      </c>
    </row>
    <row r="607" ht="30" customHeight="1">
      <c r="A607" s="105" t="s">
        <v>10076</v>
      </c>
      <c r="B607" s="105" t="s">
        <v>8810</v>
      </c>
      <c r="C607" s="30" t="s">
        <v>8809</v>
      </c>
      <c r="D607" s="105" t="s">
        <v>10077</v>
      </c>
      <c r="E607" s="95" t="s">
        <v>8811</v>
      </c>
      <c r="F607" s="104" t="s">
        <v>8812</v>
      </c>
      <c r="G607" s="104" t="s">
        <v>6983</v>
      </c>
      <c r="H607" s="116" t="s">
        <v>7228</v>
      </c>
      <c r="I607" s="104" t="s">
        <v>8813</v>
      </c>
      <c r="J607" s="104" t="s">
        <v>8022</v>
      </c>
      <c r="K607" s="117" t="s">
        <v>8814</v>
      </c>
      <c r="L607" s="105" t="n">
        <v>-19.932421999999999</v>
      </c>
      <c r="M607" s="105" t="n">
        <v>-43.967281</v>
      </c>
      <c r="N607" s="105" t="n">
        <v>608078.35429421405</v>
      </c>
      <c r="O607" s="105" t="n">
        <v>7795664.7656440604</v>
      </c>
    </row>
    <row r="608" ht="30" customHeight="1">
      <c r="A608" s="105" t="s">
        <v>10078</v>
      </c>
      <c r="B608" s="105" t="s">
        <v>8810</v>
      </c>
      <c r="C608" s="30" t="s">
        <v>8809</v>
      </c>
      <c r="D608" s="105" t="s">
        <v>10079</v>
      </c>
      <c r="E608" s="95" t="s">
        <v>8811</v>
      </c>
      <c r="F608" s="104" t="s">
        <v>8812</v>
      </c>
      <c r="G608" s="104" t="s">
        <v>6983</v>
      </c>
      <c r="H608" s="116" t="s">
        <v>7228</v>
      </c>
      <c r="I608" s="104" t="s">
        <v>8813</v>
      </c>
      <c r="J608" s="104" t="s">
        <v>8022</v>
      </c>
      <c r="K608" s="117" t="s">
        <v>8814</v>
      </c>
      <c r="L608" s="105" t="n">
        <v>-19.932421999999999</v>
      </c>
      <c r="M608" s="105" t="n">
        <v>-43.967281</v>
      </c>
      <c r="N608" s="105" t="n">
        <v>608078.35429421405</v>
      </c>
      <c r="O608" s="105" t="n">
        <v>7795664.7656440604</v>
      </c>
    </row>
    <row r="609" ht="30" customHeight="1">
      <c r="A609" s="105" t="s">
        <v>10080</v>
      </c>
      <c r="B609" s="105" t="s">
        <v>8816</v>
      </c>
      <c r="C609" s="30" t="s">
        <v>8815</v>
      </c>
      <c r="D609" s="105" t="s">
        <v>10081</v>
      </c>
      <c r="E609" s="95" t="s">
        <v>8817</v>
      </c>
      <c r="F609" s="104" t="s">
        <v>7867</v>
      </c>
      <c r="G609" s="104" t="s">
        <v>6983</v>
      </c>
      <c r="H609" s="116" t="s">
        <v>7228</v>
      </c>
      <c r="I609" s="104" t="s">
        <v>8818</v>
      </c>
      <c r="J609" s="104" t="s">
        <v>8819</v>
      </c>
      <c r="K609" s="117" t="s">
        <v>8820</v>
      </c>
      <c r="L609" s="105" t="n">
        <v>-19.944287380393</v>
      </c>
      <c r="M609" s="105" t="n">
        <v>-43.970387952683303</v>
      </c>
      <c r="N609" s="105" t="n">
        <v>607745.12363954005</v>
      </c>
      <c r="O609" s="105" t="n">
        <v>7794353.58322939</v>
      </c>
    </row>
    <row r="610" ht="30" customHeight="1">
      <c r="A610" s="105" t="s">
        <v>10082</v>
      </c>
      <c r="B610" s="105" t="s">
        <v>8816</v>
      </c>
      <c r="C610" s="30" t="s">
        <v>8815</v>
      </c>
      <c r="D610" s="30" t="s">
        <v>10083</v>
      </c>
      <c r="E610" s="104" t="s">
        <v>8817</v>
      </c>
      <c r="F610" s="104" t="s">
        <v>7867</v>
      </c>
      <c r="G610" s="104" t="s">
        <v>6983</v>
      </c>
      <c r="H610" s="104" t="s">
        <v>7228</v>
      </c>
      <c r="I610" s="104" t="s">
        <v>8818</v>
      </c>
      <c r="J610" s="104" t="s">
        <v>8819</v>
      </c>
      <c r="K610" s="104" t="s">
        <v>8820</v>
      </c>
      <c r="L610" s="105" t="n">
        <v>-19.944287380393</v>
      </c>
      <c r="M610" s="105" t="n">
        <v>-43.970387952683303</v>
      </c>
      <c r="N610" s="105" t="n">
        <v>607745.12363954005</v>
      </c>
      <c r="O610" s="105" t="n">
        <v>7794353.58322939</v>
      </c>
    </row>
    <row r="611" ht="30" customHeight="1">
      <c r="A611" s="105" t="s">
        <v>10084</v>
      </c>
      <c r="B611" s="105" t="s">
        <v>8822</v>
      </c>
      <c r="C611" s="30" t="s">
        <v>8821</v>
      </c>
      <c r="D611" s="105" t="s">
        <v>10085</v>
      </c>
      <c r="E611" s="104" t="s">
        <v>8823</v>
      </c>
      <c r="F611" s="104" t="s">
        <v>7757</v>
      </c>
      <c r="G611" s="104" t="s">
        <v>6997</v>
      </c>
      <c r="H611" s="116" t="s">
        <v>6998</v>
      </c>
      <c r="I611" s="104" t="s">
        <v>8824</v>
      </c>
      <c r="J611" s="104" t="s">
        <v>8825</v>
      </c>
      <c r="K611" s="117" t="s">
        <v>8826</v>
      </c>
      <c r="L611" s="105" t="n">
        <v>-19.870546999999998</v>
      </c>
      <c r="M611" s="105" t="n">
        <v>-44.001010000000001</v>
      </c>
      <c r="N611" s="105" t="n">
        <v>604588.83966225898</v>
      </c>
      <c r="O611" s="105" t="n">
        <v>7802533.9226055397</v>
      </c>
    </row>
    <row r="612" ht="30" customHeight="1">
      <c r="A612" s="105" t="s">
        <v>10086</v>
      </c>
      <c r="B612" s="105" t="s">
        <v>8822</v>
      </c>
      <c r="C612" s="30" t="s">
        <v>8821</v>
      </c>
      <c r="D612" s="105" t="s">
        <v>10087</v>
      </c>
      <c r="E612" s="104" t="s">
        <v>8823</v>
      </c>
      <c r="F612" s="104" t="s">
        <v>7757</v>
      </c>
      <c r="G612" s="104" t="s">
        <v>6997</v>
      </c>
      <c r="H612" s="116" t="s">
        <v>6998</v>
      </c>
      <c r="I612" s="104" t="s">
        <v>8824</v>
      </c>
      <c r="J612" s="104" t="s">
        <v>8825</v>
      </c>
      <c r="K612" s="117" t="s">
        <v>8826</v>
      </c>
      <c r="L612" s="105" t="n">
        <v>-19.870546999999998</v>
      </c>
      <c r="M612" s="105" t="n">
        <v>-44.001010000000001</v>
      </c>
      <c r="N612" s="105" t="n">
        <v>604588.83966225898</v>
      </c>
      <c r="O612" s="105" t="n">
        <v>7802533.9226055397</v>
      </c>
    </row>
    <row r="613">
      <c r="A613" s="105" t="s">
        <v>10088</v>
      </c>
      <c r="B613" s="105" t="s">
        <v>8828</v>
      </c>
      <c r="C613" s="30" t="s">
        <v>8827</v>
      </c>
      <c r="D613" s="105" t="s">
        <v>10089</v>
      </c>
      <c r="E613" s="104" t="s">
        <v>8829</v>
      </c>
      <c r="F613" s="104" t="s">
        <v>7085</v>
      </c>
      <c r="G613" s="104" t="s">
        <v>7086</v>
      </c>
      <c r="H613" s="116" t="s">
        <v>7087</v>
      </c>
      <c r="I613" s="104" t="s">
        <v>7194</v>
      </c>
      <c r="J613" s="104" t="s">
        <v>8760</v>
      </c>
      <c r="K613" s="117" t="s">
        <v>8830</v>
      </c>
      <c r="L613" s="105" t="n">
        <v>-19.817113023968702</v>
      </c>
      <c r="M613" s="105" t="n">
        <v>-43.9554778385302</v>
      </c>
      <c r="N613" s="105" t="n">
        <v>609392.81060671597</v>
      </c>
      <c r="O613" s="105" t="n">
        <v>7808418.6844136501</v>
      </c>
    </row>
    <row r="614">
      <c r="A614" s="105" t="s">
        <v>10090</v>
      </c>
      <c r="B614" s="105" t="s">
        <v>8828</v>
      </c>
      <c r="C614" s="30" t="s">
        <v>8827</v>
      </c>
      <c r="D614" s="105" t="s">
        <v>10091</v>
      </c>
      <c r="E614" s="104" t="s">
        <v>8829</v>
      </c>
      <c r="F614" s="104" t="s">
        <v>7085</v>
      </c>
      <c r="G614" s="104" t="s">
        <v>7086</v>
      </c>
      <c r="H614" s="116" t="s">
        <v>7087</v>
      </c>
      <c r="I614" s="104" t="s">
        <v>7194</v>
      </c>
      <c r="J614" s="104" t="s">
        <v>8760</v>
      </c>
      <c r="K614" s="117" t="s">
        <v>8830</v>
      </c>
      <c r="L614" s="105" t="n">
        <v>-19.817113023968702</v>
      </c>
      <c r="M614" s="105" t="n">
        <v>-43.9554778385302</v>
      </c>
      <c r="N614" s="105" t="n">
        <v>609392.81060671597</v>
      </c>
      <c r="O614" s="105" t="n">
        <v>7808418.6844136501</v>
      </c>
    </row>
    <row r="615">
      <c r="A615" s="105" t="s">
        <v>10092</v>
      </c>
      <c r="B615" s="105" t="s">
        <v>8828</v>
      </c>
      <c r="C615" s="30" t="s">
        <v>8827</v>
      </c>
      <c r="D615" s="105" t="s">
        <v>10093</v>
      </c>
      <c r="E615" s="104" t="s">
        <v>8829</v>
      </c>
      <c r="F615" s="104" t="s">
        <v>7085</v>
      </c>
      <c r="G615" s="104" t="s">
        <v>7086</v>
      </c>
      <c r="H615" s="116" t="s">
        <v>7087</v>
      </c>
      <c r="I615" s="104" t="s">
        <v>7194</v>
      </c>
      <c r="J615" s="104" t="s">
        <v>8760</v>
      </c>
      <c r="K615" s="117" t="s">
        <v>8830</v>
      </c>
      <c r="L615" s="105" t="n">
        <v>-19.817113023968702</v>
      </c>
      <c r="M615" s="105" t="n">
        <v>-43.9554778385302</v>
      </c>
      <c r="N615" s="105" t="n">
        <v>609392.81060671597</v>
      </c>
      <c r="O615" s="105" t="n">
        <v>7808418.6844136501</v>
      </c>
    </row>
    <row r="616">
      <c r="A616" t="s">
        <v>10127</v>
      </c>
      <c r="B616" t="s">
        <v>10128</v>
      </c>
      <c r="C616" t="s">
        <v>10094</v>
      </c>
      <c r="D616" t="s">
        <v>10102</v>
      </c>
      <c r="E616" t="s">
        <v>10095</v>
      </c>
      <c r="F616" t="s">
        <v>10103</v>
      </c>
      <c r="G616" t="s">
        <v>10104</v>
      </c>
      <c r="H616" t="s">
        <v>10105</v>
      </c>
      <c r="I616" t="s">
        <v>10106</v>
      </c>
      <c r="J616" t="s">
        <v>10107</v>
      </c>
      <c r="K616"/>
      <c r="L616"/>
      <c r="M616"/>
      <c r="N616"/>
      <c r="O616"/>
    </row>
    <row r="617">
      <c r="A617" t="s">
        <v>10129</v>
      </c>
      <c r="B617" t="s">
        <v>10128</v>
      </c>
      <c r="C617" t="s">
        <v>10094</v>
      </c>
      <c r="D617" t="s">
        <v>10108</v>
      </c>
      <c r="E617" t="s">
        <v>10095</v>
      </c>
      <c r="F617" t="s">
        <v>10103</v>
      </c>
      <c r="G617" t="s">
        <v>10104</v>
      </c>
      <c r="H617" t="s">
        <v>10105</v>
      </c>
      <c r="I617" t="s">
        <v>10106</v>
      </c>
      <c r="J617" t="s">
        <v>10107</v>
      </c>
      <c r="K617"/>
      <c r="L617"/>
      <c r="M617"/>
      <c r="N617"/>
      <c r="O617"/>
    </row>
    <row r="618">
      <c r="A618" t="s">
        <v>10130</v>
      </c>
      <c r="B618" t="s">
        <v>10128</v>
      </c>
      <c r="C618" t="s">
        <v>10094</v>
      </c>
      <c r="D618" t="s">
        <v>10109</v>
      </c>
      <c r="E618" t="s">
        <v>10095</v>
      </c>
      <c r="F618" t="s">
        <v>10103</v>
      </c>
      <c r="G618" t="s">
        <v>10104</v>
      </c>
      <c r="H618" t="s">
        <v>10105</v>
      </c>
      <c r="I618" t="s">
        <v>10106</v>
      </c>
      <c r="J618" t="s">
        <v>10107</v>
      </c>
      <c r="K618"/>
      <c r="L618"/>
      <c r="M618"/>
      <c r="N618"/>
      <c r="O618"/>
    </row>
    <row r="619">
      <c r="A619" t="s">
        <v>10131</v>
      </c>
      <c r="B619" t="s">
        <v>10128</v>
      </c>
      <c r="C619" t="s">
        <v>10094</v>
      </c>
      <c r="D619" t="s">
        <v>10110</v>
      </c>
      <c r="E619" t="s">
        <v>10095</v>
      </c>
      <c r="F619" t="s">
        <v>10103</v>
      </c>
      <c r="G619" t="s">
        <v>10104</v>
      </c>
      <c r="H619" t="s">
        <v>10105</v>
      </c>
      <c r="I619" t="s">
        <v>10106</v>
      </c>
      <c r="J619" t="s">
        <v>10107</v>
      </c>
      <c r="K619"/>
      <c r="L619"/>
      <c r="M619"/>
      <c r="N619"/>
      <c r="O619"/>
    </row>
    <row r="620">
      <c r="A620" t="s">
        <v>10132</v>
      </c>
      <c r="B620" t="s">
        <v>10128</v>
      </c>
      <c r="C620" t="s">
        <v>10094</v>
      </c>
      <c r="D620" t="s">
        <v>10111</v>
      </c>
      <c r="E620" t="s">
        <v>10095</v>
      </c>
      <c r="F620" t="s">
        <v>10103</v>
      </c>
      <c r="G620" t="s">
        <v>10104</v>
      </c>
      <c r="H620" t="s">
        <v>10105</v>
      </c>
      <c r="I620" t="s">
        <v>10106</v>
      </c>
      <c r="J620" t="s">
        <v>10107</v>
      </c>
      <c r="K620"/>
      <c r="L620"/>
      <c r="M620"/>
      <c r="N620"/>
      <c r="O620"/>
    </row>
    <row r="621">
      <c r="A621" t="s">
        <v>10133</v>
      </c>
      <c r="B621" t="s">
        <v>10134</v>
      </c>
      <c r="C621" t="s">
        <v>10096</v>
      </c>
      <c r="D621" t="s">
        <v>10112</v>
      </c>
      <c r="E621" t="s">
        <v>10097</v>
      </c>
      <c r="F621" t="s">
        <v>10113</v>
      </c>
      <c r="G621" t="s">
        <v>10114</v>
      </c>
      <c r="H621" t="s">
        <v>10115</v>
      </c>
      <c r="I621" t="s">
        <v>10096</v>
      </c>
      <c r="J621" t="s">
        <v>10116</v>
      </c>
      <c r="K621" t="s">
        <v>10116</v>
      </c>
      <c r="L621"/>
      <c r="M621"/>
      <c r="N621"/>
      <c r="O621"/>
    </row>
    <row r="622">
      <c r="A622" t="s">
        <v>10135</v>
      </c>
      <c r="B622" t="s">
        <v>10136</v>
      </c>
      <c r="C622" t="s">
        <v>10098</v>
      </c>
      <c r="D622" t="s">
        <v>10117</v>
      </c>
      <c r="E622" t="s">
        <v>10099</v>
      </c>
      <c r="F622" t="s">
        <v>10118</v>
      </c>
      <c r="G622" t="s">
        <v>10114</v>
      </c>
      <c r="H622" t="s">
        <v>10119</v>
      </c>
      <c r="I622" t="s">
        <v>10120</v>
      </c>
      <c r="J622" t="s">
        <v>10116</v>
      </c>
      <c r="K622" t="s">
        <v>10116</v>
      </c>
      <c r="L622"/>
      <c r="M622"/>
      <c r="N622"/>
      <c r="O622"/>
    </row>
    <row r="623">
      <c r="A623" t="s">
        <v>10137</v>
      </c>
      <c r="B623" t="s">
        <v>10138</v>
      </c>
      <c r="C623" t="s">
        <v>10100</v>
      </c>
      <c r="D623" t="s">
        <v>10121</v>
      </c>
      <c r="E623" t="s">
        <v>10101</v>
      </c>
      <c r="F623" t="s">
        <v>10122</v>
      </c>
      <c r="G623" t="s">
        <v>10114</v>
      </c>
      <c r="H623" t="s">
        <v>10123</v>
      </c>
      <c r="I623" t="s">
        <v>10124</v>
      </c>
      <c r="J623" t="s">
        <v>10125</v>
      </c>
      <c r="K623" t="s">
        <v>10116</v>
      </c>
      <c r="L623"/>
      <c r="M623"/>
      <c r="N623"/>
      <c r="O623"/>
    </row>
    <row r="624">
      <c r="A624" t="s">
        <v>10139</v>
      </c>
      <c r="B624" t="s">
        <v>10138</v>
      </c>
      <c r="C624" t="s">
        <v>10100</v>
      </c>
      <c r="D624" t="s">
        <v>10126</v>
      </c>
      <c r="E624" t="s">
        <v>10101</v>
      </c>
      <c r="F624" t="s">
        <v>10122</v>
      </c>
      <c r="G624" t="s">
        <v>10114</v>
      </c>
      <c r="H624" t="s">
        <v>10123</v>
      </c>
      <c r="I624" t="s">
        <v>10124</v>
      </c>
      <c r="J624" t="s">
        <v>10125</v>
      </c>
      <c r="K624" t="s">
        <v>10116</v>
      </c>
      <c r="L624"/>
      <c r="M624"/>
      <c r="N624"/>
      <c r="O624"/>
    </row>
  </sheetData>
  <autoFilter ref="A1:O615" xr:uid="{00000000-0009-0000-0000-000005000000}"/>
  <pageMargins left="0.7" right="0.7" top="0.75" bottom="0.75" header="0.3" footer="0.3"/>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sheetViews>
  <sheetFormatPr defaultRowHeight="15.0" baseColWidth="10"/>
  <cols>
    <col min="1" max="1" width="16.140625" hidden="0" customWidth="1"/>
    <col min="2" max="2" width="12.5703125" hidden="0" customWidth="1"/>
    <col min="3" max="3" width="51.140625" hidden="0" customWidth="1"/>
    <col min="4" max="4" width="34.28515625" hidden="0" customWidth="1"/>
    <col min="5" max="5" width="104.42578125" hidden="0" customWidth="1"/>
    <col min="6" max="6" width="11.28515625" hidden="0" customWidth="1"/>
    <col min="7" max="7" width="46.85546875" hidden="0" customWidth="1"/>
    <col min="8" max="8" width="17.85546875" hidden="0" customWidth="1"/>
    <col min="9" max="9" width="21.85546875" hidden="0" customWidth="1"/>
    <col min="10" max="10" width="11.85546875" hidden="0" customWidth="1"/>
    <col min="11" max="11" width="12.7109375" hidden="0" customWidth="1"/>
    <col min="12" max="12" width="15" hidden="0" customWidth="1"/>
    <col min="13" max="13" width="12" hidden="0" customWidth="1"/>
  </cols>
  <sheetData>
    <row r="1">
      <c r="A1" s="1" t="s">
        <v>48</v>
      </c>
      <c r="B1" s="1" t="s">
        <v>6910</v>
      </c>
      <c r="C1" s="1" t="s">
        <v>6911</v>
      </c>
      <c r="D1" s="124" t="s">
        <v>6912</v>
      </c>
      <c r="E1" s="30" t="s">
        <v>6913</v>
      </c>
      <c r="F1" s="35" t="s">
        <v>6914</v>
      </c>
      <c r="G1" s="1" t="s">
        <v>6915</v>
      </c>
      <c r="H1" s="1" t="s">
        <v>6916</v>
      </c>
      <c r="I1" s="24" t="s">
        <v>6917</v>
      </c>
      <c r="J1" s="1" t="s">
        <v>6918</v>
      </c>
      <c r="K1" s="1" t="s">
        <v>6919</v>
      </c>
      <c r="L1" s="1" t="s">
        <v>6920</v>
      </c>
      <c r="M1" s="1" t="s">
        <v>6921</v>
      </c>
    </row>
    <row r="2" ht="312.75" customHeight="1">
      <c r="A2" s="1" t="s">
        <v>6922</v>
      </c>
      <c r="B2" s="123" t="n">
        <v>46213</v>
      </c>
      <c r="C2" s="1" t="s">
        <v>6923</v>
      </c>
      <c r="D2" s="124" t="s">
        <v>6924</v>
      </c>
      <c r="E2" s="20" t="s">
        <v>6925</v>
      </c>
      <c r="F2" s="35"/>
      <c r="G2" s="1"/>
      <c r="H2" s="1"/>
      <c r="I2" s="24"/>
      <c r="J2" s="1"/>
      <c r="K2" s="1"/>
      <c r="L2" s="1"/>
      <c r="M2" s="1"/>
    </row>
    <row r="3" ht="75" customHeight="1">
      <c r="A3" s="1" t="s">
        <v>6926</v>
      </c>
      <c r="B3" s="123" t="n">
        <v>46214</v>
      </c>
      <c r="C3" t="s">
        <v>6927</v>
      </c>
      <c r="D3" s="105" t="s">
        <v>6928</v>
      </c>
      <c r="E3" s="30" t="s">
        <v>6929</v>
      </c>
      <c r="F3" s="35"/>
      <c r="G3" s="105" t="s">
        <v>6930</v>
      </c>
      <c r="H3" s="1"/>
      <c r="I3" s="24" t="s">
        <v>294</v>
      </c>
      <c r="J3" s="1"/>
      <c r="K3" s="1"/>
      <c r="L3" s="1"/>
      <c r="M3" s="1"/>
    </row>
    <row r="4" ht="120" customHeight="1">
      <c r="A4" s="1" t="s">
        <v>6931</v>
      </c>
      <c r="B4" s="123" t="n">
        <v>45849</v>
      </c>
      <c r="C4" s="1" t="s">
        <v>6932</v>
      </c>
      <c r="D4" s="124" t="s">
        <v>6933</v>
      </c>
      <c r="E4" s="30" t="s">
        <v>6934</v>
      </c>
      <c r="F4" s="35"/>
      <c r="G4" s="1"/>
      <c r="H4" s="1"/>
      <c r="I4" s="24"/>
      <c r="J4" s="1"/>
      <c r="K4" s="1"/>
      <c r="L4" s="1"/>
      <c r="M4" s="1"/>
    </row>
    <row r="5" ht="30" customHeight="1">
      <c r="A5" s="1" t="s">
        <v>6935</v>
      </c>
      <c r="B5" s="123" t="n">
        <v>46214</v>
      </c>
      <c r="C5" s="1" t="s">
        <v>6936</v>
      </c>
      <c r="D5" s="124" t="s">
        <v>6937</v>
      </c>
      <c r="E5" s="30" t="s">
        <v>6938</v>
      </c>
      <c r="F5" s="35"/>
      <c r="G5" s="1"/>
      <c r="H5" s="1"/>
      <c r="I5" s="24"/>
      <c r="J5" s="1"/>
      <c r="K5" s="1"/>
      <c r="L5" s="1"/>
      <c r="M5" s="1"/>
    </row>
    <row r="6" ht="120" customHeight="1">
      <c r="A6" s="1" t="s">
        <v>6939</v>
      </c>
      <c r="B6" s="123" t="n">
        <v>46220</v>
      </c>
      <c r="C6" s="1" t="s">
        <v>6940</v>
      </c>
      <c r="D6" s="124" t="s">
        <v>6941</v>
      </c>
      <c r="E6" s="30" t="s">
        <v>6942</v>
      </c>
      <c r="F6" s="35"/>
      <c r="G6" s="1"/>
      <c r="H6" s="1"/>
      <c r="I6" s="24"/>
      <c r="J6" s="1"/>
      <c r="K6" s="1"/>
      <c r="L6" s="1"/>
      <c r="M6" s="1"/>
    </row>
    <row r="7" ht="45" customHeight="1">
      <c r="A7" s="1" t="s">
        <v>6943</v>
      </c>
      <c r="B7" s="123" t="n">
        <v>46227</v>
      </c>
      <c r="C7" s="1" t="s">
        <v>6944</v>
      </c>
      <c r="D7" s="124" t="s">
        <v>6945</v>
      </c>
      <c r="E7" s="30" t="s">
        <v>6946</v>
      </c>
      <c r="F7" s="35"/>
      <c r="G7" s="1" t="s">
        <v>3879</v>
      </c>
      <c r="H7" s="1"/>
      <c r="I7" s="24"/>
      <c r="J7" s="1"/>
      <c r="K7" s="1"/>
      <c r="L7" s="1"/>
      <c r="M7" s="1"/>
    </row>
    <row r="8">
      <c r="A8" s="1"/>
      <c r="B8" s="1"/>
      <c r="C8" s="1"/>
      <c r="D8" s="124"/>
      <c r="F8" s="35"/>
      <c r="G8" s="1"/>
      <c r="H8" s="1"/>
      <c r="I8" s="24"/>
      <c r="J8" s="1"/>
      <c r="K8" s="1"/>
      <c r="L8" s="1"/>
      <c r="M8" s="1"/>
    </row>
    <row r="9">
      <c r="A9" s="1"/>
      <c r="B9" s="1"/>
      <c r="C9" s="1"/>
      <c r="D9" s="124"/>
      <c r="F9" s="35"/>
      <c r="G9" s="1"/>
      <c r="H9" s="1"/>
      <c r="I9" s="24"/>
      <c r="J9" s="1"/>
      <c r="K9" s="1"/>
      <c r="L9" s="1"/>
      <c r="M9" s="1"/>
    </row>
    <row r="10">
      <c r="A10" s="1"/>
      <c r="B10" s="1"/>
      <c r="C10" s="1"/>
      <c r="D10" s="124"/>
      <c r="F10" s="35"/>
      <c r="G10" s="1"/>
      <c r="H10" s="1"/>
      <c r="I10" s="24"/>
      <c r="J10" s="1"/>
      <c r="K10" s="1"/>
      <c r="L10" s="1"/>
      <c r="M10" s="1"/>
    </row>
    <row r="11">
      <c r="A11" s="1"/>
      <c r="B11" s="1"/>
      <c r="C11" s="1"/>
      <c r="D11" s="124"/>
      <c r="F11" s="35"/>
      <c r="G11" s="1"/>
      <c r="H11" s="1"/>
      <c r="I11" s="24"/>
      <c r="J11" s="1"/>
      <c r="K11" s="1"/>
      <c r="L11" s="1"/>
      <c r="M11" s="1"/>
    </row>
    <row r="12">
      <c r="A12" s="1"/>
      <c r="B12" s="1"/>
      <c r="C12" s="1"/>
      <c r="D12" s="124"/>
      <c r="F12" s="35"/>
      <c r="G12" s="1"/>
      <c r="H12" s="1"/>
      <c r="I12" s="24"/>
      <c r="J12" s="1"/>
      <c r="K12" s="1"/>
      <c r="L12" s="1"/>
      <c r="M12" s="1"/>
    </row>
    <row r="13">
      <c r="A13" s="1"/>
      <c r="B13" s="1"/>
      <c r="C13" s="1"/>
      <c r="D13" s="124"/>
      <c r="F13" s="35"/>
      <c r="G13" s="1"/>
      <c r="H13" s="1"/>
      <c r="I13" s="24"/>
      <c r="J13" s="1"/>
      <c r="K13" s="1"/>
      <c r="L13" s="1"/>
      <c r="M13" s="1"/>
    </row>
    <row r="14">
      <c r="A14" s="1"/>
      <c r="B14" s="1"/>
      <c r="C14" s="1"/>
      <c r="D14" s="124"/>
      <c r="F14" s="35"/>
      <c r="G14" s="1"/>
      <c r="H14" s="1"/>
      <c r="I14" s="24"/>
      <c r="J14" s="1"/>
      <c r="K14" s="1"/>
      <c r="L14" s="1"/>
      <c r="M14" s="1"/>
    </row>
    <row r="15">
      <c r="A15" s="1"/>
      <c r="B15" s="1"/>
      <c r="C15" s="1"/>
      <c r="D15" s="124"/>
      <c r="F15" s="35"/>
      <c r="G15" s="1"/>
      <c r="H15" s="1"/>
      <c r="I15" s="24"/>
      <c r="J15" s="1"/>
      <c r="K15" s="1"/>
      <c r="L15" s="1"/>
      <c r="M15" s="1"/>
    </row>
    <row r="16">
      <c r="A16" s="1"/>
      <c r="B16" s="1"/>
      <c r="C16" s="1"/>
      <c r="D16" s="124"/>
      <c r="F16" s="35"/>
      <c r="G16" s="1"/>
      <c r="H16" s="1"/>
      <c r="I16" s="24"/>
      <c r="J16" s="1"/>
      <c r="K16" s="1"/>
      <c r="L16" s="1"/>
      <c r="M16" s="1"/>
    </row>
    <row r="17">
      <c r="A17" s="1"/>
      <c r="B17" s="1"/>
      <c r="C17" s="1"/>
      <c r="D17" s="124"/>
      <c r="F17" s="35"/>
      <c r="G17" s="1"/>
      <c r="H17" s="1"/>
      <c r="I17" s="24"/>
      <c r="J17" s="1"/>
      <c r="K17" s="1"/>
      <c r="L17" s="1"/>
      <c r="M17" s="1"/>
    </row>
    <row r="18">
      <c r="A18" s="1"/>
      <c r="B18" s="1"/>
      <c r="C18" s="1"/>
      <c r="D18" s="124"/>
      <c r="F18" s="35"/>
      <c r="G18" s="1"/>
      <c r="H18" s="1"/>
      <c r="I18" s="24"/>
      <c r="J18" s="1"/>
      <c r="K18" s="1"/>
      <c r="L18" s="1"/>
      <c r="M18" s="1"/>
    </row>
    <row r="19">
      <c r="A19" s="1"/>
      <c r="B19" s="1"/>
      <c r="C19" s="1"/>
      <c r="D19" s="124"/>
      <c r="F19" s="35"/>
      <c r="G19" s="1"/>
      <c r="H19" s="1"/>
      <c r="I19" s="24"/>
      <c r="J19" s="1"/>
      <c r="K19" s="1"/>
      <c r="L19" s="1"/>
      <c r="M19" s="1"/>
    </row>
    <row r="20">
      <c r="A20" s="1"/>
      <c r="B20" s="1"/>
      <c r="C20" s="1"/>
      <c r="D20" s="124"/>
      <c r="F20" s="35"/>
      <c r="G20" s="1"/>
      <c r="H20" s="1"/>
      <c r="I20" s="24"/>
      <c r="J20" s="1"/>
      <c r="K20" s="1"/>
      <c r="L20" s="1"/>
      <c r="M20" s="1"/>
    </row>
    <row r="21">
      <c r="A21" s="1"/>
      <c r="B21" s="1"/>
      <c r="C21" s="1"/>
      <c r="D21" s="124"/>
      <c r="F21" s="35"/>
      <c r="G21" s="1"/>
      <c r="H21" s="1"/>
      <c r="I21" s="24"/>
      <c r="J21" s="1"/>
      <c r="K21" s="1"/>
      <c r="L21" s="1"/>
      <c r="M21" s="1"/>
    </row>
    <row r="22">
      <c r="A22" s="1"/>
      <c r="B22" s="1"/>
      <c r="C22" s="1"/>
      <c r="D22" s="124"/>
      <c r="F22" s="35"/>
      <c r="G22" s="1"/>
      <c r="H22" s="1"/>
      <c r="I22" s="24"/>
      <c r="J22" s="1"/>
      <c r="K22" s="1"/>
      <c r="L22" s="1"/>
      <c r="M22" s="1"/>
    </row>
    <row r="23">
      <c r="A23" s="1"/>
      <c r="B23" s="1"/>
      <c r="C23" s="1"/>
      <c r="D23" s="124"/>
      <c r="F23" s="35"/>
      <c r="G23" s="1"/>
      <c r="H23" s="1"/>
      <c r="I23" s="24"/>
      <c r="J23" s="1"/>
      <c r="K23" s="1"/>
      <c r="L23" s="1"/>
      <c r="M23" s="1"/>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dc:creator>
  <cp:lastModifiedBy>Luciana Fernandes</cp:lastModifiedBy>
  <dcterms:created xsi:type="dcterms:W3CDTF">2026-09-25T17:41:57Z</dcterms:created>
  <dcterms:modified xsi:type="dcterms:W3CDTF">2026-09-28T19:50:10Z</dcterms:modified>
</cp:coreProperties>
</file>