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120" yWindow="-120" windowWidth="38640" windowHeight="15840" firstSheet="0" activeTab="0"/>
  </bookViews>
  <sheets>
    <sheet name="EMENDAS_CODIFICACAO" sheetId="1" state="visible" r:id="rId1"/>
    <sheet name="CODEBOOK_CAP" sheetId="2" state="visible" r:id="rId2"/>
    <sheet name="VEREADOR_ANO" sheetId="3" state="visible" r:id="rId3"/>
    <sheet name="LOCALIDADES_APRESENTACAO" sheetId="4" state="visible" r:id="rId4"/>
    <sheet name="LOCALIDADES_MESTRE" sheetId="5" state="visible" r:id="rId5"/>
    <sheet name="RELACOES" sheetId="6" state="visible" r:id="rId6"/>
    <sheet name="LOG_DECISOES" sheetId="7" state="visible" r:id="rId7"/>
  </sheets>
  <definedNames>
    <definedName name="_xlnm._FilterDatabase" localSheetId="5" hidden="1">'RELACOES'!$A$1:$O$465</definedName>
  </definedNames>
  <calcPr calcId="191029"/>
</workbook>
</file>

<file path=xl/sharedStrings.xml><?xml version="1.0" encoding="utf-8"?>
<sst xmlns="http://schemas.openxmlformats.org/spreadsheetml/2006/main" count="9338" uniqueCount="9338">
  <si>
    <t>id_emenda</t>
  </si>
  <si>
    <t>ano</t>
  </si>
  <si>
    <t>linha_origem</t>
  </si>
  <si>
    <t>arquivo_origem</t>
  </si>
  <si>
    <t>id_vereador_ano</t>
  </si>
  <si>
    <t>numero_emenda</t>
  </si>
  <si>
    <t>status_original</t>
  </si>
  <si>
    <t>parlamentar_original</t>
  </si>
  <si>
    <t>partido_base</t>
  </si>
  <si>
    <t>objeto_emenda</t>
  </si>
  <si>
    <t>dotacao_original</t>
  </si>
  <si>
    <t>uo_dec</t>
  </si>
  <si>
    <t>nome_uo</t>
  </si>
  <si>
    <t>func_dec</t>
  </si>
  <si>
    <t>nome_funcao</t>
  </si>
  <si>
    <t>sub_dec</t>
  </si>
  <si>
    <t>nome_subfuncao</t>
  </si>
  <si>
    <t>prog_dec</t>
  </si>
  <si>
    <t>nome_programa</t>
  </si>
  <si>
    <t>acao_dec</t>
  </si>
  <si>
    <t>nome_acao</t>
  </si>
  <si>
    <t>nat_dec</t>
  </si>
  <si>
    <t>categoria_economica</t>
  </si>
  <si>
    <t>grupo_despesa</t>
  </si>
  <si>
    <t>fonte_dec</t>
  </si>
  <si>
    <t>orgao_executor</t>
  </si>
  <si>
    <t>valor_emenda</t>
  </si>
  <si>
    <t>valor_empenhado</t>
  </si>
  <si>
    <t>valor_liquidado</t>
  </si>
  <si>
    <t>valor_pago</t>
  </si>
  <si>
    <t>credor_original</t>
  </si>
  <si>
    <t>cnpj_credor_original</t>
  </si>
  <si>
    <t>tipo_beneficiario_original</t>
  </si>
  <si>
    <t>beneficiario_final_original</t>
  </si>
  <si>
    <t>cnpj_beneficiario_final_original</t>
  </si>
  <si>
    <t>saude_orcamentaria</t>
  </si>
  <si>
    <t>saude_tematica</t>
  </si>
  <si>
    <t>subcodigo_cap_final</t>
  </si>
  <si>
    <t>subcodigo_cap</t>
  </si>
  <si>
    <t>subcodigo_cap_descricao</t>
  </si>
  <si>
    <t>localidade_final</t>
  </si>
  <si>
    <t>localidade_resumo</t>
  </si>
  <si>
    <t>N_localidades</t>
  </si>
  <si>
    <t>georreferenciavel</t>
  </si>
  <si>
    <t>georreferenciacao</t>
  </si>
  <si>
    <t>publico_alvo_final</t>
  </si>
  <si>
    <t>publico_alvo_resumo</t>
  </si>
  <si>
    <t>credor_disponivel_final</t>
  </si>
  <si>
    <t>credor_padronizado</t>
  </si>
  <si>
    <t>status_codificacao</t>
  </si>
  <si>
    <t>confianca</t>
  </si>
  <si>
    <t>data_codificacao</t>
  </si>
  <si>
    <t>regra_decisao_id</t>
  </si>
  <si>
    <t>2022_ALVARO_DAMIAO_290_01</t>
  </si>
  <si>
    <t>emendas_conslidadas(1).xlsx</t>
  </si>
  <si>
    <t>2022_ALVARO_DAMIAO</t>
  </si>
  <si>
    <t>290</t>
  </si>
  <si>
    <t>Concluída</t>
  </si>
  <si>
    <t>Álvaro Damião</t>
  </si>
  <si>
    <t>DEM</t>
  </si>
  <si>
    <t>Ao reforço à dotação orçamentária para reforma e manutenção do Centro de Saúde Alcides Lins, localizado na rua Panema n. 275, bairro Concórdia;</t>
  </si>
  <si>
    <t>2302.0400.10.122.117.1.216.449051</t>
  </si>
  <si>
    <t>2302</t>
  </si>
  <si>
    <t>FUNDO MUNICIPAL DE SAÚDE</t>
  </si>
  <si>
    <t>10</t>
  </si>
  <si>
    <t>Saúde</t>
  </si>
  <si>
    <t>122</t>
  </si>
  <si>
    <t>Administração Geral</t>
  </si>
  <si>
    <t>0117</t>
  </si>
  <si>
    <t>Gestão do SUS</t>
  </si>
  <si>
    <t>1216</t>
  </si>
  <si>
    <t>Construção, Ampliação e Reforma de Unidades de Saúde</t>
  </si>
  <si>
    <t>449051</t>
  </si>
  <si>
    <t>Despesa de capital</t>
  </si>
  <si>
    <t>Investimentos</t>
  </si>
  <si>
    <t>SMSA</t>
  </si>
  <si>
    <t>CONSTRUTORA CAMPOS E FILHOS LTDA</t>
  </si>
  <si>
    <t>15862332000152</t>
  </si>
  <si>
    <t>PBH</t>
  </si>
  <si>
    <t>Município de Belo Horizonte</t>
  </si>
  <si>
    <t>18715383000140</t>
  </si>
  <si>
    <t>0322</t>
  </si>
  <si>
    <t>rua Panema n. 275, bairro Concórdia</t>
  </si>
  <si>
    <t>Centro de Saúde Alcides Lins, localizado na rua Panema n. 275, bairro Concórdia;</t>
  </si>
  <si>
    <t>Pendente</t>
  </si>
  <si>
    <t>2022_ALVARO_DAMIAO_291_01</t>
  </si>
  <si>
    <t>291</t>
  </si>
  <si>
    <t>Ao reforço à dotação orçamentária para reforma e manutenção do Centro de Saúde Cachoeirinha, estabelecido na rua Borborema n. 1325, bairro Cachoeirinha;</t>
  </si>
  <si>
    <t>rua Borborema n. 1325, bairro Cachoeirinha</t>
  </si>
  <si>
    <t>Centro de Saúde Cachoeirinha, estabelecido na rua Borborema n. 1325, bairro Cachoeirinha;</t>
  </si>
  <si>
    <t>2022_ALVARO_DAMIAO_292_01</t>
  </si>
  <si>
    <t>292</t>
  </si>
  <si>
    <t>Destinação de recursos para o Instituto Cultural, Esportivo e Social Bacana Demais - ICESBADE, CNPJ: 20.997.880/0001-20, para a execução de atividades socioassistenciais, de acordo com o disposto na Lei Federal nº 8.742/93, em consonância com a referida inscrição no Conselho Municipal de Assistência Social de Belo Horizonte – CMAS-BH;</t>
  </si>
  <si>
    <t>1011.1100.08.244.113.2.804.339039</t>
  </si>
  <si>
    <t>1011</t>
  </si>
  <si>
    <t>FUNDO MUNICIPAL DE ASSISTÊNCIA SOCIAL</t>
  </si>
  <si>
    <t>08</t>
  </si>
  <si>
    <t>Assistência Social</t>
  </si>
  <si>
    <t>244</t>
  </si>
  <si>
    <t>Assistência Comunitária</t>
  </si>
  <si>
    <t>0113</t>
  </si>
  <si>
    <t>Aprimoramento da Gestão do SUAS</t>
  </si>
  <si>
    <t>2804</t>
  </si>
  <si>
    <t>Gestão dos Equipamentos e Promoção Social</t>
  </si>
  <si>
    <t>339039</t>
  </si>
  <si>
    <t>Despesa corrente</t>
  </si>
  <si>
    <t>Outras despesas correntes</t>
  </si>
  <si>
    <t>SMASDH</t>
  </si>
  <si>
    <t>INSTITUTO CULTURAL ESPORTIVO E SOCIAL BACANA DEMAIS ICESBADE</t>
  </si>
  <si>
    <t>20997880000120</t>
  </si>
  <si>
    <t>Associações Diversas</t>
  </si>
  <si>
    <t>1300</t>
  </si>
  <si>
    <t>2022_ALVARO_DAMIAO_293_01</t>
  </si>
  <si>
    <t>293</t>
  </si>
  <si>
    <t>Ao reforço à dotação orçamentária para reforma e manutenção do Centro de Saúde Efigênia Murta Figueiredo, localizado na Rua Serra do Cipó, 170, bairro Conjunto Ribeiro de Abreu;</t>
  </si>
  <si>
    <t>-</t>
  </si>
  <si>
    <t>Rua Serra do Cipó, 170, bairro Conjunto Ribeiro de Abreu</t>
  </si>
  <si>
    <t>Centro de Saúde Efigênia Murta Figueiredo, localizado na Rua Serra do Cipó, 170, bairro Conjunto Ribeiro de Abreu;</t>
  </si>
  <si>
    <t>2022_ALVARO_DAMIAO_294_01</t>
  </si>
  <si>
    <t>294</t>
  </si>
  <si>
    <t>Ao recapeamento asfáltico no bairro Concórdia;</t>
  </si>
  <si>
    <t>2700.1100.15.451.062.1.230.449051</t>
  </si>
  <si>
    <t>2700</t>
  </si>
  <si>
    <t>SECRETARIA MUNICIPAL DE OBRAS E INFRAESTRUTURA</t>
  </si>
  <si>
    <t>15</t>
  </si>
  <si>
    <t>Urbanismo</t>
  </si>
  <si>
    <t>451</t>
  </si>
  <si>
    <t>Infra-Estrutura Urbana</t>
  </si>
  <si>
    <t>0062</t>
  </si>
  <si>
    <t>Gestão do Sistema Viário Municipal</t>
  </si>
  <si>
    <t>1230</t>
  </si>
  <si>
    <t>Implantação e Reconstrução de Vias Públicas</t>
  </si>
  <si>
    <t>SMOBI</t>
  </si>
  <si>
    <t>LM CONSTRUCOES E PAVIMENTACOES LTDA</t>
  </si>
  <si>
    <t>1631484000130</t>
  </si>
  <si>
    <t>1002</t>
  </si>
  <si>
    <t>bairro Concórdia</t>
  </si>
  <si>
    <t>2022_ALVARO_DAMIAO_295_01</t>
  </si>
  <si>
    <t>295</t>
  </si>
  <si>
    <t>Cancelada</t>
  </si>
  <si>
    <t>2022_ALVARO_DAMIAO_296_01</t>
  </si>
  <si>
    <t>296</t>
  </si>
  <si>
    <t>2022_ALVARO_DAMIAO_297_01</t>
  </si>
  <si>
    <t>297</t>
  </si>
  <si>
    <t>Ao recapeamento asfáltico da Rua Saquarema, no trecho situado entre as ruas Jequiriçá e Juparanã, com extensão aproximada de 100 m (cem metros) com 5 cm (cinco centímetros) de espessura, no Bairro Concórdia;</t>
  </si>
  <si>
    <t>Rua Saquarema, no trecho situado entre as ruas Jequiriçá e Juparanã, com extensão aproximada de 100 m (cem metros) com 5 cm (cinco centímetros) de espessura, no Bairro Concórdia;</t>
  </si>
  <si>
    <t>2022_ALVARO_DAMIAO_298_01</t>
  </si>
  <si>
    <t>298</t>
  </si>
  <si>
    <t>Ao recapeamento asfáltico da Rua Jacuípe, no trecho situado entre as ruas Itaquera e Itapeva, com extensão aproximada de 100 m (cem metros) e 5 cm (cinco centímetros) de espessura, no Bairro Concórdia;</t>
  </si>
  <si>
    <t>Rua Jacuípe, no trecho situado entre as ruas Itaquera e Itapeva, com extensão aproximada de 100 m (cem metros) e 5 cm (cinco centímetros) de espessura, no Bairro Concórdia;</t>
  </si>
  <si>
    <t>2022_ALVARO_DAMIAO_299_01</t>
  </si>
  <si>
    <t>299</t>
  </si>
  <si>
    <t>Ao reforço de dotação orçamentária da Empresa Municipal de Turismo de Belo Horizonte S/A visando o desenvolvimento econômico do turismo e o fomento do carnaval em Belo Horizonte;</t>
  </si>
  <si>
    <t>2805.1100.23.695.086.2.629.339039</t>
  </si>
  <si>
    <t>2805</t>
  </si>
  <si>
    <t>EMPRESA MUNICIPAL DE TURISMO DE BELO HORIZONTE S/A</t>
  </si>
  <si>
    <t>23</t>
  </si>
  <si>
    <t>Comércio e Serviços</t>
  </si>
  <si>
    <t>695</t>
  </si>
  <si>
    <t>Turismo</t>
  </si>
  <si>
    <t>0086</t>
  </si>
  <si>
    <t>Fomento ao Turismo de Lazer, Eventos e Negócios</t>
  </si>
  <si>
    <t>2629</t>
  </si>
  <si>
    <t>Desenvolvimento e Promoção do Turismo</t>
  </si>
  <si>
    <t>BELOTUR</t>
  </si>
  <si>
    <t>LOCABET MAQUINAS E EQUIPAMENTOS LTDA</t>
  </si>
  <si>
    <t>3778642000104</t>
  </si>
  <si>
    <t>1524</t>
  </si>
  <si>
    <t>2022_BELLA_GONCALVES_607_01</t>
  </si>
  <si>
    <t>2022_BELLA_GONCALVES</t>
  </si>
  <si>
    <t>607</t>
  </si>
  <si>
    <t>Bella Gonçalves</t>
  </si>
  <si>
    <t>PSOL</t>
  </si>
  <si>
    <t>Ao reforço da subação 0001 - Política Municipal Cultura Viva, inserida na ação 2930 - Promoção e democratização do acesso à cultura e no programa 0154 - Promoção e Acesso às Artes e à Cultura;</t>
  </si>
  <si>
    <t>3100.13.392.154.2930.339039</t>
  </si>
  <si>
    <t>3100</t>
  </si>
  <si>
    <t>SECRETARIA MUNICIPAL DE CULTURA</t>
  </si>
  <si>
    <t>13</t>
  </si>
  <si>
    <t>Cultura</t>
  </si>
  <si>
    <t>392</t>
  </si>
  <si>
    <t>Difusão Cultural</t>
  </si>
  <si>
    <t>0154</t>
  </si>
  <si>
    <t>Promoção e Acesso às Artes e à Cultura</t>
  </si>
  <si>
    <t>2930</t>
  </si>
  <si>
    <t>PROMOÇÃO E DEMOCRATIZAÇÃO DO ACESSO À CULTURA</t>
  </si>
  <si>
    <t>SMC</t>
  </si>
  <si>
    <t>ASSOCIACAO MOVIMENTO DE TEATRO DE GRUPO DE MINAS GERAIS
ASSOCIACAO DE RESISTENCIA CULTURAL DA COMUNIDADE QUILOMBOLA MANZO NGUNZO KAIANGO
ASSOCIACAO DE RESISTENCIA CULTURAL DA COMUNIDADE QUILOMBOLA MANZO NGUNZO KAIANGO</t>
  </si>
  <si>
    <t>00784491000109
07981042000108
07981042000108</t>
  </si>
  <si>
    <t>2300</t>
  </si>
  <si>
    <t>2022_BELLA_GONCALVES_634_01</t>
  </si>
  <si>
    <t>634</t>
  </si>
  <si>
    <t>Ao reforço da subação 0006 atendimento da população na rede de saúde mental; ação 2891 rede especializada; programa 0114 Atenção secundária e terciária à saúde;</t>
  </si>
  <si>
    <t>2302.10.302.114.2891.339039</t>
  </si>
  <si>
    <t>302</t>
  </si>
  <si>
    <t>Assistência Hospitalar e Ambulatorial</t>
  </si>
  <si>
    <t>0114</t>
  </si>
  <si>
    <t>Atenção Secundária e Terciária à Saúde</t>
  </si>
  <si>
    <t>2891</t>
  </si>
  <si>
    <t>Rede Especializada</t>
  </si>
  <si>
    <t>NUTRIVIP ALIMENTACAO LTDA.
ORGANIZACOES PAULA E CASTRO LTDA
ASSOCIACAO DE TRABALHO E PRODUCAO SOLIDARIA - SURICATO
MOVIMENTO DE PROMOCAO E ASSISTENCIA SOCIAL SOPAO MINEIRO
CARITAS BRASILEIRA
CARITAS BRASILEIRA
CONSORCIO OPERACIONAL DO TRANSPORTE COLETIVO DE PASSAGEIROS POR ONIBUS DO MUNICIPIO DE BELO HORIZONTE
CONSORCIO OPERACIONAL DO TRANSPORTE COLETIVO DE PASSAGEIROS POR ONIBUS DO MUNICIPIO DE BELO HORIZONTE</t>
  </si>
  <si>
    <t>09487591000571
01940433000270
08808991000145
38731899000195
33654419000892
33654419000892
04398505000107
04398505000107</t>
  </si>
  <si>
    <t>0333</t>
  </si>
  <si>
    <t>2022_BELLA_GONCALVES_674_01</t>
  </si>
  <si>
    <t>674</t>
  </si>
  <si>
    <t>Ao reforço de dotação orçamentária na subação 004 (Implantação e agricultura em Unidades Produtivas Coletivas/Comunitárias), ação 2121 (Fortalecimento da Produção da Agricultura Urbana Agroecológica), 308 (BH Cidade Sustentável: Mobilizar, Educar e Cultivar Alimentação Saudável) para implantação e manutenção de Sistemas de produção agroecológicos nos 5 Territórios Quilombolas de Belo Horizonte: Quilombo Mangueiras, Quilombo Luízes, Quilombo Manzo Ngunzo Kaiango e Quilombo Souza e Quilombo Matia;</t>
  </si>
  <si>
    <t>1010.20.608.308.2121.339039</t>
  </si>
  <si>
    <t>1010</t>
  </si>
  <si>
    <t>FUNDO MUNICIPAL DE SEGURANÇA ALIMENTAR E NUTRICIONAL</t>
  </si>
  <si>
    <t>20</t>
  </si>
  <si>
    <t>Agricultura</t>
  </si>
  <si>
    <t>608</t>
  </si>
  <si>
    <t>Promoção da Produção Agropecuária</t>
  </si>
  <si>
    <t>0308</t>
  </si>
  <si>
    <t>BH Cidade Sustentável: Mobilizar, Educar e Cultivar Alimentação Saudável</t>
  </si>
  <si>
    <t>2121</t>
  </si>
  <si>
    <t>Fortalecimento da Produção da Agricultura Urbana Agroecológica</t>
  </si>
  <si>
    <t>BAMBUZERIA CRUZEIRO DO SUL
BAMBUZERIA CRUZEIRO DO SUL</t>
  </si>
  <si>
    <t>03211130000161
03211130000161</t>
  </si>
  <si>
    <t>2102</t>
  </si>
  <si>
    <t>5 Territórios Quilombolas de Belo Horizonte: Quilombo Mangueiras, Quilombo Luízes, Quilombo Manzo Ngunzo Kaiango e Quilombo Souza e Quilombo Matia</t>
  </si>
  <si>
    <t>quilombolas</t>
  </si>
  <si>
    <t>2022_BELLA_GONCALVES_684_01</t>
  </si>
  <si>
    <t>684</t>
  </si>
  <si>
    <t>Ao reforço de dotação orçamentária para a subação 0004 - CENTRO DE EDUCAÇÃO AMBIENTAL DE INCLUSÃO PRODUTIVA VOLTADA PARA EMPREGOS VERDES; ação: 2913 - Capacitação e Conscientização Ambiental. promoção de sustentabilidade, educação ambiental; Programa 0307 - SUSTENTABILIDADE, EDUCAÇÃO AMBIENTAL E MODERNIZAÇÃO DA GESTÃO AMBIENTAL visando a gestão ambiental nos quilombos urbanos de Belo Horizonte;</t>
  </si>
  <si>
    <t>2500.18.541.307.2913.339039</t>
  </si>
  <si>
    <t>2500</t>
  </si>
  <si>
    <t>SECRETARIA MUNICIPAL DE MEIO AMBIENTE</t>
  </si>
  <si>
    <t>18</t>
  </si>
  <si>
    <t>Gestão Ambiental</t>
  </si>
  <si>
    <t>541</t>
  </si>
  <si>
    <t>Preservação e Conservação Ambiental</t>
  </si>
  <si>
    <t>0307</t>
  </si>
  <si>
    <t>Sustentabilidade, Educação Ambiental e Modernização da Gestão Ambiental</t>
  </si>
  <si>
    <t>2913</t>
  </si>
  <si>
    <t>Capacitação e Conscientização Ambiental</t>
  </si>
  <si>
    <t>SMMA</t>
  </si>
  <si>
    <t>2022_BELLA_GONCALVES_730_01</t>
  </si>
  <si>
    <t>730</t>
  </si>
  <si>
    <t>Ao reforço de dotação orçamentária para garantia do acesso ao direito de retificação do social para pessoas travestis e/ou transexuais;</t>
  </si>
  <si>
    <t>1000.14.422.127.2928.339039</t>
  </si>
  <si>
    <t>1000</t>
  </si>
  <si>
    <t>SECRETARIA MUNICIPAL DE ASSISTÊNCIA SOCIAL, SEGURANÇA ALIMENTAR E CIDADANIA</t>
  </si>
  <si>
    <t>14</t>
  </si>
  <si>
    <t>Direitos da Cidadania</t>
  </si>
  <si>
    <t>422</t>
  </si>
  <si>
    <t>Direitos Individuais, Coletivos e Difusos</t>
  </si>
  <si>
    <t>0127</t>
  </si>
  <si>
    <t>Promoção e Defesa de Direitos Humanos e Cidadania</t>
  </si>
  <si>
    <t>2928</t>
  </si>
  <si>
    <t>Promoção, Proteção e Defesa das pessoas LGBT</t>
  </si>
  <si>
    <t>INSTITUTO DE PROMOCAO SOCIAL E HUMANA DARCY RIBEIRO</t>
  </si>
  <si>
    <t>00794227000156</t>
  </si>
  <si>
    <t>0202</t>
  </si>
  <si>
    <t>trans/travestis</t>
  </si>
  <si>
    <t>2022_BELLA_GONCALVES_746_01</t>
  </si>
  <si>
    <t>746</t>
  </si>
  <si>
    <t>Ao reforço de dotação orçamentária para a Subação 0005 - PROMOÇÃO, PROTEÇÃO E DEFESA DE DIREITOS HUMANOS E CIDADANIA com foco em ações de formação, capacitação, serviços, cursos, programas, projetos e benefícios mitigadores de vulnerabilidade social para a população LGBTQl;</t>
  </si>
  <si>
    <t>1019.14.422.127.2335.339036</t>
  </si>
  <si>
    <t>1019</t>
  </si>
  <si>
    <t>FUNDO MUNICIPAL DE PROTEÇÃO E DEFESA DAS MINORIAS</t>
  </si>
  <si>
    <t>2335</t>
  </si>
  <si>
    <t>Gestão da Política de Direitos Humanos e de Cidadania</t>
  </si>
  <si>
    <t>339036</t>
  </si>
  <si>
    <t>F ALVES DE QUEIROZ LTDA</t>
  </si>
  <si>
    <t>17599187000194</t>
  </si>
  <si>
    <t>LGBT</t>
  </si>
  <si>
    <t>2022_BELLA_GONCALVES_747_01</t>
  </si>
  <si>
    <t>747</t>
  </si>
  <si>
    <t>Ao reforço de dotação orçamentária da Subação 0005 - PROMOÇÃO, PROTEÇÃO E DEFESA DE DIREITOS HUMANOS E CIDADANIA com foco em ações de formação, capacitação, serviços, cursos, oficinas e projetos, a partir referências de notório saber popular, voltadas às minorias;</t>
  </si>
  <si>
    <t>0200</t>
  </si>
  <si>
    <t>2022_BELLA_GONCALVES_860_01</t>
  </si>
  <si>
    <t>860</t>
  </si>
  <si>
    <t>Ao reforço de dotação do projeto Arte de Saúde da Rede de Saúde Mental;</t>
  </si>
  <si>
    <t>2302.10.302.114.2891.335043</t>
  </si>
  <si>
    <t>335043</t>
  </si>
  <si>
    <t>CARITAS BRASILEIRA</t>
  </si>
  <si>
    <t>33654419000892</t>
  </si>
  <si>
    <t>2022_BIM_DA_AMBULANCIA_780_01</t>
  </si>
  <si>
    <t>2022_BIM_DA_AMBULANCIA</t>
  </si>
  <si>
    <t>780</t>
  </si>
  <si>
    <t>Bim da Ambulância</t>
  </si>
  <si>
    <t>PSD</t>
  </si>
  <si>
    <t>Destinação de recursos para a Associação Mineira de Educação Continuada - ASMEC, CNPJ: 05.263.848/0001-27, para a execução de atividades socioassistenciais, de acordo com o disposto na Lei Federal nº 8.742/93, em consonância com a referida inscrição no Conselho Municipal de Assistência Social de Belo Horizonte – CMAS-BH;</t>
  </si>
  <si>
    <t>1011.08.244.113.2804.339039</t>
  </si>
  <si>
    <t>ASSOCIACAO MINEIRA DE EDUCACAO CONTINUADA ASMEC
ASSOCIACAO MINEIRA DE EDUCACAO CONTINUADA ASMEC</t>
  </si>
  <si>
    <t>05263848000127
05263848000127</t>
  </si>
  <si>
    <t>criancas e adolescentes</t>
  </si>
  <si>
    <t>2022_BIM_DA_AMBULANCIA_788_01</t>
  </si>
  <si>
    <t>788</t>
  </si>
  <si>
    <t>Impedimento Técnico</t>
  </si>
  <si>
    <t>Reforço à dotação para reforma do Campo de Futebol Milan, localizado na Rua Flávio Sampaio, 408, no bairro Serra Verde;</t>
  </si>
  <si>
    <t>Rua Flávio Sampaio, 408, no bairro Serra Verde</t>
  </si>
  <si>
    <t>Campo de Futebol Milan, localizado na Rua Flávio Sampaio, 408, no bairro Serra Verde</t>
  </si>
  <si>
    <t>2022_BIM_DA_AMBULANCIA_789_01</t>
  </si>
  <si>
    <t>789</t>
  </si>
  <si>
    <t>Reforço à dotação para reforma do Campo no bairro Serra Verde, localizado na Rua Guido Leão, 501 no bairro Serra Verde;</t>
  </si>
  <si>
    <t>Rua Guido Leão, 501 no bairro Serra Verde;</t>
  </si>
  <si>
    <t>Campo no bairro Serra Verde, localizado na Rua Guido Leão, 501 no bairro Serra Verde;</t>
  </si>
  <si>
    <t>2022_BIM_DA_AMBULANCIA_853_01</t>
  </si>
  <si>
    <t>853</t>
  </si>
  <si>
    <t>Aquisição de kit EPI para a guarda municipal com destinação de R$66.000 segundo subação 0001 da ação 2802;</t>
  </si>
  <si>
    <t>2100.06.122.109.2802.449052</t>
  </si>
  <si>
    <t>2100</t>
  </si>
  <si>
    <t>SECRETARIA MUNICIPAL DE SEGURANÇA E PREVENÇÃO</t>
  </si>
  <si>
    <t>06</t>
  </si>
  <si>
    <t>Segurança Pública</t>
  </si>
  <si>
    <t>0109</t>
  </si>
  <si>
    <t>Operacionalização dos serviços de segurança</t>
  </si>
  <si>
    <t>2802</t>
  </si>
  <si>
    <t>Gestão da Política de Segurança e Prevenção</t>
  </si>
  <si>
    <t>449052</t>
  </si>
  <si>
    <t>SMSP</t>
  </si>
  <si>
    <t>O. FILIZZOLA   CIA. LTDA.   EPP</t>
  </si>
  <si>
    <t>61182424000109</t>
  </si>
  <si>
    <t>1201</t>
  </si>
  <si>
    <t>2022_BRAULIO_LARA_741_01</t>
  </si>
  <si>
    <t>2022_BRAULIO_LARA</t>
  </si>
  <si>
    <t>741</t>
  </si>
  <si>
    <t>Braulio Lara</t>
  </si>
  <si>
    <t>NOVO</t>
  </si>
  <si>
    <t>Ao reforço de dotação orçamentária para estudos, projetos e implantação de acessos e/ou outras benfeitorias no bairro Buritis, em especial, na Rua Elza Beatriz de Araújo, que interliga à Rua Tereza Mota Valadares com a Rua Maria Heilbuth Surette; Rua Márcio Maia Ferreira, que interliga à Av. Professor Mário Werneck com a Rua Eli Seabra Filho; e Rua VDP3981, que interliga a Rua Deputado Sebastião Nascimento com a Rua Deputado Fábio Vasconcelos; e estudos, projetos e implantação de pista de Skate na Praça Moisés Kalil, dentre outros;</t>
  </si>
  <si>
    <t>-2700.15.451.233.1208.449051</t>
  </si>
  <si>
    <t>0233</t>
  </si>
  <si>
    <t>Manutenção da Cidade</t>
  </si>
  <si>
    <t>1208</t>
  </si>
  <si>
    <t>Conservação de Vias Urbanas</t>
  </si>
  <si>
    <t>ESTRUTURA ENGENHARIA E CONSTRUCAO LTDA.
ESTRUTURA ENGENHARIA E CONSTRUCAO LTDA.
TECHVIAS ENGENHARIA LTDA</t>
  </si>
  <si>
    <t>19590967000107
19590967000107
11871903000164</t>
  </si>
  <si>
    <t>1403</t>
  </si>
  <si>
    <t>Rua Elza Beatriz de Araújo, que interliga à Rua Tereza Mota Valadares com a Rua Maria Heilbuth Surette; Rua Márcio Maia Ferreira, que interliga à Av. Professor Mário Werneck com a Rua Eli Seabra Filho; e Rua VDP3981, que interliga a Rua Deputado Sebastião Nascimento com a Rua Deputado Fábio Vasconcelos; e estudos, projetos e implantação de pista de Skate na Praça Moisés Kalil, dentre outros;</t>
  </si>
  <si>
    <t>2022_BRAULIO_LARA_742_01</t>
  </si>
  <si>
    <t>742</t>
  </si>
  <si>
    <t>Destinação de recursos para a Instituto Pedra Viva, CNPJ: 08.878.503/0001-76, para a execução de atividades socioassistenciais, de acordo com o disposto na Lei Federal nº 8.742/93, em consonância com a referida inscrição no Conselho Municipal de Assistência Social de Belo Horizonte – CMAS-BH;</t>
  </si>
  <si>
    <t>INSTITUTO PEDRA VIVA</t>
  </si>
  <si>
    <t>08878503000176</t>
  </si>
  <si>
    <t>2022_BRAULIO_LARA_743_01</t>
  </si>
  <si>
    <t>743</t>
  </si>
  <si>
    <t>Novo</t>
  </si>
  <si>
    <t>Ao reforço de dotação orçamentária para complemento de obras da Rua VDP3981, conforme CP273009M, que interliga a Rua Deputado Sebastião Nascimento com a Rua Deputado Fábio Vasconcelos Plano de Obras 0505: L4-U- URB-11: Taquaril 1a Etapa;</t>
  </si>
  <si>
    <t>Rua VDP3981, conforme CP273009M, que interliga a Rua Deputado Sebastião Nascimento com a Rua Deputado Fábio Vasconcelos Plano de Obras 0505: L4-U- URB-11: Taquaril 1a Etapa;</t>
  </si>
  <si>
    <t>2022_BRAULIO_LARA_800_01</t>
  </si>
  <si>
    <t>800</t>
  </si>
  <si>
    <t>Ao reforço de dotação orçamentária destinada ao Centro de Saúde Havaí (R. Manila, 432 - Estrela Dalva, Belo Horizonte - MG, 30570-360), para contratação de serviços ligados a manutenções, melhorias e revitalização de instalações;</t>
  </si>
  <si>
    <t>2302.10.301.157.2902.336783</t>
  </si>
  <si>
    <t>301</t>
  </si>
  <si>
    <t>Atenção Básica</t>
  </si>
  <si>
    <t>0157</t>
  </si>
  <si>
    <t>Atenção Primária à Saúde</t>
  </si>
  <si>
    <t>2902</t>
  </si>
  <si>
    <t>Gestão das Parcerias Público-Privadas</t>
  </si>
  <si>
    <t>336783</t>
  </si>
  <si>
    <t>SPE SAUDE PRIMARIA BH S/A</t>
  </si>
  <si>
    <t>23921007000141</t>
  </si>
  <si>
    <t>Centro de Saúde Havaí (R. Manila, 432 - Estrela Dalva, Belo Horizonte - MG, 30570-360)</t>
  </si>
  <si>
    <t>2022_BRAULIO_LARA_801_01</t>
  </si>
  <si>
    <t>801</t>
  </si>
  <si>
    <t>Ao reforço de dotação orçamentária destinada ao Centro de Saúde Palmeiras (Av. Dom João VI, 1821 - Palmeiras, Belo Horizonte - MG, 30575-460), para contratação de serviços ligados a manutenções, melhorias e revitalização de instalações;</t>
  </si>
  <si>
    <t>2302.10.122.117.1216.449051</t>
  </si>
  <si>
    <t>CONSTRUTORA CAMPOS E FILHOS LTDA.</t>
  </si>
  <si>
    <t>Centro de Saúde Palmeiras (Av. Dom João VI, 1821 - Palmeiras, Belo Horizonte - MG, 30575-460)</t>
  </si>
  <si>
    <t>2022_BRAULIO_LARA_802_01</t>
  </si>
  <si>
    <t>802</t>
  </si>
  <si>
    <t>Ao reforço de dotação orçamentária destinada ao Centro de Saúde Vila Leonina (Praça do Ensino, 240 - Alpes, Belo Horizonte - MG, 30421-484), para contratação de serviços ligados a manutenções, melhorias e revitalização de instalações;</t>
  </si>
  <si>
    <t>MAUMA ENGENHARIA E SERVICOS LTDA.</t>
  </si>
  <si>
    <t>02496187000191</t>
  </si>
  <si>
    <t>Centro de Saúde Vila Leonina (Praça do Ensino, 240 - Alpes, Belo Horizonte - MG, 30421-484)</t>
  </si>
  <si>
    <t>2022_BRAULIO_LARA_803_01</t>
  </si>
  <si>
    <t>803</t>
  </si>
  <si>
    <t>Ao reforço de dotação orçamentária destinada ao Centro de Saúde Salgado Filho (R. Campína Verde, 375 - Salgado Filho, Belo Horizonte - MG, 30550-340), para contratação de serviços ligados a manutenções, melhorias e revitalização de instalações;</t>
  </si>
  <si>
    <t>Centro de Saúde Salgado Filho (R. Campína Verde, 375 - Salgado Filho, Belo Horizonte - MG, 30550-340)</t>
  </si>
  <si>
    <t>2022_BRAULIO_LARA_804_01</t>
  </si>
  <si>
    <t>804</t>
  </si>
  <si>
    <t>Ao reforço de dotação orçamentária destinada ao Centro de Saúde Betânia, para realização de manutenções, melhorias e revitalização de instalações;</t>
  </si>
  <si>
    <t>Centro de Saúde Betânia</t>
  </si>
  <si>
    <t>2022_BRAULIO_LARA_805_01</t>
  </si>
  <si>
    <t>805</t>
  </si>
  <si>
    <t>Ao reforço de dotação orçamentária destinada ao Centro de Saúde de Amilcar Vianna Martins (R. Nelson de Senna, 90 - Cinquentenário, Belo Horizonte - MG, 30570-060), para contratação de serviços ligados a manutenções, melhorias e revitalização de instalações;</t>
  </si>
  <si>
    <t>MAUMA ENGENHARIA E SERVICOS LTDA.
MAUMA ENGENHARIA E SERVICOS LTDA.</t>
  </si>
  <si>
    <t>02496187000191
02496187000191</t>
  </si>
  <si>
    <t>Centro de Saúde de Amilcar Vianna Martins (R. Nelson de Senna, 90 - Cinquentenário, Belo Horizonte - MG, 30570-060)</t>
  </si>
  <si>
    <t>2022_BRAULIO_LARA_806_01</t>
  </si>
  <si>
    <t>806</t>
  </si>
  <si>
    <t>Ao reforço de dotação orçamentária destinada ao Centro de Saúde Vila Imperial (Rua Guilherme Pinto da Fonseca, 350 - Me. Gertrudes, Belo Horizonte - MG, 30518-240), para contratação de serviços ligados a manutenções, melhorias e revitalização de instalações;</t>
  </si>
  <si>
    <t>Centro de Saúde Vila Imperial (Rua Guilherme Pinto da Fonseca, 350 - Me. Gertrudes, Belo Horizonte - MG, 30518-240)</t>
  </si>
  <si>
    <t>2022_BRAULIO_LARA_807_01</t>
  </si>
  <si>
    <t>807</t>
  </si>
  <si>
    <t>Ao reforço de dotação orçamentária destinada ao Centro de Saúde de Cabana (R. Centro Social, 536 - Cabana, Belo Horizonte - MG, 30510-670) e ao Centro de Saúde Cícero Ildefonso (R. Caviana, 77, Jardinópolis, Belo Horizonte - MG, 30510-510), para contratação de serviços ligados a manutenções, melhorias e revitalização de instalações;</t>
  </si>
  <si>
    <t>Centro de Saúde de Cabana (R. Centro Social, 536 - Cabana, Belo Horizonte - MG, 30510-670) e ao Centro de Saúde Cícero Ildefonso (R. Caviana, 77, Jardinópolis, Belo Horizonte - MG, 30510-510)</t>
  </si>
  <si>
    <t>2022_BRAULIO_LARA_808_01</t>
  </si>
  <si>
    <t>808</t>
  </si>
  <si>
    <t>Ao reforço de dotação orçamentária destinada ao Centro de Saúde Ventosa, para contraprestação de serviços ligados a manutenção, melhorias e adequações de instalações;</t>
  </si>
  <si>
    <t>Centro de Saúde Ventosa</t>
  </si>
  <si>
    <t>2022_BRAULIO_LARA_809_01</t>
  </si>
  <si>
    <t>809</t>
  </si>
  <si>
    <t>Ao reforço de dotação orçamentária destinada ao Centro de Saúde Pilar Olhos D’água (R. São Pedro da Aldeia, 55 - Pilar, Belo Horizonte - MG, 30390-000), para contratação de serviços ligados a manutenções, melhorias e revitalização de instalações;</t>
  </si>
  <si>
    <t>MCM EMPREENDIMENTOS EIRELI   EPP</t>
  </si>
  <si>
    <t>15211038000180</t>
  </si>
  <si>
    <t>Centro de Saúde Pilar Olhos D’água (R. São Pedro da Aldeia, 55 - Pilar, Belo Horizonte - MG, 30390-000)</t>
  </si>
  <si>
    <t>2022_BRAULIO_LARA_810_01</t>
  </si>
  <si>
    <t>810</t>
  </si>
  <si>
    <t>Ao reforço de dotação orçamentária destinada ao Centro de Saúde Serrano, para contraprestação de serviços ligados a manutenção, melhorias e adequações de instalações;</t>
  </si>
  <si>
    <t>Centro de Saúde Serrano</t>
  </si>
  <si>
    <t>2022_BRAULIO_LARA_811_01</t>
  </si>
  <si>
    <t>811</t>
  </si>
  <si>
    <t>Ao reforço de dotação orçamentária destinada a UPA Oeste (Av. Barão Homem de Melo, 1710 - Jardim América, Belo Horizonte - MG, 30160-090), para contratação de serviços ligados a manutenções, melhorias e revitalização de instalações;</t>
  </si>
  <si>
    <t>UPA Oeste (Av. Barão Homem de Melo, 1710 - Jardim América, Belo Horizonte - MG, 30160-090)</t>
  </si>
  <si>
    <t>2022_BRAULIO_LARA_829_01</t>
  </si>
  <si>
    <t>829</t>
  </si>
  <si>
    <t>Ao reforço de dotação orçamentária destinada ao Centro de Saúde Santa Terezinha, localizado na Rua Senador Virgílio Távora, n. 157, bairro Santa Terezinha, Belo Horizonte/MG, CEP 31.620-210, para contratação de serviços ligados a manutenções, melhorias e revitalização de instalações;</t>
  </si>
  <si>
    <t>CONSTRUTORA TORQUETE GONCALVES LTDA</t>
  </si>
  <si>
    <t>71354922000145</t>
  </si>
  <si>
    <t>Centro de Saúde Santa Terezinha, localizado na Rua Senador Virgílio Távora, n. 157, bairro Santa Terezinha, Belo Horizonte/MG, CEP 31.620-210</t>
  </si>
  <si>
    <t>2022_BRAULIO_LARA_830_01</t>
  </si>
  <si>
    <t>830</t>
  </si>
  <si>
    <t>Ao reforço de dotação orçamentária para revitalização de espaço e construção de espaço para desenvolvimento de atividades físicas, na interseção da Rua Estrada do Cercadinho e da Rua Olenka Dias Bicalho, no bairro Vila Ventosa;</t>
  </si>
  <si>
    <t>2700.18.541.233.2811.449051</t>
  </si>
  <si>
    <t>2811</t>
  </si>
  <si>
    <t>Serviços de Manutenção de Praças, Jardins e Arborização da Cidade</t>
  </si>
  <si>
    <t>JTT LOCACOES E SERVICOS LTDA.</t>
  </si>
  <si>
    <t>07823480000130</t>
  </si>
  <si>
    <t>Rua Estrada do Cercadinho e da Rua Olenka Dias Bicalho, no bairro Vila Ventosa</t>
  </si>
  <si>
    <t>2022_BRAULIO_LARA_831_01</t>
  </si>
  <si>
    <t>831</t>
  </si>
  <si>
    <t>Ao reforço de dotação orçamentária destinada ao Centro de Saúde Noraldino de Lima, localizado na Av. Amazonas, n. 4373, bairro Nova Suíça, Belo Horizonte/MG, CEP 30.421-169, para contratação de serviços ligados a manutenções, melhorias e revitalização de instalações;</t>
  </si>
  <si>
    <t>Centro de Saúde Noraldino de Lima, localizado na Av. Amazonas, n. 4373, bairro Nova Suíça, Belo Horizonte/MG, CEP 30.421-169</t>
  </si>
  <si>
    <t>2022_BRAULIO_LARA_832_01</t>
  </si>
  <si>
    <t>832</t>
  </si>
  <si>
    <t>Ao reforço de dotação orçamentária destinada ao repasse para a Associação Mario Penna;</t>
  </si>
  <si>
    <t>2302.10.302.114.2894.339039</t>
  </si>
  <si>
    <t>2894</t>
  </si>
  <si>
    <t>Rede Hospitalar</t>
  </si>
  <si>
    <t>ASSOCIACAO MARIO PENNA</t>
  </si>
  <si>
    <t>17513235000180</t>
  </si>
  <si>
    <t>Hospitais</t>
  </si>
  <si>
    <t>Associação Mario Penna</t>
  </si>
  <si>
    <t>2022_BRAULIO_LARA_833_01</t>
  </si>
  <si>
    <t>833</t>
  </si>
  <si>
    <t>Ao reforço de dotação orçamentária destinada ao repasse para a Fundação Benjamin Guimarães (Hospital da Baleia);</t>
  </si>
  <si>
    <t>FUNDACAO BENJAMIN GUIMARAES</t>
  </si>
  <si>
    <t>17200429000125</t>
  </si>
  <si>
    <t>Fundação Benjamin Guimarães (Hospital da Baleia)</t>
  </si>
  <si>
    <t>2022_BRAULIO_LARA_834_01</t>
  </si>
  <si>
    <t>834</t>
  </si>
  <si>
    <t>Ao reforço de dotação orçamentária destinada ao repasse para o Hospital Metropolitano Dr. Célio de Castro;</t>
  </si>
  <si>
    <t>SERVICO SOCIAL AUTONOMO HOSPITAL METROPOLITANO DOUTOR CELIO DE CASTRO</t>
  </si>
  <si>
    <t>22012907000103</t>
  </si>
  <si>
    <t>Hospital Metropolitano Dr. Célio de Castro</t>
  </si>
  <si>
    <t>2022_BRAULIO_LARA_835_01</t>
  </si>
  <si>
    <t>835</t>
  </si>
  <si>
    <t>Ao reforço de dotação orçamentária destinada ao repasse para a Fundação de Assistência Integral a Saúde - Hospital Sofia Feldman;</t>
  </si>
  <si>
    <t>FUNDACAO DE ASSISTENCIA INTEGRAL A SAUDE   FAIS</t>
  </si>
  <si>
    <t>25459256000192</t>
  </si>
  <si>
    <t>0332</t>
  </si>
  <si>
    <t>Hospital Sofia Feldman</t>
  </si>
  <si>
    <t>gestantes;parturientes;puérperas;recém-nascidos</t>
  </si>
  <si>
    <t>2022_BRAULIO_LARA_836_01</t>
  </si>
  <si>
    <t>836</t>
  </si>
  <si>
    <t>Ao reforço de dotação orçamentária destinada ao repasse para a Santa Casa de Misericórdia de Belo Horizonte;</t>
  </si>
  <si>
    <t>SANTA CASA DE MISERICORDIA DE BELO HORIZONTE</t>
  </si>
  <si>
    <t>17209891000193</t>
  </si>
  <si>
    <t>Santa Casa de Misericórdia de Belo Horizonte</t>
  </si>
  <si>
    <t>2022_BRAULIO_LARA_837_01</t>
  </si>
  <si>
    <t>837</t>
  </si>
  <si>
    <t>Ao reforço de dotação orçamentária destinada ao repasse para a Associação Evangélica Beneficente de Minas Gerais - AEBMG;</t>
  </si>
  <si>
    <t>ASSOCIACAO EVANGELICA BENEFICENTE DE MINAS GERAIS</t>
  </si>
  <si>
    <t>17214743000167</t>
  </si>
  <si>
    <t>Associação Evangélica Beneficente de Minas Gerais - AEBMG;</t>
  </si>
  <si>
    <t>2022_BRAULIO_LARA_838_01</t>
  </si>
  <si>
    <t>838</t>
  </si>
  <si>
    <t>Ao reforço de dotação orçamentária destinada ao Centro de Saúde Ouro Preto, localizado na Rua Jonas Jean, n. 77, bairro Ouro Preto, Belo Horizonte/MG, CEP 31.320-335, para contratação de serviços ligados a manutenções, melhorias e revitalização de instalações;</t>
  </si>
  <si>
    <t>Centro de Saúde Ouro Preto, localizado na Rua Jonas Jean, n. 77, bairro Ouro Preto, Belo Horizonte/MG, CEP 31.320-335</t>
  </si>
  <si>
    <t>2022_BRAULIO_LARA_854_01</t>
  </si>
  <si>
    <t>854</t>
  </si>
  <si>
    <t>Ao reforço de dotação orçamentária para pintura e revitalização da quadra poliesportiva no Parque Ageo Pio Sobrinho, situado na Av. Professor Mário Werneck, 2691 - Buritis;</t>
  </si>
  <si>
    <t>quadra poliesportiva no Parque Ageo Pio Sobrinho, situado na Av. Professor Mário Werneck, 2691 - Buritis</t>
  </si>
  <si>
    <t>2022_BRAULIO_LARA_859_01</t>
  </si>
  <si>
    <t>859</t>
  </si>
  <si>
    <t>Ao reforço de dotação orçamentária para pintura, iluminação e reparos no vestiário e alambrado do Campo da ventosa, situado na Rua João Paulo II, 189 - Ventosa;</t>
  </si>
  <si>
    <t>2700.04.122.233.1219.449051</t>
  </si>
  <si>
    <t>04</t>
  </si>
  <si>
    <t>Administração</t>
  </si>
  <si>
    <t>1219</t>
  </si>
  <si>
    <t>Aquisição, Construção, Reforma e Readaptação de Imóveis</t>
  </si>
  <si>
    <t>Campo da ventosa, situado na Rua João Paulo II, 189 - Ventosa</t>
  </si>
  <si>
    <t>2022_BRAULIO_LARA_861_01</t>
  </si>
  <si>
    <t>861</t>
  </si>
  <si>
    <t>Ao reforço de dotação orçamentária para pintura de muros, bancos, piso e iluminação da quadra esportiva da Praça Osvaldo Zucheratte, situado na Avenida Teresa Cristina, 4.517-4.565 (antigos 245-247);</t>
  </si>
  <si>
    <t>Quadra da praça Osvaldo Zucheratte, situado na Avenida Teresa Cristina, 4.517-4.565 (antigos 245-247);</t>
  </si>
  <si>
    <t>2022_BRAULIO_LARA_862_01</t>
  </si>
  <si>
    <t>862</t>
  </si>
  <si>
    <t>Ao reforço de dotação orçamentária para pintura e revitalização da quadra poliesportiva do Conjunto Betânia, localizada em local denominado Campo do Havaí, na Av. Teresa Cristina, 7883 - Betânia;</t>
  </si>
  <si>
    <t>quadra poliesportiva do Conjunto Betânia, localizada em local denominado Campo do Havaí, na Av. Teresa Cristina, 7883 - Betânia</t>
  </si>
  <si>
    <t>2022_BRAULIO_LARA_863_01</t>
  </si>
  <si>
    <t>863</t>
  </si>
  <si>
    <t>Ao reforço de dotação orçamentária para pintura e revitalização da quadra poliesportiva do Complexo Esportivo Salgado Filho, situado na Avenida Teresa Cristina, 6849 Entre Ruas Carmelita Prates da Silva e Carlos Quadros - Salgado Filho;</t>
  </si>
  <si>
    <t>quadra poliesportiva do Complexo Esportivo Salgado Filho, situado na Avenida Teresa Cristina, 6849 Entre Ruas Carmelita Prates da Silva e Carlos Quadros - Salgado Filho</t>
  </si>
  <si>
    <t>2022_BRUNO_MIRANDA_495_01</t>
  </si>
  <si>
    <t>2022_BRUNO_MIRANDA</t>
  </si>
  <si>
    <t>495</t>
  </si>
  <si>
    <t>Bruno Miranda</t>
  </si>
  <si>
    <t>PDT</t>
  </si>
  <si>
    <t>Ao reforço de dotação orçamentária para aquisição de playground para a Secretaria Municipal de Esporte e Lazer. A destinação se justifica uma vez que contribuirá para o desenvolvimento e formação integral das crianças através da brincadeira, estimulando também o convívio social;</t>
  </si>
  <si>
    <t>CONSTRUTORA SERVCOPA LTDA
D.L.A ENGENHARIA LTDA
GENESIS INDUSTRIA E COMERCIO DE ARTIGOS ESPORTIVOS LTDA
CONSTRUTORA SERVCOPA LTDA
GPO MERCANTIL E ENGENHARIA LTDA
FLAT ENGENHARIA E CONSTRUCOES LTDA
CONSTRUTORA TORQUETE GONCALVES LTDA
CONSTRUTORA ITAMARACA LTDA</t>
  </si>
  <si>
    <t>criancas</t>
  </si>
  <si>
    <t>2022_BRUNO_MIRANDA_504_01</t>
  </si>
  <si>
    <t>504</t>
  </si>
  <si>
    <t>Ao reforço de dotação orçamentária para ampliação do atendimento de 800 pessoas que realizarão curso de qualificação para o trabalho na área de inclusão digital, com destinação de recursos no valor de 300.000,00 (trezentos mil reais) para realização da subação 0001 da ação 2404. A destinação de recursos se justifica uma vez que o conhecimento na área da inclusão digital incidi positivamente na empregabilidade e renda, gera maiores oportunidades, ampliando o leque de vagas de trabalho;</t>
  </si>
  <si>
    <t>2800.11.334.237.2404.339039</t>
  </si>
  <si>
    <t>2800</t>
  </si>
  <si>
    <t>SECRETARIA MUNICIPAL DE DESENVOLVIMENTO ECONÔMICO</t>
  </si>
  <si>
    <t>11</t>
  </si>
  <si>
    <t>Trabalho</t>
  </si>
  <si>
    <t>334</t>
  </si>
  <si>
    <t>Fomento ao Trabalho</t>
  </si>
  <si>
    <t>0237</t>
  </si>
  <si>
    <t>Qualificação, Profissionalização e Emprego</t>
  </si>
  <si>
    <t>2404</t>
  </si>
  <si>
    <t>Ações de Qualificação, Profissionalização e Emprego</t>
  </si>
  <si>
    <t>SMDE</t>
  </si>
  <si>
    <t>-FUNDO DE ACELERACAO PARA O DESENVOLVIMENTO VELA (FA.VELA)</t>
  </si>
  <si>
    <t>0502</t>
  </si>
  <si>
    <t>2022_BRUNO_MIRANDA_529_01</t>
  </si>
  <si>
    <t>529</t>
  </si>
  <si>
    <t>2022_BRUNO_MIRANDA_567_01</t>
  </si>
  <si>
    <t>567</t>
  </si>
  <si>
    <t>Ao reforço de dotação orçamentária para ampliação do atendimento para 23.000 pessoas da Faculdade de Odontologia da Universidade Federal de Minas Gerias, entidade pública que contratualiza com o Município de Belo Horizonte e presta serviço odontológico para a população, com destinação de recursos no valor de 1.000.000,00 para execução da subação 0001 da ação 2891;</t>
  </si>
  <si>
    <t>FUNDACAO DE DESENVOLVIMENTO DA PESQUISA</t>
  </si>
  <si>
    <t>18720938000141</t>
  </si>
  <si>
    <t>Hospital público</t>
  </si>
  <si>
    <t>UFMG</t>
  </si>
  <si>
    <t>17217985002743</t>
  </si>
  <si>
    <t>0399</t>
  </si>
  <si>
    <t>2022_BRUNO_MIRANDA_574_01</t>
  </si>
  <si>
    <t>574</t>
  </si>
  <si>
    <t>Realização de projeto para construção de pista de skate no Centro de Vivência Agroecológica - CEVAE Coqueiros, localizado na Rua Eneida, 1589-1521, no bairro Coqueiros;</t>
  </si>
  <si>
    <t>ANIBAL BRAVIM DE MEIRA</t>
  </si>
  <si>
    <t>15026991000159</t>
  </si>
  <si>
    <t xml:space="preserve"> pista de skate no Centro de Vivência Agroecológica - CEVAE Coqueiros, localizado na Rua Eneida, 1589-1521, no bairro Coqueiros</t>
  </si>
  <si>
    <t>2022_CIRO_PEREIRA_280_01</t>
  </si>
  <si>
    <t>2022_CIRO_PEREIRA</t>
  </si>
  <si>
    <t>280</t>
  </si>
  <si>
    <t>Ciro Pereira</t>
  </si>
  <si>
    <t>PTB</t>
  </si>
  <si>
    <t>Destinação de recursos para o Instituto Herdar, CNPJ: 09.047.452/0001-01, para a execução de atividades socioassistenciais, de acordo com o disposto na Lei Federal nº 8.742/93, em consonância com a referida inscrição no Conselho Municipal de Assistência Social de Belo Horizonte – CMAS-BH;</t>
  </si>
  <si>
    <t>INSTITUTO HERDAR</t>
  </si>
  <si>
    <t>9047452000101</t>
  </si>
  <si>
    <t>2022_CIRO_PEREIRA_282_01</t>
  </si>
  <si>
    <t>282</t>
  </si>
  <si>
    <t>Emenda destinada ao Hospital Mario Penna, Associação Mario Penna, CNPJ 17.513.235/0001-80 CNES 2200457, com a finalidade de custeio para as atividades ambulatoriais e hospitalares, podendo a verba ser direcionada para a aquisição de medicamentos e insumos;</t>
  </si>
  <si>
    <t>2302.3401.10.302.114.2.894.339039</t>
  </si>
  <si>
    <t>Hospital Mario Penna</t>
  </si>
  <si>
    <t>2022_CIRO_PEREIRA_283_01</t>
  </si>
  <si>
    <t>283</t>
  </si>
  <si>
    <t>Ao reforço de dotação orçamentária para a REDE PRÓPRIA DO SUS BH: NORDESTE. aquisição de material e equipamento permanente;</t>
  </si>
  <si>
    <t>2302.10.301.157.2690.449052</t>
  </si>
  <si>
    <t>2690</t>
  </si>
  <si>
    <t>0304</t>
  </si>
  <si>
    <t>nordeste</t>
  </si>
  <si>
    <t>2022_CIRO_PEREIRA_284_01</t>
  </si>
  <si>
    <t>284</t>
  </si>
  <si>
    <t>Ao reforço de dotação orçamentária para a REDE PRÓPRIA DO SUS BH: NOROESTE. aquisição de material e equipamento permanente;</t>
  </si>
  <si>
    <t>Nome Credor
REPREMIG REPRESENTACAO E COMERCIO DE MINAS GERAIS LTDA
COMERCIAL SILVESTRE LTDA
COMERCIAL SILVESTRE LTDA
ALFA MED SISTEMAS MEDICOS LTDA
DRIVE A INFORMATICA LTDA</t>
  </si>
  <si>
    <t>65149197000251
41823463000130
41823463000130
11405384000149
00677870000108</t>
  </si>
  <si>
    <t>noroeste</t>
  </si>
  <si>
    <t>2022_CIRO_PEREIRA_285_01</t>
  </si>
  <si>
    <t>285</t>
  </si>
  <si>
    <t>Ao reforço de dotação orçamentária atenção primária a saúde: OESTE. aquisição de material e equipamento permanente;</t>
  </si>
  <si>
    <t>REPREMIG REPRESENTACAO E COMERCIO DE MINAS GERAIS LTDA
COMERCIAL SILVESTRE LTDA
COMERCIAL SILVESTRE LTDA
DRIVE A INFORMATICA LTDA
ALFA MED SISTEMAS MEDICOS LTDA
DRIVE A INFORMATICA LTDA</t>
  </si>
  <si>
    <t>65149197000251
41823463000130
41823463000130
00677870000108
11405384000149
00677870000108</t>
  </si>
  <si>
    <t>2022_CIRO_PEREIRA_286_01</t>
  </si>
  <si>
    <t>286</t>
  </si>
  <si>
    <t>Ao reforço de dotação orçamentária UPA (PALMARES) para aquisição de material e equipamento permanente;</t>
  </si>
  <si>
    <t>2302.10.302.114.2893.449052</t>
  </si>
  <si>
    <t>2893</t>
  </si>
  <si>
    <t>Rede de Urgência e Emergência</t>
  </si>
  <si>
    <t>INSTRAMED INDUSTRIA MEDICO HOSPITALAR LTDA
DRIVE A INFORMATICA LTDA
IGM COMERCIO VAREJISTA DE PECAS E ACESSORIOS PARA VEICULOS LTDA</t>
  </si>
  <si>
    <t>90909631000110
00677870000108
23140085000109</t>
  </si>
  <si>
    <t>2022_CIRO_PEREIRA_287_01</t>
  </si>
  <si>
    <t>287</t>
  </si>
  <si>
    <t>Reforço a dotação orçamentária para as despesas de equipamento e material permanente, UPA, Fernão Dias;</t>
  </si>
  <si>
    <t>ESFERA MASTER COMERCIAL LTDA
REPREMIG REPRESENTACAO E COMERCIO DE MINAS GERAIS LTDA
GERBRA COMERCIO LTDA
DRIVE A INFORMATICA LTDA</t>
  </si>
  <si>
    <t>26527362000129
65149197000251
21559804000103
00677870000108</t>
  </si>
  <si>
    <t>2022_CIRO_PEREIRA_288_01</t>
  </si>
  <si>
    <t>288</t>
  </si>
  <si>
    <t>Ao reforço de dotação orçamentária atenção primária a saúde - REDE SUS BH - PAMPULHA. aquisição de material e equipamento permanente;</t>
  </si>
  <si>
    <t>2302.3401.10.301.157.2.690.449052</t>
  </si>
  <si>
    <t>REPREMIG REPRESENTACAO E COMERCIO DE MINAS GERAIS LTDA
COMERCIAL SILVESTRE LTDA
ALFA MED SISTEMAS MEDICOS LTDA
DRIVE A INFORMATICA LTDA</t>
  </si>
  <si>
    <t>65149197000251
41823463000130
11405384000149
00677870000108</t>
  </si>
  <si>
    <t>pampulha</t>
  </si>
  <si>
    <t>2022_CLAUDIO_DO_MUNDO_NOVO_109_01</t>
  </si>
  <si>
    <t>2022_CLAUDIO_DO_MUNDO_NOVO</t>
  </si>
  <si>
    <t>109</t>
  </si>
  <si>
    <t>Cláudio do Mundo Novo</t>
  </si>
  <si>
    <t>À reforma, adequação e revisão do telhado da Escola Municipal DORA TOMICH LAENDER, com sede na R. Julita Nunes Lima, nº 53, Bairro: Minas Caixa;</t>
  </si>
  <si>
    <t>2200.0900.12.361.168.2.046.445042</t>
  </si>
  <si>
    <t>2200</t>
  </si>
  <si>
    <t>SECRETARIA MUNICIPAL DE EDUCAÇÃO</t>
  </si>
  <si>
    <t>12</t>
  </si>
  <si>
    <t>Educação</t>
  </si>
  <si>
    <t>361</t>
  </si>
  <si>
    <t>Ensino Fundamental</t>
  </si>
  <si>
    <t>0168</t>
  </si>
  <si>
    <t>Gestão da Política do Ensino Fundamental</t>
  </si>
  <si>
    <t>2046</t>
  </si>
  <si>
    <t>Gestão Descentralizada da Educação</t>
  </si>
  <si>
    <t>445042</t>
  </si>
  <si>
    <t>SMED</t>
  </si>
  <si>
    <t>CAIXA ESCOLAR ESCOLA MUNICIPAL DORA TOMICH LAENDER</t>
  </si>
  <si>
    <t>668417000127</t>
  </si>
  <si>
    <t>0607</t>
  </si>
  <si>
    <t>R. Julita Nunes Lima, nº 53, Bairro: Minas Caixa</t>
  </si>
  <si>
    <t>Escola Municipal DORA TOMICH LAENDER, com sede na R. Julita Nunes Lima, nº 53, Bairro: Minas Caixa;</t>
  </si>
  <si>
    <t>2022_CLAUDIO_DO_MUNDO_NOVO_121_01</t>
  </si>
  <si>
    <t>121</t>
  </si>
  <si>
    <t>Pintura em geral da Escola Municipal Aurélio Pires, localizada na Rua Barrinha, 171, bairro Liberdade;</t>
  </si>
  <si>
    <t>2200.0800.12.361.168.2.046.445042</t>
  </si>
  <si>
    <t>CAIXA ESCOLAR DA ESCOLA MUNICIPAL AURELIO PIRES</t>
  </si>
  <si>
    <t>669024000138</t>
  </si>
  <si>
    <t>Rua Barrinha, 171, bairro Liberdade</t>
  </si>
  <si>
    <t>Escola Municipal Aurélio Pires, localizada na Rua Barrinha, 171, bairro Liberdade</t>
  </si>
  <si>
    <t>2022_CLAUDIO_DO_MUNDO_NOVO_122_01</t>
  </si>
  <si>
    <t>Reforma na Escola Municipal Padre Marzano Matias, localizada na Rua Érico Veríssimo, 1280, bairro Rio Branco;</t>
  </si>
  <si>
    <t>2200.12.361.168.2046.445042</t>
  </si>
  <si>
    <t>CAIXA ESCOLAR DA ESCOLA MUNICIPAL PADRE MARZANO MATIAS</t>
  </si>
  <si>
    <t>3711456000158</t>
  </si>
  <si>
    <t>Rua Érico Veríssimo, 1280, bairro Rio Branco</t>
  </si>
  <si>
    <t>Escola Municipal Padre Marzano Matias, localizada na Rua Érico Veríssimo, 1280, bairro Rio Branco</t>
  </si>
  <si>
    <t>2022_CLAUDIO_DO_MUNDO_NOVO_123_01</t>
  </si>
  <si>
    <t>123</t>
  </si>
  <si>
    <t>Reforma na Escola Municipal Antônio Gomes Horta, localizada na Rua Antônio José de Oliveira, 161, bairro Parque São Pedro;</t>
  </si>
  <si>
    <t>CAIXA ESCOLAR DA ESCOLA MUNICIPAL ANTONIO GOMES HORTA</t>
  </si>
  <si>
    <t>20996229000135</t>
  </si>
  <si>
    <t>Rua Antônio José de Oliveira, 161, bairro Parque São Pedro</t>
  </si>
  <si>
    <t>Escola Municipal Antônio Gomes Horta, localizada na Rua Antônio José de Oliveira, 161, bairro Parque São Pedro</t>
  </si>
  <si>
    <t>2022_CLAUDIO_DO_MUNDO_NOVO_150_01</t>
  </si>
  <si>
    <t>150</t>
  </si>
  <si>
    <t>À Associação Fazenda Renascer, CNPJ: 17.515.115/0001-00, para obtenção de material de consumo alimentar;</t>
  </si>
  <si>
    <t>1301</t>
  </si>
  <si>
    <t>2022_CLAUDIO_DO_MUNDO_NOVO_154_01</t>
  </si>
  <si>
    <t>154</t>
  </si>
  <si>
    <t>Associação Beneficente Paulo de Tarso/ Hospital Paulo de Tarso, CNPJ: 18.715.383.0001-40, destinados às obras e implantações de uma clínica especializada na realização de atendimento aos pacientes após a alta hospitalar;</t>
  </si>
  <si>
    <t>REDE PAULO DE TARSO</t>
  </si>
  <si>
    <t>17226044000137</t>
  </si>
  <si>
    <t>2022_CLAUDIO_DO_MUNDO_NOVO_155_01</t>
  </si>
  <si>
    <t>155</t>
  </si>
  <si>
    <t>À compra de 34 computadores destinados para a Escola Municipal Tabajara Pedroso, localizada na rua Geraldo Assunção, nº:45, bairro: Candelária;</t>
  </si>
  <si>
    <t>2200.12.122.140.2926.449052</t>
  </si>
  <si>
    <t>0140</t>
  </si>
  <si>
    <t>Gestão e Operacionalização da Política Educacional</t>
  </si>
  <si>
    <t>2926</t>
  </si>
  <si>
    <t>Tecnologia aplicada à Educação</t>
  </si>
  <si>
    <t xml:space="preserve"> rua Geraldo Assunção, nº:45, bairro: Candelária</t>
  </si>
  <si>
    <t>Escola Municipal Tabajara Pedroso, localizada na rua Geraldo Assunção, nº:45, bairro: Candelária</t>
  </si>
  <si>
    <t>2022_CLAUDIO_DO_MUNDO_NOVO_157_01</t>
  </si>
  <si>
    <t>157</t>
  </si>
  <si>
    <t>À compra de materiais permanentes, tais como: 02 (duas) Geladeiras, 02 (dois) freezers, 02 (dois) fogões industriais, 02 (dois) fornos elétricos, 02 (dois) espremedores de frutas industrial, 02 (duas) batedeiras, ventiladores, 02 (dois) Liquidificadores resistentes e utensílios que guarnecem a cozinha, destinados  a Casa Azul Acolhimento Só Por Hoje;</t>
  </si>
  <si>
    <t>Casa Azul Acolhimento Só Por Hoje</t>
  </si>
  <si>
    <t>2022_CLAUDIO_DO_MUNDO_NOVO_158_01</t>
  </si>
  <si>
    <t>158</t>
  </si>
  <si>
    <t>À compra de medicamentos destinados à Fundação Benjamim Guimarães/Hospital da Baleia, CNPJ: 17.200.429/0001-25;</t>
  </si>
  <si>
    <t>Fundação Benjamim Guimarães/Hospital da Baleia</t>
  </si>
  <si>
    <t>2022_CLAUDIO_DO_MUNDO_NOVO_159_01</t>
  </si>
  <si>
    <t>159</t>
  </si>
  <si>
    <t>À compra de medicamentos e material de consumo para o Hospital Risoleta Tolentino Neves;</t>
  </si>
  <si>
    <t>Hospital Risoleta Tolentino Neves</t>
  </si>
  <si>
    <t>2022_CLAUDIO_DO_MUNDO_NOVO_161_01</t>
  </si>
  <si>
    <t>161</t>
  </si>
  <si>
    <t>Reforma na Escola EMEI Céu Azul na Rua São João Batista do Glória, 530, bairro Piratininga;</t>
  </si>
  <si>
    <t>2200.0900.12.365.169.2.046.445042</t>
  </si>
  <si>
    <t>365</t>
  </si>
  <si>
    <t>Educação Infantil</t>
  </si>
  <si>
    <t>0169</t>
  </si>
  <si>
    <t>Gestão da Política de Educação Infantil</t>
  </si>
  <si>
    <t>CAIXA ESCOLAR DA ESCOLA MUNICIPAL DE EDUCACAO INFANTIL CEU AZUL</t>
  </si>
  <si>
    <t>32608510000132</t>
  </si>
  <si>
    <t>Rua São João Batista do Glória, 530, bairro Piratininga</t>
  </si>
  <si>
    <t>Escola EMEI Céu Azul na Rua São João Batista do Glória, 530, bairro Piratininga</t>
  </si>
  <si>
    <t>2022_CLAUDIO_DO_MUNDO_NOVO_162_01</t>
  </si>
  <si>
    <t>162</t>
  </si>
  <si>
    <t>À compra de medicamentos, destinados ao Hospital Metropolitano Dr. Célio de Castro/HMDCC;</t>
  </si>
  <si>
    <t>Hospital Metropolitano Dr. Célio de Castro/HMDCC</t>
  </si>
  <si>
    <t>2022_CLAUDIO_DO_MUNDO_NOVO_163_01</t>
  </si>
  <si>
    <t>163</t>
  </si>
  <si>
    <t>À compra de medicamentos para a instituição Santa Casa de Misericórdia de Belo Horizonte;</t>
  </si>
  <si>
    <t>2022_CLAUDIO_DO_MUNDO_NOVO_164_01</t>
  </si>
  <si>
    <t>164</t>
  </si>
  <si>
    <t>Destinação de recursos para a Comunidade Católica Reviver, CNPJ 26.232.447/0001-00, para a execução de atividades socioassistenciais, de acordo com o disposto na Lei Federal nº 8.742/93, em consonância com a referida inscrição no Conselho Municipal de Assistência Social de Belo Horizonte – CMAS-BH;</t>
  </si>
  <si>
    <t>2022_CLAUDIO_DO_MUNDO_NOVO_204_01</t>
  </si>
  <si>
    <t>204</t>
  </si>
  <si>
    <t>À compra de Monitores Mindray Umec 10 destinados ao Hospital Sofia Feldman;</t>
  </si>
  <si>
    <t>FUNDACAO DE ASSISTENCIA INTEGRAL A SAUDE FAIS</t>
  </si>
  <si>
    <t>2022_CLAUDIO_DO_MUNDO_NOVO_205_01</t>
  </si>
  <si>
    <t>205</t>
  </si>
  <si>
    <t>À Escola Municipal Professor Moacyr Andrade, localizada na Rua dos Caçadores, nº 93, Lagoa, para a reforma dos pisos das salas de aula e do piso da entrada lateral da escola;</t>
  </si>
  <si>
    <t>CAIXA ESCOLAR ESCOLA MUNICIPAL PROFESSOR MOACYR ANDRADE</t>
  </si>
  <si>
    <t>702446000168</t>
  </si>
  <si>
    <t>Rua dos Caçadores, nº 93, Lagoa</t>
  </si>
  <si>
    <t>Escola Municipal Professor Moacyr Andrade, localizada na Rua dos Caçadores, nº 93, Lagoa</t>
  </si>
  <si>
    <t>2022_CLAUDIO_DO_MUNDO_NOVO_206_01</t>
  </si>
  <si>
    <t>206</t>
  </si>
  <si>
    <t>À compra de equipamentos de proteção e segurança destinados a Guarda Municipal;</t>
  </si>
  <si>
    <t>2100.1100.06.181.109.2.803.339030</t>
  </si>
  <si>
    <t>181</t>
  </si>
  <si>
    <t>Policiamento</t>
  </si>
  <si>
    <t>2803</t>
  </si>
  <si>
    <t>Operacionalização da Guarda Municipal de Belo Horizonte</t>
  </si>
  <si>
    <t>339030</t>
  </si>
  <si>
    <t>MAQNETE COMERCIO E SERVICOS EIRELI EPP</t>
  </si>
  <si>
    <t>18152404000166</t>
  </si>
  <si>
    <t>2022_CLAUDIO_DO_MUNDO_NOVO_207_01</t>
  </si>
  <si>
    <t>207</t>
  </si>
  <si>
    <t>Destinação de recursos para a Creche São João Paulo II, CNPJ: 00.056.897/0001-75, para a execução de atividades socioassistenciais, de acordo com o disposto na Lei Federal nº 8.742/93, em consonância com a referida inscrição no Conselho Municipal de Assistência Social de Belo Horizonte – CMAS-BH;</t>
  </si>
  <si>
    <t>1308</t>
  </si>
  <si>
    <t>Creche São João Paulo II</t>
  </si>
  <si>
    <t>2022_CLAUDIO_DO_MUNDO_NOVO_208_01</t>
  </si>
  <si>
    <t>208</t>
  </si>
  <si>
    <t>Destinação de recursos para a Associação de Resgate da Dignidade Humana Providência Divina, CNPJ 22.643.399/0001-61, para a execução de atividades socioassistenciais, de acordo com o disposto na Lei Federal nº 8.742/93, em consonância com a referida inscrição no Conselho Municipal de Assistência Social de Belo Horizonte – CMAS-BH;</t>
  </si>
  <si>
    <t>ASSOCIACAO DE RESGATE DA DIGNIDADE HUMANA PROVIDENCIA DIVINA</t>
  </si>
  <si>
    <t>22643399000161</t>
  </si>
  <si>
    <t>2022_CLAUDIO_DO_MUNDO_NOVO_209_01</t>
  </si>
  <si>
    <t>209</t>
  </si>
  <si>
    <t>Destinação de recursos para o Lar dos Meninos Dom Orione, CNPJ 17.313.388/0001-83, para a execução de atividades socioassistenciais, de acordo com o disposto na Lei Federal nº 8.742/93, em consonância com a referida inscrição no Conselho Municipal de Assistência Social de Belo Horizonte – CMAS-BH;</t>
  </si>
  <si>
    <t>LAR DOS MENINOS DOM ORIONE</t>
  </si>
  <si>
    <t>17313388000183</t>
  </si>
  <si>
    <t>Lar dos Meninos Dom Orione</t>
  </si>
  <si>
    <t>2022_CLAUDIO_DO_MUNDO_NOVO_211_01</t>
  </si>
  <si>
    <t>211</t>
  </si>
  <si>
    <t>Destinação de recursos para o Instituto de Acolhimento Casa do Caminho, CNPJ 29.937.767/0001-23, para a execução de atividades socioassistenciais, de acordo com o disposto na Lei Federal nº 8.742/93, em consonância com a referida inscrição no Conselho Municipal de Assistência Social de Belo Horizonte – CMAS-BH;</t>
  </si>
  <si>
    <t>INSTITUTO DE ACOLHIMENTO CASA DO CAMINHO</t>
  </si>
  <si>
    <t>29937767000123</t>
  </si>
  <si>
    <t>2022_CLAUDIO_DO_MUNDO_NOVO_212_01</t>
  </si>
  <si>
    <t>212</t>
  </si>
  <si>
    <t>Destinação de recursos para Associação Gospa Mira, CNPJ 07.153.969/0001-41, para a execução de atividades socioassistenciais, de acordo com o disposto na Lei Federal nº 8.742/93, em consonância com a referida inscrição no Conselho Municipal de Assistência Social de Belo Horizonte – CMAS-BH;</t>
  </si>
  <si>
    <t>ASSOCIACAO GOSPA MIRA</t>
  </si>
  <si>
    <t>7153969000141</t>
  </si>
  <si>
    <t>2022_CLAUDIO_DO_MUNDO_NOVO_213_01</t>
  </si>
  <si>
    <t>213</t>
  </si>
  <si>
    <t>Destinação de recursos para Associação Ponto Cultural, CNPJ 05.768.787/0001-50, para a execução de atividades socioassistenciais, de acordo com o disposto na Lei Federal nº 8.742/93, em consonância com a referida inscrição no Conselho Municipal de Assistência Social de Belo Horizonte – CMAS-BH;</t>
  </si>
  <si>
    <t>ASSOCIACAO PONTO CULTURAL</t>
  </si>
  <si>
    <t>5768787000150</t>
  </si>
  <si>
    <t>2022_CLAUDIO_DO_MUNDO_NOVO_214_01</t>
  </si>
  <si>
    <t>214</t>
  </si>
  <si>
    <t>À compra de materiais permanentes destinados ao Hospital Júlia Kubitschek, localizado na Rua Doutor Cristiano Resende, 2745, bairro Milionários;</t>
  </si>
  <si>
    <t>FUNDACAO HOSPITALAR DO ESTADO DE MINAS GERAIS</t>
  </si>
  <si>
    <t>19843929002820</t>
  </si>
  <si>
    <t>Rua Doutor Cristiano Resende, 2745, bairro Milionários;</t>
  </si>
  <si>
    <t>Hospital Júlia Kubitschek, localizado na Rua Doutor Cristiano Resende, 2745, bairro Milionários;</t>
  </si>
  <si>
    <t>2022_CLAUDIO_DO_MUNDO_NOVO_215_01</t>
  </si>
  <si>
    <t>215</t>
  </si>
  <si>
    <t>À compra de STENT FARMACOLÓGICO, destinado ao Hospital Madre Teresa/Instituto das Pequenas Missionárias de Maria Imaculada;</t>
  </si>
  <si>
    <t>INSTITUTO DAS PEQUENAS MISSIONARIAS DE MARIA IMACULADA</t>
  </si>
  <si>
    <t>60194990000844</t>
  </si>
  <si>
    <t>Hospital Madre Teresa/Instituto das Pequenas Missionárias de Maria Imaculada</t>
  </si>
  <si>
    <t>2022_CLAUDIO_DO_MUNDO_NOVO_216_01</t>
  </si>
  <si>
    <t>216</t>
  </si>
  <si>
    <t>À compra de material de consumos destinado ao Hospital Metropolitano Odilon Behrens;</t>
  </si>
  <si>
    <t>2302.3401.10.302.114.2.894.339139</t>
  </si>
  <si>
    <t>339139</t>
  </si>
  <si>
    <t>HOSPITAL METROPOLITANO ODILON BEHRENS HOB</t>
  </si>
  <si>
    <t>16692121000181</t>
  </si>
  <si>
    <t>Hospital Metropolitano Odilon Behrens</t>
  </si>
  <si>
    <t>2022_CLAUDIO_DO_MUNDO_NOVO_264_01</t>
  </si>
  <si>
    <t>264</t>
  </si>
  <si>
    <t>Destinação de recursos para Associação Cruz de Malta, CNPJ 00.436.790/0003-14, para a execução de atividades socioassistenciais, de acordo com o disposto na Lei Federal nº 8.742/93, em consonância com a referida inscrição no Conselho Municipal de Assistência Social de Belo Horizonte – CMAS-BH;</t>
  </si>
  <si>
    <t>ASSOCIACAO CRUZ DE MALTA</t>
  </si>
  <si>
    <t>436790000314</t>
  </si>
  <si>
    <t>2022_CLAUDIO_DO_MUNDO_NOVO_265_01</t>
  </si>
  <si>
    <t>265</t>
  </si>
  <si>
    <t>À compra de materiais de consumo, bem como: medicamentos, gases, entre outros para o Instituto Mário Penna;</t>
  </si>
  <si>
    <t>Instituto Mário Penna;</t>
  </si>
  <si>
    <t>2022_CLAUDIO_DO_MUNDO_NOVO_268_01</t>
  </si>
  <si>
    <t>268</t>
  </si>
  <si>
    <t>Valor destinado a obras no canteiro central da Avenida Sebastião de Brito, bairro: Dona Clara;</t>
  </si>
  <si>
    <t>2700.1100.15.451.233.1.396.449051</t>
  </si>
  <si>
    <t>1396</t>
  </si>
  <si>
    <t>Infraestrutura Urbana</t>
  </si>
  <si>
    <t>Avenida Sebastião de Brito, bairro: Dona Clara;</t>
  </si>
  <si>
    <t>2022_CLAUDIO_DO_MUNDO_NOVO_276_01</t>
  </si>
  <si>
    <t>276</t>
  </si>
  <si>
    <t>Destinação de recursos para Fundação Sara, CNPJ 02.663.494/0002-09, para a execução de atividades socioassistenciais, de acordo com o disposto na Lei Federal nº 8.742/93, em consonância com a referida inscrição no Conselho Municipal de Assistência Social de Belo Horizonte – CMAS-BH;</t>
  </si>
  <si>
    <t>FUNDACAO SARA ALBUQUERQUE COSTA</t>
  </si>
  <si>
    <t>2663494000209</t>
  </si>
  <si>
    <t>2022_CLAUDIO_DO_MUNDO_NOVO_344_01</t>
  </si>
  <si>
    <t>344</t>
  </si>
  <si>
    <t>Destinado a compra de materiais de consumo permanente para o Centro de Saúde Alameda dos Ipês, localizado na Rua Ministro Oliveira Salazar, 1.186 - Santa Mônica;</t>
  </si>
  <si>
    <t>2302.0900.10.301.157.2.690.449052</t>
  </si>
  <si>
    <t>DRIVE A INFORMATICA LTDA
MICROFORT INFORMATICA LTDA.
COMERCIAL SILVESTRE LTDA
DRIVE A INFORMATICA LTDA
ALFA MED SISTEMAS MEDICOS LTDA</t>
  </si>
  <si>
    <t>00677870000108
24675507000103
41823463000130
00677870000108
11405384000149</t>
  </si>
  <si>
    <t>Rua Ministro Oliveira Salazar, 1.186 - Santa Mônica</t>
  </si>
  <si>
    <t>Centro de Saúde Alameda dos Ipês, localizado na Rua Ministro Oliveira Salazar, 1.186 - Santa Mônica</t>
  </si>
  <si>
    <t>2022_CLAUDIO_DO_MUNDO_NOVO_345_01</t>
  </si>
  <si>
    <t>345</t>
  </si>
  <si>
    <t>para compra de materiais de consumo permanentes destinados ao Centro de Saúde Céu Azul, localizado na Rua Alice Marques, 187 - Céu Azul;</t>
  </si>
  <si>
    <t>DRIVE A INFORMATICA LTDA
DRIVE A INFORMATICA LTDA
IGM COMERCIO VAREJISTA DE PECAS E ACESSORIOS PARA VEICULOS LTDA
REPREMIG REPRESENTACAO E COMERCIO DE MINAS GERAIS LTDA
COMERCIAL SILVESTRE LTDA
IGM COMERCIO VAREJISTA DE PECAS E ACESSORIOS PARA VEICULOS LTDA</t>
  </si>
  <si>
    <t>00677870000108
00677870000108
23140085000109
65149197000251
41823463000130
23140085000109</t>
  </si>
  <si>
    <t>Rua Alice Marques, 187 - Céu Azul</t>
  </si>
  <si>
    <t>Centro de Saúde Céu Azul, localizado na Rua Alice Marques, 187 - Céu Azul</t>
  </si>
  <si>
    <t>2022_CLAUDIO_DO_MUNDO_NOVO_346_01</t>
  </si>
  <si>
    <t>346</t>
  </si>
  <si>
    <t>À compra de materiais de consumo permanente destinado ao Centro de Saúde Padre Joaquim Maia, localizado na Rua Boaventura, 1.900 - Liberdade;</t>
  </si>
  <si>
    <t>COMERCIAL SILVESTRE LTDA
ALFA MED SISTEMAS MEDICOS LTDA
REPREMIG REPRESENTACAO E COMERCIO DE MINAS GERAIS LTDA
DRIVE A INFORMATICA LTDA
IGM COMERCIO VAREJISTA DE PECAS E ACESSORIOS PARA VEICULOS LTDA</t>
  </si>
  <si>
    <t>41823463000130
11405384000149
65149197000251
00677870000108
23140085000109</t>
  </si>
  <si>
    <t>Rua Boaventura, 1.900 - Liberdade</t>
  </si>
  <si>
    <t>Centro de Saúde Padre Joaquim Maia, localizado na Rua Boaventura, 1.900 - Liberdade</t>
  </si>
  <si>
    <t>2022_CLAUDIO_DO_MUNDO_NOVO_347_01</t>
  </si>
  <si>
    <t>347</t>
  </si>
  <si>
    <t>À compra de materiais permanentes, destinado ao Centro de Saúde Jardim Montanhês, localizado na Rua Padre Leopoldo Pereira, 407 - Jardim Montanhês;</t>
  </si>
  <si>
    <t>COMERCIAL SILVESTRE LTDA
IGM COMERCIO VAREJISTA DE PECAS E ACESSORIOS PARA VEICULOS LTDA
DRIVE A INFORMATICA LTDA
REPREMIG REPRESENTACAO E COMERCIO DE MINAS GERAIS LTDA
ALFA MED SISTEMAS MEDICOS LTDA</t>
  </si>
  <si>
    <t>41823463000130
23140085000109
00677870000108
65149197000251
11405384000149</t>
  </si>
  <si>
    <t>Rua Padre Leopoldo Pereira, 407 - Jardim Montanhês</t>
  </si>
  <si>
    <t>Centro de Saúde Jardim Montanhês, localizado na Rua Padre Leopoldo Pereira, 407 - Jardim Montanhês</t>
  </si>
  <si>
    <t>2022_CLAUDIO_DO_MUNDO_NOVO_349_01</t>
  </si>
  <si>
    <t>349</t>
  </si>
  <si>
    <t>À compra de materiais e equipamentos permanentes, destinados ao Centro de Saúde Santa Rosa, localizado na Avenida Bueno Siqueira, nº 100, no Bairro Universitário;</t>
  </si>
  <si>
    <t>REPREMIG REPRESENTACAO E COMERCIO DE MINAS GERAIS LTDA
ALFA MED SISTEMAS MEDICOS LTDA
IGM COMERCIO VAREJISTA DE PECAS E ACESSORIOS PARA VEICULOS LTDA
DRIVE A INFORMATICA LTDA
COMERCIAL SILVESTRE LTDA</t>
  </si>
  <si>
    <t>65149197000251
11405384000149
23140085000109
00677870000108
41823463000130</t>
  </si>
  <si>
    <t>Avenida Bueno Siqueira, nº 100, no Bairro Universitário</t>
  </si>
  <si>
    <t>Centro de Saúde Santa Rosa, localizado na Avenida Bueno Siqueira, nº 100, no Bairro Universitário</t>
  </si>
  <si>
    <t>2022_CLAUDIO_DO_MUNDO_NOVO_350_01</t>
  </si>
  <si>
    <t>350</t>
  </si>
  <si>
    <t>À compra de materiais e equipamentos permanentes destinado ao Centro de Saúde São Tomás, localizado na R. Santa Rosa, 54 - São Tomaz;</t>
  </si>
  <si>
    <t>REPREMIG REPRESENTACAO E COMERCIO DE MINAS GERAIS LTDA
COMERCIAL SILVESTRE LTDA
IGM COMERCIO VAREJISTA DE PECAS E ACESSORIOS PARA VEICULOS LTDA
DRIVE A INFORMATICA LTDA</t>
  </si>
  <si>
    <t>65149197000251
41823463000130
23140085000109
00677870000108</t>
  </si>
  <si>
    <t>R. Santa Rosa, 54 - São Tomaz</t>
  </si>
  <si>
    <t>Centro de Saúde São Tomás, localizado na R. Santa Rosa, 54 - São Tomaz</t>
  </si>
  <si>
    <t>2022_CLAUDIO_DO_MUNDO_NOVO_351_01</t>
  </si>
  <si>
    <t>351</t>
  </si>
  <si>
    <t>Destinado a despesas de custeio do Centro de Referência em Saúde Mental Álcool e Drogas - Cersam AD Nordeste, localizado na R. Joaquim Gouveia, 600 - São Paulo;</t>
  </si>
  <si>
    <t>2302.3401.10.302.114.2.891.335043</t>
  </si>
  <si>
    <t>CONSELHO CENTRAL DE BELO HORIZONTE DA SOCIEDADE DE SAO VICENTE DE PAULO</t>
  </si>
  <si>
    <t>17492398000123</t>
  </si>
  <si>
    <t>0342</t>
  </si>
  <si>
    <t>R. Joaquim Gouveia, 600 - São Paulo;</t>
  </si>
  <si>
    <t>Centro de Referência em Saúde Mental Álcool e Drogas - Cersam AD Nordeste, localizado na R. Joaquim Gouveia, 600 - São Paulo;</t>
  </si>
  <si>
    <t>dependentes quimicos</t>
  </si>
  <si>
    <t>2022_CLAUDIO_DO_MUNDO_NOVO_401_01</t>
  </si>
  <si>
    <t>401</t>
  </si>
  <si>
    <t>Destinação de recursos para Instituto Pedra Viva, CNPJ 08.878.503/0001-76, para a execução de atividades socioassistenciais, de acordo com o disposto na Lei Federal nº 8.742/93, em consonância com a referida inscrição no Conselho Municipal de Assistência Social de Belo Horizonte – CMAS-BH;</t>
  </si>
  <si>
    <t>8878503000176</t>
  </si>
  <si>
    <t>2022_CLAUDIO_DO_MUNDO_NOVO_404_01</t>
  </si>
  <si>
    <t>404</t>
  </si>
  <si>
    <t>Ao custeio de materiais médicos, insumos e medicamentos destinado a Associação Evangélica Beneficente de Minas Gerais AEBMG;</t>
  </si>
  <si>
    <t>Associação Evangélica Beneficente de Minas Gerais AEBMG</t>
  </si>
  <si>
    <t>2022_CLAUDIO_DO_MUNDO_NOVO_415_01</t>
  </si>
  <si>
    <t>415</t>
  </si>
  <si>
    <t>À compra de equipamentos e materiais permanentes destinado a Maternidade Odete Valadares, localizado na Av. do Contorno, 9494 - Prado;</t>
  </si>
  <si>
    <t>19843929002901</t>
  </si>
  <si>
    <t>Hospital Maternidade Odete Valadares</t>
  </si>
  <si>
    <t>Av. do Contorno, 9494 - Prado</t>
  </si>
  <si>
    <t>Maternidade Odete Valadares, localizado na Av. do Contorno, 9494 - Prado</t>
  </si>
  <si>
    <t>2022_CLAUDIO_DO_MUNDO_NOVO_417_01</t>
  </si>
  <si>
    <t>417</t>
  </si>
  <si>
    <t>À compra de materiais e equipamentos permanentes destinado ao Centro de Saúde Minas Caixa, localizado na R. Cap. Sérgio Píres, 226 - Minas Caixa;</t>
  </si>
  <si>
    <t>Alfa Med Sistemas Medicos Ltda
Igm Comercio Varejista de Pecas e Acessorios Para Veiculos Ltda
Igm Comercio Varejista de Pecas e Acessorios Para Veiculos Ltda
Repremig Representacao e Comercio de Minas Gerais Ltda
Drive A Informatica Ltda
Comercial Silvestre Ltda</t>
  </si>
  <si>
    <t>11405384000149
23140085000109
65149197000251
00677870000108
41823463000130</t>
  </si>
  <si>
    <t>R. Cap. Sérgio Píres, 226 - Minas Caixa</t>
  </si>
  <si>
    <t>Centro de Saúde Minas Caixa, localizado na R. Cap. Sérgio Píres, 226 - Minas Caixa</t>
  </si>
  <si>
    <t>2022_CLAUDIO_DO_MUNDO_NOVO_433_01</t>
  </si>
  <si>
    <t>433</t>
  </si>
  <si>
    <t>À compra de material de consumo para a Defesa Civil em ações de combate a enchentes;</t>
  </si>
  <si>
    <t>2711.1100.06.182.164.2.541.339030</t>
  </si>
  <si>
    <t>2711</t>
  </si>
  <si>
    <t>FUNDO MUNICIPAL DE PROTEÇÃO E DEFESA CIVIL</t>
  </si>
  <si>
    <t>182</t>
  </si>
  <si>
    <t>Defesa Civil</t>
  </si>
  <si>
    <t>0164</t>
  </si>
  <si>
    <t>Ações de Defesa Civil</t>
  </si>
  <si>
    <t>2541</t>
  </si>
  <si>
    <t>Ações de Defesa Civil Preventivas e Emergenciais</t>
  </si>
  <si>
    <t>BR ONLINE COMERCIO VAREJISTA E VENDA DE PRODUTOS LTDA</t>
  </si>
  <si>
    <t>24939626000126</t>
  </si>
  <si>
    <t>0711</t>
  </si>
  <si>
    <t>2022_DR_CELIO_FROIS_367_01</t>
  </si>
  <si>
    <t>2022_DR_CELIO_FROIS</t>
  </si>
  <si>
    <t>367</t>
  </si>
  <si>
    <t>Dr. Célio Frois</t>
  </si>
  <si>
    <t>CIDADANIA</t>
  </si>
  <si>
    <t>À Escola Municipal Minervina Augusta, situada à rua David Canabarro, nº 18, bairro Campo Alegre, para reformas e pintura geral;</t>
  </si>
  <si>
    <t>2200.0600.12.361.168.2.046.445042</t>
  </si>
  <si>
    <t>CAIXA ESCOLAR ESCOLA MUNICIPAL MINERVINA AUGUSTA</t>
  </si>
  <si>
    <t>122342000184</t>
  </si>
  <si>
    <t>rua David Canabarro, nº 18, bairro Campo Alegre</t>
  </si>
  <si>
    <t>Escola Municipal Minervina Augusta, situada à rua David Canabarro, nº 18, bairro Campo Alegre</t>
  </si>
  <si>
    <t>2022_DR_CELIO_FROIS_412_01</t>
  </si>
  <si>
    <t>412</t>
  </si>
  <si>
    <t>À EMEI Heliopolis, situada na rua dos Beneditinos, nº 220, bairro Heliópolis, para reforma de equipamentos do parque infantil;</t>
  </si>
  <si>
    <t>2200.0600.12.365.169.2.046.445042</t>
  </si>
  <si>
    <t>CAIXA ESCOLAR DA ESCOLA MUNICIPAL DE EDUCACAO INFANTIL HELIOPOLIS</t>
  </si>
  <si>
    <t>32806735000101</t>
  </si>
  <si>
    <t>rua dos Beneditinos, nº 220, bairro Heliópolis</t>
  </si>
  <si>
    <t>EMEI Heliopolis, situada na rua dos Beneditinos, nº 220, bairro Heliópolis</t>
  </si>
  <si>
    <t>2022_DR_CELIO_FROIS_432_01</t>
  </si>
  <si>
    <t>432</t>
  </si>
  <si>
    <t>À implantação de quadra de futevôlei na Praça Francisco Barreto, bairro Campo Alegre;</t>
  </si>
  <si>
    <t>MCM EMPREENDIMENTOS EIRELI EPP</t>
  </si>
  <si>
    <t>Praça Francisco Barreto, bairro Campo Alegre</t>
  </si>
  <si>
    <t>2022_DR_CELIO_FROIS_469_01</t>
  </si>
  <si>
    <t>469</t>
  </si>
  <si>
    <t>À implantação de academia de aço inox ou de concreto na Rua Carlos Tomás próximo ao n. 190, bairro São Tomás;</t>
  </si>
  <si>
    <t>Rua Carlos Tomás próximo ao n. 190, bairro São Tomás</t>
  </si>
  <si>
    <t>Academia rua Carlos Tomás próximo ao n. 190, bairro São Tomás</t>
  </si>
  <si>
    <t>2022_DR_CELIO_FROIS_487_01</t>
  </si>
  <si>
    <t>487</t>
  </si>
  <si>
    <t>À implantação de academia de aço inox ou de concreto na Praça localizada no bairro Campo Alegre, entre as ruas Bacuraus, Adolfo Bezerra de Meneses e Alexandre de Gusmão;</t>
  </si>
  <si>
    <t>Praça localizada no bairro Campo Alegre, entre as ruas Bacuraus, Adolfo Bezerra de Meneses e Alexandre de Gusmão;</t>
  </si>
  <si>
    <t>Academia Praça localizada no bairro Campo Alegre, entre as ruas Bacuraus, Adolfo Bezerra de Meneses e Alexandre de Gusmão;</t>
  </si>
  <si>
    <t>2022_DR_CELIO_FROIS_488_01</t>
  </si>
  <si>
    <t>488</t>
  </si>
  <si>
    <t>À implantação de academia de aço inox ou de concreto na rua Washington Luiz, em frente ao n. 1530, bairro São Bernardo;</t>
  </si>
  <si>
    <t>rua Washington Luiz, em frente ao n. 1530, bairro São Bernardo</t>
  </si>
  <si>
    <t>Academia rua Washington Luiz, em frente ao n. 1530, bairro São Bernardo</t>
  </si>
  <si>
    <t>2022_DR_CELIO_FROIS_501_01</t>
  </si>
  <si>
    <t>501</t>
  </si>
  <si>
    <t>À reforma das instalações estruturais do Centro de Saúde do bairro das Indústrias;</t>
  </si>
  <si>
    <t>MCM EMPREENDIMENTOS EIRELI   EPP
MCM EMPREENDIMENTOS EIRELI   EPP</t>
  </si>
  <si>
    <t>Centro de Saúde do bairro das Indústrias</t>
  </si>
  <si>
    <t>2022_DR_CELIO_FROIS_507_01</t>
  </si>
  <si>
    <t>507</t>
  </si>
  <si>
    <t>À manutenção dos equipamentos de Saúde do Hospital Metropolitano Dr. Célio de Castro;</t>
  </si>
  <si>
    <t>2022_DR_CELIO_FROIS_527_01</t>
  </si>
  <si>
    <t>527</t>
  </si>
  <si>
    <t>À manutenção dos equipamentos de Saúde do Hospital Universitário Ciências Médicas;</t>
  </si>
  <si>
    <t>FUNDACAO EDUCACIONAL LUCAS MACHADO FELUMA</t>
  </si>
  <si>
    <t>17178203000680</t>
  </si>
  <si>
    <t>Hospital Universitário Ciências Médicas</t>
  </si>
  <si>
    <t>2022_DR_CELIO_FROIS_528_01</t>
  </si>
  <si>
    <t>528</t>
  </si>
  <si>
    <t>À manutenção dos equipamentos de Saúde do Hospital Risoleta Tolentino Neves;</t>
  </si>
  <si>
    <t>2022_DR_CELIO_FROIS_543_01</t>
  </si>
  <si>
    <t>543</t>
  </si>
  <si>
    <t>À reforma e ampliação do pátio e aquisição de brinquedos de recreação e lazer para a EMEI Vila Clóris, situada à R. das Gaivotas, 838 - Vila Cloris;</t>
  </si>
  <si>
    <t>2200.12.365.169.2046.445042</t>
  </si>
  <si>
    <t>CAIXA ESCOLAR DA ESCOLA MUNICIPAL DE EDUCACAO INFANTIL VILA CLORIS</t>
  </si>
  <si>
    <t>32955728000163</t>
  </si>
  <si>
    <t xml:space="preserve"> R. das Gaivotas, 838 - Vila Cloris</t>
  </si>
  <si>
    <t>EMEI Vila Clóris, situada à R. das Gaivotas, 838 - Vila Cloris;</t>
  </si>
  <si>
    <t>2022_DR_CELIO_FROIS_566_01</t>
  </si>
  <si>
    <t>566</t>
  </si>
  <si>
    <t>À reforma e ampliação do pátio e aquisição de brinquedos de recreação e lazer para Floramar, situada à R. José Ferreira Magalhães, 87 - Floramar;</t>
  </si>
  <si>
    <t>CAIXA ESCOLAR DA ESCOLA MUNICIPAL DE EDUCACAO INFANTIL FLORAMAR</t>
  </si>
  <si>
    <t>32846607000183</t>
  </si>
  <si>
    <t>R. José Ferreira Magalhães, 87 - Floramar</t>
  </si>
  <si>
    <t>EMEI Floramar, R. José Ferreira Magalhães, 87 - Floramar</t>
  </si>
  <si>
    <t>2022_DR_CELIO_FROIS_633_01</t>
  </si>
  <si>
    <t>633</t>
  </si>
  <si>
    <t>À manutenção dos equipamentos de Saúde da Santa Casa de Misericórdia de Belo Horizonte, para o atendimento dos munícipes da cidade;</t>
  </si>
  <si>
    <t>2022_DR_CELIO_FROIS_653_01</t>
  </si>
  <si>
    <t>653</t>
  </si>
  <si>
    <t>À manutenção dos equipamentos de Saúde do Hospital da Baleia, situado à R. Juramento, nº 1464. bairro Saudade, para o atendimento dos munícipes da cidade;</t>
  </si>
  <si>
    <t>R. Juramento, nº 1464. bairro Saudade</t>
  </si>
  <si>
    <t>Hospital da Baleia, situado à R. Juramento, nº 1464. bairro Saudade</t>
  </si>
  <si>
    <t>2022_DR_CELIO_FROIS_701_01</t>
  </si>
  <si>
    <t>701</t>
  </si>
  <si>
    <t>À manutenção dos equipamentos de Saúde a Associação Mario Penna Belo Horizonte, para atendimento dos munícipes da cidade;</t>
  </si>
  <si>
    <t>2022_DUDA_SALABERT_531_01</t>
  </si>
  <si>
    <t>2022_DUDA_SALABERT</t>
  </si>
  <si>
    <t>531</t>
  </si>
  <si>
    <t>Duda Salabert</t>
  </si>
  <si>
    <t>Ao reforço de dotação orçamentária de modo a permitir a aquisição de kits para a promoção da agroecologia nos Centros de Vivência Agroecológicas (CEVAEs), contendo nesses kits composteiras para reciclagem de resíduos orgânicos, ferramentas manuais e equipamentos (carrinho de mão, enxada, enxadão, dentre outros ), composto orgânico, terra vegetal e outros materiais necessários, conforme a demanda dos CEVAEs;</t>
  </si>
  <si>
    <t>BRR DISTRIBUIDORA MATERIAIS DE CONSTRUCAO E CONSUMO LTDA.</t>
  </si>
  <si>
    <t>33737303000140</t>
  </si>
  <si>
    <t>0499</t>
  </si>
  <si>
    <t>2022_DUDA_SALABERT_532_01</t>
  </si>
  <si>
    <t>532</t>
  </si>
  <si>
    <t>Ao reforço de dotação orçamentária para o Hospital Eduardo de Menezes, cnpj 19.843.929/0011- 82, para a compra de equipamento e material permanente destinado ao ambulatório trans (Anyky Lima);</t>
  </si>
  <si>
    <t>2302.10.302.114.2894.449052</t>
  </si>
  <si>
    <t>19843929001182</t>
  </si>
  <si>
    <t xml:space="preserve"> Hospital Eduardo de Menezes/Ambulatório trans (Anyky Lima)</t>
  </si>
  <si>
    <t>2022_DUDA_SALABERT_533_01</t>
  </si>
  <si>
    <t>533</t>
  </si>
  <si>
    <t>Ao reforço de dotação orçamentária para o Hospital Eduardo de Menezes, 19843929001182, para a compra de insumos hospitalares;</t>
  </si>
  <si>
    <t xml:space="preserve"> Hospital Eduardo de Menezes</t>
  </si>
  <si>
    <t>2022_DUDA_SALABERT_534_01</t>
  </si>
  <si>
    <t>534</t>
  </si>
  <si>
    <t>Ao reforço de dotação orçamentária para o Hospital Metropolitano Odilon Behrens, CNPJ 16.692.121/0001-81, para a compra de insumos hospitalares;</t>
  </si>
  <si>
    <t>2302.10.302.114.2894.339139</t>
  </si>
  <si>
    <t>HOSPITAL METROPOLITANO ODILON BEHRENS   HOB</t>
  </si>
  <si>
    <t>2022_DUDA_SALABERT_535_01</t>
  </si>
  <si>
    <t>535</t>
  </si>
  <si>
    <t>Ao reforço de dotação orçamentária destinada ao Centro de Referência em Saúde Mental - CERSAM da região Oeste para a compra de material e equipamentos necessários para o desenvolvimento de suas atividades;</t>
  </si>
  <si>
    <t>2302.10.302.114.2891.449052</t>
  </si>
  <si>
    <t>IGM COMERCIO VAREJISTA DE PECAS E ACESSORIOS PARA VEICULOS LTDA
IGM COMERCIO VAREJISTA DE PECAS E ACESSORIOS PARA VEICULOS LTDA
CONSELHO CENTRAL DE BELO HORIZONTE DA SOCIEDADE DE SAO VICENTE DE PAULO
DRIVE A INFORMATICA LTDA</t>
  </si>
  <si>
    <t>23140085000109
23140085000109
17492398000123
00677870000108</t>
  </si>
  <si>
    <t>Centro de Referência em Saúde Mental - CERSAM da região Oeste</t>
  </si>
  <si>
    <t>2022_DUDA_SALABERT_536_01</t>
  </si>
  <si>
    <t>536</t>
  </si>
  <si>
    <t>Ao reforço de dotação orçamentária destinada a guarda municipal para a realização de campanha de conscientização contra a LGBTfobia;</t>
  </si>
  <si>
    <t>2100.06.181.109.2803.339030</t>
  </si>
  <si>
    <t>FUNDACAO GUIMARAES ROSA</t>
  </si>
  <si>
    <t>04853455000100</t>
  </si>
  <si>
    <t>2022_DUDA_SALABERT_537_01</t>
  </si>
  <si>
    <t>537</t>
  </si>
  <si>
    <t>2100.06.181.109.2803.339039</t>
  </si>
  <si>
    <t>2022_DUDA_SALABERT_539_01</t>
  </si>
  <si>
    <t>539</t>
  </si>
  <si>
    <t>Ao reforço de dotação orçamentária da Guarda Municipal para a capacitação dos seus agentes com o intuito de humanizar o atendimento à população indígena;</t>
  </si>
  <si>
    <t>populacao indigena</t>
  </si>
  <si>
    <t>2022_DUDA_SALABERT_540_01</t>
  </si>
  <si>
    <t>540</t>
  </si>
  <si>
    <t>À instalação de brinquedos: dois balanços adaptados, dois gira-gira e duas gaiolas labirinto (trepa-trepa) na praça Ernesto Che Guevara, situada no conjunto Taquaril;</t>
  </si>
  <si>
    <t>GENESIS INDUSTRIA E COMERCIO DE ARTIGOS ESPORTIVOS LTDA</t>
  </si>
  <si>
    <t>21542278000160</t>
  </si>
  <si>
    <t xml:space="preserve"> praça Ernesto Che Guevara, situada no conjunto Taquaril</t>
  </si>
  <si>
    <t>criancas; pessoas com deficiencia</t>
  </si>
  <si>
    <t>2022_DUDA_SALABERT_544_01</t>
  </si>
  <si>
    <t>544</t>
  </si>
  <si>
    <t>Ao reforço de dotação orçamentária para custeio de aquisição de insumos hospitalares da Fundação de Assistência Integral a Saúde Hospital Sofia Feldman;</t>
  </si>
  <si>
    <t>2022_DUDA_SALABERT_545_01</t>
  </si>
  <si>
    <t>545</t>
  </si>
  <si>
    <t>para a realização de uma nova rodada da pesquisa (quantitativa e qualitativa) mapeando o perfil social e as vulnerabilidades das trabalhadoras sexuais (cis e trans) do município de belo horizonte;</t>
  </si>
  <si>
    <t>1000.14.422.127.2840.339036</t>
  </si>
  <si>
    <t>2840</t>
  </si>
  <si>
    <t>Promoção, Proteção e Defesa de Direitos das Mulheres</t>
  </si>
  <si>
    <t>SOCIEDADE MINEIRA DE CULTURA</t>
  </si>
  <si>
    <t>17178195000167</t>
  </si>
  <si>
    <t>trans/travestis; trabalhadoras sexuais</t>
  </si>
  <si>
    <t>2022_DUDA_SALABERT_546_01</t>
  </si>
  <si>
    <t>546</t>
  </si>
  <si>
    <t>para o custeio da retificação de nome e gênero de pessoas transexuais;</t>
  </si>
  <si>
    <t>1000.14.422.127.2928.339048</t>
  </si>
  <si>
    <t>339048</t>
  </si>
  <si>
    <t>2022_DUDA_SALABERT_547_01</t>
  </si>
  <si>
    <t>547</t>
  </si>
  <si>
    <t>para a promoção da empregabilidade de pessoas travestis e transexuais mediante o custeio de cursos de qualificação e profissionalização;</t>
  </si>
  <si>
    <t>FUNDO DE ACELERACAO PARA O DESENVOLVIMENTO VELA (FA.VELA)</t>
  </si>
  <si>
    <t>23311666000166</t>
  </si>
  <si>
    <t>2022_DUDA_SALABERT_548_01</t>
  </si>
  <si>
    <t>548</t>
  </si>
  <si>
    <t>Ao reforço de dotação orçamentária da secretaria municipal de cultura destinada a promoção de eventos sobre a cultura indígena;</t>
  </si>
  <si>
    <t>INSTITUTO ODEON</t>
  </si>
  <si>
    <t>02612590000139</t>
  </si>
  <si>
    <t>2022_DUDA_SALABERT_549_01</t>
  </si>
  <si>
    <t>549</t>
  </si>
  <si>
    <t>À instalação de brinquedos: dois balanços adaptados e dois gira-gira na praça Professor José Americano, situada na rua Rosinha Sigaud, bairro Caiçaras;</t>
  </si>
  <si>
    <t>praça Professor José Americano, situada na rua Rosinha Sigaud, bairro Caiçaras</t>
  </si>
  <si>
    <t>2022_DUDA_SALABERT_550_01</t>
  </si>
  <si>
    <t>550</t>
  </si>
  <si>
    <t>À instalação de um poste de iluminação pública na Rua Antônio Henrique Alves, número 191, no Bairro Caiçara;</t>
  </si>
  <si>
    <t>2700.15.451.084.2035.339039</t>
  </si>
  <si>
    <t>0084</t>
  </si>
  <si>
    <t>Serviços de Iluminação Pública</t>
  </si>
  <si>
    <t>2035</t>
  </si>
  <si>
    <t>Custeio dos Serviços de Iluminação Pública</t>
  </si>
  <si>
    <t>0802</t>
  </si>
  <si>
    <t>Rua Antônio Henrique Alves, número 191, no Bairro Caiçara</t>
  </si>
  <si>
    <t>2022_DUDA_SALABERT_551_01</t>
  </si>
  <si>
    <t>551</t>
  </si>
  <si>
    <t>Ao reforço de dotação orçamentária para aquisição de material didático para a educação bilíngue de surdos;</t>
  </si>
  <si>
    <t>2200.12.367.167.2701.449052</t>
  </si>
  <si>
    <t>Educação Especial</t>
  </si>
  <si>
    <t>0167</t>
  </si>
  <si>
    <t>Gestão da política de educação inclusiva e diversidade étnico-racial</t>
  </si>
  <si>
    <t>2701</t>
  </si>
  <si>
    <t>Apoio à inclusão de alunos com deficiência no cotidiano escolar</t>
  </si>
  <si>
    <t>0603</t>
  </si>
  <si>
    <t>pessoas com deficiencia</t>
  </si>
  <si>
    <t>2022_DUDA_SALABERT_552_01</t>
  </si>
  <si>
    <t>552</t>
  </si>
  <si>
    <t>Ao reforço de dotação orçamentária para implementação do banco de ração animal;</t>
  </si>
  <si>
    <t>2500.18.542.306.2877.339039</t>
  </si>
  <si>
    <t>542</t>
  </si>
  <si>
    <t>Controle Ambiental</t>
  </si>
  <si>
    <t>0306</t>
  </si>
  <si>
    <t>Bem Estar Animal</t>
  </si>
  <si>
    <t>2877</t>
  </si>
  <si>
    <t>Gestão Intersetorial da Política Municipal de Proteção Animal</t>
  </si>
  <si>
    <t>ANCLIVEPA   MG</t>
  </si>
  <si>
    <t>23373541000160</t>
  </si>
  <si>
    <t>0405</t>
  </si>
  <si>
    <t>animais</t>
  </si>
  <si>
    <t>2022_DUDA_SALABERT_553_01</t>
  </si>
  <si>
    <t>553</t>
  </si>
  <si>
    <t>Ao reforço de dotação orçamentária para realização de programas e projetos voltados à proteção dos animais;</t>
  </si>
  <si>
    <t>2022_DUDA_SALABERT_554_01</t>
  </si>
  <si>
    <t>554</t>
  </si>
  <si>
    <t>Ao reforço de dotação orçamentária para a produção de mudas de espécies nativas pelo Jardim Botânico Municipal de modo a atender a grande demanda por plantio de árvores na cidade;</t>
  </si>
  <si>
    <t>2505.18.541.073.2581.339030</t>
  </si>
  <si>
    <t>2505</t>
  </si>
  <si>
    <t>FUNDAÇÃO DE PARQUES MUNICIPAIS E ZOOBOTÂNICA</t>
  </si>
  <si>
    <t>0073</t>
  </si>
  <si>
    <t>Preservação e Conservação da Fauna e Flora em Parques, Jardim Zoológico e Jardim Botânico</t>
  </si>
  <si>
    <t>2581</t>
  </si>
  <si>
    <t>Preservação e Conservação do Acervo Florístico</t>
  </si>
  <si>
    <t>FPMZB</t>
  </si>
  <si>
    <t>D.P.R COMERCIO E SERVICOS LTDA</t>
  </si>
  <si>
    <t>07106755000114</t>
  </si>
  <si>
    <t>0705</t>
  </si>
  <si>
    <t>2022_DUDA_SALABERT_555_01</t>
  </si>
  <si>
    <t>555</t>
  </si>
  <si>
    <t>2505.18.541.073.2581.339037</t>
  </si>
  <si>
    <t>339037</t>
  </si>
  <si>
    <t>ADSERVI   ADMINISTRADORA DE SERVICOS LTDA</t>
  </si>
  <si>
    <t>02531343000108</t>
  </si>
  <si>
    <t>2022_DUDA_SALABERT_556_01</t>
  </si>
  <si>
    <t>556</t>
  </si>
  <si>
    <t>Ao reforço de dotação orçamentária de modo a permitir que a Fundação Municipal de Parques e Zoobotânica possa contratar mais um caminhão pipa para ajudar na rega das mudas plantadas, bem como no combate a incêndio nas unidades administradas;</t>
  </si>
  <si>
    <t>2505.18.541.073.2812.339039</t>
  </si>
  <si>
    <t>2812</t>
  </si>
  <si>
    <t>Gestão Operacional dos Parques Municipais</t>
  </si>
  <si>
    <t>TRANS SIMPLES SERVICOS DE LOCACAO E TRANSPORTES LTDA</t>
  </si>
  <si>
    <t>38541066000161</t>
  </si>
  <si>
    <t>0709</t>
  </si>
  <si>
    <t>2022_DUDA_SALABERT_557_01</t>
  </si>
  <si>
    <t>557</t>
  </si>
  <si>
    <t>Ao reforço de dotação orçamentária de modo a permitir melhorias e manutenção da infraestrutura do Parque José Lopes dos Reis (Parque Baleares) de modo a melhorar a estrutura do parque para uso dos munícipes, bem como realizar o plantio de mudas na área para aumento da cobertura vegetal da unidade;</t>
  </si>
  <si>
    <t>EMCOGEL EMPRESA DE CONSTRUCOES GERAIS LTDA</t>
  </si>
  <si>
    <t>21335336000185</t>
  </si>
  <si>
    <t>2101</t>
  </si>
  <si>
    <t>Parque José Lopes dos Reis (Parque Baleares)</t>
  </si>
  <si>
    <t>2022_DUDA_SALABERT_558_01</t>
  </si>
  <si>
    <t>558</t>
  </si>
  <si>
    <t>Ao reforço de dotação orçamentária de modo a permitir melhorias e manutenção da infraestrutura do Parque Conjunto Habitacional da Lagoa para uso dos munícipes, com ações do tipo cercamento da unidade, implantação de unidade produtiva comunitária / coletiva de agroecológica/agrofloresta e o plantio de mudas na área para aumento da cobertura vegetal da unidade;</t>
  </si>
  <si>
    <t>BRR DISTRIBUIDORA MATERIAIS DE CONSTRUCAO E CONSUMO LTDA.
FX COMERCIO E DISTRIBUIDORA LTDA</t>
  </si>
  <si>
    <t>33737303000140
13857945000176</t>
  </si>
  <si>
    <t>Parque Conjunto Habitacional da Lagoa</t>
  </si>
  <si>
    <t>2022_DUDA_SALABERT_559_01</t>
  </si>
  <si>
    <t>559</t>
  </si>
  <si>
    <t>Ao reforço de dotação orçamentária de modo a permitir a aquisição de kits para a promoção da agroecologia em unidades produtivas coletivas/comunitárias e Institucionais e Escolares, novas ou existentes, contendo nesses kits composteiras para reciclagem de resíduos orgânicos, ferramentas manuais e equipamentos (carrinho de mão, enxada, enxadão, dentre outros ), composto orgânico, terra vegetal e outros materiais necessários, conforme a demanda das unidades produtivas;</t>
  </si>
  <si>
    <t>1010.20.608.308.2121.339030</t>
  </si>
  <si>
    <t>2022_DUDA_SALABERT_560_01</t>
  </si>
  <si>
    <t>560</t>
  </si>
  <si>
    <t>Ao reforço de dotação orçamentária destinada ao Hospital Metropolitano Odilon Behrens, CNPJ 16.692.121/0001-81, para compra de equipamento para a Unidade de Terapia Intensiva Neonatal;</t>
  </si>
  <si>
    <t>recem-nascidos</t>
  </si>
  <si>
    <t>2022_DUDA_SALABERT_561_01</t>
  </si>
  <si>
    <t>561</t>
  </si>
  <si>
    <t>Ao reforço de dotação orçamentária de modo a melhoria e reforma na infraestrutura em unidades produtivas coletivas/comunitárias e Institucionais e Escolares, novas ou existentes, bem como a contratação de consultoria técnica especializada para a promoção da agroecologia, em especial quanto a reciclagem de resíduos orgânicos, conforme a demanda das unidades produtivas;</t>
  </si>
  <si>
    <t>OUTLET COMERCIO DE MATERIAIS EIRELI</t>
  </si>
  <si>
    <t>08235765000112</t>
  </si>
  <si>
    <t>2022_DUDA_SALABERT_562_01</t>
  </si>
  <si>
    <t>562</t>
  </si>
  <si>
    <t>Ao reforço de dotação orçamentária de modo a permitir a disponibilização de poda triturada e outros materiais para uso como cobertura vegetal em unidades produtivas coletivas/comunitárias e Institucionais e Escolares, novas ou existentes, para a promoção da agroecologia, em especial quanto a reciclagem de resíduos orgânicos;</t>
  </si>
  <si>
    <t>COOPERATIVA DE TRANSPORTES E SERVICOS URBANOS E RURAIS</t>
  </si>
  <si>
    <t>10687745000124</t>
  </si>
  <si>
    <t>2022_DUDA_SALABERT_563_01</t>
  </si>
  <si>
    <t>563</t>
  </si>
  <si>
    <t>Ao reforço de dotação orçamentária de modo a permitir melhorias e manutenção da infraestrutura dos Centros de Vivência Agroecológicas (CEVAEs) para uso dos munícipies quanto a produção agroecologicas de alimentos e a reciclagem de resíduos orgânicos por meio da compostagem;</t>
  </si>
  <si>
    <t>CONSTRUTORA SINARCO LTDA
EMCOGEL EMPRESA DE CONSTRUCOES GERAIS LTDA</t>
  </si>
  <si>
    <t>03367118000140
21335336000185</t>
  </si>
  <si>
    <t>2022_FERNANDA_PEREIRA_ALTOE_165_01</t>
  </si>
  <si>
    <t>2022_FERNANDA_PEREIRA_ALTOE</t>
  </si>
  <si>
    <t>165</t>
  </si>
  <si>
    <t>Fernanda Pereira Altoé</t>
  </si>
  <si>
    <t>Destinação de recursos para o Instituto Mano Down, CNPJ 23.684.121/0001-03, para a execução de atividades socioassistenciais, de acordo com o disposto na Lei Federal nº 8.742/93, em consonância com a referida inscrição no Conselho Municipal de Assistência Social de Belo Horizonte – CMAS-BH;</t>
  </si>
  <si>
    <t>INSTITUTO MANO DOWN</t>
  </si>
  <si>
    <t>23684121000103</t>
  </si>
  <si>
    <t>1304</t>
  </si>
  <si>
    <t>pessoas com sindrome de down</t>
  </si>
  <si>
    <t>2022_FERNANDA_PEREIRA_ALTOE_181_01</t>
  </si>
  <si>
    <t>Ao repasse de recursos ao Hospital Metropolitano Odilon Behrens (CNPJ: 16.692.121/0001-81) para aquisição de equipamentos;</t>
  </si>
  <si>
    <t>2022_FERNANDA_PEREIRA_ALTOE_278_01</t>
  </si>
  <si>
    <t>278</t>
  </si>
  <si>
    <t>Reforço de dotação para elaboração e fomento de soluções de engenharia baseadas na natureza para contratação de projeto para telhados verdes e implantação de jardins de chuva;</t>
  </si>
  <si>
    <t>2700.1100.18.541.073.1.202.449051</t>
  </si>
  <si>
    <t>1202</t>
  </si>
  <si>
    <t>Construção, Ampliação e Reforma de Praças, Parques e Canteiros</t>
  </si>
  <si>
    <t>ESTRUTURA ENGENHARIA E CONSTRUCAO LTDA</t>
  </si>
  <si>
    <t>19590967000107</t>
  </si>
  <si>
    <t>2022_FERNANDO_LUIZ_114_01</t>
  </si>
  <si>
    <t>2022_FERNANDO_LUIZ</t>
  </si>
  <si>
    <t>114</t>
  </si>
  <si>
    <t>Fernando Luiz</t>
  </si>
  <si>
    <t>À pavimentação asfáltica do entorno da Praça Antônio Mascarenhas Ferreira, do lado que se encontra com pavimento de terra batida, com dimensão aproximada de 70m (setenta metros) de comprimento por 8 m (oito metros) de largura e 4cm (quatro centímetros) de espessura, no Bairro Havaí;</t>
  </si>
  <si>
    <t>Entorno Praça Antônio Mascarenhas Ferreira, bairro Havai</t>
  </si>
  <si>
    <t>2022_FERNANDO_LUIZ_115_01</t>
  </si>
  <si>
    <t>115</t>
  </si>
  <si>
    <t>Ao recapeamento asfáltico da Rua Prateada, no trecho situado entre a BR 262 e a Avenida Açudes, com dimensão aproximada de 117m (cento e dezessete metros) de comprimento por 7m (sete metros) de largura e 4cm (quatro centímetros) de espessura, no Bairro Alto dos Pinheiros;</t>
  </si>
  <si>
    <t>Rua Prateada, no trecho situado entre a BR 262 e a Avenida Açudes, com dimensão aproximada de 117m (cento e dezessete metros) de comprimento por 7m (sete metros) de largura e 4cm (quatro centímetros) de espessura, no Bairro Alto dos Pinheiros;</t>
  </si>
  <si>
    <t>2022_FERNANDO_LUIZ_116_01</t>
  </si>
  <si>
    <t>116</t>
  </si>
  <si>
    <t>Ao recapeamento asfáltico da Rua Vereador Antônio Menezes, no trecho situado entre as ruas Silvestre Teodoro de Souza e Joana Lopes dos Santos, com dimensão aproximada de 109 m (cento e nove metros) de comprimento por 6 m (seis metros) de largura e 4 cm (quatro centímetros) de espessura, no Bairro Independência;</t>
  </si>
  <si>
    <t>Rua Vereador Antônio Menezes, no trecho situado entre as ruas Silvestre Teodoro de Souza e Joana Lopes dos Santos, com dimensão aproximada de 109 m (cento e nove metros) de comprimento por 6 m (seis metros) de largura e 4 cm (quatro centímetros) de espessura, no Bairro Independência;</t>
  </si>
  <si>
    <t>2022_FERNANDO_LUIZ_117_01</t>
  </si>
  <si>
    <t>117</t>
  </si>
  <si>
    <t>À revitalização da Praça Antônio Mascarenhas Ferreira, localizada próximo à Rua Frutuoso Viana, no Bairro Havaí;</t>
  </si>
  <si>
    <t>2700.1100.18.541.073.1202.449051</t>
  </si>
  <si>
    <t>Praça Antônio Mascarenhas Ferreira, localizada próximo à Rua Frutuoso Viana, no Bairro Havaí</t>
  </si>
  <si>
    <t>2022_FERNANDO_LUIZ_118_01</t>
  </si>
  <si>
    <t>118</t>
  </si>
  <si>
    <t>À reforma e à revitalização da praça existente na Avenida Dom Pedro II, nº 4.215, esquina com Rua Vila Rica, nº 965, no Bairro Padre Eustáquio;</t>
  </si>
  <si>
    <t>2700.18.541.073.1202.449051</t>
  </si>
  <si>
    <t>Praça Avenida Dom Pedro II, nº 4.215, esquina com Rua Vila Rica, nº 965, no Bairro Padre Eustáquio;</t>
  </si>
  <si>
    <t>2022_FERNANDO_LUIZ_119_01</t>
  </si>
  <si>
    <t>119</t>
  </si>
  <si>
    <t>À construção de travessia de pedestre e à revitalização das alças compreendidas no Viaduto Dezenove, que faz ligação da BR-040 à Avenida Vereador Cícero Idelfonso, no Bairro João Pinheiro, no sentido BR-040 - Rodovia Juscelino Kubitschek e sentido Rodovia Juscelino Kubitschek - BR-040;</t>
  </si>
  <si>
    <t>2700.15.451.233.1396.449051</t>
  </si>
  <si>
    <t>Viaduto Dezenove, que faz ligação da BR-040 à Avenida Vereador Cícero Idelfonso, no Bairro João Pinheiro, no sentido BR-040 - Rodovia Juscelino Kubitschek e sentido Rodovia Juscelino Kubitschek - BR-040</t>
  </si>
  <si>
    <t>2022_FERNANDO_LUIZ_120_01</t>
  </si>
  <si>
    <t>120</t>
  </si>
  <si>
    <t>Ao reforço de dotação orçamentária para recapeamento asfáltico no Município;</t>
  </si>
  <si>
    <t>2700.15.451.062.1230.449051</t>
  </si>
  <si>
    <t>SANTO PIO SERVICOS LTDA.
JVF EMPREENDIMENTOS SOCIEDADE UNIPESSOAL LTDA
EMBRAURB EMPRESA BRASILEIRA DE URBANIZACAO LTDA.</t>
  </si>
  <si>
    <t>03532190000186
09236617000185
21175203000199</t>
  </si>
  <si>
    <t>2022_FERNANDO_LUIZ_569_01</t>
  </si>
  <si>
    <t>569</t>
  </si>
  <si>
    <t>À aquisição de material de consumo, tais como insumo, medicamentos, máscaras, seringas para o Hospital Evangélico de Belo Horizonte;</t>
  </si>
  <si>
    <t>Hospital Evangélico de Belo Horizonte</t>
  </si>
  <si>
    <t>2022_FERNANDO_LUIZ_570_01</t>
  </si>
  <si>
    <t>570</t>
  </si>
  <si>
    <t>À aquisição de material de consumo, tais como insumos, medicamentos, máscaras, seringas para o Hospital Odilon Behrens de Belo Horizonte;</t>
  </si>
  <si>
    <t>Hospital Odilon Behrens de Belo Horizonte</t>
  </si>
  <si>
    <t>2022_FERNANDO_LUIZ_590_01</t>
  </si>
  <si>
    <t>590</t>
  </si>
  <si>
    <t>Destinação de recursos para a Associação Querubins, CNPJ 033.967.760/0001-60, para a execução de atividades socioassistenciais, de acordo com o disposto na Lei Federal nº 8.742/93, em consonância com a referida inscrição no Conselho Municipal de Assistência Social de Belo Horizonte – CMAS-BH;</t>
  </si>
  <si>
    <t>1011.08.244.019.2308.339039</t>
  </si>
  <si>
    <t>0019</t>
  </si>
  <si>
    <t>Proteção Social Básica</t>
  </si>
  <si>
    <t>2308</t>
  </si>
  <si>
    <t>Serviços de Proteção Social Básica</t>
  </si>
  <si>
    <t>ASSOCIACAO QUERUBINS</t>
  </si>
  <si>
    <t>03396776000160</t>
  </si>
  <si>
    <t>2022_FLAVIA_BORJA_175_01</t>
  </si>
  <si>
    <t>2022_FLAVIA_BORJA</t>
  </si>
  <si>
    <t>175</t>
  </si>
  <si>
    <t>Flávia Borja</t>
  </si>
  <si>
    <t>AVANTE</t>
  </si>
  <si>
    <t>Destinação de recursos para o Projeto Samuel, CNPJ 08.949.099/0002-65, para a execução de atividades socioassistenciais, de acordo com o disposto na Lei Federal nº 8.742/93, em consonância com a referida inscrição no Conselho Municipal de Assistência Social de Belo Horizonte – CMAS-BH;</t>
  </si>
  <si>
    <t>ASSOCIACAO SERVINDO E PROTEGENDO</t>
  </si>
  <si>
    <t>8949099000265</t>
  </si>
  <si>
    <t>2022_FLAVIA_BORJA_176_01</t>
  </si>
  <si>
    <t>176</t>
  </si>
  <si>
    <t>Avante</t>
  </si>
  <si>
    <t>entorno da Praça Antônio Mascarenhas Ferreira, bairro Havai</t>
  </si>
  <si>
    <t>2022_FLAVIA_BORJA_177_01</t>
  </si>
  <si>
    <t>177</t>
  </si>
  <si>
    <t>Rua Prateada, no trecho situado entre a BR 262 e a Avenida Açudes, com dimensão aproximada de 117m (cento e dezessete metros) de comprimento por 7m (sete metros) de largura e 4cm (quatro centímetros) de espessura, no Bairro Alto dos Pinheiros</t>
  </si>
  <si>
    <t>2022_FLAVIA_BORJA_178_01</t>
  </si>
  <si>
    <t>178</t>
  </si>
  <si>
    <t>Rua Vereador Antônio Menezes, no trecho situado entre as ruas Silvestre Teodoro de Souza e Joana Lopes dos Santos, com dimensão aproximada de 109 m (cento e nove metros) de comprimento por 6 m (seis metros) de largura e 4 cm (quatro centímetros) de espessura, no Bairro Independência</t>
  </si>
  <si>
    <t>2022_FLAVIA_BORJA_179_01</t>
  </si>
  <si>
    <t>179</t>
  </si>
  <si>
    <t>À reforma da Praça Alberto Mazzoni, situada entre as Ruas Araxá, Saldanha da Gama, Ponte Nova e Varginha, no bairro Colégio Batista;</t>
  </si>
  <si>
    <t>ENGECOM   ENGENHARIA E COMERCIO LTDA.
CHRONOS ENGENHARIA E SERVICOS LTDA</t>
  </si>
  <si>
    <t>16594889000112
11754138000100</t>
  </si>
  <si>
    <t>Praça Alberto Mazzoni, situada entre as Ruas Araxá, Saldanha da Gama, Ponte Nova e Varginha, no bairro Colégio Batista</t>
  </si>
  <si>
    <t>2022_FLAVIA_BORJA_406_01</t>
  </si>
  <si>
    <t>406</t>
  </si>
  <si>
    <t>À reforma da Praça Irajá situada entre as Ruas Jaguaribe, Pitangui, Itapetinga, Petrópolis e Nossa Senhora da Paz no bairro Concórdia em Belo Horizonte/MG;</t>
  </si>
  <si>
    <t>2702.0400.18.541.233.2.811.339039</t>
  </si>
  <si>
    <t>2702</t>
  </si>
  <si>
    <t>SUPERINTENDÊNCIA DE DESENVOLVIMENTO DA CAPITAL</t>
  </si>
  <si>
    <t>Jtt Locacoes e Servicos Ltda</t>
  </si>
  <si>
    <t>7823480000130</t>
  </si>
  <si>
    <t>Praça Irajá situada entre as Ruas Jaguaribe, Pitangui, Itapetinga, Petrópolis e Nossa Senhora da Paz no bairro Concórdi</t>
  </si>
  <si>
    <t>2022_FLAVIA_BORJA_783_01</t>
  </si>
  <si>
    <t>783</t>
  </si>
  <si>
    <t>À reforma da Praça situada na Rua Alameda das Margaridas em frente ao número 115, na Vila Sumaré, bairro Aparecida;</t>
  </si>
  <si>
    <t>REFLORESTAR AMBIENTAL LTDA
COMPANHIA DA OBRA ENGENHARIA E CONSTRUCOES EIRELI
AVA ENGENHARIA E COMERCIO LTDA</t>
  </si>
  <si>
    <t>08145897000153
00711110000161
29220937000154</t>
  </si>
  <si>
    <t>Praça situada na Rua Alameda das Margaridas em frente ao número 115, na Vila Sumaré, bairro Aparecida</t>
  </si>
  <si>
    <t>2022_FLAVIA_BORJA_784_01</t>
  </si>
  <si>
    <t>784</t>
  </si>
  <si>
    <t>À reforma da Praça Comendador Negrão de Lima situada entre as Ruas Dona Maria Inês, Dona Lídya Couto e Santa Maria, no bairro Floresta;</t>
  </si>
  <si>
    <t>Praça Comendador Negrão de Lima situada entre as Ruas Dona Maria Inês, Dona Lídya Couto e Santa Maria, no bairro Floresta</t>
  </si>
  <si>
    <t xml:space="preserve"> Praça Comendador Negrão de Lima situada entre as Ruas Dona Maria Inês, Dona Lídya Couto e Santa Maria, no bairro Floresta</t>
  </si>
  <si>
    <t>2022_FLAVIA_BORJA_785_01</t>
  </si>
  <si>
    <t>785</t>
  </si>
  <si>
    <t>À reforma da Praça João Balbino situada entre as Ruas Sabará, Aristides Ferreira e Granada, no bairro Colégio Batista;</t>
  </si>
  <si>
    <t>JTT LOCACOES E SERVICOS LTDA.
JTT LOCACOES E SERVICOS LTDA.
JTT LOCACOES E SERVICOS LTDA.</t>
  </si>
  <si>
    <t>07823480000130
07823480000130
07823480000130</t>
  </si>
  <si>
    <t>Praça João Balbino situada entre as Ruas Sabará, Aristides Ferreira e Granada, no bairro Colégio Batista</t>
  </si>
  <si>
    <t>2022_FLAVIA_BORJA_786_01</t>
  </si>
  <si>
    <t>786</t>
  </si>
  <si>
    <t>Destinação de recursos para a Fundação Oásis, CNPJ 01.030.958/0001-98, para a execução de atividades socioassistenciais, de acordo com o disposto na Lei Federal nº 8.742/93, em consonância com a referida inscrição no Conselho Municipal de Assistência Social de Belo Horizonte – CMAS-BH;</t>
  </si>
  <si>
    <t>FUNDACAO OASIS</t>
  </si>
  <si>
    <t>01030958000198</t>
  </si>
  <si>
    <t>2022_FLAVIA_BORJA_787_01</t>
  </si>
  <si>
    <t>787</t>
  </si>
  <si>
    <t>Destinação de recursos para a instituição Projeto Samuel, CNPJ 08.949.099/0002-65, para a execução de atividades socioassistenciais, de acordo com o disposto na Lei Federal nº 8.742/93, em consonância com a referida inscrição no Conselho Municipal de Assistência Social de Belo Horizonte – CMAS-BH;</t>
  </si>
  <si>
    <t>08949099000265</t>
  </si>
  <si>
    <t>2022_FLAVIA_BORJA_857_01</t>
  </si>
  <si>
    <t>857</t>
  </si>
  <si>
    <t>Destinação de recursos para a Fundação Oasis, CNPJ 01.030.958/0001-98, para a execução de atividades socioassistenciais, de acordo com o disposto na Lei Federal nº 8.742/93, em consonância com a referida inscrição no Conselho Municipal de Assistência Social de Belo Horizonte – CMAS-BH;</t>
  </si>
  <si>
    <t>2022_FLAVIA_BORJA_858_01</t>
  </si>
  <si>
    <t>858</t>
  </si>
  <si>
    <t>À criação de subação "Associação Evangélica Beneficente de Minas Gerais" para realização de suas atividades essenciais, como cirurgias, atendimentos ambulatoriais, exames, internações e procedimentos;</t>
  </si>
  <si>
    <t>0334</t>
  </si>
  <si>
    <t>Associação Evangélica Beneficente de Minas Gerais</t>
  </si>
  <si>
    <t>2022_GILSON_GUIMARAES_405_01</t>
  </si>
  <si>
    <t>2022_GILSON_GUIMARAES</t>
  </si>
  <si>
    <t>405</t>
  </si>
  <si>
    <t>Gilson Guimarães</t>
  </si>
  <si>
    <t>REDE</t>
  </si>
  <si>
    <t>Despesa orçamentária para aquisição de equipamentos permanentes e materiais de consumo para o Centro de Saúde São Miguel Arcanjo;</t>
  </si>
  <si>
    <t>2302.3401.10.301.157.2.690.339030</t>
  </si>
  <si>
    <t>Dcb Distribuidora Cirurgica Brasileira Ltda
Sp Health Industria e Comercio Ltda
Biohosp Produtos Hospitalares Sa
Nsa Distribuidora de Medicamentos Ltda
Global Hospitalar Importacao e Comercio Sa</t>
  </si>
  <si>
    <t>20235404000171
20227117000110
18269125000187
34729047000102
12047164000153</t>
  </si>
  <si>
    <t>Centro de Saúde São Miguel Arcanjo</t>
  </si>
  <si>
    <t>2022_GILSON_GUIMARAES_407_01</t>
  </si>
  <si>
    <t>407</t>
  </si>
  <si>
    <t>Para compra e instalação de um elevador externo, onde irá fornecer melhoria na acessibilidade ao Centro de Saúde Cafezal, localizado na Rua Bela Vista, n. 30, Vila Cafezal no bairro Serra;</t>
  </si>
  <si>
    <t>2302.0200.10.122.117.1.216.449051</t>
  </si>
  <si>
    <t>Engecom Engenharia e Comercio Ltda
Construtora Elevacao Ltda</t>
  </si>
  <si>
    <t>16594889000112
77167203000100</t>
  </si>
  <si>
    <t>Rua Bela Vista, n. 30, Vila Cafezal no bairro Serra</t>
  </si>
  <si>
    <t>Centro de Saúde Cafezal, localizado na Rua Bela Vista, n. 30, Vila Cafezal no bairro Serra</t>
  </si>
  <si>
    <t>2022_GILSON_GUIMARAES_426_01</t>
  </si>
  <si>
    <t>426</t>
  </si>
  <si>
    <t>A unidade de pronto atendimento da Regional Leste (UPA-Leste), situada à Av. dos Andradas, 7260 - Vera Cruz, Belo Horizonte para reformas da unidade de saúde, com compra de materiais para obras (tinta, massa corrida, cimento, areia, etc);</t>
  </si>
  <si>
    <t>2302.10.302.114.2893.339030</t>
  </si>
  <si>
    <t>Av. dos Andradas, 7260 - Vera Cruz</t>
  </si>
  <si>
    <t>(UPA-Leste), situada à Av. dos Andradas, 7260 - Vera Cruz</t>
  </si>
  <si>
    <t>2022_GILSON_GUIMARAES_468_01</t>
  </si>
  <si>
    <t>468</t>
  </si>
  <si>
    <t>Ao Centro de Saúde Nossa Senhora de Fátima, localizado na Rua Corinto, n. 450, no bairro Serra, para a aquisição de aparelhos, materiais e equipamentos permanentes para melhoria no atendimento ao usuário;</t>
  </si>
  <si>
    <t>Rua Corinto, n. 450, no bairro Serra</t>
  </si>
  <si>
    <t>Centro de Saúde Nossa Senhora de Fátima, localizado na Rua Corinto, n. 450, no bairro Serra</t>
  </si>
  <si>
    <t>2022_GILSON_GUIMARAES_490_01</t>
  </si>
  <si>
    <t>490</t>
  </si>
  <si>
    <t>Destino o valor de R$100.000,00( cem mil reais) à Unida de Saúde Básica - Centro de Saúde Padre Tarcísio, localizado na Rua Coronel Jorge Davis, 500 - São Lucas, Belo Horizonte - MG. Para manutenção e compras de computadores ,cadeiras e suprimentos para o melhor funcionamento desta unidade básica;</t>
  </si>
  <si>
    <t>IGM COMERCIO VAREJISTA DE PECAS E ACESSORIOS PARA VEICULOS LTDA
IGM COMERCIO VAREJISTA DE PECAS E ACESSORIOS PARA VEICULOS LTDA
REPREMIG REPRESENTACAO E COMERCIO DE MINAS GERAIS LTDA
DRIVE A INFORMATICA LTDA
DRIVE A INFORMATICA LTDA
COMERCIAL SILVESTRE LTDA</t>
  </si>
  <si>
    <t>Rua Coronel Jorge Davis, 500 - São Lucas</t>
  </si>
  <si>
    <t>Unidade de Saúde Básica - Centro de Saúde Padre Tarcísio, localizado na Rua Coronel Jorge Davis, 500 - São Lucas</t>
  </si>
  <si>
    <t>2022_GILSON_GUIMARAES_493_01</t>
  </si>
  <si>
    <t>493</t>
  </si>
  <si>
    <t>Destino o valor de R$100.000,00(Cem mil reais) à Unidade Saúde Básica - Centro de Saúde Paraiso, localizado na Av. Mem de Sá, 1001 - Paraíso, Belo Horizonte - MG. Para manutenção, compra de cadeiras , mesas, armários e computadores, para o melhor funcionamento da unidade básica;</t>
  </si>
  <si>
    <t>COMERCIAL SILVESTRE LTDA
REPREMIG REPRESENTACAO E COMERCIO DE MINAS GERAIS LTDA
DRIVE A INFORMATICA LTDA
DRIVE A INFORMATICA LTDA</t>
  </si>
  <si>
    <t>Av. Mem de Sá, 1001 - Paraíso</t>
  </si>
  <si>
    <t>Unidade Saúde Básica - Centro de Saúde Paraiso, localizado na Av. Mem de Sá, 1001 - Paraíso</t>
  </si>
  <si>
    <t>2022_GILSON_GUIMARAES_500_01</t>
  </si>
  <si>
    <t>500</t>
  </si>
  <si>
    <t>Aquisição de materiais e equipamentos permanentes para o Laboratório Municipal de Análises Clínicas e Citopatológicas, CNPJ: 18.715.383/0001-40 localizado na Rua Frederico Bracher Junior, n. 103, bairro Carlos Prates, Regional Noroeste;</t>
  </si>
  <si>
    <t>MICROFORT INFORMATICA LTDA.
DRIVE A INFORMATICA LTDA
DRIVE A INFORMATICA LTDA
COMERCIAL SILVESTRE LTDA</t>
  </si>
  <si>
    <t>Rua Frederico Bracher Junior, n. 103, bairro Carlos Prates, Regional Noroeste</t>
  </si>
  <si>
    <t>Laboratório Municipal de Análises Clínicas e Citopatológicas, CNPJ: 18.715.383/0001-40 localizado na Rua Frederico Bracher Junior, n. 103, bairro Carlos Prates, Regional Noroeste;</t>
  </si>
  <si>
    <t>2022_GILSON_GUIMARAES_541_01</t>
  </si>
  <si>
    <t>Destino o valor de R$50.000,00 à Fundação Benjamin Guimarães (Hospital da Baleia), localizado na Rua Juramento, nº 1464- Saudade, Belo Horizonte - MG. Para compras de insumos e suprimentos para esta entidade;</t>
  </si>
  <si>
    <t>Rua Juramento, nº 1464- Saudade</t>
  </si>
  <si>
    <t>Fundação Benjamin Guimarães (Hospital da Baleia), localizado na Rua Juramento, nº 1464- Saudade</t>
  </si>
  <si>
    <t>2022_GILSON_GUIMARAES_542_01</t>
  </si>
  <si>
    <t>Destino o valor de R$50.000,00 à Associação Evangélica Beneficente de Minas Gerais (Hospital Evangélico), localizado na Rua Doutor Alípio Goulart, nº25 Serra, Belo Horizonte - MG. Para compra de insumos e suprimentos para esta entidade;</t>
  </si>
  <si>
    <t>Rua Doutor Alípio Goulart, nº25 Serra</t>
  </si>
  <si>
    <t>Associação Evangélica Beneficente de Minas Gerais (Hospital Evangélico), localizado na Rua Doutor Alípio Goulart, nº25 Serra</t>
  </si>
  <si>
    <t>2022_GILSON_GUIMARAES_575_01</t>
  </si>
  <si>
    <t>575</t>
  </si>
  <si>
    <t>Destinação de recursos para a OSC Rumo Certo, CNPJ 03.991.102/0001-04, para a execução de atividades socioassistenciais, de acordo com o disposto na Lei Federal nº 8.742/93, em consonância com a referida inscrição no Conselho Municipal de Assistência Social de Belo Horizonte – CMAS-BH;</t>
  </si>
  <si>
    <t>INSTITUTO RUMO CERTO</t>
  </si>
  <si>
    <t>03991102000104</t>
  </si>
  <si>
    <t>2022_GILSON_GUIMARAES_632_01</t>
  </si>
  <si>
    <t>632</t>
  </si>
  <si>
    <t>Destino o valor de R$ 50.000,00 (cinquenta mil reais) a Escola municipal de Ensino Fundamental Senador Levindo Coelho, localizada à Rua Caraça, nº 850, Serra - Belo Horizonte- MG.Para compra de computadores, data show e impressoras;</t>
  </si>
  <si>
    <t>2200.12.361.168.2080.449052</t>
  </si>
  <si>
    <t>2080</t>
  </si>
  <si>
    <t>Administração do Ensino Fundamental</t>
  </si>
  <si>
    <t>LIDER NOTEBOOKS COMERCIO E SERVICOS LTDA
LS SERVICOS DE INFORMATICA E ELETRONICA LTDA
REPREMIG REPRESENTACAO E COMERCIO DE MINAS GERAIS LTDA</t>
  </si>
  <si>
    <t>12477490000281
10793812000195
65149197000251</t>
  </si>
  <si>
    <t>Rua Caraça, nº 850, Serra</t>
  </si>
  <si>
    <t>Escola municipal de Ensino Fundamental Senador Levindo Coelho, localizada à Rua Caraça, nº 850, Serra</t>
  </si>
  <si>
    <t>2022_GILSON_GUIMARAES_636_01</t>
  </si>
  <si>
    <t>636</t>
  </si>
  <si>
    <t>Destino o valor de R$ 50.000,00 (cinquenta mil reais) a Escola Municipal de Ensino Fundamental Professor Edson Pisani, localizada à Rua Nossa Senhora de Fatima, nº1015, Vila Nossa Senhora de Fatima, Serra - Belo Horizonte- MG;</t>
  </si>
  <si>
    <t>LIDER NOTEBOOKS COMERCIO E SERVICOS LTDA
REPREMIG REPRESENTACAO E COMERCIO DE MINAS GERAIS LTDA
LS SERVICOS DE INFORMATICA E ELETRONICA LTDA</t>
  </si>
  <si>
    <t>12477490000281
65149197000251
10793812000195</t>
  </si>
  <si>
    <t>Rua Nossa Senhora de Fatima, nº1015, Vila Nossa Senhora de Fatima, Serra</t>
  </si>
  <si>
    <t>Escola Municipal de Ensino Fundamental Professor Edson Pisani, localizada à Rua Nossa Senhora de Fatima, nº1015, Vila Nossa Senhora de Fatima, Serra</t>
  </si>
  <si>
    <t>2022_GILSON_GUIMARAES_678_01</t>
  </si>
  <si>
    <t>678</t>
  </si>
  <si>
    <t>Destino o valor de R$ 50.000,00 (cinquenta mil reais) a Escola Municipal de Ensino Fundamental Levindo Lopes, localizada à Rua Fluorina nº 1460, Paraiso - Belo Horizonte- MG. Para compra de computadores, data show e impressoras para esta unidade escolar;</t>
  </si>
  <si>
    <t>-LIDER NOTEBOOKS COMERCIO E SERVICOS LTDA
REPREMIG REPRESENTACAO E COMERCIO DE MINAS GERAIS LTDA
LS SERVICOS DE INFORMATICA E ELETRONICA LTDA</t>
  </si>
  <si>
    <t>-12477490000281
65149197000251
10793812000195</t>
  </si>
  <si>
    <t>Rua Fluorina nº 1460, Paraiso</t>
  </si>
  <si>
    <t>Escola Municipal de Ensino Fundamental Levindo Lopes, localizada à Rua Fluorina nº 1460, Paraiso</t>
  </si>
  <si>
    <t>2022_GILSON_GUIMARAES_685_01</t>
  </si>
  <si>
    <t>685</t>
  </si>
  <si>
    <t>Destino o valor de R$ 50.000,00 (cinquenta mil reais) a Escola municipal de Ensino Fundamental Maria das Neves, localizada à Rua Piranga, nº 39, São Lucas - Belo Horizonte- MG. Para compra de computadores, data show e impressoras para esta unidade escolar;</t>
  </si>
  <si>
    <t xml:space="preserve"> Rua Piranga, nº 39, São Lucas</t>
  </si>
  <si>
    <t>Escola municipal de Ensino Fundamental Maria das Neves, localizada à Rua Piranga, nº 39, São Lucas</t>
  </si>
  <si>
    <t>2022_GILSON_GUIMARAES_706_01</t>
  </si>
  <si>
    <t>706</t>
  </si>
  <si>
    <t>Destino o valor de R$ 90.000,00 (noventa mil reais) a Escola Municipal de Ensino Fundamental Padre Guilherme de Peters, localizada à Rua Coronel Jorge Davis, nº 300, Vila Nossa Senhora do Rosário, Serra - Belo Horizonte- MG. Para compra de computadores, data show, impressoras para esta unidade escolar, insumos e matérias para escola;</t>
  </si>
  <si>
    <t>Rua Coronel Jorge Davis, nº 300, Vila Nossa Senhora do Rosário, Serra</t>
  </si>
  <si>
    <t>Escola Municipal de Ensino Fundamental Padre Guilherme de Peters, localizada à Rua Coronel Jorge Davis, nº 300, Vila Nossa Senhora do Rosário, Serra</t>
  </si>
  <si>
    <t>2022_GILSON_GUIMARAES_738_01</t>
  </si>
  <si>
    <t>738</t>
  </si>
  <si>
    <t>Para o Centro de Referência de Assistência Social Vila Fatima, localizada à Rua Dona Benta, nº 145, Vila Fazendinha - Serra - Belo Horizonte- MG, para compra de computadores, data show e impressoras insumos e matérias para uso e fortalecimento ao atendimento da família;</t>
  </si>
  <si>
    <t>1011.08.244.019.2308.449052</t>
  </si>
  <si>
    <t>A POPULAR AUDIO PROFISSIONAL E INSTRUMENTOS MUSICAIS LTDA
DRIVE A INFORMATICA LTDA</t>
  </si>
  <si>
    <t>03792114000100
00677870000108</t>
  </si>
  <si>
    <t>Rua Dona Benta, nº 145, Vila Fazendinha - Serra</t>
  </si>
  <si>
    <t>Centro de Referência de Assistência Social Vila Fatima, localizada à Rua Dona Benta, nº 145, Vila Fazendinha - Serra</t>
  </si>
  <si>
    <t>2022_GILSON_GUIMARAES_748_01</t>
  </si>
  <si>
    <t>748</t>
  </si>
  <si>
    <t>Destino o valor de R$ 50.000,00 (cinquenta mil reais) ao Centro de Referencia de Assistência Social Vila Marçola, localizada à Rua Engenheiro Lucas Júlio Proença, nº73, Vila Marçola - Serra Para compra de computadores, data show e impressoras insumos e matérias para uso e fortalecimento ao atendimento da família;</t>
  </si>
  <si>
    <t>DRIVE A INFORMATICA LTDA</t>
  </si>
  <si>
    <t>00677870000108</t>
  </si>
  <si>
    <t>Rua Engenheiro Lucas Júlio Proença, nº73, Vila Marçola</t>
  </si>
  <si>
    <t>Centro de Referencia de Assistência Social Vila Marçola, localizada à Rua Engenheiro Lucas Júlio Proença, nº73, Vila Marçola</t>
  </si>
  <si>
    <t>2022_GILSON_GUIMARAES_781_01</t>
  </si>
  <si>
    <t>781</t>
  </si>
  <si>
    <t>Destino o valor de R$102.305,00 a Escola Municipal de Ensino Fundamental Vila Fazendinha, localizada à Rua Paulo Coelho, nº 51, Vila Fazendinha - Serra Para manutenção e custeio desta unidade escolar;</t>
  </si>
  <si>
    <t>2200.12.361.168.2046.339039</t>
  </si>
  <si>
    <t>CAIXA ESCOLAR DA ESCOLA MUNICIPAL VILA FAZENDINHA</t>
  </si>
  <si>
    <t>08962786000130</t>
  </si>
  <si>
    <t>Rua Paulo Coelho, nº 51, Vila Fazendinha - Serra</t>
  </si>
  <si>
    <t>Escola Municipal de Ensino Fundamental Vila Fazendinha, localizada à Rua Paulo Coelho, nº 51, Vila Fazendinha - Serra</t>
  </si>
  <si>
    <t>2022_GILSON_GUIMARAES_798_01</t>
  </si>
  <si>
    <t>798</t>
  </si>
  <si>
    <t>Destino o valor de R$150.000,00 a Escola Municipal de Ensino Fundamental Santos Dumont, localizada à Av. Mem de Sá nº 600, Santa Efigênia - Belo Horizonte- MG. Para manutenção e custeio desta unidade escolar;</t>
  </si>
  <si>
    <t>CAIXA ESCOLAR ESCOLA MUNICIPAL SANTOS DUMONT</t>
  </si>
  <si>
    <t>00669019000125</t>
  </si>
  <si>
    <t>Av. Mem de Sá nº 600, Santa Efigênia</t>
  </si>
  <si>
    <t>Escola Municipal de Ensino Fundamental Santos Dumont, localizada à Av. Mem de Sá nº 600, Santa Efigênia</t>
  </si>
  <si>
    <t>2022_HELINHO_DA_FARMACIA_470_01</t>
  </si>
  <si>
    <t>2022_HELINHO_DA_FARMACIA</t>
  </si>
  <si>
    <t>470</t>
  </si>
  <si>
    <t>Helinho da Farmácia</t>
  </si>
  <si>
    <t>Ao reforço de dotação orçamentária para modernização e substituição dos equipamentos da UPA BARREIRO;</t>
  </si>
  <si>
    <t>IGM COMERCIO VAREJISTA DE PECAS E ACESSORIOS PARA VEICULOS LTDA
INSTRAMED INDUSTRIA MEDICO HOSPITALAR LTDA
INSTRAMED INDUSTRIA MEDICO HOSPITALAR LTDA
IGM COMERCIO VAREJISTA DE PECAS E ACESSORIOS PARA VEICULOS LTDA
REPREMIG REPRESENTACAO E COMERCIO DE MINAS GERAIS LTDA
DRIVE A INFORMATICA LTDA
ESFERA MASTER COMERCIAL LTDA</t>
  </si>
  <si>
    <t>UPA BARREIRO</t>
  </si>
  <si>
    <t>2022_HELINHO_DA_FARMACIA_471_01</t>
  </si>
  <si>
    <t>471</t>
  </si>
  <si>
    <t>Ao reforço de dotação orçamentária para realização das cirurgias eletivas em Belo Horizonte;</t>
  </si>
  <si>
    <t>SERVICO SOCIAL AUTONOMO HOSPITAL METROPOLITANO DOUTOR CELIO DE CASTRO
EMPRESA BRASILEIRA DE SERVICOS HOSPITALARES   EBSERH
EMPRESA BRASILEIRA DE SERVICOS HOSPITALARES   EBSERH
SERVICO SOCIAL AUTONOMO HOSPITAL METROPOLITANO DOUTOR CELIO DE CASTRO
EMPRESA BRASILEIRA DE SERVICOS HOSPITALARES   EBSERH</t>
  </si>
  <si>
    <t>2022_HELINHO_DA_FARMACIA_472_01</t>
  </si>
  <si>
    <t>472</t>
  </si>
  <si>
    <t>Ao reforço de dotação orçamentária para manutenção e funcionamento do Centro de Referência em Reabilitação Barreiro - CREAB Barreiro;</t>
  </si>
  <si>
    <t>MG FLEX LTDA.
BENZER TECNOLOGIA LTDA</t>
  </si>
  <si>
    <t>Centro de Referência em Reabilitação Barreiro - CREAB Barreiro</t>
  </si>
  <si>
    <t>2022_HELINHO_DA_FARMACIA_473_01</t>
  </si>
  <si>
    <t>473</t>
  </si>
  <si>
    <t>À instalação de 10 postes de iluminação pública na Rua Mantiqueira (Código de Logradouro 303859), no trecho situado entre as ruas da Felicidade e Madureira, com extensão aproximada de 335m, no Bairro Jardim Liberdade, Região do Bonsucesso - Barreiro;</t>
  </si>
  <si>
    <t>Rua Mantiqueira (Código de Logradouro 303859), no trecho situado entre as ruas da Felicidade e Madureira, com extensão aproximada de 335m, no Bairro Jardim Liberdade, Região do Bonsucesso - Barreiro;</t>
  </si>
  <si>
    <t>2022_HELINHO_DA_FARMACIA_474_01</t>
  </si>
  <si>
    <t>474</t>
  </si>
  <si>
    <t>À instalação de 11 postes de iluminação pública na Rua Bem Viver (Código de Logradouro 303858), no trecho situado entre as ruas da Felicidade e da Paz, com extensão aproximada de 385m, no Bairro Jardim Liberdade, Região do Bonsucesso - Barreiro;</t>
  </si>
  <si>
    <t>-FUNDACAO DE DESENVOLVIMENTO DA PESQUISA</t>
  </si>
  <si>
    <t>Rua Bem Viver (Código de Logradouro 303858), no trecho situado entre as ruas da Felicidade e da Paz, com extensão aproximada de 385m, no Bairro Jardim Liberdade, Região do Bonsucesso - Barreiro;</t>
  </si>
  <si>
    <t>2022_HELINHO_DA_FARMACIA_475_01</t>
  </si>
  <si>
    <t>475</t>
  </si>
  <si>
    <t>À pavimentação asfáltica da Rua CAMASSARI (código do logradouro 011754), no trecho situado entre as ruas Camassari (sem Saída) e Boemia, com extensão aproximada de 60 m (Sessenta metros), no Bairro Milionários - Regional Barreiro;</t>
  </si>
  <si>
    <t>Rua CAMASSARI (código do logradouro 011754), no trecho situado entre as ruas Camassari (sem Saída) e Boemia, com extensão aproximada de 60 m (Sessenta metros), no Bairro Milionários - Regional Barreiro</t>
  </si>
  <si>
    <t>2022_HELINHO_DA_FARMACIA_476_01</t>
  </si>
  <si>
    <t>476</t>
  </si>
  <si>
    <t>Ao reforço de dotação orçamentária para pavimentação de ruas no bairro Milionários;</t>
  </si>
  <si>
    <t>BALI   CONSTRUTORA BAETA LIGORIO LTDA</t>
  </si>
  <si>
    <t xml:space="preserve"> bairro Milionários</t>
  </si>
  <si>
    <t>2022_HELINHO_DA_FARMACIA_478_01</t>
  </si>
  <si>
    <t>478</t>
  </si>
  <si>
    <t>Ao reforço de dotação orçamentária para utilização na manutenção e revitalização da Praça Marabu, localizada no bairro Flávio Marques Lisboa e Praça João Francisco Xavier, localizada no final da Avenida Menelick de Carvalho - Bairro Flávio Marques Lisboa - Regional Barreiro;</t>
  </si>
  <si>
    <t>D.L.A ENGENHARIA LTDA
CONSTRUTORA UNIAO E SERVICOS LTDA</t>
  </si>
  <si>
    <t>Praça Marabu, localizada no bairro Flávio Marques Lisboa e Praça João Francisco Xavier, localizada no final da Avenida Menelick de Carvalho - Bairro Flávio Marques Lisboa - Regional Barreiro;</t>
  </si>
  <si>
    <t>2022_HELINHO_DA_FARMACIA_480_01</t>
  </si>
  <si>
    <t>480</t>
  </si>
  <si>
    <t>À instalação de rede de iluminação pública na Rua São João, no trecho situado entre as ruas Natalia e Avenida Menelick de Carvalho, com extensão aproximada de 180m (cento e oitenta metros), no Bairro Flavio Marques Lisboa;</t>
  </si>
  <si>
    <t>Rua São João, no trecho situado entre as ruas Natalia e Avenida Menelick de Carvalho, com extensão aproximada de 180m (cento e oitenta metros), no Bairro Flavio Marques Lisboa;</t>
  </si>
  <si>
    <t>2022_HELINHO_DA_FARMACIA_481_01</t>
  </si>
  <si>
    <t>481</t>
  </si>
  <si>
    <t>Ao reforço de dotação orçamentária para execução de obras de tratamento de fundo de vale no Córrego Capão dos Porcos ou Mineirão, Bairro Vila Pinho, Regional Barreiro;</t>
  </si>
  <si>
    <t>2704.16.482.225.1231.449051</t>
  </si>
  <si>
    <t>2704</t>
  </si>
  <si>
    <t>FUNDO MUNICIPAL DE HABITAÇÃO POPULAR</t>
  </si>
  <si>
    <t>16</t>
  </si>
  <si>
    <t>Habitação</t>
  </si>
  <si>
    <t>482</t>
  </si>
  <si>
    <t>Habitação Urbana</t>
  </si>
  <si>
    <t>0225</t>
  </si>
  <si>
    <t>Intervenção em Assentamentos de Interesse Social</t>
  </si>
  <si>
    <t>1231</t>
  </si>
  <si>
    <t>Urbanização e Regularização em Assentamentos de Interesse Social</t>
  </si>
  <si>
    <t>URBEL</t>
  </si>
  <si>
    <t>CONEST ENGENHARIA LTDA.
CONEST ENGENHARIA LTDA.</t>
  </si>
  <si>
    <t>Córrego Capão dos Porcos ou Mineirão, Bairro Vila Pinho, Regional Barreiro</t>
  </si>
  <si>
    <t>2022_HELINHO_DA_FARMACIA_482_01</t>
  </si>
  <si>
    <t>Ao reforço de dotação orçamentária para elaboração de projeto para execução de obras de tratamento de fundo de vale no Córrego Bonsucesso, no trecho compreendido entre as ruas Universo em Desencanto e Chácaras Reunidas – Bairro Vila Cemig e Bonsucesso respectivamente;</t>
  </si>
  <si>
    <t>D.L.A ENGENHARIA LTDA</t>
  </si>
  <si>
    <t>Córrego Bonsucesso, no trecho compreendido entre as ruas Universo em Desencanto e Chácaras Reunidas – Bairro Vila Cemig e Bonsucesso respectivamente;</t>
  </si>
  <si>
    <t>2022_HELINHO_DA_FARMACIA_484_01</t>
  </si>
  <si>
    <t>484</t>
  </si>
  <si>
    <t>Ao reforço de dotação orçamentária para utilização na manutenção e revitalização da Praça Marabu, localizada no bairro Flávio Marques Lisboa - Regional Barreiro;</t>
  </si>
  <si>
    <t>COMERCIAL CIRURGICA RIOCLARENSE LTDA
DCB DISTRIBUIDORA CIRURGICA BRASILEIRA LTDA
BIOHOSP PRODUTOS HOSPITALARES SA
GREINER BIO ONE BRASIL PRODUTOS MEDICOS HOSPITALARES LTDA
PRODIET NUTRICAO CLINICA S.A
T.D.   V. COMERCIO DE PRODUTOS ODONTOLOGICOS E HOSPITALARES LTDA
ROMA MED   SERVICE LTDA
DISTRILAF DISTRIBUIDORA DE MEDICAMENTOS LTDA</t>
  </si>
  <si>
    <t>Praça Marabu, localizada no bairro Flávio Marques Lisboa - Regional Barreiro</t>
  </si>
  <si>
    <t>2022_HELINHO_DA_FARMACIA_485_01</t>
  </si>
  <si>
    <t>485</t>
  </si>
  <si>
    <t>Ao reforço de dotação orçamentária, para revitalização e reforma da Praça S/ Nome, existente entre as ruas do Brás e Vinhedo, no Bairro Itaipu (Vila Piratininga) - Regional Barreiro;</t>
  </si>
  <si>
    <t>D.L.A ENGENHARIA LTDA
D.L.A ENGENHARIA LTDA
CONSTRUTORA ITAMARACA LTDA</t>
  </si>
  <si>
    <t>Praça S/ Nome, existente entre as ruas do Brás e Vinhedo, no Bairro Itaipu (Vila Piratininga) - Regional Barreiro</t>
  </si>
  <si>
    <t>2022_HENRIQUE_BRAGA_428_01</t>
  </si>
  <si>
    <t>2022_HENRIQUE_BRAGA</t>
  </si>
  <si>
    <t>428</t>
  </si>
  <si>
    <t>Henrique Braga</t>
  </si>
  <si>
    <t>PSDB</t>
  </si>
  <si>
    <t>À destinação de recurso para Unidade de Pronto Atendimento - UPA Barreiro, endereço: Avenida Aurélio Lopes, 20 - Diamante;</t>
  </si>
  <si>
    <t>2302.3401.10.122.117.1.216.449051</t>
  </si>
  <si>
    <t>AMERICA LATINA ENGENHARIA EIRELI</t>
  </si>
  <si>
    <t>10568340000177</t>
  </si>
  <si>
    <t>Avenida Aurélio Lopes, 20 - Diamante</t>
  </si>
  <si>
    <t>Unidade de Pronto Atendimento - UPA Barreiro, endereço: Avenida Aurélio Lopes, 20 - Diamante</t>
  </si>
  <si>
    <t>2022_HENRIQUE_BRAGA_430_01</t>
  </si>
  <si>
    <t>430</t>
  </si>
  <si>
    <t>À destinação de recurso para Hospital Metropolitano Doutor Célio de Castro;</t>
  </si>
  <si>
    <t>Hospital Metropolitano Doutor Célio de Castro</t>
  </si>
  <si>
    <t>2022_HENRIQUE_BRAGA_489_01</t>
  </si>
  <si>
    <t>489</t>
  </si>
  <si>
    <t>À destinação de recurso para o Hospital Sofia Feldman;</t>
  </si>
  <si>
    <t>2022_HENRIQUE_BRAGA_573_01</t>
  </si>
  <si>
    <t>573</t>
  </si>
  <si>
    <t>À destinação de recurso para Santa Casa de Misericórdia de Belo Horizonte;</t>
  </si>
  <si>
    <t>2022_HENRIQUE_BRAGA_586_01</t>
  </si>
  <si>
    <t>586</t>
  </si>
  <si>
    <t>Reforço à dotação para o recapeamento de ruas da cidade;</t>
  </si>
  <si>
    <t>EMBRAURB EMPRESA BRASILEIRA DE URBANIZACAO LTDA.
SANTO PIO SERVICOS LTDA.
UNICAPA   UNIAO DOS APLICADORES DE PAVIMENTO ASFALTICO LTDA</t>
  </si>
  <si>
    <t>21175203000199
03532190000186
03103468000108</t>
  </si>
  <si>
    <t>2022_HENRIQUE_BRAGA_703_01</t>
  </si>
  <si>
    <t>703</t>
  </si>
  <si>
    <t>Ao recapeamento asfáltico da Rua Vime, no trecho situado entre as ruas Doutor Cristiano Rezende e José Luis Dias Duarte, no bairro Bonsucesso, com dimensão aproximada de 115,03 m (cento e quinze metros e três centímetros) de comprimento e 10,07 m (dez metros e sete centímetros) de largura;</t>
  </si>
  <si>
    <t>Rua Vime, no trecho situado entre as ruas Doutor Cristiano Rezende e José Luis Dias Duarte, no bairro Bonsucesso, com dimensão aproximada de 115,03 m (cento e quinze metros e três centímetros) de comprimento e 10,07 m (dez metros e sete centímetros) de largura</t>
  </si>
  <si>
    <t>2022_HENRIQUE_BRAGA_755_01</t>
  </si>
  <si>
    <t>755</t>
  </si>
  <si>
    <t>Ao recapeamento asfáltico da Rua Santa Juliana, no trecho situado entre as ruas Magi Salomon e Maria da Fé, no bairro Salgado Filho, com dimensão aproximada de 204,21 m (duzentos e quatro metros e vinte e um centímetros) de comprimento e 12,96 m (doze metros e noventa e seis centímetros) de largura;</t>
  </si>
  <si>
    <t>Rua Santa Juliana, no trecho situado entre as ruas Magi Salomon e Maria da Fé, no bairro Salgado Filho, com dimensão aproximada de 204,21 m (duzentos e quatro metros e vinte e um centímetros) de comprimento e 12,96 m (doze metros e noventa e seis centímetros) de largura</t>
  </si>
  <si>
    <t>2022_HENRIQUE_BRAGA_773_01</t>
  </si>
  <si>
    <t>773</t>
  </si>
  <si>
    <t>Ao recapeamento asfáltico da Rua Silvestre Teodoro de Souza, no trecho situado entre as ruas Professora Dirce Maria e Joana Lopes dos Santos no bairro Independência, com dimensão aproximada de 404,20 m (quatrocentos e quatro metros e vinte centímetros) de comprimento e 10,18 m (dez metros e dezoito centímetros) de largura;</t>
  </si>
  <si>
    <t>Rua Silvestre Teodoro de Souza, no trecho situado entre as ruas Professora Dirce Maria e Joana Lopes dos Santos no bairro Independência, com dimensão aproximada de 404,20 m (quatrocentos e quatro metros e vinte centímetros) de comprimento e 10,18 m (dez metros e dezoito centímetros) de largura</t>
  </si>
  <si>
    <t>2022_HENRIQUE_BRAGA_794_01</t>
  </si>
  <si>
    <t>794</t>
  </si>
  <si>
    <t>Ao recapeamento asfáltico da Rua Taguatinga, no trecho situado entre as ruas Doutor Cristiano Rezende e José Luis Dias Duarte no bairro Araguaia, com dimensão aproximada de 159,27 m (cento e cinquenta e nove metros e vinte e sete centímetros) de comprimento e 10,52 m (dez metros e cinquenta e dois centímetros) de largura;</t>
  </si>
  <si>
    <t>Rua Taguatinga, no trecho situado entre as ruas Doutor Cristiano Rezende e José Luis Dias Duarte no bairro Araguaia, com dimensão aproximada de 159,27 m (cento e cinquenta e nove metros e vinte e sete centímetros) de comprimento e 10,52 m (dez metros e cinquenta e dois centímetros) de largura</t>
  </si>
  <si>
    <t>2022_HENRIQUE_BRAGA_844_01</t>
  </si>
  <si>
    <t>844</t>
  </si>
  <si>
    <t>2022_IRLAN_MELO_615_01</t>
  </si>
  <si>
    <t>2022_IRLAN_MELO</t>
  </si>
  <si>
    <t>615</t>
  </si>
  <si>
    <t>Irlan Melo</t>
  </si>
  <si>
    <t>Dotação orçamentária destinada ao Hospital Santa Casa de Misericórdia de Belo Horizonte;</t>
  </si>
  <si>
    <t>2022_IRLAN_MELO_704_01</t>
  </si>
  <si>
    <t>704</t>
  </si>
  <si>
    <t>Dotação orçamentária destinada ao Hospital Santa Casa de Misericórdia de Belo Horizonte para compra de materiais de consumo;</t>
  </si>
  <si>
    <t>SANTA CASA DE MISERICORDIA DE BELO HORIZONTE
SANTA CASA DE MISERICORDIA DE BELO HORIZONTE</t>
  </si>
  <si>
    <t>17209891000193
17209891000193</t>
  </si>
  <si>
    <t>2022_IRLAN_MELO_705_01</t>
  </si>
  <si>
    <t>705</t>
  </si>
  <si>
    <t>Dotação orçamentária destinada ao Hospital Metropolitano Odilon Behrens para compra de materiais de consumo do Hospital;</t>
  </si>
  <si>
    <t>2022_IRLAN_MELO_729_01</t>
  </si>
  <si>
    <t>729</t>
  </si>
  <si>
    <t>Dotação orçamentária destinada ao Hospital Evangélico de Belo Horizonte para compra de materiais de consumo;</t>
  </si>
  <si>
    <t>2022_IRLAN_MELO_732_01</t>
  </si>
  <si>
    <t>732</t>
  </si>
  <si>
    <t>Dotação orçamentária destinada ao Hospital da Baleia para compra de materiais de consumo;</t>
  </si>
  <si>
    <t>Hospital da Baleia</t>
  </si>
  <si>
    <t>2022_IRLAN_MELO_735_01</t>
  </si>
  <si>
    <t>735</t>
  </si>
  <si>
    <t>Dotação orçamentária destinada ao Hospital Metropolitano Dr. Célio de Castro;</t>
  </si>
  <si>
    <t>2022_IRLAN_MELO_752_01</t>
  </si>
  <si>
    <t>752</t>
  </si>
  <si>
    <t>Ao reforço de dotação orçamentária dos centros de saúde de Belo Horizonte para equipamento e material permanente;</t>
  </si>
  <si>
    <t>ALFA MED SISTEMAS MEDICOS LTDA
COMERCIAL SILVESTRE LTDA
DI BENTO COMERCIO E SERVICOS LTDA.</t>
  </si>
  <si>
    <t>11405384000149
41823463000130
14238297000132</t>
  </si>
  <si>
    <t>2022_IRLAN_MELO_756_01</t>
  </si>
  <si>
    <t>756</t>
  </si>
  <si>
    <t>Ao reforço de dotação orçamentária para implantação, manutenção de equipamento de infraestrutura esportiva e de lazer em praças públicas;</t>
  </si>
  <si>
    <t>EMCOGEL EMPRESA DE CONSTRUCOES GERAIS LTDA
CONSTRUTORA SERVCOPA LTDA</t>
  </si>
  <si>
    <t>21335336000185
11673627000120</t>
  </si>
  <si>
    <t>2022_IRLAN_MELO_763_01</t>
  </si>
  <si>
    <t>763</t>
  </si>
  <si>
    <t>Ao reforço de dotação orçamentária destinada para serviços de terceiros;</t>
  </si>
  <si>
    <t>2022_IRLAN_MELO_774_01</t>
  </si>
  <si>
    <t>774</t>
  </si>
  <si>
    <t>Ao reforço de dotação orçamentária para equipamentos e material permanente para qualificação profissional;</t>
  </si>
  <si>
    <t>2800.11.334.237.2404.449052</t>
  </si>
  <si>
    <t>SIERDOVSKI   SIERDOVSKI LTDA.</t>
  </si>
  <si>
    <t>03874953000177</t>
  </si>
  <si>
    <t>2022_IRLAN_MELO_813_01</t>
  </si>
  <si>
    <t>813</t>
  </si>
  <si>
    <t>Ao reforço de dotação orçamentária para destinação para Associação de amigos do Autista de Minas Gerais;</t>
  </si>
  <si>
    <t>autistas</t>
  </si>
  <si>
    <t>2022_IRLAN_MELO_840_01</t>
  </si>
  <si>
    <t>840</t>
  </si>
  <si>
    <t>Ao reforço de dotação orçamentária para a Associação Instituto Social Resgate;</t>
  </si>
  <si>
    <t>2022_IRLAN_MELO_845_01</t>
  </si>
  <si>
    <t>845</t>
  </si>
  <si>
    <t>Destinação de recursos para a Associação Brasileira de Esclerose Tuberosa, CNPJ 05.037.061/0001-47, para a execução de atividades socioassistenciais, de acordo com o disposto na Lei Federal nº 8.742/93, em consonância com a referida inscrição no Conselho Municipal de Assistência Social de Belo Horizonte – CMAS-BH;</t>
  </si>
  <si>
    <t>2022_IRLAN_MELO_856_01</t>
  </si>
  <si>
    <t>856</t>
  </si>
  <si>
    <t>Ao reforço de dotação orçamentária para destinar para a Movimento comunitário da SEARA;</t>
  </si>
  <si>
    <t>2022_IRLAN_MELO_866_01</t>
  </si>
  <si>
    <t>866</t>
  </si>
  <si>
    <t>À instituição Adotar - Adotando Vidas, CNPJ 15.671.055/0001-09, para a execução de atividades socioassistenciais, de acordo com o disposto na Lei Federai n° 8.742/93, em consonância com a referida inscrição no Conselho Municipal de Assistência Social de Belo Horizonte - CMAS-BH.</t>
  </si>
  <si>
    <t>ADOTAR -ADOTANDO VIDAS</t>
  </si>
  <si>
    <t>15671055000109</t>
  </si>
  <si>
    <t>2022_IRLAN_MELO_867_01</t>
  </si>
  <si>
    <t>867</t>
  </si>
  <si>
    <t>Ao reforço de dotação orçamentária para destinar ao Grupo Artístico Cultural 4 crescente;</t>
  </si>
  <si>
    <t>2022_IZA_LOURENCA_737_01</t>
  </si>
  <si>
    <t>2022_IZA_LOURENCA</t>
  </si>
  <si>
    <t>737</t>
  </si>
  <si>
    <t>Iza Lourença</t>
  </si>
  <si>
    <t>Ao reforço de dotação orçamentária emenda impositiva prevista na LOMBH- para atendimento no Hospital Sofia Feldman,-unidade Carlos Prates, ação2894- rede Hospitalar Subação 0001- Atendimento à população na Rede Hospitalar;</t>
  </si>
  <si>
    <t>R. Padre Eustáquio, 807 - Carlos Prates, Belo Horizonte - MG, 30710-580</t>
  </si>
  <si>
    <t>Hospital Sofia Feldman,-unidade Carlos Prates</t>
  </si>
  <si>
    <t>2022_IZA_LOURENCA_744_01</t>
  </si>
  <si>
    <t>744</t>
  </si>
  <si>
    <t>Ao reforço de dotação orçamentária com emenda impositiva prevista na LOMBH para a ação Rede Hospitalar 2894- Subação 0001 para atendimento dos usuários do SUS no Hospital Risoleta Neves;</t>
  </si>
  <si>
    <t>Hospital Risoleta Neves</t>
  </si>
  <si>
    <t>2022_IZA_LOURENCA_751_01</t>
  </si>
  <si>
    <t>751</t>
  </si>
  <si>
    <t>Ao reforço de dotação orçamentária por emenda impositiva para atendimento à população para ratificação do nome social;</t>
  </si>
  <si>
    <t>trans;travestis</t>
  </si>
  <si>
    <t>2022_IZA_LOURENCA_753_01</t>
  </si>
  <si>
    <t>753</t>
  </si>
  <si>
    <t>Ao reforço de dotação orçamentária à subação 0001- Política Municipal Cultura Viva para aumento das atividades dos pontos culturais;</t>
  </si>
  <si>
    <t>AGENCIA DE INICIATIVAS CIDADAS
ASSOCIACAO COLETIVA DA JUVENTUDE
CENTRO CULTURAL LA DA FAVELINHA
INSTITUTO CULTURAL ABRA PALAVRA
ASSOCIACAO COLETIVA DA JUVENTUDE</t>
  </si>
  <si>
    <t>02291981000107
21612186000100
34863832000153
18861009000152
21612186000100</t>
  </si>
  <si>
    <t>2022_IZA_LOURENCA_757_01</t>
  </si>
  <si>
    <t>757</t>
  </si>
  <si>
    <t>Ao reforço de dotação orçamentária para a instalação de uma tenda sobre o Teatro de Arena do Centro Cultural Urucuia;</t>
  </si>
  <si>
    <t>3103.13.122.146.2906.339039</t>
  </si>
  <si>
    <t>3103</t>
  </si>
  <si>
    <t>FUNDAÇÃO MUNICIPAL DE CULTURA</t>
  </si>
  <si>
    <t>0146</t>
  </si>
  <si>
    <t>Gestão da Política Municipal de Cultura</t>
  </si>
  <si>
    <t>2906</t>
  </si>
  <si>
    <t>Requalificação das Unidades e Espaços Culturais</t>
  </si>
  <si>
    <t>NACIONAL ESTRUTURAS METALICAS LTDA.</t>
  </si>
  <si>
    <t>39601389000166</t>
  </si>
  <si>
    <t>Teatro de Arena do Centro Cultural Urucuia</t>
  </si>
  <si>
    <t>2022_IZA_LOURENCA_812_01</t>
  </si>
  <si>
    <t>812</t>
  </si>
  <si>
    <t>Ao reforço de dotação orçamentária para o projeto Territórios criativos- centros culturais em rede, a ser realizado no Centro Cultural Urucuia e demais centros ou espaços culturais da região do Barreiro. O objetivo é fomentar a cultura de periferia no que é produzido pelos artistas da região do Barreiro no circuito do HIP HOP. O reforço ao orçamento pretende estimular o circuito Hip Hop na região para atrair mais jovens para a expressão cultural da periferia;</t>
  </si>
  <si>
    <t>3103.13.392.154.2371.339039</t>
  </si>
  <si>
    <t>2371</t>
  </si>
  <si>
    <t>Democratização das Artes e das Culturas</t>
  </si>
  <si>
    <t>GREMIO RECREATIVO ESCOLA DE SAMBA OURO NEGRO
ASSOCIACAO CULTURAL E ARTISTICA OURO NEGRO</t>
  </si>
  <si>
    <t>40507108000190
40507108000190</t>
  </si>
  <si>
    <t>juventude</t>
  </si>
  <si>
    <t>2022_JORGE_SANTOS_846_01</t>
  </si>
  <si>
    <t>2022_JORGE_SANTOS</t>
  </si>
  <si>
    <t>846</t>
  </si>
  <si>
    <t>Jorge Santos</t>
  </si>
  <si>
    <t>Republicanos</t>
  </si>
  <si>
    <t>Ao recapeamento asfáltico da Rua José Ribeiro Filho, no trecho situado entre as ruas Povoa de Varzim e Rua Manoel Elias de Aguiar, com dimensão aproximada de 450m (quatrocentos e cinquenta metros) de comprimento por 8m (oito metros) de largura, no Bairro Ouro Preto;</t>
  </si>
  <si>
    <t xml:space="preserve"> Rua José Ribeiro Filho, no trecho situado entre as ruas Povoa de Varzim e Rua Manoel Elias de Aguiar, com dimensão aproximada de 450m (quatrocentos e cinquenta metros) de comprimento por 8m (oito metros) de largura, no Bairro Ouro Preto</t>
  </si>
  <si>
    <t>2022_JORGE_SANTOS_847_01</t>
  </si>
  <si>
    <t>847</t>
  </si>
  <si>
    <t>Ao Conselho Popular de Defesa dos Direitos Humanos dos Moradores do Bairro Jardim Felicidade, mantenedor da Creche Casinha dos Anjos, situada à rua Josefina Guimarães, nº 2.545, bairro Jardim Felicidade, para a implantação de uma usina de energia solar fotovoltaica na mesma;</t>
  </si>
  <si>
    <t>0806</t>
  </si>
  <si>
    <t>rua Josefina Guimarães, nº 2.545, bairro Jardim Felicidade</t>
  </si>
  <si>
    <t>Conselho Popular de Defesa dos Direitos Humanos dos Moradores do Bairro Jardim Felicidade, mantenedor da Creche Casinha dos Anjos, situada à rua Josefina Guimarães, nº 2.545, bairro Jardim Felicidade</t>
  </si>
  <si>
    <t>2022_JORGE_SANTOS_848_01</t>
  </si>
  <si>
    <t>848</t>
  </si>
  <si>
    <t>Ao recapeamento asfáltico da Rua Pérsio Babo de Rezende, no trecho situado entre as ruas Apucarana e João Antônio Cardoso, com dimensão aproximada de 370m (trezentos e setenta metros) de comprimento por 8m (oito metros) de largura, no Bairro Ouro Preto;</t>
  </si>
  <si>
    <t>Rua Pérsio Babo de Rezende, no trecho situado entre as ruas Apucarana e João Antônio Cardoso, com dimensão aproximada de 370m (trezentos e setenta metros) de comprimento por 8m (oito metros) de largura, no Bairro Ouro Preto</t>
  </si>
  <si>
    <t>2022_JORGE_SANTOS_849_01</t>
  </si>
  <si>
    <t>849</t>
  </si>
  <si>
    <t>REPUBLICANOS</t>
  </si>
  <si>
    <t>Ao recapeamento asfáltico da Rua Pedro Moreira de Abreu, no trecho situado entre as ruas Apucarana e João Antônio Cardoso, com dimensão aproximada de 380m de comprimento por 8m de largura, no Bairro Ouro Preto;</t>
  </si>
  <si>
    <t>CONSTRUTORA E DRAGAGEM PARAOPEBA LTDA.</t>
  </si>
  <si>
    <t>18322925000114</t>
  </si>
  <si>
    <t>Rua Pedro Moreira de Abreu, no trecho situado entre as ruas Apucarana e João Antônio Cardoso, com dimensão aproximada de 380m de comprimento por 8m de largura, no Bairro Ouro Preto</t>
  </si>
  <si>
    <t>2022_JORGE_SANTOS_850_01</t>
  </si>
  <si>
    <t>850</t>
  </si>
  <si>
    <t>Ao recapeamento asfáltico da Rua Guarda Custódio, no trecho situado entre as ruas Expedicionário Celso Racioppi e Conceição do Mato Dentro, com dimensão aproximada de 780m de comprimento por 8m de largura, no Bairro Ouro Preto;</t>
  </si>
  <si>
    <t>VILASA CONSTRUTORA LTDA.</t>
  </si>
  <si>
    <t>17551250000112</t>
  </si>
  <si>
    <t>Rua Guarda Custódio, no trecho situado entre as ruas Expedicionário Celso Racioppi e Conceição do Mato Dentro, com dimensão aproximada de 780m de comprimento por 8m de largura, no Bairro Ouro Preto</t>
  </si>
  <si>
    <t>2022_JORGE_SANTOS_851_01</t>
  </si>
  <si>
    <t>851</t>
  </si>
  <si>
    <t>Ao recapeamento asfáltico da Rua Salomão Rodrigues da Silva, no trecho situado entre as ruas Gasparino Carvalho Silva e José Ribeiro Filho, com dimensão aproximada de 215m (duzentos e quinze metros) de comprimento por 8m (oito metros) de largura, no Bairro Paquetá;</t>
  </si>
  <si>
    <t>Rua Salomão Rodrigues da Silva, no trecho situado entre as ruas Gasparino Carvalho Silva e José Ribeiro Filho, com dimensão aproximada de 215m (duzentos e quinze metros) de comprimento por 8m (oito metros) de largura, no Bairro Paquetá</t>
  </si>
  <si>
    <t>2022_JORGE_SANTOS_852_01</t>
  </si>
  <si>
    <t>852</t>
  </si>
  <si>
    <t>Ao recapeamento asfáltico da Rua João Bernardino Santos, no trecho situado entre as ruas Povoa de Varzim e José Ribeiro Filho, com dimensão aproximada de 605m (seiscentos e cinco metros) de comprimento por 8m (oito metros) de largura, no Bairro Paquetá;</t>
  </si>
  <si>
    <t>Rua João Bernardino Santos, no trecho situado entre as ruas Povoa de Varzim e José Ribeiro Filho, com dimensão aproximada de 605m (seiscentos e cinco metros) de comprimento por 8m (oito metros) de largura, no Bairro Paquetá</t>
  </si>
  <si>
    <t>2022_JOSE_FERREIRA_686_01</t>
  </si>
  <si>
    <t>2022_JOSE_FERREIRA</t>
  </si>
  <si>
    <t>686</t>
  </si>
  <si>
    <t>José Ferreira</t>
  </si>
  <si>
    <t>PP</t>
  </si>
  <si>
    <t>À pavimentação asfáltica da Rua Arcabouço, no trecho situado entre as ruas Amendita e Jacareí, com dimensão aproximada de 75m ( setenta e cinco metros) de comprimento por 8 m (oito metros) de largura, e 4cm (Quatro Centímetros de espessura), no Bairro Pindorama;</t>
  </si>
  <si>
    <t>SANTO PIO SERVICOS LTDA.</t>
  </si>
  <si>
    <t>03532190000186</t>
  </si>
  <si>
    <t>Rua Arcabouço, no trecho situado entre as ruas Amendita e Jacareí, com dimensão aproximada de 75m ( setenta e cinco metros) de comprimento por 8 m (oito metros) de largura, e 4cm (Quatro Centímetros de espessura), no Bairro Pindorama</t>
  </si>
  <si>
    <t>2022_JOSE_FERREIRA_687_01</t>
  </si>
  <si>
    <t>687</t>
  </si>
  <si>
    <t>Implantação de escadas e corrimão da Rua Cerro Cora, no Bairro Pindorama;</t>
  </si>
  <si>
    <t>Rua Cerro Cora, no Bairro Pindorama</t>
  </si>
  <si>
    <t>2022_JOSE_FERREIRA_688_01</t>
  </si>
  <si>
    <t>688</t>
  </si>
  <si>
    <t>À pavimentação asfáltica, no Bairro Pindorama, em especial nas ruas Rua Amarílis e Rua Antônio Carlos Coutinho;</t>
  </si>
  <si>
    <t>JVF EMPREENDIMENTOS SOCIEDADE UNIPESSOAL LTDA</t>
  </si>
  <si>
    <t>09236617000185</t>
  </si>
  <si>
    <t>Bairro Pindorama, em especial nas ruas Rua Amarílis e Rua Antônio Carlos Coutinho</t>
  </si>
  <si>
    <t>2022_JOSE_FERREIRA_689_01</t>
  </si>
  <si>
    <t>689</t>
  </si>
  <si>
    <t>A pavimentação asfáltica da Rua Antônio Carlos Coutinho, no trecho situado entre a Av. Amintas Jacques de Morais e a rua Macarena, com dimensão aproximada de 200 m (Duzentos metros) de comprimento por 8 m( oito metros) de largura por 4 cm(quatro centímetros de espessura) , no Bairro Pindorama;</t>
  </si>
  <si>
    <t>Rua Antônio Carlos Coutinho, no trecho situado entre a Av. Amintas Jacques de Morais e a rua Macarena, com dimensão aproximada de 200 m (Duzentos metros) de comprimento por 8 m( oito metros) de largura por 4 cm(quatro centímetros de espessura) , no Bairro Pindorama</t>
  </si>
  <si>
    <t>2022_JOSE_FERREIRA_690_01</t>
  </si>
  <si>
    <t>690</t>
  </si>
  <si>
    <t>Destinação de recursos para a Associação de Desenvolvimento da Região do Pindorama - Aderpi, CNPJ 16.740.540/0001-41, para a execução de atividades socioassistenciais, de acordo com o disposto na Lei Federal n° 8.742/93, em consonância com a referida inscrição no Conselho Municipal de Assistência Social de Belo Horizonte — CMAS-BH</t>
  </si>
  <si>
    <t>2022_JOSE_FERREIRA_691_01</t>
  </si>
  <si>
    <t>691</t>
  </si>
  <si>
    <t>Reforço de dotação orçamentária para reforma e manutenção do campo do Palmeirense, situado na Rua Macarena, 579 - Pindorama, Belo Horizonte Minas Gerais, CEP 30865-060;</t>
  </si>
  <si>
    <t>Rua Macarena, 579 - Pindorama, Belo Horizonte Minas Gerais, CEP 30865-060</t>
  </si>
  <si>
    <t>campo do Palmeirense, situado na Rua Macarena, 579 - Pindorama, Belo Horizonte Minas Gerais, CEP 30865-060</t>
  </si>
  <si>
    <t>2022_JOSE_FERREIRA_692_01</t>
  </si>
  <si>
    <t>692</t>
  </si>
  <si>
    <t>Reforma e ampliação do espaço do grupo de terceira idade Raio de Sol com o CNPJ 03615839/0001-99, que presta serviços de assistência social e acolhe idosos;</t>
  </si>
  <si>
    <t>1303</t>
  </si>
  <si>
    <t>idosos</t>
  </si>
  <si>
    <t>2022_JOSE_FERREIRA_693_01</t>
  </si>
  <si>
    <t>693</t>
  </si>
  <si>
    <t>Reforço de custeio para o centro de saúde Pindorama situado a rua Rutilo 96, Bairro Pindorama;</t>
  </si>
  <si>
    <t>2302.10.301.157.2690.339039</t>
  </si>
  <si>
    <t>-ATMOSFERA GESTAO E HIGIENIZACAO DE TEXTEIS S.A.
WHITE MARTINS GASES INDUSTRIAIS LTDA
MGS MINAS GERAIS ADMINISTRACAO E SERVICOS SA</t>
  </si>
  <si>
    <t>-00886257000605
35820448003070
33224254000142</t>
  </si>
  <si>
    <t>rua Rutilo 96, Bairro Pindorama</t>
  </si>
  <si>
    <t>centro de saúde Pindorama situado a rua Rutilo 96, Bairro Pindorama</t>
  </si>
  <si>
    <t>2022_JOSE_FERREIRA_694_01</t>
  </si>
  <si>
    <t>694</t>
  </si>
  <si>
    <t>Reforma e ampliação do centro de saúde Glória, situado a Rua Eneida, 955 - bairro Pindorama Glória, Belo Horizonte;</t>
  </si>
  <si>
    <t>ETIMAP CONSTRUCOES LTDA
ETIMAP CONSTRUCOES LTDA
ETIMAP CONSTRUCOES LTDA
ETIMAP CONSTRUCOES LTDA
ETIMAP CONSTRUCOES LTDA</t>
  </si>
  <si>
    <t>30588360000117
30588360000117
30588360000117
30588360000117
30588360000117</t>
  </si>
  <si>
    <t>Rua Eneida, 955 - bairro Pindorama Glória</t>
  </si>
  <si>
    <t>centro de saúde Glória, situado a Rua Eneida, 955 - bairro Pindorama Glória</t>
  </si>
  <si>
    <t>2022_JOSE_FERREIRA_695_01</t>
  </si>
  <si>
    <t>Manutenção do estoque de remédios da farmácia popular da associação Farmácia Recanto Amor Fraterno com o CNPJ 28.730.623/0001-39 , situada a rua prados, 366, Carlos Prates;</t>
  </si>
  <si>
    <t>0335</t>
  </si>
  <si>
    <t>rua prados, 366, Carlos Prates</t>
  </si>
  <si>
    <t>Farmácia Recanto Amor Fraterno com o CNPJ 28.730.623/0001-39 , situada a rua prados, 366, Carlos Prates</t>
  </si>
  <si>
    <t>2022_JOSE_FERREIRA_696_01</t>
  </si>
  <si>
    <t>696</t>
  </si>
  <si>
    <t>Reforço de dotação orçamentária para reforma e manutenção do campo situado na Rua Rondônia, 2218, Nova Glória, Belo Horizonte - Minas Gerais, CEP 30870-370;</t>
  </si>
  <si>
    <t>AVA ENGENHARIA E COMERCIO LTDA</t>
  </si>
  <si>
    <t>29220937000154</t>
  </si>
  <si>
    <t>Rua Rondônia, 2218, Nova Glória, Belo Horizonte - Minas Gerais, CEP 30870-370</t>
  </si>
  <si>
    <t>campo situado na Rua Rondônia, 2218, Nova Glória, Belo Horizonte - Minas Gerais, CEP 30870-370</t>
  </si>
  <si>
    <t>2022_JOSE_FERREIRA_697_01</t>
  </si>
  <si>
    <t>697</t>
  </si>
  <si>
    <t>Reforma e ampliação de Centro de Saúde Jardim Filadélfia R. Situada a rua Regida, 309 - Jardim Filadélfia, Belo Horizonte;</t>
  </si>
  <si>
    <t>ETIMAP CONSTRUCOES LTDA</t>
  </si>
  <si>
    <t>30588360000117</t>
  </si>
  <si>
    <t>Centro de Saúde Jardim Filadélfia R. Situada a rua Regida, 309 - Jardim Filadélfia</t>
  </si>
  <si>
    <t>2022_JOSE_FERREIRA_698_01</t>
  </si>
  <si>
    <t>698</t>
  </si>
  <si>
    <t>Destinação de recursos para a Creche Comunitária Eunice Lanza, CNPJ 65172777000189, para a execução de atividades socioassistenciais, de acordo com o disposto na Lei Federal nº 8.742/93, em consonância com a referida inscrição no Conselho Municipal de Assistência Social de Belo Horizonte – CMAS-BH;</t>
  </si>
  <si>
    <t>CRECHE COMUNITARIA EUNICE LANZA
CRECHE COMUNITARIA EUNICE LANZA</t>
  </si>
  <si>
    <t>65172777000189
65172777000189</t>
  </si>
  <si>
    <t>2022_JOSE_FERREIRA_699_01</t>
  </si>
  <si>
    <t>699</t>
  </si>
  <si>
    <t>Destinado a construção da UPA Noroeste, obra que está no orçamento participativo obra TGC, NO3, EMPREENDIMENTO 64 Ano do OP 20/09/2010 , local da construção final da rua Rondônia no Bairro Novo Gloria , responsável pela obra SUDECP;</t>
  </si>
  <si>
    <t>2022_JOSE_FERREIRA_700_01</t>
  </si>
  <si>
    <t>700</t>
  </si>
  <si>
    <t>Emenda destinada ao hospital Sofia Feldman, para compra de insumos e medicamentos;</t>
  </si>
  <si>
    <t>hospital Sofia Feldman</t>
  </si>
  <si>
    <t>2022_JUNINHO_LOS_HERMANOS_352_01</t>
  </si>
  <si>
    <t>2022_JUNINHO_LOS_HERMANOS</t>
  </si>
  <si>
    <t>352</t>
  </si>
  <si>
    <t>Juninho Los Hermanos</t>
  </si>
  <si>
    <t>À aquisição de equipamentos eletrônicos, informática, insumos e demais materiais para o Centro de Saúde Coqueiros, localizado na Rua Eneida, nº 1583, no bairro Coqueiros, Regional Noroeste;</t>
  </si>
  <si>
    <t>2302.3401.10.301.157.2.902.336783</t>
  </si>
  <si>
    <t>Rua Eneida, nº 1583, no bairro Coqueiros, Regional Noroeste</t>
  </si>
  <si>
    <t>Centro de Saúde Coqueiros, localizado na Rua Eneida, nº 1583, no bairro Coqueiros, Regional Noroeste</t>
  </si>
  <si>
    <t>2022_JUNINHO_LOS_HERMANOS_354_01</t>
  </si>
  <si>
    <t>354</t>
  </si>
  <si>
    <t>À aquisição de equipamentos eletrônicos, informática, insumos e demais materiais para o Centro de Saúde Glória, localizado na Rua Eneida, nº 955, no bairro Glória, Regional Noroeste;</t>
  </si>
  <si>
    <t>2302.10.301.157.2690.339030</t>
  </si>
  <si>
    <t>DCB DISTRIBUIDORA CIRURGICA BRASILEIRA LTDA
BIOHOSP PRODUTOS HOSPITALARES SA
SP HEALTH INDUSTRIA E COMERCIO LTDA
NSA DISTRIBUIDORA DE MEDICAMENTOS LTDA</t>
  </si>
  <si>
    <t>18269125000187
20227117000110
20235404000171
34729047000102</t>
  </si>
  <si>
    <t>Rua Eneida, nº 955, no bairro Glória, Regional Noroeste</t>
  </si>
  <si>
    <t>Centro de Saúde Glória, localizado na Rua Eneida, nº 955, no bairro Glória, Regional Noroeste</t>
  </si>
  <si>
    <t>2022_JUNINHO_LOS_HERMANOS_355_01</t>
  </si>
  <si>
    <t>355</t>
  </si>
  <si>
    <t>À aquisição de equipamentos eletrônicos, informática, insumos e demais materiais para o Centro de Saúde Dom Bosco, localizado na Rua Olinto Magalhães, nº 1939, no bairro Dom Bosco, Regional Noroeste;</t>
  </si>
  <si>
    <t>BIOHOSP PRODUTOS HOSPITALARES SA
NSA DISTRIBUIDORA DE MEDICAMENTOS LTDA</t>
  </si>
  <si>
    <t>18269125000187
20235404000171
20227117000110</t>
  </si>
  <si>
    <t>Rua Olinto Magalhães, nº 1939, no bairro Dom Bosco, Regional Noroeste</t>
  </si>
  <si>
    <t>Centro de Saúde Dom Bosco, localizado na Rua Olinto Magalhães, nº 1939, no bairro Dom Bosco, Regional Noroeste</t>
  </si>
  <si>
    <t>2022_JUNINHO_LOS_HERMANOS_356_01</t>
  </si>
  <si>
    <t>356</t>
  </si>
  <si>
    <t>À aquisição de equipamentos eletrônicos, informática, insumos e demais materiais para o Centro de Saúde Jardim Filadélfia, localizado na Rua Régida, nº 309, no bairro Jardim Filadélfia, Regional Noroeste;</t>
  </si>
  <si>
    <t>NSA DISTRIBUIDORA DE MEDICAMENTOS LTDA
GLOBAL HOSPITALAR IMPORTACAO E COMERCIO SA
BIOHOSP PRODUTOS HOSPITALARES SA
SP HEALTH INDUSTRIA E COMERCIO LTDA
DCB DISTRIBUIDORA CIRURGICA BRASILEIRA LTDA</t>
  </si>
  <si>
    <t>18269125000187
34729047000102
12047164000153
20227117000110
20235404000171</t>
  </si>
  <si>
    <t>Rua Régida, nº 309, no bairro Jardim Filadélfia, Regional Noroeste</t>
  </si>
  <si>
    <t>Centro de Saúde Jardim Filadélfia, localizado na Rua Régida, nº 309, no bairro Jardim Filadélfia, Regional Noroeste</t>
  </si>
  <si>
    <t>2022_JUNINHO_LOS_HERMANOS_357_01</t>
  </si>
  <si>
    <t>357</t>
  </si>
  <si>
    <t>À aquisição de equipamentos eletrônicos, informática, insumos e demais materiais para o Centro de Saúde Dom Cabral, localizado na Praça da Comunidade, nº 40, no bairro Dom Cabral, Regional Noroeste;</t>
  </si>
  <si>
    <t>BIOHOSP PRODUTOS HOSPITALARES SA
GLOBAL HOSPITALAR IMPORTACAO E COMERCIO SA
NSA DISTRIBUIDORA DE MEDICAMENTOS LTDA
DCB DISTRIBUIDORA CIRURGICA BRASILEIRA LTDA
SP HEALTH INDUSTRIA E COMERCIO LTDA</t>
  </si>
  <si>
    <t>12047164000153
34729047000102
20235404000171
18269125000187
20227117000110
18269125000187</t>
  </si>
  <si>
    <t>Praça da Comunidade, nº 40, no bairro Dom Cabral, Regional Noroeste</t>
  </si>
  <si>
    <t>Centro de Saúde Dom Cabral, localizado na Praça da Comunidade, nº 40, no bairro Dom Cabral, Regional Noroeste</t>
  </si>
  <si>
    <t>2022_JUNINHO_LOS_HERMANOS_358_01</t>
  </si>
  <si>
    <t>358</t>
  </si>
  <si>
    <t>À aquisição de equipamentos eletrônicos, informática, insumos e demais materiais para o Centro de Saúde Santa Terezinha, localizado na Rua Senador Virgílio Távora, nº 157, no bairro Santa Terezinha, Regional Pampulha;</t>
  </si>
  <si>
    <t>BIOHOSP PRODUTOS HOSPITALARES SA
DCB DISTRIBUIDORA CIRURGICA BRASILEIRA LTDA
SP HEALTH INDUSTRIA E COMERCIO LTDA</t>
  </si>
  <si>
    <t>Rua Senador Virgílio Távora, nº 157, no bairro Santa Terezinha, Regional Pampulha</t>
  </si>
  <si>
    <t>Centro de Saúde Santa Terezinha, localizado na Rua Senador Virgílio Távora, nº 157, no bairro Santa Terezinha, Regional Pampulha</t>
  </si>
  <si>
    <t>2022_JUNINHO_LOS_HERMANOS_359_01</t>
  </si>
  <si>
    <t>359</t>
  </si>
  <si>
    <t>À aquisição de equipamentos eletrônicos, informática, insumos e demais materiais para o Centro de Saúde Serrano, localizado na Rua Tocantins, nº 471, no bairro Serrano, Regional Pampulha;</t>
  </si>
  <si>
    <t>Rua Tocantins, nº 471, no bairro Serrano, Regional Pampulha</t>
  </si>
  <si>
    <t xml:space="preserve"> Centro de Saúde Serrano, localizado na Rua Tocantins, nº 471, no bairro Serrano, Regional Pampulha</t>
  </si>
  <si>
    <t>2022_JUNINHO_LOS_HERMANOS_360_01</t>
  </si>
  <si>
    <t>360</t>
  </si>
  <si>
    <t>À aquisição de equipamentos eletrônicos, informática, insumos e demais materiais para o Centro de Saúde Pindorama (Elza Martins), localizado na Rua Rutilo, nº 96, no bairro Pindorama, Regional Noroeste;</t>
  </si>
  <si>
    <t>BIOHOSP PRODUTOS HOSPITALARES SA
NSA DISTRIBUIDORA DE MEDICAMENTOS LTDA
DCB DISTRIBUIDORA CIRURGICA BRASILEIRA LTDA
SP HEALTH INDUSTRIA E COMERCIO LTDA</t>
  </si>
  <si>
    <t>18269125000187
34729047000102
20235404000171
20227117000110</t>
  </si>
  <si>
    <t>Rua Rutilo, nº 96, no bairro Pindorama, Regional Noroeste</t>
  </si>
  <si>
    <t>Centro de Saúde Pindorama (Elza Martins), localizado na Rua Rutilo, nº 96, no bairro Pindorama, Regional Noroeste</t>
  </si>
  <si>
    <t>2022_JUNINHO_LOS_HERMANOS_361_01</t>
  </si>
  <si>
    <t>À aquisição de equipamentos eletrônicos, informática, insumos e demais materiais para o Centro de Saúde Califórnia, localizado na Avenida das Castanholas, nº 277, no bairro Califórnia, Regional Noroeste;</t>
  </si>
  <si>
    <t>Avenida das Castanholas, nº 277, no bairro Califórnia, Regional Noroeste</t>
  </si>
  <si>
    <t>Centro de Saúde Califórnia, localizado na Avenida das Castanholas, nº 277, no bairro Califórnia, Regional Noroeste</t>
  </si>
  <si>
    <t>2022_JUNINHO_LOS_HERMANOS_364_01</t>
  </si>
  <si>
    <t>364</t>
  </si>
  <si>
    <t>À aquisição de equipamentos eletrônicos, informática, insumos e demais materiais para a Unidade de Pronto Atendimento - UPA Pampulha, localizada na Avenida Santa Terezinha, nº 515, no bairro Santa Terezinha, Regional Pampulha;</t>
  </si>
  <si>
    <t>BIOHOSP PRODUTOS HOSPITALARES SA
FRESENIUS KABI BRASIL LTDA.
BIOHOSP PRODUTOS HOSPITALARES SA
DCB DISTRIBUIDORA CIRURGICA BRASILEIRA LTDA
SP HEALTH INDUSTRIA E COMERCIO LTDA</t>
  </si>
  <si>
    <t>49324221001690
18269125000187
20235404000171
20227117000110</t>
  </si>
  <si>
    <t>Avenida Santa Terezinha, nº 515, no bairro Santa Terezinha, Regional Pampulha</t>
  </si>
  <si>
    <t>Unidade de Pronto Atendimento - UPA Pampulha, localizada na Avenida Santa Terezinha, nº 515, no bairro Santa Terezinha, Regional Pampulha</t>
  </si>
  <si>
    <t>2022_JUNINHO_LOS_HERMANOS_365_01</t>
  </si>
  <si>
    <t>À aquisição de equipamentos eletrônicos, informática, insumos e demais materiais para o Centro de Saúde João Pinheiro, localizado na Rua Frei Luiz de Souza, nº 292, no bairro João Pinheiro, Regional Noroeste;</t>
  </si>
  <si>
    <t>Rua Frei Luiz de Souza, nº 292, no bairro João Pinheiro, Regional Noroeste</t>
  </si>
  <si>
    <t>Centro de Saúde João Pinheiro, localizado na Rua Frei Luiz de Souza, nº 292, no bairro João Pinheiro, Regional Noroeste</t>
  </si>
  <si>
    <t>2022_JUNINHO_LOS_HERMANOS_366_01</t>
  </si>
  <si>
    <t>366</t>
  </si>
  <si>
    <t>À aquisição de equipamentos eletrônicos, informática, insumos e demais materiais para o Centro de Saúde São José, localizado na Rua Violeta de Melo, nº 655, no bairro São José, Regional Pampulha;</t>
  </si>
  <si>
    <t>BIOHOSP PRODUTOS HOSPITALARES SA
SP HEALTH INDUSTRIA E COMERCIO LTDA
NSA DISTRIBUIDORA DE MEDICAMENTOS LTDA
GLOBAL HOSPITALAR IMPORTACAO E COMERCIO SA
DCB DISTRIBUIDORA CIRURGICA BRASILEIRA LTDA</t>
  </si>
  <si>
    <t>18269125000187
20227117000110
34729047000102
12047164000153
20235404000171</t>
  </si>
  <si>
    <t>Rua Violeta de Melo, nº 655, no bairro São José, Regional Pampulha</t>
  </si>
  <si>
    <t>Centro de Saúde São José, localizado na Rua Violeta de Melo, nº 655, no bairro São José, Regional Pampulha</t>
  </si>
  <si>
    <t>2022_JUNINHO_LOS_HERMANOS_368_01</t>
  </si>
  <si>
    <t>368</t>
  </si>
  <si>
    <t>À aquisição de equipamentos eletrônicos, informática, insumos e demais materiais para o Centro de Saúde Padre Tiago, localizado na Avenida João XXIII, nº 1233, no bairro Alípio de Melo, Regional Pampulha;</t>
  </si>
  <si>
    <t>BIOHOSP PRODUTOS HOSPITALARES SA
GLOBAL HOSPITALAR IMPORTACAO E COMERCIO SA
DCB DISTRIBUIDORA CIRURGICA BRASILEIRA LTDA
SP HEALTH INDUSTRIA E COMERCIO LTDA</t>
  </si>
  <si>
    <t>18269125000187
12047164000153
20235404000171
20227117000110</t>
  </si>
  <si>
    <t>Avenida João XXIII, nº 1233, no bairro Alípio de Melo, Regional Pampulha</t>
  </si>
  <si>
    <t>Centro de Saúde Padre Tiago, localizado na Avenida João XXIII, nº 1233, no bairro Alípio de Melo, Regional Pampulha</t>
  </si>
  <si>
    <t>2022_JUNINHO_LOS_HERMANOS_419_01</t>
  </si>
  <si>
    <t>419</t>
  </si>
  <si>
    <t>Destinação de recursos para o Creche Comunitária Eunice Lanza, no bairro Pindorama e CNPJ: 65.172.777/00001-89, para a execução de atividades socioassistenciais, de acordo com o disposto na Lei Federal nº 8.742/93, em consonância com a referida inscrição no Conselho Municipal de Assistência Social de Belo Horizonte – CMAS-BH;</t>
  </si>
  <si>
    <t>CRECHE COMUNITARIA EUNICE LANZA</t>
  </si>
  <si>
    <t>65172777000189</t>
  </si>
  <si>
    <t>Pindorama</t>
  </si>
  <si>
    <t>Creche Comunitária Eunice Lanza, no bairro Pindorama e CNPJ: 65.172.777/00001-89</t>
  </si>
  <si>
    <t>2022_JUNINHO_LOS_HERMANOS_420_01</t>
  </si>
  <si>
    <t>420</t>
  </si>
  <si>
    <t>À aquisição de equipamentos eletrônicos, informática, insumos e demais materiais para a Academia da Cidade Vila Coqueiral, localizada na Rua Rainha das Flores, nº 102, no bairro Jardim Filadélfia, Regional Noroeste;</t>
  </si>
  <si>
    <t>0331</t>
  </si>
  <si>
    <t>Rua Rainha das Flores, nº 102, no bairro Jardim Filadélfia, Regional Noroeste</t>
  </si>
  <si>
    <t>Academia da Cidade Vila Coqueiral, localizada na Rua Rainha das Flores, nº 102, no bairro Jardim Filadélfia, Regional Noroeste</t>
  </si>
  <si>
    <t>2022_JUNINHO_LOS_HERMANOS_421_01</t>
  </si>
  <si>
    <t>421</t>
  </si>
  <si>
    <t>À aquisição de equipamentos eletrônicos, informática, insumos e demais materiais para a Academia da Cidade Califórnia, localizada na Rua dos Violões, nº 570, no bairro Conjunto Califórnia I, Regional Noroeste;</t>
  </si>
  <si>
    <t>Rua dos Violões, nº 570, no bairro Conjunto Califórnia I, Regional Noroeste</t>
  </si>
  <si>
    <t>Academia da Cidade Califórnia, localizada na Rua dos Violões, nº 570, no bairro Conjunto Califórnia I, Regional Noroeste</t>
  </si>
  <si>
    <t>2022_JUNINHO_LOS_HERMANOS_422_01</t>
  </si>
  <si>
    <t>À aquisição de equipamentos eletrônicos, informática, insumos e demais materiais para a Academia da Cidade Dom Bosco, localizada na Rua Tabapuam, nº 514, no bairro Dom Bosco, Regional Noroeste;</t>
  </si>
  <si>
    <t>Rua Tabapuam, nº 514, no bairro Dom Bosco, Regional Noroeste</t>
  </si>
  <si>
    <t>Academia da Cidade Dom Bosco, localizada na Rua Tabapuam, nº 514, no bairro Dom Bosco, Regional Noroeste;</t>
  </si>
  <si>
    <t>2022_JUNINHO_LOS_HERMANOS_423_01</t>
  </si>
  <si>
    <t>423</t>
  </si>
  <si>
    <t>À aquisição de equipamentos eletrônicos, informática, insumos e demais materiais para a Academia da Cidade Serrano, localizada na Rua Tocantins, nº 445, bairro Conjunto Celso Machado, Regional Pampulha;</t>
  </si>
  <si>
    <t>Rua Tocantins, nº 445, bairro Conjunto Celso Machado, Regional Pampulha</t>
  </si>
  <si>
    <t>Academia da Cidade Serrano, localizada na Rua Tocantins, nº 445, bairro Conjunto Celso Machado, Regional Pampulha</t>
  </si>
  <si>
    <t>2022_JUNINHO_LOS_HERMANOS_424_01</t>
  </si>
  <si>
    <t>424</t>
  </si>
  <si>
    <t>À aquisição de equipamentos eletrônicos, informática, insumos e demais materiais para o Centro Dia do Idoso Dom Cabral, localizado na Avenida Santa Matilde, nº 325, no bairro Dom Cabral, Regional Noroeste;</t>
  </si>
  <si>
    <t>Avenida Santa Matilde, nº 325, no bairro Dom Cabral, Regional Noroeste</t>
  </si>
  <si>
    <t>Centro Dia do Idoso Dom Cabral, localizado na Avenida Santa Matilde, nº 325, no bairro Dom Cabral, Regional Noroeste</t>
  </si>
  <si>
    <t>2022_JUNINHO_LOS_HERMANOS_438_01</t>
  </si>
  <si>
    <t>438</t>
  </si>
  <si>
    <t>À aquisição de equipamentos eletrônicos, informática, insumos e demais materiais para a Academia da Cidade Fazendinha, localizada na Rua Eneida, nº 1485, no bairro Coqueiros, Regional Noroeste;</t>
  </si>
  <si>
    <t>2302.0500.10.301.157.2.690.449052</t>
  </si>
  <si>
    <t>677870000108</t>
  </si>
  <si>
    <t>Rua Eneida, nº 1485, no bairro Coqueiros, Regional Noroeste</t>
  </si>
  <si>
    <t>Academia da Cidade Fazendinha, localizada na Rua Eneida, nº 1485, no bairro Coqueiros, Regional Noroeste</t>
  </si>
  <si>
    <t>2022_JUNINHO_LOS_HERMANOS_439_01</t>
  </si>
  <si>
    <t>439</t>
  </si>
  <si>
    <t>À aquisição de equipamentos eletrônicos, informática, insumos e demais materiais para o Centro de Esterilização de Cães e Gatos Noroeste (CECG-NO), localizado na Rua Antônio Peixoto Guimarães, nº 33, no bairro Caiçara, Regional Noroeste;</t>
  </si>
  <si>
    <t>Rua Antônio Peixoto Guimarães, nº 33, no bairro Caiçara, Regional Noroeste</t>
  </si>
  <si>
    <t>Centro de Esterilização de Cães e Gatos Noroeste (CECG-NO), localizado na Rua Antônio Peixoto Guimarães, nº 33, no bairro Caiçara, Regional Noroeste</t>
  </si>
  <si>
    <t>caes e gatos</t>
  </si>
  <si>
    <t>2022_JUNINHO_LOS_HERMANOS_440_01</t>
  </si>
  <si>
    <t>440</t>
  </si>
  <si>
    <t>À aquisição de equipamentos eletrônicos, informática, insumos e demais materiais para o Centro de Controle de Zoonoses (CCZ), localizado na Rua Edna Quintel, nº 173, no bairro São Bernardo;</t>
  </si>
  <si>
    <t>2302.0600.10.304.028.2.829.339030</t>
  </si>
  <si>
    <t>304</t>
  </si>
  <si>
    <t>Vigilância Sanitária</t>
  </si>
  <si>
    <t>0028</t>
  </si>
  <si>
    <t>Vigilância em Saúde</t>
  </si>
  <si>
    <t>2829</t>
  </si>
  <si>
    <t>REAL AGROVETERINARIA LTDA</t>
  </si>
  <si>
    <t>1824682000110</t>
  </si>
  <si>
    <t>Rua Edna Quintel, nº 173, no bairro São Bernardo</t>
  </si>
  <si>
    <t>Centro de Controle de Zoonoses (CCZ), localizado na Rua Edna Quintel, nº 173, no bairro São Bernardo</t>
  </si>
  <si>
    <t>2022_JUNINHO_LOS_HERMANOS_441_01</t>
  </si>
  <si>
    <t>441</t>
  </si>
  <si>
    <t>À aquisição de equipamentos eletrônicos, informática, insumos e demais materiais para o Hospital Evangélico de Belo Horizonte, localizado na Rua Doutor Alípio Goulart, nº 25, no bairro Serra;</t>
  </si>
  <si>
    <t>2302.0200.10.302.114.2.894.339039</t>
  </si>
  <si>
    <t>Rua Doutor Alípio Goulart, nº 25, no bairro Serra</t>
  </si>
  <si>
    <t>Hospital Evangélico de Belo Horizonte, localizado na Rua Doutor Alípio Goulart, nº 25, no bairro Serra</t>
  </si>
  <si>
    <t>2022_JUNINHO_LOS_HERMANOS_442_01</t>
  </si>
  <si>
    <t>442</t>
  </si>
  <si>
    <t>À aquisição de equipamentos eletrônicos, informática, insumos e demais materiais para o Hospital Alberto Cavalcanti, localizado na Rua Camilo de Brito, nº 636, no bairro Padre Eustáquio, Regional Noroeste;</t>
  </si>
  <si>
    <t>2302.0500.10.302.114.2.894.339039</t>
  </si>
  <si>
    <t>19843929002740</t>
  </si>
  <si>
    <t>Rua Camilo de Brito, nº 636, no bairro Padre Eustáquio, Regional Noroeste</t>
  </si>
  <si>
    <t>Hospital Alberto Cavalcanti, localizado na Rua Camilo de Brito, nº 636, no bairro Padre Eustáquio, Regional Noroeste</t>
  </si>
  <si>
    <t>2022_JUNINHO_LOS_HERMANOS_502_01</t>
  </si>
  <si>
    <t>502</t>
  </si>
  <si>
    <t>Ao reforço de verba para implantação de pista de cooper na Avenida Avaí, no trecho compreendido entre a Av. Brigadeiro Eduardo Gomes e Rua das Violas, no bairro Dom Bosco na regional Noroeste;</t>
  </si>
  <si>
    <t>SIGMA ENGENHARIA INDUSTRIA E COMERCIO LTDA
SITRAN SINALIZACAO DE TRANSITO INDUSTRIAL LTDA</t>
  </si>
  <si>
    <t>Avenida Avaí, no trecho compreendido entre a Av. Brigadeiro Eduardo Gomes e Rua das Violas, no bairro Dom Bosco na regional Noroeste</t>
  </si>
  <si>
    <t>2022_JUNINHO_LOS_HERMANOS_503_01</t>
  </si>
  <si>
    <t>503</t>
  </si>
  <si>
    <t>Ao reforço de verba para pavimentação da Rua Real Madrid, no trecho situado entre a Rua Monte Verde e a Av. Amintas Jacques de Moraes no bairro São Salvador, regional Noroeste;</t>
  </si>
  <si>
    <t>SANTO PIO SERVICOS LTDA.
SANTO PIO SERVICOS LTDA.</t>
  </si>
  <si>
    <t>Rua Real Madrid, no trecho situado entre a Rua Monte Verde e a Av. Amintas Jacques de Moraes no bairro São Salvador, regional Noroeste</t>
  </si>
  <si>
    <t>2022_JUNINHO_LOS_HERMANOS_594_01</t>
  </si>
  <si>
    <t>594</t>
  </si>
  <si>
    <t>À aquisição de equipamentos eletrônicos, informática, insumos e demais materiais para a Escola Municipal Anne Frank, localizada na Rua Cecília Magalhães Gomes, nº 445, no bairro Confisco, Regional Pampulha;</t>
  </si>
  <si>
    <t>2200.12.361.168.2080.339030</t>
  </si>
  <si>
    <t>LIDER NOTEBOOKS COMERCIO E SERVICOS LTDA
REPREMIG REPRESENTACAO E COMERCIO DE MINAS GERAIS LTDA</t>
  </si>
  <si>
    <t>12477490000281
65149197000251</t>
  </si>
  <si>
    <t>Rua Cecília Magalhães Gomes, nº 445, no bairro Confisco, Regional Pampulha</t>
  </si>
  <si>
    <t>Escola Municipal Anne Frank, localizada na Rua Cecília Magalhães Gomes, nº 445, no bairro Confisco, Regional Pampulha</t>
  </si>
  <si>
    <t>2022_JUNINHO_LOS_HERMANOS_595_01</t>
  </si>
  <si>
    <t>595</t>
  </si>
  <si>
    <t>À aquisição de equipamentos eletrônicos, informática, insumos e demais materiais para a Escola Municipal Francisca Alves, localizada na Avenida Santa Terezinha, nº 8, no bairro Conjunto Lagoa, Regional Pampulha;</t>
  </si>
  <si>
    <t>Avenida Santa Terezinha, nº 8, no bairro Conjunto Lagoa, Regional Pampulha</t>
  </si>
  <si>
    <t>Escola Municipal Francisca Alves, localizada na Avenida Santa Terezinha, nº 8, no bairro Conjunto Lagoa, Regional Pampulha</t>
  </si>
  <si>
    <t>2022_JUNINHO_LOS_HERMANOS_596_01</t>
  </si>
  <si>
    <t>596</t>
  </si>
  <si>
    <t>À aquisição de equipamentos eletrônicos, informática, insumos e demais materiais para a Escola Municipal Ignácio de Andrade Melo, localizada na Rua Violeta de Melo, nº 988, no bairro Jardim São José, Regional Pampulha;</t>
  </si>
  <si>
    <t>Rua Violeta de Melo, nº 988, no bairro Jardim São José, Regional Pampulha</t>
  </si>
  <si>
    <t>Escola Municipal Ignácio de Andrade Melo, localizada na Rua Violeta de Melo, nº 988, no bairro Jardim São José, Regional Pampulha</t>
  </si>
  <si>
    <t>2022_JUNINHO_LOS_HERMANOS_597_01</t>
  </si>
  <si>
    <t>597</t>
  </si>
  <si>
    <t>À aquisição de equipamentos eletrônicos, informática, insumos e demais materiais para a Escola Municipal Júlia Paraíso, localizada na Rua Tiês, nº 100, no bairro Alípio de Melo, Regional Pampulha;</t>
  </si>
  <si>
    <t>Rua Tiês, nº 100, no bairro Alípio de Melo, Regional Pampulha</t>
  </si>
  <si>
    <t>Escola Municipal Júlia Paraíso, localizada na Rua Tiês, nº 100, no bairro Alípio de Melo, Regional Pampulha</t>
  </si>
  <si>
    <t>2022_JUNINHO_LOS_HERMANOS_598_01</t>
  </si>
  <si>
    <t>598</t>
  </si>
  <si>
    <t>À aquisição de equipamentos eletrônicos, informática, insumos e demais materiais para a Escola Municipal Maria de Magalhães Pinto, localizada na Rua Senador Virgílio Távora, nº 155, no bairro Santa Terezinha, Regional Pampulha;</t>
  </si>
  <si>
    <t>Rua Senador Virgílio Távora, nº 155, no bairro Santa Terezinha, Regional Pampulha</t>
  </si>
  <si>
    <t>Escola Municipal Maria de Magalhães Pinto, localizada na Rua Senador Virgílio Távora, nº 155, no bairro Santa Terezinha, Regional Pampulha</t>
  </si>
  <si>
    <t>2022_JUNINHO_LOS_HERMANOS_599_01</t>
  </si>
  <si>
    <t>599</t>
  </si>
  <si>
    <t>À aquisição de equipamentos eletrônicos, informática, insumos e demais materiais para a Escola Municipal Marlene Pereira Rancante, localizada na Rua dos Comerciantes, nº 38, no bairro Alípio de Melo, Regional Pampulha;</t>
  </si>
  <si>
    <t>Rua dos Comerciantes, nº 38, no bairro Alípio de Melo, Regional Pampulha</t>
  </si>
  <si>
    <t>Escola Municipal Marlene Pereira Rancante, localizada na Rua dos Comerciantes, nº 38, no bairro Alípio de Melo, Regional Pampulha</t>
  </si>
  <si>
    <t>2022_JUNINHO_LOS_HERMANOS_600_01</t>
  </si>
  <si>
    <t>600</t>
  </si>
  <si>
    <t>À aquisição de equipamentos eletrônicos, informática, insumos e demais materiais para a Escola Municipal Alice Nacif, localizada na Rua Expedicionário Paulo de Souza, nº 721, no bairro Confisco, Regional Pampulha;</t>
  </si>
  <si>
    <t>Rua Expedicionário Paulo de Souza, nº 721, no bairro Confisco, Regional Pampulha</t>
  </si>
  <si>
    <t>Escola Municipal Alice Nacif, localizada na Rua Expedicionário Paulo de Souza, nº 721, no bairro Confisco, Regional Pampulha</t>
  </si>
  <si>
    <t>2022_JUNINHO_LOS_HERMANOS_601_01</t>
  </si>
  <si>
    <t>601</t>
  </si>
  <si>
    <t>À aquisição de equipamentos eletrônicos, informática, insumos e demais materiais para a Escola Municipal Santa Terezinha, localizada na Rua Conceição da Aparecida, nº 400, no bairro Santa Terezinha, Regional Pampulha;</t>
  </si>
  <si>
    <t>Rua Conceição da Aparecida, nº 400, no bairro Santa Terezinha, Regional Pampulha</t>
  </si>
  <si>
    <t>Escola Municipal Santa Terezinha, localizada na Rua Conceição da Aparecida, nº 400, no bairro Santa Terezinha, Regional Pampulha</t>
  </si>
  <si>
    <t>2022_JUNINHO_LOS_HERMANOS_602_01</t>
  </si>
  <si>
    <t>602</t>
  </si>
  <si>
    <t>À aquisição de equipamentos eletrônicos, informática, insumos e demais materiais para a Escola Municipal Dom Bosco, localizada na Rua Bicuíba, nº 100, no bairro Dom Bosco, Regional Noroeste;</t>
  </si>
  <si>
    <t>Rua Bicuíba, nº 100, no bairro Dom Bosco, Regional Noroeste</t>
  </si>
  <si>
    <t>Escola Municipal Dom Bosco, localizada na Rua Bicuíba, nº 100, no bairro Dom Bosco, Regional Noroeste</t>
  </si>
  <si>
    <t>2022_JUNINHO_LOS_HERMANOS_603_01</t>
  </si>
  <si>
    <t>603</t>
  </si>
  <si>
    <t>À aquisição de equipamentos eletrônicos, informática, insumos e demais materiais para a Escola Municipal Prefeito Oswaldo Pieruccetti, localizada na Rua Regida, nº 309, no bairro Conjunto Jardim Filadélfia, Regional Noroeste;</t>
  </si>
  <si>
    <t>Rua Regida, nº 309, no bairro Conjunto Jardim Filadélfia, Regional Noroeste</t>
  </si>
  <si>
    <t>Escola Municipal Prefeito Oswaldo Pieruccetti, localizada na Rua Regida, nº 309, no bairro Conjunto Jardim Filadélfia, Regional Noroeste</t>
  </si>
  <si>
    <t>2022_JUNINHO_LOS_HERMANOS_604_01</t>
  </si>
  <si>
    <t>604</t>
  </si>
  <si>
    <t>À aquisição de equipamentos eletrônicos, informática, insumos e demais materiais para a Escola Municipal Maria de Rezende Costa, localizada na Avenida Abílio Machado, nº 1009, no bairro Glória, Regional Noroeste;</t>
  </si>
  <si>
    <t>Avenida Abílio Machado, nº 1009, no bairro Glória, Regional Noroeste</t>
  </si>
  <si>
    <t>Escola Municipal Maria de Rezende Costa, localizada na Avenida Abílio Machado, nº 1009, no bairro Glória, Regional Noroeste</t>
  </si>
  <si>
    <t>2022_JUNINHO_LOS_HERMANOS_605_01</t>
  </si>
  <si>
    <t>605</t>
  </si>
  <si>
    <t>À aquisição de equipamentos eletrônicos, informática, insumos e demais materiais para a Escola Municipal Augusta Medeiros, localizada na Rua General Clark, nº 28, no bairro São Salvador, Regional Noroeste;</t>
  </si>
  <si>
    <t>Rua General Clark, nº 28, no bairro São Salvador, Regional Noroeste</t>
  </si>
  <si>
    <t xml:space="preserve"> Escola Municipal Augusta Medeiros, localizada na Rua General Clark, nº 28, no bairro São Salvador, Regional Noroeste</t>
  </si>
  <si>
    <t>2022_JUNINHO_LOS_HERMANOS_606_01</t>
  </si>
  <si>
    <t>606</t>
  </si>
  <si>
    <t>À aquisição de equipamentos eletrônicos, informática, insumos e demais materiais para a Escola Municipal João Pinheiro, localizada na Rua Padre Manoel Bernardes, nº 303, no bairro Alto dos Pinheiros, Regional Noroeste;</t>
  </si>
  <si>
    <t>Rua Padre Manoel Bernardes, nº 303, no bairro Alto dos Pinheiros, Regional Noroeste</t>
  </si>
  <si>
    <t>Escola Municipal João Pinheiro, localizada na Rua Padre Manoel Bernardes, nº 303, no bairro Alto dos Pinheiros, Regional Noroeste</t>
  </si>
  <si>
    <t>2022_JUNINHO_LOS_HERMANOS_709_01</t>
  </si>
  <si>
    <t>709</t>
  </si>
  <si>
    <t>À aquisição de equipamentos eletrônicos, informática, insumos e demais materiais para a Escola Municipal Luigi Toniolo, localizada na Rua Mafra, nº 124, no bairro Novo Glória, Regional Noroeste;</t>
  </si>
  <si>
    <t>Rua Mafra, nº 124, no bairro Novo Glória, Regional Noroeste</t>
  </si>
  <si>
    <t>Escola Municipal Luigi Toniolo, localizada na Rua Mafra, nº 124, no bairro Novo Glória, Regional Noroeste</t>
  </si>
  <si>
    <t>2022_JUNINHO_LOS_HERMANOS_710_01</t>
  </si>
  <si>
    <t>710</t>
  </si>
  <si>
    <t>À aquisição de equipamentos eletrônicos, informática, insumos e demais materiais para a Escola Municipal Padre Edeimar Massote, localizada na Rua Eneida, nº 1485, no bairro Coqueiros, Regional Noroeste;</t>
  </si>
  <si>
    <t>Escola Municipal Padre Edeimar Massote, localizada na Rua Eneida, nº 1485, no bairro Coqueiros, Regional Noroeste</t>
  </si>
  <si>
    <t>2022_JUNINHO_LOS_HERMANOS_711_01</t>
  </si>
  <si>
    <t>711</t>
  </si>
  <si>
    <t>À aquisição de equipamentos eletrônicos, informática, insumos e demais materiais para a Escola Municipal Professor João Camilo de Oliveira Torres, localizada na Rua Ester Batista Vieira, nº 12, no bairro Califórnia, Regional Noroeste;</t>
  </si>
  <si>
    <t>REPREMIG REPRESENTACAO E COMERCIO DE MINAS GERAIS LTDA
LIDER NOTEBOOKS COMERCIO E SERVICOS LTDA</t>
  </si>
  <si>
    <t>65149197000251
12477490000281</t>
  </si>
  <si>
    <t>Rua Ester Batista Vieira, nº 12, no bairro Califórnia, Regional Noroeste</t>
  </si>
  <si>
    <t>Escola Municipal Professor João Camilo de Oliveira Torres, localizada na Rua Ester Batista Vieira, nº 12, no bairro Califórnia, Regional Noroeste</t>
  </si>
  <si>
    <t>2022_JUNINHO_LOS_HERMANOS_712_01</t>
  </si>
  <si>
    <t>712</t>
  </si>
  <si>
    <t>À aquisição de equipamentos eletrônicos, informática, insumos e demais materiais para a Escola Municipal de Educação Infantil - EMEI Califórnia, localizada na Rua Quatro Mil Quatrocentos e Vinte e Nove, nº 155, no bairro Conjunto Califórnia, Regional Noroeste;</t>
  </si>
  <si>
    <t>2200.12.365.169.2542.339030</t>
  </si>
  <si>
    <t>2542</t>
  </si>
  <si>
    <t>Administração da Educação Infantil</t>
  </si>
  <si>
    <t>Rua Quatro Mil Quatrocentos e Vinte e Nove, nº 155, no bairro Conjunto Califórnia, Regional Noroeste</t>
  </si>
  <si>
    <t>Escola Municipal de Educação Infantil - EMEI Califórnia, localizada na Rua Quatro Mil Quatrocentos e Vinte e Nove, nº 155, no bairro Conjunto Califórnia, Regional Noroeste</t>
  </si>
  <si>
    <t>2022_JUNINHO_LOS_HERMANOS_713_01</t>
  </si>
  <si>
    <t>713</t>
  </si>
  <si>
    <t>À aquisição de equipamentos eletrônicos, informática, insumos e demais materiais para a Escola Municipal de Educação Infantil - EMEI Califórnia II, localizada na Rua Christina Maria Assis, nº 550, bairro Califórnia, Regional Noroeste;</t>
  </si>
  <si>
    <t>Rua Christina Maria Assis, nº 550, bairro Califórnia, Regional Noroeste</t>
  </si>
  <si>
    <t>Escola Municipal de Educação Infantil - EMEI Califórnia II, localizada na Rua Christina Maria Assis, nº 550, bairro Califórnia, Regional Noroeste</t>
  </si>
  <si>
    <t>2022_JUNINHO_LOS_HERMANOS_714_01</t>
  </si>
  <si>
    <t>714</t>
  </si>
  <si>
    <t>À aquisição de equipamentos eletrônicos, informática, insumos e demais materiais para a Escola Municipal de Educação Infantil - EMEI Coqueiros, localizada na Rua Eneida, nº 1485, no bairro Coqueiros, Regional Noroeste;</t>
  </si>
  <si>
    <t>Escola Municipal de Educação Infantil - EMEI Coqueiros, localizada na Rua Eneida, nº 1485, no bairro Coqueiros, Regional Noroeste</t>
  </si>
  <si>
    <t>2022_JUNINHO_LOS_HERMANOS_715_01</t>
  </si>
  <si>
    <t>715</t>
  </si>
  <si>
    <t>À aquisição de equipamentos eletrônicos, informática, insumos e demais materiais para a Escola Municipal de Educação Infantil - EMEI Jardim Montanhês, localizada na Rua Leopoldo Pereira, nº 197, no bairro Jardim Montanhês, Regional Noroeste;</t>
  </si>
  <si>
    <t>Rua Leopoldo Pereira, nº 197, no bairro Jardim Montanhês, Regional Noroeste</t>
  </si>
  <si>
    <t>Escola Municipal de Educação Infantil - EMEI Jardim Montanhês, localizada na Rua Leopoldo Pereira, nº 197, no bairro Jardim Montanhês, Regional Noroeste</t>
  </si>
  <si>
    <t>2022_JUNINHO_LOS_HERMANOS_716_01</t>
  </si>
  <si>
    <t>716</t>
  </si>
  <si>
    <t>À aquisição de equipamentos eletrônicos, informática, insumos e demais materiais para a Escola Municipal de Educação Infantil - EMEI Marfim, localizada na Rua Assumar, nº 375, no bairro Pindorama, Regional Noroeste;</t>
  </si>
  <si>
    <t>Rua Assumar, nº 375, no bairro Pindorama, Regional Noroeste</t>
  </si>
  <si>
    <t>Escola Municipal de Educação Infantil - EMEI Marfim, localizada na Rua Assumar, nº 375, no bairro Pindorama, Regional Noroeste</t>
  </si>
  <si>
    <t>2022_JUNINHO_LOS_HERMANOS_717_01</t>
  </si>
  <si>
    <t>717</t>
  </si>
  <si>
    <t>À aquisição de equipamentos eletrônicos, informática, insumos e demais materiais para a Escola Municipal de Educação Infantil - EMEI Pindorama, localizada na Rua Guararapes, nº 1850, no bairro Pindorama, Regional Noroeste;</t>
  </si>
  <si>
    <t>Rua Guararapes, nº 1850, no bairro Pindorama, Regional Noroeste</t>
  </si>
  <si>
    <t>Escola Municipal de Educação Infantil - EMEI Pindorama, localizada na Rua Guararapes, nº 1850, no bairro Pindorama, Regional Noroeste</t>
  </si>
  <si>
    <t>2022_JUNINHO_LOS_HERMANOS_718_01</t>
  </si>
  <si>
    <t>718</t>
  </si>
  <si>
    <t>À aquisição de equipamentos eletrônicos, informática, insumos e demais materiais para a Escola Municipal de Educação Infantil - EMEI Pituchinha, localizada na Rua Marquês de Lavradio, nº 619, no bairro João Pinheiro, Regional Noroeste;</t>
  </si>
  <si>
    <t>Rua Marquês de Lavradio, nº 619, no bairro João Pinheiro, Regional Noroeste</t>
  </si>
  <si>
    <t>Escola Municipal de Educação Infantil - EMEI Pituchinha, localizada na Rua Marquês de Lavradio, nº 619, no bairro João Pinheiro, Regional Noroeste</t>
  </si>
  <si>
    <t>2022_JUNINHO_LOS_HERMANOS_719_01</t>
  </si>
  <si>
    <t>719</t>
  </si>
  <si>
    <t>À aquisição de equipamentos eletrônicos, informática, insumos e demais materiais para a Escola Municipal de Educação Infantil - EMEI Sabinópolis, localizada na Rua Sabinópolis, nº 120, no bairro Carlos Prates, Regional Noroeste;</t>
  </si>
  <si>
    <t>Rua Sabinópolis, nº 120, no bairro Carlos Prates, Regional Noroeste</t>
  </si>
  <si>
    <t>Escola Municipal de Educação Infantil - EMEI Sabinópolis, localizada na Rua Sabinópolis, nº 120, no bairro Carlos Prates, Regional Noroeste</t>
  </si>
  <si>
    <t>2022_JUNINHO_LOS_HERMANOS_720_01</t>
  </si>
  <si>
    <t>720</t>
  </si>
  <si>
    <t>À aquisição de equipamentos eletrônicos, informática, insumos e demais materiais para a Escola Municipal de Educação Infantil - EMEI Vila São Vicente, localizada na Rua Humaitá, nº 1149, no bairro Padre Eustáquio, Regional Noroeste;</t>
  </si>
  <si>
    <t>Rua Humaitá, nº 1149, no bairro Padre Eustáquio, Regional Noroeste</t>
  </si>
  <si>
    <t>Escola Municipal de Educação Infantil - EMEI Vila São Vicente, localizada na Rua Humaitá, nº 1149, no bairro Padre Eustáquio, Regional Noroeste</t>
  </si>
  <si>
    <t>2022_JUNINHO_LOS_HERMANOS_721_01</t>
  </si>
  <si>
    <t>721</t>
  </si>
  <si>
    <t>À aquisição de equipamentos eletrônicos, informática, insumos e demais materiais para a Escola Municipal de Educação Infantil - EMEI Castelo, localizada na Rua Castelo de Alcazar, nº 10, no bairro Castelo, Regional Pampulha;</t>
  </si>
  <si>
    <t>Rua Castelo de Alcazar, nº 10, no bairro Castelo, Regional Pampulha</t>
  </si>
  <si>
    <t>Escola Municipal de Educação Infantil - EMEI Castelo, localizada na Rua Castelo de Alcazar, nº 10, no bairro Castelo, Regional Pampulha</t>
  </si>
  <si>
    <t>2022_JUNINHO_LOS_HERMANOS_722_01</t>
  </si>
  <si>
    <t>722</t>
  </si>
  <si>
    <t>À aquisição de equipamentos eletrônicos, informática, insumos e demais materiais para a Escola Municipal de Educação Infantil - EMEI Castelo de Crato, localizada na Rua Castelo de Crato, nº 101, no bairro Castelo, Regional Pampulha;</t>
  </si>
  <si>
    <t>Rua Castelo de Crato, nº 101, no bairro Castelo, Regional Pampulha</t>
  </si>
  <si>
    <t>Escola Municipal de Educação Infantil - EMEI Castelo de Crato, localizada na Rua Castelo de Crato, nº 101, no bairro Castelo, Regional Pampulha</t>
  </si>
  <si>
    <t>2022_JUNINHO_LOS_HERMANOS_723_01</t>
  </si>
  <si>
    <t>723</t>
  </si>
  <si>
    <t>À aquisição de equipamentos eletrônicos, informática, insumos e demais materiais para a Escola Municipal de Educação Infantil - EMEI Itatiaia, localizada na Rua Maria Cecília, nº 270, no bairro Santa Terezinha, Regional Pampulha;</t>
  </si>
  <si>
    <t>Rua Maria Cecília, nº 270, no bairro Santa Terezinha, Regional Pampulha</t>
  </si>
  <si>
    <t>Escola Municipal de Educação Infantil - EMEI Itatiaia, localizada na Rua Maria Cecília, nº 270, no bairro Santa Terezinha, Regional Pampulha</t>
  </si>
  <si>
    <t>2022_JUNINHO_LOS_HERMANOS_724_01</t>
  </si>
  <si>
    <t>724</t>
  </si>
  <si>
    <t>À aquisição de equipamentos eletrônicos, informática, insumos e demais materiais para a Escola Municipal de Educação Infantil - EMEI Sarandi, localizada na Rua Deputado Augusto Gonçalves, nº 150, no bairro Serrano, Regional Pampulha;</t>
  </si>
  <si>
    <t>Rua Deputado Augusto Gonçalves, nº 150, no bairro Serrano, Regional Pampulha</t>
  </si>
  <si>
    <t>Escola Municipal de Educação Infantil - EMEI Sarandi, localizada na Rua Deputado Augusto Gonçalves, nº 150, no bairro Serrano, Regional Pampulha</t>
  </si>
  <si>
    <t>2022_JUNINHO_LOS_HERMANOS_725_01</t>
  </si>
  <si>
    <t>725</t>
  </si>
  <si>
    <t>À aquisição de equipamentos eletrônicos, informática, insumos e demais materiais para a Escola Municipal de Educação Infantil - EMEI Urca Confisco, localizada na Rua Expedicionário Paulo de Souza, nº 701, no bairro Confisco, Regional Pampulha;</t>
  </si>
  <si>
    <t>Rua Expedicionário Paulo de Souza, nº 701, no bairro Confisco, Regional Pampulha</t>
  </si>
  <si>
    <t>Escola Municipal de Educação Infantil - EMEI Urca Confisco, localizada na Rua Expedicionário Paulo de Souza, nº 701, no bairro Confisco, Regional Pampulha</t>
  </si>
  <si>
    <t>2022_JUNINHO_LOS_HERMANOS_726_01</t>
  </si>
  <si>
    <t>726</t>
  </si>
  <si>
    <t>À aquisição de equipamentos eletrônicos, informática, insumos e demais materiais para a Escola Municipal de Educação Infantil - EMEI Vila Antena, localizada na Rua Flor do Oriente, nº 137, no bairro Jardim Alvorada, Regional Pampulha;</t>
  </si>
  <si>
    <t>Rua Flor do Oriente, nº 137, no bairro Jardim Alvorada, Regional Pampulha</t>
  </si>
  <si>
    <t>Escola Municipal de Educação Infantil - EMEI Vila Antena, localizada na Rua Flor do Oriente, nº 137, no bairro Jardim Alvorada, Regional Pampulha</t>
  </si>
  <si>
    <t>2022_LEO_616_01</t>
  </si>
  <si>
    <t>2022_LEO</t>
  </si>
  <si>
    <t>616</t>
  </si>
  <si>
    <t>Léo</t>
  </si>
  <si>
    <t>PSL</t>
  </si>
  <si>
    <t>Reforço orçamentário para financiamento da contraprestação aos Centros de Saúde: Vale do Jatobá, Paulo VI e Vila Maria;</t>
  </si>
  <si>
    <t>Centros de Saúde: Vale do Jatobá, Paulo VI e Vila Maria</t>
  </si>
  <si>
    <t>2022_LEO_617_01</t>
  </si>
  <si>
    <t>617</t>
  </si>
  <si>
    <t>Construção de salas de convivência para os ACEs e ACSs e Profissionais da Saúde ou aquisição de equipamentos para melhoria das condições e trabalho dos ACEs ACSs num montante de R$50.000,00 para cada um dos seguintes Centros de Saúde: Olavo Albino Correia, Pilar, Novo Aarão Reis e Santos Anjos;</t>
  </si>
  <si>
    <t>Centros de Saúde: Olavo Albino Correia, Pilar, Novo Aarão Reis e Santos Anjos;</t>
  </si>
  <si>
    <t>2022_LEO_618_01</t>
  </si>
  <si>
    <t>618</t>
  </si>
  <si>
    <t>Construção de salas de convivência para os ACEs e ACSs e Profissionais da Saúde ou aquisição de equipamentos para melhoria das condições e trabalho dos ACEs ACSs num montante de R$50.000,00 para cada um dos seguintes Centros de Saúde: Novo Glória, Camargos e Jaqueline 1;</t>
  </si>
  <si>
    <t>Centros de Saúde: Novo Glória, Camargos e Jaqueline 1</t>
  </si>
  <si>
    <t>2022_LEO_683_01</t>
  </si>
  <si>
    <t>683</t>
  </si>
  <si>
    <t>Reforço de dotação orçamentária para financiar o Projeto de Inclusão Digital;</t>
  </si>
  <si>
    <t>0604.19.126.302.2404.339039</t>
  </si>
  <si>
    <t>0604</t>
  </si>
  <si>
    <t>EMPRESA DE INFORMÁTICA E INFORMAÇÃO DO MUNICÍPIO DE BELO HORIZONTE</t>
  </si>
  <si>
    <t>19</t>
  </si>
  <si>
    <t>Ciência e Tecnologia</t>
  </si>
  <si>
    <t>126</t>
  </si>
  <si>
    <t>Tecnologia da Informação</t>
  </si>
  <si>
    <t>0302</t>
  </si>
  <si>
    <t>Belo Horizonte Cidade Inteligente</t>
  </si>
  <si>
    <t>Prodabel</t>
  </si>
  <si>
    <t>ETP CONSULTORIA E TREINAMENTO LTDA
ETP CONSULTORIA E TREINAMENTO LTDA
FUNDO DE ACELERACAO PARA O DESENVOLVIMENTO VELA (FA.VELA)</t>
  </si>
  <si>
    <t>18586663000103
18586663000103
23311666000166</t>
  </si>
  <si>
    <t>1706</t>
  </si>
  <si>
    <t>2022_LEO_708_01</t>
  </si>
  <si>
    <t>708</t>
  </si>
  <si>
    <t>Construção de salas de convivência para os ACEs e ACSs e Profissionais da Saúde ou aquisição de equipamentos para melhoria das condições e trabalho dos ACEs ACSs num montante de R$50.000,00 para cada um dos seguintes Centros de Saúde: CS Mangueiras e CS Santo Antônio;</t>
  </si>
  <si>
    <t>Centros de Saúde: CS Mangueiras e CS Santo Antônio</t>
  </si>
  <si>
    <t>2022_LEO_750_01</t>
  </si>
  <si>
    <t>750</t>
  </si>
  <si>
    <t>À Comissão Fé e Esperança da Vila Pinho, CNPJ 26.388.470/0001-68, para a execução de atividades socioassistenciais, de acordo com o disposto na Lei Federal n° 8.742/93, em consonância com a referida inscrição no Conselho Municipal de Assistência Social de Belo Horizonte - CMAS-BH;</t>
  </si>
  <si>
    <t>COMISSAO FE E ESPERANCA DA VILA PINHO</t>
  </si>
  <si>
    <t>26388470000168</t>
  </si>
  <si>
    <t>2022_LEO_795_01</t>
  </si>
  <si>
    <t>795</t>
  </si>
  <si>
    <t>Construção de salas de convivência para os ACEs e ACSs e Profissionais da Saúde ou aquisição de equipamentos para melhoria das condições e trabalho dos ACEs ACSs num montante de R$58.800,00 para cada um dos seguintes Centros de Saúde: São Miguel Arcanjo, CS Vera Cruz, Santa Rita de Cássia, Capitão Eduardo, CS Goiânia, Padre Fernando, Ribeiro de Abreu, Jardim Montanhês, CS Vista Alegre e CS Taquaril;</t>
  </si>
  <si>
    <t>Centros de Saúde: São Miguel Arcanjo, CS Vera Cruz, Santa Rita de Cássia, Capitão Eduardo, CS Goiânia, Padre Fernando, Ribeiro de Abreu, Jardim Montanhês, CS Vista Alegre e CS Taquaril</t>
  </si>
  <si>
    <t>2022_LEO_874_01</t>
  </si>
  <si>
    <t>874</t>
  </si>
  <si>
    <t>Construção de salas de convivência para os ACEs e ACSs e Profissionais da Saúde ou aquisição de equipamentos para melhoria das condições e trabalho dos ACEs ACSs num montante de R$50.000,00 para cada um dos Centro de Saúde Minas Caixa e Glória;</t>
  </si>
  <si>
    <t>Centro de Saúde Minas Caixa e Glória</t>
  </si>
  <si>
    <t>2022_MACAE_EVARISTO_379_01</t>
  </si>
  <si>
    <t>2022_MACAE_EVARISTO</t>
  </si>
  <si>
    <t>379</t>
  </si>
  <si>
    <t>Macaé Evaristo</t>
  </si>
  <si>
    <t>PT</t>
  </si>
  <si>
    <t>Custeio para oficinas do Centro Cultural Vila Marçola;</t>
  </si>
  <si>
    <t>3103.0200.13.392.301.2.907.449052</t>
  </si>
  <si>
    <t>0301</t>
  </si>
  <si>
    <t>Formação na Área da Cultura</t>
  </si>
  <si>
    <t>2907</t>
  </si>
  <si>
    <t>Formação, Educação e Fruição Cultural</t>
  </si>
  <si>
    <t>LEX LOGISTICA SERVICOS E COMERCIO LTDA</t>
  </si>
  <si>
    <t>45868808000123</t>
  </si>
  <si>
    <t>Centro Cultural Vila Marçola</t>
  </si>
  <si>
    <t>2022_MACAE_EVARISTO_380_01</t>
  </si>
  <si>
    <t>380</t>
  </si>
  <si>
    <t>Custeio para oficinas do Centro Cultural São Geraldo;</t>
  </si>
  <si>
    <t>3103.13.122.146.2900.449052</t>
  </si>
  <si>
    <t>2900</t>
  </si>
  <si>
    <t>Serviços Administrativos e Financeiros</t>
  </si>
  <si>
    <t>Centro Cultural São Geraldo</t>
  </si>
  <si>
    <t>2022_MACAE_EVARISTO_381_01</t>
  </si>
  <si>
    <t>381</t>
  </si>
  <si>
    <t>Custeio para oficinas do Centro Cultural Vila de Fátima;</t>
  </si>
  <si>
    <t>3103.0200.13.392.301.2.907.449052
3103.0200.13.392.301.2.907.449052</t>
  </si>
  <si>
    <t>IRMAOS BOHRER ELETRO ELETRONICOS LTDALEX LOGISTICA SERVICOS E COMERCIO LTDA</t>
  </si>
  <si>
    <t>8394735000159
45868808000123</t>
  </si>
  <si>
    <t>Centro Cultural Vila de Fátima</t>
  </si>
  <si>
    <t>2022_MACAE_EVARISTO_382_01</t>
  </si>
  <si>
    <t>382</t>
  </si>
  <si>
    <t>Custeio para Oficinas do Centro Cultural Usina da Cultura;</t>
  </si>
  <si>
    <t>3103.0400.13.392.301.2.907.339039</t>
  </si>
  <si>
    <t>RDL COMERCIO E SERVICOS LTDA</t>
  </si>
  <si>
    <t>34931447000104</t>
  </si>
  <si>
    <t>Centro Cultural Usina da Cultura</t>
  </si>
  <si>
    <t>2022_MACAE_EVARISTO_383_01</t>
  </si>
  <si>
    <t>383</t>
  </si>
  <si>
    <t>Custeio para Oficinas no Centro Cultural Salgado Filho;</t>
  </si>
  <si>
    <t>3103.0700.13.392.301.2.907.339039</t>
  </si>
  <si>
    <t>Centro Cultural Salgado Filho</t>
  </si>
  <si>
    <t>2022_MACAE_EVARISTO_384_01</t>
  </si>
  <si>
    <t>384</t>
  </si>
  <si>
    <t>Custeio para Oficinas do Centro Cultural Santa Rita;</t>
  </si>
  <si>
    <t>3103.0100.13.392.301.2.907.339039</t>
  </si>
  <si>
    <t>Centro Cultural Santa Rita</t>
  </si>
  <si>
    <t>2022_MACAE_EVARISTO_385_01</t>
  </si>
  <si>
    <t>385</t>
  </si>
  <si>
    <t>Custeio para oficinas do Centro Cultural Padre Eustáquio;</t>
  </si>
  <si>
    <t>3103.0500.13.392.301.2.907.339039</t>
  </si>
  <si>
    <t>Centro Cultural Padre Eustáquio</t>
  </si>
  <si>
    <t>2022_MACAE_EVARISTO_386_01</t>
  </si>
  <si>
    <t>386</t>
  </si>
  <si>
    <t>Custeio para Oficinas do Centro Cultural Alto Vera Cruz;</t>
  </si>
  <si>
    <t>3103.13.122.146.2900.339039</t>
  </si>
  <si>
    <t>Centro Cultural Alto Vera Cruz</t>
  </si>
  <si>
    <t>2022_MACAE_EVARISTO_387_01</t>
  </si>
  <si>
    <t>387</t>
  </si>
  <si>
    <t>Capacitação de Servidores da Guarda Municipal sobre Racismo, Juventude Negra e Segurança;</t>
  </si>
  <si>
    <t>2100.1100.06.181.109.2.803.339039</t>
  </si>
  <si>
    <t>4853455000100</t>
  </si>
  <si>
    <t>0201</t>
  </si>
  <si>
    <t>juventude; populacao negra</t>
  </si>
  <si>
    <t>2022_MACAE_EVARISTO_388_01</t>
  </si>
  <si>
    <t>388</t>
  </si>
  <si>
    <t>Custeio para o atendimento no Centro Especializado de Atendimento à Mulher - Benvinda;</t>
  </si>
  <si>
    <t>1000.2500.14.422.127.2.840.339035</t>
  </si>
  <si>
    <t>339035</t>
  </si>
  <si>
    <t>WP CONSULTORIA, PESQUISA E DESENVOLVIMENTO LTDA</t>
  </si>
  <si>
    <t>34706513000134</t>
  </si>
  <si>
    <t>Centro Especializado de Atendimento à Mulher - Benvinda (R. Hermilo Alves, 34 - Santa Tereza, Belo Horizonte - MG, 31010-115)</t>
  </si>
  <si>
    <t>mulheres</t>
  </si>
  <si>
    <t>2022_MACAE_EVARISTO_389_01</t>
  </si>
  <si>
    <t>389</t>
  </si>
  <si>
    <t>Custeio para NUPAD/UFMG - Núcleo de Ações e Pesquisa em Apoio ao Diagnóstico - faculdade de Medicina - UFMG;</t>
  </si>
  <si>
    <t>2302.3401.10.302.114.2.891.339039</t>
  </si>
  <si>
    <t>Núcleo de Ações e Pesquisa em Apoio ao Diagnóstico - faculdade de Medicina - UFMG</t>
  </si>
  <si>
    <t>2022_MACAE_EVARISTO_390_01</t>
  </si>
  <si>
    <t>390</t>
  </si>
  <si>
    <t>Custeio para o Centro de Saúde Pompéia para medicamentos, material de limpeza dentre outras despesas;</t>
  </si>
  <si>
    <t>BIOHOSP PRODUTOS HOSPITALARES SA</t>
  </si>
  <si>
    <t>18269125000187</t>
  </si>
  <si>
    <t>Centro de Saúde Pompéia</t>
  </si>
  <si>
    <t>2022_MACAE_EVARISTO_391_01</t>
  </si>
  <si>
    <t>391</t>
  </si>
  <si>
    <t>Atender ao custeio da unidade do Centro de Convivência Artur Bisbo Rosário;</t>
  </si>
  <si>
    <t>Centro de Convivência Artur Bisbo Rosário</t>
  </si>
  <si>
    <t>2022_MACAE_EVARISTO_392_01</t>
  </si>
  <si>
    <t>Capacitação dos profissionais de saúde para atendimento das mulheres lésbicas;</t>
  </si>
  <si>
    <t>APROSMIG ASSOCIACAO DAS PROSTITUTAS DE MINAS GERAIS</t>
  </si>
  <si>
    <t>18252097000195</t>
  </si>
  <si>
    <t>0325</t>
  </si>
  <si>
    <t>Lesbicas</t>
  </si>
  <si>
    <t>2022_MACAE_EVARISTO_393_01</t>
  </si>
  <si>
    <t>393</t>
  </si>
  <si>
    <t>Custeio para despesas do CERSAM AD Saúde Centro Sul Leste;</t>
  </si>
  <si>
    <t>19843929002588</t>
  </si>
  <si>
    <t>CERSAM AD Saúde Centro Sul Leste</t>
  </si>
  <si>
    <t>2022_MACAE_EVARISTO_394_01</t>
  </si>
  <si>
    <t>394</t>
  </si>
  <si>
    <t>Inclusão da subação: Custeio ao Fundeb/Hospital Risoleta Neves UFMG;</t>
  </si>
  <si>
    <t>Fundeb/Hospital Risoleta Neves UFMG</t>
  </si>
  <si>
    <t>2022_MACAE_EVARISTO_396_01</t>
  </si>
  <si>
    <t>396</t>
  </si>
  <si>
    <t>Conforme Subação: Custeio para hospital Luxemburgo;</t>
  </si>
  <si>
    <t>hospital Luxemburgo</t>
  </si>
  <si>
    <t>2022_MACAE_EVARISTO_397_01</t>
  </si>
  <si>
    <t>397</t>
  </si>
  <si>
    <t>Conforme Subação inserida: Custeio para o Hospital da baleia (natureza da despesa 30390.30);</t>
  </si>
  <si>
    <t>Hospital da baleia</t>
  </si>
  <si>
    <t>2022_MACAE_EVARISTO_398_01</t>
  </si>
  <si>
    <t>398</t>
  </si>
  <si>
    <t>Conforme subação inserida: Investimento no Hospital Sofia Feldman;</t>
  </si>
  <si>
    <t>2022_MACAE_EVARISTO_399_01</t>
  </si>
  <si>
    <t>399</t>
  </si>
  <si>
    <t>Projeto de Elaboração do Dossiê de Registro do Samba como patrimônio Imaterial de Belo Horizonte;</t>
  </si>
  <si>
    <t>3103.1100.13.391.155.2.908.339039</t>
  </si>
  <si>
    <t>Patrimônio Histórico, Artístico e Arqueológico</t>
  </si>
  <si>
    <t>0155</t>
  </si>
  <si>
    <t>Memória e Patrimônio Cultural</t>
  </si>
  <si>
    <t>2908</t>
  </si>
  <si>
    <t>PRESERVAÇÃO DO PATRIMÔNIO CULTURAL</t>
  </si>
  <si>
    <t>UNIVERSIDADE FEDERAL DE MINAS GERAIS</t>
  </si>
  <si>
    <t>17217985000104</t>
  </si>
  <si>
    <t>2022_MACAE_EVARISTO_400_01</t>
  </si>
  <si>
    <t>400</t>
  </si>
  <si>
    <t>Compra de 200 kits de literatura afro-brasileira e indígena para fornecer às creches conveniadas;</t>
  </si>
  <si>
    <t>2200.1100.12.361.167.2.386.339030</t>
  </si>
  <si>
    <t>2386</t>
  </si>
  <si>
    <t>Promoção, Proteção e Defesa de Direitos de Reparação e Igualdade Racial</t>
  </si>
  <si>
    <t>Abacatte Editorial Ltda
Mrn Editora Ltda
Boa Viagem Distribuidora de Livros Ltda
Barcelos Comercio de Livros e Servicos Ltda
Editora Compor Ltda
Book Editora e Distribuidora de Livros Ltda
Fonte Nova Distribuidora de Livros Ltda</t>
  </si>
  <si>
    <t>10588186000103
21780422000105
71424246000139
13267295000109
97468250000192
13391987000164</t>
  </si>
  <si>
    <t>criancas; populacao negra; indigena</t>
  </si>
  <si>
    <t>2022_MACAE_EVARISTO_572_01</t>
  </si>
  <si>
    <t>572</t>
  </si>
  <si>
    <t>Custeio para a elaboração do projeto para a implantação do Centro de Referência da Criança em Belo Horizonte;</t>
  </si>
  <si>
    <t>1000.14.243.127.2860.339039</t>
  </si>
  <si>
    <t>243</t>
  </si>
  <si>
    <t>Assistência à Criança e ao Adolescente</t>
  </si>
  <si>
    <t>2860</t>
  </si>
  <si>
    <t>Promoção, Proteção e Defesa de Direitos das Crianças, Adolescentes e suas Famílias</t>
  </si>
  <si>
    <t>BRASITUR EVENTOS E TURISMO LTDA</t>
  </si>
  <si>
    <t>23361387000107</t>
  </si>
  <si>
    <t>2022_MACAE_EVARISTO_790_01</t>
  </si>
  <si>
    <t>790</t>
  </si>
  <si>
    <t>Custeio para a execução do Projeto Mapeamento Participativo da condição das infâncias dos povos indígenas, quilombolas e ciganos de Belo Horizonte que envolve as comunidades e seus territórios com o Projeto TEIA - UNIVERSIDADE FEDERAL DE MINAS GERAIS, autarquia federal de regime especial, sediada na Avenida Presidente Antônio Carlos, nº 6.627, Pampulha, Belo Horizonte, Minas Gerais, CEP 31.270-901, inscrita no CNPJ sob o nº 17.217.985/0001-04, doravante denominada UFMG, por intermédio da Diretora da Faculdade de Educação, adiante denominada FaE, neste ato representada por sua Reitora, Professora Sandra Regina Goulart Almeida, portadora da Cl nº M-2.773.517, SSP/MG, e do CPF nº 452.170.336-49, brasileira, com interveniência da FUNDAÇÃO DE DESENVOLVIMENTO DA PESQUISA, fundação de direito privado, sediada na Avenida Presidente Antônio Carlos, nº 6.627, Unidade Administrativa II, Pampulha, Belo Horizonte, Minas Gerais, CEP 31.270-901, inscrita no CNPJ sob o nº 18.720.938/0001-41, neste ato representada por seu Presidente, Professor Jaime Arturo Ramírez, portador da CI nº MG-597.250 e do CPF nº 045.124.216-53, doravante denominada FUNDEP;</t>
  </si>
  <si>
    <t>1000.14.422.127.2386.339039</t>
  </si>
  <si>
    <t>populacao indigena; quilombolas; ciganos</t>
  </si>
  <si>
    <t>2022_MACAE_EVARISTO_791_01</t>
  </si>
  <si>
    <t>791</t>
  </si>
  <si>
    <t>Custeio para ação de educação integral pra crianças quilombolas - Escola Municipal Secretário Humberto Almeida;</t>
  </si>
  <si>
    <t>CAIXA ESCOLAR ESCOLA MUNICIPAL SEC HUMBERTO DE ALMEIDA</t>
  </si>
  <si>
    <t>00687828000160</t>
  </si>
  <si>
    <t>Escola Municipal Secretário Humberto Almeida</t>
  </si>
  <si>
    <t>criancas; quilombolas</t>
  </si>
  <si>
    <t>2022_MACAE_EVARISTO_792_01</t>
  </si>
  <si>
    <t>792</t>
  </si>
  <si>
    <t>Custeio para o programa "Arte na Saúde";</t>
  </si>
  <si>
    <t>2022_MACAE_EVARISTO_869_01</t>
  </si>
  <si>
    <t>869</t>
  </si>
  <si>
    <t>Aquisição de bens permanentes para Oficinas do Centro Cultural Usina da Cultura;</t>
  </si>
  <si>
    <t>ES LICITACOES REGIONAIS LTDA</t>
  </si>
  <si>
    <t>44506209000105</t>
  </si>
  <si>
    <t>2022_MACAE_EVARISTO_870_01</t>
  </si>
  <si>
    <t>870</t>
  </si>
  <si>
    <t>Aquisição de bens permanentes para Oficinas no Centro Cultural Salgado Filho;</t>
  </si>
  <si>
    <t>ES LICITACOES REGIONAIS LTDA
DKSA COMERCIAL LTDA</t>
  </si>
  <si>
    <t>44506209000105
28360435000166</t>
  </si>
  <si>
    <t>2022_MACAE_EVARISTO_871_01</t>
  </si>
  <si>
    <t>871</t>
  </si>
  <si>
    <t>Aquisição de bens permanentes para Oficinas do Centro Cultural Santa Rita;</t>
  </si>
  <si>
    <t>DKSA COMERCIAL LTDA
ES LICITACOES REGIONAIS LTDA</t>
  </si>
  <si>
    <t>28360435000166
44506209000105</t>
  </si>
  <si>
    <t>2022_MACAE_EVARISTO_872_01</t>
  </si>
  <si>
    <t>872</t>
  </si>
  <si>
    <t>Aquisição de bens permanentes para oficinas do Centro Cultural Padre Eustáquio;</t>
  </si>
  <si>
    <t>-ES LICITACOES REGIONAIS LTDA
DKSA COMERCIAL LTDA</t>
  </si>
  <si>
    <t>2022_MACAE_EVARISTO_873_01</t>
  </si>
  <si>
    <t>873</t>
  </si>
  <si>
    <t>Aquisição de bens permanentes para Oficinas do Centro Cultural Alto Vera Cruz;</t>
  </si>
  <si>
    <t>2022_MARCELA_TROPIA_740_01</t>
  </si>
  <si>
    <t>2022_MARCELA_TROPIA</t>
  </si>
  <si>
    <t>740</t>
  </si>
  <si>
    <t>Marcela Trópia</t>
  </si>
  <si>
    <t>Ao reforço de dotação orçamentária, com destinação de recursos para ASSOCIACAO DE APOIO RENOVATIO;</t>
  </si>
  <si>
    <t>2022_MARCELA_TROPIA_745_01</t>
  </si>
  <si>
    <t>745</t>
  </si>
  <si>
    <t>À revitalização do canteiro central, da Avenida Sebastião de Brito, no trecho entre a Avenida Cristiano Machado e a Rua Irmã Eufêmia, com extensão aproximada de 1420m, no Bairro Dona Clara;</t>
  </si>
  <si>
    <t>Avenida Sebastião de Brito, no trecho entre a Avenida Cristiano Machado e a Rua Irmã Eufêmia, com extensão aproximada de 1420m, no Bairro Dona Clara</t>
  </si>
  <si>
    <t>2022_MARCELA_TROPIA_865_01</t>
  </si>
  <si>
    <t>865</t>
  </si>
  <si>
    <t>Ao reforço de dotação orçamentária para desenvolvimento da subação Atendimento Oftalmológico para estudantes da Rede Pública de ensino Fundamental, Conforme Emenda ao PPAG;</t>
  </si>
  <si>
    <t>2302.10.301.157.2690.339036</t>
  </si>
  <si>
    <t>CENTRO OFTALMOLOGICO DE MINAS GERAIS S/A
ASSOCIACAO EVANGELICA BENEFICENTE DE MINAS GERAIS
FUNDACAO EDUCACIONAL LUCAS MACHADO FELUMA
ASSOCIACAO N M NUCLEO MEDICO
SANTA CASA DE MISERICORDIA DE BELO HORIZONTE</t>
  </si>
  <si>
    <t>17357641000109
17214743000167
17178203000680
04590335000168
17209891000193</t>
  </si>
  <si>
    <t>2022_MARCOS_CRISPIM_167_01</t>
  </si>
  <si>
    <t>2022_MARCOS_CRISPIM</t>
  </si>
  <si>
    <t>167</t>
  </si>
  <si>
    <t>Marcos Crispim</t>
  </si>
  <si>
    <t>PSC</t>
  </si>
  <si>
    <t>Destinação de recursos para a Associação de Cegos Santa Luzia, CNPJ 17.219.122/0001-76, para a execução de atividades socioassistenciais, de acordo com o disposto na Lei Federal nº 8.742/93, em consonância com a referida inscrição no Conselho Municipal de Assistência Social de Belo Horizonte – CMAS-BH;</t>
  </si>
  <si>
    <t>ASSOCIACAO DE CEGOS SANTA LUZIA</t>
  </si>
  <si>
    <t>17219122000176</t>
  </si>
  <si>
    <t>2022_MARCOS_CRISPIM_168_01</t>
  </si>
  <si>
    <t>168</t>
  </si>
  <si>
    <t>À destinação de recursos para Associação Comunitária Bento Dezesseis do Alto Vera Cruz;</t>
  </si>
  <si>
    <t>2022_MARCOS_CRISPIM_279_01</t>
  </si>
  <si>
    <t>279</t>
  </si>
  <si>
    <t>Destinação de recursos para a Fundação Oásis/ Projeto Casa das Vovós, CNPJ 01.030.958/0002-79, para a execução de atividades socioassistenciais, de acordo com o disposto na Lei Federal nº 8.742/93, em consonância com a referida inscrição no Conselho Municipal de Assistência Social de Belo Horizonte – CMAS-BH;</t>
  </si>
  <si>
    <t>1030958000279</t>
  </si>
  <si>
    <t>2022_MARCOS_CRISPIM_505_01</t>
  </si>
  <si>
    <t>505</t>
  </si>
  <si>
    <t>À destinação de recurso para implantação do Parque Ecológico na Bacia do Córrego Santa Terezinha, situado entre as Ruas Dinis Dias e São Vicente com Beco Ligação, no bairro Alto Vera Cruz, na Região Leste de Belo Horizonte;</t>
  </si>
  <si>
    <t>2700.1100.18.541.233.2.811.449051</t>
  </si>
  <si>
    <t>A P BRAGA ENGENHARIA E COMERCIO LTDA</t>
  </si>
  <si>
    <t>Parque Ecológico na Bacia do Córrego Santa Terezinha, situado entre as Ruas Dinis Dias e São Vicente com Beco Ligação, no bairro Alto Vera Cruz, na Região Leste de Belo Horizonte</t>
  </si>
  <si>
    <t>2022_MARCOS_CRISPIM_568_01</t>
  </si>
  <si>
    <t>568</t>
  </si>
  <si>
    <t>Em Execução</t>
  </si>
  <si>
    <t>Ao reforço de dotação orçamentária para o projeto de rede de drenagem no Beco Caim, confluência à Rua Fernão Dias, n. 1094, entre as Ruas Leopoldo Gomes e Tebas;</t>
  </si>
  <si>
    <t>AMERICA LATINA ENGENHARIA EIRELI
AMERICA LATINA ENGENHARIA EIRELI
AMERICA LATINA ENGENHARIA EIRELI</t>
  </si>
  <si>
    <t>10568340000177
10568340000177
10568340000177</t>
  </si>
  <si>
    <t>Beco Caim, confluência à Rua Fernão Dias, n. 1094, entre as Ruas Leopoldo Gomes e Tebas</t>
  </si>
  <si>
    <t>2022_MARCOS_CRISPIM_581_01</t>
  </si>
  <si>
    <t>581</t>
  </si>
  <si>
    <t>Ao reforço de dotação orçamentária para melhoria do atendimento do centro de saúde, situado na Rua General Osório, nº 959 - bairro Alto Vera Cruz;</t>
  </si>
  <si>
    <t>IGM COMERCIO VAREJISTA DE PECAS E ACESSORIOS PARA VEICULOS LTDA
IGM COMERCIO VAREJISTA DE PECAS E ACESSORIOS PARA VEICULOS LTDA
IGM COMERCIO VAREJISTA DE PECAS E ACESSORIOS PARA VEICULOS LTDA
COMERCIAL SILVESTRE LTDA
MICROFORT INFORMATICA LTDA.
DI BENTO COMERCIO E SERVICOS LTDA.
DRIVE A INFORMATICA LTDA</t>
  </si>
  <si>
    <t>23140085000109
23140085000109
23140085000109
41823463000130
24675507000103
14238297000132
00677870000108</t>
  </si>
  <si>
    <t>Rua General Osório, nº 959 - bairro Alto Vera Cruz</t>
  </si>
  <si>
    <t>centro de saúde, situado na Rua General Osório, nº 959 - bairro Alto Vera Cruz</t>
  </si>
  <si>
    <t>2022_MARCOS_CRISPIM_587_01</t>
  </si>
  <si>
    <t>587</t>
  </si>
  <si>
    <t>Ao reforço de dotação orçamentária para melhoria do atendimento do Centro de Saúde Granja de Freitas, situado na Rua São Vicente, nº 405 - Bairro Granja de Freitas;</t>
  </si>
  <si>
    <t>2302.10.301.157.2902.456783</t>
  </si>
  <si>
    <t>456783</t>
  </si>
  <si>
    <t>Inversões financeiras</t>
  </si>
  <si>
    <t>Rua São Vicente, nº 405 - Bairro Granja de Freitas</t>
  </si>
  <si>
    <t>Centro de Saúde Granja de Freitas, situado na Rua São Vicente, nº 405 - Bairro Granja de Freitas</t>
  </si>
  <si>
    <t>2022_MARCOS_CRISPIM_610_01</t>
  </si>
  <si>
    <t>610</t>
  </si>
  <si>
    <t>Ao reforço de dotação orçamentária para melhoria do atendimento do Centro de Saúde Taquaril, situado na Rua Desembargador Bráulio, nº 2200 - bairro Taquaril;</t>
  </si>
  <si>
    <t>COMERCIAL SILVESTRE LTDA
DRIVE A INFORMATICA LTDA
DRIVE A INFORMATICA LTDA
ALFA MED SISTEMAS MEDICOS LTDA</t>
  </si>
  <si>
    <t>41823463000130
00677870000108
00677870000108
11405384000149</t>
  </si>
  <si>
    <t>Rua Desembargador Bráulio, nº 2200 - bairro Taquaril</t>
  </si>
  <si>
    <t>Centro de Saúde Taquaril, situado na Rua Desembargador Bráulio, nº 2200 - bairro Taquaril</t>
  </si>
  <si>
    <t>2022_MARILDA_PORTELA_509_01</t>
  </si>
  <si>
    <t>2022_MARILDA_PORTELA</t>
  </si>
  <si>
    <t>509</t>
  </si>
  <si>
    <t>Marilda Portela</t>
  </si>
  <si>
    <t>Apoio e fomento ao turismo religioso no município de Belo Horizonte com a subvenção para a realização do Evento Marcha para Jesus de acordo com a subação: Apoio e subvenção ao desenvolvimento do turismo religioso com a realização da Marcha para Jesus;</t>
  </si>
  <si>
    <t>2022_MARILDA_PORTELA_510_01</t>
  </si>
  <si>
    <t>510</t>
  </si>
  <si>
    <t>Destinação de recursos para a Agência Adventista de Desenvolvimento e Recursos Assistenciais Sudeste Brasileira - ADRA, CNPJ 16.524.054/0002-77, para a execução de atividades socioassistenciais, de acordo com o disposto na Lei Federal nº 8.742/93, em consonância com a referida inscrição no Conselho Municipal de Assistência Social de Belo Horizonte – CMAS-BH;</t>
  </si>
  <si>
    <t>Agencia Adventista de Desenvolvimento e Recursos Assistenciais Sudeste Brasileira</t>
  </si>
  <si>
    <t>16524054000277</t>
  </si>
  <si>
    <t>2022_MARILDA_PORTELA_511_01</t>
  </si>
  <si>
    <t>511</t>
  </si>
  <si>
    <t>Ao reforço de dotação orçamentária na subação 0001 - Atendimento da População na Rede Hospitalar, com destinação à Associação Evangélica Beneficente de Minas Gerais - AEBMG;</t>
  </si>
  <si>
    <t>Associação Evangélica Beneficente de Minas Gerais - AEBMG</t>
  </si>
  <si>
    <t>2022_MARILDA_PORTELA_512_01</t>
  </si>
  <si>
    <t>512</t>
  </si>
  <si>
    <t>Ao reforço de dotação orçamentária na subação 0001 - Atendimento da População na Rede Hospitalar, com destinação à Associação Beneficente Paulo de Tarso;</t>
  </si>
  <si>
    <t>2022_MARILDA_PORTELA_513_01</t>
  </si>
  <si>
    <t>513</t>
  </si>
  <si>
    <t>Ao reforço de dotação orçamentária na subação 0001 - Atendimento da População na Hospitalar, com destinação à Fundação Hospitalar São Francisco de Assis;</t>
  </si>
  <si>
    <t>FUNDACAO HOSPITALAR SAO FRANCISCO DE ASSIS - FHSFA</t>
  </si>
  <si>
    <t>13025354000132</t>
  </si>
  <si>
    <t>2022_MARILDA_PORTELA_514_01</t>
  </si>
  <si>
    <t>514</t>
  </si>
  <si>
    <t>Ao reforço de dotação orçamentária na subação 0001 - Atendimento da População na Hospitalar, com destinação à Santa Casa de Misericórdia de Belo Horizonte;</t>
  </si>
  <si>
    <t>2022_MARILDA_PORTELA_515_01</t>
  </si>
  <si>
    <t>515</t>
  </si>
  <si>
    <t>Ao reforço de dotação orçamentária da subação 0001 - ATENDIMENTO DA POPULAÇÃO NA ATENÇÃO PRIMÁRIA À SAÚDE - para o Centro de Saúde Jardim Felicidade;</t>
  </si>
  <si>
    <t>ATMOSFERA GESTAO E HIGIENIZACAO DE TEXTEIS S.A.
WHITE MARTINS GASES INDUSTRIAIS LTDA
MGS MINAS GERAIS ADMINISTRACAO E SERVICOS SA</t>
  </si>
  <si>
    <t>00886257000605
35820448003070
33224254000142</t>
  </si>
  <si>
    <t>Centro de Saúde Jardim Felicidade</t>
  </si>
  <si>
    <t>2022_MARILDA_PORTELA_516_01</t>
  </si>
  <si>
    <t>516</t>
  </si>
  <si>
    <t>Ao reforço de dotação orçamentária da subação 0001 - ATENDIMENTO DA POPULAÇÃO NA ATENÇÃO PRIMÁRIA À SAÚDE - para o Centro de Saúde Primeiro de Maio;</t>
  </si>
  <si>
    <t>MGS MINAS GERAIS ADMINISTRACAO E SERVICOS SA</t>
  </si>
  <si>
    <t>33224254000142</t>
  </si>
  <si>
    <t>Centro de Saúde Primeiro de Maio</t>
  </si>
  <si>
    <t>2022_MARILDA_PORTELA_517_01</t>
  </si>
  <si>
    <t>517</t>
  </si>
  <si>
    <t>Ao reforço de dotação orçamentária para subação 0003 - HOSPITAL METROPOLITANO ODILON BEHRENS - a ser aplicado no Hospital Nossa Senhora Aparecida;</t>
  </si>
  <si>
    <t>Hospital Nossa Senhora Aparecida</t>
  </si>
  <si>
    <t>2022_MARILDA_PORTELA_518_01</t>
  </si>
  <si>
    <t>518</t>
  </si>
  <si>
    <t>Ao reforço de dotação orçamentária da subação 0001 - Apoio às Ações de Políticas sobre Drogas;</t>
  </si>
  <si>
    <t>2022_MARILDA_PORTELA_519_01</t>
  </si>
  <si>
    <t>519</t>
  </si>
  <si>
    <t>Para o Projeto de Vestiários da Guarda Municipal;</t>
  </si>
  <si>
    <t>COBRAPE   COMPANHIA BRASILEIRA DE PROJETOS E EMPREENDIMENTOS
COBRAPE   COMPANHIA BRASILEIRA DE PROJETOS E EMPREENDIMENTOS
COBRAPE   COMPANHIA BRASILEIRA DE PROJETOS E EMPREENDIMENTOS
COBRAPE   COMPANHIA BRASILEIRA DE PROJETOS E EMPREENDIMENTOS</t>
  </si>
  <si>
    <t>58645219000390
58645219000390
58645219000390
58645219000390</t>
  </si>
  <si>
    <t>2022_MARILDA_PORTELA_520_01</t>
  </si>
  <si>
    <t>520</t>
  </si>
  <si>
    <t>Para Projeto de Demolição de Caixa d'Água para Sociedade dos Surdos de BH;</t>
  </si>
  <si>
    <t>2022_MARILDA_PORTELA_521_01</t>
  </si>
  <si>
    <t>521</t>
  </si>
  <si>
    <t>Para Obra de Demolição de Caixa d'Água para Sociedade dos Surdos de BH;</t>
  </si>
  <si>
    <t>BH OBRAS CONSTRUTORA LTDA</t>
  </si>
  <si>
    <t>17082836000185</t>
  </si>
  <si>
    <t>2022_MARILDA_PORTELA_522_01</t>
  </si>
  <si>
    <t>522</t>
  </si>
  <si>
    <t>Ao reforço de dotação orçamentária para incremento da manutenção e pequenas reformas que não necessitem de projeto para a Escola Municipal de Ensino Infantil Monte Azul;</t>
  </si>
  <si>
    <t>CAIXA ESCOLAR DA ESCOLA MUNICIPAL DE EDUCACAO INFANTIL MONTE AZUL</t>
  </si>
  <si>
    <t>32846416000111</t>
  </si>
  <si>
    <t>Escola Municipal de Ensino Infantil Monte Azul</t>
  </si>
  <si>
    <t>2022_MARILDA_PORTELA_523_01</t>
  </si>
  <si>
    <t>523</t>
  </si>
  <si>
    <t>Ao reforço de dotação orçamentária para incremento da subação 0003 - Aquisição de equipamentos tecnológicos para as escolas para a Escola Municipal Jardim Felicidade;</t>
  </si>
  <si>
    <t>2200.12.361.168.2926.449052</t>
  </si>
  <si>
    <t>LIDER NOTEBOOKS COMERCIO E SERVICOS LTDA</t>
  </si>
  <si>
    <t>12477490000281</t>
  </si>
  <si>
    <t>Escola Municipal Jardim Felicidade</t>
  </si>
  <si>
    <t>2022_MARILDA_PORTELA_524_01</t>
  </si>
  <si>
    <t>524</t>
  </si>
  <si>
    <t>Ao reforço de dotação orçamentária 0012 - Hospital Metropolitano Doutor Célio de Castro;</t>
  </si>
  <si>
    <t>2022_MARILDA_PORTELA_525_01</t>
  </si>
  <si>
    <t>525</t>
  </si>
  <si>
    <t>Destinação de recursos para a Fraternidade Espirita Nosso Pequeno Lar, CNPJ 08.698.985/0001-82, para a execução de atividades socioassistenciais, de acordo com o disposto na Lei Federal nº 8.742/93, em consonância com a referida inscrição no Conselho Municipal de Assistência Social de Belo Horizonte – CMAS-BH;</t>
  </si>
  <si>
    <t>FRATERNIDADE ESPIRITA NOSSO PEQUENO LAR</t>
  </si>
  <si>
    <t>08698985000182</t>
  </si>
  <si>
    <t>2022_MARILDA_PORTELA_526_01</t>
  </si>
  <si>
    <t>526</t>
  </si>
  <si>
    <t>Ao reforço de dotação orçamentária 0008 - PREVENÇÃO À VIOLÊNCIA NAS ESCOLAS MUNICIPAIS DE BELO HORIZONTE - para aluguel de motos para o policiamento nas escolas;</t>
  </si>
  <si>
    <t>LOCADORA DE VEICULOS APOLO LTDA
LOCADORA DE VEICULOS APOLO LTDA</t>
  </si>
  <si>
    <t>14810511000183
14810511000183</t>
  </si>
  <si>
    <t>1211</t>
  </si>
  <si>
    <t>2022_MILTINHO_CGE_654_01</t>
  </si>
  <si>
    <t>2022_MILTINHO_CGE</t>
  </si>
  <si>
    <t>654</t>
  </si>
  <si>
    <t>Miltinho CGE</t>
  </si>
  <si>
    <t>Ao reforço de dotação orçamentária para construção e reforma em recintos dos animais do Jardim Zoológico de Belo Horizonte, de acordo com a subação 0001 - construção, ampliação e reforma de praças, parques e canteiros;</t>
  </si>
  <si>
    <t>20472544000163</t>
  </si>
  <si>
    <t>Jardim Zoológico de Belo Horizonte</t>
  </si>
  <si>
    <t>2022_MILTINHO_CGE_655_01</t>
  </si>
  <si>
    <t>655</t>
  </si>
  <si>
    <t>Locação / aluguel de veículos para operacionalização de serviços para promoção de ações preventivas contra crimes ambientais, de acordo com a subação 0012 - promoção de ações preventivas contra crimes ambientais urbanos;</t>
  </si>
  <si>
    <t>ESTRELA LOGISTICA LTDA</t>
  </si>
  <si>
    <t>04309564000161</t>
  </si>
  <si>
    <t>0700</t>
  </si>
  <si>
    <t>2022_MILTINHO_CGE_656_01</t>
  </si>
  <si>
    <t>656</t>
  </si>
  <si>
    <t>Ao reforço de dotação orçamentária para contratação de serviços de restauração, de acordo com a subação 0012 - promoção de ações preventivas contra crimes ambientais urbanos;</t>
  </si>
  <si>
    <t>FERRAGENS FAVORITA LTDA</t>
  </si>
  <si>
    <t>00242692000184</t>
  </si>
  <si>
    <t>2022_MILTINHO_CGE_657_01</t>
  </si>
  <si>
    <t>657</t>
  </si>
  <si>
    <t>Ao reforço de dotação orçamentária para as áreas de veterinária, nutrição e bem estar do animais do Jardim Zoológico e demandas relacionadas, de acordo com a subação 0001 - Gerenciamento do Jardim Zoológico e do seu Acervo;</t>
  </si>
  <si>
    <t>2505.18.541.073.2580.339030</t>
  </si>
  <si>
    <t>2580</t>
  </si>
  <si>
    <t>Conservação e Manejo do Acervo Faunístico</t>
  </si>
  <si>
    <t>ROSILAN COMERCIO E LICITACOES LTDA
IZARRON COMERCIO DE PRODUTOS AGROPECUARIOS LTDA.   ME
REAL AGROVETERINARIA LTDA
IZARRON COMERCIO DE PRODUTOS AGROPECUARIOS LTDA.   ME
LICITAVET COMERCIAL LTDA</t>
  </si>
  <si>
    <t>21767486000168
04434801000116
01824682000110
04434801000116
09483617000180</t>
  </si>
  <si>
    <t xml:space="preserve"> Jardim Zoológico</t>
  </si>
  <si>
    <t>2022_MILTINHO_CGE_658_01</t>
  </si>
  <si>
    <t>658</t>
  </si>
  <si>
    <t>Ao reforço de dotação orçamentária para o programa de sistema de informação e sinalização educativa e orientativa para a área do Jardim Zoológico de Belo Horizonte, de acordo com a subação 0002 - desenvolvimento de material educativo e de comunicação;</t>
  </si>
  <si>
    <t>2505.18.541.073.2817.339039</t>
  </si>
  <si>
    <t>2817</t>
  </si>
  <si>
    <t>Educação Ambiental e Promoção de Eventos</t>
  </si>
  <si>
    <t>D LENZI COMERCIO ATACADISTA E VAREJISTA DE EQUIPAMENTOS   EIRELI</t>
  </si>
  <si>
    <t>13416794000110</t>
  </si>
  <si>
    <t>2022_MILTINHO_CGE_659_01</t>
  </si>
  <si>
    <t>659</t>
  </si>
  <si>
    <t>Aquisição de equipamento de Raio X, de acordo com a subação 0009 - realização de ações para atendimento médico veterinário à comunidade de baixa renda;</t>
  </si>
  <si>
    <t>2500.18.542.306.2877.449052</t>
  </si>
  <si>
    <t>2022_MILTINHO_CGE_660_01</t>
  </si>
  <si>
    <t>660</t>
  </si>
  <si>
    <t>Aquisição de equipamento de aparelho de ultrassonografia, de acordo com a subação 0009 - realização de ações para atendimento médico veterinário à comunidade de baixa renda;</t>
  </si>
  <si>
    <t>2022_MILTINHO_CGE_661_01</t>
  </si>
  <si>
    <t>661</t>
  </si>
  <si>
    <t>Ao reforço de dotação orçamentária para a realização do serviço de cirurgias veterinárias, de acordo com a subação 0009 - realização de ações para atendimento médico veterinário à comunidade de baixa renda;</t>
  </si>
  <si>
    <t>2022_MILTINHO_CGE_662_01</t>
  </si>
  <si>
    <t>662</t>
  </si>
  <si>
    <t>Ao reforço orçamentário para aquisição de equipamentos de proteção individual (EPIs), de acordo com a subação 0012 - promoção de ações preventivas contra crimes ambientais urbanos;</t>
  </si>
  <si>
    <t>2302.10.305.028.2829.339039</t>
  </si>
  <si>
    <t>305</t>
  </si>
  <si>
    <t>Vigilância Epidemiológica</t>
  </si>
  <si>
    <t>MAQNETE COMERCIO E SERVICOS EIRELI   EPP</t>
  </si>
  <si>
    <t>2022_MILTINHO_CGE_663_01</t>
  </si>
  <si>
    <t>663</t>
  </si>
  <si>
    <t>reforço orçamentário para o serviço de esterilização de animais, em especial para tutores de baixa renda, de acordo com a subação criada no PPAG: esterilização de cães e gatos para controle de zoonoses (castração);</t>
  </si>
  <si>
    <t>REAL AGROVETERINARIA LTDA
REAL AGROVETERINARIA LTDA
SUPRAMIL COMERCIAL LTDA
SUPRAMIL COMERCIAL LTDA</t>
  </si>
  <si>
    <t>01824682000110 01824682000110
11262969000157
11262969000157</t>
  </si>
  <si>
    <t>2022_MILTINHO_CGE_664_01</t>
  </si>
  <si>
    <t>664</t>
  </si>
  <si>
    <t>Ao reforço orçamentário para custeio das ações de serviço da zoonose, sendo primeiramente, para o acréscimo de pontos de telefonia na zoonose e também para a melhoria do espaço na Universidade Federal de Minas Gerais para recebimento de cavalos em baias e serviço de esterilização de animais domésticos em situação de rua, sendo cães e gatos;</t>
  </si>
  <si>
    <t>2022_MILTINHO_CGE_665_01</t>
  </si>
  <si>
    <t>665</t>
  </si>
  <si>
    <t>reforço orçamentário para o serviço de esterilização de animais, em especial para tutores de baixa renda, de acordo com a subação criada no PPAG esterilização de cães e gatos para controle de zoonoses (castração), destinado à instituição Instituto Resgate Animal Rio Arruda;</t>
  </si>
  <si>
    <t>2022_MILTINHO_CGE_666_01</t>
  </si>
  <si>
    <t>666</t>
  </si>
  <si>
    <t>Reforço orçamentário para o serviço de esterilização de animais, em especial para tutores de baixa renda, de acordo com a subação criada no PPAG esterilização de cães e gatos para controle de zoonoses (castração), destinado à instituição Associação Brigada dos Animais sem Teto;</t>
  </si>
  <si>
    <t>2022_MILTINHO_CGE_667_01</t>
  </si>
  <si>
    <t>667</t>
  </si>
  <si>
    <t>Reforço orçamentário para o Hospital da Baleia, de acordo com a subação 0001 - Atendimento da População;</t>
  </si>
  <si>
    <t>2022_MILTINHO_CGE_668_01</t>
  </si>
  <si>
    <t>668</t>
  </si>
  <si>
    <t>Reforço orçamentário para o Hospital Santa Casa de Misericórdia, de acordo com a subação 0001 - Atendimento da População;</t>
  </si>
  <si>
    <t>Santa Casa de Misericórdia</t>
  </si>
  <si>
    <t>2022_MILTINHO_CGE_669_01</t>
  </si>
  <si>
    <t>669</t>
  </si>
  <si>
    <t>Reforço orçamentário para o Hospital Infantil João Paulo II, de acordo com a subação 0001 - Atendimento da População na Rede Hospitalar;</t>
  </si>
  <si>
    <t>19843929001506</t>
  </si>
  <si>
    <t>Hospital Infantil João Paulo II</t>
  </si>
  <si>
    <t>2022_MILTINHO_CGE_670_01</t>
  </si>
  <si>
    <t>670</t>
  </si>
  <si>
    <t>Reforço orçamentário para financiamento da contraprestação ao Centro de Saúde João Vital - Anexo Vila Maria, de acordo com a subação 0001 - Atendimento da População;</t>
  </si>
  <si>
    <t>Centro de Saúde João Vital - Anexo Vila Maria</t>
  </si>
  <si>
    <t>2022_MILTINHO_CGE_671_01</t>
  </si>
  <si>
    <t>671</t>
  </si>
  <si>
    <t>reforço orçamentário para o Centro de Saúde Paraíso, de acordo coma a subação 0001 - Atendimento da População na Atenção Primária à Saúde;</t>
  </si>
  <si>
    <t>IGM COMERCIO VAREJISTA DE PECAS E ACESSORIOS PARA VEICULOS LTDA
IGM COMERCIO VAREJISTA DE PECAS E ACESSORIOS PARA VEICULOS LTDA
ALFA MED SISTEMAS MEDICOS LTDA
MICROFORT INFORMATICA LTDA.</t>
  </si>
  <si>
    <t>23140085000109
23140085000109
11405384000149
24675507000103</t>
  </si>
  <si>
    <t>Centro de Saúde Paraíso</t>
  </si>
  <si>
    <t>2022_MILTINHO_CGE_672_01</t>
  </si>
  <si>
    <t>672</t>
  </si>
  <si>
    <t>reforço orçamentário para o Centro de Saúde Pompéia, de acordo coma a subação 0001 - Atendimento da População na Atenção Primária à Saúde;</t>
  </si>
  <si>
    <t>IGM COMERCIO VAREJISTA DE PECAS E ACESSORIOS PARA VEICULOS LTDA
DRIVE A INFORMATICA LTDA
IGM COMERCIO VAREJISTA DE PECAS E ACESSORIOS PARA VEICULOS LTDA
DI BENTO COMERCIO E SERVICOS LTDA.</t>
  </si>
  <si>
    <t>23140085000109
00677870000108
23140085000109
14238297000132</t>
  </si>
  <si>
    <t>2022_MILTINHO_CGE_673_01</t>
  </si>
  <si>
    <t>673</t>
  </si>
  <si>
    <t>Reforço orçamentário para o Centro de Saúde Cabana, de acordo com a subação 0001 - Atendimento da População na Atenção Primária à Saúde;</t>
  </si>
  <si>
    <t>Centro de Saúde Cabana</t>
  </si>
  <si>
    <t>2022_MILTINHO_CGE_676_01</t>
  </si>
  <si>
    <t>676</t>
  </si>
  <si>
    <t>reforço orçamentário para o Centro de Saúde Alto Vera Cruz, de acordo coma a subação 001 Atendimento da População;</t>
  </si>
  <si>
    <t>Centro de Saúde Alto Vera Cruz</t>
  </si>
  <si>
    <t>2022_MILTINHO_CGE_677_01</t>
  </si>
  <si>
    <t>677</t>
  </si>
  <si>
    <t>Destinação de recursos para a Associação Unificada de Recuperação e Apoio Aura CNPJ 02.471.591/0001-00, para a execução de atividades socioassistenciais, de acordo com o disposto na Lei Federal nº 8.742/93, em consonância com a referida inscrição no Conselho Municipal de Assistência Social de Belo Horizonte – CMAS-BH;</t>
  </si>
  <si>
    <t>ASSOCIAÇÃO UNIFICADA DE RECUPERAÇÃO E APOIO AURA</t>
  </si>
  <si>
    <t>02471591000100</t>
  </si>
  <si>
    <t>2022_NELY_AQUINO_148_01</t>
  </si>
  <si>
    <t>2022_NELY_AQUINO</t>
  </si>
  <si>
    <t>148</t>
  </si>
  <si>
    <t>Nely Aquino</t>
  </si>
  <si>
    <t>PODE</t>
  </si>
  <si>
    <t>Destinação de recursos para a Ação Solidária às Pessoas com Câncer - ASPEC, CNPJ 15.251.909/0001-90, para a execução de atividades socioassistenciais, de acordo com o disposto na Lei Federal nº 8.742/93, em consonância com a referida inscrição no Conselho Municipal de Assistência Social de Belo Horizonte – CMAS-BH;</t>
  </si>
  <si>
    <t>ACAO SOLIDARIA AS PESSOAS COM CANCER ASPEC</t>
  </si>
  <si>
    <t>15251909000190</t>
  </si>
  <si>
    <t>2022_NELY_AQUINO_180_01</t>
  </si>
  <si>
    <t>180</t>
  </si>
  <si>
    <t>Destinação de recursos para a Creche Arco-Íris (Associação Solidária Isabel Maria Werneck), 08.677.681/0001-39, para a execução de atividades socioassistenciais, de acordo com o disposto na Lei Federal nº 8.742/93, em consonância com a referida inscrição no Conselho Municipal de Assistência Social de Belo Horizonte – CMAS-BH;</t>
  </si>
  <si>
    <t>ASSOCIACAO SOLIDARIA ISABEL MARIA WERNECK</t>
  </si>
  <si>
    <t>8677681000139</t>
  </si>
  <si>
    <t>Creche Arco-Íris (Associação Solidária Isabel Maria Werneck</t>
  </si>
  <si>
    <t>2022_NELY_AQUINO_408_01</t>
  </si>
  <si>
    <t>408</t>
  </si>
  <si>
    <t>Ao reforço da dotação orçamentária com destinação de recursos para a EMEI JULIANA, localizada na rua da Galeria, 1130 - Juliana, dentro da subação 0001. O recurso será utilizado para a colocação de toldos;</t>
  </si>
  <si>
    <t>CAIXA ESCOLAR DA ESCOLA MUNICIPAL DE EDUCACAO INFANTIL JULIANA</t>
  </si>
  <si>
    <t>32672692000100</t>
  </si>
  <si>
    <t xml:space="preserve"> rua da Galeria, 1130 - Juliana</t>
  </si>
  <si>
    <t>EMEI JULIANA, localizada na rua da Galeria, 1130 - Juliana</t>
  </si>
  <si>
    <t>2022_NELY_AQUINO_410_01</t>
  </si>
  <si>
    <t>410</t>
  </si>
  <si>
    <t>Ao reforço da dotação orçamentária com destinação de recursos à construção do Parque Madri, plano de obra 0053, VN 4 - S - URB -11 - Várzea da Palma, dentro da subação 0001;</t>
  </si>
  <si>
    <t>2700.1100.17.512.225.1.231.449051</t>
  </si>
  <si>
    <t>17</t>
  </si>
  <si>
    <t>Saneamento</t>
  </si>
  <si>
    <t>Saneamento Básico Urbano</t>
  </si>
  <si>
    <t>Parque Madri</t>
  </si>
  <si>
    <t>2022_NELY_AQUINO_411_01</t>
  </si>
  <si>
    <t>411</t>
  </si>
  <si>
    <t>Ao reforço da dotação orçamentária, com destinação de recursos ao Centro de Saúde Céu Azul, a ser utilizado para pequenas reformas, dentro da subação 0001;</t>
  </si>
  <si>
    <t>CONSTRUTORA SINARCO LTDA</t>
  </si>
  <si>
    <t>3367118000140</t>
  </si>
  <si>
    <t>Centro de Saúde Céu Azul</t>
  </si>
  <si>
    <t>2022_NELY_AQUINO_425_01</t>
  </si>
  <si>
    <t>425</t>
  </si>
  <si>
    <t>Ao reforço da dotação orçamentária com destinação de recursos para o Hospital Santa Casa de Misericórdia de BH;</t>
  </si>
  <si>
    <t>Santa Casa de Misericórdia de BH</t>
  </si>
  <si>
    <t>2022_NELY_AQUINO_429_01</t>
  </si>
  <si>
    <t>429</t>
  </si>
  <si>
    <t>Ao reforço da dotação orçamentária com destinação de recursos para o Hospital Madre Teresa;</t>
  </si>
  <si>
    <t>Hospital Madre Teresa</t>
  </si>
  <si>
    <t>2022_NELY_AQUINO_431_01</t>
  </si>
  <si>
    <t>431</t>
  </si>
  <si>
    <t>Ao reforço da dotação orçamentária com destinação de recursos para o Hospital Mário CNPJ 17.513.235/0001-80, dentro da subação 1;</t>
  </si>
  <si>
    <t>Associacao Mario Penna Cancelado A Pedido da Entidade</t>
  </si>
  <si>
    <t>17513235000260</t>
  </si>
  <si>
    <t>Hospital Mário CNPJ 17.513.235/0001-80</t>
  </si>
  <si>
    <t>2022_NELY_AQUINO_434_01</t>
  </si>
  <si>
    <t>434</t>
  </si>
  <si>
    <t>Destinação de recursos para a Orquestra Escola Criarte, CNPJ 05.705.962/0001-60, para a execução de atividades socioassistenciais, de acordo com o disposto na Lei Federal nº 8.742/93, em consonância com a referida inscrição no Conselho Municipal de Assistência Social de Belo Horizonte – CMAS-BH;</t>
  </si>
  <si>
    <t>ORQUESTRA ESCOLA CRIARTE</t>
  </si>
  <si>
    <t>5705962000160</t>
  </si>
  <si>
    <t>2022_NELY_AQUINO_435_01</t>
  </si>
  <si>
    <t>435</t>
  </si>
  <si>
    <t>Ao reforço da dotação orçamentária com destinação de recursos ao Hospital Municipal Od. Behrens, localizado na R. Formiga, 50 - São Cristóvão, Belo Horizonte - MG, 31110-430, da subação 0004;</t>
  </si>
  <si>
    <t>R. Formiga, 50 - São Cristóvão, Belo Horizonte - MG, 31110-430</t>
  </si>
  <si>
    <t>Hospital Municipal Od. Behrens, localizado na R. Formiga, 50 - São Cristóvão, Belo Horizonte - MG, 31110-430</t>
  </si>
  <si>
    <t>2022_NELY_AQUINO_436_01</t>
  </si>
  <si>
    <t>436</t>
  </si>
  <si>
    <t>Destinação de recursos para a Ação Solidária às Pessoas com Câncer, para a execução de atividades socioassistenciais, de acordo com o disposto na Lei Federal nº 8.742/93, em consonância com a referida inscrição no Conselho Municipal de Assistência Social de Belo Horizonte – CMAS-BH;</t>
  </si>
  <si>
    <t>2022_NELY_AQUINO_727_01</t>
  </si>
  <si>
    <t>727</t>
  </si>
  <si>
    <t>2022_NELY_AQUINO_731_01</t>
  </si>
  <si>
    <t>731</t>
  </si>
  <si>
    <t>Destinação de recursos para o Lar Escola Terezinha Delamare, CNPJ 16.839.839/0002-39, para a execução de atividades socioassistenciais, de acordo com o disposto na Lei Federal nº 8.742/93, em consonância com a referida inscrição no Conselho Municipal de Assistência Social de Belo Horizonte – CMAS-BH;</t>
  </si>
  <si>
    <t>FUNDACAO ESPIRITA CARITA</t>
  </si>
  <si>
    <t>16839839000239</t>
  </si>
  <si>
    <t xml:space="preserve"> Lar Escola Terezinha Delamare</t>
  </si>
  <si>
    <t>2022_NELY_AQUINO_749_01</t>
  </si>
  <si>
    <t>749</t>
  </si>
  <si>
    <t>2022_NELY_AQUINO_758_01</t>
  </si>
  <si>
    <t>758</t>
  </si>
  <si>
    <t>Ao reforço da dotação orçamentária com destinação de recursos ao Hospital da Baleia, 17.200.429/0001-25, dentro da subação 1;</t>
  </si>
  <si>
    <t>FUNDACAO BENJAMIN GUIMARAES
FUNDACAO BENJAMIN GUIMARAES</t>
  </si>
  <si>
    <t>17200429000125
17200429000125</t>
  </si>
  <si>
    <t>2022_NELY_AQUINO_764_01</t>
  </si>
  <si>
    <t>764</t>
  </si>
  <si>
    <t>Ao reforço da dotação orçamentária com destinação de recursos ao Hospital Sofia Feldman, CNPJ 25.459.256/0001-92, dentro da subação 1;</t>
  </si>
  <si>
    <t>2022_NIKOLAS_FERREIRA_491_01</t>
  </si>
  <si>
    <t>2022_NIKOLAS_FERREIRA</t>
  </si>
  <si>
    <t>491</t>
  </si>
  <si>
    <t>Nikolas Ferreira</t>
  </si>
  <si>
    <t>PRTB</t>
  </si>
  <si>
    <t>À compra de materiais de consumo para o Centro de Saúde Cabana, localizado na Rua Centro Social, 536 - Cabana, com a finalidade de custeio para aquisição de insumos hospitalares;</t>
  </si>
  <si>
    <t>DCB DISTRIBUIDORA CIRURGICA BRASILEIRA LTDA
SP HEALTH INDUSTRIA E COMERCIO LTDA
BIOHOSP PRODUTOS HOSPITALARES SA
BIOHOSP PRODUTOS HOSPITALARES SA
BIOHOSP PRODUTOS HOSPITALARES SA
BIOHOSP PRODUTOS HOSPITALARES SA
NSA DISTRIBUIDORA DE MEDICAMENTOS LTDA
GLOBAL HOSPITALAR IMPORTACAO E COMERCIO SA</t>
  </si>
  <si>
    <t>Rua Centro Social, 536 - Cabana</t>
  </si>
  <si>
    <t>Centro de Saúde Cabana, localizado na Rua Centro Social, 536 - Cabana</t>
  </si>
  <si>
    <t>2022_NIKOLAS_FERREIRA_492_01</t>
  </si>
  <si>
    <t>492</t>
  </si>
  <si>
    <t>À compra de materiais de consumo para o Centro de Saúde Vila Imperial, localizado na Rua Guilherme Pinto da Fonseca, 350 - Me. Gertrudes, com a finalidade de custeio para aquisição de insumos hospitalares;</t>
  </si>
  <si>
    <t>Rua Guilherme Pinto da Fonseca, 350 - Me. Gertrudes</t>
  </si>
  <si>
    <t>Centro de Saúde Vila Imperial, localizado na Rua Guilherme Pinto da Fonseca, 350 - Me. Gertrudes</t>
  </si>
  <si>
    <t>2022_NIKOLAS_FERREIRA_494_01</t>
  </si>
  <si>
    <t>494</t>
  </si>
  <si>
    <t>À compra de materiais de consumo para o Centro de Saúde Vista Alegre, localizado na Rua Sêneca, 9 - Nova Cintra, com a finalidade de custeio para aquisição de insumos hospitalares;</t>
  </si>
  <si>
    <t>DCB DISTRIBUIDORA CIRURGICA BRASILEIRA LTDA
SP HEALTH INDUSTRIA E COMERCIO LTDA
BIOHOSP PRODUTOS HOSPITALARES SA
BIOHOSP PRODUTOS HOSPITALARES SA
BIOHOSP PRODUTOS HOSPITALARES SA
BIOHOSP PRODUTOS HOSPITALARES SA
BIOHOSP PRODUTOS HOSPITALARES SA
NSA DISTRIBUIDORA DE MEDICAMENTOS LTDA
GLOBAL HOSPITALAR IMPORTACAO E COMERCIO SA</t>
  </si>
  <si>
    <t>Rua Sêneca, 9 - Nova Cintra</t>
  </si>
  <si>
    <t>Centro de Saúde Vista Alegre, localizado na Rua Sêneca, 9 - Nova Cintra</t>
  </si>
  <si>
    <t>2022_NIKOLAS_FERREIRA_496_01</t>
  </si>
  <si>
    <t>496</t>
  </si>
  <si>
    <t>À compra de materiais de consumo para o Centro de Saúde Cícero Idelfonso localizado na Rua Caviana, 77 - Jardinópolis, Belo Horizonte, com a finalidade de custeio para aquisição de insumos hospitalares;</t>
  </si>
  <si>
    <t>Rua Caviana, 77 - Jardinópolis</t>
  </si>
  <si>
    <t>Centro de Saúde Cícero Idelfonso localizado na Rua Caviana, 77 - Jardinópolis</t>
  </si>
  <si>
    <t>2022_NIKOLAS_FERREIRA_497_01</t>
  </si>
  <si>
    <t>497</t>
  </si>
  <si>
    <t>À compra de equipamentos de proteção para Guarda Municipal de Belo Horizonte;</t>
  </si>
  <si>
    <t>CONDOR S/A INDUSTRIA QUIMICA
CONDOR S/A INDUSTRIA QUIMICA
CONDOR S/A INDUSTRIA QUIMICA
CONDOR S/A INDUSTRIA QUIMICA
M.TOZZI VESTUARIOS EIRELI
MAQNETE COMERCIO E SERVICOS EIRELI   EPP
M.TOZZI VESTUARIOS EIRELI
CONDOR S/A INDUSTRIA QUIMICA
CONDOR S/A INDUSTRIA QUIMICA
BRASEPI COMERCIO DE EQUIPAMENTOS DE SEGURANCA LTDA
MAQNETE COMERCIO E SERVICOS EIRELI   EPP
CONDOR S/A INDUSTRIA QUIMICA</t>
  </si>
  <si>
    <t>2022_NIKOLAS_FERREIRA_499_01</t>
  </si>
  <si>
    <t>499</t>
  </si>
  <si>
    <t>Ao Hospital Mario Pena/Associação Mario Pena, CNPJ 17.513.235/0001-80, com a finalidade de custeio para aquisição de insumos hospitalares;</t>
  </si>
  <si>
    <t>Hospital Mario Pena/Associação Mario Pena, CNPJ 17.513.235/0001-80</t>
  </si>
  <si>
    <t>2022_NIKOLAS_FERREIRA_506_01</t>
  </si>
  <si>
    <t>506</t>
  </si>
  <si>
    <t>Destinação de recursos para o Núcleo de Atendimento à Mulher, CNPJ 26.000.290/0001-67, para a execução de atividades socioassistenciais, de acordo com o disposto na Lei Federal nº 8.742/93, em consonância com a referida inscrição no Conselho Municipal de Assistência Social de Belo Horizonte – CMAS-BH;</t>
  </si>
  <si>
    <t>2022_NIKOLAS_FERREIRA_508_01</t>
  </si>
  <si>
    <t>508</t>
  </si>
  <si>
    <t>A compra de materiais permanentes como notbook, impressora, banheira infantil, dentre outros, para o Núcleo de Atendimento à Mulher, CNPJ n° 26.000.290/0001-67, localizada na Rua Coronel José Benjamim, n° 615, sala 03, Bairro Padre Eustáquio, CEP 30.720-430, com a finalidade de subsidiar as atividades de
assistência social prestadas às melhores grávidas pelo núcleo;</t>
  </si>
  <si>
    <t xml:space="preserve"> Rua Coronel José Benjamim, n° 615, sala 03, Bairro Padre Eustáquio, CEP 30.720-430</t>
  </si>
  <si>
    <t>Núcleo de Atendimento à Mulher, CNPJ n° 26.000.290/0001-67, localizada na Rua Coronel José Benjamim, n° 615, sala 03, Bairro Padre Eustáquio, CEP 30.720-430</t>
  </si>
  <si>
    <t>2022_NIKOLAS_FERREIRA_629_01</t>
  </si>
  <si>
    <t>629</t>
  </si>
  <si>
    <t>À  Associação Voluntária de Belo Horizonte, nome fantasia Rede Solidária, CNPJ nº 37.197.947/0001-44, localizada na Avenida Raja Gabaglia, nº 2000, bairro Alpres, CEP 30494- 170, com a finalidade de subsidiar oficinas e capacitação de pessoas em extrema vulnerabilidade social e OSCs ( Organizações da Sociedade Civil), nas áreas de confeitaria, atendimento, comunicação, gestão, captação de recursos, jurídico/contábil, entre outras de acordo com diagnóstico feito em 10 comunidades atendidas pela Rede Solidaria BH em Belo;</t>
  </si>
  <si>
    <t>2022_NIKOLAS_FERREIRA_630_01</t>
  </si>
  <si>
    <t>630</t>
  </si>
  <si>
    <t>À compra de equipamentos e materiais permanentes como notbooks, impressoras, dentre outros, para a Associação Voluntária de Belo Horizonte, nome fantasia Rede Solidária, CNPJ nº 37.197.947/0001-44, localizada na Avenida Raja Gabaglia, nº 2000, bairro Alpres, CEP 30494- 170, com a finalidade de auxiliar na distribuição de cestas básicas e atendimentos às famílias e comunidades atendidas pela Associação em Belo Horizonte;</t>
  </si>
  <si>
    <t>2022_NIKOLAS_FERREIRA_631_01</t>
  </si>
  <si>
    <t>631</t>
  </si>
  <si>
    <t>À Casa Mãe Oásis da Imaculada, CNPJ 27829347/0001-06, para execução de atividades socioassistenciais, de acordo com o disposto na Lei Federal nº 8.742/93, em consonância com a referida inscrição no Conselho Municipal de Assistência Social de Belo Horizonte - CMAS-BH e o seu respectivo plano de ação;</t>
  </si>
  <si>
    <t>ASSOCIACAO PRO VIDA OASIS DA IMACULADA - CENTRO DE DEFESA NASCITURO</t>
  </si>
  <si>
    <t>27829347000106</t>
  </si>
  <si>
    <t>2022_NIKOLAS_FERREIRA_707_01</t>
  </si>
  <si>
    <t>707</t>
  </si>
  <si>
    <t>À compra de materiais de consumo como Kits de limpeza para espingarda e óleo para limpeza de armas de fogo, para o Batalhão de Rondas Táticas Metropolitanas da Polícia Militar de Minas Gerais, localizado na Avenida do Contorno, 777 - Centro, Belo Horizonte, com a finalidade de potencializar as ações e operações especializadas e, consequentemente, realizar a proteção dos bens, serviços e instalações Municipais, assim como auxiliar na redução criminal violenta no Município de Belo de Belo Horizonte;</t>
  </si>
  <si>
    <t>Avenida do Contorno, 777 - Centro, Belo Horizonte</t>
  </si>
  <si>
    <t>Batalhão de Rondas Táticas Metropolitanas da Polícia Militar de Minas Gerais, localizado na Avenida do Contorno, 777 - Centro, Belo Horizonte</t>
  </si>
  <si>
    <t>2022_NIKOLAS_FERREIRA_728_01</t>
  </si>
  <si>
    <t>728</t>
  </si>
  <si>
    <t>À compra de equipamentos e materiais permanentes como espingardas calibre 12 e escudos balísticos, para o Batalhão de Rondas Táticas Metropolitanas da Polícia Militar de Minas Gerais, localizado na Avenida do Contorno, 777 - Centro, Belo Horizonte, com a finalidade de potencializar as ações e operações especializadas e, consequentemente, realizar a proteção dos bens, serviços e instalações Municipais, assim como auxiliar na redução da criminalidade violenta no Município de Belo Horizonte;</t>
  </si>
  <si>
    <t>2022_NIKOLAS_FERREIRA_759_01</t>
  </si>
  <si>
    <t>759</t>
  </si>
  <si>
    <t>À compra de equipamentos e materiais permanentes como espingardas calibre 12, escudos balísticos, dentre outros, para a 2ª Companhia do Tático Móvel, do 34º Batalhão da 1ª Região Policial Militar que atende a Região Noroeste e parte da Região da Pampulha em Belo Horizonte, com a finalidade de potencializar as ações e operações na proteção dos bens, serviços e instalações Municipais, assim como auxiliar na redução da criminalidade no Município de Belo Horizonte;</t>
  </si>
  <si>
    <t>2022_NIKOLAS_FERREIRA_761_01</t>
  </si>
  <si>
    <t>761</t>
  </si>
  <si>
    <t>À compra de materiais de consumo como bateria para peie spark, carregador de bateria para peie spark, dentre outros, para a 2ª Companhia do Tático Móvel, do 34º Batalhão da 1ª Região Policial Militar que atende a Região Noroeste e parte da Região da Pampulha em Belo Horizonte, com a finalidade de auxiliar e potencializar as ações e operações na proteção dos bens, serviços e instalações Municipais, assim como auxiliar na redução da criminalidade no Município de Belo Horizonte;</t>
  </si>
  <si>
    <t>2022_NIKOLAS_FERREIRA_793_01</t>
  </si>
  <si>
    <t>793</t>
  </si>
  <si>
    <t>Ao Projeto de Monitoramento Interno do 34º Batalhão da 1ª Região Policial Militar que atende a Região Noroeste e parte da Região da Pampulha em Belo Horizonte, com a finalidade de reestruturar o monitoramento interno do Batalhão de forma a proporcionar mais segurança aos militares por meio de melhoria dos equipamentos, a fim de garantir, consequentemente, a maior eficiência, eficácia, efetividade e resultados positivos no atendimento à população, na proteção dos bens, serviços e instalações Municipais, assim como auxiliar na redução da criminalidade no Município de Belo Horizonte;</t>
  </si>
  <si>
    <t>34º Batalhão da 1ª Região Policial Militar que atende a Região Noroeste e parte da Região da Pampulha em Belo Horizonte (Av. Américo Vespúcio, 2391, Caiçara)</t>
  </si>
  <si>
    <t>2022_NIKOLAS_FERREIRA_864_01</t>
  </si>
  <si>
    <t>864</t>
  </si>
  <si>
    <t>À Academia de Polícia Militar de Minas Gerais, localizada na na Rua Diabase, 320 - Bairro: Prado - CEP: 30410-440, com a finalidade de fornecimento e instalação de uma plataforma de acessibilidade com casa de máquinas, assim como do fornecimento e instalação de ar condicionado split - modelo: piso e teto; tecnologia: inverter; ciclo: frio; capacidade térmica;</t>
  </si>
  <si>
    <t>Rua Diabase, 320 - Bairro: Prado - CEP: 30410-440</t>
  </si>
  <si>
    <t>Academia de Polícia Militar de Minas Gerais, localizada na na Rua Diabase, 320 - Bairro: Prado - CEP: 30410-440</t>
  </si>
  <si>
    <t>2022_PEDRO_PATRUS_576_01</t>
  </si>
  <si>
    <t>2022_PEDRO_PATRUS</t>
  </si>
  <si>
    <t>576</t>
  </si>
  <si>
    <t>Pedro Patrus</t>
  </si>
  <si>
    <t>Ao reforço de dotação orçamentária da subação 0006 para fortalecimento da participação popular nos CORAS;</t>
  </si>
  <si>
    <t>1011.08.244.113.2334.339039</t>
  </si>
  <si>
    <t>2334</t>
  </si>
  <si>
    <t>Participação Popular</t>
  </si>
  <si>
    <t>AGENCIA ADVENTISTA DE DESENVOLVIMENTO E RECURSOS ASSISTENCIAIS SUDESTE BRASILEIRA</t>
  </si>
  <si>
    <t>2022_PEDRO_PATRUS_577_01</t>
  </si>
  <si>
    <t>577</t>
  </si>
  <si>
    <t>Ao reforço de dotação orçamentária da subação 0003 de capacitação de conselheiros e usuários do SUAS;</t>
  </si>
  <si>
    <t>1011.08.244.113.2916.339039</t>
  </si>
  <si>
    <t>2916</t>
  </si>
  <si>
    <t>Gestão do Trabalho e Educação Permanente do SUAS</t>
  </si>
  <si>
    <t>FUNDACAO DE APOIO A PESQUISA E A EXTENSAO</t>
  </si>
  <si>
    <t>14645162000191</t>
  </si>
  <si>
    <t>2022_PEDRO_PATRUS_578_01</t>
  </si>
  <si>
    <t>578</t>
  </si>
  <si>
    <t>Implantação e manutenção de hortas urbanas/agroecológicas, quais sejam: 1) Ampliação Horta Projeto Itamar Serra: Rua Regência, em frente ao número 409. Referência horta infantil Projeto Itamar. 2) Horta Vila Nossa Senhora da Aparecida, Endereço Referência Rua Do Cerrado, 112 3) Horta da Creche Nossa Senhora Do Carmo Vila S. Rita De Cassia - Rua União, 83 4) Horta Santa Lúcia: Rua João Evangelista Pinheiro 188, Santa Lúcia;</t>
  </si>
  <si>
    <t>GR REPRESENTACOES LTDA
DACMAX DISTRIBUIDORA LTDA</t>
  </si>
  <si>
    <t>37197240000138
21541034000163</t>
  </si>
  <si>
    <t xml:space="preserve">Rua Regência, em frente ao número 409; Rua Do Cerrado, 112; Rua União, 83, Santa Rita de Cassia; Rua João Evangelista Pinheiro 188, Santa Lúcia </t>
  </si>
  <si>
    <t>Ampliação Horta Projeto Itamar Serra: Rua Regência, em frente ao número 409. Referência horta infantil Projeto Itamar. 2) Horta Vila Nossa Senhora da Aparecida, Endereço Referência Rua Do Cerrado, 112 3) Horta da Creche Nossa Senhora Do Carmo Vila S. Rita De Cassia - Rua União, 83 4) Horta Santa Lúcia: Rua João Evangelista Pinheiro 188, Santa Lúcia</t>
  </si>
  <si>
    <t>2022_PEDRO_PATRUS_579_01</t>
  </si>
  <si>
    <t>579</t>
  </si>
  <si>
    <t>Recurso para construção de festival cultural de cidadania e direitos humanos LGBT a ser executado a partir de edital de fomento de projetos de organizações da sociedade civil;</t>
  </si>
  <si>
    <t>CELLOS/MG - CENTRO DE LUTA PELA LIVRE ORIENTACAO SEXUAL DE MINAS GERAIS</t>
  </si>
  <si>
    <t>06889005000101</t>
  </si>
  <si>
    <t>2022_PEDRO_PATRUS_580_01</t>
  </si>
  <si>
    <t>580</t>
  </si>
  <si>
    <t>Recurso para execução de projeto com fulcro na Lei Municipal 11.248/20 do Programa Municipal de Oportunidade e Inclusão para Jovem Aprendiz, Pessoa com Deficiência ou Reabilitado Aprendiz;</t>
  </si>
  <si>
    <t>1000.14.422.127.2335.339039</t>
  </si>
  <si>
    <t>ASSOCIACAO PROFISSIONALIZANTE DO MENOR DE BELO HORIZONTE  ASSPROM</t>
  </si>
  <si>
    <t>19201128000141</t>
  </si>
  <si>
    <t>0506</t>
  </si>
  <si>
    <t>jovens; pessoas com deficiencia</t>
  </si>
  <si>
    <t>2022_PEDRO_PATRUS_583_01</t>
  </si>
  <si>
    <t>583</t>
  </si>
  <si>
    <t>Ao reforço de dotação orçamentária para compra de mobiliário para montagem das residências terapêuticas na política de Saúde Mental;</t>
  </si>
  <si>
    <t>COMERCIAL SILVESTRE LTDA
COMERCIAL SILVESTRE LTDA
REPREMIG REPRESENTACAO E COMERCIO DE MINAS GERAIS LTDA</t>
  </si>
  <si>
    <t>41823463000130
41823463000130
65149197000251</t>
  </si>
  <si>
    <t>2022_PEDRO_PATRUS_584_01</t>
  </si>
  <si>
    <t>584</t>
  </si>
  <si>
    <t>Ao reforço de dotação orçamentária a subação 0013 para criação de convênio com a UFMG;</t>
  </si>
  <si>
    <t>2302.10.305.028.2829.335043</t>
  </si>
  <si>
    <t>UNIVERSIDADE FEDERAL DE MINAS GERAIS
UNIVERSIDADE FEDERAL DE MINAS GERAIS
UNIVERSIDADE FEDERAL DE MINAS GERAIS</t>
  </si>
  <si>
    <t>17217985000104
17217985000104
17217985000104</t>
  </si>
  <si>
    <t>0323</t>
  </si>
  <si>
    <t>2022_PEDRO_PATRUS_585_01</t>
  </si>
  <si>
    <t>585</t>
  </si>
  <si>
    <t>Recurso destinado ao hospital Sofia Feldman para aquisição de material de consumo;</t>
  </si>
  <si>
    <t xml:space="preserve">hospital Sofia Feldman </t>
  </si>
  <si>
    <t>2022_PEDRO_PATRUS_589_01</t>
  </si>
  <si>
    <t>589</t>
  </si>
  <si>
    <t>À organização da sociedade civil "Obra Social Itaka Escolápios", de CNPJ - 17.218.991/0004-29, para execução de ações do projeto "Protagonizarte: ecoando o Estatuto da Criança e do Adolescente;</t>
  </si>
  <si>
    <t>2022_PEDRO_PATRUS_591_01</t>
  </si>
  <si>
    <t>591</t>
  </si>
  <si>
    <t>recurso destinado para compra de tablets para as equipes do SEAS (Serviço Especializado em Abordagem Social);</t>
  </si>
  <si>
    <t>1011.08.244.020.2878.449052</t>
  </si>
  <si>
    <t>0020</t>
  </si>
  <si>
    <t>Proteção Social Especial</t>
  </si>
  <si>
    <t>2878</t>
  </si>
  <si>
    <t>Serviço de Proteção Social Especial de Média Complexidade</t>
  </si>
  <si>
    <t>2022_PEDRO_PATRUS_593_01</t>
  </si>
  <si>
    <t>593</t>
  </si>
  <si>
    <t>Ao reforço de dotação orçamentária para implantação de projeto piloto de reciclagem em vi favelas;</t>
  </si>
  <si>
    <t>2708.17.512.228.2537.339039</t>
  </si>
  <si>
    <t>2708</t>
  </si>
  <si>
    <t>SUPERINTENDÊNCIA DE LIMPEZA URBANA</t>
  </si>
  <si>
    <t>0228</t>
  </si>
  <si>
    <t>Coleta, Destinação e Tratamento de Resíduos Sólidos</t>
  </si>
  <si>
    <t>2537</t>
  </si>
  <si>
    <t>Tratamento e Destinação de Resíduos Sólidos</t>
  </si>
  <si>
    <t>SLU</t>
  </si>
  <si>
    <t>ANGULO SOCIAL CONSULTORIA E PROJETOS SOCIOAMBIENTAIS LTDA</t>
  </si>
  <si>
    <t>09232656000104</t>
  </si>
  <si>
    <t>0707</t>
  </si>
  <si>
    <t>2022_PEDRO_PATRUS_608_01</t>
  </si>
  <si>
    <t>Ao reforço de dotação orçamentária para o Hospital Odilon Behrens para compra de material de consumo;</t>
  </si>
  <si>
    <t>Hospital Odilon Behrens</t>
  </si>
  <si>
    <t>2022_PEDRO_PATRUS_611_01</t>
  </si>
  <si>
    <t>611</t>
  </si>
  <si>
    <t>Recurso destinado à Cáritas Brasileira/Regional Minas Gerais, CNPJ 33.654.419/0008-92 para execução de qualificação para aprimoramento de técnicas de produção de artesanato e de vendas online;</t>
  </si>
  <si>
    <t>2022_PEDRO_PATRUS_612_01</t>
  </si>
  <si>
    <t>612</t>
  </si>
  <si>
    <t>Ao reforço de dotação orçamentária para estruturação do CRESAN;</t>
  </si>
  <si>
    <t>1010.11.333.308.2923.449052</t>
  </si>
  <si>
    <t>333</t>
  </si>
  <si>
    <t>Empregabilidade</t>
  </si>
  <si>
    <t>2923</t>
  </si>
  <si>
    <t>Valorização da Gastronomia Articulada à Agroecologia</t>
  </si>
  <si>
    <t>A POPULAR AUDIO PROFISSIONAL E INSTRUMENTOS MUSICAIS LTDA
A. ARTHE FLEX COMERCIO DE PERSIANAS LTDA
A. ARTHE FLEX COMERCIO DE PERSIANAS LTDA
DRIVE A INFORMATICA LTDA
MAMUTE BRASIL INDUSTRIA E COMERCIO DE MOVEIS LTDA
I C SERAFINI REFRIGERACAO
A POPULAR AUDIO PROFISSIONAL E INSTRUMENTOS MUSICAIS LTDA</t>
  </si>
  <si>
    <t>03792114000100
03513370000110
03513370000110
00677870000108
06538230000195
14516591000169
03792114000100</t>
  </si>
  <si>
    <t>CRESAN (Av. Pres. Antônio Carlos, 821 - Lagoinha, Belo Horizonte - MG, 31110-314)</t>
  </si>
  <si>
    <t>2022_PEDRO_PATRUS_613_01</t>
  </si>
  <si>
    <t>613</t>
  </si>
  <si>
    <t>Recurso destinado à Cáritas Brasileira/Regional Minas Gerais, CNPJ 33.654.419/0008-92 para execução de Festival da População em Situação de Rua;</t>
  </si>
  <si>
    <t>populacao em situacao de rua</t>
  </si>
  <si>
    <t>2022_PEDRO_PATRUS_614_01</t>
  </si>
  <si>
    <t>614</t>
  </si>
  <si>
    <t>Recurso destinado à Cáritas Brasileira/Regional Minas Gerais, CNPJ 33.654.419/0008-92 para Estruturação do Canto da Cozinha da Pop de Rua;</t>
  </si>
  <si>
    <t>2022_PROFESSORA_MARLI_620_01</t>
  </si>
  <si>
    <t>2022_PROFESSORA_MARLI</t>
  </si>
  <si>
    <t>620</t>
  </si>
  <si>
    <t>Professora Marli</t>
  </si>
  <si>
    <t>Destinação de recursos ao Hospital Alberto Cavalcanti para compra de materiais e insumos;</t>
  </si>
  <si>
    <t>Hospital Alberto Cavalcanti</t>
  </si>
  <si>
    <t>2022_PROFESSOR_CLAUDINEY_DULIM_169_01</t>
  </si>
  <si>
    <t>2022_PROFESSOR_CLAUDINEY_DULIM</t>
  </si>
  <si>
    <t>169</t>
  </si>
  <si>
    <t>Professor Claudiney Dulim</t>
  </si>
  <si>
    <t>À recuperação da estátua do Cristo Redentor na Praça do Cristo Redentor;</t>
  </si>
  <si>
    <t>44564</t>
  </si>
  <si>
    <t>Praça do Cristo Redentor</t>
  </si>
  <si>
    <t>2022_PROFESSOR_CLAUDINEY_DULIM_637_01</t>
  </si>
  <si>
    <t>637</t>
  </si>
  <si>
    <t>Ao reforço de dotação orçamentária visando fortalecer o atendimento desempenhado pelo Hospital da Baleia;</t>
  </si>
  <si>
    <t>2022_PROFESSOR_CLAUDINEY_DULIM_638_01</t>
  </si>
  <si>
    <t>638</t>
  </si>
  <si>
    <t>Ao reforço de dotação orçamentária visando fortalecer o atendimento desempenhado pelo Hospital Sofia Feldman;</t>
  </si>
  <si>
    <t>2022_PROFESSOR_CLAUDINEY_DULIM_639_01</t>
  </si>
  <si>
    <t>639</t>
  </si>
  <si>
    <t>Ao reforço de dotação orçamentária visando fortalecer o atendimento desempenhado pelo Hospital Associação Mário Penna;</t>
  </si>
  <si>
    <t>Hospital Associação Mário Penna</t>
  </si>
  <si>
    <t>2022_PROFESSOR_CLAUDINEY_DULIM_640_01</t>
  </si>
  <si>
    <t>640</t>
  </si>
  <si>
    <t>Ao reforço de dotação orçamentária visando fortalecer o atendimento desempenhado pelo Hospital Paulo de Tarso;</t>
  </si>
  <si>
    <t>2022_PROFESSOR_CLAUDINEY_DULIM_641_01</t>
  </si>
  <si>
    <t>641</t>
  </si>
  <si>
    <t>Ao reforço de dotação orçamentária visando fortalecer o atendimento desempenhado pelo Complexo Hospitalar São Francisco;</t>
  </si>
  <si>
    <t>2022_PROFESSOR_CLAUDINEY_DULIM_642_01</t>
  </si>
  <si>
    <t>642</t>
  </si>
  <si>
    <t>Ao reforço de dotação orçamentária visando fortalecer o atendimento desempenhado pelo Hospital Madre Teresa;</t>
  </si>
  <si>
    <t>2022_PROFESSOR_CLAUDINEY_DULIM_643_01</t>
  </si>
  <si>
    <t>643</t>
  </si>
  <si>
    <t>Ao reforço de dotação orçamentária visando fortalecer o atendimento desempenhado pelo Hospital Júlia Kubitschek;</t>
  </si>
  <si>
    <t>Hospital Júlia Kubitschek</t>
  </si>
  <si>
    <t>2022_PROFESSOR_CLAUDINEY_DULIM_644_01</t>
  </si>
  <si>
    <t>644</t>
  </si>
  <si>
    <t>Ao reforço de dotação orçamentária visando fortalecer o atendimento desempenhado pelo Hospital Eduardo de Menezes;</t>
  </si>
  <si>
    <t>Hospital Eduardo de Menezes</t>
  </si>
  <si>
    <t>2022_PROFESSOR_CLAUDINEY_DULIM_645_01</t>
  </si>
  <si>
    <t>645</t>
  </si>
  <si>
    <t>À  subação 0012 visando fortalecer o atendimento desempenhado pelo referido hospital Metropolitano Doutor Célio de Castro;</t>
  </si>
  <si>
    <t>hospital Metropolitano Doutor Célio de Castro</t>
  </si>
  <si>
    <t>2022_PROFESSOR_CLAUDINEY_DULIM_646_01</t>
  </si>
  <si>
    <t>646</t>
  </si>
  <si>
    <t>Ao reforço de dotação orçamentária visando fortalecer e aperfeiçoar os atendimentos realizados pelos Centros de Saúde da Regional Barreiro;</t>
  </si>
  <si>
    <t>CEMIG DISTRIBUICAO S.A</t>
  </si>
  <si>
    <t>06981180000116</t>
  </si>
  <si>
    <t>Regional Barreiro</t>
  </si>
  <si>
    <t>2022_PROFESSOR_CLAUDINEY_DULIM_647_01</t>
  </si>
  <si>
    <t>647</t>
  </si>
  <si>
    <t>Destinação de recursos para a Associação Brasileira Comunitária para a Prevenção do Abuso de Drogas - ABRAÇO, CNPJ 25.572.199/0001-53, para a execução de atividades socioassistenciais, de acordo com o disposto na Lei Federal nº 8.742/93, em consonância com a referida inscrição no Conselho Municipal de Assistência Social de Belo Horizonte – CMAS-BH;</t>
  </si>
  <si>
    <t>2022_PROFESSOR_CLAUDINEY_DULIM_648_01</t>
  </si>
  <si>
    <t>648</t>
  </si>
  <si>
    <t>Destinação de recursos para a Associação Artística e Assistencial Glenda Linhares - AGL, CNPJ 15.432.840/0001-09, para a execução de atividades socioassistenciais, de acordo com o disposto na Lei Federal nº 8.742/93, em consonância com a referida inscrição no Conselho Municipal de Assistência Social de Belo Horizonte – CMAS-BH;</t>
  </si>
  <si>
    <t>1011.08.243.019.2308.339039</t>
  </si>
  <si>
    <t>ASSOCIACAO ARTISTICA E ASSISTENCIAL GLENDA LINHARES - AGL</t>
  </si>
  <si>
    <t>15432840000109</t>
  </si>
  <si>
    <t>2022_PROFESSOR_CLAUDINEY_DULIM_649_01</t>
  </si>
  <si>
    <t>649</t>
  </si>
  <si>
    <t>Ao reforço de dotação orçamentária visando disponibilizar mais recursos de forma a contribuir com a melhoria da qualidade dos cursos ofertados;</t>
  </si>
  <si>
    <t>ETP CONSULTORIA E TREINAMENTO LTDA</t>
  </si>
  <si>
    <t>18586663000103</t>
  </si>
  <si>
    <t>2022_PROFESSOR_CLAUDINEY_DULIM_650_01</t>
  </si>
  <si>
    <t>650</t>
  </si>
  <si>
    <t>Ao reforço de dotação orçamentária visando disponibilizar mais recursos para obras estruturantes e de infraestrutura em geral na Regional do Barreiro;</t>
  </si>
  <si>
    <t>UNICAPA   UNIAO DOS APLICADORES DE PAVIMENTO ASFALTICO LTDA</t>
  </si>
  <si>
    <t>03103468000108</t>
  </si>
  <si>
    <t>Regional do Barreiro</t>
  </si>
  <si>
    <t>2022_PROFESSOR_CLAUDINEY_DULIM_651_01</t>
  </si>
  <si>
    <t>651</t>
  </si>
  <si>
    <t>Ao reforço de dotação orçamentária visando disponibilizar mais recursos voltados para projetos e obras estruturantes, além de obras de infraestrutura necessárias na Regional Oeste;</t>
  </si>
  <si>
    <t>EMBRAURB EMPRESA BRASILEIRA DE URBANIZACAO LTDA.
EMBRAURB EMPRESA BRASILEIRA DE URBANIZACAO LTDA.</t>
  </si>
  <si>
    <t>21175203000199
21175203000199</t>
  </si>
  <si>
    <t xml:space="preserve"> Regional Oeste</t>
  </si>
  <si>
    <t>2022_PROFESSOR_JULIANO_LOPES_766_01</t>
  </si>
  <si>
    <t>2022_PROFESSOR_JULIANO_LOPES</t>
  </si>
  <si>
    <t>766</t>
  </si>
  <si>
    <t>Professor Juliano Lopes</t>
  </si>
  <si>
    <t>PTC</t>
  </si>
  <si>
    <t>Destinação de recursos para o Grupo de Educação Desenvolvimento e Apoio ao Menor - GEDAM, CNPJ: 22.444.723/0001-12, para a execução de atividades socioassistenciais, de acordo com o disposto na Lei Federal nº 8.742/93, em consonância com a referida inscrição no Conselho Municipal de Assistência Social de Belo Horizonte – CMAS-BH;</t>
  </si>
  <si>
    <t>GEDAM GRUPO DE EDUCACAO DESENVOLVIMENTO E APOIO AO MENOR</t>
  </si>
  <si>
    <t>22444723000112</t>
  </si>
  <si>
    <t>2022_PROFESSOR_JULIANO_LOPES_767_01</t>
  </si>
  <si>
    <t>767</t>
  </si>
  <si>
    <t>Ao reforço de dotação orçamentária para o recapeamento de ruas do bairro Santa Helena (Barreiro);</t>
  </si>
  <si>
    <t>BALI   CONSTRUTORA BAETA LIGORIO LTDA
BALI   CONSTRUTORA BAETA LIGORIO LTDA</t>
  </si>
  <si>
    <t>18726947000140
18726947000140</t>
  </si>
  <si>
    <t>ruas do bairro Santa Helena (Barreiro)</t>
  </si>
  <si>
    <t>2022_PROFESSOR_JULIANO_LOPES_768_01</t>
  </si>
  <si>
    <t>768</t>
  </si>
  <si>
    <t>2022_PROFESSOR_JULIANO_LOPES_769_01</t>
  </si>
  <si>
    <t>769</t>
  </si>
  <si>
    <t>Ao recapeamento asfáltico da Rua Cora Coralina , no trecho situado entre a rua José Forcal até a via do minério , com dimensão aproximada de 370 metros de comprimento por 3,6 metros de largura, no Bairro Santa Helena;</t>
  </si>
  <si>
    <t>Rua Cora Coralina , no trecho situado entre a rua José Forcal até a via do minério , com dimensão aproximada de 370 metros de comprimento por 3,6 metros de largura, no Bairro Santa Helena</t>
  </si>
  <si>
    <t>2022_PROFESSOR_JULIANO_LOPES_770_01</t>
  </si>
  <si>
    <t>770</t>
  </si>
  <si>
    <t>Ao recapeamento asfáltico da Rua Baltazar Pyramo, no trecho situado entre as ruas José Falecido e Arthur Luchesi, com dimensão aproximada de 176 metros de comprimento por 3,6 metros de largura, no Bairro Santa Helena;</t>
  </si>
  <si>
    <t>Rua Baltazar Pyramo, no trecho situado entre as ruas José Falecido e Arthur Luchesi, com dimensão aproximada de 176 metros de comprimento por 3,6 metros de largura, no Bairro Santa Helena</t>
  </si>
  <si>
    <t>2022_PROFESSOR_JULIANO_LOPES_771_01</t>
  </si>
  <si>
    <t>771</t>
  </si>
  <si>
    <t>Destinação de recursos para o projeto de Assistência Social do Viaduto das Artes, CNPJ: 23.483.648/0001-25, para a execução de atividades socioassistenciais, de acordo com o disposto na Lei Federal nº 8.742/93, em consonância com a referida inscrição no Conselho Municipal de Assistência Social de Belo Horizonte – CMAS-BH;</t>
  </si>
  <si>
    <t>2022_PROFESSOR_JULIANO_LOPES_772_01</t>
  </si>
  <si>
    <t>772</t>
  </si>
  <si>
    <t>Academia ao céu aberto localizada na praça Orlando Camargo, no bairro Diamante / Teixeira Dias (Barreiro);</t>
  </si>
  <si>
    <t>GENESIS INDUSTRIA E COMERCIO DE ARTIGOS ESPORTIVOS LTDA
CONSTRUTORA ITAMARACA LTDA
GPO MERCANTIL E ENGENHARIA LTDA</t>
  </si>
  <si>
    <t>21542278000160
30018048000198
06964275000121</t>
  </si>
  <si>
    <t>praça Orlando Camargo, no bairro Diamante / Teixeira Dias (Barreiro)</t>
  </si>
  <si>
    <t>2022_PROFESSOR_JULIANO_LOPES_776_01</t>
  </si>
  <si>
    <t>776</t>
  </si>
  <si>
    <t>À reforma do Posto de Saúde Miramar localizado à Rua erídano, nº 540 - Miramar (barreiro);</t>
  </si>
  <si>
    <t>Rua erídano, nº 540 - Miramar (barreiro)</t>
  </si>
  <si>
    <t>Posto de Saúde Miramar localizado à Rua erídano, nº 540 - Miramar (barreiro)</t>
  </si>
  <si>
    <t>2022_PROFESSOR_JULIANO_LOPES_777_01</t>
  </si>
  <si>
    <t>777</t>
  </si>
  <si>
    <t>A reforma do Posto de Saúde Diamante - Teixeira Dias - localizado à Rua Maria Marcolina Souza, nº 40 - Teixeira Dias - Belo Horizonte;</t>
  </si>
  <si>
    <t>Rua Maria Marcolina Souza, nº 40 - Teixeira Dias - Belo Horizonte</t>
  </si>
  <si>
    <t>Posto de Saúde Diamante - Teixeira Dias - localizado à Rua Maria Marcolina Souza, nº 40 - Teixeira Dias - Belo Horizonte</t>
  </si>
  <si>
    <t>2022_PROFESSOR_JULIANO_LOPES_778_01</t>
  </si>
  <si>
    <t>778</t>
  </si>
  <si>
    <t>À reforma do Posto de saúde Milionários, localizado à Rua dos Cruzeirenses, n º30, Milionários - Belo Horizonte (MG);</t>
  </si>
  <si>
    <t>MCM EMPREENDIMENTOS EIRELI   EPP
MCM EMPREENDIMENTOS EIRELI   EPP
MCM EMPREENDIMENTOS EIRELI   EPP</t>
  </si>
  <si>
    <t>15211038000180
15211038000180
15211038000180</t>
  </si>
  <si>
    <t>Rua dos Cruzeirenses, n º30, Milionários - Belo Horizonte (MG)</t>
  </si>
  <si>
    <t>Posto de saúde Milionários, localizado à Rua dos Cruzeirenses, n º30, Milionários - Belo Horizonte (MG)</t>
  </si>
  <si>
    <t>2022_PROFESSOR_JULIANO_LOPES_779_01</t>
  </si>
  <si>
    <t>779</t>
  </si>
  <si>
    <t>À reforma do Posto de Saúde Indepenência, localizado à Maria Antonieta Ferreira, nº 151 Independecia;</t>
  </si>
  <si>
    <t>Maria Antonieta Ferreira, nº 151 Independecia</t>
  </si>
  <si>
    <t>Posto de Saúde Indepenência, localizado à Maria Antonieta Ferreira, nº 151 Independecia</t>
  </si>
  <si>
    <t>2022_RAMON_BIBIANO_DA_CASA_DE_APOIO_622_01</t>
  </si>
  <si>
    <t>2022_RAMON_BIBIANO_DA_CASA_DE_APOIO</t>
  </si>
  <si>
    <t>622</t>
  </si>
  <si>
    <t>Ramon Bibiano da Casa de Apoio</t>
  </si>
  <si>
    <t>Destinação de recursos para o Instituto Rumo Certo, CNPJ: 03.991.102/0001-04, para a execução de atividades socioassistenciais, de acordo com o disposto na Lei Federal nº 8.742/93, em consonância com a referida inscrição no Conselho Municipal de Assistência Social de Belo Horizonte – CMAS-BH;</t>
  </si>
  <si>
    <t>2022_RAMON_BIBIANO_DA_CASA_DE_APOIO_623_01</t>
  </si>
  <si>
    <t>623</t>
  </si>
  <si>
    <t>Emenda destina-se ao CENTRO DE SAÚDE OURO PRETO - CNPJ: 18715383000140 - na Rua Jonas Jean nº 77- Bairro Ouro Preto - CEP: 31.320-335- Belo Horizonte - MG; com objetivo de construção de um estacionamento interno para abrigar o veículos dos funcionários da referida instituição de saúde;</t>
  </si>
  <si>
    <t>Rua Jonas Jean nº 77- Bairro Ouro Preto - CEP: 31.320-335</t>
  </si>
  <si>
    <t>CENTRO DE SAÚDE OURO PRETO - CNPJ: 18715383000140 - na Rua Jonas Jean nº 77- Bairro Ouro Preto - CEP: 31.320-335</t>
  </si>
  <si>
    <t>2022_RAMON_BIBIANO_DA_CASA_DE_APOIO_624_01</t>
  </si>
  <si>
    <t>624</t>
  </si>
  <si>
    <t>Emenda destina-se ao CENTRO DE SAÚDE HELIÓPOLIS - CNPJ: 18715383000140 - Rua dos Beneditinos nº 120 - Heliópolis - Belo Horizonte- MG; com o objetivo de reforço na dotação orçamentária para reforma, e/ou projeto e/ou para ampliação;</t>
  </si>
  <si>
    <t>Rua dos Beneditinos nº 120 - Heliópolis</t>
  </si>
  <si>
    <t>CENTRO DE SAÚDE HELIÓPOLIS - CNPJ: 18715383000140 - Rua dos Beneditinos nº 120 - Heliópolis</t>
  </si>
  <si>
    <t>2022_RAMON_BIBIANO_DA_CASA_DE_APOIO_625_01</t>
  </si>
  <si>
    <t>625</t>
  </si>
  <si>
    <t>Ao reforço de dotação orçamentária para o projeto, reforma e manutenção do Campo do Tupinense;</t>
  </si>
  <si>
    <t>CONSTRUTORA CAMPOS E FILHOS LTDA.
SANEHATEM CONSULTORIA E PROJETOS LTDA</t>
  </si>
  <si>
    <t>15862332000152
05065971000133</t>
  </si>
  <si>
    <t xml:space="preserve"> Campo do Tupinense</t>
  </si>
  <si>
    <t>2022_RAMON_BIBIANO_DA_CASA_DE_APOIO_626_01</t>
  </si>
  <si>
    <t>626</t>
  </si>
  <si>
    <t>Emenda destinada ao CENTRO DE SAÚDE SANTA TEREZINHA - CNPJ: 18715383000140 - Rua Senador Virgílio Távora nº 157- Santa Terezinha- Belo Horizonte - MG, CEP: 31360-210 , com objetivo de aquisição de materiais e equipamentos permanentes;</t>
  </si>
  <si>
    <t>IGM COMERCIO VAREJISTA DE PECAS E ACESSORIOS PARA VEICULOS LTDA
MICROFORT INFORMATICA LTDA.
IGM COMERCIO VAREJISTA DE PECAS E ACESSORIOS PARA VEICULOS LTDA
IGM COMERCIO VAREJISTA DE PECAS E ACESSORIOS PARA VEICULOS LTDA
COMERCIAL SILVESTRE LTDA
IGM COMERCIO VAREJISTA DE PECAS E ACESSORIOS PARA VEICULOS LTDA
DRIVE A INFORMATICA LTDA
DRIVE A INFORMATICA LTDA
DI BENTO COMERCIO E SERVICOS LTDA.</t>
  </si>
  <si>
    <t>23140085000109
24675507000103
23140085000109
23140085000109
41823463000130
23140085000109
00677870000108
00677870000108
14238297000132</t>
  </si>
  <si>
    <t>Rua Senador Virgílio Távora nº 157- Santa Terezinha- Belo Horizonte - MG, CEP: 31360-210</t>
  </si>
  <si>
    <t>CENTRO DE SAÚDE SANTA TEREZINHA - CNPJ: 18715383000140 - Rua Senador Virgílio Távora nº 157- Santa Terezinha- Belo Horizonte - MG, CEP: 31360-210</t>
  </si>
  <si>
    <t>2022_RAMON_BIBIANO_DA_CASA_DE_APOIO_627_01</t>
  </si>
  <si>
    <t>627</t>
  </si>
  <si>
    <t>Emenda destina-se ao CENTRO DE SAÚDE RIBEIRO DE ABREU - CNPJ: 18715383000140 - na Rua Dianópolis, 180 - Ribeiro de Abreu- Belo Horizonte - MG, CEP: 31870-580 com objetivo de aquisição de materiais e equipamentos permanentes;</t>
  </si>
  <si>
    <t>-IGM COMERCIO VAREJISTA DE PECAS E ACESSORIOS PARA VEICULOS LTDA
DI BENTO COMERCIO E SERVICOS LTDA.
DRIVE A INFORMATICA LTDA
COMERCIAL SILVESTRE LTDA
DRIVE A INFORMATICA LTDA
IGM COMERCIO VAREJISTA DE PECAS E ACESSORIOS PARA VEICULOS LTDA
MICROFORT INFORMATICA LTDA.</t>
  </si>
  <si>
    <t>-23140085000109
14238297000132
00677870000108
41823463000130
00677870000108
23140085000109
24675507000103</t>
  </si>
  <si>
    <t>Rua Dianópolis, 180 - Ribeiro de Abreu- Belo Horizonte - MG, CEP: 31870-580</t>
  </si>
  <si>
    <t>CENTRO DE SAÚDE RIBEIRO DE ABREU - CNPJ: 18715383000140 - na Rua Dianópolis, 180 - Ribeiro de Abreu- Belo Horizonte - MG, CEP: 31870-580</t>
  </si>
  <si>
    <t>2022_RAMON_BIBIANO_DA_CASA_DE_APOIO_628_01</t>
  </si>
  <si>
    <t>628</t>
  </si>
  <si>
    <t>Emenda destina-se ao CENTRO DE SAÚDE SÃO JOSÉ - CNPJ: 18715383000140- na Rua Violeta de Melo, 655 - Jardim São José - Belo Horizonte - MG, CEP: 30820-470, com o objetivo de adquirir materiais permanentes e equipamentos;</t>
  </si>
  <si>
    <t>ALFA MED SISTEMAS MEDICOS LTDA
MICROFORT INFORMATICA LTDA.
DI BENTO COMERCIO E SERVICOS LTDA.
DRIVE A INFORMATICA LTDA
COMERCIAL SILVESTRE LTDA
DRIVE A INFORMATICA LTDA</t>
  </si>
  <si>
    <t>-11405384000149
24675507000103
14238297000132
00677870000108
41823463000130
00677870000108</t>
  </si>
  <si>
    <t>Rua Violeta de Melo, 655 - Jardim São José - Belo Horizonte - MG, CEP: 30820-470</t>
  </si>
  <si>
    <t>CENTRO DE SAÚDE SÃO JOSÉ - CNPJ: 18715383000140- na Rua Violeta de Melo, 655 - Jardim São José - Belo Horizonte - MG, CEP: 30820-470</t>
  </si>
  <si>
    <t>2022_REINALDO_GOMES_PRETO_SACOLAO_815_01</t>
  </si>
  <si>
    <t>2022_REINALDO_GOMES_PRETO_SACOLAO</t>
  </si>
  <si>
    <t>815</t>
  </si>
  <si>
    <t>Reinaldo Gomes Preto Sacolão</t>
  </si>
  <si>
    <t>MDB</t>
  </si>
  <si>
    <t>Projeto para construção de instalações para abrigar o Grupamento de Operações com cães da Guarda Civil de BH, localizado no Parque Guilherme Lage, na rua Angola, 665, bairro São Paulo;</t>
  </si>
  <si>
    <t>A P BRAGA ENGENHARIA E COMERCIO LTDA
3D TOPOGRAFIA E LOCACOES DE EQUIPAMENTOS LTDA.
3D TOPOGRAFIA E LOCACOES DE EQUIPAMENTOS LTDA.
3D TOPOGRAFIA E LOCACOES DE EQUIPAMENTOS LTDA.</t>
  </si>
  <si>
    <t>20472544000163
12048208000160
12048208000160
12048208000160</t>
  </si>
  <si>
    <t>Parque Guilherme Lage, na rua Angola, 665, bairro São Paulo</t>
  </si>
  <si>
    <t>2022_REINALDO_GOMES_PRETO_SACOLAO_816_01</t>
  </si>
  <si>
    <t>816</t>
  </si>
  <si>
    <t>Projeto para construção de cobertura de quadra poliesportiva na Avenida Silva Lobo, esquina com Rua Erásio Evangelista, bairro São Jorge II;</t>
  </si>
  <si>
    <t>MMART ENGENHARIA DE PROJETOS EIRELI
3D TOPOGRAFIA E LOCACOES DE EQUIPAMENTOS LTDA.</t>
  </si>
  <si>
    <t>24773769000100
12048208000160</t>
  </si>
  <si>
    <t>Avenida Silva Lobo, esquina com Rua Erásio Evangelista, bairro São Jorge II</t>
  </si>
  <si>
    <t>quadra poliesportiva na Avenida Silva Lobo, esquina com Rua Erásio Evangelista, bairro São Jorge II</t>
  </si>
  <si>
    <t>2022_REINALDO_GOMES_PRETO_SACOLAO_817_01</t>
  </si>
  <si>
    <t>817</t>
  </si>
  <si>
    <t>Destinação de recursos para o Grupo Melhor Idade Anos Dourados, CNPJ 03.867.329/0001-42, para a execução de atividades socioassistenciais, de acordo com o disposto na Lei Federal nº 8.742/93, em consonância com a referida inscrição no Conselho Municipal de Assistência Social de Belo Horizonte – CMAS-BH;</t>
  </si>
  <si>
    <t>O GRUPO DA MELHOR IDADE ANOS DOURADOS</t>
  </si>
  <si>
    <t>03867329000142</t>
  </si>
  <si>
    <t>2022_REINALDO_GOMES_PRETO_SACOLAO_818_01</t>
  </si>
  <si>
    <t>818</t>
  </si>
  <si>
    <t>À construção de estrutura de canteiro suspenso para implantação de horta no Centro de Referência da Pessoa Idosa - CRPI. Localizado na rua R. Perdizes, 336 - Caiçaras, Belo Horizonte;</t>
  </si>
  <si>
    <t>CONSTRUTORA CAMPOS E FILHOS LTDA.
CONSTRUTORA CAMPOS E FILHOS LTDA.
CONSTRUTORA CAMPOS E FILHOS LTDA.
CONSTRUTORA CAMPOS E FILHOS LTDA.
CONSTRUTORA CAMPOS E FILHOS LTDA.
CONSTRUTORA CAMPOS E FILHOS LTDA.
CONSTRUTORA CAMPOS E FILHOS LTDA.</t>
  </si>
  <si>
    <t>15862332000152
15862332000152
15862332000152
15862332000152
15862332000152
15862332000152
15862332000152</t>
  </si>
  <si>
    <t>R. Perdizes, 336 - Caiçaras, Belo Horizonte</t>
  </si>
  <si>
    <t>horta no Centro de Referência da Pessoa Idosa - CRPI. Localizado na rua R. Perdizes, 336 - Caiçaras, Belo Horizonte</t>
  </si>
  <si>
    <t>2022_REINALDO_GOMES_PRETO_SACOLAO_819_01</t>
  </si>
  <si>
    <t>819</t>
  </si>
  <si>
    <t>Destinação de recursos para a Associação Mineira da Amizade - AMA, CNPJ: 16.746.026/00001-13, para a execução de atividades socioassistenciais, de acordo com o disposto na Lei Federal nº 8.742/93, em consonância com a referida inscrição no Conselho Municipal de Assistência Social de Belo Horizonte – CMAS-BH;</t>
  </si>
  <si>
    <t>ASSOCIACAO MINEIRA DA AMIZADE   AMA</t>
  </si>
  <si>
    <t>16746026000113</t>
  </si>
  <si>
    <t>2022_REINALDO_GOMES_PRETO_SACOLAO_820_01</t>
  </si>
  <si>
    <t>820</t>
  </si>
  <si>
    <t>Destinação de recursos para o Centro de Apoio de Convivência - CAC Fim de Tarde, CNPJ 00.831.055/0001-43, para a execução de atividades socioassistenciais, de acordo com o disposto na Lei Federal nº 8.742/93, em consonância com a referida inscrição no Conselho Municipal de Assistência Social de Belo Horizonte – CMAS-BH;</t>
  </si>
  <si>
    <t>CENTRO DE APOIO E CONVIVÊNCIA- C A C</t>
  </si>
  <si>
    <t>00831055000143</t>
  </si>
  <si>
    <t>2022_REINALDO_GOMES_PRETO_SACOLAO_821_01</t>
  </si>
  <si>
    <t>821</t>
  </si>
  <si>
    <t>À construção do centro de saúde do bairro São Gabriel, a ser reconstruído na rua Ilha de 353 - São Gabriel;</t>
  </si>
  <si>
    <t>rua Ilha de 353 - São Gabriel</t>
  </si>
  <si>
    <t>centro de saúde do bairro São Gabriel, a ser reconstruído na rua Ilha de 353 - São Gabriel</t>
  </si>
  <si>
    <t>2022_REINALDO_GOMES_PRETO_SACOLAO_822_01</t>
  </si>
  <si>
    <t>822</t>
  </si>
  <si>
    <t>Destinação de recursos para a Associação Cruz de Malta, CNPJ 00.436.790/0003-14, para a execução de atividades socioassistenciais, de acordo com o disposto na Lei Federal nº 8.742/93, em consonância com a referida inscrição no Conselho Municipal de Assistência Social de Belo Horizonte – CMAS-BH;</t>
  </si>
  <si>
    <t>00436790000314</t>
  </si>
  <si>
    <t>2022_REINALDO_GOMES_PRETO_SACOLAO_823_01</t>
  </si>
  <si>
    <t>823</t>
  </si>
  <si>
    <t>09047452000101</t>
  </si>
  <si>
    <t>2022_REINALDO_GOMES_PRETO_SACOLAO_824_01</t>
  </si>
  <si>
    <t>824</t>
  </si>
  <si>
    <t>À aquisição de ambulância para transporte de pessoas acamadas e enfermas, destinado a INSTITUTO BRASILEIRO DE GESTAO SOCIAL, localizada rua Estados Unidos, 165, Sion - Belo Horizonte;</t>
  </si>
  <si>
    <t>CETUS CONSTRUTORA LTDA</t>
  </si>
  <si>
    <t>32227070000173</t>
  </si>
  <si>
    <t>rua Estados Unidos, 165, Sion - Belo Horizonte</t>
  </si>
  <si>
    <t>INSTITUTO BRASILEIRO DE GESTAO SOCIAL, localizada rua Estados Unidos, 165, Sion - Belo Horizonte;</t>
  </si>
  <si>
    <t>2022_REINALDO_GOMES_PRETO_SACOLAO_825_01</t>
  </si>
  <si>
    <t>825</t>
  </si>
  <si>
    <t>1011.08.243.019.2647.339039</t>
  </si>
  <si>
    <t>2647</t>
  </si>
  <si>
    <t>Programas e Projetos de Proteção Social Básica</t>
  </si>
  <si>
    <t>2022_REINALDO_GOMES_PRETO_SACOLAO_826_01</t>
  </si>
  <si>
    <t>826</t>
  </si>
  <si>
    <t>Destinação de recursos para CNPJ: 21.127.840/0001-90, para a execução de atividades socioassistenciais, de acordo com o disposto na Lei Federal nº 8.742/93, em consonância com a referida inscrição no Conselho Municipal de Assistência Social de Belo Horizonte – CMAS-BH;</t>
  </si>
  <si>
    <t>2022_ROGERIO_ALKIMIM_760_01</t>
  </si>
  <si>
    <t>2022_ROGERIO_ALKIMIM</t>
  </si>
  <si>
    <t>760</t>
  </si>
  <si>
    <t>Rogerio Alkimim</t>
  </si>
  <si>
    <t>PMN</t>
  </si>
  <si>
    <t>Solicito destinação do recurso para a seguinte instituição CNPJ: 10.737.739/0001-34 Razão Social: ONG Raio de Luz a fim de auxiliar o custeio de profissionais para a ampliação dos atendimentos e despesas fixas pelo período de 1 ano;</t>
  </si>
  <si>
    <t>2022_ROGERIO_ALKIMIM_814_01</t>
  </si>
  <si>
    <t>814</t>
  </si>
  <si>
    <t>Centro de Referência em Reabilitação São João Batista;</t>
  </si>
  <si>
    <t>ATMOSFERA GESTAO E HIGIENIZACAO DE TEXTEIS S.A.
WS AUDIOLOGY SOLUCOES AUDITIVAS LTDA
INVERTER COMERCIO DE EQUIPAMENTOS ESPECIAIS LTDA
ATOMED PRODUTOS MEDICOS E DE AUXILIO HUMANO LTDA
OTTOBOCK DO BRASIL TECNICA ORTOPEDICA LTDA
CLINIMED PRODUTOS ORTOPEDICOS LTDA
MGS MINAS GERAIS ADMINISTRACAO E SERVICOS SA
OTTOBOCK DO BRASIL TECNICA ORTOPEDICA LTDA
MINAS ORTOPEDICA LTDA
INVERTER COMERCIO DE EQUIPAMENTOS ESPECIAIS LTDA
CLINIMED PRODUTOS ORTOPEDICOS LTDA
WS AUDIOLOGY SOLUCOES AUDITIVAS LTDA
STARKEY DO BRASIL LTDA
WS AUDIOLOGY SOLUCOES AUDITIVAS LTDA
STARKEY DO BRASIL LTDA
MINAS ORTOPEDICA LTDA
INVERTER COMERCIO DE EQUIPAMENTOS ESPECIAIS LTDA</t>
  </si>
  <si>
    <t>00886257000605
14011614000183
17074272000139
01035382000151
42463513000189
86574647000142
33224254000142
42463513000189
21102264000126
17074272000139
86574647000142
14011614000183
04216059000172
14011614000183
04216059000172
21102264000126
17074272000139</t>
  </si>
  <si>
    <t>Centro de Reabilitação (CREAB)</t>
  </si>
  <si>
    <t>2022_RUBAO_300_01</t>
  </si>
  <si>
    <t>2022_RUBAO</t>
  </si>
  <si>
    <t>300</t>
  </si>
  <si>
    <t>Rubão</t>
  </si>
  <si>
    <t>pavimentação asfáltica com concreto asfáltico de espessura de 4cm, da rua Mirante, no trecho compreendido entre a Avenida Petit e rua Antônio Rodrigues da Costa, com aproximadamente 500m (quinhentos metros de extensão), no Bairro Boa Vista, regional Leste;</t>
  </si>
  <si>
    <t>2700.0300.15.451.062.1.230.449051</t>
  </si>
  <si>
    <t>CADROS ENGENHARIA E CONSTRUCOES LTDA EPP</t>
  </si>
  <si>
    <t>17255696000108</t>
  </si>
  <si>
    <t>rua Mirante, no trecho compreendido entre a Avenida Petit e rua Antônio Rodrigues da Costa, com aproximadamente 500m (quinhentos metros de extensão), no Bairro Boa Vista, regional Leste</t>
  </si>
  <si>
    <t>2022_RUBAO_301_01</t>
  </si>
  <si>
    <t>pavimentação asfáltica com concreto asfáltico de espessura de 4cm, na rua dos Afonsos, no trecho compreendido entre as ruas Antônio Soares e João Neiva, com aproximadamente 400m (quatrocentos metros de extensão), no bairro Boa Vista, regional Leste;</t>
  </si>
  <si>
    <t>rua dos Afonsos, no trecho compreendido entre as ruas Antônio Soares e João Neiva, com aproximadamente 400m (quatrocentos metros de extensão), no bairro Boa Vista, regional Leste</t>
  </si>
  <si>
    <t>2022_RUBAO_302_01</t>
  </si>
  <si>
    <t>À compra de materiais de consumo da Associação Mário Penna (conhecida como Hospital Mário Penna);</t>
  </si>
  <si>
    <t>Associação Mário Penna (conhecida como Hospital Mário Penna)</t>
  </si>
  <si>
    <t>2022_RUBAO_303_01</t>
  </si>
  <si>
    <t>303</t>
  </si>
  <si>
    <t>Destinação de recursos para Associação Nutris, CNPJ: 19.715.697/0001-05, para a execução de atividades socioassistenciais, de acordo com o disposto na Lei Federal nº 8.742/93, em consonância com a referida inscrição no Conselho Municipal de Assistência Social de Belo Horizonte – CMAS-BH;</t>
  </si>
  <si>
    <t>NUTRIS NUCLEO DE TRABALHO E INTEGRACAO SOCIAL</t>
  </si>
  <si>
    <t>19715697000105</t>
  </si>
  <si>
    <t>2022_RUBAO_304_01</t>
  </si>
  <si>
    <t>Destino:
- R$90.000 para compras de materiais de consumo para o Centro de Saúde Boa Vista, localizado na Rua Guruá n° 833, bairro Boa Vista, Belo Horizonte, CEP:31.060-560.
- R$90.000 para compras de materiais de consumo para o Centro de Saúde São Geraldo, localizado na Avenida Itaituba n° 318, bairro São Geraldo, Belo Horizonte, CEP 31.060-420.
- R$90.000 para compras de materiais de consumo para o Centro de Saúde São José Operário, localizado na Rua Simão Pereira, n° 73, bairro Nova Vista, Belo Horizonte, CEP:31.070-220.
- R$90.000 para compras de materiais de consumo para o Centro de Saúde Novo Horizonte, localizado na rua Pedro Alexandrino de Mendonça, n° 12, bairro Taquaril, Belo Horizonte, CEP: 30.290-590.
- R$90.000 para compras de materiais de consumo para o Centro de Saúde Goiânia, localizado na rua Pomba, n° 677, bairro Goiânia, Belo Horizonte, CEP:31.950-490;</t>
  </si>
  <si>
    <t>BIOHOSP PRODUTOS HOSPITALARES SA
NSA DISTRIBUIDORA DE MEDICAMENTOS LTDA
GLOBAL HOSPITALAR IMPORTACAO E COMERCIO SA
DCB DISTRIBUIDORA CIRURGICA BRASILEIRA LTDA
SP HEALTH INDUSTRIA E COMERCIO LTDA</t>
  </si>
  <si>
    <t>18269125000187
34729047000102
12047164000153
34729047000102
20235404000171
20227117000110</t>
  </si>
  <si>
    <t>Rua Guruá n° 833, bairro Boa Vista, Belo Horizonte, CEP:31.060-560; Avenida Itaituba n° 318, bairro São Geraldo, Belo Horizonte, CEP 31.060-420; Centro de Saúde São José Operário, localizado na Rua Simão Pereira, n° 73, bairro Nova Vista, Belo Horizonte, CEP:31.070-220; Centro de Saúde Novo Horizonte, localizado na rua Pedro Alexandrino de Mendonça, n° 12, bairro Taquaril, Belo Horizonte, CEP: 30.290-590; Centro de Saúde Goiânia, localizado na rua Pomba, n° 677, bairro Goiânia, Belo Horizonte, CEP:31.950-490</t>
  </si>
  <si>
    <t>Centro de Saúde Boa Vista, localizado na Rua Guruá n° 833, bairro Boa Vista, Belo Horizonte, CEP:31.060-560; Centro de Saúde São Geraldo, localizado na Avenida Itaituba n° 318, bairro São Geraldo, Belo Horizonte, CEP 31.060-420; Centro de Saúde São José Operário, localizado na Rua Simão Pereira, n° 73, bairro Nova Vista, Belo Horizonte, CEP:31.070-220; Centro de Saúde Novo Horizonte, localizado na rua Pedro Alexandrino de Mendonça, n° 12, bairro Taquaril, Belo Horizonte, CEP: 30.290-590; Centro de Saúde Goiânia, localizado na rua Pomba, n° 677, bairro Goiânia, Belo Horizonte, CEP:31.950-490</t>
  </si>
  <si>
    <t>2022_RUBAO_305_01</t>
  </si>
  <si>
    <t>Destinação de recursos para Associação Organização Educacional João XXIII, CNPJ: 16.518.821/0001-54, para a execução de atividades socioassistenciais, de acordo com o disposto na Lei Federal nº 8.742/93, em consonância com a referida inscrição no Conselho Municipal de Assistência Social de Belo Horizonte – CMAS-BH;</t>
  </si>
  <si>
    <t>ORGANIZACAO EDUCACIONAL JOAO XXIII</t>
  </si>
  <si>
    <t>16518821000740</t>
  </si>
  <si>
    <t>2022_RUBAO_306_01</t>
  </si>
  <si>
    <t>306</t>
  </si>
  <si>
    <t>compra de materiais de consumo da Associação Paradesportiva e Esportiva de Belo Horizonte, localizada na Rua Conceição Silvana, nº 25, bairro Mantiqueira;</t>
  </si>
  <si>
    <t>Rua Conceição Silvana, nº 25, bairro Mantiqueira</t>
  </si>
  <si>
    <t>Associação Paradesportiva e Esportiva de Belo Horizonte, localizada na Rua Conceição Silvana, nº 25, bairro Mantiqueira</t>
  </si>
  <si>
    <t>2022_RUBAO_307_01</t>
  </si>
  <si>
    <t>307</t>
  </si>
  <si>
    <t>À compra de materiais de consumo do Instituto das Pequenas Missionárias de Maria Imaculada (IPMMI- Hospital Madre Teresa), localizado na Avenida Raja Gabaglia, nº 1002, Gutierrez;</t>
  </si>
  <si>
    <t>Avenida Raja Gabaglia, nº 1002, Gutierrez</t>
  </si>
  <si>
    <t>Instituto das Pequenas Missionárias de Maria Imaculada (IPMMI- Hospital Madre Teresa), localizado na Avenida Raja Gabaglia, nº 1002, Gutierrez</t>
  </si>
  <si>
    <t>2022_RUBAO_868_01</t>
  </si>
  <si>
    <t>868</t>
  </si>
  <si>
    <t>Ao Hospital João XXI, localizado na Avenida Professor Alfredo Balena, n° 400, no Bairro Santa Efigênia para a compra de materiais de consumo</t>
  </si>
  <si>
    <t>19843929001344</t>
  </si>
  <si>
    <t>Avenida Professor Alfredo Balena, n° 400, no Bairro Santa Efigênia</t>
  </si>
  <si>
    <t>Hospital João XXI, localizado na Avenida Professor Alfredo Balena, n° 400, no Bairro Santa Efigênia</t>
  </si>
  <si>
    <t>2022_WALTER_TOSTA_588_01</t>
  </si>
  <si>
    <t>2022_WALTER_TOSTA</t>
  </si>
  <si>
    <t>588</t>
  </si>
  <si>
    <t>Walter Tosta</t>
  </si>
  <si>
    <t>Destinação de recursos para UNIPABE (União dos Paraplégicos de Belo Horizonte), CNPJ 21.020.987/0001-86, para a execução de atividades socioassistenciais, de acordo com o disposto na Lei Federal nº 8.742/93, em consonância com a referida inscrição no Conselho Municipal de Assistência Social de Belo Horizonte – CMAS-BH;</t>
  </si>
  <si>
    <t>UNIPABE   UNIAO DOS PARAPLEGICOS DE BELO HORIZONTE</t>
  </si>
  <si>
    <t>21020987000186</t>
  </si>
  <si>
    <t>2022_WALTER_TOSTA_621_01</t>
  </si>
  <si>
    <t>621</t>
  </si>
  <si>
    <t>PL</t>
  </si>
  <si>
    <t>Ao reforço de dotação orçamentária para a UNIPABE ( União dos Paraplégicos de belo Horizonte ) cnpj 21.020.987/0001-86 para atendimento a serviço clinico odontológico e realização de atividade de promoção de saúde bucal para pessoas PCD ( Pessoas com Deficiência ) que encontram dificuldade de acessibilidade em unidades convencionais, pessoas com situação de vulnerabilidade social e seus familiares e idosos, moradores do município de Belo Horizonte;</t>
  </si>
  <si>
    <t>pessoas com deficiencia; idosos</t>
  </si>
  <si>
    <t>2022_WALTER_TOSTA_652_01</t>
  </si>
  <si>
    <t>652</t>
  </si>
  <si>
    <t>Ao reforço de dotação orçamentária para a UNIPABE ( União dos Paraplégicos de belo Horizonte ) cnpj 21.020.987/0001-86 para atendimento a serviço de fisioterapia e realização de atividades de promoção de saúde para pessoas PCD ( Pessoas com Deficiência ), pessoas com situação de vulnerabilidade social e seus familiares e idosos, moradores do município de Belo Horizonte;</t>
  </si>
  <si>
    <t>2022_WALTER_TOSTA_702_01</t>
  </si>
  <si>
    <t>702</t>
  </si>
  <si>
    <t>Ao reforço de dotação orçamentária para a UNIPABE ( União dos Paraplégicos de belo Horizonte ) cnpj 21.020.987/0001-86 para aquisição de veiculo modelo Fiorino Ambulância para realização de transporte Sanitário Eletivo destinado ao deslocamento programado para equipamentos de saúde no município de Belo Horizonte,m de PCD ( Pessoa com Deficiência), pessoas com situação de vulnerabilidade social e seus familiares e idosos, moradores do município de Belo Horizonte;</t>
  </si>
  <si>
    <t>2022_WALTER_TOSTA_733_01</t>
  </si>
  <si>
    <t>733</t>
  </si>
  <si>
    <t>Ao reforço de dotação orçamentária. Acréscimo da Gestão Educativa e Pedagógica da Escola Municipal Mário Werneck, Rua Oscar Trompowsky, 1372, Grajau - Belo Horizonte;</t>
  </si>
  <si>
    <t>CAIXA ESCOLAR ESCOLA MUNICIPAL PROF. MARIO WERNECK</t>
  </si>
  <si>
    <t>00687820000101</t>
  </si>
  <si>
    <t>Rua Oscar Trompowsky, 1372, Grajau - Belo Horizonte</t>
  </si>
  <si>
    <t>Escola Municipal Mário Werneck, Rua Oscar Trompowsky, 1372, Grajau - Belo Horizonte</t>
  </si>
  <si>
    <t>2022_WALTER_TOSTA_754_01</t>
  </si>
  <si>
    <t>754</t>
  </si>
  <si>
    <t>Ao reforço de dotação orçamentária. Acréscimo da Gestão Educativa e Pedagógica da Escola Municipal Deputado Milton Salles, Rua Teófilo Filho, 222, Jardim América - Belo Horizonte;</t>
  </si>
  <si>
    <t>CAIXA ESCOLAR ESCOLA MUNICIPAL DEPUTADO MILTON SALLES</t>
  </si>
  <si>
    <t>00263690000171</t>
  </si>
  <si>
    <t>Rua Teófilo Filho, 222, Jardim América - Belo Horizonte</t>
  </si>
  <si>
    <t>Escola Municipal Deputado Milton Salles, Rua Teófilo Filho, 222, Jardim América - Belo Horizonte</t>
  </si>
  <si>
    <t>2022_WALTER_TOSTA_762_01</t>
  </si>
  <si>
    <t>762</t>
  </si>
  <si>
    <t>Acréscimo da Gestão Educativa e Pedagógica da Escola Municipal Mestre Ataíde, Rua Augusto Jose dos Santos, 560, Estrela do Oriente – BH/MG;</t>
  </si>
  <si>
    <t>CAIXA ESCOLAR DA ESCOLA MUNICIPAL MESTRE ATAIDE</t>
  </si>
  <si>
    <t>00075261000170</t>
  </si>
  <si>
    <t>Rua Augusto Jose dos Santos, 560, Estrela do Oriente</t>
  </si>
  <si>
    <t>Escola Municipal Mestre Ataíde, Rua Augusto Jose dos Santos, 560, Estrela do Oriente</t>
  </si>
  <si>
    <t>2022_WALTER_TOSTA_782_01</t>
  </si>
  <si>
    <t>782</t>
  </si>
  <si>
    <t>Ao reforço de dotação orçamentária. Acréscimo da Gestão Educativa e Pedagógica da Escola Municipal Oswaldo Cruz, Rua Santos, 2200, Jardim América;</t>
  </si>
  <si>
    <t>CAIXA ESCOLAR ESCOLA MUNICIPAL OSWALDO CRUZ</t>
  </si>
  <si>
    <t>00691713000149</t>
  </si>
  <si>
    <t>Rua Santos, 2200, Jardim América</t>
  </si>
  <si>
    <t>Escola Municipal Oswaldo Cruz, Rua Santos, 2200, Jardim América</t>
  </si>
  <si>
    <t>2022_WALTER_TOSTA_796_01</t>
  </si>
  <si>
    <t>796</t>
  </si>
  <si>
    <t>Ao reforço de dotação orçamentária. Acréscimo da Gestão Educativa e Pedagógica da Professor Christovam Colombo dos Santos, Rua Vereador Nelson Cunha, 137, Estoril;</t>
  </si>
  <si>
    <t>2200.12.365.169.2046.339039</t>
  </si>
  <si>
    <t>CAIXA ESCOLAR DA ESCOLA MUNICIPAL DE EDUCACAO INFANTIL PROFESSOR CHRISTOVAM COLOMBO DOS SANTOS</t>
  </si>
  <si>
    <t>00668413000149</t>
  </si>
  <si>
    <t>Rua Vereador Nelson Cunha, 137, Estoril</t>
  </si>
  <si>
    <t>Professor Christovam Colombo dos Santos, Rua Vereador Nelson Cunha, 137, Estoril</t>
  </si>
  <si>
    <t>2022_WALTER_TOSTA_841_01</t>
  </si>
  <si>
    <t>841</t>
  </si>
  <si>
    <t>Ao reforço de dotação orçamentária Centro de Saude Ventosa - Rua Cons. Joaquim Caetano 1782, Belo Horizonte;</t>
  </si>
  <si>
    <t>Rua Cons. Joaquim Caetano 1782, Belo Horizonte</t>
  </si>
  <si>
    <t>Centro de Saude Ventosa - Rua Cons. Joaquim Caetano 1782, Belo Horizonte</t>
  </si>
  <si>
    <t>2022_WALTER_TOSTA_842_01</t>
  </si>
  <si>
    <t>842</t>
  </si>
  <si>
    <t>Ao reforço de dotação orçamentária Centro de Saúde São Jorge Endereço Rua Garret, 45 - Grajaú, Belo Horizonte, MG;</t>
  </si>
  <si>
    <t>Rua Garret, 45 - Grajaú, Belo Horizonte, MG</t>
  </si>
  <si>
    <t>Centro de Saúde São Jorge Endereço Rua Garret, 45 - Grajaú, Belo Horizonte, MG</t>
  </si>
  <si>
    <t>2022_WANDERLEY_PORTO_308_01</t>
  </si>
  <si>
    <t>2022_WANDERLEY_PORTO</t>
  </si>
  <si>
    <t>308</t>
  </si>
  <si>
    <t>Wanderley Porto</t>
  </si>
  <si>
    <t>PATRIOTA</t>
  </si>
  <si>
    <t>Ao reforço de dotação orçamentária para o recapeamento de áreas da cidade;</t>
  </si>
  <si>
    <t>2022_WANDERLEY_PORTO_309_01</t>
  </si>
  <si>
    <t>309</t>
  </si>
  <si>
    <t>Patriota</t>
  </si>
  <si>
    <t>Ao recapeamento asfáltico da Rua Jeribá, no trecho situado entre as ruas Luiz Zito Ferreira e Rua Extremoso, com dimensão aproximada de 70m (setenta metros) de comprimento por 8m (oito metros) de largura, no Bairro Olaria;</t>
  </si>
  <si>
    <t>Rua Jeribá, no trecho situado entre as ruas Luiz Zito Ferreira e Rua Extremoso, com dimensão aproximada de 70m (setenta metros) de comprimento por 8m (oito metros) de largura, no Bairro Olaria</t>
  </si>
  <si>
    <t>2022_WANDERLEY_PORTO_310_01</t>
  </si>
  <si>
    <t>310</t>
  </si>
  <si>
    <t>Ao recapeamento asfáltico da Rua Clívia, no trecho situado entre as ruas Bela Emília e Rua Azevinho, com dimensão aproximada de 120m (cento e vinte metros) de comprimento por 8m (oito metros) de largura, no Bairro Olaria;</t>
  </si>
  <si>
    <t>Rua Clívia, no trecho situado entre as ruas Bela Emília e Rua Azevinho, com dimensão aproximada de 120m (cento e vinte metros) de comprimento por 8m (oito metros) de largura, no Bairro Olaria</t>
  </si>
  <si>
    <t>2022_WANDERLEY_PORTO_311_01</t>
  </si>
  <si>
    <t>311</t>
  </si>
  <si>
    <t>À implantação de uma Praça Pública com Bancos de concreto, gramado, arborização, iluminação e lixeiras em terreno municipal localizado na confluência das ruas Angaturama com Abaibá no bairro São Paulo;</t>
  </si>
  <si>
    <t>A P BRAGA ENGENHARIA E COMERCIO LTDA
IMTRAFF   CONSULTORIA E PROJETOS DE ENGENHARIA LTDA</t>
  </si>
  <si>
    <t>20472544000163
08103958000110</t>
  </si>
  <si>
    <t>Praça Pública na confluência das ruas Angaturama com Abaibá no bairro São Paulo</t>
  </si>
  <si>
    <t>2022_WANDERLEY_PORTO_312_01</t>
  </si>
  <si>
    <t>312</t>
  </si>
  <si>
    <t>À implantação de uma Praça Pública com Bancos de concreto, gramado, arborização, iluminação e lixeiras em terreno municipal localizado na confluência das ruas Domício Gabriel de Vasconcelos e Orlando Severo localizado no bairro Vale do Jatobá;</t>
  </si>
  <si>
    <t>13474618000135</t>
  </si>
  <si>
    <t>Praça Pública na confluência das ruas Domício Gabriel de Vasconcelos e Orlando Severo localizado no bairro Vale do Jatobá</t>
  </si>
  <si>
    <t>2022_WANDERLEY_PORTO_313_01</t>
  </si>
  <si>
    <t>313</t>
  </si>
  <si>
    <t>Ao recapeamento asfáltico da Rua Felipe Alencar de Souza, em toda sua extensão, com dimensão aproximada de 150m (cento e cinquenta metros) de comprimento por 8m (oito metros) de largura, no Bairro Conjunto Renato Ernesto;</t>
  </si>
  <si>
    <t xml:space="preserve"> Rua Felipe Alencar de Souza, em toda sua extensão, com dimensão aproximada de 150m (cento e cinquenta metros) de comprimento por 8m (oito metros) de largura, no Bairro Conjunto Renato Ernesto</t>
  </si>
  <si>
    <t>2022_WANDERLEY_PORTO_314_01</t>
  </si>
  <si>
    <t>314</t>
  </si>
  <si>
    <t>Ao reforço de dotação orçamentária destinado ao Hospital Metropolitano Doutor Célio de Castro;</t>
  </si>
  <si>
    <t>2022_WANDERLEY_PORTO_315_01</t>
  </si>
  <si>
    <t>315</t>
  </si>
  <si>
    <t>À implantação de brinquedos para fomentação do lazer na Praça da Ecologia, situada entre as ruas Raimundo Januário, Duzentos e Trinta e Cinco e Djalma Vieira Cristo, bairro Vale do Jatobá;</t>
  </si>
  <si>
    <t>3000.0100.27.812.101.2.534.449052</t>
  </si>
  <si>
    <t>3000</t>
  </si>
  <si>
    <t>SECRETARIA MUNICIPAL DE ESPORTES E LAZER</t>
  </si>
  <si>
    <t>27</t>
  </si>
  <si>
    <t>Desporto e Lazer</t>
  </si>
  <si>
    <t>Desporto Comunitário</t>
  </si>
  <si>
    <t>0101</t>
  </si>
  <si>
    <t>Promoção e Democratização das Práticas de Esportes e Lazer</t>
  </si>
  <si>
    <t>2534</t>
  </si>
  <si>
    <t>Implantação, Manutenção e Recuperação de Infraestrutura Esportiva e de Lazer</t>
  </si>
  <si>
    <t>SMEL</t>
  </si>
  <si>
    <t>Praça da Ecologia, situada entre as ruas Raimundo Januário, Duzentos e Trinta e Cinco e Djalma Vieira Cristo, bairro Vale do Jatobá</t>
  </si>
  <si>
    <t>2022_WANDERLEY_PORTO_316_01</t>
  </si>
  <si>
    <t>316</t>
  </si>
  <si>
    <t>À implantação de uma Praça Pública com pista de caminhada, bancos de concreto, gramado, arborização, iluminação e lixeiras em terreno municipal localizado na confluência das ruas Antônio Augusto da Silva, Marley Moura Abreu, Maria Peters, no Conjunto Renato Ernesto do Nascimento;</t>
  </si>
  <si>
    <t>2702.0100.18.541.233.2.811.339039</t>
  </si>
  <si>
    <t>DLA ENGENHARIA LTDA</t>
  </si>
  <si>
    <t>Praça Pública na confluência das ruas Antônio Augusto da Silva, Marley Moura Abreu, Maria Peters, no Conjunto Renato Ernesto do Nascimento</t>
  </si>
  <si>
    <t>2022_WANDERLEY_PORTO_317_01</t>
  </si>
  <si>
    <t>317</t>
  </si>
  <si>
    <t>A revitalização da quadra pública localizada na Rua Romero Gomes Vieira entre a Rua das Antenas e o Beco Pardal, no bairro Mangueiras;</t>
  </si>
  <si>
    <t>CONSTRUTORA CAMPOS E FILHOS LTDA.
SECONCRETE SERVICOS DE ENGENHARIA E CONSTRUCOES EM CONCRETO LTDA.</t>
  </si>
  <si>
    <t>05724113000153
15862332000152</t>
  </si>
  <si>
    <t>quadra pública localizada na Rua Romero Gomes Vieira entre a Rua das Antenas e o Beco Pardal, no bairro Mangueiras</t>
  </si>
  <si>
    <t>2022_WANDERLEY_PORTO_318_01</t>
  </si>
  <si>
    <t>318</t>
  </si>
  <si>
    <t>Ao reforço do custeio do Centro de Saúde do bairro Vale do Jatobá;</t>
  </si>
  <si>
    <t>18269125000187
12047164000153
34729047000102
20235404000171
20227117000110</t>
  </si>
  <si>
    <t>Centro de Saúde do bairro Vale do Jatobá</t>
  </si>
  <si>
    <t>2022_WANDERLEY_PORTO_319_01</t>
  </si>
  <si>
    <t>319</t>
  </si>
  <si>
    <t>À cobertura com rede da quadra situada na Praça L8 (Praça do Hip Hop), localizada entre as ruas Antônio Pereira Mota e Rua Frei Luiz Peixoto no bairro Vale do Jatobá;</t>
  </si>
  <si>
    <t>ABRAAO REDES SERVICOS DE INSTALACAO DE REDES DE PROTECAO EIRELI</t>
  </si>
  <si>
    <t>36604060000160</t>
  </si>
  <si>
    <t xml:space="preserve"> Praça L8 (Praça do Hip Hop), localizada entre as ruas Antônio Pereira Mota e Rua Frei Luiz Peixoto no bairro Vale do Jatobá</t>
  </si>
  <si>
    <t>Quadra situada na Praça L8 (Praça do Hip Hop), localizada entre as ruas Antônio Pereira Mota e Rua Frei Luiz Peixoto no bairro Vale do Jatobá</t>
  </si>
  <si>
    <t>2022_WANDERLEY_PORTO_320_01</t>
  </si>
  <si>
    <t>320</t>
  </si>
  <si>
    <t>A revitalização da quadra situada na Praça da Ecologia, localizada entre as ruas Raimundo Januário, Duzentos e Trinta e Cinco e Djalma Vieira Cristo, bairro Vale do Jatobá;</t>
  </si>
  <si>
    <t>Praça da Ecologia, localizada entre as ruas Raimundo Januário, Duzentos e Trinta e Cinco e Djalma Vieira Cristo, bairro Vale do Jatobá</t>
  </si>
  <si>
    <t>Quadra situada Praça da Ecologia, localizada entre as ruas Raimundo Januário, Duzentos e Trinta e Cinco e Djalma Vieira Cristo, bairro Vale do Jatobá</t>
  </si>
  <si>
    <t>2022_WANDERLEY_PORTO_321_01</t>
  </si>
  <si>
    <t>321</t>
  </si>
  <si>
    <t>Ao reforço de dotação orçamentária destinada ao Hospital Público Veterinário de Belo Horizonte (Associação Nacional de Clínicos Veterinários de Pequenos Animais - Anclivepa MG);</t>
  </si>
  <si>
    <t>2500.1100.18.542.306.2.877.335041</t>
  </si>
  <si>
    <t>335041</t>
  </si>
  <si>
    <t>ANCLIVEPA MG</t>
  </si>
  <si>
    <t>2022_WANDERLEY_PORTO_322_01</t>
  </si>
  <si>
    <t>322</t>
  </si>
  <si>
    <t>Ao recapeamento asfáltico da Rua Babaçu, entre as ruas Eilat e Passiflora, com dimensão aproximada de 130m (cento e trinta metros) de comprimento por 8m (oito metros) de largura, no Bairro Olaria;</t>
  </si>
  <si>
    <t>Rua Babaçu, entre as ruas Eilat e Passiflora, com dimensão aproximada de 130m (cento e trinta metros) de comprimento por 8m (oito metros) de largura, no Bairro Olaria</t>
  </si>
  <si>
    <t>2022_WANDERLEY_PORTO_323_01</t>
  </si>
  <si>
    <t>323</t>
  </si>
  <si>
    <t>À revitalização da pintura e manutenção do cercamento na quadra pública localizada no Bairro Átila de Paiva, situada na Avenida Teresa Cristina, nº 10;</t>
  </si>
  <si>
    <t>Bairro Átila de Paiva, situada na Avenida Teresa Cristina, nº 10</t>
  </si>
  <si>
    <t>quadra pública localizada no Bairro Átila de Paiva, situada na Avenida Teresa Cristina, nº 10</t>
  </si>
  <si>
    <t>2022_WANDERLEY_PORTO_324_01</t>
  </si>
  <si>
    <t>324</t>
  </si>
  <si>
    <t>À pintura Externa do complexo esportivo do Vale do Jatobá localizado na Avenida Senador Levindo Coelho, 2280, Bairro Vale do Jatobá;</t>
  </si>
  <si>
    <t>SECONCRETE SERVICOS DE ENGENHARIA E CONSTRUCOES EM CONCRETO LTDA.
CONSTRUTORA CAMPOS E FILHOS LTDA.</t>
  </si>
  <si>
    <t>Avenida Senador Levindo Coelho, 2280, Bairro Vale do Jatobá</t>
  </si>
  <si>
    <t>complexo esportivo do Vale do Jatobá localizado na Avenida Senador Levindo Coelho, 2280, Bairro Vale do Jatobá</t>
  </si>
  <si>
    <t>2022_WANDERLEY_PORTO_325_01</t>
  </si>
  <si>
    <t>325</t>
  </si>
  <si>
    <t>À implantação de caixa de captação de águas pluviais no entroncamento do Beco A com Rua Santa Joana Darc e Rua cabo Valério Santos na Vila Joana Darc;</t>
  </si>
  <si>
    <t>GPO MERCANTIL E ENGENHARIA LTDA</t>
  </si>
  <si>
    <t>6964275000121</t>
  </si>
  <si>
    <t>entroncamento do Beco A com Rua Santa Joana Darc e Rua cabo Valério Santos na Vila Joana Darc</t>
  </si>
  <si>
    <t>2022_WANDERLEY_PORTO_326_01</t>
  </si>
  <si>
    <t>326</t>
  </si>
  <si>
    <t>Ao reforço de dotação orçamentária destinada a reforma e ampliação do Centro de Controle de Zoonoses (CCZ) localizado na Rua Édna Quintel, 173, Bairro São Bernardo;</t>
  </si>
  <si>
    <t>2302.0600.10.122.117.1.216.449051</t>
  </si>
  <si>
    <t>Rua Édna Quintel, 173, Bairro São Bernardo</t>
  </si>
  <si>
    <t>Centro de Controle de Zoonoses (CCZ) localizado na Rua Édna Quintel, 173, Bairro São Bernardo</t>
  </si>
  <si>
    <t>2022_WANDERLEY_PORTO_327_01</t>
  </si>
  <si>
    <t>327</t>
  </si>
  <si>
    <t>Ao reforço de dotação orçamentária destinada a reforma do Centro de Saúde do Independência, localizado na rua Maria Antonieta Ferreira, 154, Independência;</t>
  </si>
  <si>
    <t>2302.0100.10.122.117.1.216.449051</t>
  </si>
  <si>
    <t>rua Maria Antonieta Ferreira, 154, Independência</t>
  </si>
  <si>
    <t>Centro de Saúde do Independência, localizado na rua Maria Antonieta Ferreira, 154, Independência</t>
  </si>
  <si>
    <t>2022_WANDERLEY_PORTO_328_01</t>
  </si>
  <si>
    <t>328</t>
  </si>
  <si>
    <t>Ao reforço de dotação orçamentária destinada a reforma do Centro de Saúde do bairro Tirol, localizado na rua Avenida Nélio Cerqueira, 15, Tirol;</t>
  </si>
  <si>
    <t>rua Avenida Nélio Cerqueira, 15, Tirol</t>
  </si>
  <si>
    <t>Centro de Saúde do bairro Tirol, localizado na rua Avenida Nélio Cerqueira, 15, Tirol</t>
  </si>
  <si>
    <t>2022_WANDERLEY_PORTO_329_01</t>
  </si>
  <si>
    <t>329</t>
  </si>
  <si>
    <t>Ao reforço de dotação orçamentária destinado a Fundação Benjamim Guimarães (Hospital da Baleia), localizado na Rua Juramento, 1464, Bairro Saudade;</t>
  </si>
  <si>
    <t>2302.0300.10.302.114.2.894.339039</t>
  </si>
  <si>
    <t xml:space="preserve"> Rua Juramento, 1464, Bairro Saudade</t>
  </si>
  <si>
    <t xml:space="preserve"> Fundação Benjamim Guimarães (Hospital da Baleia), localizado na Rua Juramento, 1464, Bairro Saudade</t>
  </si>
  <si>
    <t>2022_WANDERLEY_PORTO_330_01</t>
  </si>
  <si>
    <t>330</t>
  </si>
  <si>
    <t>Ao reforço de dotação orçamentária destinado a Fundação Hospitalar do Estado de Minas Gerais (Hospital Júlia Kubitschek), localizado na Rua Doutor Cristiano Rezende, 2745, Bairro Flávio Marques Lisboa;</t>
  </si>
  <si>
    <t>2302.0100.10.302.114.2.894.339039</t>
  </si>
  <si>
    <t xml:space="preserve"> Rua Doutor Cristiano Rezende, 2745, Bairro Flávio Marques Lisboa</t>
  </si>
  <si>
    <t>Hospital Júlia Kubitschek, localizado na Rua Doutor Cristiano Rezende, 2745, Bairro Flávio Marques Lisboa</t>
  </si>
  <si>
    <t>2022_WANDERLEY_PORTO_331_01</t>
  </si>
  <si>
    <t>331</t>
  </si>
  <si>
    <t>Ao reforço de dotação orçamentária destinado a Fundação Hospitalar do Estado de Minas Gerais (Hospital Eduardo de Menezes), localizado na Rua Doutor Cristiano Rezende, 2213, Bairro Bonsucesso;</t>
  </si>
  <si>
    <t>Hospital Eduardo de Menezes, localizado na Rua Doutor Cristiano Rezende, 2213, Bairro Bonsucesso</t>
  </si>
  <si>
    <t>2022_WANDERLEY_PORTO_332_01</t>
  </si>
  <si>
    <t>332</t>
  </si>
  <si>
    <t>Ao reforço de dotação orçamentária destinado ao Hospital Madre Teresa, localizado na Avenida Raja Gabáglia, 1002, Bairro Gutierrez;</t>
  </si>
  <si>
    <t>Avenida Raja Gabáglia, 1002, Bairro Gutierrez</t>
  </si>
  <si>
    <t>Hospital Madre Teresa, localizado na Avenida Raja Gabáglia, 1002, Bairro Gutierrez</t>
  </si>
  <si>
    <t>2022_WANDERLEY_PORTO_333_01</t>
  </si>
  <si>
    <t>Ao reforço de dotação orçamentária destinado a Associação Mário Penna (Hospital Mario Penna), localizado na Avenida Churchil, 230, Bairro Santa Efigênia;</t>
  </si>
  <si>
    <t>ASSOCIACAO MARIO PENNA CANCELADO A PEDIDO DA ENTIDADE</t>
  </si>
  <si>
    <t>Avenida Churchil, 230, Bairro Santa Efigênia</t>
  </si>
  <si>
    <t>Associação Mário Penna (Hospital Mario Penna), localizado na Avenida Churchil, 230, Bairro Santa Efigênia</t>
  </si>
  <si>
    <t>2022_WANDERLEY_PORTO_334_01</t>
  </si>
  <si>
    <t>Ao reforço de dotação orçamentária destinado a Associação Evangélica Beneficente de Gerais (Hospital Evangélico), localizado na Rua Alípio Goulart, 25, Bairro Serra;</t>
  </si>
  <si>
    <t>Rua Alípio Goulart, 25, Bairro Serra</t>
  </si>
  <si>
    <t>Associação Evangélica Beneficente de Gerais (Hospital Evangélico), localizado na Rua Alípio Goulart, 25, Bairro Serra</t>
  </si>
  <si>
    <t>2022_WANDERLEY_PORTO_335_01</t>
  </si>
  <si>
    <t>335</t>
  </si>
  <si>
    <t>Ao reforço de dotação orçamentária destinado ao Hospital Metropolitano Odilon Behrens, localizado na Rua Formiga, 50, Bairro São Cristóvão;</t>
  </si>
  <si>
    <t>2302.0500.10.302.114.2.894.339139</t>
  </si>
  <si>
    <t>Rua Formiga, 50, Bairro São Cristóvão</t>
  </si>
  <si>
    <t>Hospital Metropolitano Odilon Behrens, localizado na Rua Formiga, 50, Bairro São Cristóvão</t>
  </si>
  <si>
    <t>2022_WANDERLEY_PORTO_336_01</t>
  </si>
  <si>
    <t>336</t>
  </si>
  <si>
    <t>Ao reforço de dotação orçamentária destinada a reforma do Centro de Saúde Maria Madalena Teodoro, localizado na Rua Flor de Maio, 172, Bairro Lindéia;</t>
  </si>
  <si>
    <t>Rua Flor de Maio, 172, Bairro Lindéia</t>
  </si>
  <si>
    <t>Centro de Saúde Maria Madalena Teodoro, localizado na Rua Flor de Maio, 172, Bairro Lindéia</t>
  </si>
  <si>
    <t>2022_WESLEY_61_01</t>
  </si>
  <si>
    <t>2022_WESLEY</t>
  </si>
  <si>
    <t>61</t>
  </si>
  <si>
    <t>Wesley</t>
  </si>
  <si>
    <t>PROS</t>
  </si>
  <si>
    <t>Aquisição de sete ventiladores para sete consultórios no Centro de Saúde Francisco Gomes Barbosa (TIROL), localizado na Avenida Nélio Cerqueira, 15 - Tirol;</t>
  </si>
  <si>
    <t>Avenida Nélio Cerqueira, 15 - Tirol</t>
  </si>
  <si>
    <t>Centro de Saúde Francisco Gomes Barbosa (TIROL), localizado na Avenida Nélio Cerqueira, 15 - Tirol</t>
  </si>
  <si>
    <t>2022_WESLEY_76_01</t>
  </si>
  <si>
    <t>76</t>
  </si>
  <si>
    <t>Instalação de luminária pública, padrão SUDECAP no poste nº 150 da Rua Vereador Antônio Menezes, próximo ao número 660 (escadão) no bairro Independência, regional Barreiro;</t>
  </si>
  <si>
    <t>poste nº 150 da Rua Vereador Antônio Menezes, próximo ao número 660 (escadão) no bairro Independência, regional Barreiro</t>
  </si>
  <si>
    <t>2022_WESLEY_99_01</t>
  </si>
  <si>
    <t>99</t>
  </si>
  <si>
    <t>À pavimentação asfáltica da Rua Geraldo Costa, no trecho situado entre as ruas Pacífico Cardoso de Andrade e Maria Rita Borges, com dimensão aproximada de 95m de comprimento por 8.5m de largura, no Bairro Independência – CEP: 30.672-720;</t>
  </si>
  <si>
    <t>Rua Geraldo Costa, no trecho situado entre as ruas Pacífico Cardoso de Andrade e Maria Rita Borges</t>
  </si>
  <si>
    <t>2022_WESLEY_185_01</t>
  </si>
  <si>
    <t>185</t>
  </si>
  <si>
    <t>Aquisição e instalação de toldos na área externa do Centro de Saúde Santa Cecília, localizado na Rua Paulo Duarte, 280, bairro Santa Cecília;</t>
  </si>
  <si>
    <t>2302.0100.10.122.117.2.662.339039</t>
  </si>
  <si>
    <t>2662</t>
  </si>
  <si>
    <t>LC TENDAS LTDA</t>
  </si>
  <si>
    <t>35067125000113</t>
  </si>
  <si>
    <t xml:space="preserve"> Rua Paulo Duarte, 280, bairro Santa Cecília</t>
  </si>
  <si>
    <t>Centro de Saúde Santa Cecília, localizado na Rua Paulo Duarte, 280, bairro Santa Cecília</t>
  </si>
  <si>
    <t>2022_WESLEY_186_01</t>
  </si>
  <si>
    <t>186</t>
  </si>
  <si>
    <t>Aquisição e instalação de toldos no Centro de Saúde Mangueiras, localizado na Rua Chafariz, 04, bairro Mangueiras;</t>
  </si>
  <si>
    <t>TENDAS ALUBAN LTDA</t>
  </si>
  <si>
    <t>22949065000110</t>
  </si>
  <si>
    <t>Rua Chafariz, 04, bairro Mangueiras</t>
  </si>
  <si>
    <t>Centro de Saúde Mangueiras, localizado na Rua Chafariz, 04, bairro Mangueiras</t>
  </si>
  <si>
    <t>2022_WESLEY_187_01</t>
  </si>
  <si>
    <t>187</t>
  </si>
  <si>
    <t>Pintura esmalte sintético das esquadrias metálicas da porta da sala 2 e das janelas da cantina; e pintura acrílica fosca nos fundos da Escola Municipal de Educação Infantil Petrópolis, localizada na Rua Duzentos e Oitenta e Cinco, 107, bairro Petrópolis;</t>
  </si>
  <si>
    <t>2200.0100.12.361.168.2.046.445042</t>
  </si>
  <si>
    <t>CAIXA ESCOLAR DA ESCOLA MUNICIPAL DE EDUCACAO INFANTIL PETROPOLIS</t>
  </si>
  <si>
    <t>32672567000109</t>
  </si>
  <si>
    <t xml:space="preserve"> Rua Duzentos e Oitenta e Cinco, 107, bairro Petrópolis</t>
  </si>
  <si>
    <t>Escola Municipal de Educação Infantil Petrópolis, localizada na Rua Duzentos e Oitenta e Cinco, 107, bairro Petrópolis</t>
  </si>
  <si>
    <t>2022_WESLEY_188_01</t>
  </si>
  <si>
    <t>188</t>
  </si>
  <si>
    <t>Revitalização dos alambrados frontal e direito, próximo a área de skate, com medida total de 132 m², no Campo de Futebol do Parque Ecológico da Vila Pinho, na Rua Coletora, 916, bairro Vila Pinho;</t>
  </si>
  <si>
    <t>CONSTRUTORA ITAMARACA LTDA</t>
  </si>
  <si>
    <t>30018048000198</t>
  </si>
  <si>
    <t>Rua Coletora, 916, bairro Vila Pinho</t>
  </si>
  <si>
    <t>Campo de Futebol do Parque Ecológico da Vila Pinho, na Rua Coletora, 916, bairro Vila Pinho</t>
  </si>
  <si>
    <t>2022_WESLEY_189_01</t>
  </si>
  <si>
    <t>189</t>
  </si>
  <si>
    <t>Construção de mini arquibancada, de 20m de comprimento, ao lado esquerdo do campo de futebol localizado próximo a área de skate, no Parque Ecológico da Vila Pinho, localizado na Rua Coletora, 916, bairro Vila Pinho;</t>
  </si>
  <si>
    <t>2022_WESLEY_190_01</t>
  </si>
  <si>
    <t>190</t>
  </si>
  <si>
    <t>Revitalização da Praça Águas Claras, com área total de 1.425m², localizada na Rua Alameda 3, esquina com Rua Eliana Silva, do bairro Águas Claras;</t>
  </si>
  <si>
    <t>CONSTRUTORA UNIAO E SERVICOS LTDA</t>
  </si>
  <si>
    <t>12459473000130</t>
  </si>
  <si>
    <t>Praça Águas Claras, com área total de 1.425m², localizada na Rua Alameda 3, esquina com Rua Eliana Silva, do bairro Águas Claras</t>
  </si>
  <si>
    <t>2022_WESLEY_191_01</t>
  </si>
  <si>
    <t>191</t>
  </si>
  <si>
    <t>Aquisição de projetores de interatividade, sem reflexos, de até 100 polegadas, a serem destinados para a Escola Municipal Jonas Barcellos Côrrea, localizado na Rua Professora Dirce Maria, 240, bairro Petrópolis;</t>
  </si>
  <si>
    <t>2200.0100.12.361.168.2.046.339039</t>
  </si>
  <si>
    <t>CAIXA ESCOLAR DA ESCOLA MUNICIPAL JONAS BARCELLOS CORREA</t>
  </si>
  <si>
    <t>19138460000109</t>
  </si>
  <si>
    <t>Rua Professora Dirce Maria, 240, bairro Petrópolis</t>
  </si>
  <si>
    <t>Escola Municipal Jonas Barcellos Côrrea, localizado na Rua Professora Dirce Maria, 240, bairro Petrópolis</t>
  </si>
  <si>
    <t>2022_WESLEY_192_01</t>
  </si>
  <si>
    <t>192</t>
  </si>
  <si>
    <t>Pintura de consultórios, sala de observação e banheiros do Centro de Saúde Francisco Gomes Barbosa (TIROL), localizado na Avenida Nélio Cerqueira, 15, bairro Tirol;</t>
  </si>
  <si>
    <t>Avenida Nélio Cerqueira, 15, bairro Tirol</t>
  </si>
  <si>
    <t>Centro de Saúde Francisco Gomes Barbosa (TIROL), localizado na Avenida Nélio Cerqueira, 15, bairro Tirol</t>
  </si>
  <si>
    <t>2022_WESLEY_193_01</t>
  </si>
  <si>
    <t>193</t>
  </si>
  <si>
    <t>Revitalização da Praça L7, localizada na Rua Cento e Sete, esquina com Rua José Tomé e Rua Raimundo Afonso Figueiredo, esquina com Rua Antônio Perreira Mota, bairro Vale do Jatobá;</t>
  </si>
  <si>
    <t>Praça L7, localizada na Rua Cento e Sete, esquina com Rua José Tomé e Rua Raimundo Afonso Figueiredo, esquina com Rua Antônio Perreira Mota, bairro Vale do Jatobá</t>
  </si>
  <si>
    <t>2022_WESLEY_194_01</t>
  </si>
  <si>
    <t>194</t>
  </si>
  <si>
    <t>Revitalização da praça L11, localizada na Rua Paulo Alves de Vasconcellos, esquina com Rua Edmundo Oliveira, do bairro Vale do Jatobá;</t>
  </si>
  <si>
    <t xml:space="preserve"> praça L11, localizada na Rua Paulo Alves de Vasconcellos, esquina com Rua Edmundo Oliveira, do bairro Vale do Jatobá</t>
  </si>
  <si>
    <t>2022_WESLEY_195_01</t>
  </si>
  <si>
    <t>195</t>
  </si>
  <si>
    <t>Revitalização e construção de alambrado, com área total de 205 m², no Campo de Futebol do Santinha, localizado na Rua Dario Ferreira Mendes, 48 - bairro Santa Rita;</t>
  </si>
  <si>
    <t>Rua Dario Ferreira Mendes, 48 - bairro Santa Rita</t>
  </si>
  <si>
    <t>Campo de Futebol do Santinha, localizado na Rua Dario Ferreira Mendes, 48 - bairro Santa Rita</t>
  </si>
  <si>
    <t>2022_WESLEY_196_01</t>
  </si>
  <si>
    <t>196</t>
  </si>
  <si>
    <t>Aquisição de cobertura de sombreador no Centro de Saúde Cachoeirinha, localizado na Rua Borborema, 1.325, bairro Cachoeirinha;</t>
  </si>
  <si>
    <t>2302.0400.10.122.117.2.662.339039</t>
  </si>
  <si>
    <t xml:space="preserve"> Rua Borborema, 1.325, bairro Cachoeirinha</t>
  </si>
  <si>
    <t>Centro de Saúde Cachoeirinha, localizado na Rua Borborema, 1.325, bairro Cachoeirinha</t>
  </si>
  <si>
    <t>2022_WESLEY_197_01</t>
  </si>
  <si>
    <t>197</t>
  </si>
  <si>
    <t>Revitalização de meio-fio, arborização e instalação de mesas e bancos de concreto na área pública, situada na Rua Visconde de Mauá, esquina com Rua Francisco Teles, no bairro Califórnia;</t>
  </si>
  <si>
    <t>Rua Visconde de Mauá, esquina com Rua Francisco Teles, no bairro Califórnia</t>
  </si>
  <si>
    <t>2022_WESLEY_198_01</t>
  </si>
  <si>
    <t>198</t>
  </si>
  <si>
    <t>Aquisição de gradil de aço eletrossoldado e galvanizado, para instalação na área externa de, aproximadamente, 45m da Escola Municipal de Educação Infantil Califórnia II, localizada na rua Christina Maria de Assis, 550, com Rua Oswaldo Cardoso, bairro Califórnia;</t>
  </si>
  <si>
    <t>CAIXA ESCOLAR DA ESCOLA MUNICIPAL DE EDUCACAO INFANTIL CALIFORNIA II</t>
  </si>
  <si>
    <t>32605799000136</t>
  </si>
  <si>
    <t>rua Christina Maria de Assis, 550, com Rua Oswaldo Cardoso, bairro Califórnia</t>
  </si>
  <si>
    <t>Escola Municipal de Educação Infantil Califórnia II, localizada na rua Christina Maria de Assis, 550, com Rua Oswaldo Cardoso, bairro Califórnia</t>
  </si>
  <si>
    <t>2022_WESLEY_199_01</t>
  </si>
  <si>
    <t>199</t>
  </si>
  <si>
    <t>Aquisição de toldo, no Centro de Saúde Gentil Gomes, localizado na Rua Manuel Passo, 580, bairro Santa Cruz;</t>
  </si>
  <si>
    <t>Rua Manuel Passo, 580, bairro Santa Cruz</t>
  </si>
  <si>
    <t>Centro de Saúde Gentil Gomes, localizado na Rua Manuel Passo, 580, bairro Santa Cruz</t>
  </si>
  <si>
    <t>2022_WESLEY_200_01</t>
  </si>
  <si>
    <t>200</t>
  </si>
  <si>
    <t>Aquisição de toldo em acrílico na área externa de, aproximadamente, 18m² da Escola Municipal Cônego Sequeira, localizada na Rua Flor Chuva de Prata, 40, bairro Mineirão;</t>
  </si>
  <si>
    <t>CAIXA ESCOLAR DE ESCOLA MUNICIPAL CONEGO SEQUEIRA</t>
  </si>
  <si>
    <t>16897175000183</t>
  </si>
  <si>
    <t>Rua Flor Chuva de Prata, 40, bairro Mineirão</t>
  </si>
  <si>
    <t>Escola Municipal Cônego Sequeira, localizada na Rua Flor Chuva de Prata, 40, bairro Mineirão</t>
  </si>
  <si>
    <t>2022_WESLEY_201_01</t>
  </si>
  <si>
    <t>201</t>
  </si>
  <si>
    <t>Aquisição de Projetores de Interatividade, sem reflexos e de até 100 polegadas para a Escola Municipal da Vila Pinho, localizado na Rua Coletora, 956, bairro Vila Pinho;</t>
  </si>
  <si>
    <t>CAIXA ESCOLAR DA ESCOLA MUNICIPAL DA VILA PINHO</t>
  </si>
  <si>
    <t>977499000191</t>
  </si>
  <si>
    <t>Rua Coletora, 956, bairro Vila Pinho</t>
  </si>
  <si>
    <t>Escola Municipal da Vila Pinho, localizado na Rua Coletora, 956, bairro Vila Pinho</t>
  </si>
  <si>
    <t>2022_WESLEY_202_01</t>
  </si>
  <si>
    <t>202</t>
  </si>
  <si>
    <t>Aquisição de Projetores de Interatividade, sem reflexos e de até 100 polegadas para a Escola Municipal Vinícius de Moraes, localizado na Rua Sebastião Moreira, 409, bairro Tirol;</t>
  </si>
  <si>
    <t>Rua Sebastião Moreira, 409, bairro Tirol</t>
  </si>
  <si>
    <t>Escola Municipal Vinícius de Moraes, localizado na Rua Sebastião Moreira, 409, bairro Tirol</t>
  </si>
  <si>
    <t>2022_WESLEY_203_01</t>
  </si>
  <si>
    <t>203</t>
  </si>
  <si>
    <t>Construção de vestiário no Campo Esportivo Rio Petrópolis F.C., localizado na Rua Tocha de Fogo Santo, 20, bairro Vitória da Conquista;</t>
  </si>
  <si>
    <t>3D TOPOGRAFIA E LOCACOES DE EQUIPAMENTOS LTDA.
MMART ENGENHARIA DE PROJETOS EIRELI</t>
  </si>
  <si>
    <t>12048208000160
24773769000100</t>
  </si>
  <si>
    <t>Rua Tocha de Fogo Santo, 20, bairro Vitória da Conquista</t>
  </si>
  <si>
    <t>Campo Esportivo Rio Petrópolis F.C., localizado na Rua Tocha de Fogo Santo, 20, bairro Vitória da Conquista</t>
  </si>
  <si>
    <t>2022_WESLEY_257_01</t>
  </si>
  <si>
    <t>257</t>
  </si>
  <si>
    <t>Pintura em salas, banheiros e cozinha, com medida total aproximada de 139m² na Casa de Zoonoses Santa Cecília, localizada na Rua João Firmino Luzia, 56, Santa Cecília;</t>
  </si>
  <si>
    <t>Rua João Firmino Luzia, 56, Santa Cecília</t>
  </si>
  <si>
    <t>Casa de Zoonoses Santa Cecília, localizada na Rua João Firmino Luzia, 56, Santa Cecília</t>
  </si>
  <si>
    <t>2022_WESLEY_258_01</t>
  </si>
  <si>
    <t>258</t>
  </si>
  <si>
    <t>Aquisição de equipamentos hospitalares como ventiladores, pressiométricos e volumétricos para o Hospital Júlia Kubitschek (CNES: 0027022), localizado na Rua Doutor Cristiano Rezende, 2.745, bairro Milionários;</t>
  </si>
  <si>
    <t>Rua Doutor Cristiano Rezende, 2.745, bairro Milionários</t>
  </si>
  <si>
    <t>Hospital Júlia Kubitschek (CNES: 0027022), localizado na Rua Doutor Cristiano Rezende, 2.745, bairro Milionários</t>
  </si>
  <si>
    <t>2022_WESLEY_259_01</t>
  </si>
  <si>
    <t>259</t>
  </si>
  <si>
    <t>Aquisição de equipamentos hospitalares como ventiladores, pressiométricos e volumétricos para o Hospital Maternidade Sofia Feldman (CNES: 0026794), localizado na Rua Antônio Bandeira, 1.060 - bairro Tupi;</t>
  </si>
  <si>
    <t>Rua Antônio Bandeira, 1.060 - bairro Tupi</t>
  </si>
  <si>
    <t>Hospital Maternidade Sofia Feldman (CNES: 0026794), localizado na Rua Antônio Bandeira, 1.060 - bairro Tupi</t>
  </si>
  <si>
    <t>2022_WESLEY_260_01</t>
  </si>
  <si>
    <t>260</t>
  </si>
  <si>
    <t>Aquisição de equipamentos hospitalares como ventiladores, pressiométricos e volumétricos para o Hospital Risoleta Tolentino Neves (CNES 0027863), localizado na Rua das Gabirobas, 01, bairro Vila Cloris;</t>
  </si>
  <si>
    <t>Rua das Gabirobas, 01, bairro Vila Cloris</t>
  </si>
  <si>
    <t>Hospital Risoleta Tolentino Neves (CNES 0027863), localizado na Rua das Gabirobas, 01, bairro Vila Cloris</t>
  </si>
  <si>
    <t>2022_WESLEY_261_01</t>
  </si>
  <si>
    <t>261</t>
  </si>
  <si>
    <t>Aquisição de equipamentos hospitalares como ventiladores, pressiométricos e volumétricos para o Hospital Metropolitano Doutor Célio de Castro (CNES: 7866801), localizado na Rua Dona Luiza, 311, bairro Milionários;</t>
  </si>
  <si>
    <t>Rua Dona Luiza, 311, bairro Milionários</t>
  </si>
  <si>
    <t>Hospital Metropolitano Doutor Célio de Castro (CNES: 7866801), localizado na Rua Dona Luiza, 311, bairro Milionários</t>
  </si>
  <si>
    <t>2022_WESLEY_262_01</t>
  </si>
  <si>
    <t>262</t>
  </si>
  <si>
    <t>Aquisição de equipamentos hospitalares como ventiladores, pressiométricos e volumétricos para o Hospital Eduardo de Menezes (CNES: 2181770), localizado na Rua Doutor Cristiano Rezende, 2.213, bairro Bonsucesso;</t>
  </si>
  <si>
    <t>2302 - Fundo Municipal de Saúde</t>
  </si>
  <si>
    <t>Rua Doutor Cristiano Rezende, 2.213, bairro Bonsucesso</t>
  </si>
  <si>
    <t>Hospital Eduardo de Menezes (CNES: 2181770), localizado na Rua Doutor Cristiano Rezende, 2.213, bairro Bonsucesso</t>
  </si>
  <si>
    <t>2022_WESLEY_263_01</t>
  </si>
  <si>
    <t>263</t>
  </si>
  <si>
    <t>Destinação de recursos para Associação Shekinah de Assistência Social - ASAS, CNPJ 01.160.544/0001-83, para a execução de atividades socioassistenciais, de acordo com o disposto na Lei Federal nº 8.742/93, em consonância com a referida inscrição no Conselho Municipal de Assistência Social de Belo Horizonte – CMAS-BH;</t>
  </si>
  <si>
    <t>ASSOCIACAO SHEKINAH DE ASSISTENCIA SOCIAL ASAS</t>
  </si>
  <si>
    <t>1160544000183</t>
  </si>
  <si>
    <t>2022_WILSINHO_DA_TABU_437_01</t>
  </si>
  <si>
    <t>2022_WILSINHO_DA_TABU</t>
  </si>
  <si>
    <t>437</t>
  </si>
  <si>
    <t>Wilsinho da Tabu</t>
  </si>
  <si>
    <t>Ao reforço de dotação orçamentária para repasse financeira para aquisição de equipamento pela Fundação de Assistência Integral a Saúde - Hospital Sofia Feldman;</t>
  </si>
  <si>
    <t>2022_WILSINHO_DA_TABU_444_01</t>
  </si>
  <si>
    <t>444</t>
  </si>
  <si>
    <t>Ao reforço de dotação orçamentária para aquisição de equipamentos e materiais permanentes para o Centro de Saúde Heliópolis, rua dos Beneditinos 120 bairro Planalto;</t>
  </si>
  <si>
    <t>2302.0600.10.301.157.2.690.449052</t>
  </si>
  <si>
    <t>Igm Comercio Varejista de Pecas e Acessorios Para Veiculos Ltda
Comercial Silvestre Ltda
Repremig Representacao e Comercio de Minas Gerais Ltda
Drive A Informatica Ltda
Alfa Med Sistemas Medicos Ltda</t>
  </si>
  <si>
    <t>23140085000109
41823463000130
65149197000251
00677870000108
11405384000149</t>
  </si>
  <si>
    <t>rua dos Beneditinos 120 bairro Planalto</t>
  </si>
  <si>
    <t>Centro de Saúde Heliópolis, rua dos Beneditinos 120 bairro Planalto</t>
  </si>
  <si>
    <t>2022_WILSINHO_DA_TABU_445_01</t>
  </si>
  <si>
    <t>445</t>
  </si>
  <si>
    <t>Ao reforço de dotação orçamentária para execução Ponte Sobre o Ribeirão Arrudas, Avenida doa Andradas sentido a rua Mariano de Abreu - Esplanada;</t>
  </si>
  <si>
    <t>Festi Festi Consultoria e Planejamento Ltda
Conservasolo Engenharia de Projetos e Consultoria Tecnica Ltda</t>
  </si>
  <si>
    <t>12302239000103
21728225000139</t>
  </si>
  <si>
    <t>Avenida dos Andradas sentido a rua Mariano de Abreu - Esplanada</t>
  </si>
  <si>
    <t>2022_WILSINHO_DA_TABU_446_01</t>
  </si>
  <si>
    <t>446</t>
  </si>
  <si>
    <t>Ao reforço de dotação orçamentária para execução Ponte Sobre o Ribeirão Arrudas Avenida Teresa Cristina próximo à Praça Oswaldo Zuccherate, Nova Suíça;</t>
  </si>
  <si>
    <t>FESTI FESTI CONSULTORIA E PLANEJAMENTO LTDA</t>
  </si>
  <si>
    <t>12302239000103</t>
  </si>
  <si>
    <t>Avenida Teresa Cristina próximo à Praça Oswaldo Zuccherate, Nova Suíça</t>
  </si>
  <si>
    <t>Ponte Sobre o Ribeirão Arrudas Avenida Teresa Cristina próximo à Praça Oswaldo Zuccherate, Nova Suíça</t>
  </si>
  <si>
    <t>2022_WILSINHO_DA_TABU_447_01</t>
  </si>
  <si>
    <t>447</t>
  </si>
  <si>
    <t>Ao reforço de dotação orçamentária para elaboração de Projeto de rede pluvial na rua Conselheiro Lafaiete, no trecho entre as ruas São Luiz e Avenida Petrolina Bairro Sagrada Família;</t>
  </si>
  <si>
    <t>Techvias Engenharia Ltda
Gpo Mercantil e Engenharia Ltda</t>
  </si>
  <si>
    <t>11871903000164
06964275000121</t>
  </si>
  <si>
    <t>rua Conselheiro Lafaiete, no trecho entre as ruas São Luiz e Avenida Petrolina Bairro Sagrada Família</t>
  </si>
  <si>
    <t>Projeto de rede pluvial na rua Conselheiro Lafaiete, no trecho entre as ruas São Luiz e Avenida Petrolina Bairro Sagrada Família</t>
  </si>
  <si>
    <t>2022_WILSINHO_DA_TABU_448_01</t>
  </si>
  <si>
    <t>448</t>
  </si>
  <si>
    <t>Ao reforço de dotação orçamentária para elaboração projeto Rede Pluvial na rua Minduri no trecho entre as ruas Vicente Risola e rua Timóteo Bairro Santa Inês;</t>
  </si>
  <si>
    <t>INOVA BRASIL CONSULTORIA EM PROJETOS LTDA</t>
  </si>
  <si>
    <t>29309355000149</t>
  </si>
  <si>
    <t>rua Minduri no trecho entre as ruas Vicente Risola e rua Timóteo Bairro Santa Inês</t>
  </si>
  <si>
    <t>Rede Pluvial na rua Minduri no trecho entre as ruas Vicente Risola e rua Timóteo Bairro Santa Inês</t>
  </si>
  <si>
    <t>2022_WILSINHO_DA_TABU_449_01</t>
  </si>
  <si>
    <t>449</t>
  </si>
  <si>
    <t>Ao reforço de dotação orçamentária para execução de instalação de corrimão na rua Pureza no trecho entre rua Bolonha e Avenida Petrolina Bairro Horto;</t>
  </si>
  <si>
    <t xml:space="preserve"> rua Pureza no trecho entre rua Bolonha e Avenida Petrolina Bairro Horto</t>
  </si>
  <si>
    <t>2022_WILSINHO_DA_TABU_450_01</t>
  </si>
  <si>
    <t>450</t>
  </si>
  <si>
    <t>Ao reforço de dotação orçamentária para elaboração de projeto para contenção de erosão Rua 03 Conjunto Bethânia;</t>
  </si>
  <si>
    <t>2700.0700.15.451.171.1.399.449051</t>
  </si>
  <si>
    <t>0171</t>
  </si>
  <si>
    <t>GERENCIAMENTO DE RISCOS EM ENCOSTAS</t>
  </si>
  <si>
    <t>1399</t>
  </si>
  <si>
    <t>INTERVENÇÕES DE MITIGAÇÃO DE RISCOS EM ENCOSTAS</t>
  </si>
  <si>
    <t>SANEHATEM CONSULTORIA E PROJETOS LTDA</t>
  </si>
  <si>
    <t>5065971000133</t>
  </si>
  <si>
    <t>Rua 03 Conjunto Bethânia</t>
  </si>
  <si>
    <t>2022_WILSINHO_DA_TABU_451_01</t>
  </si>
  <si>
    <t>Ao reforço de dotação orçamentária para elaboração de projeto para construção de ciclovia na avenida José Cândido da Silveira no trecho entre as ruas Conselheiro Lafaiete e Rua Cel. Alberto Gomes;</t>
  </si>
  <si>
    <t>2700.15.451.062.1330.449051</t>
  </si>
  <si>
    <t>1330</t>
  </si>
  <si>
    <t>Obras Estruturantes do Sistema Viário</t>
  </si>
  <si>
    <t xml:space="preserve"> avenida José Cândido da Silveira no trecho entre as ruas Conselheiro Lafaiete e Rua Cel. Alberto Gomes</t>
  </si>
  <si>
    <t>ciclovia na avenida José Cândido da Silveira no trecho entre as ruas Conselheiro Lafaiete e Rua Cel. Alberto Gomes</t>
  </si>
  <si>
    <t>2022_WILSINHO_DA_TABU_452_01</t>
  </si>
  <si>
    <t>452</t>
  </si>
  <si>
    <t>Ao reforço de dotação orçamentária para elaboração de plano de manejo para animais abandonados no Município, dentro da subação 0009 - Realização de Ações para Atendimento Médico-Veterinário à Comunidade de Baixa Renda;</t>
  </si>
  <si>
    <t>2500.1100.18.542.306.2.877.339039</t>
  </si>
  <si>
    <t>2022_WILSINHO_DA_TABU_453_01</t>
  </si>
  <si>
    <t>453</t>
  </si>
  <si>
    <t>Ao reforço de dotação orçamentária para realização de campanha de conscientização e incentivo ao aleitamento materno em atendimento à subação incentivo ao aleitamento materno;</t>
  </si>
  <si>
    <t>2302.3401.10.301.157.2.690.335043</t>
  </si>
  <si>
    <t>Aprosmig Associacao das Prostitutas de Minas Gerais</t>
  </si>
  <si>
    <t>2022_WILSINHO_DA_TABU_454_01</t>
  </si>
  <si>
    <t>454</t>
  </si>
  <si>
    <t>Ao reforço de dotação orçamentária do CERSAM;</t>
  </si>
  <si>
    <t>2022_WILSINHO_DA_TABU_455_01</t>
  </si>
  <si>
    <t>455</t>
  </si>
  <si>
    <t>Ao reforço de dotação orçamentária para repasse ao Hospital Madre Teresa;</t>
  </si>
  <si>
    <t>2022_WILSINHO_DA_TABU_456_01</t>
  </si>
  <si>
    <t>456</t>
  </si>
  <si>
    <t>Ao reforço de dotação orçamentária para repasse à Santa Casa de Misericórdia de Belo Horizonte;</t>
  </si>
  <si>
    <t>2022_WILSINHO_DA_TABU_457_01</t>
  </si>
  <si>
    <t>457</t>
  </si>
  <si>
    <t>Ao reforço de dotação orçamentária para repasse ao Hospital da Baleia;</t>
  </si>
  <si>
    <t>2022_WILSINHO_DA_TABU_458_01</t>
  </si>
  <si>
    <t>458</t>
  </si>
  <si>
    <t>Ao reforço de dotação orçamentária para repasse à Associação Evangélica Beneficente de Minas Gerais;</t>
  </si>
  <si>
    <t>2022_WILSINHO_DA_TABU_459_01</t>
  </si>
  <si>
    <t>459</t>
  </si>
  <si>
    <t>Ao reforço de dotação orçamentária para execução de oba de adequação e cercamento da área do parque Rosinha Cadar, bairro Santo Agostinho, para proporcionar ambiente de interação entre animais domésticos e população. Denominado Parcão;</t>
  </si>
  <si>
    <t>Milton Bercelli Me
Construtora Campos e Filhos Ltda</t>
  </si>
  <si>
    <t>29818912000157
15862332000152</t>
  </si>
  <si>
    <t xml:space="preserve"> bairro Santo Agostinho</t>
  </si>
  <si>
    <t xml:space="preserve"> parque Rosinha Cadar, bairro Santo Agostinho, para proporcionar ambiente de interação entre animais domésticos e população. Denominado Parcão</t>
  </si>
  <si>
    <t>2022_WILSINHO_DA_TABU_460_01</t>
  </si>
  <si>
    <t>460</t>
  </si>
  <si>
    <t>Ao reforço de dotação orçamentária para repasse ao Hospital Alberto Cavalcanti - 0001 - Atendimento da População;</t>
  </si>
  <si>
    <t>2022_WILSINHO_DA_TABU_461_01</t>
  </si>
  <si>
    <t>461</t>
  </si>
  <si>
    <t>Ao reforço de dotação orçamentária para revitalização da quadra poliesportiva da Praça da Amizade localizada na confluência entre as ruas Alair Pereira de Melo, Rua Mário José Francisco, Rua José Lobato Ferrari, rua Sabem e rua Timor, no Bairro Betânia;</t>
  </si>
  <si>
    <t>2700.27.812.101.1213.449051</t>
  </si>
  <si>
    <t>1213</t>
  </si>
  <si>
    <t>Construção, Ampliação e Reforma de Equipamentos Esportivos e Áreas de Lazer</t>
  </si>
  <si>
    <t>JTT LOCACOES E SERVICOS LTDA.
MAUMA ENGENHARIA E SERVICOS LTDA.</t>
  </si>
  <si>
    <t>Praça da Amizade localizada na confluência entre as ruas Alair Pereira de Melo, Rua Mário José Francisco, Rua José Lobato Ferrari, rua Sabem e rua Timor, no Bairro Betânia</t>
  </si>
  <si>
    <t>quadra poliesportiva da Praça da Amizade localizada na confluência entre as ruas Alair Pereira de Melo, Rua Mário José Francisco, Rua José Lobato Ferrari, rua Sabem e rua Timor, no Bairro Betânia</t>
  </si>
  <si>
    <t>2022_WILSINHO_DA_TABU_462_01</t>
  </si>
  <si>
    <t>462</t>
  </si>
  <si>
    <t>Ao reforço de dotação orçamentária para aquisição de equipamentos para o Posto de Saúde Conjunto Betânia, Rua Onã 105 - bairro Betânia;</t>
  </si>
  <si>
    <t>ALFA MED SISTEMAS MEDICOS LTDA
IGM COMERCIO VAREJISTA DE PECAS E ACESSORIOS PARA VEICULOS LTDA
IGM COMERCIO VAREJISTA DE PECAS E ACESSORIOS PARA VEICULOS LTDA
COMERCIAL SILVESTRE LTDA
REPREMIG REPRESENTACAO E COMERCIO DE MINAS GERAIS LTDA
DRIVE A INFORMATICA LTDA
DRIVE A INFORMATICA LTDA</t>
  </si>
  <si>
    <t>Rua Onã 105 - bairro Betânia</t>
  </si>
  <si>
    <t>Posto de Saúde Conjunto Betânia, Rua Onã 105 - bairro Betânia</t>
  </si>
  <si>
    <t>2022_WILSINHO_DA_TABU_463_01</t>
  </si>
  <si>
    <t>463</t>
  </si>
  <si>
    <t>Ao reforço de dotação orçamentária para aquisição de equipamentos para o Centro de Saúde Marco Antônio Menezes - Rua Petrolina, 869 Horto;</t>
  </si>
  <si>
    <t>ALFA MED SISTEMAS MEDICOS LTDA
IGM COMERCIO VAREJISTA DE PECAS E ACESSORIOS PARA VEICULOS LTDA
MICROFORT INFORMATICA LTDA.
IGM COMERCIO VAREJISTA DE PECAS E ACESSORIOS PARA VEICULOS LTDA
COMERCIAL SILVESTRE LTDA
REPREMIG REPRESENTACAO E COMERCIO DE MINAS GERAIS LTDA
DRIVE A INFORMATICA LTDA
DRIVE A INFORMATICA LTDA</t>
  </si>
  <si>
    <t>Rua Petrolina, 869 Horto</t>
  </si>
  <si>
    <t>Centro de Saúde Marco Antônio Menezes - Rua Petrolina, 869 Horto</t>
  </si>
  <si>
    <t>2022_WILSINHO_DA_TABU_464_01</t>
  </si>
  <si>
    <t>464</t>
  </si>
  <si>
    <t>Ao reforço de dotação orçamentária para aquisição de equipamentos para o Centro de Saúde Santa Inês - Rua Itumirim, 50 - Santa Inês;</t>
  </si>
  <si>
    <t>Rua Itumirim, 50 - Santa Inês</t>
  </si>
  <si>
    <t>Centro de Saúde Santa Inês - Rua Itumirim, 50 - Santa Inês</t>
  </si>
  <si>
    <t>2022_WILSINHO_DA_TABU_466_01</t>
  </si>
  <si>
    <t>466</t>
  </si>
  <si>
    <t>Para contraprestação visando a aquisição de equipamentos e manutenção para o Centro de Saúde Horto - Rua Anhanguera, 224 - Horto;</t>
  </si>
  <si>
    <t>Rua Anhanguera, 224 - Horto</t>
  </si>
  <si>
    <t xml:space="preserve"> Centro de Saúde Horto - Rua Anhanguera, 224 - Horto</t>
  </si>
  <si>
    <t>2022_WILSINHO_DA_TABU_467_01</t>
  </si>
  <si>
    <t>467</t>
  </si>
  <si>
    <t>Ao reforço de dotação orçamentária para aquisição de equipamentos para o Centro de Saúde Pompéia - Rua Leopoldo Gomes, 440 Pompéia;</t>
  </si>
  <si>
    <t>ALFA MED SISTEMAS MEDICOS LTDA
COMERCIAL SILVESTRE LTDA
DRIVE A INFORMATICA LTDA
DRIVE A INFORMATICA LTDA</t>
  </si>
  <si>
    <t>Rua Leopoldo Gomes, 440 Pompéia</t>
  </si>
  <si>
    <t>Centro de Saúde Pompéia - Rua Leopoldo Gomes, 440 Pompéia</t>
  </si>
  <si>
    <t>2022_WILSINHO_DA_TABU_571_01</t>
  </si>
  <si>
    <t>571</t>
  </si>
  <si>
    <t>Ao reforço de dotação orçamentária para aquisição de equipamentos para a Unidade de Pr Atendimento UPA Leste - Av. dos Andradas, 7260 - Vera Cruz;</t>
  </si>
  <si>
    <t>IGM COMERCIO VAREJISTA DE PECAS E ACESSORIOS PARA VEICULOS LTDA
INSTRAMED INDUSTRIA MEDICO HOSPITALAR LTDA
INSTRAMED INDUSTRIA MEDICO HOSPITALAR LTDA
IGM COMERCIO VAREJISTA DE PECAS E ACESSORIOS PARA VEICULOS LTDA
DI BENTO COMERCIO E SERVICOS LTDA.
DRIVE A INFORMATICA LTDA</t>
  </si>
  <si>
    <t>23140085000109
90909631000110
90909631000110
23140085000109
14238297000132
00677870000108</t>
  </si>
  <si>
    <t>Unidade de Pr Atendimento UPA Leste - Av. dos Andradas, 7260 - Vera Cruz</t>
  </si>
  <si>
    <t>macro_codigo</t>
  </si>
  <si>
    <t>macro_tema</t>
  </si>
  <si>
    <t>subcodigo</t>
  </si>
  <si>
    <t>subtema</t>
  </si>
  <si>
    <t>definicao</t>
  </si>
  <si>
    <t>inclui</t>
  </si>
  <si>
    <t>nao_inclui</t>
  </si>
  <si>
    <t>exemplos</t>
  </si>
  <si>
    <t>observacao_local</t>
  </si>
  <si>
    <t>ativo</t>
  </si>
  <si>
    <t>01</t>
  </si>
  <si>
    <t>MACROECONOMIA</t>
  </si>
  <si>
    <t>0100</t>
  </si>
  <si>
    <t>GERAL</t>
  </si>
  <si>
    <t>Quando há combinação de diversos assuntos econômicos (subcódigos) em um mesmo dado. Menção de "economia" como assunto isolado, sem especificações. Código é usado em situações generalistas em que a questão macroeconômica aparece como política principal. Termos comuns são: Crescimento econômico, desenvolvimento econômico, política econômica, indicadores econômicos, recessão econômica, estagnação econômica, melhora da economia, plano econômico, condições econômicas, estado da economia, recuperação econômica, efeitos da economia, efeitos da recessão.</t>
  </si>
  <si>
    <t>1</t>
  </si>
  <si>
    <t>INFLAÇÃO, TAXAS DE JUROS, CONTROLE DE PREÇOS</t>
  </si>
  <si>
    <t>Controle da inflação, políticas de combate a inflação, indicadores de inflação no Brasil, inflação comparada a outros países, estatísticas de sumento de preços, preço de alimentos e serviços, custo de vida, indicadores de preço e de reajustes, índices de reajuste de preço - Taxa SELIC, Índice de Preço ao Consumidor Amplo (IPCA), Índice de Preços ao Produtor Amplo (IPA), Índice de Preços ao Consumidor da Fipe (IPC-Fipe), Índice Nacional de Preços ao Consumidor (INPC), Índice Nacional de Custo da Construção (INCC), Índice Geral de Preços do Mercado (IGP-M), Índice Geral de Preços de Mercado (IGP-DI). Atuação do Comitê de Política Monetária do Banco Central (COPOM) para taxas de Juros. Políticas específicas para estabilização de preços devem ser codificadas no 110. (Quando há menção de preços, sem mencionar inflação)</t>
  </si>
  <si>
    <t>0103</t>
  </si>
  <si>
    <t>DESEMPREGO</t>
  </si>
  <si>
    <t>Indicador específico para tratar de Desemprego. Indicadores de taxa de emprego e taxa de desemprego, relatórios sobre taxas de desemprego, análises temporais e comparadas sobre taxa de desemprego. Não confundir com política de trabalho e emprego, Código 5. Impactos econômicos do desemprego usar o (100), Políticas gerais de trabalho e emprego usar o (500), formas de qualificação para emprego usar o (502), trabalho informal (505)</t>
  </si>
  <si>
    <t>0104</t>
  </si>
  <si>
    <t>POLÍTICA MONETÁRIA, BANCO CENTRAL E TESOURO NACIONAL</t>
  </si>
  <si>
    <t>Observações relacionadas a política monetária, atuação do Banco Central, reserva de ouro, certificados e títulos do tesouro, disponibilidade de crédito, oferta de moeda, taxas de câmbio, compra e venda de títulos públicos, política monetária expansiva, política monetária contracionista, redesconto, depósito compulsório. (Codificar guerra cambial, câmbio em 1808)</t>
  </si>
  <si>
    <t>0105</t>
  </si>
  <si>
    <t>ORÇAMENTO PÚBLICO E DÍVIDA PÚBLICA</t>
  </si>
  <si>
    <t>Questões relacionadas com a composição do orçamento público, execução orçamentária, déficit público, dívida pública, indicadores e avaliações do déficit ou superávit orçamentário, processo orçamentário, propostas orçamentárias anuais, ato e execução orçamentária, déficit e dívida federal, redução do déficit e propostas de gestão, projeções orçamentárias, aumento do limite da dívida pública, impacto das reduções orçamentárias nas indústrias, estados e comunidades, emissões de dívida pública, mudanças no status do exercício fiscal, resoluções orçamentárias, alterações da peça orçamentária anual. Consulta pública. Dívidas dos Estados e Municípios com a União. (Relações Federarativas do âmbito administrativo usar (2001). Questões de dívida entre entes federados usar (105)</t>
  </si>
  <si>
    <t>0107</t>
  </si>
  <si>
    <t>IMPOSTOS, POLÍTICA FISCAL E TRIBUTÁRIA</t>
  </si>
  <si>
    <t>Observações relacionadas à política tributária e política fiscal. Alterações tributárias específicas devem ser codificadas com base no assunto em questão. Somente deve ser utilizado em assuntos gerais de taxas, impostos e reformas tributária e fiscal que incluem mudanças em várias áreas substantivas. Quando a Taxa, Imposto ou tributo for sobre uma política ou área específica, usar o código da área (IPTU, por exemplo, usar código Habitação (1400), ou então IPI, que deve ser identificado pelo código Política Industrial (108) . Utilizar 107 em: Imposto de Renda, IRPF, tributação sobre a renda, esclarecimento do código tributário, reforma do código tributário, impostos sobre itens de luxo e de consumo, impostos sobre o alcool, impostos sobre tabaco, impostos sobre heranças e doações, imposto de renda corporativo, propostas de impostos administrativos, reforma do imposto de renda, código tributário federal reforma e simplificação, alterações fiscais gerais, incentivos fiscais, guerra fiscal.</t>
  </si>
  <si>
    <t>0108</t>
  </si>
  <si>
    <t>POLÍTICA INDUSTRIAL</t>
  </si>
  <si>
    <t>Informações exclusivas de promoção da política industrial. Reestruturação industrial, Desenvolvimento industrial, Subsídios industriais, Produtividade industrial, desempenho industrial, aumento da capacidade produtiva industrial, políticas de tecnologia industrial, centros industriais, parques industriais. alteracoes no valor do IPI. Quando a política for sobre um setor ou área específica, codificar na área. Indústria farmacêutica (321) Nao confundir com crescimento tecnológico geral, parques tecnológicos e ciência. (código 17)</t>
  </si>
  <si>
    <t>0110</t>
  </si>
  <si>
    <t>CONTROLE E ESTABILIZAÇÃO DE PREÇOS</t>
  </si>
  <si>
    <t>Políticas econômicas para controle e estabilização de preços gerais na economia. Programas de estabilização econômica de preços, Congelamento de preços, programas emergenciais de estabilização de preços. Codificar itens específicos em suas respectivas áreas. Por exemplo: controle de preços de alimentos (tomate, por exemplo) devem ser codificados no item Agricultura (4), preço de energia elétrica ou combustível nos subcódigos de Energia (8), controle do salário mínimo no código de Trabalho (5).</t>
  </si>
  <si>
    <t>0199</t>
  </si>
  <si>
    <t>OUTROS</t>
  </si>
  <si>
    <t>Observações que versam sobre a economia, mas que não se enquadram em nenhum dos itens acima.</t>
  </si>
  <si>
    <t>02</t>
  </si>
  <si>
    <t>DIREITOS CIVIS, POLÍTICOS, LIBERDADES E MINORIAS</t>
  </si>
  <si>
    <t>Quando há combinação de diversos assuntos relacionado aos direitos civis, liberdade e atores indetificados como minorias. Questões gerais e amplas tais como Comissões, violações de direitos sem especificação, criação ou modificação ou atuação de Ministérios, departamentos ou instituições gerais, direito a propriedade privada, violação e atentados contra direitos civis em geral, cotas gerais (quando existem várias linhas, nao apenas racial), coberturas jornalisticas, estatisticas sobre minorias e sobre direitos básicos, discriminações e preconceito gerais sobre múltiplos aspectos. Quando o tema abordado for sobre uma única parte (sexo ou raça ou idade ou deficiência, codificar nos subcódigos específicos. Geral somente quando há combinação de fatores. Quando aparecer DIREITOS HUMANOS e assuntos de direito civil internacional, codificar em 1925.</t>
  </si>
  <si>
    <t>DISCRIMINAÇÃO POR QUESTÕES ÉTNICO-RACIAIS</t>
  </si>
  <si>
    <t>Informações relacionadas exclusivamente a discriminação e questões sobre prevenção e proteção de etnia tais como populações indígenas, questões de raça e cor, discriminações relacionadas a raça e cor, racismo, grupos supremacistas raciais, tratamentos diferenciados, privilégios raciais e étnicos. Questões quaisquer de políticas de saude, de educacao, de terras, de assistencia social sobre populações tradicionais brasileiras usar o 2102. Politicas de cotas, usar o local onde elas sao usadas. Se Politicas de cotas nas universidades usar 601. Se política de cotas para acesso a concursos publicos usar 2004.</t>
  </si>
  <si>
    <t>DISCRIMINAÇÃO POR GÊNERO OU ORIENTAÇÃO SEXUAL (MISOGINIA E HOMOFOBIA)</t>
  </si>
  <si>
    <t>Políticas de promoção de igualdade de gênero e de igualdade de relações sociais relacionadas a gênero e orientação sexual. Misoginia, Homofobia, ataques homofóbicos, casamento homoafetivo, igualdade salarial para mulheres, igualdade de trabalho para mulheres, feminismo, Parada LGBT, LGBTQI, transexuais, homossexuais, bissexuais, travestis, relações de gênero com emprego ( tipos de posições, renda, promoção , salário) . VIOLÊNCIA DOMESTICA contra mulheres deve ser codificado em 1208</t>
  </si>
  <si>
    <t>0204</t>
  </si>
  <si>
    <t>DISCRIMINAÇÃO ETÁRIA</t>
  </si>
  <si>
    <t>Questões relacionadas ao preconceito e discriminação contra idosos. Contratação, promoção e diferença salarial por questões etárias. Não confundir com políticas sociais e assuntos gerais sobre idosos (1303) ou com emprego de jovens (506)</t>
  </si>
  <si>
    <t>0205</t>
  </si>
  <si>
    <t>DISCRIMINAÇÃO CONTRA PESSOAS COM DEFICIÊNCIAS</t>
  </si>
  <si>
    <t>Código exclusivo para assuntos de discriminação, denuncias, violencia e atentados contra pessoas com necessidades especiais. Políticas de PROMOÇÃO e melhoria de vida, tais como políticas de regulação de acessibilidade, filas exclusivas, vagas de estacionamento, trânsito e acessos diferenciados devem ser codificados em 1304.</t>
  </si>
  <si>
    <t>0206</t>
  </si>
  <si>
    <t>DIREITO AO VOTO, PARTICIPAÇÃO E REPRESENTAÇÃO POLÍTICA</t>
  </si>
  <si>
    <t>Observações que tratam da Democracia em sua forma geral, fortalecimento democratico, comparacao com a ditadura, do direito ao voto de forma geral, participação direta e indireta no processo político e de escolha de representantes. Obrigatoriedade do voto. Justificativa de voto. Ausência de voto. Multa eleitoral, Idade mínima para voto, regras de acesso a candidaturas. Identificação no voto, Urna Eletrônica, Título de eleitor, Referendos e Plebiscitos. Conselhos Participativos, Conferencias, Audiencias Publicas, todas as formas de participacao popular GERAL. Quando for alguma conferencia ou conselho setorial, codificar no codigo da politica, GERAL. Conselho de saude (3 -300) Conferencia de educacao (6-600). Não confundir com regulação e leis de campanhas partidárias (2012) ou com a avaliação/reclamação dos governos (2015).</t>
  </si>
  <si>
    <t>0207</t>
  </si>
  <si>
    <t>LIBERDADES INDIVIDUAIS E RELIGIAO</t>
  </si>
  <si>
    <t>Questões relacionadas as liberdades de expressão, liberdade de reunião e de associação. Manifestações públicas, Jornadas de Julho, protestos, intervenções artísticas. Questões relacionadas a liberdade religiosa, liberdade de culto, religiões, financiamento de igrejas, isenções religiosas, ensino religioso, pluralidade religiosa, habeas corpus.</t>
  </si>
  <si>
    <t>0208</t>
  </si>
  <si>
    <t>PRIVACIDADE E ACESSO A INFORMAÇÃO</t>
  </si>
  <si>
    <t>Questões relacionadas a direitos de privacidade, incluindo privacidade de registros, acesso a informações governamentais e direitos de aborto. Assuntos relacionados ao direito à proteção de dados; controle de gravações em espaços públicos e outras questões sobre privacidade, proteção de dados pessoais, acesso, compartilhamento e;ou modificação de informações de dados pessoais , privacidade de dados do consumidor e do trabalhador, informações de testes médicos e situação de saúde de funcionários, Interrupção voluntária da gravidez (aborto); eutanásia; proibição de controle de natalidade impositivo</t>
  </si>
  <si>
    <t>0209</t>
  </si>
  <si>
    <t>ATIVIDADES CONTRA O ESTADO</t>
  </si>
  <si>
    <t>Atividades relacionadas a espionagem, atividades subsersivas, espionagem militar, crimes contra o estado brasileiro, Promover insurreição armada, guerra civil, Crimes Contra o Estado e a Ordem Política e Social. Terrorismo usar 1227 interno ou 1927 internacional.</t>
  </si>
  <si>
    <t>0299</t>
  </si>
  <si>
    <t>Observações que versam sobre a direitos civis e liberdades, mas que não se enquadram em nenhum dos itens acima.</t>
  </si>
  <si>
    <t>03</t>
  </si>
  <si>
    <t>SAÚDE</t>
  </si>
  <si>
    <t>0300</t>
  </si>
  <si>
    <t>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t>
  </si>
  <si>
    <t>SISTEMA NACIONAL DE SAÚDE E O SUS</t>
  </si>
  <si>
    <t>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t>
  </si>
  <si>
    <t>PLANOS DE SAÚDE, SISTEMAS PRIVADOS E ALTERNATIVOS DE SAÚDE</t>
  </si>
  <si>
    <t>Observações sobre quaisquer plano ou atuação complementar ao SUS, sobretudo de inciativa privada, As Organizações Sociais (OS) e as Organizações da Sociedade Civil de Interesse Público (OSCIP), ONGs em saúde, legislações sobre planos de saúde, regulamentação de plano de saúde, aumento de plano de saúde.</t>
  </si>
  <si>
    <t>CUIDADOS PRIMARIOS E ATENÇÃO BÁSICA</t>
  </si>
  <si>
    <t>Medicina da familia, cuidados básicos e informativos de saude, higiene pessoal e higiene alimentar. Normalmente vinculada a comunidades carentes e de exercício de práticas gerenciais e sanitárias democráticas, atuacao de trabalho em equipe, dirigidas a populações de territórios bem delimitados, pelas quais assume a responsabilidade sanitária, considerando a dinamicidade existente no território em que vivem essas populações. Programa saúde da família, Política Nacional de atenção básica, Equipes de Saúde da Família, Agentes comunitários de saúde. Mias médicos quando se tratar de inclusão regional, interiorização do atendimento. Quando tratar apenas de prevenção e promoção a saude, como campanhas específicas contra dengue, DSTs, codificar em (331)</t>
  </si>
  <si>
    <t>0321</t>
  </si>
  <si>
    <t>INDÚSTRIA FARMACEUTICA, MEDICAMENTOS E LABORATÓRIOS</t>
  </si>
  <si>
    <t>Regulamentação da industria farmacêutica, aprovação de medicamentos, ANVISA, leis de regulação de laboratórios clínicios, controle de medicamentos, rótulos, infomações sobre medicamentos, regulação de ensaios clínicos, testes laboratoriais com animais e seres vivos, publicidade e propaganda de medicamentos . Exemplo: contra-indicação para casos de suspeita de dengue. PreP, Pílula do Câncer, Maconha medicinal. Codificar questões de pagamento de medicamentos pelo SUS via judicial em 335</t>
  </si>
  <si>
    <t>ESTRUTURAS, HOSPITAIS, CLÍNICAS</t>
  </si>
  <si>
    <t>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t>
  </si>
  <si>
    <t>ACORDOS</t>
  </si>
  <si>
    <t>Questões relacionadas a Acordos nacionais e internacionais na saúde. Parcerias público privadas em saúde. Vagas do SUS em hospitais privados, acordos e parcerias. Somente utilizar esse código quando há acordos e parcerias entre instituições com o SUS. Não confundir com regulação e alternativas de saúde particular (302).</t>
  </si>
  <si>
    <t>0324</t>
  </si>
  <si>
    <t>FRAUDES, ABUSOS E EXERCÍCIO ILEGAL</t>
  </si>
  <si>
    <t>Más práticas médicas, práticas não reconhecidas e não permitidas, exercício ikegal da medicina, diploma falso, indenizações de pacientes, procedimentos errados, conflito de interesse, abusos médicos, sigilo médico, relação paciente e médico</t>
  </si>
  <si>
    <t>CARREIRAS PROFISSIONAIS E FORMAÇÃO</t>
  </si>
  <si>
    <t>Aprovação de cursos de medicina, Conselhos de Medicina, Conselho de Farmácia, Conselhos profissionais das áreas da Saude, CRM, CREFITO, CRF, Ordens de médicos, organizações profissionais, cursos de capacitação, formação profissional em saúde, estágios em medicina, internato em saúde, certificações e licensas para exercício da profissão, tipos de contratos e carreira na saúde, profissão, salário.</t>
  </si>
  <si>
    <t>PREVENÇÃO, CAMPANHAS E PROMOÇÃO</t>
  </si>
  <si>
    <t>Observações relacionadas a campanhas de promoção e de prevenção de saúde em adultos. Campanhas de vacinação de adultos, campanhas de prevenção de DSTs em adultos, campanhas para exames de câncer de mama, outubro rosa, Novembro azul, campanhas de valorização da vida, campanhas contra suicídio, Políticas de prevenção a diabetes, campanhas e politicas em pro de atividades esportivas para evitar problemas de pressão, publicacao de cartilhas, guias, informativos, educação sexual, campanhas e atuação de higiene bucal, higiene básica, prevenção contra anemia. Não confundir com acesso a alimentos (1302), pre-natal (332) ou tratamentos de doenças já existentes. Todas campanhas de prevenção que estejam relacionadas com gravidez, bebê e criança (332),</t>
  </si>
  <si>
    <t>SAÚDE INFANTIL, GRAVIDEZ E PRÉ-NATAL</t>
  </si>
  <si>
    <t>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t>
  </si>
  <si>
    <t>SAÚDE MENTAL</t>
  </si>
  <si>
    <t>Serviços de atendimento a saúde mental e psico-social. CAPS, Controle de qualidade mental, esquizofrenia, bipolaridade, transtornos mentais, ansiedade, alucinançao, depressão, suicídio, CVV, atendimento psicológico e psiquiátrico, sanatório, manicomio. Não confundir com dependências de alcool (342) e drogas (343)</t>
  </si>
  <si>
    <t>TRATAMENTOS, CIRUGIAS, ATENDIMENTOS, DOENÇAS E REABILITAÇÃO</t>
  </si>
  <si>
    <t>Questões gerais sobre atendimentos emergenciais, cirurgias, Tratamento de pessoas com doenças terminais, tratamentos longos que necessitam internação e atendimento assistido, home- care, reabilitação, concultas, fisioterapia, tratamentos de dialose, tratamentos contra cancer, doenças degenerativas, ELA, Alzhaimer. Tratamentos continuados de doencas cronicas, HIV.</t>
  </si>
  <si>
    <t>REGULAMENTAÇÃO DE FARMÁCIAS , COMPRA E CONSUMO DE MEDICAMENTOS</t>
  </si>
  <si>
    <t>Assuntos relacionados a compra e venda de medicamentos em farmácias. Regulamentação de horário de funcionamento de farmácias, farmácia popular, farmácias de manipulação, organização e regras para funcionamento de farmácias, proibição de atendimento médico em farmácias, controle de receitas, acesso a compra de medicamentos de tarja vermelha e tarja preta. Preço de medicamentos e remedios. Distribuição de medicamentos gratuitos. Questões relacionadas sobre patentes de medicamentos no 1522. Não confundir com assuntos relacionados a Industria Farmaceutica (321)</t>
  </si>
  <si>
    <t>0341</t>
  </si>
  <si>
    <t>TABAGISMO</t>
  </si>
  <si>
    <t>Regulação da publicidade e propaganda do tabaco, normas e proibições sobre venda e uso em locais fechados ou públicos, riscos do tabagismo, programas educativos e preventivos específicos sobre o tabaco, doenças associadas ao tabagismo. Cancer de Pulmao, garganta oriundos de tabagismo, enfisema, doencas cardíacas e respiratorias relacionadas ao tabaco.</t>
  </si>
  <si>
    <t>ALCOOLISMO e TOXICODEPENDÊNCIA</t>
  </si>
  <si>
    <t>Regulação da publicidade e propaganda de bebidas alcoolicas, rotulos, venda e comercialização, LEI SECA, campanhas de prevenção específicas sobre alcoolismo, centros de recuperação, tratamentos aprovados, doenças relacionadas ao consumo excessivo e a dependencia de beidas alcoolicas. Programas de prevenção específicas contra drogas ilegais, centros especializados, políticas de proteção e de recuperação de usuários, Cracolândia, sempre relaciobadas com a saúde e drogas. Cocaína, Crack, maconha, LSD. Não confundir com tráfico (1203) ou regulamentação da legalidade de drogas (321)</t>
  </si>
  <si>
    <t>0398</t>
  </si>
  <si>
    <t>PESQUISA E DESENVOLVIMENTO</t>
  </si>
  <si>
    <t>Questões relacionadas a investigações, pesquisa em saúde, desenvolvimentos de drogas e tratamentos ainda em estudo, pesquisas e estudos laboratoriais, estatísticas e comportamentos de saúde, estudos e dados sobre mortes, doenças com fins acadêmicos , Testes de medicamentos.</t>
  </si>
  <si>
    <t>Observações que versam sobre SAÚDE, mas que não se enquadram em nenhum dos itens acima.</t>
  </si>
  <si>
    <t>AGRICULTURA, PECUÁRIA E PESCA</t>
  </si>
  <si>
    <t>0400</t>
  </si>
  <si>
    <t>Quando há combinação de diversos assuntos relacionados as políticas de AGRICULTURA, PECUÁRIA E PESCA. Questões relativas ao orcamento das pastas ministeriais, políticas gerais de proteção e desenvolvimento de mercado de agricultura, pecuária e pesca. Políticas gerais de desenvolvimento rural, agrícola e florestal, Designação de áreas para plantio, cultivo e criação de animais. Licenciamentos e regulemntações de produção, cultivo e criação;</t>
  </si>
  <si>
    <t>0401</t>
  </si>
  <si>
    <t>COMÉRCIO AGRÍCOLA E PECUÁRIO</t>
  </si>
  <si>
    <t>Observações que dizem respeito ao comércio, importações, exportações, taxações, acordos de comercialização, barreiras comerciais, regulamentação de preços de produtos agrícolas, indicadores comerciais e de vendas, indicadores de produção, comerciais.</t>
  </si>
  <si>
    <t>0402</t>
  </si>
  <si>
    <t>SUBSÍDIOS, SEGUROS, E CRÉDITOS DA AGRICULTURA</t>
  </si>
  <si>
    <t>Questões relacionadas a subsídios, isenções de taxas, créditos específicos, bancos e linhas de financiamento agrário e pecuário. Ações específicas do Banco Rural, Banco do Nordeste, Crédito Rural, PRONAF - Programa Nacional de Fortalecimento da Agricultura Familiar, agricultura familiar, seguro de plantações e de produtos, programas de incentivo economico, fiscal ou empréstimo para a produção agricola e pecuária, subsídios para a compra de frotas, tratores, maquinário agrícola . Questões de comércio, exportações devem ser codificadas no 401.</t>
  </si>
  <si>
    <t>0403</t>
  </si>
  <si>
    <t>SEGURANÇA ALIMENTAR, CONTROLE ALIMENTAR E REGULAÇÕES</t>
  </si>
  <si>
    <t>Indicações de regulação de rótulos, informações nutricionais, regras e limites de composição nutricional em embalagens, utilização de hormônios, trangênicos, programas de segurança alimentar e nutrição, regulações sanitárias para armanezamento e transporte de alimentos, controle de contaminação de oridutos alimentares, regulamentação de matadouros, exploração de animais, regulamentação de corantes, residuos de pesticidas em frutas e vegetais. Não confundir com o sucódigo 331, sobre prevenção, campanhas e promoção.</t>
  </si>
  <si>
    <t>0404</t>
  </si>
  <si>
    <t>PROMOÇÃO E DIVULGAÇÃO DE PROGRAMAS AGRÍCOLAS</t>
  </si>
  <si>
    <t>Atividades de divulgação, promoção e propaganda da agricultura e pecuária. Ações coordenadas de marketing agrícola. Agro é POP.</t>
  </si>
  <si>
    <t>CONTROLE DE DOENÇAS ANIMAIS</t>
  </si>
  <si>
    <t>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t>
  </si>
  <si>
    <t>0408</t>
  </si>
  <si>
    <t>PESCA E CAÇA</t>
  </si>
  <si>
    <t>Regulamentações de zonas pesqueiras, programas de incentivo e de proteção a pesca, questões de produção, armazenamento de peixes. Permição e proibição de pesca (questões envolvendo pororoca, piracema etc)</t>
  </si>
  <si>
    <t>0498</t>
  </si>
  <si>
    <t>PESQUISA E DESENVOLVIMENTO AGRÍCOLA</t>
  </si>
  <si>
    <t>Observações sobre estudos na área agrícola, modificação genética, transgenicos, pesquisas acadêmicas de produção e melhorias de produtos agrícolas, engenharia genética, estudos de nutrição animal, tecnicas de pesquisa.</t>
  </si>
  <si>
    <t>Observações que versam sobre AGRICULTURA, PECUÁRIA E PESCA, mas que não se enquadram em nenhum dos itens acima.</t>
  </si>
  <si>
    <t>05</t>
  </si>
  <si>
    <t>TRABALHO, EMPREGO E PREVIDÊNCIA</t>
  </si>
  <si>
    <t>0500</t>
  </si>
  <si>
    <t>Quando há combinação de diversos assuntos relacionados as políticas de TRABALHO E EMPREGO. Tópicos relacionados as políticas gerais de emprego e de trabalho, legislações gerais e prioridades no Ministério do Trabalho, orçamento do ministério e pastas, indicadores de emprego e de trabalho. Indicadores e trabalho formal e trabalho informal (Considerar indicadores de macroeconômicos de renda em 100)</t>
  </si>
  <si>
    <t>0501</t>
  </si>
  <si>
    <t>CONDIÇÕES DE TRABALHO, SEGURANÇA E PROTEÇÃO DO TRABALHADOR</t>
  </si>
  <si>
    <t>Observações sobre condições de trabalho, definições específicas sobre regulamentação de trabalhos, danos e doenças causadas pelo trabalho, normas de segurança do trabalho, doenças ocupacionais, equipamentos de segurança do trabalho, insalubridade, qualidade no ambiente de trabalho, seguros contra acidentes de trabalho, saúde ocupacional, CIPA</t>
  </si>
  <si>
    <t>FORMAÇÃO E DESENVOLVIMENTO PROFISSIONAL</t>
  </si>
  <si>
    <t>Programas de capacitação profissional, programas de incentivo ao emprego geral, reciclagem, realocação profissional em outra área, acordos e parcerias do estado com empresas privadas na capacitação, formação e treinamento profissional.</t>
  </si>
  <si>
    <t>0503</t>
  </si>
  <si>
    <t>BENEFÍCIOS E PREVIDÊNCIA</t>
  </si>
  <si>
    <t>Todas as políticas relacionadas a beneficios vinculados ao trabalho e emprego devem ser codificadas aqui no 503, e não em políticas sociais. Inclui questões relacionadas com todos os benefícios dos empregados, pensões e aposentadoria, incluindo o seguro-desemprego fornecido pelo governo. Acesso aos planos de previdência, aposentadoria, pensões, planos privados e públicos de previdência, acordos de previdencia privada, décimo terceiro salário, aposentadoria por invalidez, regras de aposentadoria e de previdencia, licença maternidade e licença paternidade, auxilio maternidade ou salário maternidade pago pela Previdencia apenas para segurados do sistema. Todas as políticas sociais condicionadas a emprego formal sobre (1) previdencia e (2) beneficios substantivos; INSS, PREVIDENCIA SOCIAL. Para normas relacionadas a direitos do mundo do trabalho (exceto previdencia) usar 505. Para carreiras militares, codificar em 1608. Quando for emprego público codificar no 2004.</t>
  </si>
  <si>
    <t>0504</t>
  </si>
  <si>
    <t>SINDICADOS E ASSOCIAÇÕES TRABALHISTAS</t>
  </si>
  <si>
    <t>Organizações sindicais, representatividade de profissão, Conselhos profissionais gerais (exceto quanto houver conselhos de areas temáticas como saúde, educação, codificar na respectiva área). Direito de greve, greves, mobilizações e protestos relacionados ao emprego, regulementação sindical, fundo sindical, financiamento de sindicatos, cooperativas de trabalho</t>
  </si>
  <si>
    <t>0505</t>
  </si>
  <si>
    <t>REGULAÇÃO TRABALHISTA, LEIS E DIREITOS</t>
  </si>
  <si>
    <t>Salário mínimo, tabelas salariais, férias, venda de férias, férias remuneradas, frequência, falta, horário de trabalho, hora-extra, banco de horas, flexibilização de leis trabalhistas, negociação dos direitos dos trabalhadores com empresas, governo e associações. Justa causa, demissão, contratação, planos de demissão voluntária, contratos de trabalho temporário, contratação de meses de experiência, Questões que envolvem negociações trabalhistas e direitos assegurados pela constituição (art. 7º) e pela lei que não envolvam benefícios. Para carreiras militares, codificar em 1608. Quando for emprego público codificar no 2004.</t>
  </si>
  <si>
    <t>EMPREGO DE JÓVENS</t>
  </si>
  <si>
    <t>Políticas de promoção e incentivo a contratação de jovens, primeiro emprego, treinee, jovem aprendiz, políticas específicas voltadas para idades mínimas de ingresso no mercado formal, proteções e direitos específicos de emprego de jovens</t>
  </si>
  <si>
    <t>0529</t>
  </si>
  <si>
    <t>TRABALHO DE IMIGRANTES</t>
  </si>
  <si>
    <t>Autorização de trabalho de imigrantes, formalização de trabalho de imigrantes, vistos, autorizações de trabalho. Trabalho escravo ou qualquer assunto envolvendo imigrantes (900)</t>
  </si>
  <si>
    <t>0599</t>
  </si>
  <si>
    <t>Observações que versam sobre TRABALHO E EMPREGO, mas que não se enquadram em nenhum dos itens acima.</t>
  </si>
  <si>
    <t>EDUCAÇÃO</t>
  </si>
  <si>
    <t>0600</t>
  </si>
  <si>
    <t>Quando há combinação de diversos assuntos relacionados as políticas de EDUCAÇÃO. Tópicos relacionados as políticas gerais de educação sem citar o nível, orçamento para educação, questões relacionadas ao Ministério da Educacação e da Cultura, fusão, desmembramento, situação da educação no país, dados nacionais, métodos educacionais, qualidade e avaliacoes da educação geral</t>
  </si>
  <si>
    <t>0601</t>
  </si>
  <si>
    <t>EDUCAÇÃO SUPERIOR</t>
  </si>
  <si>
    <t>Tópicos relacionados a políticas e programas de ensino superior, faculdades, universidades, centros educacionais de ensino superior, REUNI, PROUNI, FIES, SISU, Vestibular, Institutos Federais, ENEM quando usado como forma de acesso ao ensino superior, moradia universitária, restaurante universitario, bolsas de estudos em ensino superior, graduação e pós-graduação, mestrado, doutorado, pós-doutorado, evasão, matrícula, CAPES, certificação de cursos, abertura e fechamento de cursos, vagas e assentos, parcerias público privadas em educação superior, autonomia universitária., programas de capacitação de docentes, bolsas para docencia. Quando politica de cotas do para ingresso na Universidade, codificar aqui. Cotas raciais, cotas economicas, cotas etnicas, vestibular indigena, vestibular refugiados. Demais politicas de cotas no codigo 2. Questoes relacionadas a financiamento de pesquisas, CNPQ, institutos de pesquisa e desenvolvimento tecnologico, codificar em 1798. Questões sobre programas de educação em saúde, codificar em 325.</t>
  </si>
  <si>
    <t>0602</t>
  </si>
  <si>
    <t>ENSINO BÁSICO, FUNDAMENTAL E MÉDIO</t>
  </si>
  <si>
    <t>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t>
  </si>
  <si>
    <t>EDUCAÇÃO ESPECIAL, INCLUSÃO</t>
  </si>
  <si>
    <t>Observações relacionadas ao ensino especial, alfabetização de de adultos, EJA, jovens fora do período escolar adequado, educação e ensino especial para cegos, surdos e criancas com dificuldades de aprendizagem, programas para criancas especiais, portadores de deficiência, reforço escolar, apoio especializado, APAE.</t>
  </si>
  <si>
    <t>ENSINO PROFISSIONAL</t>
  </si>
  <si>
    <t>Ensino profissionalizante, cursos profissionais, ensino técnico, escolas técnicas, sistema S, acordos de coorperacao entre empresas e escolas tecnicas profissionalizantes, PRONATEC, ensino- técnico-profissional</t>
  </si>
  <si>
    <t>PROMOCAO DA QUALIDADE, ESTRUTURA E AÇÕES</t>
  </si>
  <si>
    <t>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t>
  </si>
  <si>
    <t>0698</t>
  </si>
  <si>
    <t>Acoes e instituicoes que trabalham exclusivamente com a pesquisa sobre educacao, treinamento de docentes, avalaiação de docentes, estudos e pesqusias para melhoria da educação.</t>
  </si>
  <si>
    <t>0699</t>
  </si>
  <si>
    <t>Observações que versam sobre EDUCAÇÃO mas que não se enquadram em nenhum dos itens acima.</t>
  </si>
  <si>
    <t>07</t>
  </si>
  <si>
    <t>MEIO AMBIENTE</t>
  </si>
  <si>
    <t>Quando há combinação de diversos assuntos relacionados as políticas de MEIO-AMBIENTE. Saneamento básico geral (quando aparecer o termo solto, sem definição específica)Tópicos relacionados as políticas gerais de meio ambiente e proteção ambiental gerais, controle ambiental, gestão ambiental, engenharia ambiental, estatísticas gerais. Desastres, catástrofes, Mariana, Brumadinho, ruptura de barragens de mineração. Multas e sanções envolvendo meio ambiente. Nao confundir com questões de agricultura, legislações ambientais gerais, responsabilidade ambiental (código 4) e Nao confundir com questões relacionadas a território e recursos naturais (código 21)</t>
  </si>
  <si>
    <t>0701</t>
  </si>
  <si>
    <t>TRATAMENTO E DISTRIBUIÇÃO DE ÁGUA POTÁVEL</t>
  </si>
  <si>
    <t>Assuntos relacionados a agua potável, estações de tratamento, distribuição e manutenção de água potável.Qualidade da água, níveis de materiais quimicos na agua potável, nível de flúor na água; níveis de dioxinas de água. SABESP. Não confundir com energia hidroelétricas 802. Ainda sobre a questão da água: Se o assunto NÃO FOR TRATAMENTO DE ÁGUA POTÁVEL, mas sim questões sobre Poluição e conservação de mares e rios codificar no 711. Se a questão for sobre ESTRUTURAS E RECURSOS HÍDRICOS, fontes de água mineral, usar o 2104.</t>
  </si>
  <si>
    <t>0703</t>
  </si>
  <si>
    <t>RESÍDUOS SÓLIDOS</t>
  </si>
  <si>
    <t>Regulação e tratamento de resíduos sólidos, gestão do lixo, lixão, depósitos de lixo, destino, coleta e questões sobre lixo, lixo doméstico, lixo industrial. Aterros e outras formas de destinação final de resíduos.Reciclagem deve ser codificado em 707</t>
  </si>
  <si>
    <t>0704</t>
  </si>
  <si>
    <t>TRATAMENTOS E DANOS QUÍMICOS E TÓXICOS</t>
  </si>
  <si>
    <t>Transporte de produtos químicos e tóxicos, proteção de territórios contra contaminação química e tóxica, explisivos, resíduos quimicos e minerais, contaminação ambiental, uso de pesticidas, controle e uso de agrotoxicos. Quando os danos forem por conta de material belico, militar ou guerra, usar o 1614</t>
  </si>
  <si>
    <t>POLUIÇÃO DO AR, VISUAL E SONORA E TEMPERATURA</t>
  </si>
  <si>
    <t>Questões vinculadas com a variação de temperatura global, aquecimento global, degelo, mudanças de temperatura, pouição do ar, poluição visual, poluição sonora, regras e normas ambientais de combate a poluição, emissão de gases, regras de banners, paineis e fachadas de comércio visual, restrição e normas de barulhos, ruidos e poluição sonora, qualidade do ar, programas de redução de poluição do ar, plantio de arvores, arborização</t>
  </si>
  <si>
    <t>RECICLAGEM</t>
  </si>
  <si>
    <t>Observações sobre política de reciclagem, lixo reciclado, fontes reciclaveis, proibicoes de descarte, manuseio, regulação da profissao, catadores, efeitos, insenção de impostos para reciclados.</t>
  </si>
  <si>
    <t>0708</t>
  </si>
  <si>
    <t>AMBIENTE INTERNO</t>
  </si>
  <si>
    <t>Qualidade interna de prédios, edifícios, amianto, qualidade de ruído, proteção do ambiente interno, radiação interna a edifícios, equiamentos e temperaturas internas, regulação de gas encanado, eletricidade, normas da ABNT sobre segurança interna, rota de fuga, alvará de funcionamento, alvará de bombeiros</t>
  </si>
  <si>
    <t>PROTEÇÃO DE ESPÉCIES, FAUNA, FLORA E FLORESTAS</t>
  </si>
  <si>
    <t>Proteção de espécies em extinção, preservação do ecossistema, comércio ilegal de animais, regulações do IBAMA, comércio de plantas, proteção de florestas. regulamentação de caça de animais silvestres, lista de espécies protegidas e ameaçadas de extinção. Assuntos relacioandos a preservação de espécies e florestas que não impliquem criação ou manutenção de reservas. Quando o tema for vinculado ao território, craiação e manutenção de espaços públicos, codificar no 2101.</t>
  </si>
  <si>
    <t>CONSERVAÇÃO DO SOLO, MAR, RIOS, PRAIAS E COSTAS</t>
  </si>
  <si>
    <t>Poluição de oceanos, regulamentação de acesso e conservação da costa, ilhas, praias, mangues, e assuntos relacionados ao mar, oceanos e litoral. Erosão de terrenos, morros, promoção da qualidade do solo, conservação de rios, lagos e afluentes, questões vinculadas a enchentes, poluição urbana, margens, encostas de rios, chuvas, temporais, tempestades, terrenos contaminados, rios contamidados e poluidos, fertilizantes. Quando assunto for uso dos recursos naturais usar codigo 21. 2104 para recursos hídricos, 2103 para recursos naturais como minerais. Quando o assunto for tratamento de água potável, distribuição de água potável para residencias, 701.</t>
  </si>
  <si>
    <t>0798</t>
  </si>
  <si>
    <t>Pesquisas e desenvolvimento de ciência na area do Meio ambiente, proteção ambiental, flora, fauna, florestas por instituições ou pesquisas que versem exclusivamente sobre esses temas.</t>
  </si>
  <si>
    <t>0799</t>
  </si>
  <si>
    <t>Observações que versam sobre O MEIO AMBIENTE mas que não se enquadram em nenhum dos itens acima.</t>
  </si>
  <si>
    <t>ENERGIA</t>
  </si>
  <si>
    <t>0800</t>
  </si>
  <si>
    <t>Quando há combinação de diversos assuntos relacionados as políticas de ENERGIA. Tópicos relacionados as políticas gerais de energia, orçamento, crises, multiplicidade de fontes energéticas, segurança energética, comitês de energia, regulamentações gerais sobre políticas energéticas sem tipificação, taxações gerais.</t>
  </si>
  <si>
    <t>0801</t>
  </si>
  <si>
    <t>ENERGIA NUCLEAR</t>
  </si>
  <si>
    <t>Tópicos relacionados a Política de energia nuclear e atômica, usina nuclear, energia nuclear, ANGRA, proteção contra acidentes nucleares, acidentes nucleares, proteção nuclear, resíduos nucleares radioativos, reatores nucleares, recomendações internacionais sobre energia nuclear, instalação de usinas nucleares, lixo nuclear</t>
  </si>
  <si>
    <t>ELETRICIDADE E HIDROELÉTRICAS</t>
  </si>
  <si>
    <t>Planejamento de rede elétrica, postes, rede elétrica de fiação, distribuição de energia elétrica, privatizações e estataizações de companhias elétricas. Hidroelétricas, construção e manutenção de hidroeletricas, capacidade produtiva de hidroeletricas, licenciamento e normas de funcionamento de hidroeletricas, precos, taxas e tarifas de produção e distribuição de eletricidade, acidentes com producao e distribuicao de rede eletrica e hidroeletricas</t>
  </si>
  <si>
    <t>0803</t>
  </si>
  <si>
    <t>GÁS E PETRÓLEO</t>
  </si>
  <si>
    <t>Observações relacionadas ao processo de produção, extração, distribuição, regulamção, comércio, taxas e consumo de GÁS, ETANOL E PETRÓLEO como FONTE DE ENERGIA. Regulamentação de gás natural GNV, gás de cozinha, botijão de gás, gás encanado, empresas de distribuição de gás, regulamentação de produção e distribuição de gás, veículos com GNV, planos de segurança de gás, preços de gás. Petróleo, diesel, gasolina, políticas de preço de combustível (menos etanol) , refinarias, plataformas de extração, Petrobrás, políticas de importação, exportação, compra de refinarias, venda de petróleo, usos de petróleo como combustível, reservas estratégicas de petróleo, pré-sal, poços de petróleo, desempenho de etanol, comparação etanol gasolina, preço do etanol, postos de gasolina, distribuição e venda de gasolina e GNV . Não codificar escandalos, corrupção, ou problemas de justica e administrativos aqui. Nesse código apenas questões relacionadas a POLÍTICA ENERGÉTICA ENVOLVENDO GÁS, PETRÓLEO E FONTES NAO RENOVAVEIS</t>
  </si>
  <si>
    <t>0805</t>
  </si>
  <si>
    <t>MINAS, CARVÃO E TERMOELÉTRICAS</t>
  </si>
  <si>
    <t>Questões que envolvam uso de carvão e minérios na produção elétrica, minas de carvão, carvoarias, preço do carvão, termoelétricas, regulação e preço de energia com ativação de termoelétricas, exploração de carvão, importação e exportação de carvão, tipos de carvão. Nao codificar aqui questões relacionadas ao trabalho em minas de carvão, insalubridade de carvão. Tudo isso deve ser colocado no codigo 5, trabalho e emprego. Uso de MINAS como fontes de recusros naturais que não seja para energia usar o 2103</t>
  </si>
  <si>
    <t>ETANOL, ENERGIAS RENOVÁVEIS E ALTERNATIVAS</t>
  </si>
  <si>
    <t>Obrservações relacionadas a políticas e projetos de produção, regulação e consumo de energias renováveis e alternativas as mencionadas acima (elétrica, hidroelétricas, térmica, gás, petróleo, carvão). Políticas de energia de hidrogênio, Biodiesel, energia eólica, instalação de pontos de energia eólica, energia solar, energia de biomassa, energias renováveis, energia de ondas, biogás, energias alternativas, energia proveniente de lixo, energia geotérmica, combustíveis alternativos. produção de etanol, desempenho de etanol, subsideos para producao do etanol, preço, regulação de etanol. Outras ernegias provenienetes de restos, bagaços, de plantas e compostos animais e vegetais</t>
  </si>
  <si>
    <t>0807</t>
  </si>
  <si>
    <t>CONTROLE E EFICIÊNCIA ENERGÉTICA</t>
  </si>
  <si>
    <t>Políticas de controle e eficiência de equipamentos elétricos, selos de eficiencia energética, normas de consumo energético, controle de energia doméstica, horário de verão, conservação, manutenção e controle de energia pública.</t>
  </si>
  <si>
    <t>0898</t>
  </si>
  <si>
    <t>Observações sobre pesquisas e desenvolvimento de ciência na area ENERGÉTICA geral, que versem exclusivamente sobre esses temas não tratados nos itens acima.</t>
  </si>
  <si>
    <t>0899</t>
  </si>
  <si>
    <t>Observações que versam sobre ENERGIA mas que não se enquadram em nenhum dos itens acima.</t>
  </si>
  <si>
    <t>09</t>
  </si>
  <si>
    <t>IMIGRAÇÃO E REFUGIADOS</t>
  </si>
  <si>
    <t>0900</t>
  </si>
  <si>
    <t>Observações relacionadas com o numero de refugiados ou imigrantes, residência e permissão de permanência no país. Todas as questões sobre imigrantes, asilo, ajuda. Não confundir com visto de turismo (1504). Qualquer questão sobre TRABALHO FORMAL de imigrante no 529.</t>
  </si>
  <si>
    <t>TRANSPORTES</t>
  </si>
  <si>
    <t>Observações generalistas sobre políticas de transporte, sem especificações de qual área. Informações envolvendo diversas áreas da política de transporte, orçamento geral de transporte, política nacional de transporte.</t>
  </si>
  <si>
    <t>1001</t>
  </si>
  <si>
    <t>TRANSPORTES PÚBLICOS</t>
  </si>
  <si>
    <t>Tópico destinado a todos os tipos de políticas de transporte público de pessoas. Onibus, Metro, Trem, Trem de superfície VLT, barcos, balsas, navios, embarcações fluviais. Políticas de segurança, normas e regras de uso de transporte público. Carteirinha estudantil, passe de idoso, valores de passagens, isenções de tarifas, tarifas especiais. Quando o assunto for relacionado a transporte de pessoas, codificar aqui. Quando se tratar de Transporte não públicos (carro, taxi, uber, avião, helicóptero) codificar na área temática de regulações abaixo.</t>
  </si>
  <si>
    <t>CARROS, TRÂNSITO, CONSTRUÇÃO E MANUTENÇÃO DE RUAS E ESTRADAS</t>
  </si>
  <si>
    <t>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t>
  </si>
  <si>
    <t>1003</t>
  </si>
  <si>
    <t>AEROPORTOS E TRÁFEGO AÉREO</t>
  </si>
  <si>
    <t>Questões relacionadas ao transporte aéreo, aeroporto, avião, jatos, helicópteros, transporte de pessoas e de carga aéreo, regras, regulações, ANAC, aviação civil, gestão de aeroportos, privatizações, estatização de aeroportos, companhias aereas, bagagem de viagem aérea, taxas, precos e questões relacionadas com uso de sistema aéreo, Drones, Regulação de espaço aéreo. Fretamento aéreo de aviões, jatos ou helicópteros. Construção de AEROPORTOS usar o 1010</t>
  </si>
  <si>
    <t>1005</t>
  </si>
  <si>
    <t>TRANSPORTE FERROVIÁRIO DE CARGAS</t>
  </si>
  <si>
    <t>Observações sobre as políticas de transporte de cargas ferroviário. Ferrovias, concessões de uso de ferrovia, manutenção, construção e retirada de trilhos e ferrovias, estações ferroviárias. Financiamento de obras, PPPs em ferrovias, privatizações, estatizações.</t>
  </si>
  <si>
    <t>1007</t>
  </si>
  <si>
    <t>TRANSPORTE MARÍTIMO E FLUVIAL</t>
  </si>
  <si>
    <t>Observações relacionadas a regulamentação do transporte marítimo, balsas, ferries, barcos, embarcações marítimas e fluviais. Regulamentações sobre o uso de lanchas, jetsky, regras de marinas, regras de navegação, aproximação do litoral, áreas reservadas para transporte aquático, rotas de Cruzeiros, taxas de embarcação, construção de navios e de embarcações. Construção e manutenção de portos e estruturas fisicas em recursos hidricos, usar 2104</t>
  </si>
  <si>
    <t>1098</t>
  </si>
  <si>
    <t>Observações sobre pesquisas e desenvolvimento de ciência na area TRANSPORTE geral, que versem exclusivamente sobre esses temas não tratados nos itens acima.</t>
  </si>
  <si>
    <t>1099</t>
  </si>
  <si>
    <t>Observações que versam sobre TRANSPORTE mas que não se enquadram em nenhum dos itens acima.</t>
  </si>
  <si>
    <t>JUDICIÁRIO, JUSTIÇA, CRIMES E VIOLÊNCIA</t>
  </si>
  <si>
    <t>1200</t>
  </si>
  <si>
    <t>Observações generalistas sobre políticas de combate ao Crime, Violência, combinação de múltiplos indicadores de subcódigos, orçamentos gerais para ministerio da justica, indicadores de criminalidade e de violência geral (sem mostrar fragmentos ou variáveis que estão abaixo), indicadores de lei e de crimes sobre justiça, violencia. Segurança pública geral.</t>
  </si>
  <si>
    <t>POLÍCIA, AGENCIAS E INSTITUIÇÕES - LEI E CRIMES</t>
  </si>
  <si>
    <t>Questões relacionadas aos atores, intituições, agencias e agentes que atuam em questões relacionadas a justiça, lei, crime e violência. Servicos e instituições de apoio civil. Assuntos relacionados a atuação de Bombeiros, socorristas, guarda floresta, guarda costeira e proteção civil. Ministério Público, Ministério da Justiça, Polícia Federal, Tribunal de Contas, inteligência, proteção a vítimas, delação premiada, sistemas e banco de dados de justiça, computação vinculada a sistemas de combate a crimes e fraudes. Aqui a observação é sobre as INSTITUIÇÕES EM SI, e não sobre o assunto do qual ela trata, Os assuntos estão nos próximos sub-códigos</t>
  </si>
  <si>
    <t>CRIME ORGANIZADO, MILÍCIAS E FACÇÕES</t>
  </si>
  <si>
    <t>Observações relacionadas exclusivamente crime do colarinho branco, facções criminosas, milicias, PCC - EXCETO DROGAS (1203). Fraudes em campanhas eleitorais, fraudes em declarações de bens, fraudes em imposto de renda, enriquecimento ilicito, evasão fiscal, contas não declaradas no exterior. Crimes onlibe, Cyber-crimes. Se o assunto for sobre drogas codificar no 1203. Corrupção da administração pública em suas relações ilícitas com empresas privadas no 2007. C413Impeachment e escandalos do executivo (presidente e vice-presidente 2010)</t>
  </si>
  <si>
    <t>1203</t>
  </si>
  <si>
    <t>DROGAS - TRÁFICO, PRODUÇÃO E COMBATE</t>
  </si>
  <si>
    <t>Assuntos relacionados a todo tipo de crime e violencia relacionado a drogas ilícitas. Controle de produção, organizações de tráfico de drogas, trágico internacional, drogas e fronteiras, legalização de consumo, formas de consumo, legislações sobre uso, consumo e transporte de substâncias ilícitas. Somente assuntos relacionados a drogas como crime, violencia e combate na justiça. Questoes relacionadas a saude, dependencia, codificar no 341</t>
  </si>
  <si>
    <t>1204</t>
  </si>
  <si>
    <t>INSTITUIÇÕES E ESTRUTURAS DO PODER JUDICIÁRIO</t>
  </si>
  <si>
    <t>Poder Judiciário como instituição. Construção, manutenção de tribunais, espaços fisicos e funcionamento sistema judiciario. Instancias, posições, hierarquias, modernização da justiça, tipos de estratificações e setores especiais, pequenas causas, criação e manutenção de varas, organização de varas, como vara da familia, vara da criança e do adolescente, funcionamento e atuação do MP</t>
  </si>
  <si>
    <t>1205</t>
  </si>
  <si>
    <t>PRISÃO E SISTEMA PRISIONAL</t>
  </si>
  <si>
    <t>Carceragens, prisões, presídeos, sistema prisional, normas gerais sobre prisão, tempo de pena regular, situação de presídios, construção de presídios, federalização, estatização, privatização, liberdade condicional, prisão preventiva, prisão domiciliar, questões médicas em prisão, saída temporária, leis de execuções penais, sistema penitenciário, instituições que compõe o sistema penitenciario</t>
  </si>
  <si>
    <t>1206</t>
  </si>
  <si>
    <t>CRIMINALIDADE JUVENIL, JUSTIÇA RESTAURATIVA</t>
  </si>
  <si>
    <t>Justiça restaurativa, FEBEM, maioridade penal, programas de prevenção a criminalidade juvenil, crimes cometidos por menores de idade, centros de detenção e ressocialização de jovens, fundação casa, violência juvenil. Se o tema da juventude estiver vinculado com DROGAS, codificar em drogas, 1203.</t>
  </si>
  <si>
    <t>1207</t>
  </si>
  <si>
    <t>ABUSO INFANTIL, PEDOFILIA E PRONOGRAFIA INFANTIL</t>
  </si>
  <si>
    <t>Questões relacionadas a quaisquer tipo de crimes relacionados a crianças. Abuso sexual infantil, pornografia infantil, pedofilia, violência infantil domestica, trabalho intanfil, trabalho escravo infantil, desaparecimento de crianças, rapto de crianças, maus tratos domésticos, bullying. Questões de saúde intantil no codigo 332</t>
  </si>
  <si>
    <t>VIOLÊNCIA DOMÉSTICA E FAMILIAR</t>
  </si>
  <si>
    <t>Quaisquer assuntos sobre crimes e violências domésticas e familiar que envolvam idosos, mulheres, violencia contra mulher, programas de protecao a vitima de abuso familiar, estupro pelos familiares, todo tipo de violencia fisica ou moral dentro do ambiente familiar. Divórcio, separação, Direito da Familia, Guarda de crianças. Sempre que for exclusivamente contra a criança, codificar no 1207.</t>
  </si>
  <si>
    <t>1210</t>
  </si>
  <si>
    <t>REVISÕES DE CÓDIGO CIVIL E PENAL</t>
  </si>
  <si>
    <t>Observações sobre código civil, atualizações do código civil e do código penal. Revisão de sentenças como prisão em segunda instancia, decisões do STF, jurisprudencia, pena de morte, decisões inovadoras que mudam o sistema civil e penal. Não relacionar aqui questões de crimes comuns, assaltos, roubos (1211)</t>
  </si>
  <si>
    <t>CRIME COMUM , VIOLÊNCIA E PREVENÇÃO</t>
  </si>
  <si>
    <t>Crime comum, roubo, furto, estelionato, assassinatos. Programas de prevenção de crimes gerais, que não sejam crimes específicos listados acima. Programas de prevenção, anuncios, panfletos sobre roubo, furto, violência e crimes.</t>
  </si>
  <si>
    <t>1227</t>
  </si>
  <si>
    <t>TERRORISMO</t>
  </si>
  <si>
    <t>Política antiterrorismo; vítimas de terrorismo, Terrorismo em terras nacionais. Prevenção ao terrorismo. Terrorismo internacional codificar no 1927</t>
  </si>
  <si>
    <t>1299</t>
  </si>
  <si>
    <t>Observações que versam sobre JUSTIÇA, CRIMES E VIOLÊNCIA mas que não se enquadram em nenhum dos itens acima.</t>
  </si>
  <si>
    <t>POLÍTICAS SOCIAIS</t>
  </si>
  <si>
    <t>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t>
  </si>
  <si>
    <t>ASSISTÊNCIA ALIMENTAR</t>
  </si>
  <si>
    <t>Políticas de combate a fome, políticas de educação alimentar, políticas de alimentos, incentivos a alimentos não industrializados, apoios a necessidades de alimentação, subnutrição, fome, desnutrição, somente políticas cujo foco principal seja a questão alimentar e o combate a fome. Fome Zero, Leve Leite, políticas de merenda escolar, alimentação nas escolas, creches.</t>
  </si>
  <si>
    <t>1302</t>
  </si>
  <si>
    <t>COMBATE A POBREZA , ASSITÊNCIAS FINANCEIRA E RENDA</t>
  </si>
  <si>
    <t>Observações sobre políticas sociais que visam a redução da pobreza, políticas de distribuição de renda, políticas sociais de bolsas, bolsa gás, bolsa família, brasil carinhoso, políticas sociais de assitência que envolvam transferencia direta de renda via bolsas, assistência financeira, questões relacionadas a pobreza, linha da pobreza, abaixo da linha da pobreza. Se envolver alimentação, codificar na 1301 ou 1300 se ambos</t>
  </si>
  <si>
    <t>POLÍTICAS SOCIAIS DE ASSISTÊNCIA PARA IDOSOS</t>
  </si>
  <si>
    <t>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t>
  </si>
  <si>
    <t>POLÍTICAS SOCIAIS DE ASSISTÊNCIA PARA PESSOAS COM DEFICIÊNCIAS</t>
  </si>
  <si>
    <t>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t>
  </si>
  <si>
    <t>1305</t>
  </si>
  <si>
    <t>SERVIÇOS SOCIAIS DE CARIDADE, VOLUNTARIADO.</t>
  </si>
  <si>
    <t>Voluntariado doméstico, servicos sociais e atuação de ONGs, atuação de igrejas na promoção de igualdade social e assistência social. Velha assitência social voltada ao assisencialismo e questoes não coordenadas pelo estado como direito. Ações sem fins lucrativos e sem relaçãodireta com o Estado. Não envolvem ONGs, ou terceirização de serviços. Instituições internacionais ou nacionais.</t>
  </si>
  <si>
    <t>POLÍTICAS SOCIAIS PARA FAMÍLIAS E INFÂNCIA</t>
  </si>
  <si>
    <t>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t>
  </si>
  <si>
    <t>Observações que versam sobre POLITICA SOCIAL mas que não se enquadram em nenhum dos itens acima.</t>
  </si>
  <si>
    <t>HABITAÇÃO, INFRAESTRUTURA E REFORMA AGRÁRIA</t>
  </si>
  <si>
    <t>1400</t>
  </si>
  <si>
    <t>Observações gerais sobre políticas de habitação, urbanismo e infra-estrutura geral, sem mencionar de urbana ou rural, ou setorial e que envolvam mais de um casos dos subtópicos, políticas gerais. Ministerio das cidades, políticas gerais de habitação plano macro, orcamentos, expansão da construção civil, finaciamento imobiliário, crédito imobiliário, regulação imobiliária, PAC - programa de aceleração do crescimento, apenas quando for geral. Quando se tratar de alguma obra específica, de transporte (10) ou saneamento (12) codificar na política setorial específica.</t>
  </si>
  <si>
    <t>1401</t>
  </si>
  <si>
    <t>HABITAÇÃO URBANA</t>
  </si>
  <si>
    <t>Políticas de habitação (exclusivamente sobre regulamentações de construção civil) planejamento urbano, IPTU, plano diretor, segurança habitacional, Planta genérica de valores, definição geográfica de bairros, subprefeituras, regiões, preservação de habitações históricas.</t>
  </si>
  <si>
    <t>REABILITAÇÃO URBANA, ECONOMIA URBANA</t>
  </si>
  <si>
    <t>Reabilitação de áreas urbanas, revitalização urbana, modernização de áreas, mercados públicos, revitalização de praças, política urbana nacional, desenvolvimento urbano , desenvolvimento econômico de estados e cidades, modernização de espaços urbanos</t>
  </si>
  <si>
    <t>1404</t>
  </si>
  <si>
    <t>POLÍTICA DE HABITAÇÃO RURAL</t>
  </si>
  <si>
    <t>Políticas de habitação em meio rural. Construção de casas. Exclusivamente assuntos de habitação e moradia em meio rural. Quando for relacionado a infraestrutura fora da habitação, codificar no 1405.</t>
  </si>
  <si>
    <t>1405</t>
  </si>
  <si>
    <t>INFRAESTRUTURA RURAL E REFORMA AGRÁRIA</t>
  </si>
  <si>
    <t>Políticas de desenvolvimento economico e de infraestrutura em zona rural. Todos assuntos relacionados a Ocupação de terras improdutivas, Reforma Agraria, Movimento de terra, desapropriações para produção rural. Assuntos relacionados a infraestrutura pública na zona rural e não com habitação ou casas. Não confundir com habitação rural ou ocupações de movimento sem terra. Questões relacionadas a acesso infraestrutura geral que envolva diversos assuntos em area rural, como ( esgoto e agua tratada + rede elétrica + cisternas + comercio + estradas +acessos) quando não for uma política específica e sim diversas políticas estruturais em meio rural.</t>
  </si>
  <si>
    <t>1406</t>
  </si>
  <si>
    <t>POLÍTICAS DE HABITAÇÃO SOCIAL</t>
  </si>
  <si>
    <t>Políticas de habitação para classes sociais específicas. Minha Casa Minha Vida, Cingapura, COHAB, atuação direta governamental em subsídios ou mesmo em construção de mutirões, doação de casas, prédios não utilizados e cedidos pelos governos. Assuntos relacionados a Favelas, comunidades. Inclui questões relacionadas à habitação para veteranos militares e suas famílias, incluindo</t>
  </si>
  <si>
    <t>1407</t>
  </si>
  <si>
    <t>HABITAÇÃO DE VETERANOS</t>
  </si>
  <si>
    <t>subsídios para aluguel ou compra de casa para veteranos militares. Inclui questões relacionadas com a habitação para os idosos, incluindo instalações de alojamento para os idosos com deficiência, casas de repouso. Não confundir com saúde do idoso ou com</t>
  </si>
  <si>
    <t>1408</t>
  </si>
  <si>
    <t>HABITACAO DE IDOSOS</t>
  </si>
  <si>
    <t>políticas sociais para idosos. Apenas questões sobre habitação de idosos.</t>
  </si>
  <si>
    <t>1409</t>
  </si>
  <si>
    <t>SEM TETO, MORADORES DE RUA URBANOS</t>
  </si>
  <si>
    <t>Assuntos relacionados a moradores de rua, sem teto, políticas de remoção, realojamento, albergues públicos, políticas relacionadas a dormir nas ruas, pontes, viadutos, cobertores, políticas específicas para tratar de população de rua e habitação.</t>
  </si>
  <si>
    <t>1499</t>
  </si>
  <si>
    <t>Observações que versam sobre HABITAÇÃO E URBANISMO mas que não se enquadram em nenhum dos itens acima.</t>
  </si>
  <si>
    <t>SISTEMA BANCÁRIO, INSTITUIÇÕES FINANCEIRAS E COMÉRCIO INTERNO</t>
  </si>
  <si>
    <t>1500</t>
  </si>
  <si>
    <t>Observações gerais sobre políticas de sistema bancario, financeiro e comercio que envolvam mais de um casos dos subtópicos, políticas gerais. Estrategias gerais de organização bancária com acesso a crédito, assuntos mcro sobre sistemas de creditos e bancarios no país, informações pesquisas sobre comercio, compra e gastos. Faturamento de setores, política comercial e financeira ampla.</t>
  </si>
  <si>
    <t>1501</t>
  </si>
  <si>
    <t>SISTEMA BANCÁRIO E REGULAÇÃO FINANCEIRA</t>
  </si>
  <si>
    <t>Assuntos relacionados a todo tipo de regulamentação de sistema bancário, transações, fiscalização e supervisão de bancos, relação entre bancos, bancos públicos e privados, regulamentação de instituições financeiras, investigação sobre fraudes bancárias, desregulação de monopólio de bancos, poupança. Banco Central no 104.</t>
  </si>
  <si>
    <t>1502</t>
  </si>
  <si>
    <t>MERCADO FINANCEIRO E BOLSA DE VALORES</t>
  </si>
  <si>
    <t>Investimentos em mercado financeiro, bolsa de valores, regulação de commodity.</t>
  </si>
  <si>
    <t>1504</t>
  </si>
  <si>
    <t>CRÉDITO FINANCIERO, FINANCIAMENTOS E CONSUMO</t>
  </si>
  <si>
    <t>Assuntos relacionados a todo tipo de oferta e regulação de crédito e financiamentos para o consumidor final. Crédito pessoal, crédito ao consumidor, Cartão de Crédito, Crédito consignado, Crediários, dívidas, renegociações, parcelamentos. Crédito para veículo, Crédito para reforma, Hipoteca (assunto é o crédito e o financiamento, e não a política de habitação) Não está relacionado a diretrizes do Banco Central em macroeconomia. Nao confundir com taxas de juros sobre créditos concedidos e financiamentos devem ser colocados em macroeconomia também</t>
  </si>
  <si>
    <t>1505</t>
  </si>
  <si>
    <t>SEGUROS BANCÁRIOS, FINANCEIROS E AO CRÉDITO</t>
  </si>
  <si>
    <t>Seguros exclusivamente relacionados ao consumo e ao sistema financeiro e bancario. Seguro contra fraudes de transações, seguros ofertados pelos bancos, seguro de vida, seguro fiança, seguros obrigatórios, seguros em contratações bancárias e de consumo</t>
  </si>
  <si>
    <t>1507</t>
  </si>
  <si>
    <t>FALÊNCIA, RECUPERAÇÃO JUDICIAL, QUEBRA FINANCEIRA</t>
  </si>
  <si>
    <t>Processos de falencias empresariais, recuperação judicial, quebra financeira, insolvencia, Concordata. Quando a falencia for bancária codificar no 1501.</t>
  </si>
  <si>
    <t>1520</t>
  </si>
  <si>
    <t>MONOPÓLIOS, FUSÕES E ASSUNTOS ANTITRUST</t>
  </si>
  <si>
    <t>Assuntos relacionados ao CADE, aprovações de monopólios, oligopólios, fusões de empresas, setorização financeira e comercial, regulamentações anti trust, competição de mercado. Políticas comerciais desleais, lucros de grandes grupos economicos (quando for monopolio natural como energia ou monopolio de distribuicao de luz, codificar na política setorial)</t>
  </si>
  <si>
    <t>1521</t>
  </si>
  <si>
    <t>PEQUENA E MICRO EMPRESA</t>
  </si>
  <si>
    <t>questoes relacionadas a formação, atuacao, normatizações de pequenas e micro empresas. Microempreendedor individual, acesso a créditos, políticas específicas para formalização de pequeno e micro empresas, Simplificação tributária</t>
  </si>
  <si>
    <t>1522</t>
  </si>
  <si>
    <t>PROPRIEDADE INTELECTUAL</t>
  </si>
  <si>
    <t>regulamentação de patentes, propriedade intelectual em todas as áreas, marcas, pirataria, plágio, direitos autorais, direito de imagem, direito sobre marca, regulacao, Regulamentação e quebra de patentes</t>
  </si>
  <si>
    <t>1523</t>
  </si>
  <si>
    <t>RESSARCIMENTOS POR DESASTRES NATURAIS</t>
  </si>
  <si>
    <t>Pagamento a industrias, comércio, pessoas físicas como ressarcimento de prejuizos causados por desastres ambientais. Pagamento de compensação pra pessoas, industria e comércio afetados em caso de desastre, prejuízo com safra, desocupação, aluguel social temporario. Quando o assunto envolver o desastre natural em si, com questoes relacionadas ao meio ambiente, solo, rios, estruturas, fauna e flora, codificar no 700.</t>
  </si>
  <si>
    <t>TURISMO</t>
  </si>
  <si>
    <t>Assuntos que se relacionam com a política de desenvolvimento de turismo, cidades turisticas, obras turisticas, assuntos relacioandos a incentismo aos turismo, apoios setoriais para promocao de turismo, visto de turismo, promoção do turismo brasileiro.</t>
  </si>
  <si>
    <t>1525</t>
  </si>
  <si>
    <t>DIREITOS DO CONSUMIDOR</t>
  </si>
  <si>
    <t>Questões relacionadas ao direito do consumidor, direito de trocam devolução, garantias de produtos, datas e formas de acesso de direitos, PROCON, reclamações, SAC, regulamentação de vendas online e por telefone.</t>
  </si>
  <si>
    <t>1526</t>
  </si>
  <si>
    <t>ESPORTE, JOGOS DE AZAR, LOTERIA, MEGA SENA E APOSTAS</t>
  </si>
  <si>
    <t>Combate a jogos ilícitos, jogo do bicho, regulamentação de sorteios e jogos regulamentados, Loteria e repartição dos recursos pela Caixa Econômica Federal Bingo, caça niquel, loteria, mega sena, jogos de azar, cassinos, poquer, corridas de cavalo, assuntos relacionados a comercio em esportes profissionais que envolvam industria do esporte, clubes esportivos, financiamento no esporte. Caso envolva direcionamento de recurso pela CEF para áreas específicas, codificar na área (saúde, educação, etc)</t>
  </si>
  <si>
    <t>1599</t>
  </si>
  <si>
    <t>Observações que versam sobre SISTEMA BANCARIO, INSTITUICOES FINANCEIRAS E COMERCIO mas que não se enquadram em nenhum dos itens acima.</t>
  </si>
  <si>
    <t>DEFESA, FORÇAS ARMADAS, MILITARES E GUERRA</t>
  </si>
  <si>
    <t>1600</t>
  </si>
  <si>
    <t>Questões que envolvam mais de um assunto entre os subcodigos abaixo sobre política de defesa. Política Nacional de defesa, política de fronteiras, Estratégias nacionais de defesa e segurança nacional.</t>
  </si>
  <si>
    <t>1602</t>
  </si>
  <si>
    <t>ALIANÇAS, ACORDOS DE DEFESA E FRONTEIRAS</t>
  </si>
  <si>
    <t>Alianças e acordos militares de preteção e defesa de território, políticas de fronteira conjuntas, operações conjuntas militares e forças armadas em fronteiras, ajuda militar, cooperação internacional militar.</t>
  </si>
  <si>
    <t>1603</t>
  </si>
  <si>
    <t>INTELIGÊNCIA E ESPIONAGEM</t>
  </si>
  <si>
    <t>questões relacionadas com inteligência militar, inteligência das forças armadas, academias militares e de estudos de forças armadas, Barro Branco, Abin, regulamentação de informações militares, sigilos e documentos militares, espoinagem internacional</t>
  </si>
  <si>
    <t>1604</t>
  </si>
  <si>
    <t>FUNCIONAMENTO E ORGANIZACAO DAS FORÇAS ARMADAS E CAPACIDADES MILITARES</t>
  </si>
  <si>
    <t>Assuntos que tratam da fiscalização, funcionamento e estrutura organizacional das forças armadas militares. Separação da Marinha, Aeronáutica e Exercito, capacidades tecnológicas e de armamento, planos de modernização, atualização de organizações, sistemas internos de comunicação, testes e avaliações</t>
  </si>
  <si>
    <t>1605</t>
  </si>
  <si>
    <t>CONTROLE DE ARMAS E ARMAMENTO</t>
  </si>
  <si>
    <t>controle do posse e venda de armas, idade legal para compra, legislação de posse de arma, proibição e controle de vendas e uso de armas, armas de destuição em massa, armas nucleares, legislação sobre escolas de tiro, prática de tiro, usos e tipos de armamentos, campanhas e concientização sobre posse de arma</t>
  </si>
  <si>
    <t>1606</t>
  </si>
  <si>
    <t>VENDA DE ARMAS INTERNACIONAIS E AJUDA MILITAR INTERNACIONAL</t>
  </si>
  <si>
    <t>Exclusivamente para assuntos que tratem da venda internacional de armas, do Brasil para outros países. E para ajuda bélica, socorro armado do Brasil para outros países, doação e venda de equipamentos bélicos como caças, tanques do Brasil para outros países.</t>
  </si>
  <si>
    <t>1608</t>
  </si>
  <si>
    <t>RECURSOS HUMANOS, CARREIRAS E TRABALHO MILITAR</t>
  </si>
  <si>
    <t>Profissão, carreira e trabalho das formas armadas no Brasil. Hierarquias militares, funções, trabalho, pensões militares, programas para assitÊncia de filhos e esposas de militares, aposentadoria militar, bonus e isenções que envolvam pessoal de carreira militar, pensão para filhas solteiras, serviço militar obrigatório, reservista, acidentes de trabalho militar, exames obrigatórios, progressão de carreira, cortes militares, legislação militar. (NÃO CONFUNDIR COM POLÍCIA CIVIL MILITAR E FEDERAL codigo 1201)</t>
  </si>
  <si>
    <t>1610</t>
  </si>
  <si>
    <t>COMPRAS DE MATERIAL MILITAR, ARMAS E SUPLEMENTOS BÉLICOS</t>
  </si>
  <si>
    <t>Legislação e assuntos relacionados a COMPRA de material militar, suplementos bélicos, armas de fogo, suplementos, tanques, navios de guerra, aviões caça e demais suplementos armamentos. Formas de compras de material militar, negociações, e precos de armamentos e suplementos para forças armadas</t>
  </si>
  <si>
    <t>1611</t>
  </si>
  <si>
    <t>INSTALAÇÕES E ESTRUTURAS FÍSICAS MILITARES</t>
  </si>
  <si>
    <t>Observações que versam exclusivamente sobre estruturas físicas militares. Despesas e projetos com novas instalações, encerramento e fechamento de instalaçoes, bases, postos, vendas e compras de novos prédios, renovações e reformas em instalações, prédios e estruturas físicas. Expansão de bases militares. UPP - Unidades pacificadoras Assustos relacionados aos reservistas das forças armadas. Acionamento de reservistas. Transferencia de oficiais para a Reserva remunerada antes de serem reformados aos 65 anos.</t>
  </si>
  <si>
    <t>1612</t>
  </si>
  <si>
    <t>RESERVA MILITAR</t>
  </si>
  <si>
    <t>Não envolve pensões ou habitação.</t>
  </si>
  <si>
    <t>1614</t>
  </si>
  <si>
    <t>RESÍDUOS BÉLICOS E MILITARES</t>
  </si>
  <si>
    <t>Consequencias ao meio ambiente após guerras, resíduos bélicos, consequencias ambientais, tóxicas causadas por material belico, armas e guerras.</t>
  </si>
  <si>
    <t>1615</t>
  </si>
  <si>
    <t>COLABORAÇÕES ENTRE SETORES DE DEFESA - CIVIL, MILITAR E FORMAS ARMADAS</t>
  </si>
  <si>
    <t>Ações específicas de colaboração mutua entre setores da defesa civil (bombeiros, policia civil, SAMU, socorristas) e das forças armadas. Questões que tratem da atuação, despesas ou coordenação em situações de emergencia, grandes catastrofes, incendios. Se há atuação apenas da força civil, codificar no 1209. Quando o tema principal é a catástrofe, codificar no tipo de catástrofe . Aqui codificar apenas quando o principal tema for a união, colaboracao entre defesa civil, policias e bombeiros JUNTO com forças militares.</t>
  </si>
  <si>
    <t>1616</t>
  </si>
  <si>
    <t>EMPREGO CIVIL EM UNIDADES MILITARES</t>
  </si>
  <si>
    <t>Ocupação de cargos em instalações militares por civis. Questões relacionadas ao trabalho, contratacão e regras de trabalho de cidadaos NÃO militares, em atuação militar.</t>
  </si>
  <si>
    <t>1617</t>
  </si>
  <si>
    <t>CONTRATOS DE DEFESA SEM ARMAMENTO</t>
  </si>
  <si>
    <t>Compra e negociação de contratos de defesa e aquisição de serviços militares que NÃO ENVOLVAM ARMAMENTO.</t>
  </si>
  <si>
    <t>1619</t>
  </si>
  <si>
    <t>GUERRA E OPERAÇÕES DE GUERRA</t>
  </si>
  <si>
    <t>Conflitos armados, guerras</t>
  </si>
  <si>
    <t>1620</t>
  </si>
  <si>
    <t>DENUNCIAS DE ABUSOS CONTRA AS FORÇAS ARMADAS</t>
  </si>
  <si>
    <t>Violações dos direitos humanos durante guerras OU missões dentro de forças armadas. Torturas, assassinatos de inocentes parentes familiares de atuantes em guerra. Reclamações contra as forças armadas, crimes de guerra.</t>
  </si>
  <si>
    <t>1698</t>
  </si>
  <si>
    <t>PESQUISA E DESEVOLVIMENTO SOBRE ASSUNTOS MILITARES E BÉLICOS</t>
  </si>
  <si>
    <t>Pesquisas e desenvolvimento de novas armas, novos equipamentos, pesquisa bélica, pesquisa de guerra.</t>
  </si>
  <si>
    <t>1699</t>
  </si>
  <si>
    <t>Observações que versam sobre DEFESA, GUERRA, mas que não se enquadram em nenhum dos itens acima.</t>
  </si>
  <si>
    <t>CIÊNCIA, TECNOLOGIA E COMUNICAÇÕES</t>
  </si>
  <si>
    <t>1700</t>
  </si>
  <si>
    <t>Observações que contenham multiplas informações sobre ciência, tecnologia e comunicações. Quando não é possível separar em um único sub-codigo pois envolve diversas materias dentro desse tópico. Estratágias gerais para ciência, pesquisa e comunicação, Orçamentos instituições de Pesquisa, tecnologia e desenvolvimento, CNPq.</t>
  </si>
  <si>
    <t>1701</t>
  </si>
  <si>
    <t>MISSÕES ESPACIAIS E PESQUISA ESPACIAL</t>
  </si>
  <si>
    <t>Missões espaciais, assuntos recalcionados a participação e desenvolvimento de conhecimento espacial, materias relacionadas a viagens ao espaço, missões, participações em missões,</t>
  </si>
  <si>
    <t>1704</t>
  </si>
  <si>
    <t>SATÉLITES</t>
  </si>
  <si>
    <t>Lançamento de satélites, tratados de usos de satélites, uso comercial no espaço</t>
  </si>
  <si>
    <t>1705</t>
  </si>
  <si>
    <t>COOPERAÇÃO CIENTÍFICA</t>
  </si>
  <si>
    <t>Cooperação científica entre países, universidades, pesquisas compartilhadas entre nações e instituições para desenvolvimento e pesquisa científica. Ações específicas de parceria, Ciencias sem Fronteiras. Chamadas de internacionalização de pesquisa, desenvolvimento de pesquisa conjunto, ações e chamadas do CNPQ</t>
  </si>
  <si>
    <t>TELEFONIA E INTERNET</t>
  </si>
  <si>
    <t>Questões relacionadas ao sistema de comunicação telefonico. Privatizações, estatizações, competição de telefonia móvel e fixa, DDD, DDI, Serviços telefônico, Alocação de empresas nacionais e internacionais na oferta de serviõs de telefonia fixa e móvel. oferta de internet, internet discada, internet radio, internet a cabo, internet fibra,</t>
  </si>
  <si>
    <t>1707</t>
  </si>
  <si>
    <t>RADIO, TV, JORNAIS E MIDIAS</t>
  </si>
  <si>
    <t>Industria da midia, assuntos relacionados a regras, concessoes, radio, radio comunitaria, TV, canais de TV, televisao, regulamentação da midia, jornais impressos, aprovações de aquisicões e fusões de empresas midiaticas, Canais privados e Canais estatais, TV estatal, Radio estatal. Hora do Brasil, obrigações de transmissão (esse medicamento é contra-indicado em casos de suspeitas de dengue), avisos, alertas, obrigações. Renovações de contrato midiatico</t>
  </si>
  <si>
    <t>1708</t>
  </si>
  <si>
    <t>METEREOLOGIA E TEMPO</t>
  </si>
  <si>
    <t>Desenvolvimento de pesquisas e transmissao metereologica, ciencias geologicas e de metereologia, servicos metereologicos nacionais, sismologia, oceanografia. Mudanças climáricas codificar no 705</t>
  </si>
  <si>
    <t>1709</t>
  </si>
  <si>
    <t>INDUSTRIA E SEGURANÇA INFORMÁTICA</t>
  </si>
  <si>
    <t>Desenvolvimento de computadores, tecnologia computacional, hacker, invasão de computadores, virus, desenvolvimento de softwares, midias sociais. Internet apenas quando for sobre o desenvolvimento de tecnologia, e não quando o "meio" de cometer o crime for a internet. Quando o tema for "crime digital" contra individuos (carolina Dieckman) ou se tratar de crime organizado de falsificacao de transações, compras online (1202)</t>
  </si>
  <si>
    <t>1798</t>
  </si>
  <si>
    <t>PESQUISA E DESEVOLVIMENTO SOBRE COMUNICAÇÃO, MIDIA E TELEFONIA</t>
  </si>
  <si>
    <t>Pesquisas e desenvolvimento relacionado aos tópicos de ciencia, tecnologia e telecomunicações, Desenvolvimento de novos meios, novas tecnologias, parcerias internacionais em pesquisa.</t>
  </si>
  <si>
    <t>1799</t>
  </si>
  <si>
    <t>Observações que versam sobre CIÊNCIA, TECNOLOGIA E COMUNICAÇÃO, mas que não se enquadram em nenhum dos itens acima.</t>
  </si>
  <si>
    <t>COMÉRCIO EXTERIOR, IMPORTAÇÕES E EXPORTAÇÕES</t>
  </si>
  <si>
    <t>1800</t>
  </si>
  <si>
    <t>Informações gerais sobre política de comércio exterior, regulamentações gerais sobre prioridades e objetivos do comércio exterior, planejamento e orcamentos gerais para venda, divulgação e economia internacional.</t>
  </si>
  <si>
    <t>1802</t>
  </si>
  <si>
    <t>ACORDOS E DISPUTAS NO COMÉRCIO EXTERIOR</t>
  </si>
  <si>
    <t>Regulações específicas de comércio externo que se relacionem tanto com a exportação quanto importação de determinados produtos. Acordos internacionais de compra e de venda, acordos bilaterais ou acordos de blocos, como Mercosul, EU. Arbitragem internacional de fusões, acordos de parcerias internacionais.</t>
  </si>
  <si>
    <t>1803</t>
  </si>
  <si>
    <t>EXPORTAÇÃO, REGULAÇÃO E INCENTIVOS COMERCIAIS DE VENDA INTERNACIONAL</t>
  </si>
  <si>
    <t>Programas específicos de exportação. Normas, regras, regulações, incentivos fiscais, economicos, boicotes e suspensão de exportações. Todos os assuntos relacionados exclusivamente a venda de produtos e serviços no ambito internacional de qualquer setor. Exportação de soja, frango, tecnologia, carros, manufaturas. Apenas nao se aplica a armas e questoes militares</t>
  </si>
  <si>
    <t>1804</t>
  </si>
  <si>
    <t>INVESTIMENTO PRIVADO INTERNACIONAL</t>
  </si>
  <si>
    <t>Atuação de empresas privadas brasileiras no mercado internacional, investimento privado nacional no exterior e investimento internacional no Brasil. Atuação de empresas internacionais no mercado brasileiro, investimento internacional no Brasil e investimento brasileiro no exterior.</t>
  </si>
  <si>
    <t>1806</t>
  </si>
  <si>
    <t>COMPETITIVIDADE INTERNACIONAL, RESULTADOS DA BALANÇA COMERCIAL</t>
  </si>
  <si>
    <t>Questões que versam sobre os resultados da balanca comercial de Exportacoes e Importacoes, resultados economicos no ambito internacional, posicao economica do pais no cenario mundial, competitividade comercial em ambiente internacional. Competicao Brasil e China no mercado internacional de frangos.</t>
  </si>
  <si>
    <t>1807</t>
  </si>
  <si>
    <t>IMPORTAÇOES, REGULAÇÕES E INCENTIVOS COMERCIAIS DE COMPRA INTERNACIONAL</t>
  </si>
  <si>
    <t>Programas específicos de importações. Normas, regras, regulações, incentivos fiscais, economicos, boicotes e suspensão de importações. Todos os assuntos relacionados exclusivamente a compra de produtos e serviços no ambito internacional de qualquer setor. Tarifas, taxas de importacões, suspensão de taxas, descontos de todos os setores, agricultura, , tecnologia, carros, manufatura. Apenas nao se aplica a armas e questoes militares</t>
  </si>
  <si>
    <t>1808</t>
  </si>
  <si>
    <t>CÂMBIO E SISTEMA CAMBIAL</t>
  </si>
  <si>
    <t>Política cambial, guerra cambial, câmbio, manipulação de taxas de cambio, impacto do sistema cambial e valores de cambio para o comercio internacional. Valorização e Desvalorização de moeda no mercado internacional. Dolar, Euro.</t>
  </si>
  <si>
    <t>1899</t>
  </si>
  <si>
    <t>Observações que versam sobre POLÍTICA DE COMÉRCIO EXTERIOR, mas que não se enquadram em nenhum dos itens acima.</t>
  </si>
  <si>
    <t>RELAÇÕES INTERNACIONAIS E POLÍTICA EXTERNA</t>
  </si>
  <si>
    <t>1900</t>
  </si>
  <si>
    <t>Observações generalistas sobre relações internacionais e política externa que não envolvam o COMERCIO EXTERIOR. Prioridades de política externa, acordos de cooperação que envolvam multiplos subtopicos e que não seja possivel colocar em apenas um.</t>
  </si>
  <si>
    <t>1901</t>
  </si>
  <si>
    <t>RELAÇÕES E COOPERAÇÃO EM POLÍTICA INTERNACIONAL</t>
  </si>
  <si>
    <t>Assuntos relacionados com cooperação de políticas gerais, atuação internacional e promoção de políticas, acordos bilaterais ou multilaterais não comerciais de políticas. Protolocos de desenvolvimento que não sejam ambientais ou comerciais. Outros tipos de política que envolvam estrategias e acordos internacionais</t>
  </si>
  <si>
    <t>1902</t>
  </si>
  <si>
    <t>ATUAÇÃO INTERNACIONAL SOBRE QUESTÕES CLIMÁTICAS E AMBIENTAIS</t>
  </si>
  <si>
    <t>Questões do ambito internacional sobre assuntos relacionados ao clima e meio-ambiente. Protocolo de Kyoto, Acordo climático de Paris, acordos e protocolos sobre emissao de gases, temperatura global, aquecimento global, proteção do Artico e da Antartica.</t>
  </si>
  <si>
    <t>1905</t>
  </si>
  <si>
    <t>PAÍSES EM DESENVOLVIMENTO</t>
  </si>
  <si>
    <t>Quaisquer observações que se relacionem com assuntos típicos de países em desenvolvimento. Assuntos internacionais sobre fome, problemas da população, disponibilidade de comida, pobreza, educação. Quando o assunto for em países africanos e da América do Sul, países com altos indices de pobreza e desigualdade economica, que NAO ENVOLVAM QUESTÕES DE AJUDA FINANCEIRA (1901) e sim assuntos de desenvolvimento humano, pobreza, fome, educacao. outras políticas que nao economicas ou financeiras. Se o assunto for esses países em desenvolvimento, mas o tema NÃO FOR SOBRE DESENVOLVIMENTO, codificar ou em 18 se for comercial ou em 1921.</t>
  </si>
  <si>
    <t>1906</t>
  </si>
  <si>
    <t>ORGANIZAÇÕES FINANCEIRAS E ECONÔMICAS INTERNACIONAIS</t>
  </si>
  <si>
    <t>Organizações financeiras internacionais. FMI, BANCO MUNDIAL, OECD, BRICS,</t>
  </si>
  <si>
    <t>1910</t>
  </si>
  <si>
    <t>EUROPA E UNIÃO EUROPEIA</t>
  </si>
  <si>
    <t>Questões sobre a União Européia e países da Europa ocidental. União Européia, Euro, Zona do Euro, Alemanha, Andorra, Austria, Belgica, Vaticano, Espanha, França, Grécia, Holanda, Irlanda, Islândia, Itália, Leichtenstein, Luxemburgo, Malta, Monaco, Portugal, Reino Unido, São Marino, Suiça, Suécia, Dinamarca, Groenlandia, Finlandia, Noruega e Turquia.</t>
  </si>
  <si>
    <t>1921</t>
  </si>
  <si>
    <t>PAÍSES E REGIÕES ESPECÍFICAS</t>
  </si>
  <si>
    <t>Subcodigo fundido dos diversos outros codigos existentes de países separados. Foi juntado no subcodigo 1921 tudo o que se refere a assuntos internacional sobre paises que não sejam em desenvolvimento e países da Europa.</t>
  </si>
  <si>
    <t>1925</t>
  </si>
  <si>
    <t>DIREITOS HUMANOS AMBITO INTERNACIONAL</t>
  </si>
  <si>
    <t>Violação de direitos Humanos em ambito internaciona. Cortes e Justiça internacional. Cortes interamericana, cortes e tribunais internacionais sobre violência, tortura, violação de direitos humanos em ambito internacional. Genocídios internacionais, Assuntos LGBT internacional, opressao a minorias, mulheres em ambito internacional. NAO CONFUNDIR COM ASSUNTOS NACIONAIS DO CODIGO 2.</t>
  </si>
  <si>
    <t>1926</t>
  </si>
  <si>
    <t>ORGANIZAÇÕES INTERNACIONAIS NÃO</t>
  </si>
  <si>
    <t>Organizações internacionais, ONGs, que não atuam sobre questões financeiras ou comerciais. ONU, UNESCO, OIT...missões de paz, incuir todas as questões que envolvem missões</t>
  </si>
  <si>
    <t>1927</t>
  </si>
  <si>
    <t>TERRORISMO INTERNACIONAL</t>
  </si>
  <si>
    <t>Observações sobre ações terroristas que não envolvam o Brasil, que não ocorram diretamente no Brasil. Terrorismo internacional, pirataria internacional.</t>
  </si>
  <si>
    <t>1929</t>
  </si>
  <si>
    <t>DIPLOMACIA E EMBAIXADAS E PASSAPORTES</t>
  </si>
  <si>
    <t>Diplomacia, ações de diplomacia, embaixadas, deportações, passaportes, carreiras, despesas, formação de diplomatas, embaixadas, embaixadores, cidadania internacional, consulados.</t>
  </si>
  <si>
    <t>1999</t>
  </si>
  <si>
    <t>Observações que versam sobre RELAÇÕES INTERNACIONAIS E POLÍTICA EXTERNA, mas que não se enquadram em nenhum dos itens acima.</t>
  </si>
  <si>
    <t>GOVERNO E ADMINISTRAÇÃO PÚBLICA</t>
  </si>
  <si>
    <t>2000</t>
  </si>
  <si>
    <t>Observações que contemplam mais de um subcódigo abaixo ou que tratem de informações generalistas sobre a administração pública e os Poderes Executivo e Legislativo. Regulamento do poder legislativo e executivo, formas de atuação da camara e do senado, forma de organização do poder legislativo, formação de bancadas, organização de comissões e comites do legislativo, Estatuto, frentes parlamentares, colégio de líderes, ministérios, pastas, formação e estruturas</t>
  </si>
  <si>
    <t>2001</t>
  </si>
  <si>
    <t>RELAÇÕES INTRAGOVERNAMENTAIS E FEDERALISMO</t>
  </si>
  <si>
    <t>Competencias entre união, estados e municípios, federalismo, relação entre os niveis de poderes no Brasil. Responsabilidades de cada nível de governo, responsabilidades conjuntas, repasses federativos, relação entre presidentes, governadores e prefeitos. Centralização, descentralização da administração e da atuação do poder executivo. Se o assunto for sobre centralização ou descentralização de uma política específica (saude, educacao, assistencia) codificar na política setorial.</t>
  </si>
  <si>
    <t>2002</t>
  </si>
  <si>
    <t>BUROCRACIA, EFICIÊNCIA E FUNCIONAMENTO DA ADMINISTRAÇÃO PÚBLICA</t>
  </si>
  <si>
    <t>Assuntos relacionados aos modelos de administração pública, serviços público, burocracia, e eficiência dos serviços e do aparato público. Funcionamento e organização da administração Pública. Repartições, serviços. Atuação direta para o cidadão, POUPATEMPO, desburocratização da administração pública, informatização do setor público, oferta de serviços públicos online.</t>
  </si>
  <si>
    <t>2003</t>
  </si>
  <si>
    <t>CORREIOS</t>
  </si>
  <si>
    <t>Organização dos Correios, oferta de servicos, todas informações sobre estruturas, atuação, organização dos Correios. Funções, hierarquia, contratações sobre Correios e serviços postais.</t>
  </si>
  <si>
    <t>2004</t>
  </si>
  <si>
    <t>EMPREGO E ORGANIZAÇÃO DA ADMINISTRAÇÃO PÚBLICA</t>
  </si>
  <si>
    <t>Empregos públicos, concursos públicos, funcionalismo, cargos públicos concursados, formas de trabalho no setor público (que não seja indicação e cargos de confiança). Tudo o que for relacionado as especificidades do trabalho, benefícios e pagamentos e carreira de emprego público. Remuneração, estabilidade, recrutamento, seleção.Estabilidade do servidor público, hierarquia na carreira. Competências, exigências para concurso público.</t>
  </si>
  <si>
    <t>2005</t>
  </si>
  <si>
    <t>CARGOS DE CONFIANÇA, NOMEAÇOES E EXONERAÇÕES</t>
  </si>
  <si>
    <t>Cargos de confiança. Nomeações e exonerações desse tipo específico de atuação no serviço público. Nomeação de gestores, secretarios, ministros, noemação para empresas públicas, critérios para nomeaçãode cargos de confiança e indicações governamentais. Não confundir com emprego público do 2004.</t>
  </si>
  <si>
    <t>2006</t>
  </si>
  <si>
    <t>CONDECORAÇÕES, PREMIAÇÕES E HONRA AO MÉRITO E CASA DA MOEDA</t>
  </si>
  <si>
    <t>Assuntos relacionados a condecorações, honra ao mérito, premiações, honras públicas, medalhas, títulos especiais, Casa da Moeda</t>
  </si>
  <si>
    <t>2007</t>
  </si>
  <si>
    <t>COMPRAS PÚBLICAS, CONTRATOS E CORRUPÇÃO NA ADMINISTRAÇAO PÚBLICA</t>
  </si>
  <si>
    <t>Regras sobre compras e contratos públicos, formas de negociações, pagamentos e relações comerciais com o governo. Contratos, subcontratos, normas de regulações gerais de parcerias publico privado, empresas públicas e prestação de servicos. Assuntos relacionados a corrupção do poder executivo, corrupção de empresas públicas, fraudes em contratos públicos, fraudes em procedimentos legais. Transparência nos contratos e prestação de contas públicas.</t>
  </si>
  <si>
    <t>2008</t>
  </si>
  <si>
    <t>EMPRESAS PUBLICAS PRIVATIZAÇÕES E GESTÃO DE PROPRIEDADES DO GOVERNO</t>
  </si>
  <si>
    <t>Gestão de propriedades públicas.Empresas Publicas, Privatizações e gestao de empresas públicas e propriedades do governo federal. Gestão do setor público, vendas e compras de edifícios, empresas, alugueis de espaços. Patrimonio cultural, museus usar o 23.</t>
  </si>
  <si>
    <t>2009</t>
  </si>
  <si>
    <t>ADMINISTRAÇÃO FISCAL</t>
  </si>
  <si>
    <t>Atuação, competência e gestão da área fiscal que não envolva a criação, extinção, majoração ou diminuição dos tributos. Ações para a cobrança e recolhimento de taxas, impostos e contribuições. Gestão visando atender à LOA e outras normas referentes à área.Devolução de impostos cobrados de forma indevida. Atendimento e prestação de serviço fiscal.</t>
  </si>
  <si>
    <t>2010</t>
  </si>
  <si>
    <t>IMPEACHMENT E ESCANDALOS DO PODER EXECUTIVO</t>
  </si>
  <si>
    <t>Escandalos que envolvem o presidente e o vice-presidente em escandalos, processo de impeachment, aberturas e pedidos de impeachment. Corrupção exclusiva dos chefes do poder executivo e vice-presidentes.</t>
  </si>
  <si>
    <t>2011</t>
  </si>
  <si>
    <t>RELAÇÕES ENTRE EXECUTIVO E LEGISLATIVO</t>
  </si>
  <si>
    <t>Relação entre o poder executivo e o poder legislativo, normas de atuação conjunta, aprovações, base governista na camara e no senado. Acordos parlamentares. Aprovações e reprovações. Vetos, articulação, oposição, acordos parlamentares, audiências entre os poderes.</t>
  </si>
  <si>
    <t>2012</t>
  </si>
  <si>
    <t>ELEIÇÕES, CAMPANHAS ELEITORAIS E PARTIDOS</t>
  </si>
  <si>
    <t>Legislação eleitoral, campanhas eleitoriais, normas, regras, horário eleitoral, indicação partidária, candidatos, financiamento partidário, fundo partidário, estruturação partidária. Fusão de partidos, criação de partidos políticos, Cláusula de barreira, financiamento público e privado, pesquisas eleitorais, referendos, organização interna dos partidos.</t>
  </si>
  <si>
    <t>2013</t>
  </si>
  <si>
    <t>CENSO DEMOGRÁFICO</t>
  </si>
  <si>
    <t>Questões relacionadas ao Censo Demográfico, tipos de perguntas, indicadores, período, frequencia, pesquisadores, aplicações, demografia, evolução da população. Observações relacionadas ao Distrito Federal. Capital do país. Envolve todas as questões setoriais</t>
  </si>
  <si>
    <t>2014</t>
  </si>
  <si>
    <t>CAPITAL FEDERAL</t>
  </si>
  <si>
    <t>de educação, saúde, transporte. Tudo o que for referente a capital federal, inserir nesse código.</t>
  </si>
  <si>
    <t>2015</t>
  </si>
  <si>
    <t>AVALIAÇÃO E RECLAMAÇÕES CONTRA A ADMINSITRAÇÃO PÚBLICA E SERVIÇOS PÚBLICOS</t>
  </si>
  <si>
    <t>reclamações e avaliações sobre o poder executivo e sobre a administração pública. Processos contra a administração pública, processos de avaliação e reclamação contra pessoal e contra a própria administração pública, ouvidoria, indenizações contra o serviço público.</t>
  </si>
  <si>
    <t>2030</t>
  </si>
  <si>
    <t>FERIADOS E PONTOS FACULTATIVOS</t>
  </si>
  <si>
    <t>Proclamação de feriados, pontos facultativos, proclamação de luto nacional, datas comemorativas, homenagens.</t>
  </si>
  <si>
    <t>2099</t>
  </si>
  <si>
    <t>Observações que versam sobre GOVERNO E ADMINISTRAÇÃO PÚBLICA, mas que não se enquadram em nenhum dos itens acima.</t>
  </si>
  <si>
    <t>21</t>
  </si>
  <si>
    <t>TERRITÓRIO E RECURSOS NATURAIS</t>
  </si>
  <si>
    <t>Gestão do território e dos seus recursos. Estratégia de exploração e desenvolvimento de recursos naturais. C130Assuntos gerais sobre recursos naturais, ordenamento do territorio, orcamentos e valores anuais, dados e pesquisas sobre recursos naturais e questões que envolvam diversos assuntos dos subcodigos abaixo. Todos os subcodigos estao reclacionados ao território, ao uso da terra e dos recursos naturais da terra.</t>
  </si>
  <si>
    <t>PARQUES PÚBLICOS E RESERVAS DE PRESERVAÇÃO</t>
  </si>
  <si>
    <t>Regulação, normas, orinetações, manutenção em território publico aberto, como parques, reservas ambientais, áreas protegidas e de preservação ambiental. Regulação de parques naturais e áreas protegidas. Utilização de bosques e florestas públicas</t>
  </si>
  <si>
    <t>POPULAÇÕES TRADICIONAIS BRASILEIRAS - INDÍGENAS, QUILOMBOLAS, RIBEIRINHOS, SERINGUEIROS, CAIÇARAS</t>
  </si>
  <si>
    <t>Todos os temas, de todas as políticas setoriais que envolvam populações tradicionais nativas brasileiras. Temas relacionados ao uso da terra por populações nativas como uso de terra por indígenas e reservas indígenas, quilombolas e populações ribeirinhas. Saude, educacao, assistencia, terras. Populações Nativas não se codifica em política setoria, mas sim aqui!</t>
  </si>
  <si>
    <t>2103</t>
  </si>
  <si>
    <t>EXTRAÇÃO E COMÉRCIO DE RECURSOS NATURAIS</t>
  </si>
  <si>
    <t>Utilização de terras e do território nacional para exploração mineral, metais, pedras preciosas, ouro, que não estejam relacionados com a produção de energia. Regulação da terra e dos usos de recursos naturais, garimpo, extração de ouro, prata, madeireiras. Utilização de recursos naturais de origem hídrica como praias, bacias Hidrográficas, termas, mar, rio e seus recursos. Fontes de água mineral. Construção e manutenção de infraestruturas como represas, portos, marinas e ancoradouros; planejamento hidrológico; concessões de recursos hídricos para exploração privada. Dragagens. Quando for para geração de energia, usar o 802.</t>
  </si>
  <si>
    <t>2104</t>
  </si>
  <si>
    <t>RECURSOS HIDRICOS</t>
  </si>
  <si>
    <t>Quando o assunto envolver poluição, manutenção e conservação da água usar o 711.</t>
  </si>
  <si>
    <t>2105</t>
  </si>
  <si>
    <t>TERRITÓRIOS ANEXOS E PERDIDOS</t>
  </si>
  <si>
    <t>Questões vinculadas ao tamanho do país, incorporações ao território, perda de território.</t>
  </si>
  <si>
    <t>2199</t>
  </si>
  <si>
    <t>Observações que versam sobre TERRITÓRIO E RECURSOS NATURAIS , mas que não se enquadram em nenhum dos itens acima.</t>
  </si>
  <si>
    <t>CULTURA, ESPORTE E LAZER</t>
  </si>
  <si>
    <t>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t>
  </si>
  <si>
    <t>Sigla</t>
  </si>
  <si>
    <t>Estimativa ZUCCO POWER 2021</t>
  </si>
  <si>
    <t>Estimativa ZUCCO POWER 2017</t>
  </si>
  <si>
    <t>ideologia</t>
  </si>
  <si>
    <t>2022</t>
  </si>
  <si>
    <t>Democratas</t>
  </si>
  <si>
    <t>0.431</t>
  </si>
  <si>
    <t>direita</t>
  </si>
  <si>
    <t>partido socialismo e liberdade</t>
  </si>
  <si>
    <t>-0.874</t>
  </si>
  <si>
    <t>esquerda</t>
  </si>
  <si>
    <t>partido social democratico</t>
  </si>
  <si>
    <t>0.296</t>
  </si>
  <si>
    <t>partido novo</t>
  </si>
  <si>
    <t>0.711</t>
  </si>
  <si>
    <t>partido democratico trabalhista</t>
  </si>
  <si>
    <t>-0.356</t>
  </si>
  <si>
    <t>partido trabalhista brasileiro</t>
  </si>
  <si>
    <t>0.455</t>
  </si>
  <si>
    <t>cidadania</t>
  </si>
  <si>
    <t>-0.014</t>
  </si>
  <si>
    <t>centro</t>
  </si>
  <si>
    <t>avante</t>
  </si>
  <si>
    <t>rede sustentabilidade</t>
  </si>
  <si>
    <t>-0.555</t>
  </si>
  <si>
    <t>partido da social democracia brasileira</t>
  </si>
  <si>
    <t>0.157</t>
  </si>
  <si>
    <t>republicanos</t>
  </si>
  <si>
    <t>0.550</t>
  </si>
  <si>
    <t>progressistas</t>
  </si>
  <si>
    <t>0.510</t>
  </si>
  <si>
    <t>Partido Social Liberal</t>
  </si>
  <si>
    <t>0.803</t>
  </si>
  <si>
    <t>partido dos trabalhadores</t>
  </si>
  <si>
    <t>-0.691</t>
  </si>
  <si>
    <t>partido social cristao</t>
  </si>
  <si>
    <t>0.596</t>
  </si>
  <si>
    <t>podemos</t>
  </si>
  <si>
    <t>0.386</t>
  </si>
  <si>
    <t>Partido Renovador Trabalhista Brasileiro</t>
  </si>
  <si>
    <t>Partido Trabalhista Comunitário</t>
  </si>
  <si>
    <t>movimento democratico brasileiro</t>
  </si>
  <si>
    <t>0.137</t>
  </si>
  <si>
    <t>partido da mobilizacao nacional</t>
  </si>
  <si>
    <t>partido liberal</t>
  </si>
  <si>
    <t>0.493</t>
  </si>
  <si>
    <t>patriota</t>
  </si>
  <si>
    <t>Partido Republicano da Ordem Social</t>
  </si>
  <si>
    <t>0.032</t>
  </si>
  <si>
    <t>2023_BELLA_GONCALVES</t>
  </si>
  <si>
    <t>2023_BIM_DA_AMBULANCIA</t>
  </si>
  <si>
    <t>2023_BRAULIO_LARA</t>
  </si>
  <si>
    <t>2023_BRUNO_MIRANDA</t>
  </si>
  <si>
    <t>2023_CIRO_PEREIRA</t>
  </si>
  <si>
    <t>2023_CLEITON_XAVIER</t>
  </si>
  <si>
    <t>Cleiton Xavier</t>
  </si>
  <si>
    <t>2023_CLAUDIO_DO_MUNDO_NOVO</t>
  </si>
  <si>
    <t>2023_CESAR_GORDIN</t>
  </si>
  <si>
    <t>César Gordin</t>
  </si>
  <si>
    <t>SD</t>
  </si>
  <si>
    <t>solidariedade</t>
  </si>
  <si>
    <t>0.190</t>
  </si>
  <si>
    <t>2023_DR_CELIO_FROIS</t>
  </si>
  <si>
    <t>2023_DUDA_SALABERT</t>
  </si>
  <si>
    <t>2023_FERNANDA_PEREIRA_ALTOE</t>
  </si>
  <si>
    <t>2023_FERNANDO_LUIZ</t>
  </si>
  <si>
    <t>2023_FLAVIA_BORJA</t>
  </si>
  <si>
    <t>2023_GABRIEL</t>
  </si>
  <si>
    <t>Gabriel</t>
  </si>
  <si>
    <t>sem partido</t>
  </si>
  <si>
    <t>2023_GILSON_GUIMARAES</t>
  </si>
  <si>
    <t>2023_HELINHO_DA_FARMACIA</t>
  </si>
  <si>
    <t>2023_HENRIQUE_BRAGA</t>
  </si>
  <si>
    <t>2023_IRLAN_MELO</t>
  </si>
  <si>
    <t>2023_IZA_LOURENCA</t>
  </si>
  <si>
    <t>2023_JANAINA_CARDOSO</t>
  </si>
  <si>
    <t>Janaina Cardoso</t>
  </si>
  <si>
    <t>UNIAO</t>
  </si>
  <si>
    <t>uniao brasil</t>
  </si>
  <si>
    <t>0.660</t>
  </si>
  <si>
    <t>2023_JORGE_SANTOS</t>
  </si>
  <si>
    <t>2023_JOSE_FERREIRA</t>
  </si>
  <si>
    <t>2023_JUNINHO_LOS_HERMANOS</t>
  </si>
  <si>
    <t>2023_LEO</t>
  </si>
  <si>
    <t>2023_MACAE_EVARISTO</t>
  </si>
  <si>
    <t>2023_MARCELA_TROPIA</t>
  </si>
  <si>
    <t>2023_MARCOS_CRISPIM</t>
  </si>
  <si>
    <t>2023_MARILDA_PORTELA</t>
  </si>
  <si>
    <t>2023_MILTINHO_CGE</t>
  </si>
  <si>
    <t>2023_NELY_AQUINO</t>
  </si>
  <si>
    <t>2023_NIKOLAS_FERREIRA</t>
  </si>
  <si>
    <t>2023_PEDRO_PATRUS</t>
  </si>
  <si>
    <t>2023_PROFESSOR_CLAUDINEY_DULIM</t>
  </si>
  <si>
    <t>2023_PROFESSOR_JULIANO_LOPES</t>
  </si>
  <si>
    <t>AGIR</t>
  </si>
  <si>
    <t>agir</t>
  </si>
  <si>
    <t>2023_PROFESSORA_MARLI</t>
  </si>
  <si>
    <t>2023_RAMON_BIBIANO_DA_CASA_DE_APOIO</t>
  </si>
  <si>
    <t>2023_REINALDO_GOMES_PRETO_SACOLAO</t>
  </si>
  <si>
    <t>2023_RUBAO</t>
  </si>
  <si>
    <t>2023_SERGIO_FERNANDO_PINHO_TAVARES</t>
  </si>
  <si>
    <t>Sérgio Fernando Pinho Tavares</t>
  </si>
  <si>
    <t>2023_WALTER_TOSTA</t>
  </si>
  <si>
    <t>2023_WANDERLEY_PORTO</t>
  </si>
  <si>
    <t>2023_WESLEY</t>
  </si>
  <si>
    <t>2023_WILSINHO_DA_TABU</t>
  </si>
  <si>
    <t>2023_ALVARO_DAMIAO</t>
  </si>
  <si>
    <t>2024_BRAULIO_LARA</t>
  </si>
  <si>
    <t>2024_BRUNO_MIRANDA</t>
  </si>
  <si>
    <t>2024_BRUNO_PEDRALVA</t>
  </si>
  <si>
    <t>Bruno Pedralva</t>
  </si>
  <si>
    <t>2024_CIDA_FALABELLA</t>
  </si>
  <si>
    <t>Cida Falabella</t>
  </si>
  <si>
    <t>2024_CIRO_PEREIRA</t>
  </si>
  <si>
    <t>2024_CLEITON_XAVIER</t>
  </si>
  <si>
    <t>2024_CLAUDIO_DO_MUNDO_NOVO</t>
  </si>
  <si>
    <t>2024_CESAR_GORDIN</t>
  </si>
  <si>
    <t>2024_DR_CELIO_FROIS</t>
  </si>
  <si>
    <t>PV</t>
  </si>
  <si>
    <t>partido verde</t>
  </si>
  <si>
    <t>-0.069</t>
  </si>
  <si>
    <t>2024_FERNANDA_PEREIRA_ALTOE</t>
  </si>
  <si>
    <t>2024_FERNANDO_LUIZ</t>
  </si>
  <si>
    <t>2024_FLAVIA_BORJA</t>
  </si>
  <si>
    <t>2024_GABRIEL</t>
  </si>
  <si>
    <t>2024_GILSON_GUIMARAES</t>
  </si>
  <si>
    <t>2024_HELINHO_DA_FARMACIA</t>
  </si>
  <si>
    <t>2024_HENRIQUE_BRAGA</t>
  </si>
  <si>
    <t>2024_IRLAN_MELO</t>
  </si>
  <si>
    <t>2024_IZA_LOURENCA</t>
  </si>
  <si>
    <t>2024_JANAINA_CARDOSO</t>
  </si>
  <si>
    <t>2024_JORGE_SANTOS</t>
  </si>
  <si>
    <t>2024_JOSE_FERREIRA</t>
  </si>
  <si>
    <t>2024_JUNINHO_LOS_HERMANOS</t>
  </si>
  <si>
    <t>2024_LOIDE_GONCALVES</t>
  </si>
  <si>
    <t>Loíde Gonçalves</t>
  </si>
  <si>
    <t>2024_MANINHO_FELIX</t>
  </si>
  <si>
    <t>Maninho Félix</t>
  </si>
  <si>
    <t>2024_MARCELA_TROPIA</t>
  </si>
  <si>
    <t>2024_MARCOS_CRISPIM</t>
  </si>
  <si>
    <t>2024_MARILDA_PORTELA</t>
  </si>
  <si>
    <t>2024_MILTINHO_CGE</t>
  </si>
  <si>
    <t>2024_PEDRO_PATRUS</t>
  </si>
  <si>
    <t>2024_PROFESSOR_JULIANO_LOPES</t>
  </si>
  <si>
    <t>2024_PROFESSORA_MARLI</t>
  </si>
  <si>
    <t>2024_RAMON_BIBIANO_DA_CASA_DE_APOIO</t>
  </si>
  <si>
    <t>2024_REINALDO_GOMES_PRETO_SACOLAO</t>
  </si>
  <si>
    <t>2024_ROBERTO_DA_FARMACIA</t>
  </si>
  <si>
    <t>Roberto da Farmácia</t>
  </si>
  <si>
    <t>2024_RUBAO</t>
  </si>
  <si>
    <t>2024_SERGIO_FERNANDO_PINHO_TAVARES</t>
  </si>
  <si>
    <t>2024_WAGNER_FERREIRA</t>
  </si>
  <si>
    <t>Wagner Ferreira</t>
  </si>
  <si>
    <t>2024_WANDERLEY_PORTO</t>
  </si>
  <si>
    <t>2024_WESLEY</t>
  </si>
  <si>
    <t>2024_WILSINHO_DA_TABU</t>
  </si>
  <si>
    <t>2024_ALVARO_DAMIAO</t>
  </si>
  <si>
    <t>2025_BRAULIO_LARA</t>
  </si>
  <si>
    <t>2025_BRUNO_MIRANDA</t>
  </si>
  <si>
    <t>2025_BRUNO_PEDRALVA</t>
  </si>
  <si>
    <t>2025_CIDA_FALABELLA</t>
  </si>
  <si>
    <t>2025_CIRO_PEREIRA</t>
  </si>
  <si>
    <t>2025_CLEITON_XAVIER</t>
  </si>
  <si>
    <t>2025_CLAUDIO_DO_MUNDO_NOVO</t>
  </si>
  <si>
    <t>2025_DR_CELIO_FROIS</t>
  </si>
  <si>
    <t>2025_FERNANDA_PEREIRA_ALTOE</t>
  </si>
  <si>
    <t>2025_FERNANDO_LUIZ</t>
  </si>
  <si>
    <t>2025_FLAVIA_BORJA</t>
  </si>
  <si>
    <t>DC</t>
  </si>
  <si>
    <t>democracia crista</t>
  </si>
  <si>
    <t>2025_GABRIEL</t>
  </si>
  <si>
    <t>2025_GILSON_GUIMARAES</t>
  </si>
  <si>
    <t>PSB</t>
  </si>
  <si>
    <t>partido socialista brasileiro</t>
  </si>
  <si>
    <t>-0.427</t>
  </si>
  <si>
    <t>2025_HELINHO_DA_FARMACIA</t>
  </si>
  <si>
    <t>2025_HENRIQUE_BRAGA</t>
  </si>
  <si>
    <t>2025_IRLAN_MELO</t>
  </si>
  <si>
    <t>2025_IZA_LOURENCA</t>
  </si>
  <si>
    <t>2025_JANAINA_CARDOSO</t>
  </si>
  <si>
    <t>2025_JORGE_SANTOS</t>
  </si>
  <si>
    <t>2025_JOSE_FERREIRA</t>
  </si>
  <si>
    <t>2025_JUNINHO_LOS_HERMANOS</t>
  </si>
  <si>
    <t>2025_LOIDE_GONCALVES</t>
  </si>
  <si>
    <t>2025_MANINHO_FELIX</t>
  </si>
  <si>
    <t>2025_MARCELA_TROPIA</t>
  </si>
  <si>
    <t>2025_MARCOS_CRISPIM</t>
  </si>
  <si>
    <t>2025_MARILDA_PORTELA</t>
  </si>
  <si>
    <t>2025_MILTINHO_CGE</t>
  </si>
  <si>
    <t>2025_PEDRO_PATRUS</t>
  </si>
  <si>
    <t>2025_PRETO</t>
  </si>
  <si>
    <t>Preto</t>
  </si>
  <si>
    <t>2025_PROFESSOR_CLAUDINEY_DULIM</t>
  </si>
  <si>
    <t>2025_PROFESSOR_JULIANO_LOPES</t>
  </si>
  <si>
    <t>2025_PROFESSORA_MARLI</t>
  </si>
  <si>
    <t>2025_PROFESSORA_NARA</t>
  </si>
  <si>
    <t>Professora Nara</t>
  </si>
  <si>
    <t>2025_RAMON_BIBIANO_DA_CASA_DE_APOIO</t>
  </si>
  <si>
    <t>2025_REINALDO_GOMES_PRETO_SACOLAO</t>
  </si>
  <si>
    <t>2025_RUBAO</t>
  </si>
  <si>
    <t>2025_SERGIO_FERNANDO_PINHO_TAVARES</t>
  </si>
  <si>
    <t>2025_WAGNER_FERREIRA</t>
  </si>
  <si>
    <t>2025_WANDERLEY_PORTO</t>
  </si>
  <si>
    <t>PRD</t>
  </si>
  <si>
    <t>partido renovacao democratica</t>
  </si>
  <si>
    <t>2025_WILSINHO_DA_TABU</t>
  </si>
  <si>
    <t>2025_ALVARO_DAMIAO</t>
  </si>
  <si>
    <t>2026</t>
  </si>
  <si>
    <t>2026_ARRUDA</t>
  </si>
  <si>
    <t>Arruda</t>
  </si>
  <si>
    <t>2026_BRAULIO_LARA</t>
  </si>
  <si>
    <t>Bráulio Lara</t>
  </si>
  <si>
    <t>2026_BRUNO_MIRANDA</t>
  </si>
  <si>
    <t>2026_BRUNO_PEDRALVA</t>
  </si>
  <si>
    <t>2026_CIDA_FALABELLA</t>
  </si>
  <si>
    <t>2026_CLAUDIO_DO_MUNDO_NOVO</t>
  </si>
  <si>
    <t>2026_CLEITON_XAVIER</t>
  </si>
  <si>
    <t>2026_DIEGO_SANCHES</t>
  </si>
  <si>
    <t>Diego Sanches</t>
  </si>
  <si>
    <t>2026_DRA_MICHELLY_SIQUEIRA</t>
  </si>
  <si>
    <t>Dra. Michelly Siqueira</t>
  </si>
  <si>
    <t>2026_EDMAR_BRANCO</t>
  </si>
  <si>
    <t>Edmar Branco</t>
  </si>
  <si>
    <t>PCdoB</t>
  </si>
  <si>
    <t>Partido Comunista do Brasil</t>
  </si>
  <si>
    <t>−0.822</t>
  </si>
  <si>
    <t>2026_FERNANDA_PEREIRA_ALTOE</t>
  </si>
  <si>
    <t>Fernanda Altoé</t>
  </si>
  <si>
    <t>2026_FLAVIA_BORJA</t>
  </si>
  <si>
    <t>2026_HELINHO_DA_FARMACIA</t>
  </si>
  <si>
    <t>2026_HELTON_JUNIOR</t>
  </si>
  <si>
    <t>Helton Junior</t>
  </si>
  <si>
    <t>2026_IRLAN_MELO</t>
  </si>
  <si>
    <t>2026_IZA_LOURENCA</t>
  </si>
  <si>
    <t>2026_JANAINA_CARDOSO</t>
  </si>
  <si>
    <t>Janaína Cardoso</t>
  </si>
  <si>
    <t>2026_JOSE_FERREIRA</t>
  </si>
  <si>
    <t>2026_JUHLIA_SANTOS</t>
  </si>
  <si>
    <t>Juhlia Santos</t>
  </si>
  <si>
    <t>2026_JUNINHO_LOS_HERMANOS</t>
  </si>
  <si>
    <t>2026_LEONARDO_ANGELO_DA_ITATIAIA</t>
  </si>
  <si>
    <t>Leonardo Ângelo da Itatiaia</t>
  </si>
  <si>
    <t>2026_LOIDE_GONCALVES</t>
  </si>
  <si>
    <t>2026_LUCAS_GANEM</t>
  </si>
  <si>
    <t>Lucas Ganem</t>
  </si>
  <si>
    <t>2026_LUIZA_DULCI</t>
  </si>
  <si>
    <t>Luiza Dulci</t>
  </si>
  <si>
    <t>2026_MANINHO_FELIX</t>
  </si>
  <si>
    <t>Maninho Felix</t>
  </si>
  <si>
    <t>2026_MARCELA_TROPIA</t>
  </si>
  <si>
    <t>2026_MARILDA_PORTELA</t>
  </si>
  <si>
    <t>2026_NENEM_DA_FARMACIA</t>
  </si>
  <si>
    <t>Neném da Farmácia</t>
  </si>
  <si>
    <t>2026_OSVALDO_LOPES</t>
  </si>
  <si>
    <t>Osvaldo Lopes</t>
  </si>
  <si>
    <t>2026_PABLO_ALMEIDA</t>
  </si>
  <si>
    <t>Pablo Almeida</t>
  </si>
  <si>
    <t>2026_PEDRO_PATRUS</t>
  </si>
  <si>
    <t>2026_PEDRO_ROUSSEFF</t>
  </si>
  <si>
    <t>Pedro Roussef</t>
  </si>
  <si>
    <t>2026_PROFESSORA_MARLI</t>
  </si>
  <si>
    <t>2026_PROFESSOR_JULIANO_LOPES</t>
  </si>
  <si>
    <t>2026_RUDSON_PAIXAO</t>
  </si>
  <si>
    <t>Rudson Paixão</t>
  </si>
  <si>
    <t>2026_SARGENTO_JALYSON</t>
  </si>
  <si>
    <t>Sargento Jalyson</t>
  </si>
  <si>
    <t>2026_TILELEO</t>
  </si>
  <si>
    <t>Tileléo</t>
  </si>
  <si>
    <t>2026_UNER_AUGUSTO</t>
  </si>
  <si>
    <t>Uner Augusto</t>
  </si>
  <si>
    <t>2026_VILE_SANTOS</t>
  </si>
  <si>
    <t>Vile Santos</t>
  </si>
  <si>
    <t>2026_WAGNER_FERREIRA</t>
  </si>
  <si>
    <t>2026_WANDERLEY_PORTO</t>
  </si>
  <si>
    <t>LOCALIDADE</t>
  </si>
  <si>
    <t>endereco_padronizado</t>
  </si>
  <si>
    <t>bairro</t>
  </si>
  <si>
    <t>regional</t>
  </si>
  <si>
    <t>territorio</t>
  </si>
  <si>
    <t>logradouro</t>
  </si>
  <si>
    <t>numero</t>
  </si>
  <si>
    <t>cep</t>
  </si>
  <si>
    <t>latitude</t>
  </si>
  <si>
    <t>longitude</t>
  </si>
  <si>
    <t>coordenada_x</t>
  </si>
  <si>
    <t>coordenada_y</t>
  </si>
  <si>
    <t>34º Batalhão da 1ª Região Policial Militar</t>
  </si>
  <si>
    <t>Av. Américo Vespúcio, 2391, Caiçara</t>
  </si>
  <si>
    <t>Caicaras</t>
  </si>
  <si>
    <t>NOROESTE</t>
  </si>
  <si>
    <t>NO2</t>
  </si>
  <si>
    <t>Avenida Américo Vespúcio</t>
  </si>
  <si>
    <t>Academia da Cidade Califórnia</t>
  </si>
  <si>
    <t>Conjunto California I</t>
  </si>
  <si>
    <t>NO3</t>
  </si>
  <si>
    <t>Rua dos Violões</t>
  </si>
  <si>
    <t>Academia da Cidade Dom Bosco</t>
  </si>
  <si>
    <t>R. Tabapuam, 514 - Dom Bosco, Belo Horizonte - MG, 30830-060</t>
  </si>
  <si>
    <t>Dom Bosco</t>
  </si>
  <si>
    <t>Rua Tabapuam</t>
  </si>
  <si>
    <t>30830-060</t>
  </si>
  <si>
    <t>Academia da Cidade Fazendinha</t>
  </si>
  <si>
    <t>Coqueiros</t>
  </si>
  <si>
    <t>Rua Eneida</t>
  </si>
  <si>
    <t>Academia da Cidade Serrano</t>
  </si>
  <si>
    <t>R. Tocantins, 445 - Conj. Celso Machado, Belo Horizonte - MG, 30882-260</t>
  </si>
  <si>
    <t>Conjunto Celso Machado</t>
  </si>
  <si>
    <t>PAMPULHA</t>
  </si>
  <si>
    <t>P4</t>
  </si>
  <si>
    <t>Rua Tocantins</t>
  </si>
  <si>
    <t>30882-260</t>
  </si>
  <si>
    <t>Academia da Cidade Vila Coqueiral</t>
  </si>
  <si>
    <t>R. Rainha das Flores, 102 - Jardim Filadelfia, Belo Horizonte - MG, 30865-260</t>
  </si>
  <si>
    <t>Conjunto Jardim Filadelfia</t>
  </si>
  <si>
    <t>Rua Rainha das Flores</t>
  </si>
  <si>
    <t>30865-260</t>
  </si>
  <si>
    <t>Academia de Polícia Militar de Minas Gerais</t>
  </si>
  <si>
    <t>Prado</t>
  </si>
  <si>
    <t>OESTE</t>
  </si>
  <si>
    <t>O1</t>
  </si>
  <si>
    <t>Rua Diabase</t>
  </si>
  <si>
    <t>30410-440</t>
  </si>
  <si>
    <t>Associação Paradesportiva e Esportiva de Belo Horizonte</t>
  </si>
  <si>
    <t>Mantiqueira</t>
  </si>
  <si>
    <t>VENDA NOVA</t>
  </si>
  <si>
    <t>VN2</t>
  </si>
  <si>
    <t>Rua Conceição Silvana</t>
  </si>
  <si>
    <t>Avenida Avaí, no bairro Dom Bosco</t>
  </si>
  <si>
    <t>Avenida Avaí</t>
  </si>
  <si>
    <t>Avenida José Cândido da Silveira no trecho entre as ruas Conselheiro Lafaiete e Rua Cel. Alberto Gomes</t>
  </si>
  <si>
    <t>Santa Ines</t>
  </si>
  <si>
    <t>LESTE</t>
  </si>
  <si>
    <t>L1</t>
  </si>
  <si>
    <t>Avenida José Cândido da Silveira</t>
  </si>
  <si>
    <t>Avenida Sebastião de Brito, bairro Dona Clara</t>
  </si>
  <si>
    <t>2022_CLAUDIO_DO_MUNDO_NOVO_268_01; 2022_MARCELA_TROPIA_745_01</t>
  </si>
  <si>
    <t>Dona Clara</t>
  </si>
  <si>
    <t>P3</t>
  </si>
  <si>
    <t>Avenida Sebastião de Brito</t>
  </si>
  <si>
    <t>Batalhão de Rondas Táticas Metropolitanas da Polícia Militar de Minas Gerais</t>
  </si>
  <si>
    <t>2022_NIKOLAS_FERREIRA_707_01; 2022_NIKOLAS_FERREIRA_728_01</t>
  </si>
  <si>
    <t>Centro</t>
  </si>
  <si>
    <t>CENTRO-SUL</t>
  </si>
  <si>
    <t>CS1</t>
  </si>
  <si>
    <t>Avenida do Contorno</t>
  </si>
  <si>
    <t>Beco Caim</t>
  </si>
  <si>
    <t>Casa Branca</t>
  </si>
  <si>
    <t>Rua Fernão Dias</t>
  </si>
  <si>
    <t>Campo da Rua Guido Leão</t>
  </si>
  <si>
    <t>Rua Guido Leão, 501 no bairro Serra Verde</t>
  </si>
  <si>
    <t>Serra Verde</t>
  </si>
  <si>
    <t>VN1</t>
  </si>
  <si>
    <t>Rua Guido Leão</t>
  </si>
  <si>
    <t>Campo da ventosa</t>
  </si>
  <si>
    <t>Rua João Paulo II, 189 - Ventosa</t>
  </si>
  <si>
    <t>Ventosa</t>
  </si>
  <si>
    <t>O4</t>
  </si>
  <si>
    <t>Rua João Paulo II</t>
  </si>
  <si>
    <t>30421-565</t>
  </si>
  <si>
    <t>Campo de Futebol do Parque Ecológico da Vila Pinho</t>
  </si>
  <si>
    <t>2022_WESLEY_188_01; 2022_WESLEY_189_01</t>
  </si>
  <si>
    <t>Vila Pinho</t>
  </si>
  <si>
    <t>BARREIRO</t>
  </si>
  <si>
    <t>B5</t>
  </si>
  <si>
    <t>Rua Coletora</t>
  </si>
  <si>
    <t>Campo de Futebol do Santinha</t>
  </si>
  <si>
    <t>Santa Rita</t>
  </si>
  <si>
    <t>Rua Dario Ferreira Mendes</t>
  </si>
  <si>
    <t>Campo de Varzea Milan</t>
  </si>
  <si>
    <t>R. Flávio Sampaio, 408 - Serra Verde, Belo Horizonte - MG, 31610-480</t>
  </si>
  <si>
    <t>Rua Flávio Sampaio</t>
  </si>
  <si>
    <t>31610-480</t>
  </si>
  <si>
    <t>Campo do Havaí</t>
  </si>
  <si>
    <t>Av. Teresa Cristina, 7883 - Betânia</t>
  </si>
  <si>
    <t>Betânia</t>
  </si>
  <si>
    <t>Avenida Teresa Cristina</t>
  </si>
  <si>
    <t>Campo do Palmeirense</t>
  </si>
  <si>
    <t>Rua Macarena</t>
  </si>
  <si>
    <t>30865-060</t>
  </si>
  <si>
    <t>Campo do Tupinense</t>
  </si>
  <si>
    <t>R. Nelson Hungria, 1001 - Tupi, Belo Horizonte - MG, 31842-330</t>
  </si>
  <si>
    <t>Tupi</t>
  </si>
  <si>
    <t>NORTE</t>
  </si>
  <si>
    <t>N2</t>
  </si>
  <si>
    <t>Rua Nelson Hungria</t>
  </si>
  <si>
    <t>31842-330</t>
  </si>
  <si>
    <t>Campo Esportivo Rio Petrópolis F.C.</t>
  </si>
  <si>
    <t>Vitoria da Conquista</t>
  </si>
  <si>
    <t>Rua Tocha de Fogo Santo</t>
  </si>
  <si>
    <t>Campo Rua Rondonia</t>
  </si>
  <si>
    <t>Novo Gloria</t>
  </si>
  <si>
    <t>Rua Rondônia</t>
  </si>
  <si>
    <t>30870-370</t>
  </si>
  <si>
    <t>Rua José Ildeu Gramiscelli, 51 - Bonfim, Belo Horizonte - MG, 31210-190</t>
  </si>
  <si>
    <t>Bonfim</t>
  </si>
  <si>
    <t>NO1</t>
  </si>
  <si>
    <t>Rua José Ildeu Gramiscelli</t>
  </si>
  <si>
    <t>31210-190</t>
  </si>
  <si>
    <t>Casa de Zoonoses Santa Cecília</t>
  </si>
  <si>
    <t>Santa Cecilia</t>
  </si>
  <si>
    <t>Rua João Firmino Luzia</t>
  </si>
  <si>
    <t>2022_MACAE_EVARISTO_386_01; 2022_MACAE_EVARISTO_873_01</t>
  </si>
  <si>
    <t>Alto, R. Padre Júlio Maria, 1577 - Alto - Vera Cruz, Belo Horizonte - MG, 30285-360</t>
  </si>
  <si>
    <t>Alto Vera Cruz</t>
  </si>
  <si>
    <t>L4</t>
  </si>
  <si>
    <t>Rua Padre Júlio Maria</t>
  </si>
  <si>
    <t>30285-360</t>
  </si>
  <si>
    <t>2022_MACAE_EVARISTO_385_01; 2022_MACAE_EVARISTO_872_01</t>
  </si>
  <si>
    <t>R. Jacutinga, 550 - Padre Eustáquio, Belo Horizonte - MG, 30730-430</t>
  </si>
  <si>
    <t>Padre Eustaquio</t>
  </si>
  <si>
    <t>NO4</t>
  </si>
  <si>
    <t>Rua Jacutinga</t>
  </si>
  <si>
    <t>30730-430</t>
  </si>
  <si>
    <t>2022_MACAE_EVARISTO_383_01; 2022_MACAE_EVARISTO_870_01</t>
  </si>
  <si>
    <t>R. Nova Ponte, 22 - Salgado Filho, Belo Horizonte - MG, 30550-720</t>
  </si>
  <si>
    <t>Salgado Filho</t>
  </si>
  <si>
    <t>Rua Nova Ponte</t>
  </si>
  <si>
    <t>30550-720</t>
  </si>
  <si>
    <t>2022_MACAE_EVARISTO_384_01; 2022_MACAE_EVARISTO_871_01</t>
  </si>
  <si>
    <t>R. Ana Rafael dos Santos, 149 - Vila Santa Rita, Belo Horizonte - MG, 30668-570</t>
  </si>
  <si>
    <t>Rua Ana Rafael dos Santos</t>
  </si>
  <si>
    <t>30668-570</t>
  </si>
  <si>
    <t>R. Silva Alvarenga, 548 - São Geraldo, Belo Horizonte - MG, 31050-640</t>
  </si>
  <si>
    <t>Sao Geraldo</t>
  </si>
  <si>
    <t>Rua Silva Alvarenga</t>
  </si>
  <si>
    <t>31050-640</t>
  </si>
  <si>
    <t>2022_MACAE_EVARISTO_382_01; 2022_MACAE_EVARISTO_869_01</t>
  </si>
  <si>
    <t>R. Dom Cabral, 765 - Ipiranga, Belo Horizonte - MG, 31160-150</t>
  </si>
  <si>
    <t>Ipiranga</t>
  </si>
  <si>
    <t>NORDESTE</t>
  </si>
  <si>
    <t>NE5</t>
  </si>
  <si>
    <t>Rua Dom Cabral</t>
  </si>
  <si>
    <t>31160-150</t>
  </si>
  <si>
    <t>R. São Miguel Arcanjo, 215 - Nossa Senhora de Fátima, Belo Horizonte - MG, 30230-660</t>
  </si>
  <si>
    <t>Nossa Senhora de Fatima</t>
  </si>
  <si>
    <t>CS3</t>
  </si>
  <si>
    <t>Rua São Miguel Arcanjo</t>
  </si>
  <si>
    <t>30230-660</t>
  </si>
  <si>
    <t>R. Mangabeira da Serra, 320 - Marçola, Belo Horizonte - MG, 30220-265</t>
  </si>
  <si>
    <t>Marcola</t>
  </si>
  <si>
    <t>Rua Mangabeira da Serra</t>
  </si>
  <si>
    <t>30220-265</t>
  </si>
  <si>
    <t>Centro de Controle de Zoonoses Rua Edna Quintel</t>
  </si>
  <si>
    <t>2022_JUNINHO_LOS_HERMANOS_440_01; 2022_WANDERLEY_PORTO_326_01</t>
  </si>
  <si>
    <t>Sao Bernardo</t>
  </si>
  <si>
    <t>N3</t>
  </si>
  <si>
    <t>Rua Edna Quintel</t>
  </si>
  <si>
    <t>Centro de Convivência Artur Bispo Rosário</t>
  </si>
  <si>
    <t>R. Anhanguera, 356 - Santa Tereza, Belo Horizonte - MG, 31015-015</t>
  </si>
  <si>
    <t>Santa Tereza</t>
  </si>
  <si>
    <t>L2</t>
  </si>
  <si>
    <t>Rua Anhanguera</t>
  </si>
  <si>
    <t>31015-015</t>
  </si>
  <si>
    <t>Centro de Esterilização de Cães e Gatos Noroeste</t>
  </si>
  <si>
    <t>Rua Antônio Peixoto Guimarães</t>
  </si>
  <si>
    <t>Centro de Reabilitação (CREAB) Venda Nova</t>
  </si>
  <si>
    <t>R. Elce Ribeiro, 349 - São João Batista, Belo Horizonte - MG, 31515-190</t>
  </si>
  <si>
    <t>Sao Joao Batista</t>
  </si>
  <si>
    <t>VN3</t>
  </si>
  <si>
    <t>Rua Elce Ribeiro</t>
  </si>
  <si>
    <t>31515-190</t>
  </si>
  <si>
    <t>Centro de Referência de Assistência Social Vila Fatima</t>
  </si>
  <si>
    <t>Serra</t>
  </si>
  <si>
    <t>CS2</t>
  </si>
  <si>
    <t>Rua Dona Benta</t>
  </si>
  <si>
    <t>Centro de Referencia de Assistência Social Vila Marçola</t>
  </si>
  <si>
    <t>Rua Engenheiro Lucas Júlio Proença, nº73, Vila Marçola - Serra</t>
  </si>
  <si>
    <t>Rua Engenheiro Lucas Júlio Proença</t>
  </si>
  <si>
    <t>Praça Modestino Sales Barbosa, nº 100, no Bairro Flávio Marques Lisboa</t>
  </si>
  <si>
    <t>Flavio Marques Lisboa</t>
  </si>
  <si>
    <t>B4</t>
  </si>
  <si>
    <t>Praça Modestino Sales Barbosa</t>
  </si>
  <si>
    <t>30624-010</t>
  </si>
  <si>
    <t>Centro de Referência em Saúde Mental - Cersam Oeste</t>
  </si>
  <si>
    <t>R. Oscar Trompowsky, 1325 - Grajaú, Belo Horizonte - MG, 30441-123</t>
  </si>
  <si>
    <t>Grajau</t>
  </si>
  <si>
    <t>Rua Oscar Trompowsky</t>
  </si>
  <si>
    <t>30441-123</t>
  </si>
  <si>
    <t>Centro de Referência em Saúde Mental Álcool e Drogas – CERSAM AD Centro Sul</t>
  </si>
  <si>
    <t>Alameda Ezequiel Dias, 365 - Centro, Belo Horizonte - MG, 30130-110</t>
  </si>
  <si>
    <t>Alameda Ezequiel Dias</t>
  </si>
  <si>
    <t>30130-110</t>
  </si>
  <si>
    <t>Centro de Referência em Saúde Mental Álcool e Drogas - Cersam AD Nordeste</t>
  </si>
  <si>
    <t>R. Joaquim Gouveia, 600 - São Paulo, Belo Horizonte - MG, 31910-080</t>
  </si>
  <si>
    <t>Sao Paulo</t>
  </si>
  <si>
    <t>NE3</t>
  </si>
  <si>
    <t>Rua Joaquim Gouveia</t>
  </si>
  <si>
    <t>31910-080</t>
  </si>
  <si>
    <t>Centro de Referência em Segurança Alimentar e Nutricional (CRESAN)</t>
  </si>
  <si>
    <t>Av. Pres. Antônio Carlos, 821 - Lagoinha, Belo Horizonte - MG, 31110-314</t>
  </si>
  <si>
    <t>Lagoinha</t>
  </si>
  <si>
    <t>Avenida Presidente Antônio Carlos</t>
  </si>
  <si>
    <t>31110-314</t>
  </si>
  <si>
    <t>Centro de Saúde Alameda dos Ipês</t>
  </si>
  <si>
    <t>Rua Ministro Oliveira Salazar, 1186 - Bairro Santa Mônica</t>
  </si>
  <si>
    <t>Santa Monica</t>
  </si>
  <si>
    <t>Rua Ministro Oliveira Salazar</t>
  </si>
  <si>
    <t>31520-400</t>
  </si>
  <si>
    <t>Centro de Saúde Alcides Lins</t>
  </si>
  <si>
    <t>R. Panema, 275 - Concórdia, Belo Horizonte - MG, 31130-620</t>
  </si>
  <si>
    <t>Concordia</t>
  </si>
  <si>
    <t>NE4</t>
  </si>
  <si>
    <t>Rua Panema</t>
  </si>
  <si>
    <t>31130-620</t>
  </si>
  <si>
    <t>2022_MARCOS_CRISPIM_581_01; 2022_MILTINHO_CGE_676_01</t>
  </si>
  <si>
    <t>R. Gen. Osório, 959 Alto - Vera Cruz, Belo Horizonte - MG, 30285-320</t>
  </si>
  <si>
    <t>Rua General Osório</t>
  </si>
  <si>
    <t>30285-320</t>
  </si>
  <si>
    <t>Rua Canoas, 678 - Betânia</t>
  </si>
  <si>
    <t>Betania</t>
  </si>
  <si>
    <t>Rua Canoas</t>
  </si>
  <si>
    <t>Centro de Saúde Boa Vista</t>
  </si>
  <si>
    <t>Rua Guruá n° 833, bairro Boa Vista, Belo Horizonte, CEP:31.060-560</t>
  </si>
  <si>
    <t>Boa Vista</t>
  </si>
  <si>
    <t>Rua Guruá</t>
  </si>
  <si>
    <t>31060-560</t>
  </si>
  <si>
    <t>2022_BRAULIO_LARA_807_01; 2022_MILTINHO_CGE_673_01; 2022_NIKOLAS_FERREIRA_491_01</t>
  </si>
  <si>
    <t>R. Centro Social, 536 - Cabana, Belo Horizonte - MG, 30510-670</t>
  </si>
  <si>
    <t>Cabana do Pai Tomas</t>
  </si>
  <si>
    <t>O2</t>
  </si>
  <si>
    <t>Rua Centro Social</t>
  </si>
  <si>
    <t>30510-670</t>
  </si>
  <si>
    <t>Centro de Saúde Cachoeirinha</t>
  </si>
  <si>
    <t>2022_ALVARO_DAMIAO_291_01; 2022_WESLEY_196_01</t>
  </si>
  <si>
    <t>R. Borborema, 1325 - Cachoeirinha, Belo Horizonte - MG, 31130-380</t>
  </si>
  <si>
    <t>Cachoeirinha</t>
  </si>
  <si>
    <t>Rua Borborema</t>
  </si>
  <si>
    <t>31130-380</t>
  </si>
  <si>
    <t>Centro de Saúde Cafezal</t>
  </si>
  <si>
    <t>R. Bela Vista, 30 - Serra, Belo Horizonte - MG, 30250-010</t>
  </si>
  <si>
    <t>Rua Bela Vista</t>
  </si>
  <si>
    <t>30250-010</t>
  </si>
  <si>
    <t>Centro de Saúde Califórnia</t>
  </si>
  <si>
    <t>Av. das Castanholas, 277 - Califórnia, Belo Horizonte - MG, 30850-760</t>
  </si>
  <si>
    <t>California</t>
  </si>
  <si>
    <t>Avenida das Castanholas</t>
  </si>
  <si>
    <t>30850-760</t>
  </si>
  <si>
    <t>Centro de Saúde Camargos</t>
  </si>
  <si>
    <t>Rua Luiza Efigênia Silva, 413 - Camargos, Belo Horizonte - MG, 30520-460</t>
  </si>
  <si>
    <t>Camargos</t>
  </si>
  <si>
    <t>Rua Luiza Efigênia Silva</t>
  </si>
  <si>
    <t>30520-460</t>
  </si>
  <si>
    <t>Centro de Saúde Capitão Eduardo</t>
  </si>
  <si>
    <t>R. Ângela Benareges, 10 - Capitão Eduardo, Belo Horizonte - MG, 31998-360</t>
  </si>
  <si>
    <t>Capitao Eduardo</t>
  </si>
  <si>
    <t>NE1</t>
  </si>
  <si>
    <t>Rua Ângela Benareges</t>
  </si>
  <si>
    <t>31998-360</t>
  </si>
  <si>
    <t>2022_CLAUDIO_DO_MUNDO_NOVO_345_01; 2022_NELY_AQUINO_411_01</t>
  </si>
  <si>
    <t>Rua Alice Marques, 187 - Bairro Céu Azul</t>
  </si>
  <si>
    <t>Ceu Azul</t>
  </si>
  <si>
    <t>VN4</t>
  </si>
  <si>
    <t>Rua Alice Marques</t>
  </si>
  <si>
    <t>31580-090</t>
  </si>
  <si>
    <t>Centro de Saúde Cícero Idelfonso</t>
  </si>
  <si>
    <t>2022_NIKOLAS_FERREIRA_496_01; 2022_BRAULIO_LARA_807_01</t>
  </si>
  <si>
    <t>Jardinopolis</t>
  </si>
  <si>
    <t>Rua Caviana</t>
  </si>
  <si>
    <t>Centro de Saúde Coqueiros</t>
  </si>
  <si>
    <t>R. Eneida, 1583 - Coqueiros, Belo Horizonte - MG, 30881-120</t>
  </si>
  <si>
    <t>30881-120</t>
  </si>
  <si>
    <t>Centro de Saúde de Amilcar Vianna Martins</t>
  </si>
  <si>
    <t>R. Nelson de Senna, 90 - Cinquentenario, Belo Horizonte - MG, 30570-060</t>
  </si>
  <si>
    <t>Cinquentenario</t>
  </si>
  <si>
    <t>Rua Nelson de Senna</t>
  </si>
  <si>
    <t>30570-060</t>
  </si>
  <si>
    <t>R. Maria de Lourdes Manso, 80 - Indústrias I (Barreiro), Belo Horizonte - MG, 30610-320</t>
  </si>
  <si>
    <t>Bairro das Industrias I</t>
  </si>
  <si>
    <t>B1</t>
  </si>
  <si>
    <t>Rua Maria de Lourdes Manso</t>
  </si>
  <si>
    <t>30610-320</t>
  </si>
  <si>
    <t>Centro de Saúde do bairro Tirol</t>
  </si>
  <si>
    <t>2022_WANDERLEY_PORTO_328_01; 2022_WESLEY_61_01; 2022_WESLEY_192_01</t>
  </si>
  <si>
    <t>Avenida Nélio Cerqueira, 15, Tirol</t>
  </si>
  <si>
    <t>Tirol</t>
  </si>
  <si>
    <t>B3</t>
  </si>
  <si>
    <t>Avenida Nélio Cerqueira</t>
  </si>
  <si>
    <t>Centro de Saúde Dom Bosco</t>
  </si>
  <si>
    <t>Rua Olinto Magalhães, 1939 - Dom Bosco, Belo Horizonte - MG, 30830-050</t>
  </si>
  <si>
    <t>Rua Olinto Magalhães</t>
  </si>
  <si>
    <t>30830-050</t>
  </si>
  <si>
    <t>Centro de Saúde Dom Cabral</t>
  </si>
  <si>
    <t>Praça Comunidade, 50 - Dom Cabral, Belo Horizonte - MG, 30535-210</t>
  </si>
  <si>
    <t>Dom Cabral</t>
  </si>
  <si>
    <t>Praça Comunidade</t>
  </si>
  <si>
    <t>30535-210</t>
  </si>
  <si>
    <t>Centro de Saúde Efigênia Murta Figueiredo</t>
  </si>
  <si>
    <t>R. Serra do Cipó, 170 - Conj - Ribeiro de Abreu, Belo Horizonte - MG, 31872-280</t>
  </si>
  <si>
    <t>Ribeiro de Abreu</t>
  </si>
  <si>
    <t>Rua Serra do Cipó</t>
  </si>
  <si>
    <t>31872-280</t>
  </si>
  <si>
    <t>Centro de Saúde Gentil Gomes</t>
  </si>
  <si>
    <t>R. Manoel Passos, 580 - Santa Cruz, Belo Horizonte - MG, 31150-470</t>
  </si>
  <si>
    <t>Santa Cruz</t>
  </si>
  <si>
    <t>Rua Manoel Passos</t>
  </si>
  <si>
    <t>31150-470</t>
  </si>
  <si>
    <t>Centro de Saúde Glória</t>
  </si>
  <si>
    <t>2022_JOSE_FERREIRA_694_01; 2022_JUNINHO_LOS_HERMANOS_354_01; 2022_LEO_618_01; 2022_LEO_874_01</t>
  </si>
  <si>
    <t>R. Eneida, 955 - Glória, Belo Horizonte - MG, 30881-520</t>
  </si>
  <si>
    <t>Gloria</t>
  </si>
  <si>
    <t>30881-520</t>
  </si>
  <si>
    <t>Centro de Saúde Goiânia</t>
  </si>
  <si>
    <t>2022_LEO_795_01; 2022_RUBAO_304_01</t>
  </si>
  <si>
    <t>R. Pomba, 677 - Goiânia, Belo Horizonte - MG, 31950-490</t>
  </si>
  <si>
    <t>Goiania</t>
  </si>
  <si>
    <t>NE2</t>
  </si>
  <si>
    <t>Rua Pomba</t>
  </si>
  <si>
    <t>31950-490</t>
  </si>
  <si>
    <t>Centro de Saúde Granja de Freitas</t>
  </si>
  <si>
    <t>R. São Vicente, 405 - Granja de Freitas, Belo Horizonte - MG, 30286-070</t>
  </si>
  <si>
    <t>Granja de Freitas</t>
  </si>
  <si>
    <t>Rua São Vicente</t>
  </si>
  <si>
    <t>30286-070</t>
  </si>
  <si>
    <t>Centro de Saúde Havai</t>
  </si>
  <si>
    <t>R. Manila, 432 - Estrela Dalva, Belo Horizonte - MG, 30570-360</t>
  </si>
  <si>
    <t>Havai</t>
  </si>
  <si>
    <t>Rua Manila</t>
  </si>
  <si>
    <t>30570-360</t>
  </si>
  <si>
    <t>Centro de Saúde Heliópolis</t>
  </si>
  <si>
    <t>2022_RAMON_BIBIANO_DA_CASA_DE_APOIO_624_01; 2022_WILSINHO_DA_TABU_444_01</t>
  </si>
  <si>
    <t>Rua dos Beneditinos nº 120 - Heliópolis, Belo Horizonte - MG, 31741-298</t>
  </si>
  <si>
    <t>Heliopolis</t>
  </si>
  <si>
    <t>Rua dos Beneditinos</t>
  </si>
  <si>
    <t>31741-298</t>
  </si>
  <si>
    <t>Centro de Saúde Horto</t>
  </si>
  <si>
    <t>Horto</t>
  </si>
  <si>
    <t>Centro de Saúde Independência</t>
  </si>
  <si>
    <t>Rua Maria Antonieta Ferreira, 154, Independência</t>
  </si>
  <si>
    <t>Independencia</t>
  </si>
  <si>
    <t>Rua Maria Antonieta Ferreira</t>
  </si>
  <si>
    <t>Centro de Saúde Jaqueline</t>
  </si>
  <si>
    <t>R. Agenor de Paula Estrela, 200 - Jaqueline, Belo Horizonte - MG, 31748-190</t>
  </si>
  <si>
    <t>Jaqueline</t>
  </si>
  <si>
    <t>N1</t>
  </si>
  <si>
    <t>Rua Agenor de Paula Estrela</t>
  </si>
  <si>
    <t>31748-190</t>
  </si>
  <si>
    <t>R. Cecilia Trindade Silva, 201 - Jardim Felicidade, Belo Horizonte - MG, 31742-533</t>
  </si>
  <si>
    <t>Jardim Felicidade</t>
  </si>
  <si>
    <t>Rua Cecilia Trindade Silva</t>
  </si>
  <si>
    <t>31742-533</t>
  </si>
  <si>
    <t>Centro de Saúde Jardim Filadélfia</t>
  </si>
  <si>
    <t>2022_JOSE_FERREIRA_697_01; 2022_JUNINHO_LOS_HERMANOS_356_01</t>
  </si>
  <si>
    <t>R. Regida, 309 - Álvaro Camargos, Belo Horizonte - MG, 30860-320</t>
  </si>
  <si>
    <t>Alvaro Camargos</t>
  </si>
  <si>
    <t>Rua Regida</t>
  </si>
  <si>
    <t>30860-320</t>
  </si>
  <si>
    <t>Centro de Saúde Jardim Montanhês</t>
  </si>
  <si>
    <t>2022_CLAUDIO_DO_MUNDO_NOVO_347_01; 2022_LEO_795_01</t>
  </si>
  <si>
    <t>R. Leopoldo Pereira, 407 - Jardim Montanhês, Belo Horizonte - MG, 30750-140</t>
  </si>
  <si>
    <t>Jardim Montanhes</t>
  </si>
  <si>
    <t>Rua Leopoldo Pereira</t>
  </si>
  <si>
    <t>30750-140</t>
  </si>
  <si>
    <t>Centro de Saúde João Pinheiro</t>
  </si>
  <si>
    <t>Rua Frei Luiz de Souza, 811 - João Pinheiro, Belo Horizonte - MG, 30530-310</t>
  </si>
  <si>
    <t>Joao Pinheiro</t>
  </si>
  <si>
    <t>Rua Frei Luiz de Souza</t>
  </si>
  <si>
    <t>30530-310</t>
  </si>
  <si>
    <t>Rua Dois Mil Quatrocentos e Sessenta e Seis, 30 - Jardim Vitoria, Belo Horizonte - MG, 31975-342</t>
  </si>
  <si>
    <t>Jardim Vitoria</t>
  </si>
  <si>
    <t>Dois Mil Quatrocentos e Sessenta e Seis</t>
  </si>
  <si>
    <t>31975-342</t>
  </si>
  <si>
    <t>Centro de Saúde Mangueiras</t>
  </si>
  <si>
    <t>2022_LEO_708_01; 2022_WESLEY_186_01</t>
  </si>
  <si>
    <t>R. Chafariz, 4 - Independência, Belo Horizonte - MG, 30666-520</t>
  </si>
  <si>
    <t>Rua Chafariz</t>
  </si>
  <si>
    <t>30666-520</t>
  </si>
  <si>
    <t>Centro de Saúde Marco Antônio Menezes</t>
  </si>
  <si>
    <t>Rua Petrolina</t>
  </si>
  <si>
    <t>Centro de Saúde Maria Madalena Teodoro</t>
  </si>
  <si>
    <t>Lindeia</t>
  </si>
  <si>
    <t>Rua Flor de Maio</t>
  </si>
  <si>
    <t>Centro de Saúde Milionários</t>
  </si>
  <si>
    <t>Rua dos Cruzeirenses, n º30, Milionários</t>
  </si>
  <si>
    <t>Milionarios</t>
  </si>
  <si>
    <t>Rua dos Cruzeirenses</t>
  </si>
  <si>
    <t>Centro de Saúde Minas Caixa</t>
  </si>
  <si>
    <t>2022_CLAUDIO_DO_MUNDO_NOVO_417_01; 2022_LEO_874_01</t>
  </si>
  <si>
    <t>Regional Venda Nova, situado à rua Capitão Sérgio Pires, 226 - Bairro Minas Caixa.</t>
  </si>
  <si>
    <t>Minas Caixa</t>
  </si>
  <si>
    <t>Rua Capitão Sérgio Pires</t>
  </si>
  <si>
    <t>31615-640</t>
  </si>
  <si>
    <t>Centro de Saúde Noraldino de Lima</t>
  </si>
  <si>
    <t>Av. Amazonas, n. 4373, bairro Nova Suíça, Belo Horizonte/MG, CEP 30.421-169</t>
  </si>
  <si>
    <t>Nova Suissa</t>
  </si>
  <si>
    <t>Avenida Amazonas</t>
  </si>
  <si>
    <t>30421-169</t>
  </si>
  <si>
    <t>Centro de Saúde Nossa Senhora de Fátima</t>
  </si>
  <si>
    <t>R. Corinto, 450 - Serra, Belo Horizonte - MG, 30220-310</t>
  </si>
  <si>
    <t>Rua Corinto</t>
  </si>
  <si>
    <t>30220-310</t>
  </si>
  <si>
    <t>Centro de Saúde Novo Aarão Reis</t>
  </si>
  <si>
    <t>Av. Detetive Eduardo Fernandes, 200 - Novo Aarão Reis, Belo Horizonte - MG, 31845-000</t>
  </si>
  <si>
    <t>Novo Aarao Reis</t>
  </si>
  <si>
    <t>Avenida Detetive Eduardo Fernandes</t>
  </si>
  <si>
    <t>31845-000</t>
  </si>
  <si>
    <t>Centro de Saúde Novo Horizonte</t>
  </si>
  <si>
    <t>Rua Pedro Alexandrino de Mendonça, n° 12, bairro Taquaril, Belo Horizonte, CEP: 30.290-590</t>
  </si>
  <si>
    <t>Taquaril</t>
  </si>
  <si>
    <t>Rua Pedro Alexandrino de Mendonça</t>
  </si>
  <si>
    <t>30290-590</t>
  </si>
  <si>
    <t>Centro de Saúde Olavo Albino Correia</t>
  </si>
  <si>
    <t>R. Papa Honório III, 8 - Ouro Minas, Belo Horizonte - MG, 31870-150</t>
  </si>
  <si>
    <t>Ouro Minas</t>
  </si>
  <si>
    <t>R. Papa Honório III</t>
  </si>
  <si>
    <t>31870-150</t>
  </si>
  <si>
    <t>Centro de Saúde Ouro Preto</t>
  </si>
  <si>
    <t>2022_BRAULIO_LARA_838_01; 2022_RAMON_BIBIANO_DA_CASA_DE_APOIO_623_01</t>
  </si>
  <si>
    <t>Rua Jonas Jean, n. 77, bairro Ouro Preto, Belo Horizonte/MG, CEP 31320-335</t>
  </si>
  <si>
    <t>Ouro Preto</t>
  </si>
  <si>
    <t>P2</t>
  </si>
  <si>
    <t>Rua Jonas Jean</t>
  </si>
  <si>
    <t>31320-335</t>
  </si>
  <si>
    <t>Centro de Saúde Padre Fernando</t>
  </si>
  <si>
    <t>Rua Conceição Vidigal Paulucci, 150 - Palmares, Belo Horizonte - MG, 31155-440</t>
  </si>
  <si>
    <t>Palmares</t>
  </si>
  <si>
    <t>Rua Conceição Vidigal Paulucci</t>
  </si>
  <si>
    <t>31155-440</t>
  </si>
  <si>
    <t>Centro de Saúde Padre Joaquim Maia</t>
  </si>
  <si>
    <t>Rua Boaventura, 1900 - Liberdade, Belo Horizonte - MG, 31270-310</t>
  </si>
  <si>
    <t>Liberdade</t>
  </si>
  <si>
    <t>Rua Boaventura</t>
  </si>
  <si>
    <t>31270-310</t>
  </si>
  <si>
    <t>Centro de Saúde Padre Tarcísio</t>
  </si>
  <si>
    <t>R. Cel. Jorge Davis, 500 - Serra, Belo Horizonte - MG, 30240-560</t>
  </si>
  <si>
    <t>Rua Coronel Jorge Davis</t>
  </si>
  <si>
    <t>30240-560</t>
  </si>
  <si>
    <t>Centro de Saúde Padre Tiago</t>
  </si>
  <si>
    <t>Av. João XXIII, 1233 - Alípio de Melo, Belo Horizonte - MG, 30820-660</t>
  </si>
  <si>
    <t>Alipio de Melo</t>
  </si>
  <si>
    <t>Avenida João XXIII</t>
  </si>
  <si>
    <t>30820-660</t>
  </si>
  <si>
    <t>Centro de Saúde Palmeiras</t>
  </si>
  <si>
    <t>Av. Dom João VI, 1821 - Palmeiras, Belo Horizonte - MG, 30575-460</t>
  </si>
  <si>
    <t>Palmeiras</t>
  </si>
  <si>
    <t>Avenida Dom João VI</t>
  </si>
  <si>
    <t>30575-460</t>
  </si>
  <si>
    <t>Centro de Saúde Paraiso</t>
  </si>
  <si>
    <t>2022_GILSON_GUIMARAES_493_01; 2022_MILTINHO_CGE_671_01</t>
  </si>
  <si>
    <t>Av. Mem de Sá, 1001 - Paraíso, Belo Horizonte - MG, 30260-270</t>
  </si>
  <si>
    <t>Paraiso</t>
  </si>
  <si>
    <t>L3</t>
  </si>
  <si>
    <t>Avenida Mem de Sá</t>
  </si>
  <si>
    <t>30260-270</t>
  </si>
  <si>
    <t>Centro de Saúde Paulo VI</t>
  </si>
  <si>
    <t>R. das Almas, 122 - Conjunto Paulo VI, Belo Horizonte - MG, 31998-020</t>
  </si>
  <si>
    <t>Conjunto Paulo VI</t>
  </si>
  <si>
    <t>Rua das Almas</t>
  </si>
  <si>
    <t>31998-020</t>
  </si>
  <si>
    <t>Centro de Saúde Pilar Olhos D’água</t>
  </si>
  <si>
    <t>2022_BRAULIO_LARA_809_01; 2022_LEO_617_01</t>
  </si>
  <si>
    <t>R. São Pedro da Aldeia, 55 - Pilar, Belo Horizonte - MG, 30390-000</t>
  </si>
  <si>
    <t>Pilar</t>
  </si>
  <si>
    <t>Rua São Pedro da Aldeia</t>
  </si>
  <si>
    <t>30390-000</t>
  </si>
  <si>
    <t>Centro de Saúde Pindorama</t>
  </si>
  <si>
    <t>2022_JOSE_FERREIRA_693_01; 2022_JUNINHO_LOS_HERMANOS_360_01</t>
  </si>
  <si>
    <t>R. Rutilo, 96 - Pindorama, Belo Horizonte - MG, 30880-600</t>
  </si>
  <si>
    <t>Rua Rutilo</t>
  </si>
  <si>
    <t>30880-600</t>
  </si>
  <si>
    <t>Centro de Saúde Pompeia</t>
  </si>
  <si>
    <t>2022_MACAE_EVARISTO_390_01; 2022_MILTINHO_CGE_672_01; 2022_WILSINHO_DA_TABU_467_01</t>
  </si>
  <si>
    <t>R. Leopoldo Gomes, 440 - Pompéia, Belo Horizonte - MG, 30280-460</t>
  </si>
  <si>
    <t>Pompeia</t>
  </si>
  <si>
    <t>Rua Leopoldo Gomes</t>
  </si>
  <si>
    <t>30280-460</t>
  </si>
  <si>
    <t>R. Oscar Lobo Pereira, 207 - Primeiro de Maio, Belo Horizonte - MG, 31812-070</t>
  </si>
  <si>
    <t>Primeiro de Maio</t>
  </si>
  <si>
    <t>N4</t>
  </si>
  <si>
    <t>Rua Oscar Lobo Pereira</t>
  </si>
  <si>
    <t>31812-070</t>
  </si>
  <si>
    <t>Centro de Saúde Ribeiro de Abreu</t>
  </si>
  <si>
    <t>2022_LEO_795_01; 2022_RAMON_BIBIANO_DA_CASA_DE_APOIO_627_01</t>
  </si>
  <si>
    <t>R. Dianópolis, 180 - Ribeiro de Abreu, Belo Horizonte - MG, 31870-580</t>
  </si>
  <si>
    <t>Rua Dianópolis</t>
  </si>
  <si>
    <t>31870-580</t>
  </si>
  <si>
    <t>Centro de Saúde Salgado Filho</t>
  </si>
  <si>
    <t>R. Campína Verde, 375 - Salgado Filho, Belo Horizonte - MG, 30550-340</t>
  </si>
  <si>
    <t>Rua Campina Verde</t>
  </si>
  <si>
    <t>30550-340</t>
  </si>
  <si>
    <t>Centro de Saúde Santa Cecília</t>
  </si>
  <si>
    <t>R. Paulo Duarte, 280 - Santa Cecilia (Vale do Jatoba), Belo Horizonte - MG, 30668-170</t>
  </si>
  <si>
    <t>Rua Paulo Duarte</t>
  </si>
  <si>
    <t>30668-170</t>
  </si>
  <si>
    <t>Centro de Saúde Santa Inês</t>
  </si>
  <si>
    <t>Rua Itumirim</t>
  </si>
  <si>
    <t>Centro de Saúde Santa Rita de Cássia</t>
  </si>
  <si>
    <t>R. Cristina, 961 - São Pedro, Belo Horizonte - MG, 30330-130</t>
  </si>
  <si>
    <t>Sao Pedro</t>
  </si>
  <si>
    <t>CS4</t>
  </si>
  <si>
    <t>Rua Cristina</t>
  </si>
  <si>
    <t>30330-130</t>
  </si>
  <si>
    <t>Centro de Saúde Santa Rosa</t>
  </si>
  <si>
    <t>Av. Bueno Siqueira, 100 - Universitário, Belo Horizonte - MG, 31255-450</t>
  </si>
  <si>
    <t>Universitario</t>
  </si>
  <si>
    <t>Avenida Bueno Siqueira</t>
  </si>
  <si>
    <t>31255-450</t>
  </si>
  <si>
    <t>Centro de Saúde Santa Terezinha</t>
  </si>
  <si>
    <t>2022_BRAULIO_LARA_829_01; 2022_JUNINHO_LOS_HERMANOS_358_01; 2022_RAMON_BIBIANO_DA_CASA_DE_APOIO_626_01</t>
  </si>
  <si>
    <t>Rua Senador Virgílio Távora, n. 157, bairro Santa Terezinha, Belo Horizonte/MG, CEP 31.620-210</t>
  </si>
  <si>
    <t>Santa Terezinha</t>
  </si>
  <si>
    <t>Rua Senador Virgílio Távora</t>
  </si>
  <si>
    <t>31620-210</t>
  </si>
  <si>
    <t>Centro de Saúde Santo Antônio</t>
  </si>
  <si>
    <t>R. Irineu Pinto, 255 - São João Batista, Belo Horizonte - MG, 31510-020</t>
  </si>
  <si>
    <t>Rua Irineu Pinto</t>
  </si>
  <si>
    <t>31510-020</t>
  </si>
  <si>
    <t>Centro de Saúde Santos Anjos</t>
  </si>
  <si>
    <t>Rua Miosótis nº 15 B Bairro Caiçaras</t>
  </si>
  <si>
    <t>Caiçaras</t>
  </si>
  <si>
    <t>Rua Miosótis</t>
  </si>
  <si>
    <t>31230-180</t>
  </si>
  <si>
    <t>Centro de Saúde São Gabriel</t>
  </si>
  <si>
    <t>R. Ilha de Malta, 353 - São Gabriel, Belo Horizonte - MG, 31980-390</t>
  </si>
  <si>
    <t>Sao Gabriel</t>
  </si>
  <si>
    <t>Rua Ilha de Malta</t>
  </si>
  <si>
    <t>31980-390</t>
  </si>
  <si>
    <t>Centro de Saúde São Geraldo</t>
  </si>
  <si>
    <t>Avenida Itaituba n° 318, bairro São Geraldo, Belo Horizonte, CEP 31.060-420</t>
  </si>
  <si>
    <t>Avenida Itaituba</t>
  </si>
  <si>
    <t>31060-420</t>
  </si>
  <si>
    <t>Centro de Saúde São Jorge</t>
  </si>
  <si>
    <t>Rua Garret, 45 - Grajaú, Belo Horizonte - MG, 30431-186</t>
  </si>
  <si>
    <t>Rua Garret</t>
  </si>
  <si>
    <t>30431-186</t>
  </si>
  <si>
    <t>Centro de Saúde São José</t>
  </si>
  <si>
    <t>2022_JUNINHO_LOS_HERMANOS_366_01; 2022_RAMON_BIBIANO_DA_CASA_DE_APOIO_628_01</t>
  </si>
  <si>
    <t>R. Violeta de Melo, 655 - Jardim São José, Belo Horizonte - MG, 30820-470</t>
  </si>
  <si>
    <t>Jardim Sao Jose</t>
  </si>
  <si>
    <t>Rua Violeta de Melo</t>
  </si>
  <si>
    <t>30820-470</t>
  </si>
  <si>
    <t>Centro de Saúde São José Operário</t>
  </si>
  <si>
    <t>Rua Simão Pereira, n° 73, bairro Nova Vista, Belo Horizonte, CEP:31.070-220</t>
  </si>
  <si>
    <t>Nova Vista</t>
  </si>
  <si>
    <t>Rua Simão Pereira</t>
  </si>
  <si>
    <t>31070-220</t>
  </si>
  <si>
    <t>2022_GILSON_GUIMARAES_405_01; 2022_LEO_795_01</t>
  </si>
  <si>
    <t>R. Nossa Sra. de Fátima, 2240 - Nossa Senhora de Fátima, Belo Horizonte - MG, 30230-000</t>
  </si>
  <si>
    <t>Rua Nossa Senhora de Fátima</t>
  </si>
  <si>
    <t>30230-000</t>
  </si>
  <si>
    <t>Centro de Saúde São Tomás</t>
  </si>
  <si>
    <t>R. Santa Rosa, 54 - São Tomaz, Belo Horizonte - MG, 31741-095</t>
  </si>
  <si>
    <t>Sao Tomaz</t>
  </si>
  <si>
    <t>Rua Santa Rosa</t>
  </si>
  <si>
    <t>31741-095</t>
  </si>
  <si>
    <t>2022_BRAULIO_LARA_810_01; 2022_JUNINHO_LOS_HERMANOS_359_01</t>
  </si>
  <si>
    <t>Rua Tocantins, nº 471, no bairro Serrano, Regional Pampulha;</t>
  </si>
  <si>
    <t>Serrano</t>
  </si>
  <si>
    <t>30882-240</t>
  </si>
  <si>
    <t>Centro de Saúde Taquaril</t>
  </si>
  <si>
    <t>2022_LEO_795_01; 2022_MARCOS_CRISPIM_610_01</t>
  </si>
  <si>
    <t>R. Des. Bráulio, 2.200 - Taquaril, Belo Horizonte - MG, 30290-020</t>
  </si>
  <si>
    <t>Rua Desembargador Bráulio</t>
  </si>
  <si>
    <t>30290-020</t>
  </si>
  <si>
    <t>Centro de Saúde Vale do Jatobá</t>
  </si>
  <si>
    <t>2022_LEO_616_01; 2022_WANDERLEY_PORTO_318_01</t>
  </si>
  <si>
    <t>Rua Luiz Leite de Faria, 171 - Vale do Jatoba, Belo Horizonte - MG, 30664-010</t>
  </si>
  <si>
    <t>Vale do Jatoba</t>
  </si>
  <si>
    <t>Rua Luiz Leite de Faria</t>
  </si>
  <si>
    <t>30664-010</t>
  </si>
  <si>
    <t>2022_BRAULIO_LARA_808_01; 2022_WALTER_TOSTA_841_01</t>
  </si>
  <si>
    <t>Rua Cons. Joaquim Caetano 1782</t>
  </si>
  <si>
    <t>Jardim America</t>
  </si>
  <si>
    <t>Rua Conselheiro Joaquim Caetano</t>
  </si>
  <si>
    <t>30421-470</t>
  </si>
  <si>
    <t>Centro de Saúde Vera Cruz</t>
  </si>
  <si>
    <t>Praça Pedro Lessa, 36 - Vera Cruz, Belo Horizonte - MG, 30285-330</t>
  </si>
  <si>
    <t>Vera Cruz</t>
  </si>
  <si>
    <t>Praça Pedro Lessa</t>
  </si>
  <si>
    <t>30285-330</t>
  </si>
  <si>
    <t>Centro de Saúde Vila Imperial</t>
  </si>
  <si>
    <t>2022_BRAULIO_LARA_806_01; 2022_NIKOLAS_FERREIRA_492_01</t>
  </si>
  <si>
    <t>Rua Guilherme Pinto da Fonseca, 350 - Me. Gertrudes, Belo Horizonte - MG 30518-240</t>
  </si>
  <si>
    <t>Madre Gertrudes</t>
  </si>
  <si>
    <t>Rua Guilherme Pinto da Fonseca</t>
  </si>
  <si>
    <t>30518-240</t>
  </si>
  <si>
    <t>Centro de Saúde Vila Leonina</t>
  </si>
  <si>
    <t>Praça do Ensino, 240 - Alpes, Belo Horizonte - MG, 30421-484</t>
  </si>
  <si>
    <t>Alpes</t>
  </si>
  <si>
    <t>O3</t>
  </si>
  <si>
    <t>Praça do Ensino</t>
  </si>
  <si>
    <t>30421-484</t>
  </si>
  <si>
    <t>Centro de Saúde Vila Maria</t>
  </si>
  <si>
    <t>Avenida dos Sociais, 305 - Jardim Vitoria, Belo Horizonte - MG, 31975-230</t>
  </si>
  <si>
    <t>Avenida dos Sociais</t>
  </si>
  <si>
    <t>31975-230</t>
  </si>
  <si>
    <t>Centro de Saúde Vista Alegre</t>
  </si>
  <si>
    <t>2022_LEO_795_01; 2022_NIKOLAS_FERREIRA_494_01</t>
  </si>
  <si>
    <t>R. Sêneca, 9 - Nova Cintra, Belo Horizonte - MG, 30516-260</t>
  </si>
  <si>
    <t>Nova Cintra</t>
  </si>
  <si>
    <t>Rua Sêneca</t>
  </si>
  <si>
    <t>30516-260</t>
  </si>
  <si>
    <t>Centro de Vivência Agroecológica - CEVAE Coqueiros</t>
  </si>
  <si>
    <t>Rua Eneida, 1589-1521, no bairro Coqueiros</t>
  </si>
  <si>
    <t>Centro Dia do Idoso Dom Cabral</t>
  </si>
  <si>
    <t>Avenida Santa Matilde</t>
  </si>
  <si>
    <t>Centro Especializado de Atendimento à Mulher - Benvinda</t>
  </si>
  <si>
    <t>R. Hermilo Alves, 34 - Santa Tereza, Belo Horizonte - MG, 31010-115</t>
  </si>
  <si>
    <t>Rua Hermilo Alves</t>
  </si>
  <si>
    <t>31010-115</t>
  </si>
  <si>
    <t>Complexo Esportivo do Vale do Jatobá</t>
  </si>
  <si>
    <t>Avenida Senador Levindo Coelho</t>
  </si>
  <si>
    <t>Conselho Popular de Defesa dos Direitos Humanos dos Moradores do Bairro Jardim Felicidade</t>
  </si>
  <si>
    <t>Rua Josefina Guimarães</t>
  </si>
  <si>
    <t>Creche Arco-Íris</t>
  </si>
  <si>
    <t>R. Visc. de Itaboraí, 191 - Jardim Leblon, Belo Horizonte - MG, 31540-460</t>
  </si>
  <si>
    <t>Jardim Leblon</t>
  </si>
  <si>
    <t>Rua Visconde de Itaboraí</t>
  </si>
  <si>
    <t>31540-460</t>
  </si>
  <si>
    <t>Creche Comunitária Eunice Lanza</t>
  </si>
  <si>
    <t>Beco Principal, 183 - Vila da Paz (Novo Gloria), Belo Horizonte - MG, 30865-700</t>
  </si>
  <si>
    <t>Vila da Paz</t>
  </si>
  <si>
    <t>Beco Principal</t>
  </si>
  <si>
    <t>30865-700</t>
  </si>
  <si>
    <t>MONTE REAL, 60 - GRANJA DE FREITAS. 30286100</t>
  </si>
  <si>
    <t>Rua Monte Real</t>
  </si>
  <si>
    <t>30286-100</t>
  </si>
  <si>
    <t>Atila de Paiva</t>
  </si>
  <si>
    <t>B2</t>
  </si>
  <si>
    <t>Rua Joana Darc</t>
  </si>
  <si>
    <t>Escola Municipal Alice Nacif</t>
  </si>
  <si>
    <t>Confisco</t>
  </si>
  <si>
    <t>Rua Expedicionário Paulo de Souza</t>
  </si>
  <si>
    <t>Escola Municipal Anne Frank</t>
  </si>
  <si>
    <t>Rua Cecília Magalhães Gomes</t>
  </si>
  <si>
    <t>31360-510</t>
  </si>
  <si>
    <t>Escola Municipal Antônio Gomes Horta</t>
  </si>
  <si>
    <t>Parque Sao Pedro</t>
  </si>
  <si>
    <t>Rua Antônio José de Oliveira</t>
  </si>
  <si>
    <t>Escola Municipal Augusta Medeiros</t>
  </si>
  <si>
    <t>Sao Salvador</t>
  </si>
  <si>
    <t>Rua General Clark</t>
  </si>
  <si>
    <t>Escola Municipal Aurélio Pires</t>
  </si>
  <si>
    <t>Rua Barrinha, 171, bairro Liberdade;</t>
  </si>
  <si>
    <t>Rua Barrinha</t>
  </si>
  <si>
    <t>Escola Municipal Cônego Sequeira</t>
  </si>
  <si>
    <t>R. Flôr Chuva de Prata, 40 - Independência, Belo Horizonte - MG, 30672-260</t>
  </si>
  <si>
    <t>Rua Flor Chuva de Prata</t>
  </si>
  <si>
    <t>30672-260</t>
  </si>
  <si>
    <t>Escola Municipal da Vila Pinho</t>
  </si>
  <si>
    <t>Escola Municipal de Educação Infantil - EMEI Califórnia</t>
  </si>
  <si>
    <t>Rua Quatro Mil Quatrocentos e Vinte e Nove</t>
  </si>
  <si>
    <t>Escola Municipal de Educação Infantil - EMEI Califórnia II</t>
  </si>
  <si>
    <t>2022_JUNINHO_LOS_HERMANOS_713_01; 2022_WESLEY_198_01</t>
  </si>
  <si>
    <t>Rua Cristina Maria de Assis, 550 - Califórnia, Belo Horizonte - MG, 30855-440</t>
  </si>
  <si>
    <t>Rua Cristina Maria de Assis</t>
  </si>
  <si>
    <t>30855-440</t>
  </si>
  <si>
    <t>Escola Municipal de Educação Infantil - EMEI Castelo</t>
  </si>
  <si>
    <t>Castelo</t>
  </si>
  <si>
    <t>Rua Castelo de Alcazar</t>
  </si>
  <si>
    <t>Escola Municipal de Educação Infantil - EMEI Castelo de Crato</t>
  </si>
  <si>
    <t>Rua Castelo de Crato</t>
  </si>
  <si>
    <t>Escola Municipal de Educação Infantil - EMEI Coqueiros</t>
  </si>
  <si>
    <t>Escola Municipal de Educação Infantil - EMEI Itatiaia</t>
  </si>
  <si>
    <t>Rua Maria Cecília</t>
  </si>
  <si>
    <t>Escola Municipal de Educação Infantil - EMEI Jardim Montanhês</t>
  </si>
  <si>
    <t>Escola Municipal de Educação Infantil - EMEI JULIANA</t>
  </si>
  <si>
    <t>rua da Galeria, 1130 - Juliana</t>
  </si>
  <si>
    <t>Juliana</t>
  </si>
  <si>
    <t>Rua da Galeria</t>
  </si>
  <si>
    <t>Escola Municipal de Educação Infantil - EMEI Marfim</t>
  </si>
  <si>
    <t>Rua Assumar</t>
  </si>
  <si>
    <t>Escola Municipal de Educação Infantil - EMEI Monte Azul</t>
  </si>
  <si>
    <t>R. Amélia de Almeida, 10 - Monte Azul, Belo Horizonte - MG, 31872-620</t>
  </si>
  <si>
    <t>Monte Azul</t>
  </si>
  <si>
    <t>Rua Amélia de Almeida</t>
  </si>
  <si>
    <t>31872-620</t>
  </si>
  <si>
    <t>Escola Municipal de Educação Infantil - EMEI Pindorama</t>
  </si>
  <si>
    <t>Rua Guararapes</t>
  </si>
  <si>
    <t>Escola Municipal de Educação Infantil - EMEI Pituchinha</t>
  </si>
  <si>
    <t>Rua Marquês de Lavradio</t>
  </si>
  <si>
    <t>Escola Municipal de Educação Infantil - EMEI Professor Christovam Colombo Santos</t>
  </si>
  <si>
    <t>Estoril</t>
  </si>
  <si>
    <t>O5</t>
  </si>
  <si>
    <t>Rua Vereador Nelson Cunha</t>
  </si>
  <si>
    <t>30455-070</t>
  </si>
  <si>
    <t>Escola Municipal de Educação Infantil - EMEI Sabinópolis</t>
  </si>
  <si>
    <t>Carlos Prates</t>
  </si>
  <si>
    <t>Rua Sabinópolis</t>
  </si>
  <si>
    <t>Escola Municipal de Educação Infantil - EMEI Sarandi</t>
  </si>
  <si>
    <t>Rua Deputado Augusto Gonçalves, nº 150, no bairro Serrano, Regional Pampulha;</t>
  </si>
  <si>
    <t>Rua Deputado Augusto Gonçalves</t>
  </si>
  <si>
    <t>Escola Municipal de Educação Infantil - EMEI Urca Confisco</t>
  </si>
  <si>
    <t>Escola Municipal de Educação Infantil - EMEI Vila Antena</t>
  </si>
  <si>
    <t>Jardim Alvorada</t>
  </si>
  <si>
    <t>Rua Flor do Oriente</t>
  </si>
  <si>
    <t>Escola Municipal de Educação Infantil - EMEI Vila São Vicente</t>
  </si>
  <si>
    <t>Rua Humaitá</t>
  </si>
  <si>
    <t>Escola Municipal de Educação Infantil Céu Azul</t>
  </si>
  <si>
    <t>Piratininga</t>
  </si>
  <si>
    <t>Rua São João Batista do Glória</t>
  </si>
  <si>
    <t>Escola Municipal de Educação Infantil Floramar</t>
  </si>
  <si>
    <t>Rua José Ferreira Magalhães, 87 - Floramar</t>
  </si>
  <si>
    <t>Floramar</t>
  </si>
  <si>
    <t>Rua José Ferreira Magalhães</t>
  </si>
  <si>
    <t>Escola Municipal de Educação Infantil Heliopolis</t>
  </si>
  <si>
    <t>Rua dos Beneditinos, nº 220, bairro Heliópolis</t>
  </si>
  <si>
    <t>Escola Municipal de Educação Infantil Petrópolis</t>
  </si>
  <si>
    <t>Rua Duzentos E Oitenta E Cinco, 107 - Petrópolis, Belo Horizonte - MG, 30666-517</t>
  </si>
  <si>
    <t>Petropolis</t>
  </si>
  <si>
    <t>Rua Duzentos E Oitenta E Cinco</t>
  </si>
  <si>
    <t>30666-517</t>
  </si>
  <si>
    <t>Escola Municipal de Educação Infantil Vila Clóris</t>
  </si>
  <si>
    <t>R. das Gaivotas, 838 - Vila Cloris</t>
  </si>
  <si>
    <t>Vila Cloris</t>
  </si>
  <si>
    <t>Rua das Gaivotas</t>
  </si>
  <si>
    <t>Escola Municipal de Ensino Fundamental Levindo Lopes</t>
  </si>
  <si>
    <t>R. Fluorina, 1460 - Paraíso, Belo Horizonte - MG, 30280-340</t>
  </si>
  <si>
    <t>Rua Fluorina</t>
  </si>
  <si>
    <t>30280-340</t>
  </si>
  <si>
    <t>Escola municipal de Ensino Fundamental Maria das Neves</t>
  </si>
  <si>
    <t>R. Piranga, 39 - São Lucas, Belo Horizonte - MG, 30240-310</t>
  </si>
  <si>
    <t>Sao Lucas</t>
  </si>
  <si>
    <t>Rua Piranga</t>
  </si>
  <si>
    <t>30240-310</t>
  </si>
  <si>
    <t>Escola Municipal de Ensino Fundamental Padre Guilherme de Peters</t>
  </si>
  <si>
    <t>Escola Municipal de Ensino Fundamental Professor Edson Pisani</t>
  </si>
  <si>
    <t>Rua Nossa Senhora de Fatima</t>
  </si>
  <si>
    <t>Escola Municipal de Ensino Fundamental Santos Dumont</t>
  </si>
  <si>
    <t>Av. Mem de Sá, 600 - Santa Efigênia, Belo Horizonte - MG, 30260-270</t>
  </si>
  <si>
    <t>Santa Efigenia</t>
  </si>
  <si>
    <t>Escola municipal de Ensino Fundamental Senador Levindo Coelho</t>
  </si>
  <si>
    <t>Rua Caraça, nº 850, no Bairro Mangabeiras</t>
  </si>
  <si>
    <t>Mangabeiras</t>
  </si>
  <si>
    <t>Rua Caraça</t>
  </si>
  <si>
    <t>Escola Municipal de Ensino Fundamental Vila Fazendinha</t>
  </si>
  <si>
    <t>R. Paulo De Souza, 51 - Fazendinha, Belo Horizonte - MG, 30250-430</t>
  </si>
  <si>
    <t>Fazendinha</t>
  </si>
  <si>
    <t>Rua Paulo De Souza</t>
  </si>
  <si>
    <t>30250-430</t>
  </si>
  <si>
    <t>Escola Municipal Deputado Milton Salles</t>
  </si>
  <si>
    <t>R. Teófilo Filho, 222 - Estoril, Belo Horizonte - MG, 30494-005</t>
  </si>
  <si>
    <t>Rua Teófilo Filho</t>
  </si>
  <si>
    <t>30494-005</t>
  </si>
  <si>
    <t>Escola Municipal Dom Bosco</t>
  </si>
  <si>
    <t>Rua Bicuíba</t>
  </si>
  <si>
    <t>Escola Municipal Dora Tomich Laender</t>
  </si>
  <si>
    <t>Rua Julita Nunes Lima</t>
  </si>
  <si>
    <t>Escola Municipal Francisca Alves</t>
  </si>
  <si>
    <t>Conjunto Lagoa</t>
  </si>
  <si>
    <t>Avenida Santa Terezinha</t>
  </si>
  <si>
    <t>31365-000</t>
  </si>
  <si>
    <t>Escola Municipal Ignácio de Andrade Melo</t>
  </si>
  <si>
    <t>R. Expedicionário Jesus Ramos, 250 - Jardim Felicidade, Belo Horizonte - MG, 31765-350</t>
  </si>
  <si>
    <t>Rua Expedicionário Jesus Ramos</t>
  </si>
  <si>
    <t>31765-350</t>
  </si>
  <si>
    <t>Escola Municipal João Pinheiro</t>
  </si>
  <si>
    <t>Alto dos Pinheiros</t>
  </si>
  <si>
    <t>Rua Padre Manoel Bernardes</t>
  </si>
  <si>
    <t>Escola Municipal Jonas Barcellos Côrrea</t>
  </si>
  <si>
    <t>R. Profa. Dirce Maria, 240 - Petrópolis, Belo Horizonte - MG, 30666-515</t>
  </si>
  <si>
    <t>Rua Professora Dirce Maria</t>
  </si>
  <si>
    <t>30666-515</t>
  </si>
  <si>
    <t>Escola Municipal Júlia Paraíso</t>
  </si>
  <si>
    <t>Rua Tiês</t>
  </si>
  <si>
    <t>Escola Municipal Luigi Toniolo</t>
  </si>
  <si>
    <t>Rua Mafra</t>
  </si>
  <si>
    <t>Escola Municipal Maria de Magalhães Pinto</t>
  </si>
  <si>
    <t>Escola Municipal Maria de Rezende Costa</t>
  </si>
  <si>
    <t>Avenida Abílio Machado</t>
  </si>
  <si>
    <t>Escola Municipal Mário Werneck</t>
  </si>
  <si>
    <t>Rua Abati, 10 - Santa Maria, Belo Horizonte - MG, 30525-260</t>
  </si>
  <si>
    <t>Santa Maria</t>
  </si>
  <si>
    <t>Rua Abati</t>
  </si>
  <si>
    <t>Escola Municipal Marlene Pereira Rancante</t>
  </si>
  <si>
    <t>Rua dos Comerciantes</t>
  </si>
  <si>
    <t>Escola Municipal Mestre Ataíde</t>
  </si>
  <si>
    <t>R. Augusto José dos Santos, 560 - Betânia, Belo Horizonte - MG, 30580-100</t>
  </si>
  <si>
    <t>Rua Augusto Jose dos Santos</t>
  </si>
  <si>
    <t>30580-100</t>
  </si>
  <si>
    <t>Escola Municipal Minervina Augusta</t>
  </si>
  <si>
    <t>Campo Alegre</t>
  </si>
  <si>
    <t>Rua David Canabarro</t>
  </si>
  <si>
    <t>Escola Municipal Oswaldo Cruz</t>
  </si>
  <si>
    <t>R. Santos, 2200 - Jardim America, Belo Horizonte - MG, 30421-490</t>
  </si>
  <si>
    <t>Rua Santos</t>
  </si>
  <si>
    <t>30421-490</t>
  </si>
  <si>
    <t>Escola Municipal Padre Edeimar Massote</t>
  </si>
  <si>
    <t>Escola Municipal Padre Marzano Matias</t>
  </si>
  <si>
    <t>Rio Branco</t>
  </si>
  <si>
    <t>Rua Érico Veríssimo</t>
  </si>
  <si>
    <t>Escola Municipal Prefeito Oswaldo Pieruccetti</t>
  </si>
  <si>
    <t>Escola Municipal Professor João Camilo de Oliveira Torres</t>
  </si>
  <si>
    <t>Rua Ester Batista Vieira</t>
  </si>
  <si>
    <t>Escola Municipal Professor Moacyr Andrade</t>
  </si>
  <si>
    <t>Lagoa</t>
  </si>
  <si>
    <t>Rua dos Caçadores</t>
  </si>
  <si>
    <t>Escola Municipal Santa Terezinha</t>
  </si>
  <si>
    <t>Rua Conceição da Aparecida</t>
  </si>
  <si>
    <t>R. Areia Branca, 3 - Ribeiro de Abreu, Belo Horizonte - MG, 31872-400</t>
  </si>
  <si>
    <t>Rua Areia Branca</t>
  </si>
  <si>
    <t>31872-400</t>
  </si>
  <si>
    <t>Escola Municipal Tabajara Pedroso</t>
  </si>
  <si>
    <t>rua Geraldo Assunção, nº:45, bairro: Candelária</t>
  </si>
  <si>
    <t>Candelaria</t>
  </si>
  <si>
    <t>Rua Geraldo Assunção</t>
  </si>
  <si>
    <t>Escola Municipal Vinícius de Moraes</t>
  </si>
  <si>
    <t>Rua Sebastião Moreira</t>
  </si>
  <si>
    <t>Farmácia Recanto Amor Fraterno</t>
  </si>
  <si>
    <t>Rua Prados</t>
  </si>
  <si>
    <t>Horta da Creche Nossa Senhora Do Carmo Vila Santa Rita De Cassia</t>
  </si>
  <si>
    <t>Rua União, 83</t>
  </si>
  <si>
    <t>Santa Rita de Cassia</t>
  </si>
  <si>
    <t>CS5</t>
  </si>
  <si>
    <t>Rua Uniao</t>
  </si>
  <si>
    <t>Horta no Centro de Referência da Pessoa Idosa - CRPI</t>
  </si>
  <si>
    <t>Rua R. Perdizes, 336 - Caiçaras, Belo Horizonte</t>
  </si>
  <si>
    <t>Rua Perdizes</t>
  </si>
  <si>
    <t>Horta Projeto Itamar Serra</t>
  </si>
  <si>
    <t>Rua Regência, em frente ao número 409</t>
  </si>
  <si>
    <t>Rua Regencia</t>
  </si>
  <si>
    <t>Horta Santa Lúcia</t>
  </si>
  <si>
    <t>Rua João Evangelista Pinheiro 188, Santa Lúcia</t>
  </si>
  <si>
    <t>Santa Lucia</t>
  </si>
  <si>
    <t>Rua João Evangelista Pinheiro</t>
  </si>
  <si>
    <t>Horta Vila Nossa Senhora da Aparecida</t>
  </si>
  <si>
    <t>Rua Do Cerrado, 112</t>
  </si>
  <si>
    <t>Venda Nova</t>
  </si>
  <si>
    <t>Rua Do Cerrado</t>
  </si>
  <si>
    <t>2022_JUNINHO_LOS_HERMANOS_442_01; 2022_PROFESSORA_MARLI_620_01; 2022_WILSINHO_DA_TABU_460_01</t>
  </si>
  <si>
    <t>R. Camilo de Brito, 636 - Padre Eustáquio, Belo Horizonte - MG, 30730-540</t>
  </si>
  <si>
    <t>Rua Camilo de Brito</t>
  </si>
  <si>
    <t>30730-540</t>
  </si>
  <si>
    <t>Hospital da Baleia (Fundação Benjamin Guimarães)</t>
  </si>
  <si>
    <t>2022_BRAULIO_LARA_833_01; 2022_CLAUDIO_DO_MUNDO_NOVO_158_01; 2022_DR_CELIO_FROIS_653_01; 2022_GILSON_GUIMARAES_541_01; 2022_IRLAN_MELO_732_01; 2022_MACAE_EVARISTO_397_01; 2022_MILTINHO_CGE_667_01; 2022_NELY_AQUINO_758_01; 2022_PROFESSOR_CLAUDINEY_DULIM_637_01; 2022_WANDERLEY_PORTO_329_01; 2022_WILSINHO_DA_TABU_457_01</t>
  </si>
  <si>
    <t>R. Juramento, 1464 - Saudade, Belo Horizonte - MG, 30285-408</t>
  </si>
  <si>
    <t>Saudade</t>
  </si>
  <si>
    <t>Rua Juramento</t>
  </si>
  <si>
    <t>30285-408</t>
  </si>
  <si>
    <t>2022_DUDA_SALABERT_533_01; 2022_PROFESSOR_CLAUDINEY_DULIM_644_01; 2022_WANDERLEY_PORTO_331_01; 2022_WESLEY_262_01</t>
  </si>
  <si>
    <t>R. Dr. Cristiano Rezende, 2213 - Bonsucesso, Belo Horizonte - MG, 30622-020</t>
  </si>
  <si>
    <t>Bonsucesso</t>
  </si>
  <si>
    <t>Rua Dr. Cristiano Rezende</t>
  </si>
  <si>
    <t>30622-020</t>
  </si>
  <si>
    <t>Hospital Eduardo de Menezes, Ambulatório Anyky Lima</t>
  </si>
  <si>
    <t>Hospital Evangelico (Associação Evangélica Beneficente de Minas Gerais - AEBMG)</t>
  </si>
  <si>
    <t>2022_BRAULIO_LARA_837_01; 2022_CLAUDIO_DO_MUNDO_NOVO_404_01; 2022_FERNANDO_LUIZ_569_01; 2022_FLAVIA_BORJA_858_01; 2022_GILSON_GUIMARAES_542_01; 2022_IRLAN_MELO_729_01; 2022_JUNINHO_LOS_HERMANOS_441_01; 2022_MARILDA_PORTELA_511_01; 2022_WANDERLEY_PORTO_334_01; 2022_WILSINHO_DA_TABU_458_01</t>
  </si>
  <si>
    <t>R. Doutor Alípio Goulart, 25 - Serra, Belo Horizonte - MG, 30220-330</t>
  </si>
  <si>
    <t>Rua Doutor Alípio Goulart</t>
  </si>
  <si>
    <t>30220-330</t>
  </si>
  <si>
    <t>Alameda Ezequiel Dias, 345 - Centro, Belo Horizonte - MG, 30130-110</t>
  </si>
  <si>
    <t>Hospital João XXIII</t>
  </si>
  <si>
    <t>Av. Prof. Alfredo Balena, 400 - Centro, Belo Horizonte - MG, 30130-100</t>
  </si>
  <si>
    <t>Av. Prof. Alfredo Balena</t>
  </si>
  <si>
    <t>30130-100</t>
  </si>
  <si>
    <t>2022_CLAUDIO_DO_MUNDO_NOVO_214_01; 2022_PROFESSOR_CLAUDINEY_DULIM_643_01; 2022_WANDERLEY_PORTO_330_01; 2022_WESLEY_258_01</t>
  </si>
  <si>
    <t>R. Dr. Cristiano Rezende, 2745 - Flávio Marques Lisboa, Belo Horizonte - MG, 30610-720</t>
  </si>
  <si>
    <t>Rua Doutor Cristiano Rezende</t>
  </si>
  <si>
    <t>30610-720</t>
  </si>
  <si>
    <t>Hospital Luxemburgo</t>
  </si>
  <si>
    <t>R. Gentios, 1350 - Luxemburgo, Belo Horizonte - MG, 30380-490</t>
  </si>
  <si>
    <t>Luxemburgo</t>
  </si>
  <si>
    <t>Rua Gentios</t>
  </si>
  <si>
    <t>30380-490</t>
  </si>
  <si>
    <t>Hospital Madre Tereza</t>
  </si>
  <si>
    <t>2022_CLAUDIO_DO_MUNDO_NOVO_215_01; 2022_NELY_AQUINO_429_01; 2022_PROFESSOR_CLAUDINEY_DULIM_642_01; 2022_RUBAO_307_01; 2022_WANDERLEY_PORTO_332_01; 2022_WILSINHO_DA_TABU_455_01</t>
  </si>
  <si>
    <t>Avenida Raja Gabáglia, 1002  - Gutierrez, Belo Horizonte - MG, 30441-070</t>
  </si>
  <si>
    <t>Gutierrez</t>
  </si>
  <si>
    <t>Avenida Raja Gabáglia</t>
  </si>
  <si>
    <t>30441-070</t>
  </si>
  <si>
    <t>2022_BRAULIO_LARA_832_01; 2022_CIRO_PEREIRA_282_01; 2022_CLAUDIO_DO_MUNDO_NOVO_265_01; 2022_DR_CELIO_FROIS_701_01; 2022_NELY_AQUINO_431_01; 2022_NIKOLAS_FERREIRA_499_01; 2022_PROFESSOR_CLAUDINEY_DULIM_639_01; 2022_RUBAO_302_01</t>
  </si>
  <si>
    <t>R. Joaquim Cândido Filho, 91 - Luxemburgo, Belo Horizonte - MG, 30380-420</t>
  </si>
  <si>
    <t>Rua Joaquim Cândido Filho</t>
  </si>
  <si>
    <t>30380-420</t>
  </si>
  <si>
    <t>Hospital Mario Penna Avenida Churchill</t>
  </si>
  <si>
    <t>Avenida Churchil</t>
  </si>
  <si>
    <t>2022_BRAULIO_LARA_834_01; 2022_CLAUDIO_DO_MUNDO_NOVO_162_01; 2022_DR_CELIO_FROIS_507_01; 2022_HENRIQUE_BRAGA_430_01; 2022_IRLAN_MELO_735_01; 2022_MARILDA_PORTELA_524_01; 2022_PROFESSOR_CLAUDINEY_DULIM_645_01; 2022_WANDERLEY_PORTO_314_01; 2022_WESLEY_261_01</t>
  </si>
  <si>
    <t>Rua Dona Luiza, 311 - Milionários, Belo Horizonte - MG, 30620-090</t>
  </si>
  <si>
    <t>Rua Dona Luiza</t>
  </si>
  <si>
    <t>30620-090</t>
  </si>
  <si>
    <t>2022_CLAUDIO_DO_MUNDO_NOVO_216_01; 2022_DUDA_SALABERT_534_01; 2022_DUDA_SALABERT_560_01; 2022_FERNANDA_PEREIRA_ALTOE_181_01; 2022_FERNANDO_LUIZ_570_01; 2022_IRLAN_MELO_705_01; 2022_NELY_AQUINO_435_01; 2022_PEDRO_PATRUS_608_01; 2022_WANDERLEY_PORTO_335_01</t>
  </si>
  <si>
    <t>Sao Cristovao</t>
  </si>
  <si>
    <t>Rua Formiga</t>
  </si>
  <si>
    <t>31110-430</t>
  </si>
  <si>
    <t>R. Joaquim Gouveia, 560 - São Paulo, Belo Horizonte - MG, 31910-040</t>
  </si>
  <si>
    <t>31910-040</t>
  </si>
  <si>
    <t>2022_CLAUDIO_DO_MUNDO_NOVO_159_01; 2022_DR_CELIO_FROIS_528_01; 2022_IZA_LOURENCA_744_01; 2022_MACAE_EVARISTO_394_01; 2022_WESLEY_260_01</t>
  </si>
  <si>
    <t>R. das Gabirobas, 1 - Vila Cloris, Belo Horizonte - MG, 31744-012</t>
  </si>
  <si>
    <t>R. das Gabirobas</t>
  </si>
  <si>
    <t>31744-012</t>
  </si>
  <si>
    <t>2022_BRAULIO_LARA_835_01; 2022_CLAUDIO_DO_MUNDO_NOVO_204_01; 2022_DUDA_SALABERT_544_01; 2022_HENRIQUE_BRAGA_489_01; 2022_JOSE_FERREIRA_700_01; 2022_MACAE_EVARISTO_398_01; 2022_NELY_AQUINO_764_01; 2022_PEDRO_PATRUS_585_01; 2022_PROFESSOR_CLAUDINEY_DULIM_638_01; 2022_WESLEY_259_01; 2022_WILSINHO_DA_TABU_437_01</t>
  </si>
  <si>
    <t>Rua Antônio Bandeira, 1060 - Tupi, Belo Horizonte - MG, 31844-130</t>
  </si>
  <si>
    <t>Rua Antônio Bandeira</t>
  </si>
  <si>
    <t>31844-130</t>
  </si>
  <si>
    <t>Hospital Sofia Feldman Unidade Carlos Prates</t>
  </si>
  <si>
    <t>Rua Padre Eustáquio</t>
  </si>
  <si>
    <t>30710-580</t>
  </si>
  <si>
    <t>R. dos Aimorés, 2896 - Santo Agostinho, Belo Horizonte - MG, 30140-073</t>
  </si>
  <si>
    <t>Santo Agostinho</t>
  </si>
  <si>
    <t>Rua dos Aimorés</t>
  </si>
  <si>
    <t>30140-073</t>
  </si>
  <si>
    <t>Instituto Brasileiro de Gestao Social</t>
  </si>
  <si>
    <t>Sion</t>
  </si>
  <si>
    <t>Rua Estados Unidos</t>
  </si>
  <si>
    <t>interseção da Rua Estrada do Cercadinho e da Rua Olenka Dias Bicalho, no bairro Vila Ventosa</t>
  </si>
  <si>
    <t>Vila Ventosa</t>
  </si>
  <si>
    <t>Rua Olenka Dias Bicalho</t>
  </si>
  <si>
    <t>2022_MILTINHO_CGE_654_01; 2022_MILTINHO_CGE_657_01; 2022_MILTINHO_CGE_658_01</t>
  </si>
  <si>
    <t>Av. Otacílio Negrão de Lima, 8000 - Pampulha, Belo Horizonte - MG, 31365-450</t>
  </si>
  <si>
    <t>Bandeirantes</t>
  </si>
  <si>
    <t>Avenida Otacílio Negrão de Lima</t>
  </si>
  <si>
    <t>31365-450</t>
  </si>
  <si>
    <t>Laboratório Municipal de Análises Clínicas e Citopatológicas</t>
  </si>
  <si>
    <t>Rua Frederico Bracher Junior</t>
  </si>
  <si>
    <t>Av. Dom Orione, 187 - Pampulha, Belo Horizonte - MG, 31310-020</t>
  </si>
  <si>
    <t>Sao Luiz</t>
  </si>
  <si>
    <t>Avenida Dom Orione</t>
  </si>
  <si>
    <t>31310-020</t>
  </si>
  <si>
    <t>Lar Escola Terezinha Delamare</t>
  </si>
  <si>
    <t>Rua Wenceslau Braz, 107 - Copacabana, Belo Horizonte - MG, 31540-670</t>
  </si>
  <si>
    <t>Copacabana</t>
  </si>
  <si>
    <t>Rua Wenceslau Braz</t>
  </si>
  <si>
    <t>31540-670</t>
  </si>
  <si>
    <t>Maternidade Odete Valadares</t>
  </si>
  <si>
    <t>Av. do Contorno, 9494 - Prado, Belo Horizonte - MG, 30110-064</t>
  </si>
  <si>
    <t>30110-064</t>
  </si>
  <si>
    <t>Núcleo de Atendimento à Mulher</t>
  </si>
  <si>
    <t>Rua Coronel José Benjamim, n° 615, sala 03, Bairro Padre Eustáquio, CEP 30.720-430</t>
  </si>
  <si>
    <t>Rua Coronel José Benjamim</t>
  </si>
  <si>
    <t>30720-430</t>
  </si>
  <si>
    <t>Nupad - Núcleo de Ações e Pesquisa em Apoio Diagnóstico da Faculdade de Medicina da UFMG</t>
  </si>
  <si>
    <t>Av. Prof. Alfredo Balena, 189 - 5 andar - Centro, Belo Horizonte - MG, 30130-100</t>
  </si>
  <si>
    <t>Avenida Prof. Alfredo Balena</t>
  </si>
  <si>
    <t>Rua Seiscentos e vinte e três, 200 - Bairro Lagoa</t>
  </si>
  <si>
    <t>Rua Seiscentos e vinte e três</t>
  </si>
  <si>
    <t>31578-035</t>
  </si>
  <si>
    <t>Parque Ecológico do Córrego Santa Terezinha</t>
  </si>
  <si>
    <t>Rua Dinis Dias</t>
  </si>
  <si>
    <t>Parque Ecológico e Cultural Jardim das Nascentes (Madri)</t>
  </si>
  <si>
    <t>382, R. das Touradas, 296 - Madri, Belo Horizonte - MG, 31744-780</t>
  </si>
  <si>
    <t>Madri</t>
  </si>
  <si>
    <t>R. das Touradas</t>
  </si>
  <si>
    <t>31744-780</t>
  </si>
  <si>
    <t>Parque Guilherme Lage</t>
  </si>
  <si>
    <t>Rua Angola, 665, bairro São Paulo</t>
  </si>
  <si>
    <t>Rua Angola</t>
  </si>
  <si>
    <t>R. Albânia, 17 - Europa, Belo Horizonte - MG, 31620-070</t>
  </si>
  <si>
    <t>Europa</t>
  </si>
  <si>
    <t>Rua Albânia</t>
  </si>
  <si>
    <t>31620-070</t>
  </si>
  <si>
    <t>Parque Rosinha Cadar, bairro Santo Agostinho</t>
  </si>
  <si>
    <t>R. Rodrigues Caldas, 315 - Santo Agostinho, Belo Horizonte - MG, 30190-120</t>
  </si>
  <si>
    <t>Rua Rodrigues Caldas</t>
  </si>
  <si>
    <t>30190-120</t>
  </si>
  <si>
    <t>Posto de Saúde Conjunto Betânia</t>
  </si>
  <si>
    <t>Rua Onã</t>
  </si>
  <si>
    <t>Posto de Saúde Diamante/ Teixeira Dias</t>
  </si>
  <si>
    <t>Rua Maria Marcolina Souza, nº 40 - Teixeira Dias</t>
  </si>
  <si>
    <t>Teixeira Dias</t>
  </si>
  <si>
    <t>Rua Maria Marcolina Souza</t>
  </si>
  <si>
    <t>Posto de Saúde Indepenência</t>
  </si>
  <si>
    <t>R. Maria Antonieta Ferreira, 151 - Independência, 30672-090</t>
  </si>
  <si>
    <t>30672-090</t>
  </si>
  <si>
    <t>Posto de Saúde Miramar</t>
  </si>
  <si>
    <t>Rua erídano, nº 540 - Miramar</t>
  </si>
  <si>
    <t>Miramar</t>
  </si>
  <si>
    <t>Rua Eridano</t>
  </si>
  <si>
    <t>Praça Águas Claras</t>
  </si>
  <si>
    <t>Aguas Claras</t>
  </si>
  <si>
    <t>Rua Alameda</t>
  </si>
  <si>
    <t>Praça Alberto Mazzoni</t>
  </si>
  <si>
    <t>Colegio Batista</t>
  </si>
  <si>
    <t>Praça Antônio Mascarenhas Ferreira, no Bairro Havaí</t>
  </si>
  <si>
    <t>2022_FERNANDO_LUIZ_114_01; 2022_FERNANDO_LUIZ_117_01; 2022_FLAVIA_BORJA_176_01</t>
  </si>
  <si>
    <t>R. Frutuoso Viana - Estrela Dalva, Belo Horizonte - MG, 30570-640</t>
  </si>
  <si>
    <t>Praça Antônio Mascarenhas Ferreira</t>
  </si>
  <si>
    <t>30570-640</t>
  </si>
  <si>
    <t>Praça Avenida Dom Pedro II 4215</t>
  </si>
  <si>
    <t>praça existente na Avenida Dom Pedro II, nº 4.215, esquina com Rua Vila Rica, nº 965, no Bairro Padre Eustáquio</t>
  </si>
  <si>
    <t>Avenida Dom Pedro II</t>
  </si>
  <si>
    <t>Praça Comendador Negrão de Lima</t>
  </si>
  <si>
    <t>Floresta</t>
  </si>
  <si>
    <t xml:space="preserve">Praça Comendador Negrão de Lima </t>
  </si>
  <si>
    <t>Praça Cristo Redentor - Milionários</t>
  </si>
  <si>
    <t>Praça Cristo Redentor</t>
  </si>
  <si>
    <t>Praça da Ecologia</t>
  </si>
  <si>
    <t>2022_WANDERLEY_PORTO_315_01; 2022_WANDERLEY_PORTO_320_01</t>
  </si>
  <si>
    <t>Praca da Ecologia</t>
  </si>
  <si>
    <t>Praça entre ruas do Bras e Vinhedo Bairro Itaipu</t>
  </si>
  <si>
    <t>Itaipu</t>
  </si>
  <si>
    <t>Praça Ernesto Che Guevara</t>
  </si>
  <si>
    <t>praça Ernesto Che Guevara, situada no conjunto Taquaril</t>
  </si>
  <si>
    <t>Conjunto Taquaril</t>
  </si>
  <si>
    <t>Praça Francisco Barreto</t>
  </si>
  <si>
    <t>Praça Irajá</t>
  </si>
  <si>
    <t>Praça Irajá situada entre as Ruas Jaguaribe, Pitangui, Itapetinga, Petrópolis e Nossa Senhora da Paz no bairro Concórdia</t>
  </si>
  <si>
    <t>Praça João Balbino</t>
  </si>
  <si>
    <t>Praça João Francisco Xavier</t>
  </si>
  <si>
    <t>Praça João Francisco Xavier, localizada no final da Avenida Menelick de Carvalho - Bairro Flávio Marques Lisboa - Regional Barreiro</t>
  </si>
  <si>
    <t>Praça L11</t>
  </si>
  <si>
    <t>Praça L11, localizada na Rua Paulo Alves de Vasconcellos, esquina com Rua Edmundo Oliveira, do bairro Vale do Jatobá</t>
  </si>
  <si>
    <t>Praça L7</t>
  </si>
  <si>
    <t>Praça L8 (Praça do Hip Hop), localizada entre as ruas Antônio Pereira Mota e Rua Frei Luiz Peixoto no bairro Vale do Jatobá</t>
  </si>
  <si>
    <t>Praça localizada no bairro Campo Alegre, entre as ruas Bacuraus, Adolfo Bezerra de Meneses e Alexandre de Gusmão</t>
  </si>
  <si>
    <t>Praça Paulo Roberto dos Santos</t>
  </si>
  <si>
    <t>Praça Marabu</t>
  </si>
  <si>
    <t>2022_HELINHO_DA_FARMACIA_478_01; 2022_HELINHO_DA_FARMACIA_484_01</t>
  </si>
  <si>
    <t>Praça Marabu, localizada no bairro Flávio Marques Lisboa</t>
  </si>
  <si>
    <t>Praça Moisés Kalil</t>
  </si>
  <si>
    <t>Praça Paulo Roberto dos Santos, na esquina da Rua Moisés Kalil com a Rua Geraldo Lúcio Vasconcelos</t>
  </si>
  <si>
    <t>Buritis</t>
  </si>
  <si>
    <t>Praça Orlando Camargos, no bairro Diamante</t>
  </si>
  <si>
    <t>Diamante</t>
  </si>
  <si>
    <t>Praça Orlando Camargos</t>
  </si>
  <si>
    <t>Praça Professor José Americano</t>
  </si>
  <si>
    <t>Rua Rosinha Sigaud</t>
  </si>
  <si>
    <t>Praça Pública na confluência das ruas Angaturama com Abaibá</t>
  </si>
  <si>
    <t>Ernesto do Nascimento</t>
  </si>
  <si>
    <t>Praça Rua Alameda das Margaridas</t>
  </si>
  <si>
    <t>Aparecida</t>
  </si>
  <si>
    <t>Rua Alameda das Margaridas</t>
  </si>
  <si>
    <t>Quadra Bairro Atila de Paiva</t>
  </si>
  <si>
    <t>Quadra esportiva da Praça Osvaldo Zucheratte</t>
  </si>
  <si>
    <t>Praça Osvaldo Zucheratte, situado na Avenida Teresa Cristina, 4.517-4.565</t>
  </si>
  <si>
    <t>30180-001</t>
  </si>
  <si>
    <t>Quadra poliesportiva da Praça da Amizade</t>
  </si>
  <si>
    <t>localizada na confluência entre as ruas Alair Pereira de Melo, Rua Mário José Francisco, Rua José Lobato Ferrari, rua Sabem e rua Timor, no Bairro Betânia</t>
  </si>
  <si>
    <t>Rua Sambem</t>
  </si>
  <si>
    <t>Quadra poliesportiva do Complexo Esportivo Salgado Filho</t>
  </si>
  <si>
    <t>Avenida Teresa Cristina, 6849, Salgado Filho</t>
  </si>
  <si>
    <t>Quadra poliesportiva na Avenida Silva Lobo</t>
  </si>
  <si>
    <t>Sao Jorge II</t>
  </si>
  <si>
    <t>Avenida Silva Lobo</t>
  </si>
  <si>
    <t>Quadra poliesportiva no Parque Ageo Pio Sobrinho</t>
  </si>
  <si>
    <t>Av. Professor Mário Werneck, 2691 - Buritis, Belo Horizonte - MG, 30575-180</t>
  </si>
  <si>
    <t>Av. Professor Mário Werneck</t>
  </si>
  <si>
    <t>30575-180</t>
  </si>
  <si>
    <t>Quadra Rua Romero Gomes Vieira</t>
  </si>
  <si>
    <t>Mangueiras</t>
  </si>
  <si>
    <t>Avenida Serrinha</t>
  </si>
  <si>
    <t>Quilombo Luízes</t>
  </si>
  <si>
    <t>rua Alves Pinto, 345 – Bairro Grajaú</t>
  </si>
  <si>
    <t>Rua Alves Pinto</t>
  </si>
  <si>
    <t>Quilombo Mangueiras</t>
  </si>
  <si>
    <t>Rod. Camilo Teixeira da Costa - Novo Aarão Reis, Belo Horizonte - MG, 31872-055</t>
  </si>
  <si>
    <t>Rodovia Camilo Teixeira da Costa</t>
  </si>
  <si>
    <t>31872-055</t>
  </si>
  <si>
    <t>Quilombo Manzo Ngunzo Kaiango</t>
  </si>
  <si>
    <t>R. São Tiago, 216 - Santa Efigênia, Belo Horizonte - MG, 30260-500</t>
  </si>
  <si>
    <t>Rua São Tiago</t>
  </si>
  <si>
    <t>30260-500</t>
  </si>
  <si>
    <t>Quilombo Matia</t>
  </si>
  <si>
    <t>R. Eurita, 674 - Santa Tereza, Belo Horizonte - MG, 31010-210</t>
  </si>
  <si>
    <t>Rua Eurita</t>
  </si>
  <si>
    <t>31010-210</t>
  </si>
  <si>
    <t>Quilombo Souza</t>
  </si>
  <si>
    <t>R. Teixeira Soares, 985 - a 1005 - Santa Tereza, Belo Horizonte - MG, 31015-040</t>
  </si>
  <si>
    <t>Rua Teixeira Soares</t>
  </si>
  <si>
    <t>31015-040</t>
  </si>
  <si>
    <t>Rua Amarílis, no Bairro Pindorama</t>
  </si>
  <si>
    <t>Rua Amarílis</t>
  </si>
  <si>
    <t>Rua Antônio Carlos Coutinho, no Bairro Pindorama</t>
  </si>
  <si>
    <t>2022_JOSE_FERREIRA_688_01; 2022_JOSE_FERREIRA_689_01</t>
  </si>
  <si>
    <t>Rua Antônio Carlos Coutinho , no Bairro Pindorama</t>
  </si>
  <si>
    <t>Rua Antônio Carlos Coutinho</t>
  </si>
  <si>
    <t>Rua Antônio Henrique Alves 191</t>
  </si>
  <si>
    <t>Rua Antônio Henrique Alves</t>
  </si>
  <si>
    <t>Rua Arcabouço, no Bairro Pindorama</t>
  </si>
  <si>
    <t>Rua Arcabouço</t>
  </si>
  <si>
    <t>Olaria</t>
  </si>
  <si>
    <t>Rua Babaçu</t>
  </si>
  <si>
    <t>Rua Baltazar Pyramo, no Bairro Santa Helena</t>
  </si>
  <si>
    <t>Santa Helena</t>
  </si>
  <si>
    <t>Rua Baltazar Pyramo</t>
  </si>
  <si>
    <t>Rua Bem Viver, Bonsucesso</t>
  </si>
  <si>
    <t>Rua Bem Viver (Código de Logradouro 303858), no trecho situado entre as ruas da Felicidade e da Paz, com extensão aproximada de 385m, no Bairro Jardim Liberdade, Região do Bonsucesso - Barreiro</t>
  </si>
  <si>
    <t>Rua Bem Viver</t>
  </si>
  <si>
    <t>Rua Camassari, Milionarios</t>
  </si>
  <si>
    <t>Rua Camassari</t>
  </si>
  <si>
    <t>Rua Carlos Tomás</t>
  </si>
  <si>
    <t>Rua Cerro Cora</t>
  </si>
  <si>
    <t>Rua Clívia, no Bairro Olaria</t>
  </si>
  <si>
    <t>Rua Clívia</t>
  </si>
  <si>
    <t>Rua Conselheiro Lafaiete, no trecho entre as ruas São Luiz e Avenida Petrolina Bairro Sagrada Família</t>
  </si>
  <si>
    <t>Sagrada Familia</t>
  </si>
  <si>
    <t>Rua Conselheiro Lafaiete</t>
  </si>
  <si>
    <t>Rua Cora Coralina, no Bairro Santa Helena</t>
  </si>
  <si>
    <t>Rua Cora Coralina</t>
  </si>
  <si>
    <t>Rua dos Afonsos, no bairro Boa Vista</t>
  </si>
  <si>
    <t>Rua dos Afonsos</t>
  </si>
  <si>
    <t>Rua Elza Beatriz de Araújo,que interliga à Rua Tereza Mota Valadares com a Rua Maria Heilbuth Surette</t>
  </si>
  <si>
    <t>Rua Elza Beatriz de Araújo</t>
  </si>
  <si>
    <t>30575-165</t>
  </si>
  <si>
    <t>Rua Felipe Alencar de Souza, no Bairro Conjunto Renato Ernesto</t>
  </si>
  <si>
    <t>Rua Felipe Alencar de Souza, em toda sua extensão, com dimensão aproximada de 150m (cento e cinquenta metros) de comprimento por 8m (oito metros) de largura, no Bairro Conjunto Renato Ernesto</t>
  </si>
  <si>
    <t>Rua Felipe Alencar de Souza</t>
  </si>
  <si>
    <t>Rua Geraldo Costa, no Bairro Independência</t>
  </si>
  <si>
    <t>Rua Geraldo Costa, no trecho situado entre as ruas Pacífico Cardoso de Andrade e Maria Rita Borges, com dimensão aproximada de 95m de comprimento por 8.5m de largura, no Bairro Independência – CEP: 30.672-720</t>
  </si>
  <si>
    <t>Rua Geraldo Costa</t>
  </si>
  <si>
    <t>30672-720</t>
  </si>
  <si>
    <t>Rua Guarda Custódio, no Bairro Ouro Preto</t>
  </si>
  <si>
    <t>Rua Guarda Custódio</t>
  </si>
  <si>
    <t>Rua Jacuípe, no trecho situado entre as ruas Itaquera e Itapeva, bairro Concórdia</t>
  </si>
  <si>
    <t>Rua Jacuípe</t>
  </si>
  <si>
    <t>Rua Jeribá, no Bairro Olaria</t>
  </si>
  <si>
    <t>Rua Jeribá</t>
  </si>
  <si>
    <t>Rua João Bernardino Santos, no Bairro Paquetá</t>
  </si>
  <si>
    <t>Paqueta</t>
  </si>
  <si>
    <t>Rua João Bernardino Santos</t>
  </si>
  <si>
    <t>Rua José Ribeiro Filho, no Bairro Ouro Preto</t>
  </si>
  <si>
    <t>Rua José Ribeiro Filho, no trecho situado entre as ruas Povoa de Varzim e Rua Manoel Elias de Aguiar, com dimensão aproximada de 450m (quatrocentos e cinquenta metros) de comprimento por 8m (oito metros) de largura, no Bairro Ouro Preto</t>
  </si>
  <si>
    <t>Rua José Ribeiro Filho</t>
  </si>
  <si>
    <t>Rua Mantiqueira, Bonsucesso</t>
  </si>
  <si>
    <t>Rua Mantiqueira (Código de Logradouro 303859), no trecho situado entre as ruas da Felicidade e Madureira, com extensão aproximada de 335m, no Bairro Jardim Liberdade, Região do Bonsucesso - Barreiro</t>
  </si>
  <si>
    <t>Rua Mantiqueira</t>
  </si>
  <si>
    <t>Rua Márcio Maia Ferreira, que interliga à Av. Professor Mário Werneck com a Rua Eli Seabra Filho</t>
  </si>
  <si>
    <t>Rua Márcio Maia Ferreira</t>
  </si>
  <si>
    <t>Rua Minduri no trecho entre as ruas Vicente Risola e rua Timóteo Bairro Santa Inês</t>
  </si>
  <si>
    <t>Rua Minduri</t>
  </si>
  <si>
    <t>Rua Mirante no Bairro Boa Vista</t>
  </si>
  <si>
    <t>Rua Mirante</t>
  </si>
  <si>
    <t>Rua Pedro Moreira de Abreu, no Bairro Ouro Preto</t>
  </si>
  <si>
    <t>Rua Pedro Moreira de Abreu</t>
  </si>
  <si>
    <t>Rua Pérsio Babo de Rezende, no Bairro Ouro Preto</t>
  </si>
  <si>
    <t>Rua Pérsio Babo de Rezende</t>
  </si>
  <si>
    <t>Rua Prateada, bairro Alto dos Pinheiros</t>
  </si>
  <si>
    <t>2022_FERNANDO_LUIZ_115_01; 2022_FLAVIA_BORJA_177_01</t>
  </si>
  <si>
    <t>Rua Prateada</t>
  </si>
  <si>
    <t>Rua Pureza no trecho entre rua Bolonha e Avenida Petrolina Bairro Horto</t>
  </si>
  <si>
    <t>Rua Pureza</t>
  </si>
  <si>
    <t>Rua Real Madrid, no bairro Sao Salvador</t>
  </si>
  <si>
    <t>Rua Real Madrid</t>
  </si>
  <si>
    <t>Rua Salomão Rodrigues da Silva, no Bairro Paquetá</t>
  </si>
  <si>
    <t>Rua Salomão Rodrigues da Silva</t>
  </si>
  <si>
    <t>Rua Santa Juliana, Salgado Filho</t>
  </si>
  <si>
    <t>Rua Santa Juliana, no trecho situado entre as ruas Magi Salomon e Maria da Fé, no bairro Salgado Filho</t>
  </si>
  <si>
    <t>Rua Santa Juliana</t>
  </si>
  <si>
    <t>Rua São João, Flavio Marques Lisboa</t>
  </si>
  <si>
    <t>Rua São João, no trecho situado entre as ruas Natalia e Avenida Menelick de Carvalho, com extensão aproximada de 180m (cento e oitenta metros), no Bairro Flavio Marques Lisboa</t>
  </si>
  <si>
    <t>Rua São João</t>
  </si>
  <si>
    <t>Rua Saquarema, no trecho situado entre as ruas Jequiriçá e Juparanã, bairro Concordia</t>
  </si>
  <si>
    <t>Rua Saquarema</t>
  </si>
  <si>
    <t>Rua Silvestre Teodoro de Souza, Independencia</t>
  </si>
  <si>
    <t>Rua Silvestre Teodoro de Souza, no trecho situado entre as ruas Professora Dirce Maria e Joana Lopes dos Santos no bairro Independência</t>
  </si>
  <si>
    <t>Rua Silvestre Teodoro de Souza</t>
  </si>
  <si>
    <t>Rua Taguatinga, Araguaia</t>
  </si>
  <si>
    <t>Rua Taguatinga, no trecho situado entre as ruas Doutor Cristiano Rezende e José Luis Dias Duarte no bairro Araguaia</t>
  </si>
  <si>
    <t>Araguaia</t>
  </si>
  <si>
    <t>Rua Taguatinga</t>
  </si>
  <si>
    <t>Rua Três, bairro Betânia</t>
  </si>
  <si>
    <t>Rua Três</t>
  </si>
  <si>
    <t>Rua VDP3981, que interliga a Rua Deputado Sebastião Nascimento com a Rua Deputado Fábio Vasconcelos</t>
  </si>
  <si>
    <t>2022_BRAULIO_LARA_741_01; 2022_BRAULIO_LARA_743_01</t>
  </si>
  <si>
    <t>Rua VDP3981</t>
  </si>
  <si>
    <t>Rua Vereador Antônio Menezes, bairro Independencia</t>
  </si>
  <si>
    <t>2022_FERNANDO_LUIZ_116_01; 2022_FLAVIA_BORJA_178_01</t>
  </si>
  <si>
    <t>Rua Vereador Antônio Menezes</t>
  </si>
  <si>
    <t>Rua Vereador Antônio Menezes, próximo ao número 660 (escadão) no bairro Independência, regional Barreiro</t>
  </si>
  <si>
    <t>Rua Vime, Bonsucesso</t>
  </si>
  <si>
    <t>Rua Vime</t>
  </si>
  <si>
    <t>Rua Visconde de Mauá, esquina com Rua Francisco Teles</t>
  </si>
  <si>
    <t>Rua Washington Luiz 1530</t>
  </si>
  <si>
    <t>Rua Washington Luiz</t>
  </si>
  <si>
    <t>2022_BRAULIO_LARA_836_01; 2022_CLAUDIO_DO_MUNDO_NOVO_163_01; 2022_DR_CELIO_FROIS_633_01; 2022_HENRIQUE_BRAGA_573_01; 2022_IRLAN_MELO_615_01; 2022_IRLAN_MELO_704_01; 2022_MARILDA_PORTELA_514_01; 2022_MILTINHO_CGE_668_01; 2022_NELY_AQUINO_425_01; 2022_WILSINHO_DA_TABU_456_01</t>
  </si>
  <si>
    <t>Av. Francisco Sales, 1111 - Santa Efigênia, Belo Horizonte - MG, 30150-223</t>
  </si>
  <si>
    <t>Avenida Francisco Sales</t>
  </si>
  <si>
    <t>30150-223</t>
  </si>
  <si>
    <t>R. W-3, 500 - Pongelupe, Belo Horizonte - MG, 30628-175</t>
  </si>
  <si>
    <t>Pongelupe</t>
  </si>
  <si>
    <t>Rua W3</t>
  </si>
  <si>
    <t>30628-175</t>
  </si>
  <si>
    <t>2022_HELINHO_DA_FARMACIA_470_01; 2022_HENRIQUE_BRAGA_428_01</t>
  </si>
  <si>
    <t>Rua Aurélio Lopes, 20 - Bairro Diamante - Barreiro</t>
  </si>
  <si>
    <t>Rua Aurélio Lopes</t>
  </si>
  <si>
    <t>30627-204</t>
  </si>
  <si>
    <t>UPA Leste</t>
  </si>
  <si>
    <t>2022_GILSON_GUIMARAES_426_01; 2022_WILSINHO_DA_TABU_571_01</t>
  </si>
  <si>
    <t>Av. dos Andradas, 7260 - Vera Cruz, Belo Horizonte - MG, 30120-010</t>
  </si>
  <si>
    <t>Avenida dos Andradas</t>
  </si>
  <si>
    <t>30120-010</t>
  </si>
  <si>
    <t>UPA Oeste</t>
  </si>
  <si>
    <t>Av. Barão Homem de Melo, 1710 - Jardim América, Belo Horizonte - MG, 30160-090</t>
  </si>
  <si>
    <t>Avenida Barão Homem de Melo</t>
  </si>
  <si>
    <t>30160-090</t>
  </si>
  <si>
    <t>UPA Pampulha</t>
  </si>
  <si>
    <t>Avenida Santa Terezinha, nº 515, no bairro Santa Terezinha</t>
  </si>
  <si>
    <t>Viaduto Dezenove</t>
  </si>
  <si>
    <t>Rodovia Juscelino Kubitschek</t>
  </si>
  <si>
    <t>ID_LOCALIDADE</t>
  </si>
  <si>
    <t>LOC_1</t>
  </si>
  <si>
    <t>LOC_2</t>
  </si>
  <si>
    <t>LOC_3</t>
  </si>
  <si>
    <t>LOC_4</t>
  </si>
  <si>
    <t>LOC_5</t>
  </si>
  <si>
    <t>LOC_6</t>
  </si>
  <si>
    <t>LOC_7</t>
  </si>
  <si>
    <t>LOC_8</t>
  </si>
  <si>
    <t>LOC_9</t>
  </si>
  <si>
    <t>LOC_10</t>
  </si>
  <si>
    <t>LOC_11</t>
  </si>
  <si>
    <t>LOC_12</t>
  </si>
  <si>
    <t>LOC_13</t>
  </si>
  <si>
    <t>LOC_14</t>
  </si>
  <si>
    <t>LOC_15</t>
  </si>
  <si>
    <t>LOC_16</t>
  </si>
  <si>
    <t>LOC_17</t>
  </si>
  <si>
    <t>LOC_18</t>
  </si>
  <si>
    <t>LOC_19</t>
  </si>
  <si>
    <t>LOC_20</t>
  </si>
  <si>
    <t>LOC_21</t>
  </si>
  <si>
    <t>LOC_22</t>
  </si>
  <si>
    <t>LOC_23</t>
  </si>
  <si>
    <t>LOC_24</t>
  </si>
  <si>
    <t>LOC_25</t>
  </si>
  <si>
    <t>LOC_26</t>
  </si>
  <si>
    <t>LOC_27</t>
  </si>
  <si>
    <t>LOC_28</t>
  </si>
  <si>
    <t>LOC_29</t>
  </si>
  <si>
    <t>LOC_30</t>
  </si>
  <si>
    <t>LOC_31</t>
  </si>
  <si>
    <t>LOC_32</t>
  </si>
  <si>
    <t>LOC_33</t>
  </si>
  <si>
    <t>LOC_34</t>
  </si>
  <si>
    <t>LOC_35</t>
  </si>
  <si>
    <t>LOC_36</t>
  </si>
  <si>
    <t>LOC_37</t>
  </si>
  <si>
    <t>LOC_38</t>
  </si>
  <si>
    <t>LOC_39</t>
  </si>
  <si>
    <t>LOC_40</t>
  </si>
  <si>
    <t>LOC_41</t>
  </si>
  <si>
    <t>LOC_42</t>
  </si>
  <si>
    <t>LOC_43</t>
  </si>
  <si>
    <t>LOC_44</t>
  </si>
  <si>
    <t>LOC_45</t>
  </si>
  <si>
    <t>LOC_46</t>
  </si>
  <si>
    <t>LOC_47</t>
  </si>
  <si>
    <t>LOC_48</t>
  </si>
  <si>
    <t>LOC_49</t>
  </si>
  <si>
    <t>LOC_50</t>
  </si>
  <si>
    <t>LOC_51</t>
  </si>
  <si>
    <t>LOC_52</t>
  </si>
  <si>
    <t>LOC_53</t>
  </si>
  <si>
    <t>LOC_54</t>
  </si>
  <si>
    <t>LOC_55</t>
  </si>
  <si>
    <t>LOC_56</t>
  </si>
  <si>
    <t>LOC_57</t>
  </si>
  <si>
    <t>LOC_58</t>
  </si>
  <si>
    <t>LOC_59</t>
  </si>
  <si>
    <t>LOC_60</t>
  </si>
  <si>
    <t>LOC_61</t>
  </si>
  <si>
    <t>LOC_62</t>
  </si>
  <si>
    <t>LOC_63</t>
  </si>
  <si>
    <t>LOC_64</t>
  </si>
  <si>
    <t>LOC_65</t>
  </si>
  <si>
    <t>LOC_66</t>
  </si>
  <si>
    <t>LOC_67</t>
  </si>
  <si>
    <t>LOC_68</t>
  </si>
  <si>
    <t>LOC_69</t>
  </si>
  <si>
    <t>LOC_70</t>
  </si>
  <si>
    <t>LOC_71</t>
  </si>
  <si>
    <t>LOC_72</t>
  </si>
  <si>
    <t>LOC_73</t>
  </si>
  <si>
    <t>LOC_74</t>
  </si>
  <si>
    <t>LOC_75</t>
  </si>
  <si>
    <t>LOC_76</t>
  </si>
  <si>
    <t>LOC_77</t>
  </si>
  <si>
    <t>LOC_78</t>
  </si>
  <si>
    <t>LOC_79</t>
  </si>
  <si>
    <t>LOC_80</t>
  </si>
  <si>
    <t>LOC_81</t>
  </si>
  <si>
    <t>LOC_82</t>
  </si>
  <si>
    <t>LOC_83</t>
  </si>
  <si>
    <t>LOC_84</t>
  </si>
  <si>
    <t>LOC_85</t>
  </si>
  <si>
    <t>LOC_86</t>
  </si>
  <si>
    <t>LOC_87</t>
  </si>
  <si>
    <t>LOC_88</t>
  </si>
  <si>
    <t>LOC_89</t>
  </si>
  <si>
    <t>LOC_90</t>
  </si>
  <si>
    <t>LOC_91</t>
  </si>
  <si>
    <t>LOC_92</t>
  </si>
  <si>
    <t>LOC_93</t>
  </si>
  <si>
    <t>LOC_94</t>
  </si>
  <si>
    <t>LOC_95</t>
  </si>
  <si>
    <t>LOC_96</t>
  </si>
  <si>
    <t>LOC_97</t>
  </si>
  <si>
    <t>LOC_98</t>
  </si>
  <si>
    <t>LOC_99</t>
  </si>
  <si>
    <t>LOC_100</t>
  </si>
  <si>
    <t>LOC_101</t>
  </si>
  <si>
    <t>LOC_102</t>
  </si>
  <si>
    <t>LOC_103</t>
  </si>
  <si>
    <t>LOC_104</t>
  </si>
  <si>
    <t>LOC_105</t>
  </si>
  <si>
    <t>LOC_106</t>
  </si>
  <si>
    <t>LOC_107</t>
  </si>
  <si>
    <t>LOC_108</t>
  </si>
  <si>
    <t>LOC_109</t>
  </si>
  <si>
    <t>LOC_110</t>
  </si>
  <si>
    <t>LOC_111</t>
  </si>
  <si>
    <t>LOC_112</t>
  </si>
  <si>
    <t>LOC_113</t>
  </si>
  <si>
    <t>LOC_114</t>
  </si>
  <si>
    <t>LOC_115</t>
  </si>
  <si>
    <t>LOC_116</t>
  </si>
  <si>
    <t>LOC_117</t>
  </si>
  <si>
    <t>LOC_118</t>
  </si>
  <si>
    <t>LOC_119</t>
  </si>
  <si>
    <t>LOC_120</t>
  </si>
  <si>
    <t>LOC_121</t>
  </si>
  <si>
    <t>LOC_122</t>
  </si>
  <si>
    <t>LOC_123</t>
  </si>
  <si>
    <t>LOC_124</t>
  </si>
  <si>
    <t>LOC_125</t>
  </si>
  <si>
    <t>LOC_127</t>
  </si>
  <si>
    <t>LOC_128</t>
  </si>
  <si>
    <t>LOC_129</t>
  </si>
  <si>
    <t>LOC_130</t>
  </si>
  <si>
    <t>LOC_131</t>
  </si>
  <si>
    <t>LOC_132</t>
  </si>
  <si>
    <t>LOC_133</t>
  </si>
  <si>
    <t>LOC_134</t>
  </si>
  <si>
    <t>LOC_135</t>
  </si>
  <si>
    <t>LOC_136</t>
  </si>
  <si>
    <t>LOC_137</t>
  </si>
  <si>
    <t>LOC_138</t>
  </si>
  <si>
    <t>LOC_139</t>
  </si>
  <si>
    <t>LOC_140</t>
  </si>
  <si>
    <t>LOC_141</t>
  </si>
  <si>
    <t>LOC_142</t>
  </si>
  <si>
    <t>LOC_143</t>
  </si>
  <si>
    <t>LOC_144</t>
  </si>
  <si>
    <t>LOC_145</t>
  </si>
  <si>
    <t>LOC_146</t>
  </si>
  <si>
    <t>LOC_147</t>
  </si>
  <si>
    <t>LOC_148</t>
  </si>
  <si>
    <t>LOC_149</t>
  </si>
  <si>
    <t>LOC_150</t>
  </si>
  <si>
    <t>LOC_151</t>
  </si>
  <si>
    <t>LOC_152</t>
  </si>
  <si>
    <t>LOC_153</t>
  </si>
  <si>
    <t>LOC_154</t>
  </si>
  <si>
    <t>LOC_155</t>
  </si>
  <si>
    <t>LOC_156</t>
  </si>
  <si>
    <t>LOC_157</t>
  </si>
  <si>
    <t>LOC_158</t>
  </si>
  <si>
    <t>LOC_159</t>
  </si>
  <si>
    <t>LOC_160</t>
  </si>
  <si>
    <t>LOC_161</t>
  </si>
  <si>
    <t>LOC_162</t>
  </si>
  <si>
    <t>LOC_163</t>
  </si>
  <si>
    <t>LOC_164</t>
  </si>
  <si>
    <t>LOC_165</t>
  </si>
  <si>
    <t>LOC_166</t>
  </si>
  <si>
    <t>LOC_167</t>
  </si>
  <si>
    <t>LOC_168</t>
  </si>
  <si>
    <t>LOC_169</t>
  </si>
  <si>
    <t>LOC_170</t>
  </si>
  <si>
    <t>LOC_171</t>
  </si>
  <si>
    <t>LOC_172</t>
  </si>
  <si>
    <t>LOC_173</t>
  </si>
  <si>
    <t>LOC_174</t>
  </si>
  <si>
    <t>LOC_175</t>
  </si>
  <si>
    <t>LOC_176</t>
  </si>
  <si>
    <t>LOC_177</t>
  </si>
  <si>
    <t>LOC_178</t>
  </si>
  <si>
    <t>LOC_179</t>
  </si>
  <si>
    <t>LOC_180</t>
  </si>
  <si>
    <t>LOC_181</t>
  </si>
  <si>
    <t>LOC_182</t>
  </si>
  <si>
    <t>LOC_183</t>
  </si>
  <si>
    <t>LOC_185</t>
  </si>
  <si>
    <t>LOC_186</t>
  </si>
  <si>
    <t>LOC_187</t>
  </si>
  <si>
    <t>LOC_188</t>
  </si>
  <si>
    <t>LOC_189</t>
  </si>
  <si>
    <t>LOC_190</t>
  </si>
  <si>
    <t>LOC_191</t>
  </si>
  <si>
    <t>LOC_192</t>
  </si>
  <si>
    <t>LOC_193</t>
  </si>
  <si>
    <t>LOC_194</t>
  </si>
  <si>
    <t>LOC_195</t>
  </si>
  <si>
    <t>LOC_196</t>
  </si>
  <si>
    <t>LOC_197</t>
  </si>
  <si>
    <t>LOC_198</t>
  </si>
  <si>
    <t>LOC_199</t>
  </si>
  <si>
    <t>LOC_200</t>
  </si>
  <si>
    <t>LOC_201</t>
  </si>
  <si>
    <t>LOC_202</t>
  </si>
  <si>
    <t>LOC_203</t>
  </si>
  <si>
    <t>LOC_204</t>
  </si>
  <si>
    <t>LOC_205</t>
  </si>
  <si>
    <t>LOC_206</t>
  </si>
  <si>
    <t>LOC_207</t>
  </si>
  <si>
    <t>LOC_208</t>
  </si>
  <si>
    <t>LOC_209</t>
  </si>
  <si>
    <t>LOC_210</t>
  </si>
  <si>
    <t>LOC_211</t>
  </si>
  <si>
    <t>LOC_212</t>
  </si>
  <si>
    <t>LOC_213</t>
  </si>
  <si>
    <t>LOC_214</t>
  </si>
  <si>
    <t>LOC_215</t>
  </si>
  <si>
    <t>LOC_216</t>
  </si>
  <si>
    <t>LOC_217</t>
  </si>
  <si>
    <t>LOC_218</t>
  </si>
  <si>
    <t>LOC_219</t>
  </si>
  <si>
    <t>LOC_220</t>
  </si>
  <si>
    <t>LOC_221</t>
  </si>
  <si>
    <t>LOC_222</t>
  </si>
  <si>
    <t>LOC_223</t>
  </si>
  <si>
    <t>LOC_224</t>
  </si>
  <si>
    <t>LOC_225</t>
  </si>
  <si>
    <t>LOC_226</t>
  </si>
  <si>
    <t>LOC_227</t>
  </si>
  <si>
    <t>LOC_228</t>
  </si>
  <si>
    <t>LOC_229</t>
  </si>
  <si>
    <t>LOC_230</t>
  </si>
  <si>
    <t>LOC_231</t>
  </si>
  <si>
    <t>LOC_232</t>
  </si>
  <si>
    <t>LOC_233</t>
  </si>
  <si>
    <t>LOC_234</t>
  </si>
  <si>
    <t>LOC_235</t>
  </si>
  <si>
    <t>LOC_236</t>
  </si>
  <si>
    <t>LOC_237</t>
  </si>
  <si>
    <t>LOC_238</t>
  </si>
  <si>
    <t>LOC_239</t>
  </si>
  <si>
    <t>LOC_240</t>
  </si>
  <si>
    <t>LOC_241</t>
  </si>
  <si>
    <t>LOC_242</t>
  </si>
  <si>
    <t>LOC_243</t>
  </si>
  <si>
    <t>LOC_244</t>
  </si>
  <si>
    <t>LOC_245</t>
  </si>
  <si>
    <t>LOC_246</t>
  </si>
  <si>
    <t>LOC_247</t>
  </si>
  <si>
    <t>LOC_248</t>
  </si>
  <si>
    <t>LOC_249</t>
  </si>
  <si>
    <t>LOC_250</t>
  </si>
  <si>
    <t>LOC_251</t>
  </si>
  <si>
    <t>LOC_252</t>
  </si>
  <si>
    <t>LOC_253</t>
  </si>
  <si>
    <t>LOC_254</t>
  </si>
  <si>
    <t>LOC_255</t>
  </si>
  <si>
    <t>LOC_256</t>
  </si>
  <si>
    <t>LOC_257</t>
  </si>
  <si>
    <t>LOC_258</t>
  </si>
  <si>
    <t>LOC_259</t>
  </si>
  <si>
    <t>LOC_260</t>
  </si>
  <si>
    <t>LOC_261</t>
  </si>
  <si>
    <t>LOC_262</t>
  </si>
  <si>
    <t>LOC_263</t>
  </si>
  <si>
    <t>LOC_264</t>
  </si>
  <si>
    <t>LOC_265</t>
  </si>
  <si>
    <t>LOC_266</t>
  </si>
  <si>
    <t>LOC_267</t>
  </si>
  <si>
    <t>LOC_268</t>
  </si>
  <si>
    <t>LOC_269</t>
  </si>
  <si>
    <t>LOC_270</t>
  </si>
  <si>
    <t>LOC_271</t>
  </si>
  <si>
    <t>LOC_272</t>
  </si>
  <si>
    <t>LOC_273</t>
  </si>
  <si>
    <t>LOC_274</t>
  </si>
  <si>
    <t>LOC_275</t>
  </si>
  <si>
    <t>LOC_276</t>
  </si>
  <si>
    <t>LOC_277</t>
  </si>
  <si>
    <t>LOC_278</t>
  </si>
  <si>
    <t>LOC_279</t>
  </si>
  <si>
    <t>LOC_280</t>
  </si>
  <si>
    <t>LOC_281</t>
  </si>
  <si>
    <t>LOC_282</t>
  </si>
  <si>
    <t>LOC_283</t>
  </si>
  <si>
    <t>LOC_284</t>
  </si>
  <si>
    <t>LOC_285</t>
  </si>
  <si>
    <t>LOC_286</t>
  </si>
  <si>
    <t>LOC_287</t>
  </si>
  <si>
    <t>LOC_288</t>
  </si>
  <si>
    <t>LOC_289</t>
  </si>
  <si>
    <t>LOC_290</t>
  </si>
  <si>
    <t>LOC_291</t>
  </si>
  <si>
    <t>LOC_292</t>
  </si>
  <si>
    <t>LOC_293</t>
  </si>
  <si>
    <t>LOC_294</t>
  </si>
  <si>
    <t>LOC_295</t>
  </si>
  <si>
    <t>LOC_296</t>
  </si>
  <si>
    <t>LOC_297</t>
  </si>
  <si>
    <t>LOC_298</t>
  </si>
  <si>
    <t>LOC_299</t>
  </si>
  <si>
    <t>LOC_300</t>
  </si>
  <si>
    <t>LOC_301</t>
  </si>
  <si>
    <t>LOC_302</t>
  </si>
  <si>
    <t>LOC_303</t>
  </si>
  <si>
    <t>LOC_304</t>
  </si>
  <si>
    <t>LOC_305</t>
  </si>
  <si>
    <t>LOC_306</t>
  </si>
  <si>
    <t>LOC_307</t>
  </si>
  <si>
    <t>LOC_308</t>
  </si>
  <si>
    <t>LOC_309</t>
  </si>
  <si>
    <t>LOC_310</t>
  </si>
  <si>
    <t>LOC_311</t>
  </si>
  <si>
    <t>LOC_312</t>
  </si>
  <si>
    <t>LOC_313</t>
  </si>
  <si>
    <t>LOC_314</t>
  </si>
  <si>
    <t>LOC_315</t>
  </si>
  <si>
    <t>LOC_316</t>
  </si>
  <si>
    <t>LOC_317</t>
  </si>
  <si>
    <t>LOC_318</t>
  </si>
  <si>
    <t>LOC_319</t>
  </si>
  <si>
    <t>LOC_320</t>
  </si>
  <si>
    <t>LOC_321</t>
  </si>
  <si>
    <t>LOC_322</t>
  </si>
  <si>
    <t>LOC_323</t>
  </si>
  <si>
    <t>LOC_324</t>
  </si>
  <si>
    <t>LOC_325</t>
  </si>
  <si>
    <t>LOC_326</t>
  </si>
  <si>
    <t>LOC_327</t>
  </si>
  <si>
    <t>LOC_328</t>
  </si>
  <si>
    <t>LOC_329</t>
  </si>
  <si>
    <t>LOC_330</t>
  </si>
  <si>
    <t>ID_RELACAO</t>
  </si>
  <si>
    <t>ID_EMENDA</t>
  </si>
  <si>
    <t>ENDERECO_PADRONIZADO</t>
  </si>
  <si>
    <t>BAIRRO</t>
  </si>
  <si>
    <t>REGIONAL</t>
  </si>
  <si>
    <t>TERRITORIO</t>
  </si>
  <si>
    <t>LOGRADOURO</t>
  </si>
  <si>
    <t>NUMERO</t>
  </si>
  <si>
    <t>CEP</t>
  </si>
  <si>
    <t>LATITUDE</t>
  </si>
  <si>
    <t>LONGITUDE</t>
  </si>
  <si>
    <t>COORDENADA_X</t>
  </si>
  <si>
    <t>COORDENADA_Y</t>
  </si>
  <si>
    <t>REL_001</t>
  </si>
  <si>
    <t>REL_002</t>
  </si>
  <si>
    <t>REL_003</t>
  </si>
  <si>
    <t>REL_004</t>
  </si>
  <si>
    <t>REL_005</t>
  </si>
  <si>
    <t>REL_006</t>
  </si>
  <si>
    <t>REL_007</t>
  </si>
  <si>
    <t>REL_008</t>
  </si>
  <si>
    <t>REL_009</t>
  </si>
  <si>
    <t>REL_010</t>
  </si>
  <si>
    <t>REL_011</t>
  </si>
  <si>
    <t>REL_012</t>
  </si>
  <si>
    <t>REL_013</t>
  </si>
  <si>
    <t>REL_014</t>
  </si>
  <si>
    <t>REL_015</t>
  </si>
  <si>
    <t>REL_016</t>
  </si>
  <si>
    <t>REL_017</t>
  </si>
  <si>
    <t>REL_018</t>
  </si>
  <si>
    <t>REL_019</t>
  </si>
  <si>
    <t>REL_020</t>
  </si>
  <si>
    <t>REL_021</t>
  </si>
  <si>
    <t>REL_022</t>
  </si>
  <si>
    <t>REL_023</t>
  </si>
  <si>
    <t>REL_024</t>
  </si>
  <si>
    <t>REL_025</t>
  </si>
  <si>
    <t>REL_026</t>
  </si>
  <si>
    <t>REL_027</t>
  </si>
  <si>
    <t>REL_028</t>
  </si>
  <si>
    <t>REL_029</t>
  </si>
  <si>
    <t>REL_030</t>
  </si>
  <si>
    <t>REL_031</t>
  </si>
  <si>
    <t>REL_032</t>
  </si>
  <si>
    <t>REL_033</t>
  </si>
  <si>
    <t>REL_034</t>
  </si>
  <si>
    <t>REL_035</t>
  </si>
  <si>
    <t>REL_036</t>
  </si>
  <si>
    <t>REL_037</t>
  </si>
  <si>
    <t>REL_038</t>
  </si>
  <si>
    <t>REL_039</t>
  </si>
  <si>
    <t>REL_040</t>
  </si>
  <si>
    <t>REL_041</t>
  </si>
  <si>
    <t>REL_042</t>
  </si>
  <si>
    <t>REL_043</t>
  </si>
  <si>
    <t>REL_044</t>
  </si>
  <si>
    <t>REL_045</t>
  </si>
  <si>
    <t>REL_046</t>
  </si>
  <si>
    <t>REL_047</t>
  </si>
  <si>
    <t>REL_048</t>
  </si>
  <si>
    <t>REL_049</t>
  </si>
  <si>
    <t>REL_050</t>
  </si>
  <si>
    <t>REL_051</t>
  </si>
  <si>
    <t>REL_052</t>
  </si>
  <si>
    <t>REL_053</t>
  </si>
  <si>
    <t>REL_054</t>
  </si>
  <si>
    <t>REL_055</t>
  </si>
  <si>
    <t>REL_056</t>
  </si>
  <si>
    <t>REL_057</t>
  </si>
  <si>
    <t>REL_058</t>
  </si>
  <si>
    <t>REL_059</t>
  </si>
  <si>
    <t>REL_060</t>
  </si>
  <si>
    <t>REL_061</t>
  </si>
  <si>
    <t>REL_062</t>
  </si>
  <si>
    <t>REL_063</t>
  </si>
  <si>
    <t>REL_064</t>
  </si>
  <si>
    <t>REL_065</t>
  </si>
  <si>
    <t>REL_066</t>
  </si>
  <si>
    <t>REL_067</t>
  </si>
  <si>
    <t>REL_068</t>
  </si>
  <si>
    <t>REL_069</t>
  </si>
  <si>
    <t>REL_070</t>
  </si>
  <si>
    <t>REL_071</t>
  </si>
  <si>
    <t>REL_072</t>
  </si>
  <si>
    <t>REL_073</t>
  </si>
  <si>
    <t>REL_074</t>
  </si>
  <si>
    <t>REL_075</t>
  </si>
  <si>
    <t>REL_076</t>
  </si>
  <si>
    <t>REL_077</t>
  </si>
  <si>
    <t>REL_078</t>
  </si>
  <si>
    <t>REL_079</t>
  </si>
  <si>
    <t>REL_080</t>
  </si>
  <si>
    <t>REL_081</t>
  </si>
  <si>
    <t>REL_082</t>
  </si>
  <si>
    <t>REL_083</t>
  </si>
  <si>
    <t>REL_084</t>
  </si>
  <si>
    <t>REL_085</t>
  </si>
  <si>
    <t>REL_086</t>
  </si>
  <si>
    <t>REL_087</t>
  </si>
  <si>
    <t>REL_088</t>
  </si>
  <si>
    <t>REL_089</t>
  </si>
  <si>
    <t>REL_090</t>
  </si>
  <si>
    <t>REL_091</t>
  </si>
  <si>
    <t>REL_092</t>
  </si>
  <si>
    <t>REL_093</t>
  </si>
  <si>
    <t>REL_094</t>
  </si>
  <si>
    <t>REL_095</t>
  </si>
  <si>
    <t>REL_096</t>
  </si>
  <si>
    <t>REL_097</t>
  </si>
  <si>
    <t>REL_098</t>
  </si>
  <si>
    <t>REL_099</t>
  </si>
  <si>
    <t>REL_100</t>
  </si>
  <si>
    <t>REL_101</t>
  </si>
  <si>
    <t>REL_102</t>
  </si>
  <si>
    <t>REL_103</t>
  </si>
  <si>
    <t>REL_104</t>
  </si>
  <si>
    <t>REL_105</t>
  </si>
  <si>
    <t>REL_106</t>
  </si>
  <si>
    <t>REL_107</t>
  </si>
  <si>
    <t>REL_108</t>
  </si>
  <si>
    <t>REL_109</t>
  </si>
  <si>
    <t>REL_110</t>
  </si>
  <si>
    <t>REL_111</t>
  </si>
  <si>
    <t>REL_112</t>
  </si>
  <si>
    <t>REL_113</t>
  </si>
  <si>
    <t>REL_114</t>
  </si>
  <si>
    <t>REL_115</t>
  </si>
  <si>
    <t>REL_116</t>
  </si>
  <si>
    <t>REL_117</t>
  </si>
  <si>
    <t>REL_118</t>
  </si>
  <si>
    <t>REL_119</t>
  </si>
  <si>
    <t>REL_120</t>
  </si>
  <si>
    <t>REL_121</t>
  </si>
  <si>
    <t>REL_122</t>
  </si>
  <si>
    <t>REL_123</t>
  </si>
  <si>
    <t>REL_124</t>
  </si>
  <si>
    <t>REL_125</t>
  </si>
  <si>
    <t>REL_126</t>
  </si>
  <si>
    <t>REL_127</t>
  </si>
  <si>
    <t>REL_128</t>
  </si>
  <si>
    <t>REL_129</t>
  </si>
  <si>
    <t>REL_130</t>
  </si>
  <si>
    <t>REL_131</t>
  </si>
  <si>
    <t>REL_132</t>
  </si>
  <si>
    <t>REL_133</t>
  </si>
  <si>
    <t>REL_134</t>
  </si>
  <si>
    <t>REL_135</t>
  </si>
  <si>
    <t>REL_136</t>
  </si>
  <si>
    <t>REL_137</t>
  </si>
  <si>
    <t>REL_138</t>
  </si>
  <si>
    <t>REL_139</t>
  </si>
  <si>
    <t>REL_140</t>
  </si>
  <si>
    <t>REL_141</t>
  </si>
  <si>
    <t>REL_142</t>
  </si>
  <si>
    <t>REL_143</t>
  </si>
  <si>
    <t>REL_144</t>
  </si>
  <si>
    <t>REL_145</t>
  </si>
  <si>
    <t>REL_146</t>
  </si>
  <si>
    <t>REL_147</t>
  </si>
  <si>
    <t>REL_148</t>
  </si>
  <si>
    <t>REL_149</t>
  </si>
  <si>
    <t>REL_150</t>
  </si>
  <si>
    <t>REL_151</t>
  </si>
  <si>
    <t>REL_152</t>
  </si>
  <si>
    <t>REL_153</t>
  </si>
  <si>
    <t>REL_154</t>
  </si>
  <si>
    <t>REL_155</t>
  </si>
  <si>
    <t>REL_156</t>
  </si>
  <si>
    <t>REL_157</t>
  </si>
  <si>
    <t>REL_158</t>
  </si>
  <si>
    <t>REL_159</t>
  </si>
  <si>
    <t>REL_160</t>
  </si>
  <si>
    <t>REL_161</t>
  </si>
  <si>
    <t>REL_162</t>
  </si>
  <si>
    <t>REL_163</t>
  </si>
  <si>
    <t>REL_164</t>
  </si>
  <si>
    <t>REL_165</t>
  </si>
  <si>
    <t>REL_166</t>
  </si>
  <si>
    <t>REL_167</t>
  </si>
  <si>
    <t>REL_168</t>
  </si>
  <si>
    <t>REL_170</t>
  </si>
  <si>
    <t>REL_171</t>
  </si>
  <si>
    <t>REL_172</t>
  </si>
  <si>
    <t>REL_173</t>
  </si>
  <si>
    <t>REL_174</t>
  </si>
  <si>
    <t>REL_175</t>
  </si>
  <si>
    <t>REL_176</t>
  </si>
  <si>
    <t>REL_177</t>
  </si>
  <si>
    <t>REL_178</t>
  </si>
  <si>
    <t>REL_179</t>
  </si>
  <si>
    <t>REL_180</t>
  </si>
  <si>
    <t>REL_181</t>
  </si>
  <si>
    <t>REL_182</t>
  </si>
  <si>
    <t>REL_183</t>
  </si>
  <si>
    <t>REL_184</t>
  </si>
  <si>
    <t>REL_185</t>
  </si>
  <si>
    <t>REL_186</t>
  </si>
  <si>
    <t>REL_187</t>
  </si>
  <si>
    <t>REL_188</t>
  </si>
  <si>
    <t>REL_189</t>
  </si>
  <si>
    <t>REL_190</t>
  </si>
  <si>
    <t>REL_191</t>
  </si>
  <si>
    <t>REL_192</t>
  </si>
  <si>
    <t>REL_193</t>
  </si>
  <si>
    <t>REL_194</t>
  </si>
  <si>
    <t>REL_195</t>
  </si>
  <si>
    <t>REL_196</t>
  </si>
  <si>
    <t>REL_197</t>
  </si>
  <si>
    <t>REL_198</t>
  </si>
  <si>
    <t>REL_199</t>
  </si>
  <si>
    <t>REL_200</t>
  </si>
  <si>
    <t>REL_201</t>
  </si>
  <si>
    <t>REL_202</t>
  </si>
  <si>
    <t>REL_203</t>
  </si>
  <si>
    <t>REL_204</t>
  </si>
  <si>
    <t>REL_205</t>
  </si>
  <si>
    <t>REL_206</t>
  </si>
  <si>
    <t>REL_207</t>
  </si>
  <si>
    <t>REL_208</t>
  </si>
  <si>
    <t>REL_209</t>
  </si>
  <si>
    <t>REL_210</t>
  </si>
  <si>
    <t>REL_211</t>
  </si>
  <si>
    <t>REL_212</t>
  </si>
  <si>
    <t>REL_213</t>
  </si>
  <si>
    <t>REL_214</t>
  </si>
  <si>
    <t>REL_215</t>
  </si>
  <si>
    <t>REL_216</t>
  </si>
  <si>
    <t>REL_217</t>
  </si>
  <si>
    <t>REL_218</t>
  </si>
  <si>
    <t>REL_219</t>
  </si>
  <si>
    <t>REL_220</t>
  </si>
  <si>
    <t>REL_221</t>
  </si>
  <si>
    <t>REL_222</t>
  </si>
  <si>
    <t>REL_223</t>
  </si>
  <si>
    <t>REL_224</t>
  </si>
  <si>
    <t>REL_225</t>
  </si>
  <si>
    <t>REL_226</t>
  </si>
  <si>
    <t>REL_227</t>
  </si>
  <si>
    <t>REL_229</t>
  </si>
  <si>
    <t>REL_230</t>
  </si>
  <si>
    <t>REL_231</t>
  </si>
  <si>
    <t>REL_232</t>
  </si>
  <si>
    <t>REL_233</t>
  </si>
  <si>
    <t>REL_234</t>
  </si>
  <si>
    <t>REL_235</t>
  </si>
  <si>
    <t>REL_236</t>
  </si>
  <si>
    <t>REL_237</t>
  </si>
  <si>
    <t>REL_238</t>
  </si>
  <si>
    <t>REL_239</t>
  </si>
  <si>
    <t>REL_240</t>
  </si>
  <si>
    <t>REL_241</t>
  </si>
  <si>
    <t>REL_242</t>
  </si>
  <si>
    <t>REL_243</t>
  </si>
  <si>
    <t>REL_244</t>
  </si>
  <si>
    <t>REL_245</t>
  </si>
  <si>
    <t>REL_246</t>
  </si>
  <si>
    <t>REL_247</t>
  </si>
  <si>
    <t>REL_248</t>
  </si>
  <si>
    <t>REL_249</t>
  </si>
  <si>
    <t>REL_250</t>
  </si>
  <si>
    <t>REL_251</t>
  </si>
  <si>
    <t>REL_252</t>
  </si>
  <si>
    <t>REL_253</t>
  </si>
  <si>
    <t>REL_254</t>
  </si>
  <si>
    <t>REL_255</t>
  </si>
  <si>
    <t>REL_256</t>
  </si>
  <si>
    <t>REL_257</t>
  </si>
  <si>
    <t>REL_258</t>
  </si>
  <si>
    <t>REL_259</t>
  </si>
  <si>
    <t>REL_260</t>
  </si>
  <si>
    <t>REL_261</t>
  </si>
  <si>
    <t>REL_262</t>
  </si>
  <si>
    <t>REL_263</t>
  </si>
  <si>
    <t>REL_264</t>
  </si>
  <si>
    <t>REL_265</t>
  </si>
  <si>
    <t>REL_266</t>
  </si>
  <si>
    <t>REL_267</t>
  </si>
  <si>
    <t>REL_268</t>
  </si>
  <si>
    <t>REL_269</t>
  </si>
  <si>
    <t>REL_270</t>
  </si>
  <si>
    <t>REL_271</t>
  </si>
  <si>
    <t>REL_272</t>
  </si>
  <si>
    <t>REL_273</t>
  </si>
  <si>
    <t>REL_274</t>
  </si>
  <si>
    <t>REL_275</t>
  </si>
  <si>
    <t>REL_276</t>
  </si>
  <si>
    <t>REL_277</t>
  </si>
  <si>
    <t>REL_278</t>
  </si>
  <si>
    <t>REL_279</t>
  </si>
  <si>
    <t>REL_280</t>
  </si>
  <si>
    <t>REL_281</t>
  </si>
  <si>
    <t>REL_282</t>
  </si>
  <si>
    <t>REL_283</t>
  </si>
  <si>
    <t>REL_284</t>
  </si>
  <si>
    <t>REL_285</t>
  </si>
  <si>
    <t>REL_286</t>
  </si>
  <si>
    <t>REL_287</t>
  </si>
  <si>
    <t>REL_288</t>
  </si>
  <si>
    <t>REL_289</t>
  </si>
  <si>
    <t>REL_290</t>
  </si>
  <si>
    <t>REL_291</t>
  </si>
  <si>
    <t>REL_292</t>
  </si>
  <si>
    <t>REL_293</t>
  </si>
  <si>
    <t>REL_294</t>
  </si>
  <si>
    <t>REL_295</t>
  </si>
  <si>
    <t>REL_296</t>
  </si>
  <si>
    <t>REL_297</t>
  </si>
  <si>
    <t>REL_298</t>
  </si>
  <si>
    <t>REL_299</t>
  </si>
  <si>
    <t>REL_300</t>
  </si>
  <si>
    <t>REL_301</t>
  </si>
  <si>
    <t>REL_302</t>
  </si>
  <si>
    <t>REL_303</t>
  </si>
  <si>
    <t>REL_304</t>
  </si>
  <si>
    <t>REL_305</t>
  </si>
  <si>
    <t>REL_306</t>
  </si>
  <si>
    <t>REL_307</t>
  </si>
  <si>
    <t>REL_308</t>
  </si>
  <si>
    <t>REL_309</t>
  </si>
  <si>
    <t>REL_310</t>
  </si>
  <si>
    <t>REL_311</t>
  </si>
  <si>
    <t>REL_312</t>
  </si>
  <si>
    <t>REL_313</t>
  </si>
  <si>
    <t>REL_314</t>
  </si>
  <si>
    <t>REL_315</t>
  </si>
  <si>
    <t>REL_316</t>
  </si>
  <si>
    <t>REL_317</t>
  </si>
  <si>
    <t>REL_318</t>
  </si>
  <si>
    <t>REL_319</t>
  </si>
  <si>
    <t>REL_320</t>
  </si>
  <si>
    <t>REL_321</t>
  </si>
  <si>
    <t>REL_322</t>
  </si>
  <si>
    <t>REL_323</t>
  </si>
  <si>
    <t>REL_324</t>
  </si>
  <si>
    <t>REL_325</t>
  </si>
  <si>
    <t>REL_326</t>
  </si>
  <si>
    <t>REL_327</t>
  </si>
  <si>
    <t>REL_328</t>
  </si>
  <si>
    <t>REL_329</t>
  </si>
  <si>
    <t>REL_330</t>
  </si>
  <si>
    <t>REL_331</t>
  </si>
  <si>
    <t>REL_332</t>
  </si>
  <si>
    <t>REL_333</t>
  </si>
  <si>
    <t>REL_334</t>
  </si>
  <si>
    <t>REL_335</t>
  </si>
  <si>
    <t>REL_336</t>
  </si>
  <si>
    <t>REL_337</t>
  </si>
  <si>
    <t>REL_338</t>
  </si>
  <si>
    <t>REL_339</t>
  </si>
  <si>
    <t>REL_340</t>
  </si>
  <si>
    <t>REL_341</t>
  </si>
  <si>
    <t>REL_342</t>
  </si>
  <si>
    <t>REL_343</t>
  </si>
  <si>
    <t>REL_344</t>
  </si>
  <si>
    <t>REL_345</t>
  </si>
  <si>
    <t>REL_346</t>
  </si>
  <si>
    <t>REL_347</t>
  </si>
  <si>
    <t>REL_348</t>
  </si>
  <si>
    <t>REL_349</t>
  </si>
  <si>
    <t>REL_350</t>
  </si>
  <si>
    <t>REL_351</t>
  </si>
  <si>
    <t>REL_352</t>
  </si>
  <si>
    <t>REL_353</t>
  </si>
  <si>
    <t>REL_354</t>
  </si>
  <si>
    <t>REL_355</t>
  </si>
  <si>
    <t>REL_356</t>
  </si>
  <si>
    <t>REL_357</t>
  </si>
  <si>
    <t>REL_358</t>
  </si>
  <si>
    <t>REL_359</t>
  </si>
  <si>
    <t>REL_360</t>
  </si>
  <si>
    <t>REL_361</t>
  </si>
  <si>
    <t>REL_362</t>
  </si>
  <si>
    <t>REL_363</t>
  </si>
  <si>
    <t>REL_364</t>
  </si>
  <si>
    <t>REL_365</t>
  </si>
  <si>
    <t>REL_366</t>
  </si>
  <si>
    <t>REL_367</t>
  </si>
  <si>
    <t>REL_368</t>
  </si>
  <si>
    <t>REL_369</t>
  </si>
  <si>
    <t>REL_370</t>
  </si>
  <si>
    <t>REL_371</t>
  </si>
  <si>
    <t>REL_372</t>
  </si>
  <si>
    <t>REL_373</t>
  </si>
  <si>
    <t>REL_374</t>
  </si>
  <si>
    <t>REL_375</t>
  </si>
  <si>
    <t>REL_376</t>
  </si>
  <si>
    <t>REL_377</t>
  </si>
  <si>
    <t>REL_378</t>
  </si>
  <si>
    <t>REL_379</t>
  </si>
  <si>
    <t>REL_380</t>
  </si>
  <si>
    <t>REL_381</t>
  </si>
  <si>
    <t>REL_382</t>
  </si>
  <si>
    <t>REL_383</t>
  </si>
  <si>
    <t>REL_384</t>
  </si>
  <si>
    <t>REL_385</t>
  </si>
  <si>
    <t>REL_386</t>
  </si>
  <si>
    <t>REL_387</t>
  </si>
  <si>
    <t>REL_388</t>
  </si>
  <si>
    <t>REL_389</t>
  </si>
  <si>
    <t>REL_390</t>
  </si>
  <si>
    <t>REL_391</t>
  </si>
  <si>
    <t>REL_392</t>
  </si>
  <si>
    <t>REL_393</t>
  </si>
  <si>
    <t>REL_394</t>
  </si>
  <si>
    <t>REL_395</t>
  </si>
  <si>
    <t>REL_396</t>
  </si>
  <si>
    <t>REL_397</t>
  </si>
  <si>
    <t>REL_398</t>
  </si>
  <si>
    <t>REL_399</t>
  </si>
  <si>
    <t>REL_400</t>
  </si>
  <si>
    <t>REL_401</t>
  </si>
  <si>
    <t>REL_402</t>
  </si>
  <si>
    <t>REL_403</t>
  </si>
  <si>
    <t>REL_404</t>
  </si>
  <si>
    <t>REL_405</t>
  </si>
  <si>
    <t>REL_406</t>
  </si>
  <si>
    <t>REL_407</t>
  </si>
  <si>
    <t>REL_408</t>
  </si>
  <si>
    <t>REL_409</t>
  </si>
  <si>
    <t>REL_410</t>
  </si>
  <si>
    <t>REL_411</t>
  </si>
  <si>
    <t>REL_412</t>
  </si>
  <si>
    <t>REL_413</t>
  </si>
  <si>
    <t>REL_414</t>
  </si>
  <si>
    <t>REL_415</t>
  </si>
  <si>
    <t>REL_416</t>
  </si>
  <si>
    <t>REL_417</t>
  </si>
  <si>
    <t>REL_418</t>
  </si>
  <si>
    <t>REL_419</t>
  </si>
  <si>
    <t>REL_420</t>
  </si>
  <si>
    <t>REL_421</t>
  </si>
  <si>
    <t>REL_422</t>
  </si>
  <si>
    <t>REL_423</t>
  </si>
  <si>
    <t>REL_424</t>
  </si>
  <si>
    <t>REL_425</t>
  </si>
  <si>
    <t>REL_426</t>
  </si>
  <si>
    <t>REL_427</t>
  </si>
  <si>
    <t>REL_428</t>
  </si>
  <si>
    <t>REL_429</t>
  </si>
  <si>
    <t>REL_430</t>
  </si>
  <si>
    <t>REL_431</t>
  </si>
  <si>
    <t>REL_432</t>
  </si>
  <si>
    <t>REL_433</t>
  </si>
  <si>
    <t>REL_434</t>
  </si>
  <si>
    <t>REL_435</t>
  </si>
  <si>
    <t>REL_436</t>
  </si>
  <si>
    <t>REL_437</t>
  </si>
  <si>
    <t>REL_438</t>
  </si>
  <si>
    <t>REL_439</t>
  </si>
  <si>
    <t>REL_440</t>
  </si>
  <si>
    <t>REL_441</t>
  </si>
  <si>
    <t>REL_442</t>
  </si>
  <si>
    <t>REL_443</t>
  </si>
  <si>
    <t>REL_444</t>
  </si>
  <si>
    <t>REL_445</t>
  </si>
  <si>
    <t>REL_446</t>
  </si>
  <si>
    <t>REL_447</t>
  </si>
  <si>
    <t>REL_448</t>
  </si>
  <si>
    <t>REL_449</t>
  </si>
  <si>
    <t>REL_450</t>
  </si>
  <si>
    <t>REL_451</t>
  </si>
  <si>
    <t>REL_452</t>
  </si>
  <si>
    <t>REL_453</t>
  </si>
  <si>
    <t>REL_454</t>
  </si>
  <si>
    <t>REL_455</t>
  </si>
  <si>
    <t>REL_456</t>
  </si>
  <si>
    <t>REL_457</t>
  </si>
  <si>
    <t>REL_458</t>
  </si>
  <si>
    <t>REL_459</t>
  </si>
  <si>
    <t>REL_460</t>
  </si>
  <si>
    <t>REL_461</t>
  </si>
  <si>
    <t>REL_462</t>
  </si>
  <si>
    <t>REL_463</t>
  </si>
  <si>
    <t>REL_464</t>
  </si>
  <si>
    <t>data_decisao</t>
  </si>
  <si>
    <t>dimensao</t>
  </si>
  <si>
    <t>duvida</t>
  </si>
  <si>
    <t>decisao_adotada</t>
  </si>
  <si>
    <t>justificativa</t>
  </si>
  <si>
    <t>exemplo_positivo</t>
  </si>
  <si>
    <t>exemplo_negativo</t>
  </si>
  <si>
    <t>subcodigo_relacionado</t>
  </si>
  <si>
    <t>status_regra</t>
  </si>
  <si>
    <t>versao_inicio</t>
  </si>
  <si>
    <t>substituida_por</t>
  </si>
  <si>
    <t>observacoes</t>
  </si>
  <si>
    <t>D001</t>
  </si>
  <si>
    <t>2026-07-10</t>
  </si>
  <si>
    <t>territorialidade e georreferenciamento.</t>
  </si>
  <si>
    <t>uma emenda que menciona equipamento ou instituição específica, mas não apresenta endereço, bairro ou regional, deve ser considerada como possuindo localidade explícita?</t>
  </si>
  <si>
    <t>CASO 1 - endereço explicitamente informado: localidade_explicita = 1; origem_localizacao = TEXTO; georreferenciavel_final = 1; nivel_precisao = ENDEREÇO
Esse caso entra tanto em localidade_explicita = 1 quanto na ampliada e georreferenciacao.                                                                   CASO 2 - regional explicitamente informada: regional também é informação de endereço.   localidade_explicita = 1;
origem_localizacao = TEXTO; georreferenciavel_final = 1; nivel_precisao = REGIONAL. Caso você procure o endereço oficial do Centro de Saúde Pilar: localidade_recuperada_externamente = 1; origem_localizacao = TEXTO + FONTE EXTERNA; nivel_precisao = ENDEREÇO
O dado externo apenas aumenta a precisão. Ele não muda o fato de que a emenda já tinha informação territorial explícita.
CASO 3 - equipamento nomeado, mas sem localidade: “Para reforma do Centro de Saúde XYZ.”  Nesse caso, a emenda contém um referente espacial específico, mas não apresenta a localização no próprio texto.
Classificação: localidade_explicita = 0; referente_espacial_nomeado = 1; georeferenciavel_final =  1                                        CASO 4 - entidade e CNPJ, mas sem local de execução: “Destinação de recurso para o Instituto de Acolhimento Casa do Caminho, CNPJ [...], para atividades socioassistenciais.”: O CNPJ permite identificar a sede cadastral da entidade, mas o endereço da sede não necessariamente corresponde ao local em que as atividades financiadas serão executadas.      Por isso, irei colocar localidade_explicita = 0 e georreferenciavel = 0.</t>
  </si>
  <si>
    <t>D002</t>
  </si>
  <si>
    <t>2026-07-11</t>
  </si>
  <si>
    <t>Redes de drenagem urbana e manejo de águas pluviais</t>
  </si>
  <si>
    <t>Como classificar emendas destinadas à implantação, manutenção, recuperação ou ampliação de redes de drenagem urbana?</t>
  </si>
  <si>
    <t>Classificar em 0711 as emendas cujo objeto substantivo seja a implantação, manutenção, recuperação ou ampliação de estruturas destinadas ao escoamento de águas pluviais e à prevenção ou redução de alagamentos, inundações e erosões urbanas. A obra de infraestrutura é considerada o instrumento de implementação da política de drenagem.</t>
  </si>
  <si>
    <t>exemplo_positivo: “Manutenção de Rede de Drenagem da Rua Edgard Torres – Minas Caixa – Venda Nova” = 0711.</t>
  </si>
  <si>
    <t>D003</t>
  </si>
  <si>
    <t>2025-07-11</t>
  </si>
  <si>
    <t>PRAÇAS</t>
  </si>
  <si>
    <t>COMO CLASSIFICAR PRAÇAS?</t>
  </si>
  <si>
    <t>Parque público, sem finalidade esportiva específica → 2101                                                                                                              Quadra, pista de caminhada, playground ou campo → 2300                                                                                                                 Escadaria, praça ou espaço urbano revitalizado → 1403                                                                                                                        Construção ou revitalização genérica de praça, sem equipamento esportivo ou finalidade ambiental específica → 1403 — Reabilitação urbana e economia urbana.
Praça com pista de caminhada, quadra, playground, academia ao ar livre ou estrutura recreativa → 2300 — Esporte e lazer.
Parque ou área verde com foco em preservação, manutenção ambiental ou espaço natural público → 2101.</t>
  </si>
  <si>
    <t>D004</t>
  </si>
  <si>
    <t>PUBLICO ALVO EM CASO DE MATERNIDADE</t>
  </si>
  <si>
    <t>QUAL SERA O PUBLICO ALVO EM CASO DE MATERNIDADE</t>
  </si>
  <si>
    <t>Mulheres — gestantes, parturientes e puérperas; recém-nascidos</t>
  </si>
  <si>
    <t>D005</t>
  </si>
  <si>
    <t>2026-07-17</t>
  </si>
  <si>
    <t>CASTRAÇÃO DE CAES E GATOS</t>
  </si>
  <si>
    <t>QUAL SERA O SUBCODIGO</t>
  </si>
  <si>
    <t>405: CONTROLE DE DOENÇAS
ANIMAIS
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t>
  </si>
  <si>
    <t>D006</t>
  </si>
  <si>
    <t>2026-07-24</t>
  </si>
  <si>
    <t>CENTRO DE SAUDE ENDEREÇO ANTIGO</t>
  </si>
  <si>
    <t>EM 2023 ERA UM E MUDOU EM 2025</t>
  </si>
  <si>
    <t>PERMANECER COM O TEMPO TEMPORAL CERTO. EXEMPLO:  Centro de Saúde Itamarati. Em 2025 mudou para Avenida Presidente Tancredo Neves, 4.210. Para uma emenda de 2023, utilizei o endereço à época: Centro de Saúde Itamarati, Rua Anita Blumberg, 63, bairro Paquetá, CEP 31340-150.</t>
  </si>
  <si>
    <t>2023_REINALDO_GOMES_PRETO_SACOLAO_972_01</t>
  </si>
  <si>
    <t>D007</t>
  </si>
  <si>
    <t>2026-09-06</t>
  </si>
  <si>
    <t>status/codificação</t>
  </si>
  <si>
    <t>Emendas canceladas devem ficar sem codificação substantiva?</t>
  </si>
  <si>
    <t>Não. O status CANCELADA, por si só, não impede a codificação. Se houver objeto substantivo, codificar normalmente; campos substantivos ficam vazios apenas quando o objeto da emenda estiver vazio.</t>
  </si>
  <si>
    <t>O status administrativo não altera o conteúdo temático original da emenda.</t>
  </si>
  <si>
    <t>VIGENTE</t>
  </si>
  <si>
    <t>2022-2026</t>
  </si>
  <si>
    <t>D008</t>
  </si>
  <si>
    <t>territorialidade e georreferenciamento</t>
  </si>
  <si>
    <t>O endereço cadastral ou sede única da entidade beneficiária basta para GEO=1?</t>
  </si>
  <si>
    <t>Não. GEO=1 exige evidência clara e não ambígua de que o recurso, intervenção, bens ou atividades financiadas estão vinculados ao espaço físico/localidade específica e deve ser possível chegar ao nível de rua. Exceções mais seguras: creches, lares/abrigos e hospitais inequivocamente identificados, quando a natureza do uso torna a execução espacial indissociável da unidade.</t>
  </si>
  <si>
    <t>A regra conservadora evita territorializar projetos móveis, difusos ou externos apenas pela sede administrativa.</t>
  </si>
  <si>
    <t>D009</t>
  </si>
  <si>
    <t>público-alvo</t>
  </si>
  <si>
    <t>Como tratar playgrounds e brinquedos?</t>
  </si>
  <si>
    <t>Playgrounds ou brinquedos recebem publico_alvo_final=1 e público-alvo "Crianças". Quando explicitamente acessíveis, preservar também "Pessoas com deficiência" no resumo.</t>
  </si>
  <si>
    <t>Regra consolidada para harmonização entre anos.</t>
  </si>
  <si>
    <t>LOC_126</t>
  </si>
  <si>
    <t>Rua Eneida, 635 - Bairro Coqueiros</t>
  </si>
  <si>
    <t>LOC_184</t>
  </si>
  <si>
    <t>30525-260</t>
  </si>
  <si>
    <t>REL_169</t>
  </si>
  <si>
    <t>REL_228</t>
  </si>
  <si>
    <t>cultura</t>
  </si>
  <si>
    <t>esporte e lazer</t>
  </si>
  <si>
    <t>cultura_ou_esporte</t>
  </si>
  <si>
    <t xml:space="preserve">LOCALIDADE</t>
  </si>
  <si>
    <t xml:space="preserve">ID_LOCALIDADE</t>
  </si>
  <si>
    <t xml:space="preserve">endereco_padronizado</t>
  </si>
  <si>
    <t xml:space="preserve">bairro</t>
  </si>
  <si>
    <t xml:space="preserve">regional</t>
  </si>
  <si>
    <t xml:space="preserve">territorio</t>
  </si>
  <si>
    <t xml:space="preserve">logradouro</t>
  </si>
  <si>
    <t xml:space="preserve">numero</t>
  </si>
  <si>
    <t xml:space="preserve">cep</t>
  </si>
  <si>
    <t xml:space="preserve">latitude</t>
  </si>
  <si>
    <t xml:space="preserve">longitude</t>
  </si>
  <si>
    <t xml:space="preserve">coordenada_x</t>
  </si>
  <si>
    <t xml:space="preserve">coordenada_y</t>
  </si>
  <si>
    <t xml:space="preserve">34º Batalhão da 1ª Região Policial Militar</t>
  </si>
  <si>
    <t xml:space="preserve">LOC_1</t>
  </si>
  <si>
    <t xml:space="preserve">Av. Américo Vespúcio, 2391, Caiçara</t>
  </si>
  <si>
    <t xml:space="preserve">Caicaras</t>
  </si>
  <si>
    <t xml:space="preserve">NOROESTE</t>
  </si>
  <si>
    <t xml:space="preserve">NO2</t>
  </si>
  <si>
    <t xml:space="preserve">Avenida Américo Vespúcio</t>
  </si>
  <si>
    <t xml:space="preserve">2391</t>
  </si>
  <si>
    <t xml:space="preserve">Academia da Cidade Califórnia</t>
  </si>
  <si>
    <t xml:space="preserve">LOC_2</t>
  </si>
  <si>
    <t xml:space="preserve">Rua dos Violões, nº 570, no bairro Conjunto Califórnia I, Regional Noroeste</t>
  </si>
  <si>
    <t xml:space="preserve">Conjunto California I</t>
  </si>
  <si>
    <t xml:space="preserve">NO3</t>
  </si>
  <si>
    <t xml:space="preserve">Rua dos Violões</t>
  </si>
  <si>
    <t xml:space="preserve">570</t>
  </si>
  <si>
    <t xml:space="preserve">Academia da Cidade Dom Bosco</t>
  </si>
  <si>
    <t xml:space="preserve">LOC_3</t>
  </si>
  <si>
    <t xml:space="preserve">R. Tabapuam, 514 - Dom Bosco, Belo Horizonte - MG, 30830-060</t>
  </si>
  <si>
    <t xml:space="preserve">Dom Bosco</t>
  </si>
  <si>
    <t xml:space="preserve">Rua Tabapuam</t>
  </si>
  <si>
    <t xml:space="preserve">514</t>
  </si>
  <si>
    <t xml:space="preserve">30830-060</t>
  </si>
  <si>
    <t xml:space="preserve">Academia da Cidade Fazendinha</t>
  </si>
  <si>
    <t xml:space="preserve">LOC_4</t>
  </si>
  <si>
    <t xml:space="preserve">Rua Eneida, nº 1485, no bairro Coqueiros, Regional Noroeste</t>
  </si>
  <si>
    <t xml:space="preserve">Coqueiros</t>
  </si>
  <si>
    <t xml:space="preserve">Rua Eneida</t>
  </si>
  <si>
    <t xml:space="preserve">1485</t>
  </si>
  <si>
    <t xml:space="preserve">Academia da Cidade Serrano</t>
  </si>
  <si>
    <t xml:space="preserve">LOC_5</t>
  </si>
  <si>
    <t xml:space="preserve">R. Tocantins, 445 - Conj. Celso Machado, Belo Horizonte - MG, 30882-260</t>
  </si>
  <si>
    <t xml:space="preserve">Conjunto Celso Machado</t>
  </si>
  <si>
    <t xml:space="preserve">PAMPULHA</t>
  </si>
  <si>
    <t xml:space="preserve">P4</t>
  </si>
  <si>
    <t xml:space="preserve">Rua Tocantins</t>
  </si>
  <si>
    <t xml:space="preserve">445</t>
  </si>
  <si>
    <t xml:space="preserve">30882-260</t>
  </si>
  <si>
    <t xml:space="preserve">Academia da Cidade Vila Coqueiral</t>
  </si>
  <si>
    <t xml:space="preserve">LOC_6</t>
  </si>
  <si>
    <t xml:space="preserve">R. Rainha das Flores, 102 - Jardim Filadelfia, Belo Horizonte - MG, 30865-260</t>
  </si>
  <si>
    <t xml:space="preserve">Conjunto Jardim Filadelfia</t>
  </si>
  <si>
    <t xml:space="preserve">Rua Rainha das Flores</t>
  </si>
  <si>
    <t xml:space="preserve">102</t>
  </si>
  <si>
    <t xml:space="preserve">30865-260</t>
  </si>
  <si>
    <t xml:space="preserve">Academia de Polícia Militar de Minas Gerais</t>
  </si>
  <si>
    <t xml:space="preserve">LOC_7</t>
  </si>
  <si>
    <t xml:space="preserve">Rua Diabase, 320 - Bairro: Prado - CEP: 30410-440</t>
  </si>
  <si>
    <t xml:space="preserve">Prado</t>
  </si>
  <si>
    <t xml:space="preserve">OESTE</t>
  </si>
  <si>
    <t xml:space="preserve">O1</t>
  </si>
  <si>
    <t xml:space="preserve">Rua Diabase</t>
  </si>
  <si>
    <t xml:space="preserve">320</t>
  </si>
  <si>
    <t xml:space="preserve">30410-440</t>
  </si>
  <si>
    <t xml:space="preserve">Associação Paradesportiva e Esportiva de Belo Horizonte</t>
  </si>
  <si>
    <t xml:space="preserve">LOC_8</t>
  </si>
  <si>
    <t xml:space="preserve">Rua Conceição Silvana, nº 25, bairro Mantiqueira</t>
  </si>
  <si>
    <t xml:space="preserve">Mantiqueira</t>
  </si>
  <si>
    <t xml:space="preserve">VENDA NOVA</t>
  </si>
  <si>
    <t xml:space="preserve">VN2</t>
  </si>
  <si>
    <t xml:space="preserve">Rua Conceição Silvana</t>
  </si>
  <si>
    <t xml:space="preserve">25</t>
  </si>
  <si>
    <t xml:space="preserve">Avenida Avaí, no bairro Dom Bosco</t>
  </si>
  <si>
    <t xml:space="preserve">LOC_9</t>
  </si>
  <si>
    <t xml:space="preserve">Avenida Avaí, no trecho compreendido entre a Av. Brigadeiro Eduardo Gomes e Rua das Violas, no bairro Dom Bosco na regional Noroeste</t>
  </si>
  <si>
    <t xml:space="preserve">Avenida Avaí</t>
  </si>
  <si>
    <t xml:space="preserve">Avenida José Cândido da Silveira no trecho entre as ruas Conselheiro Lafaiete e Rua Cel. Alberto Gomes</t>
  </si>
  <si>
    <t xml:space="preserve">LOC_10</t>
  </si>
  <si>
    <t xml:space="preserve">Santa Ines</t>
  </si>
  <si>
    <t xml:space="preserve">LESTE</t>
  </si>
  <si>
    <t xml:space="preserve">L1</t>
  </si>
  <si>
    <t xml:space="preserve">Avenida José Cândido da Silveira</t>
  </si>
  <si>
    <t xml:space="preserve">Avenida Sebastião de Brito, bairro Dona Clara</t>
  </si>
  <si>
    <t xml:space="preserve">LOC_11</t>
  </si>
  <si>
    <t xml:space="preserve">Avenida Sebastião de Brito, no trecho entre a Avenida Cristiano Machado e a Rua Irmã Eufêmia, com extensão aproximada de 1420m, no Bairro Dona Clara</t>
  </si>
  <si>
    <t xml:space="preserve">Dona Clara</t>
  </si>
  <si>
    <t xml:space="preserve">P3</t>
  </si>
  <si>
    <t xml:space="preserve">Avenida Sebastião de Brito</t>
  </si>
  <si>
    <t xml:space="preserve">Batalhão de Rondas Táticas Metropolitanas da Polícia Militar de Minas Gerais</t>
  </si>
  <si>
    <t xml:space="preserve">LOC_12</t>
  </si>
  <si>
    <t xml:space="preserve">Avenida do Contorno, 777 - Centro, Belo Horizonte</t>
  </si>
  <si>
    <t xml:space="preserve">Centro</t>
  </si>
  <si>
    <t xml:space="preserve">CENTRO-SUL</t>
  </si>
  <si>
    <t xml:space="preserve">CS1</t>
  </si>
  <si>
    <t xml:space="preserve">Avenida do Contorno</t>
  </si>
  <si>
    <t xml:space="preserve">777</t>
  </si>
  <si>
    <t xml:space="preserve">Beco Caim</t>
  </si>
  <si>
    <t xml:space="preserve">LOC_13</t>
  </si>
  <si>
    <t xml:space="preserve">Beco Caim, confluência à Rua Fernão Dias, n. 1094, entre as Ruas Leopoldo Gomes e Tebas</t>
  </si>
  <si>
    <t xml:space="preserve">Casa Branca</t>
  </si>
  <si>
    <t xml:space="preserve">Rua Fernão Dias</t>
  </si>
  <si>
    <t xml:space="preserve">1094</t>
  </si>
  <si>
    <t xml:space="preserve">Campo da Rua Guido Leão</t>
  </si>
  <si>
    <t xml:space="preserve">LOC_14</t>
  </si>
  <si>
    <t xml:space="preserve">Rua Guido Leão, 501 no bairro Serra Verde</t>
  </si>
  <si>
    <t xml:space="preserve">Serra Verde</t>
  </si>
  <si>
    <t xml:space="preserve">VN1</t>
  </si>
  <si>
    <t xml:space="preserve">Rua Guido Leão</t>
  </si>
  <si>
    <t xml:space="preserve">501</t>
  </si>
  <si>
    <t xml:space="preserve">Campo da ventosa</t>
  </si>
  <si>
    <t xml:space="preserve">LOC_15</t>
  </si>
  <si>
    <t xml:space="preserve">Rua João Paulo II, 189 - Ventosa</t>
  </si>
  <si>
    <t xml:space="preserve">Ventosa</t>
  </si>
  <si>
    <t xml:space="preserve">O4</t>
  </si>
  <si>
    <t xml:space="preserve">Rua João Paulo II</t>
  </si>
  <si>
    <t xml:space="preserve">189</t>
  </si>
  <si>
    <t xml:space="preserve">30421-565</t>
  </si>
  <si>
    <t xml:space="preserve">Campo de Futebol do Parque Ecológico da Vila Pinho</t>
  </si>
  <si>
    <t xml:space="preserve">LOC_16</t>
  </si>
  <si>
    <t xml:space="preserve">Rua Coletora, 916, bairro Vila Pinho</t>
  </si>
  <si>
    <t xml:space="preserve">Vila Pinho</t>
  </si>
  <si>
    <t xml:space="preserve">BARREIRO</t>
  </si>
  <si>
    <t xml:space="preserve">B5</t>
  </si>
  <si>
    <t xml:space="preserve">Rua Coletora</t>
  </si>
  <si>
    <t xml:space="preserve">916</t>
  </si>
  <si>
    <t xml:space="preserve">Campo de Futebol do Santinha</t>
  </si>
  <si>
    <t xml:space="preserve">LOC_17</t>
  </si>
  <si>
    <t xml:space="preserve">Rua Dario Ferreira Mendes, 48 - bairro Santa Rita</t>
  </si>
  <si>
    <t xml:space="preserve">Santa Rita</t>
  </si>
  <si>
    <t xml:space="preserve">Rua Dario Ferreira Mendes</t>
  </si>
  <si>
    <t xml:space="preserve">48</t>
  </si>
  <si>
    <t xml:space="preserve">Campo de Varzea Milan</t>
  </si>
  <si>
    <t xml:space="preserve">LOC_18</t>
  </si>
  <si>
    <t xml:space="preserve">R. Flávio Sampaio, 408 - Serra Verde, Belo Horizonte - MG, 31610-480</t>
  </si>
  <si>
    <t xml:space="preserve">Rua Flávio Sampaio</t>
  </si>
  <si>
    <t xml:space="preserve">408</t>
  </si>
  <si>
    <t xml:space="preserve">31610-480</t>
  </si>
  <si>
    <t xml:space="preserve">Campo do Havaí</t>
  </si>
  <si>
    <t xml:space="preserve">LOC_19</t>
  </si>
  <si>
    <t xml:space="preserve">Av. Teresa Cristina, 7883 - Betânia</t>
  </si>
  <si>
    <t xml:space="preserve">Betânia</t>
  </si>
  <si>
    <t xml:space="preserve">Avenida Teresa Cristina</t>
  </si>
  <si>
    <t xml:space="preserve">7883</t>
  </si>
  <si>
    <t xml:space="preserve">Campo do Palmeirense</t>
  </si>
  <si>
    <t xml:space="preserve">LOC_20</t>
  </si>
  <si>
    <t xml:space="preserve">campo do Palmeirense, situado na Rua Macarena, 579 - Pindorama, Belo Horizonte Minas Gerais, CEP 30865-060</t>
  </si>
  <si>
    <t xml:space="preserve">Pindorama</t>
  </si>
  <si>
    <t xml:space="preserve">Rua Macarena</t>
  </si>
  <si>
    <t xml:space="preserve">579</t>
  </si>
  <si>
    <t xml:space="preserve">30865-060</t>
  </si>
  <si>
    <t xml:space="preserve">Campo do Tupinense</t>
  </si>
  <si>
    <t xml:space="preserve">LOC_21</t>
  </si>
  <si>
    <t xml:space="preserve">R. Nelson Hungria, 1001 - Tupi, Belo Horizonte - MG, 31842-330</t>
  </si>
  <si>
    <t xml:space="preserve">Tupi</t>
  </si>
  <si>
    <t xml:space="preserve">NORTE</t>
  </si>
  <si>
    <t xml:space="preserve">N2</t>
  </si>
  <si>
    <t xml:space="preserve">Rua Nelson Hungria</t>
  </si>
  <si>
    <t xml:space="preserve">1001</t>
  </si>
  <si>
    <t xml:space="preserve">31842-330</t>
  </si>
  <si>
    <t xml:space="preserve">Campo Esportivo Rio Petrópolis F.C.</t>
  </si>
  <si>
    <t xml:space="preserve">LOC_22</t>
  </si>
  <si>
    <t xml:space="preserve">Rua Tocha de Fogo Santo, 20, bairro Vitória da Conquista</t>
  </si>
  <si>
    <t xml:space="preserve">Vitoria da Conquista</t>
  </si>
  <si>
    <t xml:space="preserve">Rua Tocha de Fogo Santo</t>
  </si>
  <si>
    <t xml:space="preserve">20</t>
  </si>
  <si>
    <t xml:space="preserve">Campo Rua Rondonia</t>
  </si>
  <si>
    <t xml:space="preserve">LOC_23</t>
  </si>
  <si>
    <t xml:space="preserve">campo situado na Rua Rondônia, 2218, Nova Glória, Belo Horizonte - Minas Gerais, CEP 30870-370</t>
  </si>
  <si>
    <t xml:space="preserve">Novo Gloria</t>
  </si>
  <si>
    <t xml:space="preserve">Rua Rondônia</t>
  </si>
  <si>
    <t xml:space="preserve">2218</t>
  </si>
  <si>
    <t xml:space="preserve">30870-370</t>
  </si>
  <si>
    <t xml:space="preserve">Casa Azul Acolhimento Só Por Hoje</t>
  </si>
  <si>
    <t xml:space="preserve">LOC_24</t>
  </si>
  <si>
    <t xml:space="preserve">Rua José Ildeu Gramiscelli, 51 - Bonfim, Belo Horizonte - MG, 31210-190</t>
  </si>
  <si>
    <t xml:space="preserve">Bonfim</t>
  </si>
  <si>
    <t xml:space="preserve">NO1</t>
  </si>
  <si>
    <t xml:space="preserve">Rua José Ildeu Gramiscelli</t>
  </si>
  <si>
    <t xml:space="preserve">51</t>
  </si>
  <si>
    <t xml:space="preserve">31210-190</t>
  </si>
  <si>
    <t xml:space="preserve">Casa de Zoonoses Santa Cecília</t>
  </si>
  <si>
    <t xml:space="preserve">LOC_25</t>
  </si>
  <si>
    <t xml:space="preserve">Rua João Firmino Luzia, 56, Santa Cecília</t>
  </si>
  <si>
    <t xml:space="preserve">Santa Cecilia</t>
  </si>
  <si>
    <t xml:space="preserve">Rua João Firmino Luzia</t>
  </si>
  <si>
    <t xml:space="preserve">56</t>
  </si>
  <si>
    <t xml:space="preserve">Centro Cultural Alto Vera Cruz</t>
  </si>
  <si>
    <t xml:space="preserve">LOC_26</t>
  </si>
  <si>
    <t xml:space="preserve">Alto, R. Padre Júlio Maria, 1577 - Alto - Vera Cruz, Belo Horizonte - MG, 30285-360</t>
  </si>
  <si>
    <t xml:space="preserve">Alto Vera Cruz</t>
  </si>
  <si>
    <t xml:space="preserve">L4</t>
  </si>
  <si>
    <t xml:space="preserve">Rua Padre Júlio Maria</t>
  </si>
  <si>
    <t xml:space="preserve">1577</t>
  </si>
  <si>
    <t xml:space="preserve">30285-360</t>
  </si>
  <si>
    <t xml:space="preserve">Centro Cultural Padre Eustáquio</t>
  </si>
  <si>
    <t xml:space="preserve">LOC_27</t>
  </si>
  <si>
    <t xml:space="preserve">R. Jacutinga, 550 - Padre Eustáquio, Belo Horizonte - MG, 30730-430</t>
  </si>
  <si>
    <t xml:space="preserve">Padre Eustaquio</t>
  </si>
  <si>
    <t xml:space="preserve">NO4</t>
  </si>
  <si>
    <t xml:space="preserve">Rua Jacutinga</t>
  </si>
  <si>
    <t xml:space="preserve">550</t>
  </si>
  <si>
    <t xml:space="preserve">30730-430</t>
  </si>
  <si>
    <t xml:space="preserve">Centro Cultural Salgado Filho</t>
  </si>
  <si>
    <t xml:space="preserve">LOC_28</t>
  </si>
  <si>
    <t xml:space="preserve">R. Nova Ponte, 22 - Salgado Filho, Belo Horizonte - MG, 30550-720</t>
  </si>
  <si>
    <t xml:space="preserve">Salgado Filho</t>
  </si>
  <si>
    <t xml:space="preserve">Rua Nova Ponte</t>
  </si>
  <si>
    <t xml:space="preserve">22</t>
  </si>
  <si>
    <t xml:space="preserve">30550-720</t>
  </si>
  <si>
    <t xml:space="preserve">Centro Cultural Santa Rita</t>
  </si>
  <si>
    <t xml:space="preserve">LOC_29</t>
  </si>
  <si>
    <t xml:space="preserve">R. Ana Rafael dos Santos, 149 - Vila Santa Rita, Belo Horizonte - MG, 30668-570</t>
  </si>
  <si>
    <t xml:space="preserve">Rua Ana Rafael dos Santos</t>
  </si>
  <si>
    <t xml:space="preserve">149</t>
  </si>
  <si>
    <t xml:space="preserve">30668-570</t>
  </si>
  <si>
    <t xml:space="preserve">Centro Cultural São Geraldo</t>
  </si>
  <si>
    <t xml:space="preserve">LOC_30</t>
  </si>
  <si>
    <t xml:space="preserve">R. Silva Alvarenga, 548 - São Geraldo, Belo Horizonte - MG, 31050-640</t>
  </si>
  <si>
    <t xml:space="preserve">Sao Geraldo</t>
  </si>
  <si>
    <t xml:space="preserve">Rua Silva Alvarenga</t>
  </si>
  <si>
    <t xml:space="preserve">548</t>
  </si>
  <si>
    <t xml:space="preserve">31050-640</t>
  </si>
  <si>
    <t xml:space="preserve">Centro Cultural Usina da Cultura</t>
  </si>
  <si>
    <t xml:space="preserve">LOC_31</t>
  </si>
  <si>
    <t xml:space="preserve">R. Dom Cabral, 765 - Ipiranga, Belo Horizonte - MG, 31160-150</t>
  </si>
  <si>
    <t xml:space="preserve">Ipiranga</t>
  </si>
  <si>
    <t xml:space="preserve">NORDESTE</t>
  </si>
  <si>
    <t xml:space="preserve">NE5</t>
  </si>
  <si>
    <t xml:space="preserve">Rua Dom Cabral</t>
  </si>
  <si>
    <t xml:space="preserve">765</t>
  </si>
  <si>
    <t xml:space="preserve">31160-150</t>
  </si>
  <si>
    <t xml:space="preserve">Centro Cultural Vila de Fátima</t>
  </si>
  <si>
    <t xml:space="preserve">LOC_32</t>
  </si>
  <si>
    <t xml:space="preserve">R. São Miguel Arcanjo, 215 - Nossa Senhora de Fátima, Belo Horizonte - MG, 30230-660</t>
  </si>
  <si>
    <t xml:space="preserve">Nossa Senhora de Fatima</t>
  </si>
  <si>
    <t xml:space="preserve">CS3</t>
  </si>
  <si>
    <t xml:space="preserve">Rua São Miguel Arcanjo</t>
  </si>
  <si>
    <t xml:space="preserve">215</t>
  </si>
  <si>
    <t xml:space="preserve">30230-660</t>
  </si>
  <si>
    <t xml:space="preserve">Centro Cultural Vila Marçola</t>
  </si>
  <si>
    <t xml:space="preserve">LOC_33</t>
  </si>
  <si>
    <t xml:space="preserve">R. Mangabeira da Serra, 320 - Marçola, Belo Horizonte - MG, 30220-265</t>
  </si>
  <si>
    <t xml:space="preserve">Marcola</t>
  </si>
  <si>
    <t xml:space="preserve">Rua Mangabeira da Serra</t>
  </si>
  <si>
    <t xml:space="preserve">30220-265</t>
  </si>
  <si>
    <t xml:space="preserve">Centro de Controle de Zoonoses Rua Edna Quintel</t>
  </si>
  <si>
    <t xml:space="preserve">LOC_34</t>
  </si>
  <si>
    <t xml:space="preserve">Centro de Controle de Zoonoses (CCZ), localizado na Rua Edna Quintel, nº 173, no bairro São Bernardo</t>
  </si>
  <si>
    <t xml:space="preserve">Sao Bernardo</t>
  </si>
  <si>
    <t xml:space="preserve">N3</t>
  </si>
  <si>
    <t xml:space="preserve">Rua Edna Quintel</t>
  </si>
  <si>
    <t xml:space="preserve">173</t>
  </si>
  <si>
    <t xml:space="preserve">Centro de Convivência Artur Bispo Rosário</t>
  </si>
  <si>
    <t xml:space="preserve">LOC_35</t>
  </si>
  <si>
    <t xml:space="preserve">R. Anhanguera, 356 - Santa Tereza, Belo Horizonte - MG, 31015-015</t>
  </si>
  <si>
    <t xml:space="preserve">Santa Tereza</t>
  </si>
  <si>
    <t xml:space="preserve">L2</t>
  </si>
  <si>
    <t xml:space="preserve">Rua Anhanguera</t>
  </si>
  <si>
    <t xml:space="preserve">356</t>
  </si>
  <si>
    <t xml:space="preserve">31015-015</t>
  </si>
  <si>
    <t xml:space="preserve">Centro de Esterilização de Cães e Gatos Noroeste</t>
  </si>
  <si>
    <t xml:space="preserve">LOC_36</t>
  </si>
  <si>
    <t xml:space="preserve">Rua Antônio Peixoto Guimarães, nº 33, no bairro Caiçara, Regional Noroeste</t>
  </si>
  <si>
    <t xml:space="preserve">Rua Antônio Peixoto Guimarães</t>
  </si>
  <si>
    <t xml:space="preserve">33</t>
  </si>
  <si>
    <t xml:space="preserve">Centro de Reabilitação (CREAB) Venda Nova</t>
  </si>
  <si>
    <t xml:space="preserve">LOC_37</t>
  </si>
  <si>
    <t xml:space="preserve">R. Elce Ribeiro, 349 - São João Batista, Belo Horizonte - MG, 31515-190</t>
  </si>
  <si>
    <t xml:space="preserve">Sao Joao Batista</t>
  </si>
  <si>
    <t xml:space="preserve">VN3</t>
  </si>
  <si>
    <t xml:space="preserve">Rua Elce Ribeiro</t>
  </si>
  <si>
    <t xml:space="preserve">349</t>
  </si>
  <si>
    <t xml:space="preserve">31515-190</t>
  </si>
  <si>
    <t xml:space="preserve">Centro de Referência de Assistência Social Vila Fatima</t>
  </si>
  <si>
    <t xml:space="preserve">LOC_38</t>
  </si>
  <si>
    <t xml:space="preserve">Rua Dona Benta, nº 145, Vila Fazendinha - Serra</t>
  </si>
  <si>
    <t xml:space="preserve">Serra</t>
  </si>
  <si>
    <t xml:space="preserve">CS2</t>
  </si>
  <si>
    <t xml:space="preserve">Rua Dona Benta</t>
  </si>
  <si>
    <t xml:space="preserve">145</t>
  </si>
  <si>
    <t xml:space="preserve">Centro de Referencia de Assistência Social Vila Marçola</t>
  </si>
  <si>
    <t xml:space="preserve">LOC_39</t>
  </si>
  <si>
    <t xml:space="preserve">Rua Engenheiro Lucas Júlio Proença, nº73, Vila Marçola - Serra</t>
  </si>
  <si>
    <t xml:space="preserve">Rua Engenheiro Lucas Júlio Proença</t>
  </si>
  <si>
    <t xml:space="preserve">73</t>
  </si>
  <si>
    <t xml:space="preserve">Centro de Referência em Reabilitação Barreiro - CREAB Barreiro</t>
  </si>
  <si>
    <t xml:space="preserve">LOC_40</t>
  </si>
  <si>
    <t xml:space="preserve">Praça Modestino Sales Barbosa, nº 100, no Bairro Flávio Marques Lisboa</t>
  </si>
  <si>
    <t xml:space="preserve">Flavio Marques Lisboa</t>
  </si>
  <si>
    <t xml:space="preserve">B4</t>
  </si>
  <si>
    <t xml:space="preserve">Praça Modestino Sales Barbosa</t>
  </si>
  <si>
    <t xml:space="preserve">100</t>
  </si>
  <si>
    <t xml:space="preserve">30624-010</t>
  </si>
  <si>
    <t xml:space="preserve">Centro de Referência em Saúde Mental - Cersam Oeste</t>
  </si>
  <si>
    <t xml:space="preserve">LOC_41</t>
  </si>
  <si>
    <t xml:space="preserve">R. Oscar Trompowsky, 1325 - Grajaú, Belo Horizonte - MG, 30441-123</t>
  </si>
  <si>
    <t xml:space="preserve">Grajau</t>
  </si>
  <si>
    <t xml:space="preserve">Rua Oscar Trompowsky</t>
  </si>
  <si>
    <t xml:space="preserve">1325</t>
  </si>
  <si>
    <t xml:space="preserve">30441-123</t>
  </si>
  <si>
    <t xml:space="preserve">Centro de Referência em Saúde Mental Álcool e Drogas – CERSAM AD Centro Sul</t>
  </si>
  <si>
    <t xml:space="preserve">LOC_42</t>
  </si>
  <si>
    <t xml:space="preserve">Alameda Ezequiel Dias, 365 - Centro, Belo Horizonte - MG, 30130-110</t>
  </si>
  <si>
    <t xml:space="preserve">Alameda Ezequiel Dias</t>
  </si>
  <si>
    <t xml:space="preserve">365</t>
  </si>
  <si>
    <t xml:space="preserve">30130-110</t>
  </si>
  <si>
    <t xml:space="preserve">Centro de Referência em Saúde Mental Álcool e Drogas - Cersam AD Nordeste</t>
  </si>
  <si>
    <t xml:space="preserve">LOC_43</t>
  </si>
  <si>
    <t xml:space="preserve">R. Joaquim Gouveia, 600 - São Paulo, Belo Horizonte - MG, 31910-080</t>
  </si>
  <si>
    <t xml:space="preserve">Sao Paulo</t>
  </si>
  <si>
    <t xml:space="preserve">NE3</t>
  </si>
  <si>
    <t xml:space="preserve">Rua Joaquim Gouveia</t>
  </si>
  <si>
    <t xml:space="preserve">600</t>
  </si>
  <si>
    <t xml:space="preserve">31910-080</t>
  </si>
  <si>
    <t xml:space="preserve">Centro de Referência em Segurança Alimentar e Nutricional (CRESAN)</t>
  </si>
  <si>
    <t xml:space="preserve">LOC_44</t>
  </si>
  <si>
    <t xml:space="preserve">Av. Pres. Antônio Carlos, 821 - Lagoinha, Belo Horizonte - MG, 31110-314</t>
  </si>
  <si>
    <t xml:space="preserve">Lagoinha</t>
  </si>
  <si>
    <t xml:space="preserve">Avenida Presidente Antônio Carlos</t>
  </si>
  <si>
    <t xml:space="preserve">821</t>
  </si>
  <si>
    <t xml:space="preserve">31110-314</t>
  </si>
  <si>
    <t xml:space="preserve">Centro de Saúde Alameda dos Ipês</t>
  </si>
  <si>
    <t xml:space="preserve">LOC_45</t>
  </si>
  <si>
    <t xml:space="preserve">Rua Ministro Oliveira Salazar, 1186 - Bairro Santa Mônica</t>
  </si>
  <si>
    <t xml:space="preserve">Santa Monica</t>
  </si>
  <si>
    <t xml:space="preserve">Rua Ministro Oliveira Salazar</t>
  </si>
  <si>
    <t xml:space="preserve">1186</t>
  </si>
  <si>
    <t xml:space="preserve">31520-400</t>
  </si>
  <si>
    <t xml:space="preserve">Centro de Saúde Alcides Lins</t>
  </si>
  <si>
    <t xml:space="preserve">LOC_46</t>
  </si>
  <si>
    <t xml:space="preserve">R. Panema, 275 - Concórdia, Belo Horizonte - MG, 31130-620</t>
  </si>
  <si>
    <t xml:space="preserve">Concordia</t>
  </si>
  <si>
    <t xml:space="preserve">NE4</t>
  </si>
  <si>
    <t xml:space="preserve">Rua Panema</t>
  </si>
  <si>
    <t xml:space="preserve">275</t>
  </si>
  <si>
    <t xml:space="preserve">31130-620</t>
  </si>
  <si>
    <t xml:space="preserve">Centro de Saúde Alto Vera Cruz</t>
  </si>
  <si>
    <t xml:space="preserve">LOC_47</t>
  </si>
  <si>
    <t xml:space="preserve">R. Gen. Osório, 959 Alto - Vera Cruz, Belo Horizonte - MG, 30285-320</t>
  </si>
  <si>
    <t xml:space="preserve">Rua General Osório</t>
  </si>
  <si>
    <t xml:space="preserve">959</t>
  </si>
  <si>
    <t xml:space="preserve">30285-320</t>
  </si>
  <si>
    <t xml:space="preserve">Centro de Saúde Betânia</t>
  </si>
  <si>
    <t xml:space="preserve">LOC_48</t>
  </si>
  <si>
    <t xml:space="preserve">Rua Canoas, 678 - Betânia</t>
  </si>
  <si>
    <t xml:space="preserve">Betania</t>
  </si>
  <si>
    <t xml:space="preserve">Rua Canoas</t>
  </si>
  <si>
    <t xml:space="preserve">678</t>
  </si>
  <si>
    <t xml:space="preserve">Centro de Saúde Boa Vista</t>
  </si>
  <si>
    <t xml:space="preserve">LOC_49</t>
  </si>
  <si>
    <t xml:space="preserve">Rua Guruá n° 833, bairro Boa Vista, Belo Horizonte, CEP:31.060-560</t>
  </si>
  <si>
    <t xml:space="preserve">Boa Vista</t>
  </si>
  <si>
    <t xml:space="preserve">Rua Guruá</t>
  </si>
  <si>
    <t xml:space="preserve">833</t>
  </si>
  <si>
    <t xml:space="preserve">31060-560</t>
  </si>
  <si>
    <t xml:space="preserve">Centro de Saúde Cabana</t>
  </si>
  <si>
    <t xml:space="preserve">LOC_50</t>
  </si>
  <si>
    <t xml:space="preserve">R. Centro Social, 536 - Cabana, Belo Horizonte - MG, 30510-670</t>
  </si>
  <si>
    <t xml:space="preserve">Cabana do Pai Tomas</t>
  </si>
  <si>
    <t xml:space="preserve">O2</t>
  </si>
  <si>
    <t xml:space="preserve">Rua Centro Social</t>
  </si>
  <si>
    <t xml:space="preserve">536</t>
  </si>
  <si>
    <t xml:space="preserve">30510-670</t>
  </si>
  <si>
    <t xml:space="preserve">Centro de Saúde Cachoeirinha</t>
  </si>
  <si>
    <t xml:space="preserve">LOC_51</t>
  </si>
  <si>
    <t xml:space="preserve">R. Borborema, 1325 - Cachoeirinha, Belo Horizonte - MG, 31130-380</t>
  </si>
  <si>
    <t xml:space="preserve">Cachoeirinha</t>
  </si>
  <si>
    <t xml:space="preserve">Rua Borborema</t>
  </si>
  <si>
    <t xml:space="preserve">31130-380</t>
  </si>
  <si>
    <t xml:space="preserve">Centro de Saúde Cafezal</t>
  </si>
  <si>
    <t xml:space="preserve">LOC_52</t>
  </si>
  <si>
    <t xml:space="preserve">R. Bela Vista, 30 - Serra, Belo Horizonte - MG, 30250-010</t>
  </si>
  <si>
    <t xml:space="preserve">Rua Bela Vista</t>
  </si>
  <si>
    <t xml:space="preserve">30</t>
  </si>
  <si>
    <t xml:space="preserve">30250-010</t>
  </si>
  <si>
    <t xml:space="preserve">Centro de Saúde Califórnia</t>
  </si>
  <si>
    <t xml:space="preserve">LOC_53</t>
  </si>
  <si>
    <t xml:space="preserve">Av. das Castanholas, 277 - Califórnia, Belo Horizonte - MG, 30850-760</t>
  </si>
  <si>
    <t xml:space="preserve">California</t>
  </si>
  <si>
    <t xml:space="preserve">Avenida das Castanholas</t>
  </si>
  <si>
    <t xml:space="preserve">277</t>
  </si>
  <si>
    <t xml:space="preserve">30850-760</t>
  </si>
  <si>
    <t xml:space="preserve">Centro de Saúde Camargos</t>
  </si>
  <si>
    <t xml:space="preserve">LOC_54</t>
  </si>
  <si>
    <t xml:space="preserve">Rua Luiza Efigênia Silva, 413 - Camargos, Belo Horizonte - MG, 30520-460</t>
  </si>
  <si>
    <t xml:space="preserve">Camargos</t>
  </si>
  <si>
    <t xml:space="preserve">Rua Luiza Efigênia Silva</t>
  </si>
  <si>
    <t xml:space="preserve">413</t>
  </si>
  <si>
    <t xml:space="preserve">30520-460</t>
  </si>
  <si>
    <t xml:space="preserve">Centro de Saúde Capitão Eduardo</t>
  </si>
  <si>
    <t xml:space="preserve">LOC_55</t>
  </si>
  <si>
    <t xml:space="preserve">R. Ângela Benareges, 10 - Capitão Eduardo, Belo Horizonte - MG, 31998-360</t>
  </si>
  <si>
    <t xml:space="preserve">Capitao Eduardo</t>
  </si>
  <si>
    <t xml:space="preserve">NE1</t>
  </si>
  <si>
    <t xml:space="preserve">Rua Ângela Benareges</t>
  </si>
  <si>
    <t xml:space="preserve">10</t>
  </si>
  <si>
    <t xml:space="preserve">31998-360</t>
  </si>
  <si>
    <t xml:space="preserve">Centro de Saúde Céu Azul</t>
  </si>
  <si>
    <t xml:space="preserve">LOC_56</t>
  </si>
  <si>
    <t xml:space="preserve">Rua Alice Marques, 187 - Bairro Céu Azul</t>
  </si>
  <si>
    <t xml:space="preserve">Ceu Azul</t>
  </si>
  <si>
    <t xml:space="preserve">VN4</t>
  </si>
  <si>
    <t xml:space="preserve">Rua Alice Marques</t>
  </si>
  <si>
    <t xml:space="preserve">187</t>
  </si>
  <si>
    <t xml:space="preserve">31580-090</t>
  </si>
  <si>
    <t xml:space="preserve">Centro de Saúde Cícero Idelfonso</t>
  </si>
  <si>
    <t xml:space="preserve">LOC_57</t>
  </si>
  <si>
    <t xml:space="preserve">Rua Caviana, 77 - Jardinópolis</t>
  </si>
  <si>
    <t xml:space="preserve">Jardinopolis</t>
  </si>
  <si>
    <t xml:space="preserve">Rua Caviana</t>
  </si>
  <si>
    <t xml:space="preserve">77</t>
  </si>
  <si>
    <t xml:space="preserve">Centro de Saúde Coqueiros</t>
  </si>
  <si>
    <t xml:space="preserve">LOC_58</t>
  </si>
  <si>
    <t xml:space="preserve">R. Eneida, 1583 - Coqueiros, Belo Horizonte - MG, 30881-120</t>
  </si>
  <si>
    <t xml:space="preserve">1583</t>
  </si>
  <si>
    <t xml:space="preserve">30881-120</t>
  </si>
  <si>
    <t xml:space="preserve">Centro de Saúde de Amilcar Vianna Martins</t>
  </si>
  <si>
    <t xml:space="preserve">LOC_59</t>
  </si>
  <si>
    <t xml:space="preserve">R. Nelson de Senna, 90 - Cinquentenario, Belo Horizonte - MG, 30570-060</t>
  </si>
  <si>
    <t xml:space="preserve">Cinquentenario</t>
  </si>
  <si>
    <t xml:space="preserve">Rua Nelson de Senna</t>
  </si>
  <si>
    <t xml:space="preserve">90</t>
  </si>
  <si>
    <t xml:space="preserve">30570-060</t>
  </si>
  <si>
    <t xml:space="preserve">Centro de Saúde do bairro das Indústrias</t>
  </si>
  <si>
    <t xml:space="preserve">LOC_60</t>
  </si>
  <si>
    <t xml:space="preserve">R. Maria de Lourdes Manso, 80 - Indústrias I (Barreiro), Belo Horizonte - MG, 30610-320</t>
  </si>
  <si>
    <t xml:space="preserve">Bairro das Industrias I</t>
  </si>
  <si>
    <t xml:space="preserve">B1</t>
  </si>
  <si>
    <t xml:space="preserve">Rua Maria de Lourdes Manso</t>
  </si>
  <si>
    <t xml:space="preserve">80</t>
  </si>
  <si>
    <t xml:space="preserve">30610-320</t>
  </si>
  <si>
    <t xml:space="preserve">Centro de Saúde do bairro Tirol</t>
  </si>
  <si>
    <t xml:space="preserve">LOC_61</t>
  </si>
  <si>
    <t xml:space="preserve">Avenida Nélio Cerqueira, 15, Tirol</t>
  </si>
  <si>
    <t xml:space="preserve">Tirol</t>
  </si>
  <si>
    <t xml:space="preserve">B3</t>
  </si>
  <si>
    <t xml:space="preserve">Avenida Nélio Cerqueira</t>
  </si>
  <si>
    <t xml:space="preserve">15</t>
  </si>
  <si>
    <t xml:space="preserve">Centro de Saúde Dom Bosco</t>
  </si>
  <si>
    <t xml:space="preserve">LOC_62</t>
  </si>
  <si>
    <t xml:space="preserve">Rua Olinto Magalhães, 1939 - Dom Bosco, Belo Horizonte - MG, 30830-050</t>
  </si>
  <si>
    <t xml:space="preserve">Rua Olinto Magalhães</t>
  </si>
  <si>
    <t xml:space="preserve">1939</t>
  </si>
  <si>
    <t xml:space="preserve">30830-050</t>
  </si>
  <si>
    <t xml:space="preserve">Centro de Saúde Dom Cabral</t>
  </si>
  <si>
    <t xml:space="preserve">LOC_63</t>
  </si>
  <si>
    <t xml:space="preserve">Praça Comunidade, 50 - Dom Cabral, Belo Horizonte - MG, 30535-210</t>
  </si>
  <si>
    <t xml:space="preserve">Dom Cabral</t>
  </si>
  <si>
    <t xml:space="preserve">Praça Comunidade</t>
  </si>
  <si>
    <t xml:space="preserve">50</t>
  </si>
  <si>
    <t xml:space="preserve">30535-210</t>
  </si>
  <si>
    <t xml:space="preserve">Centro de Saúde Efigênia Murta Figueiredo</t>
  </si>
  <si>
    <t xml:space="preserve">LOC_64</t>
  </si>
  <si>
    <t xml:space="preserve">R. Serra do Cipó, 170 - Conj - Ribeiro de Abreu, Belo Horizonte - MG, 31872-280</t>
  </si>
  <si>
    <t xml:space="preserve">Ribeiro de Abreu</t>
  </si>
  <si>
    <t xml:space="preserve">Rua Serra do Cipó</t>
  </si>
  <si>
    <t xml:space="preserve">170</t>
  </si>
  <si>
    <t xml:space="preserve">31872-280</t>
  </si>
  <si>
    <t xml:space="preserve">Centro de Saúde Gentil Gomes</t>
  </si>
  <si>
    <t xml:space="preserve">LOC_65</t>
  </si>
  <si>
    <t xml:space="preserve">R. Manoel Passos, 580 - Santa Cruz, Belo Horizonte - MG, 31150-470</t>
  </si>
  <si>
    <t xml:space="preserve">Santa Cruz</t>
  </si>
  <si>
    <t xml:space="preserve">Rua Manoel Passos</t>
  </si>
  <si>
    <t xml:space="preserve">580</t>
  </si>
  <si>
    <t xml:space="preserve">31150-470</t>
  </si>
  <si>
    <t xml:space="preserve">Centro de Saúde Glória</t>
  </si>
  <si>
    <t xml:space="preserve">LOC_66</t>
  </si>
  <si>
    <t xml:space="preserve">R. Eneida, 955 - Glória, Belo Horizonte - MG, 30881-520</t>
  </si>
  <si>
    <t xml:space="preserve">Gloria</t>
  </si>
  <si>
    <t xml:space="preserve">955</t>
  </si>
  <si>
    <t xml:space="preserve">30881-520</t>
  </si>
  <si>
    <t xml:space="preserve">Centro de Saúde Goiânia</t>
  </si>
  <si>
    <t xml:space="preserve">LOC_67</t>
  </si>
  <si>
    <t xml:space="preserve">R. Pomba, 677 - Goiânia, Belo Horizonte - MG, 31950-490</t>
  </si>
  <si>
    <t xml:space="preserve">Goiania</t>
  </si>
  <si>
    <t xml:space="preserve">NE2</t>
  </si>
  <si>
    <t xml:space="preserve">Rua Pomba</t>
  </si>
  <si>
    <t xml:space="preserve">677</t>
  </si>
  <si>
    <t xml:space="preserve">31950-490</t>
  </si>
  <si>
    <t xml:space="preserve">Centro de Saúde Granja de Freitas</t>
  </si>
  <si>
    <t xml:space="preserve">LOC_68</t>
  </si>
  <si>
    <t xml:space="preserve">R. São Vicente, 405 - Granja de Freitas, Belo Horizonte - MG, 30286-070</t>
  </si>
  <si>
    <t xml:space="preserve">Granja de Freitas</t>
  </si>
  <si>
    <t xml:space="preserve">Rua São Vicente</t>
  </si>
  <si>
    <t xml:space="preserve">405</t>
  </si>
  <si>
    <t xml:space="preserve">30286-070</t>
  </si>
  <si>
    <t xml:space="preserve">Centro de Saúde Havai</t>
  </si>
  <si>
    <t xml:space="preserve">LOC_69</t>
  </si>
  <si>
    <t xml:space="preserve">R. Manila, 432 - Estrela Dalva, Belo Horizonte - MG, 30570-360</t>
  </si>
  <si>
    <t xml:space="preserve">Havai</t>
  </si>
  <si>
    <t xml:space="preserve">Rua Manila</t>
  </si>
  <si>
    <t xml:space="preserve">432</t>
  </si>
  <si>
    <t xml:space="preserve">30570-360</t>
  </si>
  <si>
    <t xml:space="preserve">Centro de Saúde Heliópolis</t>
  </si>
  <si>
    <t xml:space="preserve">LOC_70</t>
  </si>
  <si>
    <t xml:space="preserve">Rua dos Beneditinos nº 120 - Heliópolis, Belo Horizonte - MG, 31741-298</t>
  </si>
  <si>
    <t xml:space="preserve">Heliopolis</t>
  </si>
  <si>
    <t xml:space="preserve">Rua dos Beneditinos</t>
  </si>
  <si>
    <t xml:space="preserve">120</t>
  </si>
  <si>
    <t xml:space="preserve">31741-298</t>
  </si>
  <si>
    <t xml:space="preserve">Centro de Saúde Horto</t>
  </si>
  <si>
    <t xml:space="preserve">LOC_71</t>
  </si>
  <si>
    <t xml:space="preserve">Rua Anhanguera, 224 - Horto</t>
  </si>
  <si>
    <t xml:space="preserve">Horto</t>
  </si>
  <si>
    <t xml:space="preserve">224</t>
  </si>
  <si>
    <t xml:space="preserve">Centro de Saúde Independência</t>
  </si>
  <si>
    <t xml:space="preserve">LOC_72</t>
  </si>
  <si>
    <t xml:space="preserve">Rua Maria Antonieta Ferreira, 154, Independência</t>
  </si>
  <si>
    <t xml:space="preserve">Independencia</t>
  </si>
  <si>
    <t xml:space="preserve">Rua Maria Antonieta Ferreira</t>
  </si>
  <si>
    <t xml:space="preserve">154</t>
  </si>
  <si>
    <t xml:space="preserve">Centro de Saúde Jaqueline</t>
  </si>
  <si>
    <t xml:space="preserve">LOC_73</t>
  </si>
  <si>
    <t xml:space="preserve">R. Agenor de Paula Estrela, 200 - Jaqueline, Belo Horizonte - MG, 31748-190</t>
  </si>
  <si>
    <t xml:space="preserve">Jaqueline</t>
  </si>
  <si>
    <t xml:space="preserve">N1</t>
  </si>
  <si>
    <t xml:space="preserve">Rua Agenor de Paula Estrela</t>
  </si>
  <si>
    <t xml:space="preserve">200</t>
  </si>
  <si>
    <t xml:space="preserve">31748-190</t>
  </si>
  <si>
    <t xml:space="preserve">Centro de Saúde Jardim Felicidade</t>
  </si>
  <si>
    <t xml:space="preserve">LOC_74</t>
  </si>
  <si>
    <t xml:space="preserve">R. Cecilia Trindade Silva, 201 - Jardim Felicidade, Belo Horizonte - MG, 31742-533</t>
  </si>
  <si>
    <t xml:space="preserve">Jardim Felicidade</t>
  </si>
  <si>
    <t xml:space="preserve">Rua Cecilia Trindade Silva</t>
  </si>
  <si>
    <t xml:space="preserve">201</t>
  </si>
  <si>
    <t xml:space="preserve">31742-533</t>
  </si>
  <si>
    <t xml:space="preserve">Centro de Saúde Jardim Filadélfia</t>
  </si>
  <si>
    <t xml:space="preserve">LOC_75</t>
  </si>
  <si>
    <t xml:space="preserve">R. Regida, 309 - Álvaro Camargos, Belo Horizonte - MG, 30860-320</t>
  </si>
  <si>
    <t xml:space="preserve">Alvaro Camargos</t>
  </si>
  <si>
    <t xml:space="preserve">Rua Regida</t>
  </si>
  <si>
    <t xml:space="preserve">309</t>
  </si>
  <si>
    <t xml:space="preserve">30860-320</t>
  </si>
  <si>
    <t xml:space="preserve">Centro de Saúde Jardim Montanhês</t>
  </si>
  <si>
    <t xml:space="preserve">LOC_76</t>
  </si>
  <si>
    <t xml:space="preserve">R. Leopoldo Pereira, 407 - Jardim Montanhês, Belo Horizonte - MG, 30750-140</t>
  </si>
  <si>
    <t xml:space="preserve">Jardim Montanhes</t>
  </si>
  <si>
    <t xml:space="preserve">Rua Leopoldo Pereira</t>
  </si>
  <si>
    <t xml:space="preserve">407</t>
  </si>
  <si>
    <t xml:space="preserve">30750-140</t>
  </si>
  <si>
    <t xml:space="preserve">Centro de Saúde João Pinheiro</t>
  </si>
  <si>
    <t xml:space="preserve">LOC_77</t>
  </si>
  <si>
    <t xml:space="preserve">Rua Frei Luiz de Souza, 811 - João Pinheiro, Belo Horizonte - MG, 30530-310</t>
  </si>
  <si>
    <t xml:space="preserve">Joao Pinheiro</t>
  </si>
  <si>
    <t xml:space="preserve">Rua Frei Luiz de Souza</t>
  </si>
  <si>
    <t xml:space="preserve">811</t>
  </si>
  <si>
    <t xml:space="preserve">30530-310</t>
  </si>
  <si>
    <t xml:space="preserve">Centro de Saúde João Vital - Anexo Vila Maria</t>
  </si>
  <si>
    <t xml:space="preserve">LOC_78</t>
  </si>
  <si>
    <t xml:space="preserve">Rua Dois Mil Quatrocentos e Sessenta e Seis, 30 - Jardim Vitoria, Belo Horizonte - MG, 31975-342</t>
  </si>
  <si>
    <t xml:space="preserve">Jardim Vitoria</t>
  </si>
  <si>
    <t xml:space="preserve">Dois Mil Quatrocentos e Sessenta e Seis</t>
  </si>
  <si>
    <t xml:space="preserve">31975-342</t>
  </si>
  <si>
    <t xml:space="preserve">Centro de Saúde Mangueiras</t>
  </si>
  <si>
    <t xml:space="preserve">LOC_79</t>
  </si>
  <si>
    <t xml:space="preserve">R. Chafariz, 4 - Independência, Belo Horizonte - MG, 30666-520</t>
  </si>
  <si>
    <t xml:space="preserve">Rua Chafariz</t>
  </si>
  <si>
    <t xml:space="preserve">4</t>
  </si>
  <si>
    <t xml:space="preserve">30666-520</t>
  </si>
  <si>
    <t xml:space="preserve">Centro de Saúde Marco Antônio Menezes</t>
  </si>
  <si>
    <t xml:space="preserve">LOC_80</t>
  </si>
  <si>
    <t xml:space="preserve">Rua Petrolina, 869 Horto</t>
  </si>
  <si>
    <t xml:space="preserve">Rua Petrolina</t>
  </si>
  <si>
    <t xml:space="preserve">869</t>
  </si>
  <si>
    <t xml:space="preserve">Centro de Saúde Maria Madalena Teodoro</t>
  </si>
  <si>
    <t xml:space="preserve">LOC_81</t>
  </si>
  <si>
    <t xml:space="preserve">Rua Flor de Maio, 172, Bairro Lindéia</t>
  </si>
  <si>
    <t xml:space="preserve">Lindeia</t>
  </si>
  <si>
    <t xml:space="preserve">Rua Flor de Maio</t>
  </si>
  <si>
    <t xml:space="preserve">172</t>
  </si>
  <si>
    <t xml:space="preserve">Centro de Saúde Milionários</t>
  </si>
  <si>
    <t xml:space="preserve">LOC_82</t>
  </si>
  <si>
    <t xml:space="preserve">Rua dos Cruzeirenses, n º30, Milionários</t>
  </si>
  <si>
    <t xml:space="preserve">Milionarios</t>
  </si>
  <si>
    <t xml:space="preserve">Rua dos Cruzeirenses</t>
  </si>
  <si>
    <t xml:space="preserve">Centro de Saúde Minas Caixa</t>
  </si>
  <si>
    <t xml:space="preserve">LOC_83</t>
  </si>
  <si>
    <t xml:space="preserve">Regional Venda Nova, situado à rua Capitão Sérgio Pires, 226 - Bairro Minas Caixa.</t>
  </si>
  <si>
    <t xml:space="preserve">Minas Caixa</t>
  </si>
  <si>
    <t xml:space="preserve">Rua Capitão Sérgio Pires</t>
  </si>
  <si>
    <t xml:space="preserve">226</t>
  </si>
  <si>
    <t xml:space="preserve">31615-640</t>
  </si>
  <si>
    <t xml:space="preserve">Centro de Saúde Noraldino de Lima</t>
  </si>
  <si>
    <t xml:space="preserve">LOC_84</t>
  </si>
  <si>
    <t xml:space="preserve">Av. Amazonas, n. 4373, bairro Nova Suíça, Belo Horizonte/MG, CEP 30.421-169</t>
  </si>
  <si>
    <t xml:space="preserve">Nova Suissa</t>
  </si>
  <si>
    <t xml:space="preserve">Avenida Amazonas</t>
  </si>
  <si>
    <t xml:space="preserve">4373</t>
  </si>
  <si>
    <t xml:space="preserve">30421-169</t>
  </si>
  <si>
    <t xml:space="preserve">Centro de Saúde Nossa Senhora de Fátima</t>
  </si>
  <si>
    <t xml:space="preserve">LOC_85</t>
  </si>
  <si>
    <t xml:space="preserve">R. Corinto, 450 - Serra, Belo Horizonte - MG, 30220-310</t>
  </si>
  <si>
    <t xml:space="preserve">Rua Corinto</t>
  </si>
  <si>
    <t xml:space="preserve">450</t>
  </si>
  <si>
    <t xml:space="preserve">30220-310</t>
  </si>
  <si>
    <t xml:space="preserve">Centro de Saúde Novo Aarão Reis</t>
  </si>
  <si>
    <t xml:space="preserve">LOC_86</t>
  </si>
  <si>
    <t xml:space="preserve">Av. Detetive Eduardo Fernandes, 200 - Novo Aarão Reis, Belo Horizonte - MG, 31845-000</t>
  </si>
  <si>
    <t xml:space="preserve">Novo Aarao Reis</t>
  </si>
  <si>
    <t xml:space="preserve">Avenida Detetive Eduardo Fernandes</t>
  </si>
  <si>
    <t xml:space="preserve">31845-000</t>
  </si>
  <si>
    <t xml:space="preserve">Centro de Saúde Novo Horizonte</t>
  </si>
  <si>
    <t xml:space="preserve">LOC_87</t>
  </si>
  <si>
    <t xml:space="preserve">Rua Pedro Alexandrino de Mendonça, n° 12, bairro Taquaril, Belo Horizonte, CEP: 30.290-590</t>
  </si>
  <si>
    <t xml:space="preserve">Taquaril</t>
  </si>
  <si>
    <t xml:space="preserve">Rua Pedro Alexandrino de Mendonça</t>
  </si>
  <si>
    <t xml:space="preserve">12</t>
  </si>
  <si>
    <t xml:space="preserve">30290-590</t>
  </si>
  <si>
    <t xml:space="preserve">Centro de Saúde Olavo Albino Correia</t>
  </si>
  <si>
    <t xml:space="preserve">LOC_88</t>
  </si>
  <si>
    <t xml:space="preserve">R. Papa Honório III, 8 - Ouro Minas, Belo Horizonte - MG, 31870-150</t>
  </si>
  <si>
    <t xml:space="preserve">Ouro Minas</t>
  </si>
  <si>
    <t xml:space="preserve">R. Papa Honório III</t>
  </si>
  <si>
    <t xml:space="preserve">8</t>
  </si>
  <si>
    <t xml:space="preserve">31870-150</t>
  </si>
  <si>
    <t xml:space="preserve">Centro de Saúde Ouro Preto</t>
  </si>
  <si>
    <t xml:space="preserve">LOC_89</t>
  </si>
  <si>
    <t xml:space="preserve">Rua Jonas Jean, n. 77, bairro Ouro Preto, Belo Horizonte/MG, CEP 31320-335</t>
  </si>
  <si>
    <t xml:space="preserve">Ouro Preto</t>
  </si>
  <si>
    <t xml:space="preserve">P2</t>
  </si>
  <si>
    <t xml:space="preserve">Rua Jonas Jean</t>
  </si>
  <si>
    <t xml:space="preserve">31320-335</t>
  </si>
  <si>
    <t xml:space="preserve">Centro de Saúde Padre Fernando</t>
  </si>
  <si>
    <t xml:space="preserve">LOC_90</t>
  </si>
  <si>
    <t xml:space="preserve">Rua Conceição Vidigal Paulucci, 150 - Palmares, Belo Horizonte - MG, 31155-440</t>
  </si>
  <si>
    <t xml:space="preserve">Palmares</t>
  </si>
  <si>
    <t xml:space="preserve">Rua Conceição Vidigal Paulucci</t>
  </si>
  <si>
    <t xml:space="preserve">150</t>
  </si>
  <si>
    <t xml:space="preserve">31155-440</t>
  </si>
  <si>
    <t xml:space="preserve">Centro de Saúde Padre Joaquim Maia</t>
  </si>
  <si>
    <t xml:space="preserve">LOC_91</t>
  </si>
  <si>
    <t xml:space="preserve">Rua Boaventura, 1900 - Liberdade, Belo Horizonte - MG, 31270-310</t>
  </si>
  <si>
    <t xml:space="preserve">Liberdade</t>
  </si>
  <si>
    <t xml:space="preserve">Rua Boaventura</t>
  </si>
  <si>
    <t xml:space="preserve">1900</t>
  </si>
  <si>
    <t xml:space="preserve">31270-310</t>
  </si>
  <si>
    <t xml:space="preserve">Centro de Saúde Padre Tarcísio</t>
  </si>
  <si>
    <t xml:space="preserve">LOC_92</t>
  </si>
  <si>
    <t xml:space="preserve">R. Cel. Jorge Davis, 500 - Serra, Belo Horizonte - MG, 30240-560</t>
  </si>
  <si>
    <t xml:space="preserve">Rua Coronel Jorge Davis</t>
  </si>
  <si>
    <t xml:space="preserve">500</t>
  </si>
  <si>
    <t xml:space="preserve">30240-560</t>
  </si>
  <si>
    <t xml:space="preserve">Centro de Saúde Padre Tiago</t>
  </si>
  <si>
    <t xml:space="preserve">LOC_93</t>
  </si>
  <si>
    <t xml:space="preserve">Av. João XXIII, 1233 - Alípio de Melo, Belo Horizonte - MG, 30820-660</t>
  </si>
  <si>
    <t xml:space="preserve">Alipio de Melo</t>
  </si>
  <si>
    <t xml:space="preserve">Avenida João XXIII</t>
  </si>
  <si>
    <t xml:space="preserve">1233</t>
  </si>
  <si>
    <t xml:space="preserve">30820-660</t>
  </si>
  <si>
    <t xml:space="preserve">Centro de Saúde Palmeiras</t>
  </si>
  <si>
    <t xml:space="preserve">LOC_94</t>
  </si>
  <si>
    <t xml:space="preserve">Av. Dom João VI, 1821 - Palmeiras, Belo Horizonte - MG, 30575-460</t>
  </si>
  <si>
    <t xml:space="preserve">Palmeiras</t>
  </si>
  <si>
    <t xml:space="preserve">Avenida Dom João VI</t>
  </si>
  <si>
    <t xml:space="preserve">1821</t>
  </si>
  <si>
    <t xml:space="preserve">30575-460</t>
  </si>
  <si>
    <t xml:space="preserve">Centro de Saúde Paraiso</t>
  </si>
  <si>
    <t xml:space="preserve">LOC_95</t>
  </si>
  <si>
    <t xml:space="preserve">Av. Mem de Sá, 1001 - Paraíso, Belo Horizonte - MG, 30260-270</t>
  </si>
  <si>
    <t xml:space="preserve">Paraiso</t>
  </si>
  <si>
    <t xml:space="preserve">L3</t>
  </si>
  <si>
    <t xml:space="preserve">Avenida Mem de Sá</t>
  </si>
  <si>
    <t xml:space="preserve">30260-270</t>
  </si>
  <si>
    <t xml:space="preserve">Centro de Saúde Paulo VI</t>
  </si>
  <si>
    <t xml:space="preserve">LOC_96</t>
  </si>
  <si>
    <t xml:space="preserve">R. das Almas, 122 - Conjunto Paulo VI, Belo Horizonte - MG, 31998-020</t>
  </si>
  <si>
    <t xml:space="preserve">Conjunto Paulo VI</t>
  </si>
  <si>
    <t xml:space="preserve">Rua das Almas</t>
  </si>
  <si>
    <t xml:space="preserve">122</t>
  </si>
  <si>
    <t xml:space="preserve">31998-020</t>
  </si>
  <si>
    <t xml:space="preserve">Centro de Saúde Pilar Olhos D’água</t>
  </si>
  <si>
    <t xml:space="preserve">LOC_97</t>
  </si>
  <si>
    <t xml:space="preserve">R. São Pedro da Aldeia, 55 - Pilar, Belo Horizonte - MG, 30390-000</t>
  </si>
  <si>
    <t xml:space="preserve">Pilar</t>
  </si>
  <si>
    <t xml:space="preserve">Rua São Pedro da Aldeia</t>
  </si>
  <si>
    <t xml:space="preserve">55</t>
  </si>
  <si>
    <t xml:space="preserve">30390-000</t>
  </si>
  <si>
    <t xml:space="preserve">Centro de Saúde Pindorama</t>
  </si>
  <si>
    <t xml:space="preserve">LOC_98</t>
  </si>
  <si>
    <t xml:space="preserve">R. Rutilo, 96 - Pindorama, Belo Horizonte - MG, 30880-600</t>
  </si>
  <si>
    <t xml:space="preserve">Rua Rutilo</t>
  </si>
  <si>
    <t xml:space="preserve">96</t>
  </si>
  <si>
    <t xml:space="preserve">30880-600</t>
  </si>
  <si>
    <t xml:space="preserve">Centro de Saúde Pompeia</t>
  </si>
  <si>
    <t xml:space="preserve">LOC_99</t>
  </si>
  <si>
    <t xml:space="preserve">R. Leopoldo Gomes, 440 - Pompéia, Belo Horizonte - MG, 30280-460</t>
  </si>
  <si>
    <t xml:space="preserve">Pompeia</t>
  </si>
  <si>
    <t xml:space="preserve">Rua Leopoldo Gomes</t>
  </si>
  <si>
    <t xml:space="preserve">440</t>
  </si>
  <si>
    <t xml:space="preserve">30280-460</t>
  </si>
  <si>
    <t xml:space="preserve">Centro de Saúde Primeiro de Maio</t>
  </si>
  <si>
    <t xml:space="preserve">LOC_100</t>
  </si>
  <si>
    <t xml:space="preserve">R. Oscar Lobo Pereira, 207 - Primeiro de Maio, Belo Horizonte - MG, 31812-070</t>
  </si>
  <si>
    <t xml:space="preserve">Primeiro de Maio</t>
  </si>
  <si>
    <t xml:space="preserve">N4</t>
  </si>
  <si>
    <t xml:space="preserve">Rua Oscar Lobo Pereira</t>
  </si>
  <si>
    <t xml:space="preserve">207</t>
  </si>
  <si>
    <t xml:space="preserve">31812-070</t>
  </si>
  <si>
    <t xml:space="preserve">Centro de Saúde Ribeiro de Abreu</t>
  </si>
  <si>
    <t xml:space="preserve">LOC_101</t>
  </si>
  <si>
    <t xml:space="preserve">R. Dianópolis, 180 - Ribeiro de Abreu, Belo Horizonte - MG, 31870-580</t>
  </si>
  <si>
    <t xml:space="preserve">Rua Dianópolis</t>
  </si>
  <si>
    <t xml:space="preserve">180</t>
  </si>
  <si>
    <t xml:space="preserve">31870-580</t>
  </si>
  <si>
    <t xml:space="preserve">Centro de Saúde Salgado Filho</t>
  </si>
  <si>
    <t xml:space="preserve">LOC_102</t>
  </si>
  <si>
    <t xml:space="preserve">R. Campína Verde, 375 - Salgado Filho, Belo Horizonte - MG, 30550-340</t>
  </si>
  <si>
    <t xml:space="preserve">Rua Campina Verde</t>
  </si>
  <si>
    <t xml:space="preserve">375</t>
  </si>
  <si>
    <t xml:space="preserve">30550-340</t>
  </si>
  <si>
    <t xml:space="preserve">Centro de Saúde Santa Cecília</t>
  </si>
  <si>
    <t xml:space="preserve">LOC_103</t>
  </si>
  <si>
    <t xml:space="preserve">R. Paulo Duarte, 280 - Santa Cecilia (Vale do Jatoba), Belo Horizonte - MG, 30668-170</t>
  </si>
  <si>
    <t xml:space="preserve">Rua Paulo Duarte</t>
  </si>
  <si>
    <t xml:space="preserve">280</t>
  </si>
  <si>
    <t xml:space="preserve">30668-170</t>
  </si>
  <si>
    <t xml:space="preserve">Centro de Saúde Santa Inês</t>
  </si>
  <si>
    <t xml:space="preserve">LOC_104</t>
  </si>
  <si>
    <t xml:space="preserve">Rua Itumirim, 50 - Santa Inês</t>
  </si>
  <si>
    <t xml:space="preserve">Rua Itumirim</t>
  </si>
  <si>
    <t xml:space="preserve">Centro de Saúde Santa Rita de Cássia</t>
  </si>
  <si>
    <t xml:space="preserve">LOC_105</t>
  </si>
  <si>
    <t xml:space="preserve">R. Cristina, 961 - São Pedro, Belo Horizonte - MG, 30330-130</t>
  </si>
  <si>
    <t xml:space="preserve">Sao Pedro</t>
  </si>
  <si>
    <t xml:space="preserve">CS4</t>
  </si>
  <si>
    <t xml:space="preserve">Rua Cristina</t>
  </si>
  <si>
    <t xml:space="preserve">961</t>
  </si>
  <si>
    <t xml:space="preserve">30330-130</t>
  </si>
  <si>
    <t xml:space="preserve">Centro de Saúde Santa Rosa</t>
  </si>
  <si>
    <t xml:space="preserve">LOC_106</t>
  </si>
  <si>
    <t xml:space="preserve">Av. Bueno Siqueira, 100 - Universitário, Belo Horizonte - MG, 31255-450</t>
  </si>
  <si>
    <t xml:space="preserve">Universitario</t>
  </si>
  <si>
    <t xml:space="preserve">Avenida Bueno Siqueira</t>
  </si>
  <si>
    <t xml:space="preserve">31255-450</t>
  </si>
  <si>
    <t xml:space="preserve">Centro de Saúde Santa Terezinha</t>
  </si>
  <si>
    <t xml:space="preserve">LOC_107</t>
  </si>
  <si>
    <t xml:space="preserve">Rua Senador Virgílio Távora, n. 157, bairro Santa Terezinha, Belo Horizonte/MG, CEP 31.620-210</t>
  </si>
  <si>
    <t xml:space="preserve">Santa Terezinha</t>
  </si>
  <si>
    <t xml:space="preserve">Rua Senador Virgílio Távora</t>
  </si>
  <si>
    <t xml:space="preserve">157</t>
  </si>
  <si>
    <t xml:space="preserve">31620-210</t>
  </si>
  <si>
    <t xml:space="preserve">Centro de Saúde Santo Antônio</t>
  </si>
  <si>
    <t xml:space="preserve">LOC_108</t>
  </si>
  <si>
    <t xml:space="preserve">R. Irineu Pinto, 255 - São João Batista, Belo Horizonte - MG, 31510-020</t>
  </si>
  <si>
    <t xml:space="preserve">Rua Irineu Pinto</t>
  </si>
  <si>
    <t xml:space="preserve">255</t>
  </si>
  <si>
    <t xml:space="preserve">31510-020</t>
  </si>
  <si>
    <t xml:space="preserve">Centro de Saúde Santos Anjos</t>
  </si>
  <si>
    <t xml:space="preserve">LOC_109</t>
  </si>
  <si>
    <t xml:space="preserve">Rua Miosótis nº 15 B Bairro Caiçaras</t>
  </si>
  <si>
    <t xml:space="preserve">Caiçaras</t>
  </si>
  <si>
    <t xml:space="preserve">Rua Miosótis</t>
  </si>
  <si>
    <t xml:space="preserve">31230-180</t>
  </si>
  <si>
    <t xml:space="preserve">Centro de Saúde São Gabriel</t>
  </si>
  <si>
    <t xml:space="preserve">LOC_110</t>
  </si>
  <si>
    <t xml:space="preserve">R. Ilha de Malta, 353 - São Gabriel, Belo Horizonte - MG, 31980-390</t>
  </si>
  <si>
    <t xml:space="preserve">Sao Gabriel</t>
  </si>
  <si>
    <t xml:space="preserve">Rua Ilha de Malta</t>
  </si>
  <si>
    <t xml:space="preserve">353</t>
  </si>
  <si>
    <t xml:space="preserve">31980-390</t>
  </si>
  <si>
    <t xml:space="preserve">Centro de Saúde São Geraldo</t>
  </si>
  <si>
    <t xml:space="preserve">LOC_111</t>
  </si>
  <si>
    <t xml:space="preserve">Avenida Itaituba n° 318, bairro São Geraldo, Belo Horizonte, CEP 31.060-420</t>
  </si>
  <si>
    <t xml:space="preserve">Avenida Itaituba</t>
  </si>
  <si>
    <t xml:space="preserve">318</t>
  </si>
  <si>
    <t xml:space="preserve">31060-420</t>
  </si>
  <si>
    <t xml:space="preserve">Centro de Saúde São Jorge</t>
  </si>
  <si>
    <t xml:space="preserve">LOC_112</t>
  </si>
  <si>
    <t xml:space="preserve">Rua Garret, 45 - Grajaú, Belo Horizonte - MG, 30431-186</t>
  </si>
  <si>
    <t xml:space="preserve">Rua Garret</t>
  </si>
  <si>
    <t xml:space="preserve">45</t>
  </si>
  <si>
    <t xml:space="preserve">30431-186</t>
  </si>
  <si>
    <t xml:space="preserve">Centro de Saúde São José</t>
  </si>
  <si>
    <t xml:space="preserve">LOC_113</t>
  </si>
  <si>
    <t xml:space="preserve">R. Violeta de Melo, 655 - Jardim São José, Belo Horizonte - MG, 30820-470</t>
  </si>
  <si>
    <t xml:space="preserve">Jardim Sao Jose</t>
  </si>
  <si>
    <t xml:space="preserve">Rua Violeta de Melo</t>
  </si>
  <si>
    <t xml:space="preserve">655</t>
  </si>
  <si>
    <t xml:space="preserve">30820-470</t>
  </si>
  <si>
    <t xml:space="preserve">Centro de Saúde São José Operário</t>
  </si>
  <si>
    <t xml:space="preserve">LOC_114</t>
  </si>
  <si>
    <t xml:space="preserve">Rua Simão Pereira, n° 73, bairro Nova Vista, Belo Horizonte, CEP:31.070-220</t>
  </si>
  <si>
    <t xml:space="preserve">Nova Vista</t>
  </si>
  <si>
    <t xml:space="preserve">Rua Simão Pereira</t>
  </si>
  <si>
    <t xml:space="preserve">31070-220</t>
  </si>
  <si>
    <t xml:space="preserve">Centro de Saúde São Miguel Arcanjo</t>
  </si>
  <si>
    <t xml:space="preserve">LOC_115</t>
  </si>
  <si>
    <t xml:space="preserve">R. Nossa Sra. de Fátima, 2240 - Nossa Senhora de Fátima, Belo Horizonte - MG, 30230-000</t>
  </si>
  <si>
    <t xml:space="preserve">Rua Nossa Senhora de Fátima</t>
  </si>
  <si>
    <t xml:space="preserve">2240</t>
  </si>
  <si>
    <t xml:space="preserve">30230-000</t>
  </si>
  <si>
    <t xml:space="preserve">Centro de Saúde São Tomás</t>
  </si>
  <si>
    <t xml:space="preserve">LOC_116</t>
  </si>
  <si>
    <t xml:space="preserve">R. Santa Rosa, 54 - São Tomaz, Belo Horizonte - MG, 31741-095</t>
  </si>
  <si>
    <t xml:space="preserve">Sao Tomaz</t>
  </si>
  <si>
    <t xml:space="preserve">Rua Santa Rosa</t>
  </si>
  <si>
    <t xml:space="preserve">54</t>
  </si>
  <si>
    <t xml:space="preserve">31741-095</t>
  </si>
  <si>
    <t xml:space="preserve">Centro de Saúde Serrano</t>
  </si>
  <si>
    <t xml:space="preserve">LOC_117</t>
  </si>
  <si>
    <t xml:space="preserve">Rua Tocantins, nº 471, no bairro Serrano, Regional Pampulha;</t>
  </si>
  <si>
    <t xml:space="preserve">Serrano</t>
  </si>
  <si>
    <t xml:space="preserve">471</t>
  </si>
  <si>
    <t xml:space="preserve">30882-240</t>
  </si>
  <si>
    <t xml:space="preserve">Centro de Saúde Taquaril</t>
  </si>
  <si>
    <t xml:space="preserve">LOC_118</t>
  </si>
  <si>
    <t xml:space="preserve">R. Des. Bráulio, 2.200 - Taquaril, Belo Horizonte - MG, 30290-020</t>
  </si>
  <si>
    <t xml:space="preserve">Rua Desembargador Bráulio</t>
  </si>
  <si>
    <t xml:space="preserve">2200</t>
  </si>
  <si>
    <t xml:space="preserve">30290-020</t>
  </si>
  <si>
    <t xml:space="preserve">Centro de Saúde Vale do Jatobá</t>
  </si>
  <si>
    <t xml:space="preserve">LOC_119</t>
  </si>
  <si>
    <t xml:space="preserve">Rua Luiz Leite de Faria, 171 - Vale do Jatoba, Belo Horizonte - MG, 30664-010</t>
  </si>
  <si>
    <t xml:space="preserve">Vale do Jatoba</t>
  </si>
  <si>
    <t xml:space="preserve">Rua Luiz Leite de Faria</t>
  </si>
  <si>
    <t xml:space="preserve">171</t>
  </si>
  <si>
    <t xml:space="preserve">30664-010</t>
  </si>
  <si>
    <t xml:space="preserve">Centro de Saúde Ventosa</t>
  </si>
  <si>
    <t xml:space="preserve">LOC_120</t>
  </si>
  <si>
    <t xml:space="preserve">Rua Cons. Joaquim Caetano 1782</t>
  </si>
  <si>
    <t xml:space="preserve">Jardim America</t>
  </si>
  <si>
    <t xml:space="preserve">Rua Conselheiro Joaquim Caetano</t>
  </si>
  <si>
    <t xml:space="preserve">1782</t>
  </si>
  <si>
    <t xml:space="preserve">30421-470</t>
  </si>
  <si>
    <t xml:space="preserve">Centro de Saúde Vera Cruz</t>
  </si>
  <si>
    <t xml:space="preserve">LOC_121</t>
  </si>
  <si>
    <t xml:space="preserve">Praça Pedro Lessa, 36 - Vera Cruz, Belo Horizonte - MG, 30285-330</t>
  </si>
  <si>
    <t xml:space="preserve">Vera Cruz</t>
  </si>
  <si>
    <t xml:space="preserve">Praça Pedro Lessa</t>
  </si>
  <si>
    <t xml:space="preserve">36</t>
  </si>
  <si>
    <t xml:space="preserve">30285-330</t>
  </si>
  <si>
    <t xml:space="preserve">Centro de Saúde Vila Imperial</t>
  </si>
  <si>
    <t xml:space="preserve">LOC_122</t>
  </si>
  <si>
    <t xml:space="preserve">Rua Guilherme Pinto da Fonseca, 350 - Me. Gertrudes, Belo Horizonte - MG 30518-240</t>
  </si>
  <si>
    <t xml:space="preserve">Madre Gertrudes</t>
  </si>
  <si>
    <t xml:space="preserve">Rua Guilherme Pinto da Fonseca</t>
  </si>
  <si>
    <t xml:space="preserve">350</t>
  </si>
  <si>
    <t xml:space="preserve">30518-240</t>
  </si>
  <si>
    <t xml:space="preserve">Centro de Saúde Vila Leonina</t>
  </si>
  <si>
    <t xml:space="preserve">LOC_123</t>
  </si>
  <si>
    <t xml:space="preserve">Praça do Ensino, 240 - Alpes, Belo Horizonte - MG, 30421-484</t>
  </si>
  <si>
    <t xml:space="preserve">Alpes</t>
  </si>
  <si>
    <t xml:space="preserve">O3</t>
  </si>
  <si>
    <t xml:space="preserve">Praça do Ensino</t>
  </si>
  <si>
    <t xml:space="preserve">240</t>
  </si>
  <si>
    <t xml:space="preserve">30421-484</t>
  </si>
  <si>
    <t xml:space="preserve">Centro de Saúde Vila Maria</t>
  </si>
  <si>
    <t xml:space="preserve">LOC_124</t>
  </si>
  <si>
    <t xml:space="preserve">Avenida dos Sociais, 305 - Jardim Vitoria, Belo Horizonte - MG, 31975-230</t>
  </si>
  <si>
    <t xml:space="preserve">Avenida dos Sociais</t>
  </si>
  <si>
    <t xml:space="preserve">305</t>
  </si>
  <si>
    <t xml:space="preserve">31975-230</t>
  </si>
  <si>
    <t xml:space="preserve">Centro de Saúde Vista Alegre</t>
  </si>
  <si>
    <t xml:space="preserve">LOC_125</t>
  </si>
  <si>
    <t xml:space="preserve">R. Sêneca, 9 - Nova Cintra, Belo Horizonte - MG, 30516-260</t>
  </si>
  <si>
    <t xml:space="preserve">Nova Cintra</t>
  </si>
  <si>
    <t xml:space="preserve">Rua Sêneca</t>
  </si>
  <si>
    <t xml:space="preserve">9</t>
  </si>
  <si>
    <t xml:space="preserve">30516-260</t>
  </si>
  <si>
    <t xml:space="preserve">Centro de Vivência Agroecológica - CEVAE Coqueiros</t>
  </si>
  <si>
    <t xml:space="preserve">LOC_126</t>
  </si>
  <si>
    <t xml:space="preserve">Rua Eneida, 635 - Bairro Coqueiros</t>
  </si>
  <si>
    <t xml:space="preserve">635</t>
  </si>
  <si>
    <t xml:space="preserve">Centro Dia do Idoso Dom Cabral</t>
  </si>
  <si>
    <t xml:space="preserve">LOC_127</t>
  </si>
  <si>
    <t xml:space="preserve">Centro Dia do Idoso Dom Cabral, localizado na Avenida Santa Matilde, nº 325, no bairro Dom Cabral, Regional Noroeste</t>
  </si>
  <si>
    <t xml:space="preserve">Avenida Santa Matilde</t>
  </si>
  <si>
    <t xml:space="preserve">325</t>
  </si>
  <si>
    <t xml:space="preserve">Centro Especializado de Atendimento à Mulher - Benvinda</t>
  </si>
  <si>
    <t xml:space="preserve">LOC_128</t>
  </si>
  <si>
    <t xml:space="preserve">R. Hermilo Alves, 34 - Santa Tereza, Belo Horizonte - MG, 31010-115</t>
  </si>
  <si>
    <t xml:space="preserve">Rua Hermilo Alves</t>
  </si>
  <si>
    <t xml:space="preserve">34</t>
  </si>
  <si>
    <t xml:space="preserve">31010-115</t>
  </si>
  <si>
    <t xml:space="preserve">Complexo Esportivo do Vale do Jatobá</t>
  </si>
  <si>
    <t xml:space="preserve">LOC_129</t>
  </si>
  <si>
    <t xml:space="preserve">Avenida Senador Levindo Coelho, 2280, Bairro Vale do Jatobá</t>
  </si>
  <si>
    <t xml:space="preserve">Avenida Senador Levindo Coelho</t>
  </si>
  <si>
    <t xml:space="preserve">2280</t>
  </si>
  <si>
    <t xml:space="preserve">Conselho Popular de Defesa dos Direitos Humanos dos Moradores do Bairro Jardim Felicidade</t>
  </si>
  <si>
    <t xml:space="preserve">LOC_130</t>
  </si>
  <si>
    <t xml:space="preserve">rua Josefina Guimarães, nº 2.545, bairro Jardim Felicidade</t>
  </si>
  <si>
    <t xml:space="preserve">Rua Josefina Guimarães</t>
  </si>
  <si>
    <t xml:space="preserve">2545</t>
  </si>
  <si>
    <t xml:space="preserve">Creche Arco-Íris</t>
  </si>
  <si>
    <t xml:space="preserve">LOC_131</t>
  </si>
  <si>
    <t xml:space="preserve">R. Visc. de Itaboraí, 191 - Jardim Leblon, Belo Horizonte - MG, 31540-460</t>
  </si>
  <si>
    <t xml:space="preserve">Jardim Leblon</t>
  </si>
  <si>
    <t xml:space="preserve">Rua Visconde de Itaboraí</t>
  </si>
  <si>
    <t xml:space="preserve">191</t>
  </si>
  <si>
    <t xml:space="preserve">31540-460</t>
  </si>
  <si>
    <t xml:space="preserve">Creche Comunitária Eunice Lanza</t>
  </si>
  <si>
    <t xml:space="preserve">LOC_132</t>
  </si>
  <si>
    <t xml:space="preserve">Beco Principal, 183 - Vila da Paz (Novo Gloria), Belo Horizonte - MG, 30865-700</t>
  </si>
  <si>
    <t xml:space="preserve">Vila da Paz</t>
  </si>
  <si>
    <t xml:space="preserve">Beco Principal</t>
  </si>
  <si>
    <t xml:space="preserve">183</t>
  </si>
  <si>
    <t xml:space="preserve">30865-700</t>
  </si>
  <si>
    <t xml:space="preserve">Creche São João Paulo II</t>
  </si>
  <si>
    <t xml:space="preserve">LOC_133</t>
  </si>
  <si>
    <t xml:space="preserve">MONTE REAL, 60 - GRANJA DE FREITAS. 30286100</t>
  </si>
  <si>
    <t xml:space="preserve">Rua Monte Real</t>
  </si>
  <si>
    <t xml:space="preserve">60</t>
  </si>
  <si>
    <t xml:space="preserve">30286-100</t>
  </si>
  <si>
    <t xml:space="preserve">entroncamento do Beco A com Rua Santa Joana Darc e Rua cabo Valério Santos na Vila Joana Darc</t>
  </si>
  <si>
    <t xml:space="preserve">LOC_134</t>
  </si>
  <si>
    <t xml:space="preserve">Atila de Paiva</t>
  </si>
  <si>
    <t xml:space="preserve">B2</t>
  </si>
  <si>
    <t xml:space="preserve">Rua Joana Darc</t>
  </si>
  <si>
    <t xml:space="preserve">5</t>
  </si>
  <si>
    <t xml:space="preserve">Escola Municipal Alice Nacif</t>
  </si>
  <si>
    <t xml:space="preserve">LOC_135</t>
  </si>
  <si>
    <t xml:space="preserve">Rua Expedicionário Paulo de Souza, nº 721, no bairro Confisco, Regional Pampulha</t>
  </si>
  <si>
    <t xml:space="preserve">Confisco</t>
  </si>
  <si>
    <t xml:space="preserve">Rua Expedicionário Paulo de Souza</t>
  </si>
  <si>
    <t xml:space="preserve">721</t>
  </si>
  <si>
    <t xml:space="preserve">Escola Municipal Anne Frank</t>
  </si>
  <si>
    <t xml:space="preserve">LOC_136</t>
  </si>
  <si>
    <t xml:space="preserve">Rua Cecília Magalhães Gomes, nº 445, no bairro Confisco, Regional Pampulha</t>
  </si>
  <si>
    <t xml:space="preserve">Rua Cecília Magalhães Gomes</t>
  </si>
  <si>
    <t xml:space="preserve">31360-510</t>
  </si>
  <si>
    <t xml:space="preserve">Escola Municipal Antônio Gomes Horta</t>
  </si>
  <si>
    <t xml:space="preserve">LOC_137</t>
  </si>
  <si>
    <t xml:space="preserve">Rua Antônio José de Oliveira, 161, bairro Parque São Pedro</t>
  </si>
  <si>
    <t xml:space="preserve">Parque Sao Pedro</t>
  </si>
  <si>
    <t xml:space="preserve">Rua Antônio José de Oliveira</t>
  </si>
  <si>
    <t xml:space="preserve">161</t>
  </si>
  <si>
    <t xml:space="preserve">Escola Municipal Augusta Medeiros</t>
  </si>
  <si>
    <t xml:space="preserve">LOC_138</t>
  </si>
  <si>
    <t xml:space="preserve">Rua General Clark, nº 28, no bairro São Salvador, Regional Noroeste</t>
  </si>
  <si>
    <t xml:space="preserve">Sao Salvador</t>
  </si>
  <si>
    <t xml:space="preserve">Rua General Clark</t>
  </si>
  <si>
    <t xml:space="preserve">28</t>
  </si>
  <si>
    <t xml:space="preserve">Escola Municipal Aurélio Pires</t>
  </si>
  <si>
    <t xml:space="preserve">LOC_139</t>
  </si>
  <si>
    <t xml:space="preserve">Rua Barrinha, 171, bairro Liberdade;</t>
  </si>
  <si>
    <t xml:space="preserve">Rua Barrinha</t>
  </si>
  <si>
    <t xml:space="preserve">Escola Municipal Cônego Sequeira</t>
  </si>
  <si>
    <t xml:space="preserve">LOC_140</t>
  </si>
  <si>
    <t xml:space="preserve">R. Flôr Chuva de Prata, 40 - Independência, Belo Horizonte - MG, 30672-260</t>
  </si>
  <si>
    <t xml:space="preserve">Rua Flor Chuva de Prata</t>
  </si>
  <si>
    <t xml:space="preserve">40</t>
  </si>
  <si>
    <t xml:space="preserve">30672-260</t>
  </si>
  <si>
    <t xml:space="preserve">Escola Municipal da Vila Pinho</t>
  </si>
  <si>
    <t xml:space="preserve">LOC_141</t>
  </si>
  <si>
    <t xml:space="preserve">Rua Coletora, 956, bairro Vila Pinho</t>
  </si>
  <si>
    <t xml:space="preserve">956</t>
  </si>
  <si>
    <t xml:space="preserve">Escola Municipal de Educação Infantil - EMEI Califórnia</t>
  </si>
  <si>
    <t xml:space="preserve">LOC_142</t>
  </si>
  <si>
    <t xml:space="preserve">Rua Quatro Mil Quatrocentos e Vinte e Nove, nº 155, no bairro Conjunto Califórnia, Regional Noroeste</t>
  </si>
  <si>
    <t xml:space="preserve">Rua Quatro Mil Quatrocentos e Vinte e Nove</t>
  </si>
  <si>
    <t xml:space="preserve">155</t>
  </si>
  <si>
    <t xml:space="preserve">Escola Municipal de Educação Infantil - EMEI Califórnia II</t>
  </si>
  <si>
    <t xml:space="preserve">LOC_143</t>
  </si>
  <si>
    <t xml:space="preserve">Rua Cristina Maria de Assis, 550 - Califórnia, Belo Horizonte - MG, 30855-440</t>
  </si>
  <si>
    <t xml:space="preserve">Rua Cristina Maria de Assis</t>
  </si>
  <si>
    <t xml:space="preserve">30855-440</t>
  </si>
  <si>
    <t xml:space="preserve">Escola Municipal de Educação Infantil - EMEI Castelo</t>
  </si>
  <si>
    <t xml:space="preserve">LOC_144</t>
  </si>
  <si>
    <t xml:space="preserve">Rua Castelo de Alcazar, nº 10, no bairro Castelo, Regional Pampulha</t>
  </si>
  <si>
    <t xml:space="preserve">Castelo</t>
  </si>
  <si>
    <t xml:space="preserve">Rua Castelo de Alcazar</t>
  </si>
  <si>
    <t xml:space="preserve">Escola Municipal de Educação Infantil - EMEI Castelo de Crato</t>
  </si>
  <si>
    <t xml:space="preserve">LOC_145</t>
  </si>
  <si>
    <t xml:space="preserve">Rua Castelo de Crato, nº 101, no bairro Castelo, Regional Pampulha</t>
  </si>
  <si>
    <t xml:space="preserve">Rua Castelo de Crato</t>
  </si>
  <si>
    <t xml:space="preserve">101</t>
  </si>
  <si>
    <t xml:space="preserve">Escola Municipal de Educação Infantil - EMEI Coqueiros</t>
  </si>
  <si>
    <t xml:space="preserve">LOC_146</t>
  </si>
  <si>
    <t xml:space="preserve">Escola Municipal de Educação Infantil - EMEI Itatiaia</t>
  </si>
  <si>
    <t xml:space="preserve">LOC_147</t>
  </si>
  <si>
    <t xml:space="preserve">Rua Maria Cecília, nº 270, no bairro Santa Terezinha, Regional Pampulha</t>
  </si>
  <si>
    <t xml:space="preserve">Rua Maria Cecília</t>
  </si>
  <si>
    <t xml:space="preserve">270</t>
  </si>
  <si>
    <t xml:space="preserve">Escola Municipal de Educação Infantil - EMEI Jardim Montanhês</t>
  </si>
  <si>
    <t xml:space="preserve">LOC_148</t>
  </si>
  <si>
    <t xml:space="preserve">Rua Leopoldo Pereira, nº 197, no bairro Jardim Montanhês, Regional Noroeste</t>
  </si>
  <si>
    <t xml:space="preserve">197</t>
  </si>
  <si>
    <t xml:space="preserve">Escola Municipal de Educação Infantil - EMEI JULIANA</t>
  </si>
  <si>
    <t xml:space="preserve">LOC_149</t>
  </si>
  <si>
    <t xml:space="preserve">rua da Galeria, 1130 - Juliana</t>
  </si>
  <si>
    <t xml:space="preserve">Juliana</t>
  </si>
  <si>
    <t xml:space="preserve">Rua da Galeria</t>
  </si>
  <si>
    <t xml:space="preserve">1130</t>
  </si>
  <si>
    <t xml:space="preserve">Escola Municipal de Educação Infantil - EMEI Marfim</t>
  </si>
  <si>
    <t xml:space="preserve">LOC_150</t>
  </si>
  <si>
    <t xml:space="preserve">Rua Assumar, nº 375, no bairro Pindorama, Regional Noroeste</t>
  </si>
  <si>
    <t xml:space="preserve">Rua Assumar</t>
  </si>
  <si>
    <t xml:space="preserve">Escola Municipal de Educação Infantil - EMEI Monte Azul</t>
  </si>
  <si>
    <t xml:space="preserve">LOC_151</t>
  </si>
  <si>
    <t xml:space="preserve">R. Amélia de Almeida, 10 - Monte Azul, Belo Horizonte - MG, 31872-620</t>
  </si>
  <si>
    <t xml:space="preserve">Monte Azul</t>
  </si>
  <si>
    <t xml:space="preserve">Rua Amélia de Almeida</t>
  </si>
  <si>
    <t xml:space="preserve">31872-620</t>
  </si>
  <si>
    <t xml:space="preserve">Escola Municipal de Educação Infantil - EMEI Pindorama</t>
  </si>
  <si>
    <t xml:space="preserve">LOC_152</t>
  </si>
  <si>
    <t xml:space="preserve">Rua Guararapes, nº 1850, no bairro Pindorama, Regional Noroeste</t>
  </si>
  <si>
    <t xml:space="preserve">Rua Guararapes</t>
  </si>
  <si>
    <t xml:space="preserve">1850</t>
  </si>
  <si>
    <t xml:space="preserve">Escola Municipal de Educação Infantil - EMEI Pituchinha</t>
  </si>
  <si>
    <t xml:space="preserve">LOC_153</t>
  </si>
  <si>
    <t xml:space="preserve">Rua Marquês de Lavradio, nº 619, no bairro João Pinheiro, Regional Noroeste</t>
  </si>
  <si>
    <t xml:space="preserve">Rua Marquês de Lavradio</t>
  </si>
  <si>
    <t xml:space="preserve">619</t>
  </si>
  <si>
    <t xml:space="preserve">Escola Municipal de Educação Infantil - EMEI Professor Christovam Colombo Santos</t>
  </si>
  <si>
    <t xml:space="preserve">LOC_154</t>
  </si>
  <si>
    <t xml:space="preserve">Rua Vereador Nelson Cunha, 137, Estoril</t>
  </si>
  <si>
    <t xml:space="preserve">Estoril</t>
  </si>
  <si>
    <t xml:space="preserve">O5</t>
  </si>
  <si>
    <t xml:space="preserve">Rua Vereador Nelson Cunha</t>
  </si>
  <si>
    <t xml:space="preserve">137</t>
  </si>
  <si>
    <t xml:space="preserve">30455-070</t>
  </si>
  <si>
    <t xml:space="preserve">Escola Municipal de Educação Infantil - EMEI Sabinópolis</t>
  </si>
  <si>
    <t xml:space="preserve">LOC_155</t>
  </si>
  <si>
    <t xml:space="preserve">Rua Sabinópolis, nº 120, no bairro Carlos Prates, Regional Noroeste</t>
  </si>
  <si>
    <t xml:space="preserve">Carlos Prates</t>
  </si>
  <si>
    <t xml:space="preserve">Rua Sabinópolis</t>
  </si>
  <si>
    <t xml:space="preserve">Escola Municipal de Educação Infantil - EMEI Sarandi</t>
  </si>
  <si>
    <t xml:space="preserve">LOC_156</t>
  </si>
  <si>
    <t xml:space="preserve">Rua Deputado Augusto Gonçalves, nº 150, no bairro Serrano, Regional Pampulha;</t>
  </si>
  <si>
    <t xml:space="preserve">Rua Deputado Augusto Gonçalves</t>
  </si>
  <si>
    <t xml:space="preserve">Escola Municipal de Educação Infantil - EMEI Urca Confisco</t>
  </si>
  <si>
    <t xml:space="preserve">LOC_157</t>
  </si>
  <si>
    <t xml:space="preserve">Rua Expedicionário Paulo de Souza, nº 701, no bairro Confisco, Regional Pampulha</t>
  </si>
  <si>
    <t xml:space="preserve">701</t>
  </si>
  <si>
    <t xml:space="preserve">Escola Municipal de Educação Infantil - EMEI Vila Antena</t>
  </si>
  <si>
    <t xml:space="preserve">LOC_158</t>
  </si>
  <si>
    <t xml:space="preserve">Rua Flor do Oriente, nº 137, no bairro Jardim Alvorada, Regional Pampulha</t>
  </si>
  <si>
    <t xml:space="preserve">Jardim Alvorada</t>
  </si>
  <si>
    <t xml:space="preserve">Rua Flor do Oriente</t>
  </si>
  <si>
    <t xml:space="preserve">Escola Municipal de Educação Infantil - EMEI Vila São Vicente</t>
  </si>
  <si>
    <t xml:space="preserve">LOC_159</t>
  </si>
  <si>
    <t xml:space="preserve">Rua Humaitá, nº 1149, no bairro Padre Eustáquio, Regional Noroeste</t>
  </si>
  <si>
    <t xml:space="preserve">Rua Humaitá</t>
  </si>
  <si>
    <t xml:space="preserve">1149</t>
  </si>
  <si>
    <t xml:space="preserve">Escola Municipal de Educação Infantil Céu Azul</t>
  </si>
  <si>
    <t xml:space="preserve">LOC_160</t>
  </si>
  <si>
    <t xml:space="preserve">Rua São João Batista do Glória, 530, bairro Piratininga</t>
  </si>
  <si>
    <t xml:space="preserve">Piratininga</t>
  </si>
  <si>
    <t xml:space="preserve">Rua São João Batista do Glória</t>
  </si>
  <si>
    <t xml:space="preserve">530</t>
  </si>
  <si>
    <t xml:space="preserve">Escola Municipal de Educação Infantil Floramar</t>
  </si>
  <si>
    <t xml:space="preserve">LOC_161</t>
  </si>
  <si>
    <t xml:space="preserve">Rua José Ferreira Magalhães, 87 - Floramar</t>
  </si>
  <si>
    <t xml:space="preserve">Floramar</t>
  </si>
  <si>
    <t xml:space="preserve">Rua José Ferreira Magalhães</t>
  </si>
  <si>
    <t xml:space="preserve">87</t>
  </si>
  <si>
    <t xml:space="preserve">Escola Municipal de Educação Infantil Heliopolis</t>
  </si>
  <si>
    <t xml:space="preserve">LOC_162</t>
  </si>
  <si>
    <t xml:space="preserve">Rua dos Beneditinos, nº 220, bairro Heliópolis</t>
  </si>
  <si>
    <t xml:space="preserve">220</t>
  </si>
  <si>
    <t xml:space="preserve">Escola Municipal de Educação Infantil Petrópolis</t>
  </si>
  <si>
    <t xml:space="preserve">LOC_163</t>
  </si>
  <si>
    <t xml:space="preserve">Rua Duzentos E Oitenta E Cinco, 107 - Petrópolis, Belo Horizonte - MG, 30666-517</t>
  </si>
  <si>
    <t xml:space="preserve">Petropolis</t>
  </si>
  <si>
    <t xml:space="preserve">Rua Duzentos E Oitenta E Cinco</t>
  </si>
  <si>
    <t xml:space="preserve">107</t>
  </si>
  <si>
    <t xml:space="preserve">30666-517</t>
  </si>
  <si>
    <t xml:space="preserve">Escola Municipal de Educação Infantil Vila Clóris</t>
  </si>
  <si>
    <t xml:space="preserve">LOC_164</t>
  </si>
  <si>
    <t xml:space="preserve">R. das Gaivotas, 838 - Vila Cloris</t>
  </si>
  <si>
    <t xml:space="preserve">Vila Cloris</t>
  </si>
  <si>
    <t xml:space="preserve">Rua das Gaivotas</t>
  </si>
  <si>
    <t xml:space="preserve">838</t>
  </si>
  <si>
    <t xml:space="preserve">Escola Municipal de Ensino Fundamental Levindo Lopes</t>
  </si>
  <si>
    <t xml:space="preserve">LOC_165</t>
  </si>
  <si>
    <t xml:space="preserve">R. Fluorina, 1460 - Paraíso, Belo Horizonte - MG, 30280-340</t>
  </si>
  <si>
    <t xml:space="preserve">Rua Fluorina</t>
  </si>
  <si>
    <t xml:space="preserve">1460</t>
  </si>
  <si>
    <t xml:space="preserve">30280-340</t>
  </si>
  <si>
    <t xml:space="preserve">Escola municipal de Ensino Fundamental Maria das Neves</t>
  </si>
  <si>
    <t xml:space="preserve">LOC_166</t>
  </si>
  <si>
    <t xml:space="preserve">R. Piranga, 39 - São Lucas, Belo Horizonte - MG, 30240-310</t>
  </si>
  <si>
    <t xml:space="preserve">Sao Lucas</t>
  </si>
  <si>
    <t xml:space="preserve">Rua Piranga</t>
  </si>
  <si>
    <t xml:space="preserve">39</t>
  </si>
  <si>
    <t xml:space="preserve">30240-310</t>
  </si>
  <si>
    <t xml:space="preserve">Escola Municipal de Ensino Fundamental Padre Guilherme de Peters</t>
  </si>
  <si>
    <t xml:space="preserve">LOC_167</t>
  </si>
  <si>
    <t xml:space="preserve">Rua Coronel Jorge Davis, nº 300, Vila Nossa Senhora do Rosário, Serra</t>
  </si>
  <si>
    <t xml:space="preserve">300</t>
  </si>
  <si>
    <t xml:space="preserve">Escola Municipal de Ensino Fundamental Professor Edson Pisani</t>
  </si>
  <si>
    <t xml:space="preserve">LOC_168</t>
  </si>
  <si>
    <t xml:space="preserve">Rua Nossa Senhora de Fatima, nº1015, Vila Nossa Senhora de Fatima, Serra</t>
  </si>
  <si>
    <t xml:space="preserve">Rua Nossa Senhora de Fatima</t>
  </si>
  <si>
    <t xml:space="preserve">1015</t>
  </si>
  <si>
    <t xml:space="preserve">Escola Municipal de Ensino Fundamental Santos Dumont</t>
  </si>
  <si>
    <t xml:space="preserve">LOC_169</t>
  </si>
  <si>
    <t xml:space="preserve">Av. Mem de Sá, 600 - Santa Efigênia, Belo Horizonte - MG, 30260-270</t>
  </si>
  <si>
    <t xml:space="preserve">Santa Efigenia</t>
  </si>
  <si>
    <t xml:space="preserve">Escola municipal de Ensino Fundamental Senador Levindo Coelho</t>
  </si>
  <si>
    <t xml:space="preserve">LOC_170</t>
  </si>
  <si>
    <t xml:space="preserve">Rua Caraça, nº 850, no Bairro Mangabeiras</t>
  </si>
  <si>
    <t xml:space="preserve">Mangabeiras</t>
  </si>
  <si>
    <t xml:space="preserve">Rua Caraça</t>
  </si>
  <si>
    <t xml:space="preserve">850</t>
  </si>
  <si>
    <t xml:space="preserve">Escola Municipal de Ensino Fundamental Vila Fazendinha</t>
  </si>
  <si>
    <t xml:space="preserve">LOC_171</t>
  </si>
  <si>
    <t xml:space="preserve">R. Paulo De Souza, 51 - Fazendinha, Belo Horizonte - MG, 30250-430</t>
  </si>
  <si>
    <t xml:space="preserve">Fazendinha</t>
  </si>
  <si>
    <t xml:space="preserve">Rua Paulo De Souza</t>
  </si>
  <si>
    <t xml:space="preserve">30250-430</t>
  </si>
  <si>
    <t xml:space="preserve">Escola Municipal Deputado Milton Salles</t>
  </si>
  <si>
    <t xml:space="preserve">LOC_172</t>
  </si>
  <si>
    <t xml:space="preserve">R. Teófilo Filho, 222 - Estoril, Belo Horizonte - MG, 30494-005</t>
  </si>
  <si>
    <t xml:space="preserve">Rua Teófilo Filho</t>
  </si>
  <si>
    <t xml:space="preserve">222</t>
  </si>
  <si>
    <t xml:space="preserve">30494-005</t>
  </si>
  <si>
    <t xml:space="preserve">Escola Municipal Dom Bosco</t>
  </si>
  <si>
    <t xml:space="preserve">LOC_173</t>
  </si>
  <si>
    <t xml:space="preserve">Rua Bicuíba, nº 100, no bairro Dom Bosco, Regional Noroeste</t>
  </si>
  <si>
    <t xml:space="preserve">Rua Bicuíba</t>
  </si>
  <si>
    <t xml:space="preserve">Escola Municipal Dora Tomich Laender</t>
  </si>
  <si>
    <t xml:space="preserve">LOC_174</t>
  </si>
  <si>
    <t xml:space="preserve">R. Julita Nunes Lima, nº 53, Bairro: Minas Caixa</t>
  </si>
  <si>
    <t xml:space="preserve">Rua Julita Nunes Lima</t>
  </si>
  <si>
    <t xml:space="preserve">53</t>
  </si>
  <si>
    <t xml:space="preserve">Escola Municipal Francisca Alves</t>
  </si>
  <si>
    <t xml:space="preserve">LOC_175</t>
  </si>
  <si>
    <t xml:space="preserve">Avenida Santa Terezinha, nº 8, no bairro Conjunto Lagoa, Regional Pampulha</t>
  </si>
  <si>
    <t xml:space="preserve">Conjunto Lagoa</t>
  </si>
  <si>
    <t xml:space="preserve">Avenida Santa Terezinha</t>
  </si>
  <si>
    <t xml:space="preserve">31365-000</t>
  </si>
  <si>
    <t xml:space="preserve">Escola Municipal Ignácio de Andrade Melo</t>
  </si>
  <si>
    <t xml:space="preserve">LOC_176</t>
  </si>
  <si>
    <t xml:space="preserve">Rua Violeta de Melo, nº 988, no bairro Jardim São José, Regional Pampulha</t>
  </si>
  <si>
    <t xml:space="preserve">988</t>
  </si>
  <si>
    <t xml:space="preserve">Escola Municipal Jardim Felicidade</t>
  </si>
  <si>
    <t xml:space="preserve">LOC_177</t>
  </si>
  <si>
    <t xml:space="preserve">R. Expedicionário Jesus Ramos, 250 - Jardim Felicidade, Belo Horizonte - MG, 31765-350</t>
  </si>
  <si>
    <t xml:space="preserve">Rua Expedicionário Jesus Ramos</t>
  </si>
  <si>
    <t xml:space="preserve">250</t>
  </si>
  <si>
    <t xml:space="preserve">31765-350</t>
  </si>
  <si>
    <t xml:space="preserve">Escola Municipal João Pinheiro</t>
  </si>
  <si>
    <t xml:space="preserve">LOC_178</t>
  </si>
  <si>
    <t xml:space="preserve">Rua Padre Manoel Bernardes, nº 303, no bairro Alto dos Pinheiros, Regional Noroeste</t>
  </si>
  <si>
    <t xml:space="preserve">Alto dos Pinheiros</t>
  </si>
  <si>
    <t xml:space="preserve">Rua Padre Manoel Bernardes</t>
  </si>
  <si>
    <t xml:space="preserve">303</t>
  </si>
  <si>
    <t xml:space="preserve">Escola Municipal Jonas Barcellos Côrrea</t>
  </si>
  <si>
    <t xml:space="preserve">LOC_179</t>
  </si>
  <si>
    <t xml:space="preserve">R. Profa. Dirce Maria, 240 - Petrópolis, Belo Horizonte - MG, 30666-515</t>
  </si>
  <si>
    <t xml:space="preserve">Rua Professora Dirce Maria</t>
  </si>
  <si>
    <t xml:space="preserve">30666-515</t>
  </si>
  <si>
    <t xml:space="preserve">Escola Municipal Júlia Paraíso</t>
  </si>
  <si>
    <t xml:space="preserve">LOC_180</t>
  </si>
  <si>
    <t xml:space="preserve">Rua Tiês, nº 100, no bairro Alípio de Melo, Regional Pampulha</t>
  </si>
  <si>
    <t xml:space="preserve">Rua Tiês</t>
  </si>
  <si>
    <t xml:space="preserve">Escola Municipal Luigi Toniolo</t>
  </si>
  <si>
    <t xml:space="preserve">LOC_181</t>
  </si>
  <si>
    <t xml:space="preserve">Rua Mafra, nº 124, no bairro Novo Glória, Regional Noroeste</t>
  </si>
  <si>
    <t xml:space="preserve">Rua Mafra</t>
  </si>
  <si>
    <t xml:space="preserve">124</t>
  </si>
  <si>
    <t xml:space="preserve">Escola Municipal Maria de Magalhães Pinto</t>
  </si>
  <si>
    <t xml:space="preserve">LOC_182</t>
  </si>
  <si>
    <t xml:space="preserve">Rua Senador Virgílio Távora, nº 155, no bairro Santa Terezinha, Regional Pampulha</t>
  </si>
  <si>
    <t xml:space="preserve">Escola Municipal Maria de Rezende Costa</t>
  </si>
  <si>
    <t xml:space="preserve">LOC_183</t>
  </si>
  <si>
    <t xml:space="preserve">Avenida Abílio Machado, nº 1009, no bairro Glória, Regional Noroeste</t>
  </si>
  <si>
    <t xml:space="preserve">Avenida Abílio Machado</t>
  </si>
  <si>
    <t xml:space="preserve">1009</t>
  </si>
  <si>
    <t xml:space="preserve">Escola Municipal Mário Werneck</t>
  </si>
  <si>
    <t xml:space="preserve">LOC_184</t>
  </si>
  <si>
    <t xml:space="preserve">Rua Abati, 10 - Santa Maria, Belo Horizonte - MG, 30525-260</t>
  </si>
  <si>
    <t xml:space="preserve">Santa Maria</t>
  </si>
  <si>
    <t xml:space="preserve">Rua Abati</t>
  </si>
  <si>
    <t xml:space="preserve">30525-260</t>
  </si>
  <si>
    <t xml:space="preserve">Escola Municipal Marlene Pereira Rancante</t>
  </si>
  <si>
    <t xml:space="preserve">LOC_185</t>
  </si>
  <si>
    <t xml:space="preserve">Rua dos Comerciantes, nº 38, no bairro Alípio de Melo, Regional Pampulha</t>
  </si>
  <si>
    <t xml:space="preserve">Rua dos Comerciantes</t>
  </si>
  <si>
    <t xml:space="preserve">38</t>
  </si>
  <si>
    <t xml:space="preserve">Escola Municipal Mestre Ataíde</t>
  </si>
  <si>
    <t xml:space="preserve">LOC_186</t>
  </si>
  <si>
    <t xml:space="preserve">R. Augusto José dos Santos, 560 - Betânia, Belo Horizonte - MG, 30580-100</t>
  </si>
  <si>
    <t xml:space="preserve">Rua Augusto Jose dos Santos</t>
  </si>
  <si>
    <t xml:space="preserve">560</t>
  </si>
  <si>
    <t xml:space="preserve">30580-100</t>
  </si>
  <si>
    <t xml:space="preserve">Escola Municipal Minervina Augusta</t>
  </si>
  <si>
    <t xml:space="preserve">LOC_187</t>
  </si>
  <si>
    <t xml:space="preserve">rua David Canabarro, nº 18, bairro Campo Alegre</t>
  </si>
  <si>
    <t xml:space="preserve">Campo Alegre</t>
  </si>
  <si>
    <t xml:space="preserve">Rua David Canabarro</t>
  </si>
  <si>
    <t xml:space="preserve">18</t>
  </si>
  <si>
    <t xml:space="preserve">Escola Municipal Oswaldo Cruz</t>
  </si>
  <si>
    <t xml:space="preserve">LOC_188</t>
  </si>
  <si>
    <t xml:space="preserve">R. Santos, 2200 - Jardim America, Belo Horizonte - MG, 30421-490</t>
  </si>
  <si>
    <t xml:space="preserve">Rua Santos</t>
  </si>
  <si>
    <t xml:space="preserve">30421-490</t>
  </si>
  <si>
    <t xml:space="preserve">Escola Municipal Padre Edeimar Massote</t>
  </si>
  <si>
    <t xml:space="preserve">LOC_189</t>
  </si>
  <si>
    <t xml:space="preserve">Escola Municipal Padre Marzano Matias</t>
  </si>
  <si>
    <t xml:space="preserve">LOC_190</t>
  </si>
  <si>
    <t xml:space="preserve">Rua Érico Veríssimo, 1280, bairro Rio Branco</t>
  </si>
  <si>
    <t xml:space="preserve">Rio Branco</t>
  </si>
  <si>
    <t xml:space="preserve">Rua Érico Veríssimo</t>
  </si>
  <si>
    <t xml:space="preserve">1280</t>
  </si>
  <si>
    <t xml:space="preserve">Escola Municipal Prefeito Oswaldo Pieruccetti</t>
  </si>
  <si>
    <t xml:space="preserve">LOC_191</t>
  </si>
  <si>
    <t xml:space="preserve">Rua Regida, nº 309, no bairro Conjunto Jardim Filadélfia, Regional Noroeste</t>
  </si>
  <si>
    <t xml:space="preserve">Escola Municipal Professor João Camilo de Oliveira Torres</t>
  </si>
  <si>
    <t xml:space="preserve">LOC_192</t>
  </si>
  <si>
    <t xml:space="preserve">Rua Ester Batista Vieira, nº 12, no bairro Califórnia, Regional Noroeste</t>
  </si>
  <si>
    <t xml:space="preserve">Rua Ester Batista Vieira</t>
  </si>
  <si>
    <t xml:space="preserve">Escola Municipal Professor Moacyr Andrade</t>
  </si>
  <si>
    <t xml:space="preserve">LOC_193</t>
  </si>
  <si>
    <t xml:space="preserve">Rua dos Caçadores, nº 93, Lagoa</t>
  </si>
  <si>
    <t xml:space="preserve">Lagoa</t>
  </si>
  <si>
    <t xml:space="preserve">Rua dos Caçadores</t>
  </si>
  <si>
    <t xml:space="preserve">93</t>
  </si>
  <si>
    <t xml:space="preserve">Escola Municipal Santa Terezinha</t>
  </si>
  <si>
    <t xml:space="preserve">LOC_194</t>
  </si>
  <si>
    <t xml:space="preserve">Rua Conceição da Aparecida, nº 400, no bairro Santa Terezinha, Regional Pampulha</t>
  </si>
  <si>
    <t xml:space="preserve">Rua Conceição da Aparecida</t>
  </si>
  <si>
    <t xml:space="preserve">400</t>
  </si>
  <si>
    <t xml:space="preserve">Escola Municipal Secretário Humberto Almeida</t>
  </si>
  <si>
    <t xml:space="preserve">LOC_195</t>
  </si>
  <si>
    <t xml:space="preserve">R. Areia Branca, 3 - Ribeiro de Abreu, Belo Horizonte - MG, 31872-400</t>
  </si>
  <si>
    <t xml:space="preserve">Rua Areia Branca</t>
  </si>
  <si>
    <t xml:space="preserve">3</t>
  </si>
  <si>
    <t xml:space="preserve">31872-400</t>
  </si>
  <si>
    <t xml:space="preserve">Escola Municipal Tabajara Pedroso</t>
  </si>
  <si>
    <t xml:space="preserve">LOC_196</t>
  </si>
  <si>
    <t xml:space="preserve">rua Geraldo Assunção, nº:45, bairro: Candelária</t>
  </si>
  <si>
    <t xml:space="preserve">Candelaria</t>
  </si>
  <si>
    <t xml:space="preserve">Rua Geraldo Assunção</t>
  </si>
  <si>
    <t xml:space="preserve">Escola Municipal Vinícius de Moraes</t>
  </si>
  <si>
    <t xml:space="preserve">LOC_197</t>
  </si>
  <si>
    <t xml:space="preserve">Rua Sebastião Moreira, 409, bairro Tirol</t>
  </si>
  <si>
    <t xml:space="preserve">Rua Sebastião Moreira</t>
  </si>
  <si>
    <t xml:space="preserve">409</t>
  </si>
  <si>
    <t xml:space="preserve">Farmácia Recanto Amor Fraterno</t>
  </si>
  <si>
    <t xml:space="preserve">LOC_198</t>
  </si>
  <si>
    <t xml:space="preserve">rua prados, 366, Carlos Prates</t>
  </si>
  <si>
    <t xml:space="preserve">Rua Prados</t>
  </si>
  <si>
    <t xml:space="preserve">366</t>
  </si>
  <si>
    <t xml:space="preserve">Horta da Creche Nossa Senhora Do Carmo Vila Santa Rita De Cassia</t>
  </si>
  <si>
    <t xml:space="preserve">LOC_199</t>
  </si>
  <si>
    <t xml:space="preserve">Rua União, 83</t>
  </si>
  <si>
    <t xml:space="preserve">Santa Rita de Cassia</t>
  </si>
  <si>
    <t xml:space="preserve">CS5</t>
  </si>
  <si>
    <t xml:space="preserve">Rua Uniao</t>
  </si>
  <si>
    <t xml:space="preserve">83</t>
  </si>
  <si>
    <t xml:space="preserve">Horta no Centro de Referência da Pessoa Idosa - CRPI</t>
  </si>
  <si>
    <t xml:space="preserve">LOC_200</t>
  </si>
  <si>
    <t xml:space="preserve">Rua R. Perdizes, 336 - Caiçaras, Belo Horizonte</t>
  </si>
  <si>
    <t xml:space="preserve">Rua Perdizes</t>
  </si>
  <si>
    <t xml:space="preserve">336</t>
  </si>
  <si>
    <t xml:space="preserve">Horta Projeto Itamar Serra</t>
  </si>
  <si>
    <t xml:space="preserve">LOC_201</t>
  </si>
  <si>
    <t xml:space="preserve">Rua Regência, em frente ao número 409</t>
  </si>
  <si>
    <t xml:space="preserve">Rua Regencia</t>
  </si>
  <si>
    <t xml:space="preserve">Horta Santa Lúcia</t>
  </si>
  <si>
    <t xml:space="preserve">LOC_202</t>
  </si>
  <si>
    <t xml:space="preserve">Rua João Evangelista Pinheiro 188, Santa Lúcia</t>
  </si>
  <si>
    <t xml:space="preserve">Santa Lucia</t>
  </si>
  <si>
    <t xml:space="preserve">Rua João Evangelista Pinheiro</t>
  </si>
  <si>
    <t xml:space="preserve">188</t>
  </si>
  <si>
    <t xml:space="preserve">Horta Vila Nossa Senhora da Aparecida</t>
  </si>
  <si>
    <t xml:space="preserve">LOC_203</t>
  </si>
  <si>
    <t xml:space="preserve">Rua Do Cerrado, 112</t>
  </si>
  <si>
    <t xml:space="preserve">Venda Nova</t>
  </si>
  <si>
    <t xml:space="preserve">Rua Do Cerrado</t>
  </si>
  <si>
    <t xml:space="preserve">112</t>
  </si>
  <si>
    <t xml:space="preserve">Hospital Alberto Cavalcanti</t>
  </si>
  <si>
    <t xml:space="preserve">LOC_204</t>
  </si>
  <si>
    <t xml:space="preserve">R. Camilo de Brito, 636 - Padre Eustáquio, Belo Horizonte - MG, 30730-540</t>
  </si>
  <si>
    <t xml:space="preserve">Rua Camilo de Brito</t>
  </si>
  <si>
    <t xml:space="preserve">636</t>
  </si>
  <si>
    <t xml:space="preserve">30730-540</t>
  </si>
  <si>
    <t xml:space="preserve">Hospital da Baleia (Fundação Benjamin Guimarães)</t>
  </si>
  <si>
    <t xml:space="preserve">LOC_205</t>
  </si>
  <si>
    <t xml:space="preserve">R. Juramento, 1464 - Saudade, Belo Horizonte - MG, 30285-408</t>
  </si>
  <si>
    <t xml:space="preserve">Saudade</t>
  </si>
  <si>
    <t xml:space="preserve">Rua Juramento</t>
  </si>
  <si>
    <t xml:space="preserve">1464</t>
  </si>
  <si>
    <t xml:space="preserve">30285-408</t>
  </si>
  <si>
    <t xml:space="preserve">Hospital Eduardo de Menezes</t>
  </si>
  <si>
    <t xml:space="preserve">LOC_206</t>
  </si>
  <si>
    <t xml:space="preserve">R. Dr. Cristiano Rezende, 2213 - Bonsucesso, Belo Horizonte - MG, 30622-020</t>
  </si>
  <si>
    <t xml:space="preserve">Bonsucesso</t>
  </si>
  <si>
    <t xml:space="preserve">Rua Dr. Cristiano Rezende</t>
  </si>
  <si>
    <t xml:space="preserve">2213</t>
  </si>
  <si>
    <t xml:space="preserve">30622-020</t>
  </si>
  <si>
    <t xml:space="preserve">Hospital Eduardo de Menezes, Ambulatório Anyky Lima</t>
  </si>
  <si>
    <t xml:space="preserve">LOC_207</t>
  </si>
  <si>
    <t xml:space="preserve">Hospital Evangelico (Associação Evangélica Beneficente de Minas Gerais - AEBMG)</t>
  </si>
  <si>
    <t xml:space="preserve">LOC_208</t>
  </si>
  <si>
    <t xml:space="preserve">R. Doutor Alípio Goulart, 25 - Serra, Belo Horizonte - MG, 30220-330</t>
  </si>
  <si>
    <t xml:space="preserve">Rua Doutor Alípio Goulart</t>
  </si>
  <si>
    <t xml:space="preserve">30220-330</t>
  </si>
  <si>
    <t xml:space="preserve">Hospital Infantil João Paulo II</t>
  </si>
  <si>
    <t xml:space="preserve">LOC_209</t>
  </si>
  <si>
    <t xml:space="preserve">Alameda Ezequiel Dias, 345 - Centro, Belo Horizonte - MG, 30130-110</t>
  </si>
  <si>
    <t xml:space="preserve">345</t>
  </si>
  <si>
    <t xml:space="preserve">Hospital João XXIII</t>
  </si>
  <si>
    <t xml:space="preserve">LOC_210</t>
  </si>
  <si>
    <t xml:space="preserve">Av. Prof. Alfredo Balena, 400 - Centro, Belo Horizonte - MG, 30130-100</t>
  </si>
  <si>
    <t xml:space="preserve">Av. Prof. Alfredo Balena</t>
  </si>
  <si>
    <t xml:space="preserve">30130-100</t>
  </si>
  <si>
    <t xml:space="preserve">Hospital Júlia Kubitschek</t>
  </si>
  <si>
    <t xml:space="preserve">LOC_211</t>
  </si>
  <si>
    <t xml:space="preserve">R. Dr. Cristiano Rezende, 2745 - Flávio Marques Lisboa, Belo Horizonte - MG, 30610-720</t>
  </si>
  <si>
    <t xml:space="preserve">Rua Doutor Cristiano Rezende</t>
  </si>
  <si>
    <t xml:space="preserve">2745</t>
  </si>
  <si>
    <t xml:space="preserve">30610-720</t>
  </si>
  <si>
    <t xml:space="preserve">Hospital Luxemburgo</t>
  </si>
  <si>
    <t xml:space="preserve">LOC_212</t>
  </si>
  <si>
    <t xml:space="preserve">R. Gentios, 1350 - Luxemburgo, Belo Horizonte - MG, 30380-490</t>
  </si>
  <si>
    <t xml:space="preserve">Luxemburgo</t>
  </si>
  <si>
    <t xml:space="preserve">Rua Gentios</t>
  </si>
  <si>
    <t xml:space="preserve">1350</t>
  </si>
  <si>
    <t xml:space="preserve">30380-490</t>
  </si>
  <si>
    <t xml:space="preserve">Hospital Madre Tereza</t>
  </si>
  <si>
    <t xml:space="preserve">LOC_213</t>
  </si>
  <si>
    <t xml:space="preserve">Avenida Raja Gabáglia, 1002  - Gutierrez, Belo Horizonte - MG, 30441-070</t>
  </si>
  <si>
    <t xml:space="preserve">Gutierrez</t>
  </si>
  <si>
    <t xml:space="preserve">Avenida Raja Gabáglia</t>
  </si>
  <si>
    <t xml:space="preserve">1002</t>
  </si>
  <si>
    <t xml:space="preserve">30441-070</t>
  </si>
  <si>
    <t xml:space="preserve">Hospital Mario Penna</t>
  </si>
  <si>
    <t xml:space="preserve">LOC_214</t>
  </si>
  <si>
    <t xml:space="preserve">R. Joaquim Cândido Filho, 91 - Luxemburgo, Belo Horizonte - MG, 30380-420</t>
  </si>
  <si>
    <t xml:space="preserve">Rua Joaquim Cândido Filho</t>
  </si>
  <si>
    <t xml:space="preserve">91</t>
  </si>
  <si>
    <t xml:space="preserve">30380-420</t>
  </si>
  <si>
    <t xml:space="preserve">Hospital Mario Penna Avenida Churchill</t>
  </si>
  <si>
    <t xml:space="preserve">LOC_215</t>
  </si>
  <si>
    <t xml:space="preserve">Avenida Churchil, 230, Bairro Santa Efigênia</t>
  </si>
  <si>
    <t xml:space="preserve">Avenida Churchil</t>
  </si>
  <si>
    <t xml:space="preserve">230</t>
  </si>
  <si>
    <t xml:space="preserve">Hospital Metropolitano Doutor Célio de Castro</t>
  </si>
  <si>
    <t xml:space="preserve">LOC_216</t>
  </si>
  <si>
    <t xml:space="preserve">Rua Dona Luiza, 311 - Milionários, Belo Horizonte - MG, 30620-090</t>
  </si>
  <si>
    <t xml:space="preserve">Rua Dona Luiza</t>
  </si>
  <si>
    <t xml:space="preserve">311</t>
  </si>
  <si>
    <t xml:space="preserve">30620-090</t>
  </si>
  <si>
    <t xml:space="preserve">Hospital Metropolitano Odilon Behrens</t>
  </si>
  <si>
    <t xml:space="preserve">LOC_217</t>
  </si>
  <si>
    <t xml:space="preserve">R. Formiga, 50 - São Cristóvão, Belo Horizonte - MG, 31110-430</t>
  </si>
  <si>
    <t xml:space="preserve">Sao Cristovao</t>
  </si>
  <si>
    <t xml:space="preserve">Rua Formiga</t>
  </si>
  <si>
    <t xml:space="preserve">31110-430</t>
  </si>
  <si>
    <t xml:space="preserve">Hospital Nossa Senhora Aparecida</t>
  </si>
  <si>
    <t xml:space="preserve">LOC_218</t>
  </si>
  <si>
    <t xml:space="preserve">R. Joaquim Gouveia, 560 - São Paulo, Belo Horizonte - MG, 31910-040</t>
  </si>
  <si>
    <t xml:space="preserve">31910-040</t>
  </si>
  <si>
    <t xml:space="preserve">Hospital Risoleta Tolentino Neves</t>
  </si>
  <si>
    <t xml:space="preserve">LOC_219</t>
  </si>
  <si>
    <t xml:space="preserve">R. das Gabirobas, 1 - Vila Cloris, Belo Horizonte - MG, 31744-012</t>
  </si>
  <si>
    <t xml:space="preserve">R. das Gabirobas</t>
  </si>
  <si>
    <t xml:space="preserve">1</t>
  </si>
  <si>
    <t xml:space="preserve">31744-012</t>
  </si>
  <si>
    <t xml:space="preserve">Hospital Sofia Feldman</t>
  </si>
  <si>
    <t xml:space="preserve">LOC_220</t>
  </si>
  <si>
    <t xml:space="preserve">Rua Antônio Bandeira, 1060 - Tupi, Belo Horizonte - MG, 31844-130</t>
  </si>
  <si>
    <t xml:space="preserve">Rua Antônio Bandeira</t>
  </si>
  <si>
    <t xml:space="preserve">1060</t>
  </si>
  <si>
    <t xml:space="preserve">31844-130</t>
  </si>
  <si>
    <t xml:space="preserve">Hospital Sofia Feldman Unidade Carlos Prates</t>
  </si>
  <si>
    <t xml:space="preserve">LOC_221</t>
  </si>
  <si>
    <t xml:space="preserve">R. Padre Eustáquio, 807 - Carlos Prates, Belo Horizonte - MG, 30710-580</t>
  </si>
  <si>
    <t xml:space="preserve">Rua Padre Eustáquio</t>
  </si>
  <si>
    <t xml:space="preserve">807</t>
  </si>
  <si>
    <t xml:space="preserve">30710-580</t>
  </si>
  <si>
    <t xml:space="preserve">Hospital Universitário Ciências Médicas</t>
  </si>
  <si>
    <t xml:space="preserve">LOC_222</t>
  </si>
  <si>
    <t xml:space="preserve">R. dos Aimorés, 2896 - Santo Agostinho, Belo Horizonte - MG, 30140-073</t>
  </si>
  <si>
    <t xml:space="preserve">Santo Agostinho</t>
  </si>
  <si>
    <t xml:space="preserve">Rua dos Aimorés</t>
  </si>
  <si>
    <t xml:space="preserve">2896</t>
  </si>
  <si>
    <t xml:space="preserve">30140-073</t>
  </si>
  <si>
    <t xml:space="preserve">Instituto Brasileiro de Gestao Social</t>
  </si>
  <si>
    <t xml:space="preserve">LOC_223</t>
  </si>
  <si>
    <t xml:space="preserve">rua Estados Unidos, 165, Sion - Belo Horizonte</t>
  </si>
  <si>
    <t xml:space="preserve">Sion</t>
  </si>
  <si>
    <t xml:space="preserve">Rua Estados Unidos</t>
  </si>
  <si>
    <t xml:space="preserve">165</t>
  </si>
  <si>
    <t xml:space="preserve">interseção da Rua Estrada do Cercadinho e da Rua Olenka Dias Bicalho, no bairro Vila Ventosa</t>
  </si>
  <si>
    <t xml:space="preserve">LOC_224</t>
  </si>
  <si>
    <t xml:space="preserve">Vila Ventosa</t>
  </si>
  <si>
    <t xml:space="preserve">Rua Olenka Dias Bicalho</t>
  </si>
  <si>
    <t xml:space="preserve">362</t>
  </si>
  <si>
    <t xml:space="preserve">Jardim Zoológico de Belo Horizonte</t>
  </si>
  <si>
    <t xml:space="preserve">LOC_225</t>
  </si>
  <si>
    <t xml:space="preserve">Av. Otacílio Negrão de Lima, 8000 - Pampulha, Belo Horizonte - MG, 31365-450</t>
  </si>
  <si>
    <t xml:space="preserve">Bandeirantes</t>
  </si>
  <si>
    <t xml:space="preserve">Avenida Otacílio Negrão de Lima</t>
  </si>
  <si>
    <t xml:space="preserve">8000</t>
  </si>
  <si>
    <t xml:space="preserve">31365-450</t>
  </si>
  <si>
    <t xml:space="preserve">Laboratório Municipal de Análises Clínicas e Citopatológicas</t>
  </si>
  <si>
    <t xml:space="preserve">LOC_226</t>
  </si>
  <si>
    <t xml:space="preserve">Rua Frederico Bracher Junior, n. 103, bairro Carlos Prates, Regional Noroeste</t>
  </si>
  <si>
    <t xml:space="preserve">Rua Frederico Bracher Junior</t>
  </si>
  <si>
    <t xml:space="preserve">103</t>
  </si>
  <si>
    <t xml:space="preserve">Lar dos Meninos Dom Orione</t>
  </si>
  <si>
    <t xml:space="preserve">LOC_227</t>
  </si>
  <si>
    <t xml:space="preserve">Av. Dom Orione, 187 - Pampulha, Belo Horizonte - MG, 31310-020</t>
  </si>
  <si>
    <t xml:space="preserve">Sao Luiz</t>
  </si>
  <si>
    <t xml:space="preserve">Avenida Dom Orione</t>
  </si>
  <si>
    <t xml:space="preserve">31310-020</t>
  </si>
  <si>
    <t xml:space="preserve">Lar Escola Terezinha Delamare</t>
  </si>
  <si>
    <t xml:space="preserve">LOC_228</t>
  </si>
  <si>
    <t xml:space="preserve">Rua Wenceslau Braz, 107 - Copacabana, Belo Horizonte - MG, 31540-670</t>
  </si>
  <si>
    <t xml:space="preserve">Copacabana</t>
  </si>
  <si>
    <t xml:space="preserve">Rua Wenceslau Braz</t>
  </si>
  <si>
    <t xml:space="preserve">31540-670</t>
  </si>
  <si>
    <t xml:space="preserve">Maternidade Odete Valadares</t>
  </si>
  <si>
    <t xml:space="preserve">LOC_229</t>
  </si>
  <si>
    <t xml:space="preserve">Av. do Contorno, 9494 - Prado, Belo Horizonte - MG, 30110-064</t>
  </si>
  <si>
    <t xml:space="preserve">9494</t>
  </si>
  <si>
    <t xml:space="preserve">30110-064</t>
  </si>
  <si>
    <t xml:space="preserve">Núcleo de Atendimento à Mulher</t>
  </si>
  <si>
    <t xml:space="preserve">LOC_230</t>
  </si>
  <si>
    <t xml:space="preserve">Rua Coronel José Benjamim, n° 615, sala 03, Bairro Padre Eustáquio, CEP 30.720-430</t>
  </si>
  <si>
    <t xml:space="preserve">Rua Coronel José Benjamim</t>
  </si>
  <si>
    <t xml:space="preserve">615</t>
  </si>
  <si>
    <t xml:space="preserve">30720-430</t>
  </si>
  <si>
    <t xml:space="preserve">Nupad - Núcleo de Ações e Pesquisa em Apoio Diagnóstico da Faculdade de Medicina da UFMG</t>
  </si>
  <si>
    <t xml:space="preserve">LOC_231</t>
  </si>
  <si>
    <t xml:space="preserve">Av. Prof. Alfredo Balena, 189 - 5 andar - Centro, Belo Horizonte - MG, 30130-100</t>
  </si>
  <si>
    <t xml:space="preserve">Avenida Prof. Alfredo Balena</t>
  </si>
  <si>
    <t xml:space="preserve">Parque Conjunto Habitacional da Lagoa</t>
  </si>
  <si>
    <t xml:space="preserve">LOC_232</t>
  </si>
  <si>
    <t xml:space="preserve">Rua Seiscentos e vinte e três, 200 - Bairro Lagoa</t>
  </si>
  <si>
    <t xml:space="preserve">Rua Seiscentos e vinte e três</t>
  </si>
  <si>
    <t xml:space="preserve">31578-035</t>
  </si>
  <si>
    <t xml:space="preserve">Parque Ecológico do Córrego Santa Terezinha</t>
  </si>
  <si>
    <t xml:space="preserve">LOC_233</t>
  </si>
  <si>
    <t xml:space="preserve">Parque Ecológico na Bacia do Córrego Santa Terezinha, situado entre as Ruas Dinis Dias e São Vicente com Beco Ligação, no bairro Alto Vera Cruz, na Região Leste de Belo Horizonte</t>
  </si>
  <si>
    <t xml:space="preserve">Rua Dinis Dias</t>
  </si>
  <si>
    <t xml:space="preserve">81</t>
  </si>
  <si>
    <t xml:space="preserve">Parque Ecológico e Cultural Jardim das Nascentes (Madri)</t>
  </si>
  <si>
    <t xml:space="preserve">LOC_234</t>
  </si>
  <si>
    <t xml:space="preserve">382, R. das Touradas, 296 - Madri, Belo Horizonte - MG, 31744-780</t>
  </si>
  <si>
    <t xml:space="preserve">Madri</t>
  </si>
  <si>
    <t xml:space="preserve">R. das Touradas</t>
  </si>
  <si>
    <t xml:space="preserve">296</t>
  </si>
  <si>
    <t xml:space="preserve">31744-780</t>
  </si>
  <si>
    <t xml:space="preserve">Parque Guilherme Lage</t>
  </si>
  <si>
    <t xml:space="preserve">LOC_235</t>
  </si>
  <si>
    <t xml:space="preserve">Rua Angola, 665, bairro São Paulo</t>
  </si>
  <si>
    <t xml:space="preserve">Rua Angola</t>
  </si>
  <si>
    <t xml:space="preserve">665</t>
  </si>
  <si>
    <t xml:space="preserve">Parque José Lopes dos Reis (Parque Baleares)</t>
  </si>
  <si>
    <t xml:space="preserve">LOC_236</t>
  </si>
  <si>
    <t xml:space="preserve">R. Albânia, 17 - Europa, Belo Horizonte - MG, 31620-070</t>
  </si>
  <si>
    <t xml:space="preserve">Europa</t>
  </si>
  <si>
    <t xml:space="preserve">Rua Albânia</t>
  </si>
  <si>
    <t xml:space="preserve">17</t>
  </si>
  <si>
    <t xml:space="preserve">31620-070</t>
  </si>
  <si>
    <t xml:space="preserve">Parque Rosinha Cadar, bairro Santo Agostinho</t>
  </si>
  <si>
    <t xml:space="preserve">LOC_237</t>
  </si>
  <si>
    <t xml:space="preserve">R. Rodrigues Caldas, 315 - Santo Agostinho, Belo Horizonte - MG, 30190-120</t>
  </si>
  <si>
    <t xml:space="preserve">Rua Rodrigues Caldas</t>
  </si>
  <si>
    <t xml:space="preserve">315</t>
  </si>
  <si>
    <t xml:space="preserve">30190-120</t>
  </si>
  <si>
    <t xml:space="preserve">Ponte Sobre o Ribeirão Arrudas Avenida Teresa Cristina próximo à Praça Oswaldo Zuccherate, Nova Suíça</t>
  </si>
  <si>
    <t xml:space="preserve">LOC_238</t>
  </si>
  <si>
    <t xml:space="preserve">44999</t>
  </si>
  <si>
    <t xml:space="preserve">Posto de Saúde Conjunto Betânia</t>
  </si>
  <si>
    <t xml:space="preserve">LOC_239</t>
  </si>
  <si>
    <t xml:space="preserve">Rua Onã 105 - bairro Betânia</t>
  </si>
  <si>
    <t xml:space="preserve">Rua Onã</t>
  </si>
  <si>
    <t xml:space="preserve">105</t>
  </si>
  <si>
    <t xml:space="preserve">Posto de Saúde Diamante/ Teixeira Dias</t>
  </si>
  <si>
    <t xml:space="preserve">LOC_240</t>
  </si>
  <si>
    <t xml:space="preserve">Rua Maria Marcolina Souza, nº 40 - Teixeira Dias</t>
  </si>
  <si>
    <t xml:space="preserve">Teixeira Dias</t>
  </si>
  <si>
    <t xml:space="preserve">Rua Maria Marcolina Souza</t>
  </si>
  <si>
    <t xml:space="preserve">Posto de Saúde Indepenência</t>
  </si>
  <si>
    <t xml:space="preserve">LOC_241</t>
  </si>
  <si>
    <t xml:space="preserve">R. Maria Antonieta Ferreira, 151 - Independência, 30672-090</t>
  </si>
  <si>
    <t xml:space="preserve">151</t>
  </si>
  <si>
    <t xml:space="preserve">30672-090</t>
  </si>
  <si>
    <t xml:space="preserve">Posto de Saúde Miramar</t>
  </si>
  <si>
    <t xml:space="preserve">LOC_242</t>
  </si>
  <si>
    <t xml:space="preserve">Rua erídano, nº 540 - Miramar</t>
  </si>
  <si>
    <t xml:space="preserve">Miramar</t>
  </si>
  <si>
    <t xml:space="preserve">Rua Eridano</t>
  </si>
  <si>
    <t xml:space="preserve">540</t>
  </si>
  <si>
    <t xml:space="preserve">Praça Águas Claras</t>
  </si>
  <si>
    <t xml:space="preserve">LOC_243</t>
  </si>
  <si>
    <t xml:space="preserve">Praça Águas Claras, com área total de 1.425m², localizada na Rua Alameda 3, esquina com Rua Eliana Silva, do bairro Águas Claras</t>
  </si>
  <si>
    <t xml:space="preserve">Aguas Claras</t>
  </si>
  <si>
    <t xml:space="preserve">Rua Alameda</t>
  </si>
  <si>
    <t xml:space="preserve">Praça Alberto Mazzoni</t>
  </si>
  <si>
    <t xml:space="preserve">LOC_244</t>
  </si>
  <si>
    <t xml:space="preserve">Praça Alberto Mazzoni, situada entre as Ruas Araxá, Saldanha da Gama, Ponte Nova e Varginha, no bairro Colégio Batista</t>
  </si>
  <si>
    <t xml:space="preserve">Colegio Batista</t>
  </si>
  <si>
    <t xml:space="preserve">Praça Antônio Mascarenhas Ferreira, no Bairro Havaí</t>
  </si>
  <si>
    <t xml:space="preserve">LOC_245</t>
  </si>
  <si>
    <t xml:space="preserve">R. Frutuoso Viana - Estrela Dalva, Belo Horizonte - MG, 30570-640</t>
  </si>
  <si>
    <t xml:space="preserve">Praça Antônio Mascarenhas Ferreira</t>
  </si>
  <si>
    <t xml:space="preserve">30570-640</t>
  </si>
  <si>
    <t xml:space="preserve">Praça Avenida Dom Pedro II 4215</t>
  </si>
  <si>
    <t xml:space="preserve">LOC_246</t>
  </si>
  <si>
    <t xml:space="preserve">praça existente na Avenida Dom Pedro II, nº 4.215, esquina com Rua Vila Rica, nº 965, no Bairro Padre Eustáquio</t>
  </si>
  <si>
    <t xml:space="preserve">Avenida Dom Pedro II</t>
  </si>
  <si>
    <t xml:space="preserve">4215</t>
  </si>
  <si>
    <t xml:space="preserve">Praça Comendador Negrão de Lima</t>
  </si>
  <si>
    <t xml:space="preserve">LOC_247</t>
  </si>
  <si>
    <t xml:space="preserve">Praça Comendador Negrão de Lima situada entre as Ruas Dona Maria Inês, Dona Lídya Couto e Santa Maria, no bairro Floresta</t>
  </si>
  <si>
    <t xml:space="preserve">Floresta</t>
  </si>
  <si>
    <t xml:space="preserve">Praça Cristo Redentor - Milionários</t>
  </si>
  <si>
    <t xml:space="preserve">LOC_248</t>
  </si>
  <si>
    <t xml:space="preserve">Praça Cristo Redentor</t>
  </si>
  <si>
    <t xml:space="preserve">Praça da Ecologia</t>
  </si>
  <si>
    <t xml:space="preserve">LOC_249</t>
  </si>
  <si>
    <t xml:space="preserve">Praça da Ecologia, situada entre as ruas Raimundo Januário, Duzentos e Trinta e Cinco e Djalma Vieira Cristo, bairro Vale do Jatobá</t>
  </si>
  <si>
    <t xml:space="preserve">Praca da Ecologia</t>
  </si>
  <si>
    <t xml:space="preserve">Praça entre ruas do Bras e Vinhedo Bairro Itaipu</t>
  </si>
  <si>
    <t xml:space="preserve">LOC_250</t>
  </si>
  <si>
    <t xml:space="preserve">Praça S/ Nome, existente entre as ruas do Brás e Vinhedo, no Bairro Itaipu (Vila Piratininga) - Regional Barreiro</t>
  </si>
  <si>
    <t xml:space="preserve">Itaipu</t>
  </si>
  <si>
    <t xml:space="preserve">Praça Ernesto Che Guevara</t>
  </si>
  <si>
    <t xml:space="preserve">LOC_251</t>
  </si>
  <si>
    <t xml:space="preserve">praça Ernesto Che Guevara, situada no conjunto Taquaril</t>
  </si>
  <si>
    <t xml:space="preserve">Conjunto Taquaril</t>
  </si>
  <si>
    <t xml:space="preserve">Praça Francisco Barreto, bairro Campo Alegre</t>
  </si>
  <si>
    <t xml:space="preserve">LOC_252</t>
  </si>
  <si>
    <t xml:space="preserve">Praça Francisco Barreto</t>
  </si>
  <si>
    <t xml:space="preserve">Praça Irajá</t>
  </si>
  <si>
    <t xml:space="preserve">LOC_253</t>
  </si>
  <si>
    <t xml:space="preserve">Praça Irajá situada entre as Ruas Jaguaribe, Pitangui, Itapetinga, Petrópolis e Nossa Senhora da Paz no bairro Concórdia</t>
  </si>
  <si>
    <t xml:space="preserve">Praça João Balbino</t>
  </si>
  <si>
    <t xml:space="preserve">LOC_254</t>
  </si>
  <si>
    <t xml:space="preserve">Praça João Balbino situada entre as Ruas Sabará, Aristides Ferreira e Granada, no bairro Colégio Batista</t>
  </si>
  <si>
    <t xml:space="preserve">Praça João Francisco Xavier</t>
  </si>
  <si>
    <t xml:space="preserve">LOC_255</t>
  </si>
  <si>
    <t xml:space="preserve">Praça João Francisco Xavier, localizada no final da Avenida Menelick de Carvalho - Bairro Flávio Marques Lisboa - Regional Barreiro</t>
  </si>
  <si>
    <t xml:space="preserve">Praça L11</t>
  </si>
  <si>
    <t xml:space="preserve">LOC_256</t>
  </si>
  <si>
    <t xml:space="preserve">Praça L11, localizada na Rua Paulo Alves de Vasconcellos, esquina com Rua Edmundo Oliveira, do bairro Vale do Jatobá</t>
  </si>
  <si>
    <t xml:space="preserve">Praça L7</t>
  </si>
  <si>
    <t xml:space="preserve">LOC_257</t>
  </si>
  <si>
    <t xml:space="preserve">Praça L7, localizada na Rua Cento e Sete, esquina com Rua José Tomé e Rua Raimundo Afonso Figueiredo, esquina com Rua Antônio Perreira Mota, bairro Vale do Jatobá</t>
  </si>
  <si>
    <t xml:space="preserve">Praça L8 (Praça do Hip Hop), localizada entre as ruas Antônio Pereira Mota e Rua Frei Luiz Peixoto no bairro Vale do Jatobá</t>
  </si>
  <si>
    <t xml:space="preserve">LOC_258</t>
  </si>
  <si>
    <t xml:space="preserve">Praça localizada no bairro Campo Alegre, entre as ruas Bacuraus, Adolfo Bezerra de Meneses e Alexandre de Gusmão</t>
  </si>
  <si>
    <t xml:space="preserve">LOC_259</t>
  </si>
  <si>
    <t xml:space="preserve">Praça Paulo Roberto dos Santos</t>
  </si>
  <si>
    <t xml:space="preserve">Praça Marabu</t>
  </si>
  <si>
    <t xml:space="preserve">LOC_260</t>
  </si>
  <si>
    <t xml:space="preserve">Praça Marabu, localizada no bairro Flávio Marques Lisboa</t>
  </si>
  <si>
    <t xml:space="preserve">Praça Moisés Kalil</t>
  </si>
  <si>
    <t xml:space="preserve">LOC_261</t>
  </si>
  <si>
    <t xml:space="preserve">Praça Paulo Roberto dos Santos, na esquina da Rua Moisés Kalil com a Rua Geraldo Lúcio Vasconcelos</t>
  </si>
  <si>
    <t xml:space="preserve">Buritis</t>
  </si>
  <si>
    <t xml:space="preserve">Praça Orlando Camargos, no bairro Diamante</t>
  </si>
  <si>
    <t xml:space="preserve">LOC_262</t>
  </si>
  <si>
    <t xml:space="preserve">Diamante</t>
  </si>
  <si>
    <t xml:space="preserve">Praça Orlando Camargos</t>
  </si>
  <si>
    <t xml:space="preserve">Praça Professor José Americano</t>
  </si>
  <si>
    <t xml:space="preserve">LOC_263</t>
  </si>
  <si>
    <t xml:space="preserve">praça Professor José Americano, situada na rua Rosinha Sigaud, bairro Caiçaras</t>
  </si>
  <si>
    <t xml:space="preserve">Rua Rosinha Sigaud</t>
  </si>
  <si>
    <t xml:space="preserve">Praça Pública na confluência das ruas Angaturama com Abaibá no bairro São Paulo</t>
  </si>
  <si>
    <t xml:space="preserve">LOC_264</t>
  </si>
  <si>
    <t xml:space="preserve">Praça Pública na confluência das ruas Angaturama com Abaibá</t>
  </si>
  <si>
    <t xml:space="preserve">Praça Pública na confluência das ruas Antônio Augusto da Silva, Marley Moura Abreu, Maria Peters, no Conjunto Renato Ernesto do Nascimento</t>
  </si>
  <si>
    <t xml:space="preserve">LOC_265</t>
  </si>
  <si>
    <t xml:space="preserve">Ernesto do Nascimento</t>
  </si>
  <si>
    <t xml:space="preserve">Praça Pública na confluência das ruas Domício Gabriel de Vasconcelos e Orlando Severo localizado no bairro Vale do Jatobá</t>
  </si>
  <si>
    <t xml:space="preserve">LOC_266</t>
  </si>
  <si>
    <t xml:space="preserve">Praça Rua Alameda das Margaridas</t>
  </si>
  <si>
    <t xml:space="preserve">LOC_267</t>
  </si>
  <si>
    <t xml:space="preserve">Praça situada na Rua Alameda das Margaridas em frente ao número 115, na Vila Sumaré, bairro Aparecida</t>
  </si>
  <si>
    <t xml:space="preserve">Aparecida</t>
  </si>
  <si>
    <t xml:space="preserve">Rua Alameda das Margaridas</t>
  </si>
  <si>
    <t xml:space="preserve">115</t>
  </si>
  <si>
    <t xml:space="preserve">Quadra Bairro Atila de Paiva</t>
  </si>
  <si>
    <t xml:space="preserve">LOC_268</t>
  </si>
  <si>
    <t xml:space="preserve">quadra pública localizada no Bairro Átila de Paiva, situada na Avenida Teresa Cristina, nº 10</t>
  </si>
  <si>
    <t xml:space="preserve">Quadra esportiva da Praça Osvaldo Zucheratte</t>
  </si>
  <si>
    <t xml:space="preserve">LOC_269</t>
  </si>
  <si>
    <t xml:space="preserve">Praça Osvaldo Zucheratte, situado na Avenida Teresa Cristina, 4.517-4.565</t>
  </si>
  <si>
    <t xml:space="preserve">4565</t>
  </si>
  <si>
    <t xml:space="preserve">30180-001</t>
  </si>
  <si>
    <t xml:space="preserve">Quadra poliesportiva da Praça da Amizade</t>
  </si>
  <si>
    <t xml:space="preserve">LOC_270</t>
  </si>
  <si>
    <t xml:space="preserve">localizada na confluência entre as ruas Alair Pereira de Melo, Rua Mário José Francisco, Rua José Lobato Ferrari, rua Sabem e rua Timor, no Bairro Betânia</t>
  </si>
  <si>
    <t xml:space="preserve">Rua Sambem</t>
  </si>
  <si>
    <t xml:space="preserve">52</t>
  </si>
  <si>
    <t xml:space="preserve">Quadra poliesportiva do Complexo Esportivo Salgado Filho</t>
  </si>
  <si>
    <t xml:space="preserve">LOC_271</t>
  </si>
  <si>
    <t xml:space="preserve">Avenida Teresa Cristina, 6849, Salgado Filho</t>
  </si>
  <si>
    <t xml:space="preserve">6849</t>
  </si>
  <si>
    <t xml:space="preserve">Quadra poliesportiva na Avenida Silva Lobo</t>
  </si>
  <si>
    <t xml:space="preserve">LOC_272</t>
  </si>
  <si>
    <t xml:space="preserve">Avenida Silva Lobo, esquina com Rua Erásio Evangelista, bairro São Jorge II</t>
  </si>
  <si>
    <t xml:space="preserve">Sao Jorge II</t>
  </si>
  <si>
    <t xml:space="preserve">Avenida Silva Lobo</t>
  </si>
  <si>
    <t xml:space="preserve">2379</t>
  </si>
  <si>
    <t xml:space="preserve">Quadra poliesportiva no Parque Ageo Pio Sobrinho</t>
  </si>
  <si>
    <t xml:space="preserve">LOC_273</t>
  </si>
  <si>
    <t xml:space="preserve">Av. Professor Mário Werneck, 2691 - Buritis, Belo Horizonte - MG, 30575-180</t>
  </si>
  <si>
    <t xml:space="preserve">Av. Professor Mário Werneck</t>
  </si>
  <si>
    <t xml:space="preserve">2691</t>
  </si>
  <si>
    <t xml:space="preserve">30575-180</t>
  </si>
  <si>
    <t xml:space="preserve">Quadra Rua Romero Gomes Vieira</t>
  </si>
  <si>
    <t xml:space="preserve">LOC_274</t>
  </si>
  <si>
    <t xml:space="preserve">quadra pública localizada na Rua Romero Gomes Vieira entre a Rua das Antenas e o Beco Pardal, no bairro Mangueiras</t>
  </si>
  <si>
    <t xml:space="preserve">Mangueiras</t>
  </si>
  <si>
    <t xml:space="preserve">Avenida Serrinha</t>
  </si>
  <si>
    <t xml:space="preserve">Quilombo Luízes</t>
  </si>
  <si>
    <t xml:space="preserve">LOC_275</t>
  </si>
  <si>
    <t xml:space="preserve">rua Alves Pinto, 345 – Bairro Grajaú</t>
  </si>
  <si>
    <t xml:space="preserve">Rua Alves Pinto</t>
  </si>
  <si>
    <t xml:space="preserve">Quilombo Mangueiras</t>
  </si>
  <si>
    <t xml:space="preserve">LOC_276</t>
  </si>
  <si>
    <t xml:space="preserve">Rod. Camilo Teixeira da Costa - Novo Aarão Reis, Belo Horizonte - MG, 31872-055</t>
  </si>
  <si>
    <t xml:space="preserve">Rodovia Camilo Teixeira da Costa</t>
  </si>
  <si>
    <t xml:space="preserve">31872-055</t>
  </si>
  <si>
    <t xml:space="preserve">Quilombo Manzo Ngunzo Kaiango</t>
  </si>
  <si>
    <t xml:space="preserve">LOC_277</t>
  </si>
  <si>
    <t xml:space="preserve">R. São Tiago, 216 - Santa Efigênia, Belo Horizonte - MG, 30260-500</t>
  </si>
  <si>
    <t xml:space="preserve">Rua São Tiago</t>
  </si>
  <si>
    <t xml:space="preserve">216</t>
  </si>
  <si>
    <t xml:space="preserve">30260-500</t>
  </si>
  <si>
    <t xml:space="preserve">Quilombo Matia</t>
  </si>
  <si>
    <t xml:space="preserve">LOC_278</t>
  </si>
  <si>
    <t xml:space="preserve">R. Eurita, 674 - Santa Tereza, Belo Horizonte - MG, 31010-210</t>
  </si>
  <si>
    <t xml:space="preserve">Rua Eurita</t>
  </si>
  <si>
    <t xml:space="preserve">674</t>
  </si>
  <si>
    <t xml:space="preserve">31010-210</t>
  </si>
  <si>
    <t xml:space="preserve">Quilombo Souza</t>
  </si>
  <si>
    <t xml:space="preserve">LOC_279</t>
  </si>
  <si>
    <t xml:space="preserve">R. Teixeira Soares, 985 - a 1005 - Santa Tereza, Belo Horizonte - MG, 31015-040</t>
  </si>
  <si>
    <t xml:space="preserve">Rua Teixeira Soares</t>
  </si>
  <si>
    <t xml:space="preserve">1005</t>
  </si>
  <si>
    <t xml:space="preserve">31015-040</t>
  </si>
  <si>
    <t xml:space="preserve">Rua Amarílis, no Bairro Pindorama</t>
  </si>
  <si>
    <t xml:space="preserve">LOC_280</t>
  </si>
  <si>
    <t xml:space="preserve">Rua Amarílis</t>
  </si>
  <si>
    <t xml:space="preserve">Rua Antônio Carlos Coutinho, no Bairro Pindorama</t>
  </si>
  <si>
    <t xml:space="preserve">LOC_281</t>
  </si>
  <si>
    <t xml:space="preserve">Rua Antônio Carlos Coutinho , no Bairro Pindorama</t>
  </si>
  <si>
    <t xml:space="preserve">Rua Antônio Carlos Coutinho</t>
  </si>
  <si>
    <t xml:space="preserve">Rua Antônio Henrique Alves 191</t>
  </si>
  <si>
    <t xml:space="preserve">LOC_282</t>
  </si>
  <si>
    <t xml:space="preserve">Rua Antônio Henrique Alves, número 191, no Bairro Caiçara</t>
  </si>
  <si>
    <t xml:space="preserve">Rua Antônio Henrique Alves</t>
  </si>
  <si>
    <t xml:space="preserve">Rua Arcabouço, no Bairro Pindorama</t>
  </si>
  <si>
    <t xml:space="preserve">LOC_283</t>
  </si>
  <si>
    <t xml:space="preserve">Rua Arcabouço, no trecho situado entre as ruas Amendita e Jacareí, com dimensão aproximada de 75m ( setenta e cinco metros) de comprimento por 8 m (oito metros) de largura, e 4cm (Quatro Centímetros de espessura), no Bairro Pindorama</t>
  </si>
  <si>
    <t xml:space="preserve">Rua Arcabouço</t>
  </si>
  <si>
    <t xml:space="preserve">Rua Babaçu, entre as ruas Eilat e Passiflora, com dimensão aproximada de 130m (cento e trinta metros) de comprimento por 8m (oito metros) de largura, no Bairro Olaria</t>
  </si>
  <si>
    <t xml:space="preserve">LOC_284</t>
  </si>
  <si>
    <t xml:space="preserve">Olaria</t>
  </si>
  <si>
    <t xml:space="preserve">Rua Babaçu</t>
  </si>
  <si>
    <t xml:space="preserve">Rua Baltazar Pyramo, no Bairro Santa Helena</t>
  </si>
  <si>
    <t xml:space="preserve">LOC_285</t>
  </si>
  <si>
    <t xml:space="preserve">Rua Baltazar Pyramo, no trecho situado entre as ruas José Falecido e Arthur Luchesi, com dimensão aproximada de 176 metros de comprimento por 3,6 metros de largura, no Bairro Santa Helena</t>
  </si>
  <si>
    <t xml:space="preserve">Santa Helena</t>
  </si>
  <si>
    <t xml:space="preserve">Rua Baltazar Pyramo</t>
  </si>
  <si>
    <t xml:space="preserve">Rua Bem Viver, Bonsucesso</t>
  </si>
  <si>
    <t xml:space="preserve">LOC_286</t>
  </si>
  <si>
    <t xml:space="preserve">Rua Bem Viver (Código de Logradouro 303858), no trecho situado entre as ruas da Felicidade e da Paz, com extensão aproximada de 385m, no Bairro Jardim Liberdade, Região do Bonsucesso - Barreiro</t>
  </si>
  <si>
    <t xml:space="preserve">Rua Bem Viver</t>
  </si>
  <si>
    <t xml:space="preserve">Rua Camassari, Milionarios</t>
  </si>
  <si>
    <t xml:space="preserve">LOC_287</t>
  </si>
  <si>
    <t xml:space="preserve">Rua CAMASSARI (código do logradouro 011754), no trecho situado entre as ruas Camassari (sem Saída) e Boemia, com extensão aproximada de 60 m (Sessenta metros), no Bairro Milionários - Regional Barreiro</t>
  </si>
  <si>
    <t xml:space="preserve">Rua Camassari</t>
  </si>
  <si>
    <t xml:space="preserve">Rua Carlos Tomás</t>
  </si>
  <si>
    <t xml:space="preserve">LOC_288</t>
  </si>
  <si>
    <t xml:space="preserve">Rua Carlos Tomás próximo ao n. 190, bairro São Tomás</t>
  </si>
  <si>
    <t xml:space="preserve">190</t>
  </si>
  <si>
    <t xml:space="preserve">Rua Cerro Cora, no Bairro Pindorama</t>
  </si>
  <si>
    <t xml:space="preserve">LOC_289</t>
  </si>
  <si>
    <t xml:space="preserve">Rua Cerro Cora</t>
  </si>
  <si>
    <t xml:space="preserve">Rua Clívia, no Bairro Olaria</t>
  </si>
  <si>
    <t xml:space="preserve">LOC_290</t>
  </si>
  <si>
    <t xml:space="preserve">Rua Clívia, no trecho situado entre as ruas Bela Emília e Rua Azevinho, com dimensão aproximada de 120m (cento e vinte metros) de comprimento por 8m (oito metros) de largura, no Bairro Olaria</t>
  </si>
  <si>
    <t xml:space="preserve">Rua Clívia</t>
  </si>
  <si>
    <t xml:space="preserve">rua Conselheiro Lafaiete, no trecho entre as ruas São Luiz e Avenida Petrolina Bairro Sagrada Família</t>
  </si>
  <si>
    <t xml:space="preserve">LOC_291</t>
  </si>
  <si>
    <t xml:space="preserve">Rua Conselheiro Lafaiete, no trecho entre as ruas São Luiz e Avenida Petrolina Bairro Sagrada Família</t>
  </si>
  <si>
    <t xml:space="preserve">Sagrada Familia</t>
  </si>
  <si>
    <t xml:space="preserve">Rua Conselheiro Lafaiete</t>
  </si>
  <si>
    <t xml:space="preserve">Rua Cora Coralina, no Bairro Santa Helena</t>
  </si>
  <si>
    <t xml:space="preserve">LOC_292</t>
  </si>
  <si>
    <t xml:space="preserve">Rua Cora Coralina , no trecho situado entre a rua José Forcal até a via do minério , com dimensão aproximada de 370 metros de comprimento por 3,6 metros de largura, no Bairro Santa Helena</t>
  </si>
  <si>
    <t xml:space="preserve">Rua Cora Coralina</t>
  </si>
  <si>
    <t xml:space="preserve">Rua dos Afonsos, no bairro Boa Vista</t>
  </si>
  <si>
    <t xml:space="preserve">LOC_293</t>
  </si>
  <si>
    <t xml:space="preserve">rua dos Afonsos, no trecho compreendido entre as ruas Antônio Soares e João Neiva, com aproximadamente 400m (quatrocentos metros de extensão), no bairro Boa Vista, regional Leste</t>
  </si>
  <si>
    <t xml:space="preserve">Rua dos Afonsos</t>
  </si>
  <si>
    <t xml:space="preserve">Rua Elza Beatriz de Araújo,que interliga à Rua Tereza Mota Valadares com a Rua Maria Heilbuth Surette</t>
  </si>
  <si>
    <t xml:space="preserve">LOC_294</t>
  </si>
  <si>
    <t xml:space="preserve">Rua Elza Beatriz de Araújo</t>
  </si>
  <si>
    <t xml:space="preserve">30575-165</t>
  </si>
  <si>
    <t xml:space="preserve">Rua Felipe Alencar de Souza, no Bairro Conjunto Renato Ernesto</t>
  </si>
  <si>
    <t xml:space="preserve">LOC_295</t>
  </si>
  <si>
    <t xml:space="preserve">Rua Felipe Alencar de Souza, em toda sua extensão, com dimensão aproximada de 150m (cento e cinquenta metros) de comprimento por 8m (oito metros) de largura, no Bairro Conjunto Renato Ernesto</t>
  </si>
  <si>
    <t xml:space="preserve">Rua Felipe Alencar de Souza</t>
  </si>
  <si>
    <t xml:space="preserve">Rua Geraldo Costa, no Bairro Independência</t>
  </si>
  <si>
    <t xml:space="preserve">LOC_296</t>
  </si>
  <si>
    <t xml:space="preserve">Rua Geraldo Costa, no trecho situado entre as ruas Pacífico Cardoso de Andrade e Maria Rita Borges, com dimensão aproximada de 95m de comprimento por 8.5m de largura, no Bairro Independência – CEP: 30.672-720</t>
  </si>
  <si>
    <t xml:space="preserve">Rua Geraldo Costa</t>
  </si>
  <si>
    <t xml:space="preserve">30672-720</t>
  </si>
  <si>
    <t xml:space="preserve">Rua Guarda Custódio, no Bairro Ouro Preto</t>
  </si>
  <si>
    <t xml:space="preserve">LOC_297</t>
  </si>
  <si>
    <t xml:space="preserve">Rua Guarda Custódio, no trecho situado entre as ruas Expedicionário Celso Racioppi e Conceição do Mato Dentro, com dimensão aproximada de 780m de comprimento por 8m de largura, no Bairro Ouro Preto</t>
  </si>
  <si>
    <t xml:space="preserve">Rua Guarda Custódio</t>
  </si>
  <si>
    <t xml:space="preserve">Rua Jacuípe, no trecho situado entre as ruas Itaquera e Itapeva, bairro Concórdia</t>
  </si>
  <si>
    <t xml:space="preserve">LOC_298</t>
  </si>
  <si>
    <t xml:space="preserve">Rua Jacuípe</t>
  </si>
  <si>
    <t xml:space="preserve">Rua Jeribá, no Bairro Olaria</t>
  </si>
  <si>
    <t xml:space="preserve">LOC_299</t>
  </si>
  <si>
    <t xml:space="preserve">Rua Jeribá, no trecho situado entre as ruas Luiz Zito Ferreira e Rua Extremoso, com dimensão aproximada de 70m (setenta metros) de comprimento por 8m (oito metros) de largura, no Bairro Olaria</t>
  </si>
  <si>
    <t xml:space="preserve">Rua Jeribá</t>
  </si>
  <si>
    <t xml:space="preserve">Rua João Bernardino Santos, no Bairro Paquetá</t>
  </si>
  <si>
    <t xml:space="preserve">LOC_300</t>
  </si>
  <si>
    <t xml:space="preserve">Rua João Bernardino Santos, no trecho situado entre as ruas Povoa de Varzim e José Ribeiro Filho, com dimensão aproximada de 605m (seiscentos e cinco metros) de comprimento por 8m (oito metros) de largura, no Bairro Paquetá</t>
  </si>
  <si>
    <t xml:space="preserve">Paqueta</t>
  </si>
  <si>
    <t xml:space="preserve">Rua João Bernardino Santos</t>
  </si>
  <si>
    <t xml:space="preserve">Rua José Ribeiro Filho, no Bairro Ouro Preto</t>
  </si>
  <si>
    <t xml:space="preserve">LOC_301</t>
  </si>
  <si>
    <t xml:space="preserve">Rua José Ribeiro Filho, no trecho situado entre as ruas Povoa de Varzim e Rua Manoel Elias de Aguiar, com dimensão aproximada de 450m (quatrocentos e cinquenta metros) de comprimento por 8m (oito metros) de largura, no Bairro Ouro Preto</t>
  </si>
  <si>
    <t xml:space="preserve">Rua José Ribeiro Filho</t>
  </si>
  <si>
    <t xml:space="preserve">Rua Mantiqueira, Bonsucesso</t>
  </si>
  <si>
    <t xml:space="preserve">LOC_302</t>
  </si>
  <si>
    <t xml:space="preserve">Rua Mantiqueira (Código de Logradouro 303859), no trecho situado entre as ruas da Felicidade e Madureira, com extensão aproximada de 335m, no Bairro Jardim Liberdade, Região do Bonsucesso - Barreiro</t>
  </si>
  <si>
    <t xml:space="preserve">Rua Mantiqueira</t>
  </si>
  <si>
    <t xml:space="preserve">Rua Márcio Maia Ferreira, que interliga à Av. Professor Mário Werneck com a Rua Eli Seabra Filho</t>
  </si>
  <si>
    <t xml:space="preserve">LOC_303</t>
  </si>
  <si>
    <t xml:space="preserve">Rua Márcio Maia Ferreira</t>
  </si>
  <si>
    <t xml:space="preserve">rua Minduri no trecho entre as ruas Vicente Risola e rua Timóteo Bairro Santa Inês</t>
  </si>
  <si>
    <t xml:space="preserve">LOC_304</t>
  </si>
  <si>
    <t xml:space="preserve">Rua Minduri no trecho entre as ruas Vicente Risola e rua Timóteo Bairro Santa Inês</t>
  </si>
  <si>
    <t xml:space="preserve">Rua Minduri</t>
  </si>
  <si>
    <t xml:space="preserve">Rua Mirante no Bairro Boa Vista</t>
  </si>
  <si>
    <t xml:space="preserve">LOC_305</t>
  </si>
  <si>
    <t xml:space="preserve">rua Mirante, no trecho compreendido entre a Avenida Petit e rua Antônio Rodrigues da Costa, com aproximadamente 500m (quinhentos metros de extensão), no Bairro Boa Vista, regional Leste</t>
  </si>
  <si>
    <t xml:space="preserve">Rua Mirante</t>
  </si>
  <si>
    <t xml:space="preserve">Rua Pedro Moreira de Abreu, no Bairro Ouro Preto</t>
  </si>
  <si>
    <t xml:space="preserve">LOC_306</t>
  </si>
  <si>
    <t xml:space="preserve">Rua Pedro Moreira de Abreu, no trecho situado entre as ruas Apucarana e João Antônio Cardoso, com dimensão aproximada de 380m de comprimento por 8m de largura, no Bairro Ouro Preto</t>
  </si>
  <si>
    <t xml:space="preserve">Rua Pedro Moreira de Abreu</t>
  </si>
  <si>
    <t xml:space="preserve">Rua Pérsio Babo de Rezende, no Bairro Ouro Preto</t>
  </si>
  <si>
    <t xml:space="preserve">LOC_307</t>
  </si>
  <si>
    <t xml:space="preserve">Rua Pérsio Babo de Rezende, no trecho situado entre as ruas Apucarana e João Antônio Cardoso, com dimensão aproximada de 370m (trezentos e setenta metros) de comprimento por 8m (oito metros) de largura, no Bairro Ouro Preto</t>
  </si>
  <si>
    <t xml:space="preserve">Rua Pérsio Babo de Rezende</t>
  </si>
  <si>
    <t xml:space="preserve">Rua Prateada, bairro Alto dos Pinheiros</t>
  </si>
  <si>
    <t xml:space="preserve">LOC_308</t>
  </si>
  <si>
    <t xml:space="preserve">Rua Prateada, no trecho situado entre a BR 262 e a Avenida Açudes, com dimensão aproximada de 117m (cento e dezessete metros) de comprimento por 7m (sete metros) de largura e 4cm (quatro centímetros) de espessura, no Bairro Alto dos Pinheiros</t>
  </si>
  <si>
    <t xml:space="preserve">Rua Prateada</t>
  </si>
  <si>
    <t xml:space="preserve">Rua Pureza no trecho entre rua Bolonha e Avenida Petrolina Bairro Horto</t>
  </si>
  <si>
    <t xml:space="preserve">LOC_309</t>
  </si>
  <si>
    <t xml:space="preserve">Rua Pureza</t>
  </si>
  <si>
    <t xml:space="preserve">Rua Real Madrid, no bairro Sao Salvador</t>
  </si>
  <si>
    <t xml:space="preserve">LOC_310</t>
  </si>
  <si>
    <t xml:space="preserve">Rua Real Madrid, no trecho situado entre a Rua Monte Verde e a Av. Amintas Jacques de Moraes no bairro São Salvador, regional Noroeste</t>
  </si>
  <si>
    <t xml:space="preserve">Rua Real Madrid</t>
  </si>
  <si>
    <t xml:space="preserve">Rua Salomão Rodrigues da Silva, no Bairro Paquetá</t>
  </si>
  <si>
    <t xml:space="preserve">LOC_311</t>
  </si>
  <si>
    <t xml:space="preserve">Rua Salomão Rodrigues da Silva, no trecho situado entre as ruas Gasparino Carvalho Silva e José Ribeiro Filho, com dimensão aproximada de 215m (duzentos e quinze metros) de comprimento por 8m (oito metros) de largura, no Bairro Paquetá</t>
  </si>
  <si>
    <t xml:space="preserve">Rua Salomão Rodrigues da Silva</t>
  </si>
  <si>
    <t xml:space="preserve">Rua Santa Juliana, Salgado Filho</t>
  </si>
  <si>
    <t xml:space="preserve">LOC_312</t>
  </si>
  <si>
    <t xml:space="preserve">Rua Santa Juliana, no trecho situado entre as ruas Magi Salomon e Maria da Fé, no bairro Salgado Filho</t>
  </si>
  <si>
    <t xml:space="preserve">Rua Santa Juliana</t>
  </si>
  <si>
    <t xml:space="preserve">Rua São João, Flavio Marques Lisboa</t>
  </si>
  <si>
    <t xml:space="preserve">LOC_313</t>
  </si>
  <si>
    <t xml:space="preserve">Rua São João, no trecho situado entre as ruas Natalia e Avenida Menelick de Carvalho, com extensão aproximada de 180m (cento e oitenta metros), no Bairro Flavio Marques Lisboa</t>
  </si>
  <si>
    <t xml:space="preserve">Rua São João</t>
  </si>
  <si>
    <t xml:space="preserve">Rua Saquarema, no trecho situado entre as ruas Jequiriçá e Juparanã, bairro Concordia</t>
  </si>
  <si>
    <t xml:space="preserve">LOC_314</t>
  </si>
  <si>
    <t xml:space="preserve">Rua Saquarema</t>
  </si>
  <si>
    <t xml:space="preserve">Rua Silvestre Teodoro de Souza, Independencia</t>
  </si>
  <si>
    <t xml:space="preserve">LOC_315</t>
  </si>
  <si>
    <t xml:space="preserve">Rua Silvestre Teodoro de Souza, no trecho situado entre as ruas Professora Dirce Maria e Joana Lopes dos Santos no bairro Independência</t>
  </si>
  <si>
    <t xml:space="preserve">Rua Silvestre Teodoro de Souza</t>
  </si>
  <si>
    <t xml:space="preserve">Rua Taguatinga, Araguaia</t>
  </si>
  <si>
    <t xml:space="preserve">LOC_316</t>
  </si>
  <si>
    <t xml:space="preserve">Rua Taguatinga, no trecho situado entre as ruas Doutor Cristiano Rezende e José Luis Dias Duarte no bairro Araguaia</t>
  </si>
  <si>
    <t xml:space="preserve">Araguaia</t>
  </si>
  <si>
    <t xml:space="preserve">Rua Taguatinga</t>
  </si>
  <si>
    <t xml:space="preserve">Rua Três, bairro Betânia</t>
  </si>
  <si>
    <t xml:space="preserve">LOC_317</t>
  </si>
  <si>
    <t xml:space="preserve">Rua Três</t>
  </si>
  <si>
    <t xml:space="preserve">Rua VDP3981, que interliga a Rua Deputado Sebastião Nascimento com a Rua Deputado Fábio Vasconcelos</t>
  </si>
  <si>
    <t xml:space="preserve">LOC_318</t>
  </si>
  <si>
    <t xml:space="preserve">Rua VDP3981</t>
  </si>
  <si>
    <t xml:space="preserve">Rua Vereador Antônio Menezes, bairro Independencia</t>
  </si>
  <si>
    <t xml:space="preserve">LOC_319</t>
  </si>
  <si>
    <t xml:space="preserve">Rua Vereador Antônio Menezes, no trecho situado entre as ruas Silvestre Teodoro de Souza e Joana Lopes dos Santos, com dimensão aproximada de 109 m (cento e nove metros) de comprimento por 6 m (seis metros) de largura e 4 cm (quatro centímetros) de espessura, no Bairro Independência</t>
  </si>
  <si>
    <t xml:space="preserve">Rua Vereador Antônio Menezes</t>
  </si>
  <si>
    <t xml:space="preserve">Rua Vereador Antônio Menezes, próximo ao número 660 (escadão) no bairro Independência, regional Barreiro</t>
  </si>
  <si>
    <t xml:space="preserve">LOC_320</t>
  </si>
  <si>
    <t xml:space="preserve">660</t>
  </si>
  <si>
    <t xml:space="preserve">Rua Vime, Bonsucesso</t>
  </si>
  <si>
    <t xml:space="preserve">LOC_321</t>
  </si>
  <si>
    <t xml:space="preserve">Rua Vime, no trecho situado entre as ruas Doutor Cristiano Rezende e José Luis Dias Duarte, no bairro Bonsucesso, com dimensão aproximada de 115,03 m (cento e quinze metros e três centímetros) de comprimento e 10,07 m (dez metros e sete centímetros) de largura</t>
  </si>
  <si>
    <t xml:space="preserve">Rua Vime</t>
  </si>
  <si>
    <t xml:space="preserve">Rua Visconde de Mauá, esquina com Rua Francisco Teles, no bairro Califórnia</t>
  </si>
  <si>
    <t xml:space="preserve">LOC_322</t>
  </si>
  <si>
    <t xml:space="preserve">Rua Visconde de Mauá, esquina com Rua Francisco Teles</t>
  </si>
  <si>
    <t xml:space="preserve">Rua Washington Luiz 1530</t>
  </si>
  <si>
    <t xml:space="preserve">LOC_323</t>
  </si>
  <si>
    <t xml:space="preserve">rua Washington Luiz, em frente ao n. 1530, bairro São Bernardo</t>
  </si>
  <si>
    <t xml:space="preserve">Rua Washington Luiz</t>
  </si>
  <si>
    <t xml:space="preserve">1530</t>
  </si>
  <si>
    <t xml:space="preserve">Santa Casa de Misericórdia de Belo Horizonte</t>
  </si>
  <si>
    <t xml:space="preserve">LOC_324</t>
  </si>
  <si>
    <t xml:space="preserve">Av. Francisco Sales, 1111 - Santa Efigênia, Belo Horizonte - MG, 30150-223</t>
  </si>
  <si>
    <t xml:space="preserve">Avenida Francisco Sales</t>
  </si>
  <si>
    <t xml:space="preserve">1111</t>
  </si>
  <si>
    <t xml:space="preserve">30150-223</t>
  </si>
  <si>
    <t xml:space="preserve">Teatro de Arena do Centro Cultural Urucuia</t>
  </si>
  <si>
    <t xml:space="preserve">LOC_325</t>
  </si>
  <si>
    <t xml:space="preserve">R. W-3, 500 - Pongelupe, Belo Horizonte - MG, 30628-175</t>
  </si>
  <si>
    <t xml:space="preserve">Pongelupe</t>
  </si>
  <si>
    <t xml:space="preserve">Rua W3</t>
  </si>
  <si>
    <t xml:space="preserve">30628-175</t>
  </si>
  <si>
    <t xml:space="preserve">UPA BARREIRO</t>
  </si>
  <si>
    <t xml:space="preserve">LOC_326</t>
  </si>
  <si>
    <t xml:space="preserve">Rua Aurélio Lopes, 20 - Bairro Diamante - Barreiro</t>
  </si>
  <si>
    <t xml:space="preserve">Rua Aurélio Lopes</t>
  </si>
  <si>
    <t xml:space="preserve">30627-204</t>
  </si>
  <si>
    <t xml:space="preserve">UPA Leste</t>
  </si>
  <si>
    <t xml:space="preserve">LOC_327</t>
  </si>
  <si>
    <t xml:space="preserve">Av. dos Andradas, 7260 - Vera Cruz, Belo Horizonte - MG, 30120-010</t>
  </si>
  <si>
    <t xml:space="preserve">Avenida dos Andradas</t>
  </si>
  <si>
    <t xml:space="preserve">7260</t>
  </si>
  <si>
    <t xml:space="preserve">30120-010</t>
  </si>
  <si>
    <t xml:space="preserve">UPA Oeste</t>
  </si>
  <si>
    <t xml:space="preserve">LOC_328</t>
  </si>
  <si>
    <t xml:space="preserve">Av. Barão Homem de Melo, 1710 - Jardim América, Belo Horizonte - MG, 30160-090</t>
  </si>
  <si>
    <t xml:space="preserve">Avenida Barão Homem de Melo</t>
  </si>
  <si>
    <t xml:space="preserve">1710</t>
  </si>
  <si>
    <t xml:space="preserve">30160-090</t>
  </si>
  <si>
    <t xml:space="preserve">UPA Pampulha</t>
  </si>
  <si>
    <t xml:space="preserve">LOC_329</t>
  </si>
  <si>
    <t xml:space="preserve">Avenida Santa Terezinha, nº 515, no bairro Santa Terezinha</t>
  </si>
  <si>
    <t xml:space="preserve">515</t>
  </si>
  <si>
    <t xml:space="preserve">Viaduto Dezenove</t>
  </si>
  <si>
    <t xml:space="preserve">LOC_330</t>
  </si>
  <si>
    <t xml:space="preserve">Viaduto Dezenove, que faz ligação da BR-040 à Avenida Vereador Cícero Idelfonso, no Bairro João Pinheiro, no sentido BR-040 - Rodovia Juscelino Kubitschek e sentido Rodovia Juscelino Kubitschek - BR-040</t>
  </si>
  <si>
    <t xml:space="preserve">Rodovia Juscelino Kubitschek</t>
  </si>
  <si>
    <t xml:space="preserve">132</t>
  </si>
  <si>
    <t xml:space="preserve">ID_RELACAO</t>
  </si>
  <si>
    <t xml:space="preserve">ID_EMENDA</t>
  </si>
  <si>
    <t xml:space="preserve">ENDERECO_PADRONIZADO</t>
  </si>
  <si>
    <t xml:space="preserve">BAIRRO</t>
  </si>
  <si>
    <t xml:space="preserve">REGIONAL</t>
  </si>
  <si>
    <t xml:space="preserve">TERRITORIO</t>
  </si>
  <si>
    <t xml:space="preserve">LOGRADOURO</t>
  </si>
  <si>
    <t xml:space="preserve">NUMERO</t>
  </si>
  <si>
    <t xml:space="preserve">CEP</t>
  </si>
  <si>
    <t xml:space="preserve">LATITUDE</t>
  </si>
  <si>
    <t xml:space="preserve">LONGITUDE</t>
  </si>
  <si>
    <t xml:space="preserve">COORDENADA_X</t>
  </si>
  <si>
    <t xml:space="preserve">COORDENADA_Y</t>
  </si>
  <si>
    <t xml:space="preserve">REL_001</t>
  </si>
  <si>
    <t xml:space="preserve">2022_NIKOLAS_FERREIRA_793_01</t>
  </si>
  <si>
    <t xml:space="preserve">REL_002</t>
  </si>
  <si>
    <t xml:space="preserve">2022_JUNINHO_LOS_HERMANOS_421_01</t>
  </si>
  <si>
    <t xml:space="preserve">REL_003</t>
  </si>
  <si>
    <t xml:space="preserve">2022_JUNINHO_LOS_HERMANOS_422_01</t>
  </si>
  <si>
    <t xml:space="preserve">REL_004</t>
  </si>
  <si>
    <t xml:space="preserve">2022_JUNINHO_LOS_HERMANOS_438_01</t>
  </si>
  <si>
    <t xml:space="preserve">REL_005</t>
  </si>
  <si>
    <t xml:space="preserve">2022_JUNINHO_LOS_HERMANOS_423_01</t>
  </si>
  <si>
    <t xml:space="preserve">REL_006</t>
  </si>
  <si>
    <t xml:space="preserve">2022_JUNINHO_LOS_HERMANOS_420_01</t>
  </si>
  <si>
    <t xml:space="preserve">REL_007</t>
  </si>
  <si>
    <t xml:space="preserve">2022_NIKOLAS_FERREIRA_864_01</t>
  </si>
  <si>
    <t xml:space="preserve">REL_008</t>
  </si>
  <si>
    <t xml:space="preserve">2022_RUBAO_306_01</t>
  </si>
  <si>
    <t xml:space="preserve">REL_009</t>
  </si>
  <si>
    <t xml:space="preserve">2022_JUNINHO_LOS_HERMANOS_502_01</t>
  </si>
  <si>
    <t xml:space="preserve">REL_010</t>
  </si>
  <si>
    <t xml:space="preserve">2022_WILSINHO_DA_TABU_451_01</t>
  </si>
  <si>
    <t xml:space="preserve">REL_011</t>
  </si>
  <si>
    <t xml:space="preserve">2022_CLAUDIO_DO_MUNDO_NOVO_268_01</t>
  </si>
  <si>
    <t xml:space="preserve">REL_012</t>
  </si>
  <si>
    <t xml:space="preserve">2022_MARCELA_TROPIA_745_01</t>
  </si>
  <si>
    <t xml:space="preserve">REL_013</t>
  </si>
  <si>
    <t xml:space="preserve">2022_NIKOLAS_FERREIRA_707_01</t>
  </si>
  <si>
    <t xml:space="preserve">REL_014</t>
  </si>
  <si>
    <t xml:space="preserve">2022_NIKOLAS_FERREIRA_728_01</t>
  </si>
  <si>
    <t xml:space="preserve">REL_015</t>
  </si>
  <si>
    <t xml:space="preserve">2022_MARCOS_CRISPIM_568_01</t>
  </si>
  <si>
    <t xml:space="preserve">REL_016</t>
  </si>
  <si>
    <t xml:space="preserve">2022_BIM_DA_AMBULANCIA_789_01</t>
  </si>
  <si>
    <t xml:space="preserve">REL_017</t>
  </si>
  <si>
    <t xml:space="preserve">2022_BRAULIO_LARA_859_01</t>
  </si>
  <si>
    <t xml:space="preserve">REL_018</t>
  </si>
  <si>
    <t xml:space="preserve">2022_WESLEY_188_01</t>
  </si>
  <si>
    <t xml:space="preserve">REL_019</t>
  </si>
  <si>
    <t xml:space="preserve">2022_WESLEY_189_01</t>
  </si>
  <si>
    <t xml:space="preserve">REL_020</t>
  </si>
  <si>
    <t xml:space="preserve">2022_WESLEY_195_01</t>
  </si>
  <si>
    <t xml:space="preserve">REL_021</t>
  </si>
  <si>
    <t xml:space="preserve">2022_BIM_DA_AMBULANCIA_788_01</t>
  </si>
  <si>
    <t xml:space="preserve">REL_022</t>
  </si>
  <si>
    <t xml:space="preserve">2022_BRAULIO_LARA_862_01</t>
  </si>
  <si>
    <t xml:space="preserve">REL_023</t>
  </si>
  <si>
    <t xml:space="preserve">2022_JOSE_FERREIRA_691_01</t>
  </si>
  <si>
    <t xml:space="preserve">REL_024</t>
  </si>
  <si>
    <t xml:space="preserve">2022_RAMON_BIBIANO_DA_CASA_DE_APOIO_625_01</t>
  </si>
  <si>
    <t xml:space="preserve">REL_025</t>
  </si>
  <si>
    <t xml:space="preserve">2022_WESLEY_203_01</t>
  </si>
  <si>
    <t xml:space="preserve">REL_026</t>
  </si>
  <si>
    <t xml:space="preserve">2022_JOSE_FERREIRA_696_01</t>
  </si>
  <si>
    <t xml:space="preserve">REL_027</t>
  </si>
  <si>
    <t xml:space="preserve">2022_CLAUDIO_DO_MUNDO_NOVO_157_01</t>
  </si>
  <si>
    <t xml:space="preserve">REL_028</t>
  </si>
  <si>
    <t xml:space="preserve">2022_WESLEY_257_01</t>
  </si>
  <si>
    <t xml:space="preserve">REL_029</t>
  </si>
  <si>
    <t xml:space="preserve">2022_MACAE_EVARISTO_386_01</t>
  </si>
  <si>
    <t xml:space="preserve">REL_030</t>
  </si>
  <si>
    <t xml:space="preserve">2022_MACAE_EVARISTO_873_01</t>
  </si>
  <si>
    <t xml:space="preserve">REL_031</t>
  </si>
  <si>
    <t xml:space="preserve">2022_MACAE_EVARISTO_385_01</t>
  </si>
  <si>
    <t xml:space="preserve">REL_032</t>
  </si>
  <si>
    <t xml:space="preserve">2022_MACAE_EVARISTO_872_01</t>
  </si>
  <si>
    <t xml:space="preserve">REL_033</t>
  </si>
  <si>
    <t xml:space="preserve">2022_MACAE_EVARISTO_383_01</t>
  </si>
  <si>
    <t xml:space="preserve">REL_034</t>
  </si>
  <si>
    <t xml:space="preserve">2022_MACAE_EVARISTO_870_01</t>
  </si>
  <si>
    <t xml:space="preserve">REL_035</t>
  </si>
  <si>
    <t xml:space="preserve">2022_MACAE_EVARISTO_384_01</t>
  </si>
  <si>
    <t xml:space="preserve">REL_036</t>
  </si>
  <si>
    <t xml:space="preserve">2022_MACAE_EVARISTO_871_01</t>
  </si>
  <si>
    <t xml:space="preserve">REL_037</t>
  </si>
  <si>
    <t xml:space="preserve">2022_MACAE_EVARISTO_380_01</t>
  </si>
  <si>
    <t xml:space="preserve">REL_038</t>
  </si>
  <si>
    <t xml:space="preserve">2022_MACAE_EVARISTO_382_01</t>
  </si>
  <si>
    <t xml:space="preserve">REL_039</t>
  </si>
  <si>
    <t xml:space="preserve">2022_MACAE_EVARISTO_869_01</t>
  </si>
  <si>
    <t xml:space="preserve">REL_040</t>
  </si>
  <si>
    <t xml:space="preserve">2022_MACAE_EVARISTO_381_01</t>
  </si>
  <si>
    <t xml:space="preserve">REL_041</t>
  </si>
  <si>
    <t xml:space="preserve">2022_MACAE_EVARISTO_379_01</t>
  </si>
  <si>
    <t xml:space="preserve">REL_042</t>
  </si>
  <si>
    <t xml:space="preserve">2022_JUNINHO_LOS_HERMANOS_440_01</t>
  </si>
  <si>
    <t xml:space="preserve">REL_043</t>
  </si>
  <si>
    <t xml:space="preserve">2022_WANDERLEY_PORTO_326_01</t>
  </si>
  <si>
    <t xml:space="preserve">REL_044</t>
  </si>
  <si>
    <t xml:space="preserve">2022_MACAE_EVARISTO_391_01</t>
  </si>
  <si>
    <t xml:space="preserve">REL_045</t>
  </si>
  <si>
    <t xml:space="preserve">2022_JUNINHO_LOS_HERMANOS_439_01</t>
  </si>
  <si>
    <t xml:space="preserve">REL_046</t>
  </si>
  <si>
    <t xml:space="preserve">2022_ROGERIO_ALKIMIM_814_01</t>
  </si>
  <si>
    <t xml:space="preserve">REL_047</t>
  </si>
  <si>
    <t xml:space="preserve">2022_GILSON_GUIMARAES_738_01</t>
  </si>
  <si>
    <t xml:space="preserve">REL_048</t>
  </si>
  <si>
    <t xml:space="preserve">2022_GILSON_GUIMARAES_748_01</t>
  </si>
  <si>
    <t xml:space="preserve">REL_049</t>
  </si>
  <si>
    <t xml:space="preserve">2022_HELINHO_DA_FARMACIA_472_01</t>
  </si>
  <si>
    <t xml:space="preserve">REL_050</t>
  </si>
  <si>
    <t xml:space="preserve">2022_DUDA_SALABERT_535_01</t>
  </si>
  <si>
    <t xml:space="preserve">REL_051</t>
  </si>
  <si>
    <t xml:space="preserve">2022_MACAE_EVARISTO_393_01</t>
  </si>
  <si>
    <t xml:space="preserve">REL_052</t>
  </si>
  <si>
    <t xml:space="preserve">2022_CLAUDIO_DO_MUNDO_NOVO_351_01</t>
  </si>
  <si>
    <t xml:space="preserve">REL_053</t>
  </si>
  <si>
    <t xml:space="preserve">2022_PEDRO_PATRUS_612_01</t>
  </si>
  <si>
    <t xml:space="preserve">REL_054</t>
  </si>
  <si>
    <t xml:space="preserve">2022_CLAUDIO_DO_MUNDO_NOVO_344_01</t>
  </si>
  <si>
    <t xml:space="preserve">REL_055</t>
  </si>
  <si>
    <t xml:space="preserve">2022_ALVARO_DAMIAO_290_01</t>
  </si>
  <si>
    <t xml:space="preserve">REL_056</t>
  </si>
  <si>
    <t xml:space="preserve">2022_MARCOS_CRISPIM_581_01</t>
  </si>
  <si>
    <t xml:space="preserve">REL_057</t>
  </si>
  <si>
    <t xml:space="preserve">2022_MILTINHO_CGE_676_01</t>
  </si>
  <si>
    <t xml:space="preserve">REL_058</t>
  </si>
  <si>
    <t xml:space="preserve">2022_BRAULIO_LARA_804_01</t>
  </si>
  <si>
    <t xml:space="preserve">REL_059</t>
  </si>
  <si>
    <t xml:space="preserve">2022_RUBAO_304_01</t>
  </si>
  <si>
    <t xml:space="preserve">REL_060</t>
  </si>
  <si>
    <t xml:space="preserve">2022_BRAULIO_LARA_807_01</t>
  </si>
  <si>
    <t xml:space="preserve">REL_061</t>
  </si>
  <si>
    <t xml:space="preserve">2022_MILTINHO_CGE_673_01</t>
  </si>
  <si>
    <t xml:space="preserve">REL_062</t>
  </si>
  <si>
    <t xml:space="preserve">2022_NIKOLAS_FERREIRA_491_01</t>
  </si>
  <si>
    <t xml:space="preserve">REL_063</t>
  </si>
  <si>
    <t xml:space="preserve">2022_ALVARO_DAMIAO_291_01</t>
  </si>
  <si>
    <t xml:space="preserve">REL_064</t>
  </si>
  <si>
    <t xml:space="preserve">2022_WESLEY_196_01</t>
  </si>
  <si>
    <t xml:space="preserve">REL_065</t>
  </si>
  <si>
    <t xml:space="preserve">2022_GILSON_GUIMARAES_407_01</t>
  </si>
  <si>
    <t xml:space="preserve">REL_066</t>
  </si>
  <si>
    <t xml:space="preserve">2022_JUNINHO_LOS_HERMANOS_361_01</t>
  </si>
  <si>
    <t xml:space="preserve">REL_067</t>
  </si>
  <si>
    <t xml:space="preserve">2022_LEO_618_01</t>
  </si>
  <si>
    <t xml:space="preserve">REL_068</t>
  </si>
  <si>
    <t xml:space="preserve">2022_LEO_795_01</t>
  </si>
  <si>
    <t xml:space="preserve">REL_069</t>
  </si>
  <si>
    <t xml:space="preserve">2022_CLAUDIO_DO_MUNDO_NOVO_345_01</t>
  </si>
  <si>
    <t xml:space="preserve">REL_070</t>
  </si>
  <si>
    <t xml:space="preserve">2022_NELY_AQUINO_411_01</t>
  </si>
  <si>
    <t xml:space="preserve">REL_071</t>
  </si>
  <si>
    <t xml:space="preserve">2022_NIKOLAS_FERREIRA_496_01</t>
  </si>
  <si>
    <t xml:space="preserve">REL_072</t>
  </si>
  <si>
    <t xml:space="preserve">REL_073</t>
  </si>
  <si>
    <t xml:space="preserve">2022_JUNINHO_LOS_HERMANOS_352_01</t>
  </si>
  <si>
    <t xml:space="preserve">REL_074</t>
  </si>
  <si>
    <t xml:space="preserve">2022_BRAULIO_LARA_805_01</t>
  </si>
  <si>
    <t xml:space="preserve">REL_075</t>
  </si>
  <si>
    <t xml:space="preserve">2022_DR_CELIO_FROIS_501_01</t>
  </si>
  <si>
    <t xml:space="preserve">REL_076</t>
  </si>
  <si>
    <t xml:space="preserve">2022_WANDERLEY_PORTO_328_01</t>
  </si>
  <si>
    <t xml:space="preserve">REL_077</t>
  </si>
  <si>
    <t xml:space="preserve">2022_WESLEY_61_01</t>
  </si>
  <si>
    <t xml:space="preserve">REL_078</t>
  </si>
  <si>
    <t xml:space="preserve">2022_WESLEY_192_01</t>
  </si>
  <si>
    <t xml:space="preserve">REL_079</t>
  </si>
  <si>
    <t xml:space="preserve">2022_JUNINHO_LOS_HERMANOS_355_01</t>
  </si>
  <si>
    <t xml:space="preserve">REL_080</t>
  </si>
  <si>
    <t xml:space="preserve">2022_JUNINHO_LOS_HERMANOS_357_01</t>
  </si>
  <si>
    <t xml:space="preserve">REL_081</t>
  </si>
  <si>
    <t xml:space="preserve">2022_ALVARO_DAMIAO_293_01</t>
  </si>
  <si>
    <t xml:space="preserve">REL_082</t>
  </si>
  <si>
    <t xml:space="preserve">2022_WESLEY_199_01</t>
  </si>
  <si>
    <t xml:space="preserve">REL_083</t>
  </si>
  <si>
    <t xml:space="preserve">2022_JOSE_FERREIRA_694_01</t>
  </si>
  <si>
    <t xml:space="preserve">REL_084</t>
  </si>
  <si>
    <t xml:space="preserve">2022_JUNINHO_LOS_HERMANOS_354_01</t>
  </si>
  <si>
    <t xml:space="preserve">REL_085</t>
  </si>
  <si>
    <t xml:space="preserve">REL_086</t>
  </si>
  <si>
    <t xml:space="preserve">2022_LEO_874_01</t>
  </si>
  <si>
    <t xml:space="preserve">REL_087</t>
  </si>
  <si>
    <t xml:space="preserve">REL_088</t>
  </si>
  <si>
    <t xml:space="preserve">REL_089</t>
  </si>
  <si>
    <t xml:space="preserve">2022_MARCOS_CRISPIM_587_01</t>
  </si>
  <si>
    <t xml:space="preserve">REL_090</t>
  </si>
  <si>
    <t xml:space="preserve">2022_BRAULIO_LARA_800_01</t>
  </si>
  <si>
    <t xml:space="preserve">REL_091</t>
  </si>
  <si>
    <t xml:space="preserve">2022_RAMON_BIBIANO_DA_CASA_DE_APOIO_624_01</t>
  </si>
  <si>
    <t xml:space="preserve">REL_092</t>
  </si>
  <si>
    <t xml:space="preserve">2022_WILSINHO_DA_TABU_444_01</t>
  </si>
  <si>
    <t xml:space="preserve">REL_093</t>
  </si>
  <si>
    <t xml:space="preserve">2022_WILSINHO_DA_TABU_466_01</t>
  </si>
  <si>
    <t xml:space="preserve">REL_094</t>
  </si>
  <si>
    <t xml:space="preserve">2022_WANDERLEY_PORTO_327_01</t>
  </si>
  <si>
    <t xml:space="preserve">REL_095</t>
  </si>
  <si>
    <t xml:space="preserve">REL_096</t>
  </si>
  <si>
    <t xml:space="preserve">2022_MARILDA_PORTELA_515_01</t>
  </si>
  <si>
    <t xml:space="preserve">REL_097</t>
  </si>
  <si>
    <t xml:space="preserve">2022_JOSE_FERREIRA_697_01</t>
  </si>
  <si>
    <t xml:space="preserve">REL_098</t>
  </si>
  <si>
    <t xml:space="preserve">2022_JUNINHO_LOS_HERMANOS_356_01</t>
  </si>
  <si>
    <t xml:space="preserve">REL_099</t>
  </si>
  <si>
    <t xml:space="preserve">2022_CLAUDIO_DO_MUNDO_NOVO_347_01</t>
  </si>
  <si>
    <t xml:space="preserve">REL_100</t>
  </si>
  <si>
    <t xml:space="preserve">REL_101</t>
  </si>
  <si>
    <t xml:space="preserve">2022_JUNINHO_LOS_HERMANOS_365_01</t>
  </si>
  <si>
    <t xml:space="preserve">REL_102</t>
  </si>
  <si>
    <t xml:space="preserve">2022_MILTINHO_CGE_670_01</t>
  </si>
  <si>
    <t xml:space="preserve">REL_103</t>
  </si>
  <si>
    <t xml:space="preserve">2022_LEO_708_01</t>
  </si>
  <si>
    <t xml:space="preserve">REL_104</t>
  </si>
  <si>
    <t xml:space="preserve">2022_WESLEY_186_01</t>
  </si>
  <si>
    <t xml:space="preserve">REL_105</t>
  </si>
  <si>
    <t xml:space="preserve">2022_WILSINHO_DA_TABU_463_01</t>
  </si>
  <si>
    <t xml:space="preserve">REL_106</t>
  </si>
  <si>
    <t xml:space="preserve">2022_WANDERLEY_PORTO_336_01</t>
  </si>
  <si>
    <t xml:space="preserve">REL_107</t>
  </si>
  <si>
    <t xml:space="preserve">2022_PROFESSOR_JULIANO_LOPES_778_01</t>
  </si>
  <si>
    <t xml:space="preserve">REL_108</t>
  </si>
  <si>
    <t xml:space="preserve">2022_CLAUDIO_DO_MUNDO_NOVO_417_01</t>
  </si>
  <si>
    <t xml:space="preserve">REL_109</t>
  </si>
  <si>
    <t xml:space="preserve">REL_110</t>
  </si>
  <si>
    <t xml:space="preserve">2022_BRAULIO_LARA_831_01</t>
  </si>
  <si>
    <t xml:space="preserve">REL_111</t>
  </si>
  <si>
    <t xml:space="preserve">2022_GILSON_GUIMARAES_468_01</t>
  </si>
  <si>
    <t xml:space="preserve">REL_112</t>
  </si>
  <si>
    <t xml:space="preserve">2022_LEO_617_01</t>
  </si>
  <si>
    <t xml:space="preserve">REL_113</t>
  </si>
  <si>
    <t xml:space="preserve">REL_114</t>
  </si>
  <si>
    <t xml:space="preserve">REL_115</t>
  </si>
  <si>
    <t xml:space="preserve">2022_BRAULIO_LARA_838_01</t>
  </si>
  <si>
    <t xml:space="preserve">REL_116</t>
  </si>
  <si>
    <t xml:space="preserve">2022_RAMON_BIBIANO_DA_CASA_DE_APOIO_623_01</t>
  </si>
  <si>
    <t xml:space="preserve">REL_117</t>
  </si>
  <si>
    <t xml:space="preserve">REL_118</t>
  </si>
  <si>
    <t xml:space="preserve">2022_CLAUDIO_DO_MUNDO_NOVO_346_01</t>
  </si>
  <si>
    <t xml:space="preserve">REL_119</t>
  </si>
  <si>
    <t xml:space="preserve">2022_GILSON_GUIMARAES_490_01</t>
  </si>
  <si>
    <t xml:space="preserve">REL_120</t>
  </si>
  <si>
    <t xml:space="preserve">2022_JUNINHO_LOS_HERMANOS_368_01</t>
  </si>
  <si>
    <t xml:space="preserve">REL_121</t>
  </si>
  <si>
    <t xml:space="preserve">2022_BRAULIO_LARA_801_01</t>
  </si>
  <si>
    <t xml:space="preserve">REL_122</t>
  </si>
  <si>
    <t xml:space="preserve">2022_GILSON_GUIMARAES_493_01</t>
  </si>
  <si>
    <t xml:space="preserve">REL_123</t>
  </si>
  <si>
    <t xml:space="preserve">2022_MILTINHO_CGE_671_01</t>
  </si>
  <si>
    <t xml:space="preserve">REL_124</t>
  </si>
  <si>
    <t xml:space="preserve">2022_LEO_616_01</t>
  </si>
  <si>
    <t xml:space="preserve">REL_125</t>
  </si>
  <si>
    <t xml:space="preserve">2022_BRAULIO_LARA_809_01</t>
  </si>
  <si>
    <t xml:space="preserve">REL_126</t>
  </si>
  <si>
    <t xml:space="preserve">REL_127</t>
  </si>
  <si>
    <t xml:space="preserve">2022_JOSE_FERREIRA_693_01</t>
  </si>
  <si>
    <t xml:space="preserve">REL_128</t>
  </si>
  <si>
    <t xml:space="preserve">2022_JUNINHO_LOS_HERMANOS_360_01</t>
  </si>
  <si>
    <t xml:space="preserve">REL_129</t>
  </si>
  <si>
    <t xml:space="preserve">2022_MACAE_EVARISTO_390_01</t>
  </si>
  <si>
    <t xml:space="preserve">REL_130</t>
  </si>
  <si>
    <t xml:space="preserve">2022_MILTINHO_CGE_672_01</t>
  </si>
  <si>
    <t xml:space="preserve">REL_131</t>
  </si>
  <si>
    <t xml:space="preserve">2022_WILSINHO_DA_TABU_467_01</t>
  </si>
  <si>
    <t xml:space="preserve">REL_132</t>
  </si>
  <si>
    <t xml:space="preserve">2022_MARILDA_PORTELA_516_01</t>
  </si>
  <si>
    <t xml:space="preserve">REL_133</t>
  </si>
  <si>
    <t xml:space="preserve">REL_134</t>
  </si>
  <si>
    <t xml:space="preserve">2022_RAMON_BIBIANO_DA_CASA_DE_APOIO_627_01</t>
  </si>
  <si>
    <t xml:space="preserve">REL_135</t>
  </si>
  <si>
    <t xml:space="preserve">2022_BRAULIO_LARA_803_01</t>
  </si>
  <si>
    <t xml:space="preserve">REL_136</t>
  </si>
  <si>
    <t xml:space="preserve">2022_WESLEY_185_01</t>
  </si>
  <si>
    <t xml:space="preserve">REL_137</t>
  </si>
  <si>
    <t xml:space="preserve">2022_WILSINHO_DA_TABU_464_01</t>
  </si>
  <si>
    <t xml:space="preserve">REL_138</t>
  </si>
  <si>
    <t xml:space="preserve">REL_139</t>
  </si>
  <si>
    <t xml:space="preserve">2022_CLAUDIO_DO_MUNDO_NOVO_349_01</t>
  </si>
  <si>
    <t xml:space="preserve">REL_140</t>
  </si>
  <si>
    <t xml:space="preserve">2022_BRAULIO_LARA_829_01</t>
  </si>
  <si>
    <t xml:space="preserve">REL_141</t>
  </si>
  <si>
    <t xml:space="preserve">2022_JUNINHO_LOS_HERMANOS_358_01</t>
  </si>
  <si>
    <t xml:space="preserve">REL_142</t>
  </si>
  <si>
    <t xml:space="preserve">2022_RAMON_BIBIANO_DA_CASA_DE_APOIO_626_01</t>
  </si>
  <si>
    <t xml:space="preserve">REL_143</t>
  </si>
  <si>
    <t xml:space="preserve">REL_144</t>
  </si>
  <si>
    <t xml:space="preserve">REL_145</t>
  </si>
  <si>
    <t xml:space="preserve">2022_REINALDO_GOMES_PRETO_SACOLAO_821_01</t>
  </si>
  <si>
    <t xml:space="preserve">REL_146</t>
  </si>
  <si>
    <t xml:space="preserve">REL_147</t>
  </si>
  <si>
    <t xml:space="preserve">2022_WALTER_TOSTA_842_01</t>
  </si>
  <si>
    <t xml:space="preserve">REL_148</t>
  </si>
  <si>
    <t xml:space="preserve">2022_JUNINHO_LOS_HERMANOS_366_01</t>
  </si>
  <si>
    <t xml:space="preserve">REL_149</t>
  </si>
  <si>
    <t xml:space="preserve">2022_RAMON_BIBIANO_DA_CASA_DE_APOIO_628_01</t>
  </si>
  <si>
    <t xml:space="preserve">REL_150</t>
  </si>
  <si>
    <t xml:space="preserve">REL_151</t>
  </si>
  <si>
    <t xml:space="preserve">2022_GILSON_GUIMARAES_405_01</t>
  </si>
  <si>
    <t xml:space="preserve">REL_152</t>
  </si>
  <si>
    <t xml:space="preserve">REL_153</t>
  </si>
  <si>
    <t xml:space="preserve">2022_CLAUDIO_DO_MUNDO_NOVO_350_01</t>
  </si>
  <si>
    <t xml:space="preserve">REL_154</t>
  </si>
  <si>
    <t xml:space="preserve">2022_BRAULIO_LARA_810_01</t>
  </si>
  <si>
    <t xml:space="preserve">REL_155</t>
  </si>
  <si>
    <t xml:space="preserve">2022_JUNINHO_LOS_HERMANOS_359_01</t>
  </si>
  <si>
    <t xml:space="preserve">REL_156</t>
  </si>
  <si>
    <t xml:space="preserve">REL_157</t>
  </si>
  <si>
    <t xml:space="preserve">2022_MARCOS_CRISPIM_610_01</t>
  </si>
  <si>
    <t xml:space="preserve">REL_158</t>
  </si>
  <si>
    <t xml:space="preserve">REL_159</t>
  </si>
  <si>
    <t xml:space="preserve">2022_WANDERLEY_PORTO_318_01</t>
  </si>
  <si>
    <t xml:space="preserve">REL_160</t>
  </si>
  <si>
    <t xml:space="preserve">2022_BRAULIO_LARA_808_01</t>
  </si>
  <si>
    <t xml:space="preserve">REL_161</t>
  </si>
  <si>
    <t xml:space="preserve">2022_WALTER_TOSTA_841_01</t>
  </si>
  <si>
    <t xml:space="preserve">REL_162</t>
  </si>
  <si>
    <t xml:space="preserve">REL_163</t>
  </si>
  <si>
    <t xml:space="preserve">2022_BRAULIO_LARA_806_01</t>
  </si>
  <si>
    <t xml:space="preserve">REL_164</t>
  </si>
  <si>
    <t xml:space="preserve">2022_NIKOLAS_FERREIRA_492_01</t>
  </si>
  <si>
    <t xml:space="preserve">REL_165</t>
  </si>
  <si>
    <t xml:space="preserve">2022_BRAULIO_LARA_802_01</t>
  </si>
  <si>
    <t xml:space="preserve">REL_166</t>
  </si>
  <si>
    <t xml:space="preserve">REL_167</t>
  </si>
  <si>
    <t xml:space="preserve">REL_168</t>
  </si>
  <si>
    <t xml:space="preserve">2022_NIKOLAS_FERREIRA_494_01</t>
  </si>
  <si>
    <t xml:space="preserve">REL_169</t>
  </si>
  <si>
    <t xml:space="preserve">2022_BRUNO_MIRANDA_574_01</t>
  </si>
  <si>
    <t xml:space="preserve">REL_170</t>
  </si>
  <si>
    <t xml:space="preserve">2022_JUNINHO_LOS_HERMANOS_424_01</t>
  </si>
  <si>
    <t xml:space="preserve">REL_171</t>
  </si>
  <si>
    <t xml:space="preserve">2022_MACAE_EVARISTO_388_01</t>
  </si>
  <si>
    <t xml:space="preserve">REL_172</t>
  </si>
  <si>
    <t xml:space="preserve">2022_WANDERLEY_PORTO_324_01</t>
  </si>
  <si>
    <t xml:space="preserve">REL_173</t>
  </si>
  <si>
    <t xml:space="preserve">2022_JORGE_SANTOS_847_01</t>
  </si>
  <si>
    <t xml:space="preserve">REL_174</t>
  </si>
  <si>
    <t xml:space="preserve">2022_NELY_AQUINO_180_01</t>
  </si>
  <si>
    <t xml:space="preserve">REL_175</t>
  </si>
  <si>
    <t xml:space="preserve">2022_JUNINHO_LOS_HERMANOS_419_01</t>
  </si>
  <si>
    <t xml:space="preserve">REL_176</t>
  </si>
  <si>
    <t xml:space="preserve">2022_CLAUDIO_DO_MUNDO_NOVO_207_01</t>
  </si>
  <si>
    <t xml:space="preserve">REL_177</t>
  </si>
  <si>
    <t xml:space="preserve">2022_WANDERLEY_PORTO_325_01</t>
  </si>
  <si>
    <t xml:space="preserve">REL_178</t>
  </si>
  <si>
    <t xml:space="preserve">2022_JUNINHO_LOS_HERMANOS_600_01</t>
  </si>
  <si>
    <t xml:space="preserve">REL_179</t>
  </si>
  <si>
    <t xml:space="preserve">2022_JUNINHO_LOS_HERMANOS_594_01</t>
  </si>
  <si>
    <t xml:space="preserve">REL_180</t>
  </si>
  <si>
    <t xml:space="preserve">2022_CLAUDIO_DO_MUNDO_NOVO_123_01</t>
  </si>
  <si>
    <t xml:space="preserve">REL_181</t>
  </si>
  <si>
    <t xml:space="preserve">2022_JUNINHO_LOS_HERMANOS_605_01</t>
  </si>
  <si>
    <t xml:space="preserve">REL_182</t>
  </si>
  <si>
    <t xml:space="preserve">2022_CLAUDIO_DO_MUNDO_NOVO_121_01</t>
  </si>
  <si>
    <t xml:space="preserve">REL_183</t>
  </si>
  <si>
    <t xml:space="preserve">2022_WESLEY_200_01</t>
  </si>
  <si>
    <t xml:space="preserve">REL_184</t>
  </si>
  <si>
    <t xml:space="preserve">2022_WESLEY_201_01</t>
  </si>
  <si>
    <t xml:space="preserve">REL_185</t>
  </si>
  <si>
    <t xml:space="preserve">2022_JUNINHO_LOS_HERMANOS_712_01</t>
  </si>
  <si>
    <t xml:space="preserve">REL_186</t>
  </si>
  <si>
    <t xml:space="preserve">2022_JUNINHO_LOS_HERMANOS_713_01</t>
  </si>
  <si>
    <t xml:space="preserve">REL_187</t>
  </si>
  <si>
    <t xml:space="preserve">2022_WESLEY_198_01</t>
  </si>
  <si>
    <t xml:space="preserve">REL_188</t>
  </si>
  <si>
    <t xml:space="preserve">2022_JUNINHO_LOS_HERMANOS_721_01</t>
  </si>
  <si>
    <t xml:space="preserve">REL_189</t>
  </si>
  <si>
    <t xml:space="preserve">2022_JUNINHO_LOS_HERMANOS_722_01</t>
  </si>
  <si>
    <t xml:space="preserve">REL_190</t>
  </si>
  <si>
    <t xml:space="preserve">2022_JUNINHO_LOS_HERMANOS_714_01</t>
  </si>
  <si>
    <t xml:space="preserve">REL_191</t>
  </si>
  <si>
    <t xml:space="preserve">2022_JUNINHO_LOS_HERMANOS_723_01</t>
  </si>
  <si>
    <t xml:space="preserve">REL_192</t>
  </si>
  <si>
    <t xml:space="preserve">2022_JUNINHO_LOS_HERMANOS_715_01</t>
  </si>
  <si>
    <t xml:space="preserve">REL_193</t>
  </si>
  <si>
    <t xml:space="preserve">2022_NELY_AQUINO_408_01</t>
  </si>
  <si>
    <t xml:space="preserve">REL_194</t>
  </si>
  <si>
    <t xml:space="preserve">2022_JUNINHO_LOS_HERMANOS_716_01</t>
  </si>
  <si>
    <t xml:space="preserve">REL_195</t>
  </si>
  <si>
    <t xml:space="preserve">2022_MARILDA_PORTELA_522_01</t>
  </si>
  <si>
    <t xml:space="preserve">REL_196</t>
  </si>
  <si>
    <t xml:space="preserve">2022_JUNINHO_LOS_HERMANOS_717_01</t>
  </si>
  <si>
    <t xml:space="preserve">REL_197</t>
  </si>
  <si>
    <t xml:space="preserve">2022_JUNINHO_LOS_HERMANOS_718_01</t>
  </si>
  <si>
    <t xml:space="preserve">REL_198</t>
  </si>
  <si>
    <t xml:space="preserve">2022_WALTER_TOSTA_796_01</t>
  </si>
  <si>
    <t xml:space="preserve">REL_199</t>
  </si>
  <si>
    <t xml:space="preserve">2022_JUNINHO_LOS_HERMANOS_719_01</t>
  </si>
  <si>
    <t xml:space="preserve">REL_200</t>
  </si>
  <si>
    <t xml:space="preserve">2022_JUNINHO_LOS_HERMANOS_724_01</t>
  </si>
  <si>
    <t xml:space="preserve">REL_201</t>
  </si>
  <si>
    <t xml:space="preserve">2022_JUNINHO_LOS_HERMANOS_725_01</t>
  </si>
  <si>
    <t xml:space="preserve">REL_202</t>
  </si>
  <si>
    <t xml:space="preserve">2022_JUNINHO_LOS_HERMANOS_726_01</t>
  </si>
  <si>
    <t xml:space="preserve">REL_203</t>
  </si>
  <si>
    <t xml:space="preserve">2022_JUNINHO_LOS_HERMANOS_720_01</t>
  </si>
  <si>
    <t xml:space="preserve">REL_204</t>
  </si>
  <si>
    <t xml:space="preserve">2022_CLAUDIO_DO_MUNDO_NOVO_161_01</t>
  </si>
  <si>
    <t xml:space="preserve">REL_205</t>
  </si>
  <si>
    <t xml:space="preserve">2022_DR_CELIO_FROIS_566_01</t>
  </si>
  <si>
    <t xml:space="preserve">REL_206</t>
  </si>
  <si>
    <t xml:space="preserve">2022_DR_CELIO_FROIS_412_01</t>
  </si>
  <si>
    <t xml:space="preserve">REL_207</t>
  </si>
  <si>
    <t xml:space="preserve">2022_WESLEY_187_01</t>
  </si>
  <si>
    <t xml:space="preserve">REL_208</t>
  </si>
  <si>
    <t xml:space="preserve">2022_DR_CELIO_FROIS_543_01</t>
  </si>
  <si>
    <t xml:space="preserve">REL_209</t>
  </si>
  <si>
    <t xml:space="preserve">2022_GILSON_GUIMARAES_678_01</t>
  </si>
  <si>
    <t xml:space="preserve">REL_210</t>
  </si>
  <si>
    <t xml:space="preserve">2022_GILSON_GUIMARAES_685_01</t>
  </si>
  <si>
    <t xml:space="preserve">REL_211</t>
  </si>
  <si>
    <t xml:space="preserve">2022_GILSON_GUIMARAES_706_01</t>
  </si>
  <si>
    <t xml:space="preserve">REL_212</t>
  </si>
  <si>
    <t xml:space="preserve">2022_GILSON_GUIMARAES_636_01</t>
  </si>
  <si>
    <t xml:space="preserve">REL_213</t>
  </si>
  <si>
    <t xml:space="preserve">2022_GILSON_GUIMARAES_798_01</t>
  </si>
  <si>
    <t xml:space="preserve">REL_214</t>
  </si>
  <si>
    <t xml:space="preserve">2022_GILSON_GUIMARAES_632_01</t>
  </si>
  <si>
    <t xml:space="preserve">REL_215</t>
  </si>
  <si>
    <t xml:space="preserve">2022_GILSON_GUIMARAES_781_01</t>
  </si>
  <si>
    <t xml:space="preserve">REL_216</t>
  </si>
  <si>
    <t xml:space="preserve">2022_WALTER_TOSTA_754_01</t>
  </si>
  <si>
    <t xml:space="preserve">REL_217</t>
  </si>
  <si>
    <t xml:space="preserve">2022_JUNINHO_LOS_HERMANOS_602_01</t>
  </si>
  <si>
    <t xml:space="preserve">REL_218</t>
  </si>
  <si>
    <t xml:space="preserve">2022_CLAUDIO_DO_MUNDO_NOVO_109_01</t>
  </si>
  <si>
    <t xml:space="preserve">REL_219</t>
  </si>
  <si>
    <t xml:space="preserve">2022_JUNINHO_LOS_HERMANOS_595_01</t>
  </si>
  <si>
    <t xml:space="preserve">REL_220</t>
  </si>
  <si>
    <t xml:space="preserve">2022_JUNINHO_LOS_HERMANOS_596_01</t>
  </si>
  <si>
    <t xml:space="preserve">REL_221</t>
  </si>
  <si>
    <t xml:space="preserve">2022_MARILDA_PORTELA_523_01</t>
  </si>
  <si>
    <t xml:space="preserve">REL_222</t>
  </si>
  <si>
    <t xml:space="preserve">2022_JUNINHO_LOS_HERMANOS_606_01</t>
  </si>
  <si>
    <t xml:space="preserve">REL_223</t>
  </si>
  <si>
    <t xml:space="preserve">2022_WESLEY_191_01</t>
  </si>
  <si>
    <t xml:space="preserve">REL_224</t>
  </si>
  <si>
    <t xml:space="preserve">2022_JUNINHO_LOS_HERMANOS_597_01</t>
  </si>
  <si>
    <t xml:space="preserve">REL_225</t>
  </si>
  <si>
    <t xml:space="preserve">2022_JUNINHO_LOS_HERMANOS_709_01</t>
  </si>
  <si>
    <t xml:space="preserve">REL_226</t>
  </si>
  <si>
    <t xml:space="preserve">2022_JUNINHO_LOS_HERMANOS_598_01</t>
  </si>
  <si>
    <t xml:space="preserve">REL_227</t>
  </si>
  <si>
    <t xml:space="preserve">2022_JUNINHO_LOS_HERMANOS_604_01</t>
  </si>
  <si>
    <t xml:space="preserve">REL_228</t>
  </si>
  <si>
    <t xml:space="preserve">2022_WALTER_TOSTA_733_01</t>
  </si>
  <si>
    <t xml:space="preserve">REL_229</t>
  </si>
  <si>
    <t xml:space="preserve">2022_JUNINHO_LOS_HERMANOS_599_01</t>
  </si>
  <si>
    <t xml:space="preserve">REL_230</t>
  </si>
  <si>
    <t xml:space="preserve">2022_WALTER_TOSTA_762_01</t>
  </si>
  <si>
    <t xml:space="preserve">REL_231</t>
  </si>
  <si>
    <t xml:space="preserve">2022_DR_CELIO_FROIS_367_01</t>
  </si>
  <si>
    <t xml:space="preserve">REL_232</t>
  </si>
  <si>
    <t xml:space="preserve">2022_WALTER_TOSTA_782_01</t>
  </si>
  <si>
    <t xml:space="preserve">REL_233</t>
  </si>
  <si>
    <t xml:space="preserve">2022_JUNINHO_LOS_HERMANOS_710_01</t>
  </si>
  <si>
    <t xml:space="preserve">REL_234</t>
  </si>
  <si>
    <t xml:space="preserve">2022_CLAUDIO_DO_MUNDO_NOVO_122_01</t>
  </si>
  <si>
    <t xml:space="preserve">REL_235</t>
  </si>
  <si>
    <t xml:space="preserve">2022_JUNINHO_LOS_HERMANOS_603_01</t>
  </si>
  <si>
    <t xml:space="preserve">REL_236</t>
  </si>
  <si>
    <t xml:space="preserve">2022_JUNINHO_LOS_HERMANOS_711_01</t>
  </si>
  <si>
    <t xml:space="preserve">REL_237</t>
  </si>
  <si>
    <t xml:space="preserve">2022_CLAUDIO_DO_MUNDO_NOVO_205_01</t>
  </si>
  <si>
    <t xml:space="preserve">REL_238</t>
  </si>
  <si>
    <t xml:space="preserve">2022_JUNINHO_LOS_HERMANOS_601_01</t>
  </si>
  <si>
    <t xml:space="preserve">REL_239</t>
  </si>
  <si>
    <t xml:space="preserve">2022_MACAE_EVARISTO_791_01</t>
  </si>
  <si>
    <t xml:space="preserve">REL_240</t>
  </si>
  <si>
    <t xml:space="preserve">2022_CLAUDIO_DO_MUNDO_NOVO_155_01</t>
  </si>
  <si>
    <t xml:space="preserve">REL_241</t>
  </si>
  <si>
    <t xml:space="preserve">2022_WESLEY_202_01</t>
  </si>
  <si>
    <t xml:space="preserve">REL_242</t>
  </si>
  <si>
    <t xml:space="preserve">2022_JOSE_FERREIRA_695_01</t>
  </si>
  <si>
    <t xml:space="preserve">REL_243</t>
  </si>
  <si>
    <t xml:space="preserve">2022_PEDRO_PATRUS_578_01</t>
  </si>
  <si>
    <t xml:space="preserve">REL_244</t>
  </si>
  <si>
    <t xml:space="preserve">2022_REINALDO_GOMES_PRETO_SACOLAO_818_01</t>
  </si>
  <si>
    <t xml:space="preserve">REL_245</t>
  </si>
  <si>
    <t xml:space="preserve">REL_246</t>
  </si>
  <si>
    <t xml:space="preserve">REL_247</t>
  </si>
  <si>
    <t xml:space="preserve">REL_248</t>
  </si>
  <si>
    <t xml:space="preserve">2022_JUNINHO_LOS_HERMANOS_442_01</t>
  </si>
  <si>
    <t xml:space="preserve">REL_249</t>
  </si>
  <si>
    <t xml:space="preserve">2022_PROFESSORA_MARLI_620_01</t>
  </si>
  <si>
    <t xml:space="preserve">REL_250</t>
  </si>
  <si>
    <t xml:space="preserve">2022_WILSINHO_DA_TABU_460_01</t>
  </si>
  <si>
    <t xml:space="preserve">REL_251</t>
  </si>
  <si>
    <t xml:space="preserve">2022_BRAULIO_LARA_833_01</t>
  </si>
  <si>
    <t xml:space="preserve">REL_252</t>
  </si>
  <si>
    <t xml:space="preserve">2022_CLAUDIO_DO_MUNDO_NOVO_158_01</t>
  </si>
  <si>
    <t xml:space="preserve">REL_253</t>
  </si>
  <si>
    <t xml:space="preserve">2022_DR_CELIO_FROIS_653_01</t>
  </si>
  <si>
    <t xml:space="preserve">REL_254</t>
  </si>
  <si>
    <t xml:space="preserve">2022_GILSON_GUIMARAES_541_01</t>
  </si>
  <si>
    <t xml:space="preserve">REL_255</t>
  </si>
  <si>
    <t xml:space="preserve">2022_IRLAN_MELO_732_01</t>
  </si>
  <si>
    <t xml:space="preserve">REL_256</t>
  </si>
  <si>
    <t xml:space="preserve">2022_MACAE_EVARISTO_397_01</t>
  </si>
  <si>
    <t xml:space="preserve">REL_257</t>
  </si>
  <si>
    <t xml:space="preserve">2022_MILTINHO_CGE_667_01</t>
  </si>
  <si>
    <t xml:space="preserve">REL_258</t>
  </si>
  <si>
    <t xml:space="preserve">2022_NELY_AQUINO_758_01</t>
  </si>
  <si>
    <t xml:space="preserve">REL_259</t>
  </si>
  <si>
    <t xml:space="preserve">2022_PROFESSOR_CLAUDINEY_DULIM_637_01</t>
  </si>
  <si>
    <t xml:space="preserve">REL_260</t>
  </si>
  <si>
    <t xml:space="preserve">2022_WANDERLEY_PORTO_329_01</t>
  </si>
  <si>
    <t xml:space="preserve">REL_261</t>
  </si>
  <si>
    <t xml:space="preserve">2022_WILSINHO_DA_TABU_457_01</t>
  </si>
  <si>
    <t xml:space="preserve">REL_262</t>
  </si>
  <si>
    <t xml:space="preserve">2022_DUDA_SALABERT_533_01</t>
  </si>
  <si>
    <t xml:space="preserve">REL_263</t>
  </si>
  <si>
    <t xml:space="preserve">2022_PROFESSOR_CLAUDINEY_DULIM_644_01</t>
  </si>
  <si>
    <t xml:space="preserve">REL_264</t>
  </si>
  <si>
    <t xml:space="preserve">2022_WANDERLEY_PORTO_331_01</t>
  </si>
  <si>
    <t xml:space="preserve">REL_265</t>
  </si>
  <si>
    <t xml:space="preserve">2022_WESLEY_262_01</t>
  </si>
  <si>
    <t xml:space="preserve">REL_266</t>
  </si>
  <si>
    <t xml:space="preserve">2022_DUDA_SALABERT_532_01</t>
  </si>
  <si>
    <t xml:space="preserve">REL_267</t>
  </si>
  <si>
    <t xml:space="preserve">2022_BRAULIO_LARA_837_01</t>
  </si>
  <si>
    <t xml:space="preserve">REL_268</t>
  </si>
  <si>
    <t xml:space="preserve">2022_CLAUDIO_DO_MUNDO_NOVO_404_01</t>
  </si>
  <si>
    <t xml:space="preserve">REL_269</t>
  </si>
  <si>
    <t xml:space="preserve">2022_FERNANDO_LUIZ_569_01</t>
  </si>
  <si>
    <t xml:space="preserve">REL_270</t>
  </si>
  <si>
    <t xml:space="preserve">2022_FLAVIA_BORJA_858_01</t>
  </si>
  <si>
    <t xml:space="preserve">REL_271</t>
  </si>
  <si>
    <t xml:space="preserve">2022_GILSON_GUIMARAES_542_01</t>
  </si>
  <si>
    <t xml:space="preserve">REL_272</t>
  </si>
  <si>
    <t xml:space="preserve">2022_IRLAN_MELO_729_01</t>
  </si>
  <si>
    <t xml:space="preserve">REL_273</t>
  </si>
  <si>
    <t xml:space="preserve">2022_JUNINHO_LOS_HERMANOS_441_01</t>
  </si>
  <si>
    <t xml:space="preserve">REL_274</t>
  </si>
  <si>
    <t xml:space="preserve">2022_MARILDA_PORTELA_511_01</t>
  </si>
  <si>
    <t xml:space="preserve">REL_275</t>
  </si>
  <si>
    <t xml:space="preserve">2022_WANDERLEY_PORTO_334_01</t>
  </si>
  <si>
    <t xml:space="preserve">REL_276</t>
  </si>
  <si>
    <t xml:space="preserve">2022_WILSINHO_DA_TABU_458_01</t>
  </si>
  <si>
    <t xml:space="preserve">REL_277</t>
  </si>
  <si>
    <t xml:space="preserve">2022_MILTINHO_CGE_669_01</t>
  </si>
  <si>
    <t xml:space="preserve">REL_278</t>
  </si>
  <si>
    <t xml:space="preserve">2022_RUBAO_868_01</t>
  </si>
  <si>
    <t xml:space="preserve">REL_279</t>
  </si>
  <si>
    <t xml:space="preserve">2022_CLAUDIO_DO_MUNDO_NOVO_214_01</t>
  </si>
  <si>
    <t xml:space="preserve">REL_280</t>
  </si>
  <si>
    <t xml:space="preserve">2022_PROFESSOR_CLAUDINEY_DULIM_643_01</t>
  </si>
  <si>
    <t xml:space="preserve">REL_281</t>
  </si>
  <si>
    <t xml:space="preserve">2022_WANDERLEY_PORTO_330_01</t>
  </si>
  <si>
    <t xml:space="preserve">REL_282</t>
  </si>
  <si>
    <t xml:space="preserve">2022_WESLEY_258_01</t>
  </si>
  <si>
    <t xml:space="preserve">REL_283</t>
  </si>
  <si>
    <t xml:space="preserve">2022_MACAE_EVARISTO_396_01</t>
  </si>
  <si>
    <t xml:space="preserve">REL_284</t>
  </si>
  <si>
    <t xml:space="preserve">2022_CLAUDIO_DO_MUNDO_NOVO_215_01</t>
  </si>
  <si>
    <t xml:space="preserve">REL_285</t>
  </si>
  <si>
    <t xml:space="preserve">2022_NELY_AQUINO_429_01</t>
  </si>
  <si>
    <t xml:space="preserve">REL_286</t>
  </si>
  <si>
    <t xml:space="preserve">2022_PROFESSOR_CLAUDINEY_DULIM_642_01</t>
  </si>
  <si>
    <t xml:space="preserve">REL_287</t>
  </si>
  <si>
    <t xml:space="preserve">2022_RUBAO_307_01</t>
  </si>
  <si>
    <t xml:space="preserve">REL_288</t>
  </si>
  <si>
    <t xml:space="preserve">2022_WANDERLEY_PORTO_332_01</t>
  </si>
  <si>
    <t xml:space="preserve">REL_289</t>
  </si>
  <si>
    <t xml:space="preserve">2022_WILSINHO_DA_TABU_455_01</t>
  </si>
  <si>
    <t xml:space="preserve">REL_290</t>
  </si>
  <si>
    <t xml:space="preserve">2022_BRAULIO_LARA_832_01</t>
  </si>
  <si>
    <t xml:space="preserve">REL_291</t>
  </si>
  <si>
    <t xml:space="preserve">2022_CIRO_PEREIRA_282_01</t>
  </si>
  <si>
    <t xml:space="preserve">REL_292</t>
  </si>
  <si>
    <t xml:space="preserve">2022_CLAUDIO_DO_MUNDO_NOVO_265_01</t>
  </si>
  <si>
    <t xml:space="preserve">REL_293</t>
  </si>
  <si>
    <t xml:space="preserve">2022_DR_CELIO_FROIS_701_01</t>
  </si>
  <si>
    <t xml:space="preserve">REL_294</t>
  </si>
  <si>
    <t xml:space="preserve">2022_NELY_AQUINO_431_01</t>
  </si>
  <si>
    <t xml:space="preserve">REL_295</t>
  </si>
  <si>
    <t xml:space="preserve">2022_NIKOLAS_FERREIRA_499_01</t>
  </si>
  <si>
    <t xml:space="preserve">REL_296</t>
  </si>
  <si>
    <t xml:space="preserve">2022_PROFESSOR_CLAUDINEY_DULIM_639_01</t>
  </si>
  <si>
    <t xml:space="preserve">REL_297</t>
  </si>
  <si>
    <t xml:space="preserve">2022_RUBAO_302_01</t>
  </si>
  <si>
    <t xml:space="preserve">REL_298</t>
  </si>
  <si>
    <t xml:space="preserve">2022_WANDERLEY_PORTO_333_01</t>
  </si>
  <si>
    <t xml:space="preserve">REL_299</t>
  </si>
  <si>
    <t xml:space="preserve">2022_BRAULIO_LARA_834_01</t>
  </si>
  <si>
    <t xml:space="preserve">REL_300</t>
  </si>
  <si>
    <t xml:space="preserve">2022_CLAUDIO_DO_MUNDO_NOVO_162_01</t>
  </si>
  <si>
    <t xml:space="preserve">REL_301</t>
  </si>
  <si>
    <t xml:space="preserve">2022_DR_CELIO_FROIS_507_01</t>
  </si>
  <si>
    <t xml:space="preserve">REL_302</t>
  </si>
  <si>
    <t xml:space="preserve">2022_HENRIQUE_BRAGA_430_01</t>
  </si>
  <si>
    <t xml:space="preserve">REL_303</t>
  </si>
  <si>
    <t xml:space="preserve">2022_IRLAN_MELO_735_01</t>
  </si>
  <si>
    <t xml:space="preserve">REL_304</t>
  </si>
  <si>
    <t xml:space="preserve">2022_MARILDA_PORTELA_524_01</t>
  </si>
  <si>
    <t xml:space="preserve">REL_305</t>
  </si>
  <si>
    <t xml:space="preserve">2022_PROFESSOR_CLAUDINEY_DULIM_645_01</t>
  </si>
  <si>
    <t xml:space="preserve">REL_306</t>
  </si>
  <si>
    <t xml:space="preserve">2022_WANDERLEY_PORTO_314_01</t>
  </si>
  <si>
    <t xml:space="preserve">REL_307</t>
  </si>
  <si>
    <t xml:space="preserve">2022_WESLEY_261_01</t>
  </si>
  <si>
    <t xml:space="preserve">REL_308</t>
  </si>
  <si>
    <t xml:space="preserve">2022_CLAUDIO_DO_MUNDO_NOVO_216_01</t>
  </si>
  <si>
    <t xml:space="preserve">REL_309</t>
  </si>
  <si>
    <t xml:space="preserve">2022_DUDA_SALABERT_534_01</t>
  </si>
  <si>
    <t xml:space="preserve">REL_310</t>
  </si>
  <si>
    <t xml:space="preserve">2022_DUDA_SALABERT_560_01</t>
  </si>
  <si>
    <t xml:space="preserve">REL_311</t>
  </si>
  <si>
    <t xml:space="preserve">2022_FERNANDA_PEREIRA_ALTOE_181_01</t>
  </si>
  <si>
    <t xml:space="preserve">REL_312</t>
  </si>
  <si>
    <t xml:space="preserve">2022_FERNANDO_LUIZ_570_01</t>
  </si>
  <si>
    <t xml:space="preserve">REL_313</t>
  </si>
  <si>
    <t xml:space="preserve">2022_IRLAN_MELO_705_01</t>
  </si>
  <si>
    <t xml:space="preserve">REL_314</t>
  </si>
  <si>
    <t xml:space="preserve">2022_NELY_AQUINO_435_01</t>
  </si>
  <si>
    <t xml:space="preserve">REL_315</t>
  </si>
  <si>
    <t xml:space="preserve">2022_PEDRO_PATRUS_608_01</t>
  </si>
  <si>
    <t xml:space="preserve">REL_316</t>
  </si>
  <si>
    <t xml:space="preserve">2022_WANDERLEY_PORTO_335_01</t>
  </si>
  <si>
    <t xml:space="preserve">REL_317</t>
  </si>
  <si>
    <t xml:space="preserve">2022_MARILDA_PORTELA_517_01</t>
  </si>
  <si>
    <t xml:space="preserve">REL_318</t>
  </si>
  <si>
    <t xml:space="preserve">2022_CLAUDIO_DO_MUNDO_NOVO_159_01</t>
  </si>
  <si>
    <t xml:space="preserve">REL_319</t>
  </si>
  <si>
    <t xml:space="preserve">2022_DR_CELIO_FROIS_528_01</t>
  </si>
  <si>
    <t xml:space="preserve">REL_320</t>
  </si>
  <si>
    <t xml:space="preserve">2022_IZA_LOURENCA_744_01</t>
  </si>
  <si>
    <t xml:space="preserve">REL_321</t>
  </si>
  <si>
    <t xml:space="preserve">2022_MACAE_EVARISTO_394_01</t>
  </si>
  <si>
    <t xml:space="preserve">REL_322</t>
  </si>
  <si>
    <t xml:space="preserve">2022_WESLEY_260_01</t>
  </si>
  <si>
    <t xml:space="preserve">REL_323</t>
  </si>
  <si>
    <t xml:space="preserve">2022_BRAULIO_LARA_835_01</t>
  </si>
  <si>
    <t xml:space="preserve">REL_324</t>
  </si>
  <si>
    <t xml:space="preserve">2022_CLAUDIO_DO_MUNDO_NOVO_204_01</t>
  </si>
  <si>
    <t xml:space="preserve">REL_325</t>
  </si>
  <si>
    <t xml:space="preserve">2022_DUDA_SALABERT_544_01</t>
  </si>
  <si>
    <t xml:space="preserve">REL_326</t>
  </si>
  <si>
    <t xml:space="preserve">2022_HENRIQUE_BRAGA_489_01</t>
  </si>
  <si>
    <t xml:space="preserve">REL_327</t>
  </si>
  <si>
    <t xml:space="preserve">2022_JOSE_FERREIRA_700_01</t>
  </si>
  <si>
    <t xml:space="preserve">REL_328</t>
  </si>
  <si>
    <t xml:space="preserve">2022_MACAE_EVARISTO_398_01</t>
  </si>
  <si>
    <t xml:space="preserve">REL_329</t>
  </si>
  <si>
    <t xml:space="preserve">2022_NELY_AQUINO_764_01</t>
  </si>
  <si>
    <t xml:space="preserve">REL_330</t>
  </si>
  <si>
    <t xml:space="preserve">2022_PEDRO_PATRUS_585_01</t>
  </si>
  <si>
    <t xml:space="preserve">REL_331</t>
  </si>
  <si>
    <t xml:space="preserve">2022_PROFESSOR_CLAUDINEY_DULIM_638_01</t>
  </si>
  <si>
    <t xml:space="preserve">REL_332</t>
  </si>
  <si>
    <t xml:space="preserve">2022_WESLEY_259_01</t>
  </si>
  <si>
    <t xml:space="preserve">REL_333</t>
  </si>
  <si>
    <t xml:space="preserve">2022_WILSINHO_DA_TABU_437_01</t>
  </si>
  <si>
    <t xml:space="preserve">REL_334</t>
  </si>
  <si>
    <t xml:space="preserve">2022_IZA_LOURENCA_737_01</t>
  </si>
  <si>
    <t xml:space="preserve">REL_335</t>
  </si>
  <si>
    <t xml:space="preserve">2022_DR_CELIO_FROIS_527_01</t>
  </si>
  <si>
    <t xml:space="preserve">REL_336</t>
  </si>
  <si>
    <t xml:space="preserve">2022_REINALDO_GOMES_PRETO_SACOLAO_824_01</t>
  </si>
  <si>
    <t xml:space="preserve">REL_337</t>
  </si>
  <si>
    <t xml:space="preserve">2022_BRAULIO_LARA_830_01</t>
  </si>
  <si>
    <t xml:space="preserve">REL_338</t>
  </si>
  <si>
    <t xml:space="preserve">2022_MILTINHO_CGE_654_01</t>
  </si>
  <si>
    <t xml:space="preserve">REL_339</t>
  </si>
  <si>
    <t xml:space="preserve">2022_MILTINHO_CGE_657_01</t>
  </si>
  <si>
    <t xml:space="preserve">REL_340</t>
  </si>
  <si>
    <t xml:space="preserve">2022_MILTINHO_CGE_658_01</t>
  </si>
  <si>
    <t xml:space="preserve">REL_341</t>
  </si>
  <si>
    <t xml:space="preserve">2022_GILSON_GUIMARAES_500_01</t>
  </si>
  <si>
    <t xml:space="preserve">REL_342</t>
  </si>
  <si>
    <t xml:space="preserve">2022_CLAUDIO_DO_MUNDO_NOVO_209_01</t>
  </si>
  <si>
    <t xml:space="preserve">REL_343</t>
  </si>
  <si>
    <t xml:space="preserve">2022_NELY_AQUINO_731_01</t>
  </si>
  <si>
    <t xml:space="preserve">REL_344</t>
  </si>
  <si>
    <t xml:space="preserve">2022_CLAUDIO_DO_MUNDO_NOVO_415_01</t>
  </si>
  <si>
    <t xml:space="preserve">REL_345</t>
  </si>
  <si>
    <t xml:space="preserve">2022_NIKOLAS_FERREIRA_508_01</t>
  </si>
  <si>
    <t xml:space="preserve">REL_346</t>
  </si>
  <si>
    <t xml:space="preserve">2022_MACAE_EVARISTO_389_01</t>
  </si>
  <si>
    <t xml:space="preserve">REL_347</t>
  </si>
  <si>
    <t xml:space="preserve">2022_DUDA_SALABERT_558_01</t>
  </si>
  <si>
    <t xml:space="preserve">REL_348</t>
  </si>
  <si>
    <t xml:space="preserve">2022_MARCOS_CRISPIM_505_01</t>
  </si>
  <si>
    <t xml:space="preserve">REL_349</t>
  </si>
  <si>
    <t xml:space="preserve">2022_NELY_AQUINO_410_01</t>
  </si>
  <si>
    <t xml:space="preserve">REL_350</t>
  </si>
  <si>
    <t xml:space="preserve">2022_REINALDO_GOMES_PRETO_SACOLAO_815_01</t>
  </si>
  <si>
    <t xml:space="preserve">REL_351</t>
  </si>
  <si>
    <t xml:space="preserve">2022_DUDA_SALABERT_557_01</t>
  </si>
  <si>
    <t xml:space="preserve">REL_352</t>
  </si>
  <si>
    <t xml:space="preserve">2022_WILSINHO_DA_TABU_459_01</t>
  </si>
  <si>
    <t xml:space="preserve">REL_353</t>
  </si>
  <si>
    <t xml:space="preserve">2022_WILSINHO_DA_TABU_446_01</t>
  </si>
  <si>
    <t xml:space="preserve">REL_354</t>
  </si>
  <si>
    <t xml:space="preserve">2022_WILSINHO_DA_TABU_462_01</t>
  </si>
  <si>
    <t xml:space="preserve">REL_355</t>
  </si>
  <si>
    <t xml:space="preserve">2022_PROFESSOR_JULIANO_LOPES_777_01</t>
  </si>
  <si>
    <t xml:space="preserve">REL_356</t>
  </si>
  <si>
    <t xml:space="preserve">2022_PROFESSOR_JULIANO_LOPES_779_01</t>
  </si>
  <si>
    <t xml:space="preserve">REL_357</t>
  </si>
  <si>
    <t xml:space="preserve">2022_PROFESSOR_JULIANO_LOPES_776_01</t>
  </si>
  <si>
    <t xml:space="preserve">REL_358</t>
  </si>
  <si>
    <t xml:space="preserve">2022_WESLEY_190_01</t>
  </si>
  <si>
    <t xml:space="preserve">REL_359</t>
  </si>
  <si>
    <t xml:space="preserve">2022_FLAVIA_BORJA_179_01</t>
  </si>
  <si>
    <t xml:space="preserve">REL_360</t>
  </si>
  <si>
    <t xml:space="preserve">2022_FERNANDO_LUIZ_114_01</t>
  </si>
  <si>
    <t xml:space="preserve">REL_361</t>
  </si>
  <si>
    <t xml:space="preserve">2022_FERNANDO_LUIZ_117_01</t>
  </si>
  <si>
    <t xml:space="preserve">REL_362</t>
  </si>
  <si>
    <t xml:space="preserve">2022_FLAVIA_BORJA_176_01</t>
  </si>
  <si>
    <t xml:space="preserve">REL_363</t>
  </si>
  <si>
    <t xml:space="preserve">2022_FERNANDO_LUIZ_118_01</t>
  </si>
  <si>
    <t xml:space="preserve">REL_364</t>
  </si>
  <si>
    <t xml:space="preserve">2022_FLAVIA_BORJA_784_01</t>
  </si>
  <si>
    <t xml:space="preserve">REL_365</t>
  </si>
  <si>
    <t xml:space="preserve">2022_PROFESSOR_CLAUDINEY_DULIM_169_01</t>
  </si>
  <si>
    <t xml:space="preserve">REL_366</t>
  </si>
  <si>
    <t xml:space="preserve">2022_WANDERLEY_PORTO_315_01</t>
  </si>
  <si>
    <t xml:space="preserve">REL_367</t>
  </si>
  <si>
    <t xml:space="preserve">2022_WANDERLEY_PORTO_320_01</t>
  </si>
  <si>
    <t xml:space="preserve">REL_368</t>
  </si>
  <si>
    <t xml:space="preserve">2022_HELINHO_DA_FARMACIA_485_01</t>
  </si>
  <si>
    <t xml:space="preserve">REL_369</t>
  </si>
  <si>
    <t xml:space="preserve">2022_DUDA_SALABERT_540_01</t>
  </si>
  <si>
    <t xml:space="preserve">REL_370</t>
  </si>
  <si>
    <t xml:space="preserve">2022_DR_CELIO_FROIS_432_01</t>
  </si>
  <si>
    <t xml:space="preserve">REL_371</t>
  </si>
  <si>
    <t xml:space="preserve">2022_FLAVIA_BORJA_406_01</t>
  </si>
  <si>
    <t xml:space="preserve">REL_372</t>
  </si>
  <si>
    <t xml:space="preserve">2022_FLAVIA_BORJA_785_01</t>
  </si>
  <si>
    <t xml:space="preserve">REL_373</t>
  </si>
  <si>
    <t xml:space="preserve">2022_HELINHO_DA_FARMACIA_478_01</t>
  </si>
  <si>
    <t xml:space="preserve">REL_374</t>
  </si>
  <si>
    <t xml:space="preserve">2022_WESLEY_194_01</t>
  </si>
  <si>
    <t xml:space="preserve">REL_375</t>
  </si>
  <si>
    <t xml:space="preserve">2022_WESLEY_193_01</t>
  </si>
  <si>
    <t xml:space="preserve">REL_376</t>
  </si>
  <si>
    <t xml:space="preserve">2022_WANDERLEY_PORTO_319_01</t>
  </si>
  <si>
    <t xml:space="preserve">REL_377</t>
  </si>
  <si>
    <t xml:space="preserve">2022_DR_CELIO_FROIS_487_01</t>
  </si>
  <si>
    <t xml:space="preserve">REL_378</t>
  </si>
  <si>
    <t xml:space="preserve">REL_379</t>
  </si>
  <si>
    <t xml:space="preserve">2022_HELINHO_DA_FARMACIA_484_01</t>
  </si>
  <si>
    <t xml:space="preserve">REL_380</t>
  </si>
  <si>
    <t xml:space="preserve">2022_BRAULIO_LARA_741_01</t>
  </si>
  <si>
    <t xml:space="preserve">REL_381</t>
  </si>
  <si>
    <t xml:space="preserve">2022_PROFESSOR_JULIANO_LOPES_772_01</t>
  </si>
  <si>
    <t xml:space="preserve">REL_382</t>
  </si>
  <si>
    <t xml:space="preserve">2022_DUDA_SALABERT_549_01</t>
  </si>
  <si>
    <t xml:space="preserve">REL_383</t>
  </si>
  <si>
    <t xml:space="preserve">2022_WANDERLEY_PORTO_311_01</t>
  </si>
  <si>
    <t xml:space="preserve">REL_384</t>
  </si>
  <si>
    <t xml:space="preserve">2022_WANDERLEY_PORTO_316_01</t>
  </si>
  <si>
    <t xml:space="preserve">REL_385</t>
  </si>
  <si>
    <t xml:space="preserve">2022_WANDERLEY_PORTO_312_01</t>
  </si>
  <si>
    <t xml:space="preserve">REL_386</t>
  </si>
  <si>
    <t xml:space="preserve">2022_FLAVIA_BORJA_783_01</t>
  </si>
  <si>
    <t xml:space="preserve">REL_387</t>
  </si>
  <si>
    <t xml:space="preserve">2022_WANDERLEY_PORTO_323_01</t>
  </si>
  <si>
    <t xml:space="preserve">REL_388</t>
  </si>
  <si>
    <t xml:space="preserve">2022_BRAULIO_LARA_861_01</t>
  </si>
  <si>
    <t xml:space="preserve">REL_389</t>
  </si>
  <si>
    <t xml:space="preserve">2022_WILSINHO_DA_TABU_461_01</t>
  </si>
  <si>
    <t xml:space="preserve">REL_390</t>
  </si>
  <si>
    <t xml:space="preserve">2022_BRAULIO_LARA_863_01</t>
  </si>
  <si>
    <t xml:space="preserve">REL_391</t>
  </si>
  <si>
    <t xml:space="preserve">2022_REINALDO_GOMES_PRETO_SACOLAO_816_01</t>
  </si>
  <si>
    <t xml:space="preserve">REL_392</t>
  </si>
  <si>
    <t xml:space="preserve">2022_BRAULIO_LARA_854_01</t>
  </si>
  <si>
    <t xml:space="preserve">REL_393</t>
  </si>
  <si>
    <t xml:space="preserve">2022_WANDERLEY_PORTO_317_01</t>
  </si>
  <si>
    <t xml:space="preserve">REL_394</t>
  </si>
  <si>
    <t xml:space="preserve">2022_BELLA_GONCALVES_674_01</t>
  </si>
  <si>
    <t xml:space="preserve">REL_395</t>
  </si>
  <si>
    <t xml:space="preserve">REL_396</t>
  </si>
  <si>
    <t xml:space="preserve">REL_397</t>
  </si>
  <si>
    <t xml:space="preserve">REL_398</t>
  </si>
  <si>
    <t xml:space="preserve">REL_399</t>
  </si>
  <si>
    <t xml:space="preserve">2022_JOSE_FERREIRA_688_01</t>
  </si>
  <si>
    <t xml:space="preserve">REL_400</t>
  </si>
  <si>
    <t xml:space="preserve">REL_401</t>
  </si>
  <si>
    <t xml:space="preserve">2022_JOSE_FERREIRA_689_01</t>
  </si>
  <si>
    <t xml:space="preserve">REL_402</t>
  </si>
  <si>
    <t xml:space="preserve">2022_DUDA_SALABERT_550_01</t>
  </si>
  <si>
    <t xml:space="preserve">REL_403</t>
  </si>
  <si>
    <t xml:space="preserve">2022_JOSE_FERREIRA_686_01</t>
  </si>
  <si>
    <t xml:space="preserve">REL_404</t>
  </si>
  <si>
    <t xml:space="preserve">2022_WANDERLEY_PORTO_322_01</t>
  </si>
  <si>
    <t xml:space="preserve">REL_405</t>
  </si>
  <si>
    <t xml:space="preserve">2022_PROFESSOR_JULIANO_LOPES_770_01</t>
  </si>
  <si>
    <t xml:space="preserve">REL_406</t>
  </si>
  <si>
    <t xml:space="preserve">2022_HELINHO_DA_FARMACIA_474_01</t>
  </si>
  <si>
    <t xml:space="preserve">REL_407</t>
  </si>
  <si>
    <t xml:space="preserve">2022_HELINHO_DA_FARMACIA_475_01</t>
  </si>
  <si>
    <t xml:space="preserve">REL_408</t>
  </si>
  <si>
    <t xml:space="preserve">2022_DR_CELIO_FROIS_469_01</t>
  </si>
  <si>
    <t xml:space="preserve">REL_409</t>
  </si>
  <si>
    <t xml:space="preserve">2022_JOSE_FERREIRA_687_01</t>
  </si>
  <si>
    <t xml:space="preserve">REL_410</t>
  </si>
  <si>
    <t xml:space="preserve">2022_WANDERLEY_PORTO_310_01</t>
  </si>
  <si>
    <t xml:space="preserve">REL_411</t>
  </si>
  <si>
    <t xml:space="preserve">2022_WILSINHO_DA_TABU_447_01</t>
  </si>
  <si>
    <t xml:space="preserve">REL_412</t>
  </si>
  <si>
    <t xml:space="preserve">2022_PROFESSOR_JULIANO_LOPES_769_01</t>
  </si>
  <si>
    <t xml:space="preserve">REL_413</t>
  </si>
  <si>
    <t xml:space="preserve">2022_RUBAO_301_01</t>
  </si>
  <si>
    <t xml:space="preserve">REL_414</t>
  </si>
  <si>
    <t xml:space="preserve">REL_415</t>
  </si>
  <si>
    <t xml:space="preserve">2022_WANDERLEY_PORTO_313_01</t>
  </si>
  <si>
    <t xml:space="preserve">REL_416</t>
  </si>
  <si>
    <t xml:space="preserve">2022_WESLEY_99_01</t>
  </si>
  <si>
    <t xml:space="preserve">REL_417</t>
  </si>
  <si>
    <t xml:space="preserve">2022_JORGE_SANTOS_850_01</t>
  </si>
  <si>
    <t xml:space="preserve">REL_418</t>
  </si>
  <si>
    <t xml:space="preserve">2022_ALVARO_DAMIAO_298_01</t>
  </si>
  <si>
    <t xml:space="preserve">REL_419</t>
  </si>
  <si>
    <t xml:space="preserve">2022_WANDERLEY_PORTO_309_01</t>
  </si>
  <si>
    <t xml:space="preserve">REL_420</t>
  </si>
  <si>
    <t xml:space="preserve">2022_JORGE_SANTOS_852_01</t>
  </si>
  <si>
    <t xml:space="preserve">REL_421</t>
  </si>
  <si>
    <t xml:space="preserve">2022_JORGE_SANTOS_846_01</t>
  </si>
  <si>
    <t xml:space="preserve">REL_422</t>
  </si>
  <si>
    <t xml:space="preserve">2022_HELINHO_DA_FARMACIA_473_01</t>
  </si>
  <si>
    <t xml:space="preserve">REL_423</t>
  </si>
  <si>
    <t xml:space="preserve">REL_424</t>
  </si>
  <si>
    <t xml:space="preserve">2022_WILSINHO_DA_TABU_448_01</t>
  </si>
  <si>
    <t xml:space="preserve">REL_425</t>
  </si>
  <si>
    <t xml:space="preserve">2022_RUBAO_300_01</t>
  </si>
  <si>
    <t xml:space="preserve">REL_426</t>
  </si>
  <si>
    <t xml:space="preserve">2022_JORGE_SANTOS_849_01</t>
  </si>
  <si>
    <t xml:space="preserve">REL_427</t>
  </si>
  <si>
    <t xml:space="preserve">2022_JORGE_SANTOS_848_01</t>
  </si>
  <si>
    <t xml:space="preserve">REL_428</t>
  </si>
  <si>
    <t xml:space="preserve">2022_FERNANDO_LUIZ_115_01</t>
  </si>
  <si>
    <t xml:space="preserve">REL_429</t>
  </si>
  <si>
    <t xml:space="preserve">2022_FLAVIA_BORJA_177_01</t>
  </si>
  <si>
    <t xml:space="preserve">REL_430</t>
  </si>
  <si>
    <t xml:space="preserve">2022_WILSINHO_DA_TABU_449_01</t>
  </si>
  <si>
    <t xml:space="preserve">REL_431</t>
  </si>
  <si>
    <t xml:space="preserve">2022_JUNINHO_LOS_HERMANOS_503_01</t>
  </si>
  <si>
    <t xml:space="preserve">REL_432</t>
  </si>
  <si>
    <t xml:space="preserve">2022_JORGE_SANTOS_851_01</t>
  </si>
  <si>
    <t xml:space="preserve">REL_433</t>
  </si>
  <si>
    <t xml:space="preserve">2022_HENRIQUE_BRAGA_755_01</t>
  </si>
  <si>
    <t xml:space="preserve">REL_434</t>
  </si>
  <si>
    <t xml:space="preserve">2022_HELINHO_DA_FARMACIA_480_01</t>
  </si>
  <si>
    <t xml:space="preserve">REL_435</t>
  </si>
  <si>
    <t xml:space="preserve">2022_ALVARO_DAMIAO_297_01</t>
  </si>
  <si>
    <t xml:space="preserve">REL_436</t>
  </si>
  <si>
    <t xml:space="preserve">2022_HENRIQUE_BRAGA_773_01</t>
  </si>
  <si>
    <t xml:space="preserve">REL_437</t>
  </si>
  <si>
    <t xml:space="preserve">2022_HENRIQUE_BRAGA_794_01</t>
  </si>
  <si>
    <t xml:space="preserve">REL_438</t>
  </si>
  <si>
    <t xml:space="preserve">2022_WILSINHO_DA_TABU_450_01</t>
  </si>
  <si>
    <t xml:space="preserve">REL_439</t>
  </si>
  <si>
    <t xml:space="preserve">REL_440</t>
  </si>
  <si>
    <t xml:space="preserve">2022_BRAULIO_LARA_743_01</t>
  </si>
  <si>
    <t xml:space="preserve">REL_441</t>
  </si>
  <si>
    <t xml:space="preserve">2022_FERNANDO_LUIZ_116_01</t>
  </si>
  <si>
    <t xml:space="preserve">REL_442</t>
  </si>
  <si>
    <t xml:space="preserve">2022_FLAVIA_BORJA_178_01</t>
  </si>
  <si>
    <t xml:space="preserve">REL_443</t>
  </si>
  <si>
    <t xml:space="preserve">2022_WESLEY_76_01</t>
  </si>
  <si>
    <t xml:space="preserve">REL_444</t>
  </si>
  <si>
    <t xml:space="preserve">2022_HENRIQUE_BRAGA_703_01</t>
  </si>
  <si>
    <t xml:space="preserve">REL_445</t>
  </si>
  <si>
    <t xml:space="preserve">2022_WESLEY_197_01</t>
  </si>
  <si>
    <t xml:space="preserve">REL_446</t>
  </si>
  <si>
    <t xml:space="preserve">2022_DR_CELIO_FROIS_488_01</t>
  </si>
  <si>
    <t xml:space="preserve">REL_447</t>
  </si>
  <si>
    <t xml:space="preserve">2022_BRAULIO_LARA_836_01</t>
  </si>
  <si>
    <t xml:space="preserve">REL_448</t>
  </si>
  <si>
    <t xml:space="preserve">2022_CLAUDIO_DO_MUNDO_NOVO_163_01</t>
  </si>
  <si>
    <t xml:space="preserve">REL_449</t>
  </si>
  <si>
    <t xml:space="preserve">2022_DR_CELIO_FROIS_633_01</t>
  </si>
  <si>
    <t xml:space="preserve">REL_450</t>
  </si>
  <si>
    <t xml:space="preserve">2022_HENRIQUE_BRAGA_573_01</t>
  </si>
  <si>
    <t xml:space="preserve">REL_451</t>
  </si>
  <si>
    <t xml:space="preserve">2022_IRLAN_MELO_615_01</t>
  </si>
  <si>
    <t xml:space="preserve">REL_452</t>
  </si>
  <si>
    <t xml:space="preserve">2022_IRLAN_MELO_704_01</t>
  </si>
  <si>
    <t xml:space="preserve">REL_453</t>
  </si>
  <si>
    <t xml:space="preserve">2022_MARILDA_PORTELA_514_01</t>
  </si>
  <si>
    <t xml:space="preserve">REL_454</t>
  </si>
  <si>
    <t xml:space="preserve">2022_MILTINHO_CGE_668_01</t>
  </si>
  <si>
    <t xml:space="preserve">REL_455</t>
  </si>
  <si>
    <t xml:space="preserve">2022_NELY_AQUINO_425_01</t>
  </si>
  <si>
    <t xml:space="preserve">REL_456</t>
  </si>
  <si>
    <t xml:space="preserve">2022_WILSINHO_DA_TABU_456_01</t>
  </si>
  <si>
    <t xml:space="preserve">REL_457</t>
  </si>
  <si>
    <t xml:space="preserve">2022_IZA_LOURENCA_757_01</t>
  </si>
  <si>
    <t xml:space="preserve">REL_458</t>
  </si>
  <si>
    <t xml:space="preserve">2022_HELINHO_DA_FARMACIA_470_01</t>
  </si>
  <si>
    <t xml:space="preserve">REL_459</t>
  </si>
  <si>
    <t xml:space="preserve">2022_HENRIQUE_BRAGA_428_01</t>
  </si>
  <si>
    <t xml:space="preserve">REL_460</t>
  </si>
  <si>
    <t xml:space="preserve">2022_GILSON_GUIMARAES_426_01</t>
  </si>
  <si>
    <t xml:space="preserve">REL_461</t>
  </si>
  <si>
    <t xml:space="preserve">2022_WILSINHO_DA_TABU_571_01</t>
  </si>
  <si>
    <t xml:space="preserve">REL_462</t>
  </si>
  <si>
    <t xml:space="preserve">2022_BRAULIO_LARA_811_01</t>
  </si>
  <si>
    <t xml:space="preserve">REL_463</t>
  </si>
  <si>
    <t xml:space="preserve">2022_JUNINHO_LOS_HERMANOS_364_01</t>
  </si>
  <si>
    <t xml:space="preserve">REL_464</t>
  </si>
  <si>
    <t xml:space="preserve">2022_FERNANDO_LUIZ_119_01</t>
  </si>
  <si>
    <t xml:space="preserve">Córrego Capão dos Porcos ou Mineirão - Vila Pinho</t>
  </si>
  <si>
    <t xml:space="preserve">Avenida Perimetral, 1.500, Vale do Jatobá</t>
  </si>
  <si>
    <t xml:space="preserve">Ponte sobre o Ribeirão Arrudas - Av. dos Andradas / Rua Mariano de Abreu</t>
  </si>
  <si>
    <t xml:space="preserve">Avenida dos Andradas, sentido Rua Mariano de Abreu - Esplanada</t>
  </si>
  <si>
    <t xml:space="preserve">Córrego Bonsucesso - trecho Universo em Desencanto / Chácaras Reunidas</t>
  </si>
  <si>
    <t xml:space="preserve">Córrego Bonsucesso, trecho entre as ruas Universo em Desencanto e Chácaras Reunidas - Vila Cemig/Bonsucesso</t>
  </si>
  <si>
    <t xml:space="preserve">2022_HELINHO_DA_FARMACIA_481_01</t>
  </si>
  <si>
    <t xml:space="preserve">Avenida Perimetral</t>
  </si>
  <si>
    <t xml:space="preserve">1500</t>
  </si>
  <si>
    <t xml:space="preserve">2022_WILSINHO_DA_TABU_445_01</t>
  </si>
  <si>
    <t xml:space="preserve">Esplanada</t>
  </si>
  <si>
    <t xml:space="preserve"/>
  </si>
  <si>
    <t xml:space="preserve">2022_HELINHO_DA_FARMACIA_482_01</t>
  </si>
  <si>
    <t xml:space="preserve">Vila Cemig / Bonsucesso</t>
  </si>
  <si>
    <t xml:space="preserve">B4/B1</t>
  </si>
  <si>
    <t xml:space="preserve">Córrego Bonsucesso</t>
  </si>
  <si>
    <t xml:space="preserve">REL_465</t>
  </si>
  <si>
    <t xml:space="preserve">LOC_422</t>
  </si>
  <si>
    <t xml:space="preserve">REL_466</t>
  </si>
  <si>
    <t xml:space="preserve">LOC_984</t>
  </si>
  <si>
    <t xml:space="preserve">REL_467</t>
  </si>
  <si>
    <t xml:space="preserve">LOC_995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</si>
</sst>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6">
    <font>
      <sz val="11"/>
      <name val="Carlito"/>
    </font>
    <font>
      <sz val="11"/>
      <color rgb="#000000"/>
      <name val="Carlito"/>
    </font>
    <font>
      <sz val="11"/>
      <color rgb="FFFFFFFF"/>
      <name val="Carlito"/>
      <b/>
    </font>
    <font>
      <sz val="11"/>
      <color theme="1"/>
      <name val="Calibri"/>
    </font>
    <font>
      <sz val="11"/>
      <color rgb="FFFFFFFF"/>
      <name val="Carlito"/>
    </font>
    <font>
      <sz val="11"/>
      <color rgb="FF000000"/>
      <name val="Calibri"/>
    </font>
  </fonts>
  <fills count="20">
    <fill>
      <patternFill patternType="none"/>
    </fill>
    <fill>
      <patternFill patternType="gray125"/>
    </fill>
    <fill>
      <patternFill patternType="solid">
        <fgColor rgb="FFDDEBF7"/>
      </patternFill>
    </fill>
    <fill>
      <patternFill patternType="solid">
        <fgColor rgb="FF1F4E78"/>
      </patternFill>
    </fill>
    <fill>
      <patternFill patternType="solid">
        <fgColor rgb="FFFFF2CC"/>
      </patternFill>
    </fill>
    <fill>
      <patternFill patternType="solid">
        <fgColor rgb="FFE2F0D9"/>
      </patternFill>
    </fill>
    <fill>
      <patternFill patternType="solid">
        <fgColor rgb="FFFF0000"/>
      </patternFill>
    </fill>
    <fill>
      <patternFill patternType="solid">
        <fgColor rgb="FFFFFFB9"/>
      </patternFill>
    </fill>
    <fill>
      <patternFill patternType="solid">
        <fgColor theme="2" tint="-9.9978637043366805E-2"/>
        <bgColor indexed="65"/>
      </patternFill>
    </fill>
    <fill>
      <patternFill patternType="solid">
        <fgColor theme="3" tint="0.79992065187536243"/>
        <bgColor indexed="65"/>
      </patternFill>
    </fill>
    <fill>
      <patternFill patternType="solid">
        <fgColor theme="6" tint="0.39997558519241921"/>
        <bgColor indexed="65"/>
      </patternFill>
    </fill>
    <fill>
      <patternFill patternType="solid">
        <fgColor rgb="FFFFCDDE"/>
      </patternFill>
    </fill>
    <fill>
      <patternFill patternType="solid">
        <fgColor theme="5" tint="0.79992065187536243"/>
        <bgColor indexed="65"/>
      </patternFill>
    </fill>
    <fill>
      <patternFill patternType="solid">
        <fgColor theme="3" tint="0.89992980742820516"/>
        <bgColor indexed="65"/>
      </patternFill>
    </fill>
    <fill>
      <patternFill patternType="solid">
        <fgColor rgb="FFC0504D"/>
      </patternFill>
    </fill>
    <fill>
      <patternFill patternType="solid">
        <fgColor rgb="FFFFFF00"/>
      </patternFill>
    </fill>
    <fill>
      <patternFill patternType="solid">
        <fgColor rgb="FF92D050"/>
      </patternFill>
    </fill>
    <fill>
      <patternFill patternType="solid">
        <fgColor rgb="FFFF85FF"/>
      </patternFill>
    </fill>
    <fill>
      <patternFill patternType="solid">
        <fgColor rgb="FF00B050"/>
      </patternFill>
    </fill>
    <fill>
      <patternFill patternType="solid">
        <fgColor rgb="FFDDD9C4"/>
      </patternFill>
    </fill>
  </fills>
  <borders count="10">
    <border>
      <left/>
      <right/>
      <top/>
      <bottom/>
      <diagonal/>
    </border>
    <border>
      <left style="thin">
        <color indexed="64"/>
      </left>
      <right style="thin">
        <color indexed="64"/>
      </right>
      <top style="thin">
        <color indexed="64"/>
      </top>
      <bottom style="thin">
        <color indexed="64"/>
      </bottom>
    </border>
    <border>
      <left style="thin">
        <color indexed="64"/>
      </left>
      <right style="thin">
        <color indexed="64"/>
      </right>
      <bottom style="thin">
        <color indexed="64"/>
      </bottom>
    </border>
    <border>
      <left style="thin">
        <color indexed="64"/>
      </left>
      <right style="thin">
        <color indexed="64"/>
      </right>
      <top style="thin">
        <color indexed="64"/>
      </top>
    </border>
    <border>
      <right style="thin">
        <color indexed="64"/>
      </right>
      <top style="thin">
        <color indexed="64"/>
      </top>
      <bottom style="thin">
        <color indexed="64"/>
      </bottom>
    </border>
    <border>
      <left style="thin">
        <color indexed="64"/>
      </left>
      <top style="thin">
        <color indexed="64"/>
      </top>
      <bottom style="thin">
        <color indexed="64"/>
      </bottom>
    </border>
    <border>
      <right style="thin">
        <color indexed="64"/>
      </right>
      <bottom style="thin">
        <color indexed="64"/>
      </bottom>
    </border>
    <border>
      <left style="thin">
        <color indexed="64"/>
      </left>
      <bottom style="thin">
        <color indexed="64"/>
      </bottom>
    </border>
    <border>
      <right style="thin">
        <color indexed="64"/>
      </right>
      <top style="thin">
        <color indexed="64"/>
      </top>
    </border>
    <border>
      <left style="thin">
        <color indexed="64"/>
      </left>
      <top style="thin">
        <color indexed="64"/>
      </top>
    </border>
  </borders>
  <cellStyleXfs count="1">
    <xf numFmtId="0" fontId="0" fillId="0" borderId="0"/>
  </cellStyleXfs>
  <cellXfs count="74">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top" wrapText="1"/>
    </xf>
    <xf numFmtId="0" fontId="1" fillId="0" borderId="1" xfId="0" applyFont="1" applyBorder="1"/>
    <xf numFmtId="0" fontId="1" fillId="0" borderId="1" xfId="0" applyFont="1" applyBorder="1" applyAlignment="1">
      <alignment vertical="top" wrapText="1"/>
    </xf>
    <xf numFmtId="49" fontId="1" fillId="0" borderId="1" xfId="0" applyFont="1" applyNumberFormat="1" applyBorder="1" applyAlignment="1">
      <alignment vertical="top" wrapText="1"/>
    </xf>
    <xf numFmtId="4" fontId="1" fillId="0" borderId="1" xfId="0" applyFont="1" applyNumberFormat="1" applyBorder="1" applyAlignment="1">
      <alignment vertical="top" wrapText="1"/>
    </xf>
    <xf numFmtId="0" fontId="1" fillId="4" borderId="1" xfId="0" applyFont="1" applyFill="1" applyBorder="1" applyAlignment="1">
      <alignment vertical="top" wrapText="1"/>
    </xf>
    <xf numFmtId="0" fontId="1" fillId="0" borderId="2" xfId="0" applyFont="1" applyBorder="1"/>
    <xf numFmtId="0" fontId="1" fillId="0" borderId="3" xfId="0" applyFont="1" applyBorder="1"/>
    <xf numFmtId="0" fontId="2"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49" fontId="1" fillId="4" borderId="1" xfId="0" applyFont="1" applyNumberForma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vertical="top" wrapText="1"/>
    </xf>
    <xf numFmtId="49" fontId="1" fillId="6" borderId="1" xfId="0" applyFont="1" applyNumberFormat="1" applyFill="1" applyBorder="1" applyAlignment="1">
      <alignment vertical="top" wrapText="1"/>
    </xf>
    <xf numFmtId="4" fontId="1" fillId="6" borderId="1" xfId="0" applyFont="1" applyNumberFormat="1" applyFill="1" applyBorder="1" applyAlignment="1">
      <alignment vertical="top" wrapText="1"/>
    </xf>
    <xf numFmtId="0" fontId="1" fillId="6" borderId="1" xfId="0" applyFont="1" applyFill="1" applyBorder="1" applyAlignment="1">
      <alignment horizontal="center" vertical="center" wrapText="1"/>
    </xf>
    <xf numFmtId="49" fontId="1" fillId="6" borderId="1" xfId="0" applyFont="1" applyNumberFormat="1" applyFill="1" applyBorder="1" applyAlignment="1">
      <alignment horizontal="center" vertical="center" wrapText="1"/>
    </xf>
    <xf numFmtId="49" fontId="1" fillId="0" borderId="1" xfId="0" applyFont="1" applyNumberFormat="1" applyBorder="1" applyAlignment="1">
      <alignment wrapText="1"/>
    </xf>
    <xf numFmtId="0" fontId="1" fillId="0" borderId="1" xfId="0" applyFont="1" applyBorder="1" applyAlignment="1">
      <alignment wrapText="1"/>
    </xf>
    <xf numFmtId="0" fontId="1" fillId="7" borderId="1" xfId="0" applyFont="1" applyFill="1" applyBorder="1" applyAlignment="1">
      <alignment wrapText="1"/>
    </xf>
    <xf numFmtId="0" fontId="1" fillId="7" borderId="1" xfId="0" applyFont="1" applyFill="1" applyBorder="1"/>
    <xf numFmtId="0" fontId="1" fillId="7" borderId="1" xfId="0" applyFont="1" applyFill="1" applyBorder="1" applyAlignment="1">
      <alignment horizontal="center" vertical="center"/>
    </xf>
    <xf numFmtId="0" fontId="1" fillId="7" borderId="0" xfId="0" applyFont="1" applyFill="1"/>
    <xf numFmtId="0" fontId="3" fillId="8" borderId="1" xfId="0" applyFont="1" applyFill="1" applyBorder="1" applyAlignment="1">
      <alignment horizontal="left" vertical="center"/>
    </xf>
    <xf numFmtId="0" fontId="3" fillId="8" borderId="1" xfId="0" applyFont="1" applyFill="1" applyBorder="1"/>
    <xf numFmtId="2" fontId="3" fillId="8" borderId="1" xfId="0" applyFont="1" applyNumberFormat="1" applyFill="1" applyBorder="1" applyAlignment="1">
      <alignment horizontal="center" vertical="center"/>
    </xf>
    <xf numFmtId="0" fontId="3" fillId="8" borderId="1" xfId="0" applyFont="1" applyFill="1" applyBorder="1" applyAlignment="1">
      <alignment horizontal="center" vertical="center"/>
    </xf>
    <xf numFmtId="0" fontId="3" fillId="9" borderId="1" xfId="0" applyFont="1" applyFill="1" applyBorder="1" applyAlignment="1">
      <alignment horizontal="left" vertical="center"/>
    </xf>
    <xf numFmtId="0" fontId="3" fillId="9" borderId="1" xfId="0" applyFont="1" applyFill="1" applyBorder="1"/>
    <xf numFmtId="2" fontId="3" fillId="9" borderId="1" xfId="0" applyFont="1" applyNumberFormat="1" applyFill="1" applyBorder="1" applyAlignment="1">
      <alignment horizontal="center" vertical="center"/>
    </xf>
    <xf numFmtId="0" fontId="3" fillId="9" borderId="1" xfId="0" applyFont="1" applyFill="1" applyBorder="1" applyAlignment="1">
      <alignment horizontal="center" vertical="center"/>
    </xf>
    <xf numFmtId="0" fontId="3" fillId="10" borderId="1" xfId="0" applyFont="1" applyFill="1" applyBorder="1" applyAlignment="1">
      <alignment horizontal="left" vertical="center"/>
    </xf>
    <xf numFmtId="0" fontId="3" fillId="10" borderId="1" xfId="0" applyFont="1" applyFill="1" applyBorder="1"/>
    <xf numFmtId="2" fontId="3" fillId="10" borderId="1" xfId="0" applyFont="1" applyNumberFormat="1" applyFill="1" applyBorder="1" applyAlignment="1">
      <alignment horizontal="center" vertical="center"/>
    </xf>
    <xf numFmtId="0" fontId="3" fillId="10" borderId="1" xfId="0" applyFont="1" applyFill="1" applyBorder="1" applyAlignment="1">
      <alignment horizontal="center" vertical="center"/>
    </xf>
    <xf numFmtId="0" fontId="1" fillId="11" borderId="1" xfId="0" applyFont="1" applyFill="1" applyBorder="1" applyAlignment="1">
      <alignment horizontal="left" vertical="center" wrapText="1"/>
    </xf>
    <xf numFmtId="0" fontId="1" fillId="11" borderId="1" xfId="0" applyFont="1" applyFill="1" applyBorder="1" applyAlignment="1">
      <alignment wrapText="1"/>
    </xf>
    <xf numFmtId="0" fontId="1" fillId="11" borderId="1" xfId="0" applyFont="1" applyFill="1" applyBorder="1"/>
    <xf numFmtId="0" fontId="1" fillId="11" borderId="1" xfId="0" applyFont="1" applyFill="1" applyBorder="1" applyAlignment="1">
      <alignment horizontal="center" vertical="center"/>
    </xf>
    <xf numFmtId="0" fontId="1" fillId="7" borderId="4" xfId="0" applyFont="1" applyFill="1" applyBorder="1" applyAlignment="1">
      <alignment horizontal="left" vertical="center" wrapText="1"/>
    </xf>
    <xf numFmtId="0" fontId="1" fillId="7" borderId="5" xfId="0" applyFont="1" applyFill="1" applyBorder="1" applyAlignment="1">
      <alignment horizontal="center" vertical="center"/>
    </xf>
    <xf numFmtId="0" fontId="4" fillId="3" borderId="6" xfId="0" applyFont="1" applyFill="1" applyBorder="1" applyAlignment="1">
      <alignment horizontal="left" vertical="center" wrapText="1"/>
    </xf>
    <xf numFmtId="0" fontId="4" fillId="3" borderId="2"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1" fillId="7" borderId="8" xfId="0" applyFont="1" applyFill="1" applyBorder="1" applyAlignment="1">
      <alignment horizontal="left" vertical="center" wrapText="1"/>
    </xf>
    <xf numFmtId="0" fontId="1" fillId="7" borderId="3" xfId="0" applyFont="1" applyFill="1" applyBorder="1" applyAlignment="1">
      <alignment wrapText="1"/>
    </xf>
    <xf numFmtId="0" fontId="1" fillId="7" borderId="3" xfId="0" applyFont="1" applyFill="1" applyBorder="1"/>
    <xf numFmtId="0" fontId="1" fillId="7" borderId="3" xfId="0" applyFont="1" applyFill="1" applyBorder="1" applyAlignment="1">
      <alignment horizontal="center" vertical="center"/>
    </xf>
    <xf numFmtId="0" fontId="1" fillId="7" borderId="9" xfId="0" applyFont="1" applyFill="1" applyBorder="1" applyAlignment="1">
      <alignment horizontal="center" vertical="center"/>
    </xf>
    <xf numFmtId="0" fontId="1" fillId="0" borderId="0" xfId="0" applyFont="1" applyAlignment="1">
      <alignment wrapText="1"/>
    </xf>
    <xf numFmtId="0" fontId="1" fillId="12" borderId="1" xfId="0" applyFont="1" applyFill="1" applyBorder="1" applyAlignment="1">
      <alignment wrapText="1"/>
    </xf>
    <xf numFmtId="0" fontId="1" fillId="13" borderId="1" xfId="0" applyFont="1" applyFill="1" applyBorder="1" applyAlignment="1">
      <alignment wrapText="1"/>
    </xf>
    <xf numFmtId="0" fontId="1" fillId="14" borderId="1" xfId="0" applyFont="1" applyFill="1" applyBorder="1" applyAlignment="1">
      <alignment wrapText="1"/>
    </xf>
    <xf numFmtId="0" fontId="1" fillId="15" borderId="1" xfId="0" applyFont="1" applyFill="1" applyBorder="1" applyAlignment="1">
      <alignment wrapText="1"/>
    </xf>
    <xf numFmtId="0" fontId="1" fillId="16" borderId="1" xfId="0" applyFont="1" applyFill="1" applyBorder="1" applyAlignment="1">
      <alignment wrapText="1"/>
    </xf>
    <xf numFmtId="0" fontId="1" fillId="17" borderId="1" xfId="0" applyFont="1" applyFill="1" applyBorder="1" applyAlignment="1">
      <alignment wrapText="1"/>
    </xf>
    <xf numFmtId="0" fontId="1" fillId="18" borderId="1" xfId="0" applyFont="1" applyFill="1" applyBorder="1" applyAlignment="1">
      <alignment wrapText="1"/>
    </xf>
    <xf numFmtId="0" fontId="1" fillId="19" borderId="1" xfId="0" applyFont="1" applyFill="1" applyBorder="1" applyAlignment="1">
      <alignment wrapText="1"/>
    </xf>
    <xf numFmtId="0" fontId="1" fillId="4" borderId="1" xfId="0" applyFont="1" applyFill="1" applyBorder="1" applyAlignment="1">
      <alignment wrapText="1"/>
    </xf>
    <xf numFmtId="0" fontId="1" fillId="4" borderId="1" xfId="0" applyFont="1" applyFill="1" applyBorder="1"/>
    <xf numFmtId="0" fontId="1" fillId="4" borderId="3" xfId="0" applyFont="1" applyFill="1" applyBorder="1" applyAlignment="1">
      <alignment wrapText="1"/>
    </xf>
    <xf numFmtId="0" fontId="5" fillId="4" borderId="1" xfId="0" applyFont="1" applyFill="1" applyBorder="1" applyAlignment="1">
      <alignment wrapText="1"/>
    </xf>
    <xf numFmtId="0" fontId="5" fillId="4" borderId="1" xfId="0" applyFont="1" applyFill="1" applyBorder="1"/>
    <xf numFmtId="49" fontId="5" fillId="4" borderId="1" xfId="0" applyFont="1" applyNumberFormat="1" applyFill="1" applyBorder="1"/>
    <xf numFmtId="0" fontId="3" fillId="4" borderId="1" xfId="0" applyFont="1" applyFill="1" applyBorder="1" applyAlignment="1">
      <alignment vertical="top" wrapText="1"/>
    </xf>
    <xf numFmtId="49" fontId="1" fillId="4" borderId="1" xfId="0" applyFont="1" applyNumberFormat="1" applyFill="1" applyBorder="1"/>
    <xf numFmtId="49" fontId="1" fillId="4" borderId="1" xfId="0" applyFont="1" applyNumberFormat="1" applyFill="1" applyBorder="1" applyAlignment="1">
      <alignment horizontal="left"/>
    </xf>
    <xf numFmtId="49" fontId="5" fillId="4" borderId="1" xfId="0" applyFont="1" applyNumberFormat="1" applyFill="1" applyBorder="1" applyAlignment="1">
      <alignment horizontal="left"/>
    </xf>
    <xf numFmtId="0" fontId="1" fillId="4" borderId="0" xfId="0" applyFont="1" applyFill="1" applyAlignment="1">
      <alignment wrapText="1"/>
    </xf>
    <xf numFmtId="0" fontId="1" fillId="4" borderId="3" xfId="0" applyFont="1" applyFill="1" applyBorder="1"/>
    <xf numFmtId="0" fontId="1" fillId="4" borderId="0" xfId="0" applyFont="1" applyFill="1"/>
    <xf numFmtId="0" fontId="2" fillId="3" borderId="0" xfId="0" applyFont="1" applyFill="1" applyAlignment="1">
      <alignment horizontal="center" vertical="center" wrapText="1"/>
    </xf>
  </cellXfs>
  <cellStyles count="1">
    <cellStyle name="Normal" xfId="0" builtinId="0"/>
  </cellStyles>
  <dxfs count="86">
    <dxf>
      <border>
        <left style="thin">
          <color indexed="64"/>
        </left>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style="thin">
          <color indexed="64"/>
        </right>
        <top style="thin">
          <color indexed="64"/>
        </top>
        <bottom style="thin">
          <color indexed="64"/>
        </bottom>
      </border>
    </dxf>
    <dxf>
      <fill>
        <patternFill>
          <bgColor indexed="64"/>
        </patternFill>
      </fill>
      <border>
        <left style="thin">
          <color indexed="64"/>
        </left>
        <right/>
        <top style="thin">
          <color indexed="64"/>
        </top>
        <bottom style="thin">
          <color indexed="64"/>
        </bottom>
      </border>
    </dxf>
    <dxf>
      <fill>
        <patternFill>
          <bgColor indexed="64"/>
        </patternFill>
      </fill>
      <border>
        <left style="thin">
          <color indexed="64"/>
        </left>
        <right style="thin">
          <color indexed="64"/>
        </right>
        <top style="thin">
          <color indexed="64"/>
        </top>
        <bottom style="thin">
          <color indexed="64"/>
        </bottom>
      </border>
    </dxf>
    <dxf>
      <fill>
        <patternFill>
          <bgColor indexed="64"/>
        </patternFill>
      </fill>
      <border>
        <left style="thin">
          <color indexed="64"/>
        </left>
        <right style="thin">
          <color indexed="64"/>
        </right>
        <top style="thin">
          <color indexed="64"/>
        </top>
        <bottom style="thin">
          <color indexed="64"/>
        </bottom>
      </border>
    </dxf>
    <dxf>
      <fill>
        <patternFill>
          <bgColor indexed="64"/>
        </patternFill>
      </fill>
      <border>
        <left style="thin">
          <color indexed="64"/>
        </left>
        <right style="thin">
          <color indexed="64"/>
        </right>
        <top style="thin">
          <color indexed="64"/>
        </top>
        <bottom style="thin">
          <color indexed="64"/>
        </bottom>
      </border>
    </dxf>
    <dxf>
      <fill>
        <patternFill>
          <bgColor indexed="64"/>
        </patternFill>
      </fill>
      <border>
        <left style="thin">
          <color indexed="64"/>
        </left>
        <right style="thin">
          <color indexed="64"/>
        </right>
        <top style="thin">
          <color indexed="64"/>
        </top>
        <bottom style="thin">
          <color indexed="64"/>
        </bottom>
      </border>
    </dxf>
    <dxf>
      <fill>
        <patternFill>
          <bgColor indexed="64"/>
        </patternFill>
      </fill>
      <border>
        <left style="thin">
          <color indexed="64"/>
        </left>
        <right style="thin">
          <color indexed="64"/>
        </right>
        <top style="thin">
          <color indexed="64"/>
        </top>
        <bottom style="thin">
          <color indexed="64"/>
        </bottom>
      </border>
    </dxf>
    <dxf>
      <fill>
        <patternFill>
          <bgColor indexed="64"/>
        </patternFill>
      </fill>
      <border>
        <left style="thin">
          <color indexed="64"/>
        </left>
        <right style="thin">
          <color indexed="64"/>
        </right>
        <top style="thin">
          <color indexed="64"/>
        </top>
        <bottom style="thin">
          <color indexed="64"/>
        </bottom>
      </border>
    </dxf>
    <dxf>
      <fill>
        <patternFill>
          <bgColor indexed="64"/>
        </patternFill>
      </fill>
      <border>
        <left/>
        <right style="thin">
          <color indexed="64"/>
        </right>
        <top style="thin">
          <color indexed="64"/>
        </top>
        <bottom style="thin">
          <color indexed="64"/>
        </bottom>
      </border>
    </dxf>
    <dxf>
      <border>
        <bottom style="thin">
          <color indexed="64"/>
        </bottom>
      </border>
    </dxf>
    <dxf>
      <border>
        <left style="thin">
          <color indexed="64"/>
        </left>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Emendas2022Table" displayName="Emendas2022Table" ref="A1:BB611" totalsRowShown="0">
  <autoFilter ref="A1:BB611" xr:uid="{00000000-0009-0000-0100-000001000000}"/>
  <tableColumns count="54">
    <tableColumn id="1" xr3:uid="{00000000-0010-0000-0000-000001000000}" name="id_emenda" dataDxfId="85"/>
    <tableColumn id="2" xr3:uid="{00000000-0010-0000-0000-000002000000}" name="ano" dataDxfId="84"/>
    <tableColumn id="3" xr3:uid="{00000000-0010-0000-0000-000003000000}" name="linha_origem" dataDxfId="83"/>
    <tableColumn id="4" xr3:uid="{00000000-0010-0000-0000-000004000000}" name="arquivo_origem" dataDxfId="82"/>
    <tableColumn id="5" xr3:uid="{00000000-0010-0000-0000-000005000000}" name="id_vereador_ano" dataDxfId="81"/>
    <tableColumn id="6" xr3:uid="{00000000-0010-0000-0000-000006000000}" name="numero_emenda" dataDxfId="80"/>
    <tableColumn id="7" xr3:uid="{00000000-0010-0000-0000-000007000000}" name="status_original" dataDxfId="79"/>
    <tableColumn id="8" xr3:uid="{00000000-0010-0000-0000-000008000000}" name="parlamentar_original" dataDxfId="78"/>
    <tableColumn id="9" xr3:uid="{00000000-0010-0000-0000-000009000000}" name="partido_base" dataDxfId="77"/>
    <tableColumn id="10" xr3:uid="{00000000-0010-0000-0000-00000A000000}" name="objeto_emenda" dataDxfId="76"/>
    <tableColumn id="11" xr3:uid="{00000000-0010-0000-0000-00000B000000}" name="dotacao_original" dataDxfId="75"/>
    <tableColumn id="12" xr3:uid="{00000000-0010-0000-0000-00000C000000}" name="uo_dec" dataDxfId="74"/>
    <tableColumn id="13" xr3:uid="{00000000-0010-0000-0000-00000D000000}" name="nome_uo" dataDxfId="73"/>
    <tableColumn id="14" xr3:uid="{00000000-0010-0000-0000-00000E000000}" name="func_dec" dataDxfId="72"/>
    <tableColumn id="15" xr3:uid="{00000000-0010-0000-0000-00000F000000}" name="nome_funcao" dataDxfId="71"/>
    <tableColumn id="16" xr3:uid="{00000000-0010-0000-0000-000010000000}" name="sub_dec" dataDxfId="70"/>
    <tableColumn id="17" xr3:uid="{00000000-0010-0000-0000-000011000000}" name="nome_subfuncao" dataDxfId="69"/>
    <tableColumn id="18" xr3:uid="{00000000-0010-0000-0000-000012000000}" name="prog_dec" dataDxfId="68"/>
    <tableColumn id="19" xr3:uid="{00000000-0010-0000-0000-000013000000}" name="nome_programa" dataDxfId="67"/>
    <tableColumn id="20" xr3:uid="{00000000-0010-0000-0000-000014000000}" name="acao_dec" dataDxfId="66"/>
    <tableColumn id="21" xr3:uid="{00000000-0010-0000-0000-000015000000}" name="nome_acao" dataDxfId="65"/>
    <tableColumn id="22" xr3:uid="{00000000-0010-0000-0000-000016000000}" name="nat_dec" dataDxfId="64"/>
    <tableColumn id="23" xr3:uid="{00000000-0010-0000-0000-000017000000}" name="categoria_economica" dataDxfId="63"/>
    <tableColumn id="24" xr3:uid="{00000000-0010-0000-0000-000018000000}" name="grupo_despesa" dataDxfId="62"/>
    <tableColumn id="25" xr3:uid="{00000000-0010-0000-0000-000019000000}" name="fonte_dec" dataDxfId="61"/>
    <tableColumn id="26" xr3:uid="{00000000-0010-0000-0000-00001A000000}" name="orgao_executor" dataDxfId="60"/>
    <tableColumn id="27" xr3:uid="{00000000-0010-0000-0000-00001B000000}" name="valor_emenda" dataDxfId="59"/>
    <tableColumn id="28" xr3:uid="{00000000-0010-0000-0000-00001C000000}" name="valor_empenhado" dataDxfId="58"/>
    <tableColumn id="29" xr3:uid="{00000000-0010-0000-0000-00001D000000}" name="valor_liquidado" dataDxfId="57"/>
    <tableColumn id="30" xr3:uid="{00000000-0010-0000-0000-00001E000000}" name="valor_pago" dataDxfId="56"/>
    <tableColumn id="31" xr3:uid="{00000000-0010-0000-0000-00001F000000}" name="credor_original" dataDxfId="55"/>
    <tableColumn id="32" xr3:uid="{00000000-0010-0000-0000-000020000000}" name="cnpj_credor_original" dataDxfId="54"/>
    <tableColumn id="33" xr3:uid="{00000000-0010-0000-0000-000021000000}" name="tipo_beneficiario_original" dataDxfId="53"/>
    <tableColumn id="34" xr3:uid="{00000000-0010-0000-0000-000022000000}" name="beneficiario_final_original" dataDxfId="52"/>
    <tableColumn id="35" xr3:uid="{00000000-0010-0000-0000-000023000000}" name="cnpj_beneficiario_final_original" dataDxfId="51"/>
    <tableColumn id="36" xr3:uid="{00000000-0010-0000-0000-000024000000}" name="saude_orcamentaria" dataDxfId="50"/>
    <tableColumn id="37" xr3:uid="{00000000-0010-0000-0000-000025000000}" name="saude_tematica" dataDxfId="49"/>
    <tableColumn id="38" xr3:uid="{00000000-0010-0000-0000-000026000000}" name="subcodigo_cap_final" dataDxfId="48"/>
    <tableColumn id="39" xr3:uid="{00000000-0010-0000-0000-000027000000}" name="subcodigo_cap" dataDxfId="47"/>
    <tableColumn id="40" xr3:uid="{00000000-0010-0000-0000-000028000000}" name="subcodigo_cap_descricao" dataDxfId="46"/>
    <tableColumn id="41" xr3:uid="{00000000-0010-0000-0000-000029000000}" name="localidade_final" dataDxfId="45"/>
    <tableColumn id="42" xr3:uid="{00000000-0010-0000-0000-00002A000000}" name="localidade_resumo" dataDxfId="44"/>
    <tableColumn id="43" xr3:uid="{00000000-0010-0000-0000-00002B000000}" name="N_localidades" dataDxfId="43"/>
    <tableColumn id="44" xr3:uid="{00000000-0010-0000-0000-00002C000000}" name="georreferenciavel" dataDxfId="42"/>
    <tableColumn id="45" xr3:uid="{00000000-0010-0000-0000-00002D000000}" name="georreferenciacao" dataDxfId="41"/>
    <tableColumn id="46" xr3:uid="{00000000-0010-0000-0000-00002E000000}" name="publico_alvo_final" dataDxfId="40"/>
    <tableColumn id="47" xr3:uid="{00000000-0010-0000-0000-00002F000000}" name="publico_alvo_resumo" dataDxfId="39"/>
    <tableColumn id="48" xr3:uid="{00000000-0010-0000-0000-000030000000}" name="credor_disponivel_final" dataDxfId="38"/>
    <tableColumn id="49" xr3:uid="{00000000-0010-0000-0000-000031000000}" name="credor_padronizado" dataDxfId="37"/>
    <tableColumn id="50" xr3:uid="{00000000-0010-0000-0000-000032000000}" name="status_codificacao" dataDxfId="36"/>
    <tableColumn id="51" xr3:uid="{00000000-0010-0000-0000-000033000000}" name="confianca" dataDxfId="35"/>
    <tableColumn id="52" xr3:uid="{00000000-0010-0000-0000-000034000000}" name="data_codificacao" dataDxfId="34"/>
    <tableColumn id="53" xr3:uid="{00000000-0010-0000-0000-000035000000}" name="regra_decisao_id" dataDxfId="33"/>
    <tableColumn id="54" xr3:uid="{F9626390-446F-4995-90BB-F49A525F2874}" name="cultura_ou_esporte" dataDxfId="3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Codebook2022Table" displayName="Codebook2022Table" ref="A1:J212" totalsRowShown="0">
  <tableColumns count="10">
    <tableColumn id="1" xr3:uid="{00000000-0010-0000-0100-000001000000}" name="macro_codigo" dataDxfId="31"/>
    <tableColumn id="2" xr3:uid="{00000000-0010-0000-0100-000002000000}" name="macro_tema" dataDxfId="30"/>
    <tableColumn id="3" xr3:uid="{00000000-0010-0000-0100-000003000000}" name="subcodigo" dataDxfId="29"/>
    <tableColumn id="4" xr3:uid="{00000000-0010-0000-0100-000004000000}" name="subtema" dataDxfId="28"/>
    <tableColumn id="5" xr3:uid="{00000000-0010-0000-0100-000005000000}" name="definicao" dataDxfId="27"/>
    <tableColumn id="6" xr3:uid="{00000000-0010-0000-0100-000006000000}" name="inclui" dataDxfId="26"/>
    <tableColumn id="7" xr3:uid="{00000000-0010-0000-0100-000007000000}" name="nao_inclui" dataDxfId="25"/>
    <tableColumn id="8" xr3:uid="{00000000-0010-0000-0100-000008000000}" name="exemplos" dataDxfId="24"/>
    <tableColumn id="9" xr3:uid="{00000000-0010-0000-0100-000009000000}" name="observacao_local" dataDxfId="23"/>
    <tableColumn id="10" xr3:uid="{00000000-0010-0000-0100-00000A000000}" name="ativo" dataDxfId="2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VereadorAno2022Table" displayName="VereadorAno2022Table" ref="A1:H208" totalsRowShown="0" headerRowBorderDxfId="21">
  <tableColumns count="8">
    <tableColumn id="1" xr3:uid="{00000000-0010-0000-0200-000001000000}" name="ano" dataDxfId="20"/>
    <tableColumn id="2" xr3:uid="{00000000-0010-0000-0200-000002000000}" name="id_vereador_ano" dataDxfId="19"/>
    <tableColumn id="3" xr3:uid="{00000000-0010-0000-0200-000003000000}" name="parlamentar_original" dataDxfId="18"/>
    <tableColumn id="4" xr3:uid="{00000000-0010-0000-0200-000004000000}" name="Sigla" dataDxfId="17"/>
    <tableColumn id="5" xr3:uid="{00000000-0010-0000-0200-000005000000}" name="partido_base" dataDxfId="16"/>
    <tableColumn id="6" xr3:uid="{00000000-0010-0000-0200-000006000000}" name="Estimativa ZUCCO POWER 2021" dataDxfId="15"/>
    <tableColumn id="7" xr3:uid="{00000000-0010-0000-0200-000007000000}" name="Estimativa ZUCCO POWER 2017" dataDxfId="14"/>
    <tableColumn id="8" xr3:uid="{00000000-0010-0000-0200-000008000000}" name="ideologia" dataDxfId="1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LogDecisoes2022Table" displayName="LogDecisoes2022Table" ref="A1:M10" totalsRowShown="0">
  <tableColumns count="13">
    <tableColumn id="1" xr3:uid="{00000000-0010-0000-0300-000001000000}" name="regra_decisao_id" dataDxfId="12"/>
    <tableColumn id="2" xr3:uid="{00000000-0010-0000-0300-000002000000}" name="data_decisao" dataDxfId="11"/>
    <tableColumn id="3" xr3:uid="{00000000-0010-0000-0300-000003000000}" name="dimensao" dataDxfId="10"/>
    <tableColumn id="4" xr3:uid="{00000000-0010-0000-0300-000004000000}" name="duvida" dataDxfId="9"/>
    <tableColumn id="5" xr3:uid="{00000000-0010-0000-0300-000005000000}" name="decisao_adotada" dataDxfId="8"/>
    <tableColumn id="6" xr3:uid="{00000000-0010-0000-0300-000006000000}" name="justificativa" dataDxfId="7"/>
    <tableColumn id="7" xr3:uid="{00000000-0010-0000-0300-000007000000}" name="exemplo_positivo" dataDxfId="6"/>
    <tableColumn id="8" xr3:uid="{00000000-0010-0000-0300-000008000000}" name="exemplo_negativo" dataDxfId="5"/>
    <tableColumn id="9" xr3:uid="{00000000-0010-0000-0300-000009000000}" name="subcodigo_relacionado" dataDxfId="4"/>
    <tableColumn id="10" xr3:uid="{00000000-0010-0000-0300-00000A000000}" name="status_regra" dataDxfId="3"/>
    <tableColumn id="11" xr3:uid="{00000000-0010-0000-0300-00000B000000}" name="versao_inicio" dataDxfId="2"/>
    <tableColumn id="12" xr3:uid="{00000000-0010-0000-0300-00000C000000}" name="substituida_por" dataDxfId="1"/>
    <tableColumn id="13" xr3:uid="{00000000-0010-0000-0300-00000D000000}" name="observacoes" dataDxfId="0"/>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 Id="rId1h" Type="http://schemas.openxmlformats.org/officeDocument/2006/relationships/hyperlink" Target="https://prefeitura.pbh.gov.br/saude/informacoes/atencao-a-saude/atencao-secundaria/creab"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4" Type="http://schemas.openxmlformats.org/officeDocument/2006/relationships/table" Target="../tables/table4.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5" Type="http://schemas.openxmlformats.org/officeDocument/2006/relationships/table" Target="../tables/table5.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AP1" workbookViewId="0">
      <selection activeCell="BC21" sqref="BC21"/>
    </sheetView>
  </sheetViews>
  <sheetFormatPr defaultRowHeight="15.0" baseColWidth="10"/>
  <cols>
    <col min="1" max="1" width="31.75" hidden="0" customWidth="1"/>
    <col min="2" max="2" width="14" hidden="0" customWidth="1"/>
    <col min="3" max="3" width="14" hidden="0" customWidth="1"/>
    <col min="4" max="4" width="26" hidden="1" customWidth="1"/>
    <col min="5" max="5" width="28" hidden="0" customWidth="1"/>
    <col min="6" max="6" width="13" hidden="1" customWidth="1"/>
    <col min="7" max="7" width="20" hidden="0" customWidth="1"/>
    <col min="8" max="8" width="26" hidden="1" customWidth="1"/>
    <col min="9" max="9" width="16" hidden="0" customWidth="1"/>
    <col min="10" max="10" width="52" hidden="0" customWidth="1"/>
    <col min="11" max="11" width="35" hidden="0" customWidth="1"/>
    <col min="12" max="12" width="14" hidden="0" customWidth="1"/>
    <col min="13" max="13" width="34" hidden="0" customWidth="1"/>
    <col min="14" max="14" width="14" hidden="0" customWidth="1"/>
    <col min="15" max="15" width="22" hidden="0" customWidth="1"/>
    <col min="16" max="16" width="14" hidden="0" customWidth="1"/>
    <col min="17" max="17" width="34" hidden="0" customWidth="1"/>
    <col min="18" max="18" width="14" hidden="0" customWidth="1"/>
    <col min="19" max="19" width="40" hidden="0" customWidth="1"/>
    <col min="20" max="20" width="14" hidden="0" customWidth="1"/>
    <col min="21" max="21" width="42" hidden="0" customWidth="1"/>
    <col min="22" max="22" width="14" hidden="0" customWidth="1"/>
    <col min="23" max="23" width="19" hidden="0" customWidth="1"/>
    <col min="24" max="24" width="28" hidden="0" customWidth="1"/>
    <col min="25" max="25" width="14" hidden="0" customWidth="1"/>
    <col min="26" max="26" width="19" hidden="0" customWidth="1"/>
    <col min="27" max="27" width="14" hidden="0" customWidth="1"/>
    <col min="28" max="28" width="14" hidden="0" customWidth="1"/>
    <col min="29" max="29" width="14" hidden="0" customWidth="1"/>
    <col min="30" max="30" width="14" hidden="0" customWidth="1"/>
    <col min="31" max="31" width="34" hidden="0" customWidth="1"/>
    <col min="32" max="32" width="20" hidden="0" customWidth="1"/>
    <col min="33" max="33" width="24" hidden="0" customWidth="1"/>
    <col min="34" max="34" width="40" hidden="0" customWidth="1"/>
    <col min="35" max="35" width="22" hidden="0" customWidth="1"/>
    <col min="36" max="36" width="13.875" hidden="0" customWidth="1"/>
    <col min="37" max="37" width="18.625" hidden="0" customWidth="1"/>
    <col min="38" max="38" width="19.125" hidden="0" customWidth="1"/>
    <col min="39" max="39" width="35" hidden="0" customWidth="1"/>
    <col min="40" max="40" width="65" hidden="0" customWidth="1"/>
    <col min="41" max="41" width="16.75" hidden="0" customWidth="1"/>
    <col min="42" max="42" width="45" hidden="0" customWidth="1"/>
    <col min="43" max="43" width="14" hidden="0" customWidth="1"/>
    <col min="44" max="44" width="17.875" hidden="0" customWidth="1"/>
    <col min="45" max="45" width="48" hidden="0" customWidth="1"/>
    <col min="46" max="46" width="19.75" hidden="0" customWidth="1"/>
    <col min="47" max="47" width="35" hidden="0" customWidth="1"/>
    <col min="48" max="48" width="23.25" hidden="0" customWidth="1"/>
    <col min="49" max="49" width="35" hidden="0" customWidth="1"/>
    <col min="50" max="50" width="18" hidden="0" customWidth="1"/>
    <col min="51" max="51" width="14" hidden="0" customWidth="1"/>
    <col min="52" max="52" width="16" hidden="0" customWidth="1"/>
    <col min="53" max="53" width="18" hidden="0" customWidth="1"/>
    <col min="54" max="54" width="19.375" hidden="0" customWidth="1"/>
  </cols>
  <sheetData>
    <row r="1" ht="30" customHeigh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10" t="s">
        <v>35</v>
      </c>
      <c r="AK1" s="10" t="s">
        <v>36</v>
      </c>
      <c r="AL1" s="10" t="s">
        <v>37</v>
      </c>
      <c r="AM1" s="10" t="s">
        <v>38</v>
      </c>
      <c r="AN1" s="10" t="s">
        <v>39</v>
      </c>
      <c r="AO1" s="10" t="s">
        <v>40</v>
      </c>
      <c r="AP1" s="10" t="s">
        <v>41</v>
      </c>
      <c r="AQ1" s="10" t="s">
        <v>42</v>
      </c>
      <c r="AR1" s="10" t="s">
        <v>43</v>
      </c>
      <c r="AS1" s="10" t="s">
        <v>44</v>
      </c>
      <c r="AT1" s="10" t="s">
        <v>45</v>
      </c>
      <c r="AU1" s="10" t="s">
        <v>46</v>
      </c>
      <c r="AV1" s="10" t="s">
        <v>47</v>
      </c>
      <c r="AW1" s="10" t="s">
        <v>48</v>
      </c>
      <c r="AX1" s="2" t="s">
        <v>49</v>
      </c>
      <c r="AY1" s="2" t="s">
        <v>50</v>
      </c>
      <c r="AZ1" s="2" t="s">
        <v>51</v>
      </c>
      <c r="BA1" s="2" t="s">
        <v>52</v>
      </c>
      <c r="BB1" s="3" t="s">
        <v>6565</v>
      </c>
    </row>
    <row r="2" ht="85.5" customHeight="1">
      <c r="A2" s="4" t="s">
        <v>53</v>
      </c>
      <c r="B2" s="4" t="n">
        <v>2022</v>
      </c>
      <c r="C2" s="4" t="n">
        <v>4274</v>
      </c>
      <c r="D2" s="4" t="s">
        <v>54</v>
      </c>
      <c r="E2" s="4" t="s">
        <v>55</v>
      </c>
      <c r="F2" s="5" t="s">
        <v>56</v>
      </c>
      <c r="G2" s="4" t="s">
        <v>57</v>
      </c>
      <c r="H2" s="4" t="s">
        <v>58</v>
      </c>
      <c r="I2" s="4" t="s">
        <v>59</v>
      </c>
      <c r="J2" s="4" t="s">
        <v>60</v>
      </c>
      <c r="K2" s="4" t="s">
        <v>61</v>
      </c>
      <c r="L2" s="5" t="s">
        <v>62</v>
      </c>
      <c r="M2" s="4" t="s">
        <v>63</v>
      </c>
      <c r="N2" s="5" t="s">
        <v>64</v>
      </c>
      <c r="O2" s="4" t="s">
        <v>65</v>
      </c>
      <c r="P2" s="5" t="s">
        <v>66</v>
      </c>
      <c r="Q2" s="4" t="s">
        <v>67</v>
      </c>
      <c r="R2" s="5" t="s">
        <v>68</v>
      </c>
      <c r="S2" s="4" t="s">
        <v>69</v>
      </c>
      <c r="T2" s="5" t="s">
        <v>70</v>
      </c>
      <c r="U2" s="4" t="s">
        <v>71</v>
      </c>
      <c r="V2" s="5" t="s">
        <v>72</v>
      </c>
      <c r="W2" s="4" t="s">
        <v>73</v>
      </c>
      <c r="X2" s="4" t="s">
        <v>74</v>
      </c>
      <c r="Y2" s="5"/>
      <c r="Z2" s="4" t="s">
        <v>75</v>
      </c>
      <c r="AA2" s="6" t="n">
        <v>400000</v>
      </c>
      <c r="AB2" s="6" t="n">
        <v>400000</v>
      </c>
      <c r="AC2" s="6" t="n">
        <v>240595</v>
      </c>
      <c r="AD2" s="6" t="n">
        <v>240595</v>
      </c>
      <c r="AE2" s="4" t="s">
        <v>76</v>
      </c>
      <c r="AF2" s="5" t="s">
        <v>77</v>
      </c>
      <c r="AG2" s="4" t="s">
        <v>78</v>
      </c>
      <c r="AH2" s="4" t="s">
        <v>79</v>
      </c>
      <c r="AI2" s="5" t="s">
        <v>80</v>
      </c>
      <c r="AJ2" s="1" t="n">
        <v>1</v>
      </c>
      <c r="AK2" s="11" t="n">
        <v>1</v>
      </c>
      <c r="AL2" s="12" t="s">
        <v>81</v>
      </c>
      <c r="AM2" s="13" t="str">
        <f>IF(AL2="","",AL2&amp;" - "&amp;IFERROR(VLOOKUP(AL2,CODEBOOK_CAP!$C$2:$D$212,2,FALSE),""))</f>
        <v>0322 - ESTRUTURAS, HOSPITAIS, CLÍNICAS</v>
      </c>
      <c r="AN2" s="13" t="str">
        <f>IF(AL2="","",IFERROR(VLOOKUP(AL2,CODEBOOK_CAP!$C$2:$E$212,3,FALSE),""))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2" s="11" t="n">
        <v>1</v>
      </c>
      <c r="AP2" s="11" t="s">
        <v>82</v>
      </c>
      <c r="AQ2" s="11" t="n">
        <v>1</v>
      </c>
      <c r="AR2" s="11" t="n">
        <v>1</v>
      </c>
      <c r="AS2" s="11" t="s">
        <v>83</v>
      </c>
      <c r="AT2" s="11" t="n">
        <v>0</v>
      </c>
      <c r="AU2" s="11"/>
      <c r="AV2" s="11" t="n">
        <v>1</v>
      </c>
      <c r="AW2" s="11" t="s">
        <v>76</v>
      </c>
      <c r="AX2" s="7" t="s">
        <v>84</v>
      </c>
      <c r="AY2" s="7"/>
      <c r="AZ2" s="7"/>
      <c r="BA2" s="7"/>
      <c r="BB2" s="8"/>
    </row>
    <row r="3" ht="85.5" customHeight="1">
      <c r="A3" s="4" t="s">
        <v>85</v>
      </c>
      <c r="B3" s="4" t="n">
        <v>2022</v>
      </c>
      <c r="C3" s="4" t="n">
        <v>4275</v>
      </c>
      <c r="D3" s="4" t="s">
        <v>54</v>
      </c>
      <c r="E3" s="4" t="s">
        <v>55</v>
      </c>
      <c r="F3" s="5" t="s">
        <v>86</v>
      </c>
      <c r="G3" s="4" t="s">
        <v>57</v>
      </c>
      <c r="H3" s="4" t="s">
        <v>58</v>
      </c>
      <c r="I3" s="4" t="s">
        <v>59</v>
      </c>
      <c r="J3" s="4" t="s">
        <v>87</v>
      </c>
      <c r="K3" s="4" t="s">
        <v>61</v>
      </c>
      <c r="L3" s="5" t="s">
        <v>62</v>
      </c>
      <c r="M3" s="4" t="s">
        <v>63</v>
      </c>
      <c r="N3" s="5" t="s">
        <v>64</v>
      </c>
      <c r="O3" s="4" t="s">
        <v>65</v>
      </c>
      <c r="P3" s="5" t="s">
        <v>66</v>
      </c>
      <c r="Q3" s="4" t="s">
        <v>67</v>
      </c>
      <c r="R3" s="5" t="s">
        <v>68</v>
      </c>
      <c r="S3" s="4" t="s">
        <v>69</v>
      </c>
      <c r="T3" s="5" t="s">
        <v>70</v>
      </c>
      <c r="U3" s="4" t="s">
        <v>71</v>
      </c>
      <c r="V3" s="5" t="s">
        <v>72</v>
      </c>
      <c r="W3" s="4" t="s">
        <v>73</v>
      </c>
      <c r="X3" s="4" t="s">
        <v>74</v>
      </c>
      <c r="Y3" s="5"/>
      <c r="Z3" s="4" t="s">
        <v>75</v>
      </c>
      <c r="AA3" s="6" t="n">
        <v>65000</v>
      </c>
      <c r="AB3" s="6" t="n">
        <v>59878</v>
      </c>
      <c r="AC3" s="6"/>
      <c r="AD3" s="6" t="n">
        <v>41513.199999999997</v>
      </c>
      <c r="AE3" s="4" t="s">
        <v>76</v>
      </c>
      <c r="AF3" s="5" t="s">
        <v>77</v>
      </c>
      <c r="AG3" s="4" t="s">
        <v>78</v>
      </c>
      <c r="AH3" s="4" t="s">
        <v>79</v>
      </c>
      <c r="AI3" s="5" t="s">
        <v>80</v>
      </c>
      <c r="AJ3" s="1" t="n">
        <v>1</v>
      </c>
      <c r="AK3" s="11" t="n">
        <v>1</v>
      </c>
      <c r="AL3" s="12" t="s">
        <v>81</v>
      </c>
      <c r="AM3" s="13" t="str">
        <f>IF(AL3="","",AL3&amp;" - "&amp;IFERROR(VLOOKUP(AL3,CODEBOOK_CAP!$C$2:$D$212,2,FALSE),""))</f>
        <v>0322 - ESTRUTURAS, HOSPITAIS, CLÍNICAS</v>
      </c>
      <c r="AN3" s="13" t="str">
        <f>IF(AL3="","",IFERROR(VLOOKUP(AL3,CODEBOOK_CAP!$C$2:$E$212,3,FALSE),""))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3" s="11" t="n">
        <v>1</v>
      </c>
      <c r="AP3" s="11" t="s">
        <v>88</v>
      </c>
      <c r="AQ3" s="11" t="n">
        <v>1</v>
      </c>
      <c r="AR3" s="11" t="n">
        <v>1</v>
      </c>
      <c r="AS3" s="11" t="s">
        <v>89</v>
      </c>
      <c r="AT3" s="11" t="n">
        <v>0</v>
      </c>
      <c r="AU3" s="11"/>
      <c r="AV3" s="11" t="n">
        <v>1</v>
      </c>
      <c r="AW3" s="11" t="s">
        <v>76</v>
      </c>
      <c r="AX3" s="7" t="s">
        <v>84</v>
      </c>
      <c r="AY3" s="7"/>
      <c r="AZ3" s="7"/>
      <c r="BA3" s="7"/>
    </row>
    <row r="4" ht="156.75" customHeight="1">
      <c r="A4" s="4" t="s">
        <v>90</v>
      </c>
      <c r="B4" s="4" t="n">
        <v>2022</v>
      </c>
      <c r="C4" s="4" t="n">
        <v>4276</v>
      </c>
      <c r="D4" s="4" t="s">
        <v>54</v>
      </c>
      <c r="E4" s="4" t="s">
        <v>55</v>
      </c>
      <c r="F4" s="5" t="s">
        <v>91</v>
      </c>
      <c r="G4" s="4" t="s">
        <v>57</v>
      </c>
      <c r="H4" s="4" t="s">
        <v>58</v>
      </c>
      <c r="I4" s="4" t="s">
        <v>59</v>
      </c>
      <c r="J4" s="4" t="s">
        <v>92</v>
      </c>
      <c r="K4" s="4" t="s">
        <v>93</v>
      </c>
      <c r="L4" s="5" t="s">
        <v>94</v>
      </c>
      <c r="M4" s="4" t="s">
        <v>95</v>
      </c>
      <c r="N4" s="5" t="s">
        <v>96</v>
      </c>
      <c r="O4" s="4" t="s">
        <v>97</v>
      </c>
      <c r="P4" s="5" t="s">
        <v>98</v>
      </c>
      <c r="Q4" s="4" t="s">
        <v>99</v>
      </c>
      <c r="R4" s="5" t="s">
        <v>100</v>
      </c>
      <c r="S4" s="4" t="s">
        <v>101</v>
      </c>
      <c r="T4" s="5" t="s">
        <v>102</v>
      </c>
      <c r="U4" s="4" t="s">
        <v>103</v>
      </c>
      <c r="V4" s="5" t="s">
        <v>104</v>
      </c>
      <c r="W4" s="4" t="s">
        <v>105</v>
      </c>
      <c r="X4" s="4" t="s">
        <v>106</v>
      </c>
      <c r="Y4" s="5"/>
      <c r="Z4" s="4" t="s">
        <v>107</v>
      </c>
      <c r="AA4" s="6" t="n">
        <v>640000</v>
      </c>
      <c r="AB4" s="6" t="n">
        <v>640000</v>
      </c>
      <c r="AC4" s="6" t="n">
        <v>640000</v>
      </c>
      <c r="AD4" s="6" t="n">
        <v>640000</v>
      </c>
      <c r="AE4" s="4" t="s">
        <v>108</v>
      </c>
      <c r="AF4" s="5" t="s">
        <v>109</v>
      </c>
      <c r="AG4" s="4" t="s">
        <v>110</v>
      </c>
      <c r="AH4" s="4" t="s">
        <v>110</v>
      </c>
      <c r="AI4" s="5"/>
      <c r="AJ4" s="1" t="n">
        <v>0</v>
      </c>
      <c r="AK4" s="11" t="n">
        <v>0</v>
      </c>
      <c r="AL4" s="12" t="s">
        <v>111</v>
      </c>
      <c r="AM4" s="13" t="str">
        <f>IF(AL4="","",AL4&amp;" - "&amp;IFERROR(VLOOKUP(AL4,CODEBOOK_CAP!$C$2:$D$212,2,FALSE),""))</f>
        <v>1300 - GERAL</v>
      </c>
      <c r="AN4" s="13" t="str">
        <f>IF(AL4="","",IFERROR(VLOOKUP(AL4,CODEBOOK_CAP!$C$2:$E$212,3,FALSE),""))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4" s="11" t="n">
        <v>0</v>
      </c>
      <c r="AP4" s="11"/>
      <c r="AQ4" s="11" t="n">
        <v>0</v>
      </c>
      <c r="AR4" s="11" t="n">
        <v>0</v>
      </c>
      <c r="AS4" s="11"/>
      <c r="AT4" s="11" t="n">
        <v>0</v>
      </c>
      <c r="AU4" s="11"/>
      <c r="AV4" s="11" t="n">
        <v>1</v>
      </c>
      <c r="AW4" s="11" t="s">
        <v>108</v>
      </c>
      <c r="AX4" s="7" t="s">
        <v>84</v>
      </c>
      <c r="AY4" s="7"/>
      <c r="AZ4" s="7"/>
      <c r="BA4" s="7"/>
    </row>
    <row r="5" ht="85.5" customHeight="1">
      <c r="A5" s="4" t="s">
        <v>112</v>
      </c>
      <c r="B5" s="4" t="n">
        <v>2022</v>
      </c>
      <c r="C5" s="4" t="n">
        <v>4277</v>
      </c>
      <c r="D5" s="4" t="s">
        <v>54</v>
      </c>
      <c r="E5" s="4" t="s">
        <v>55</v>
      </c>
      <c r="F5" s="5" t="s">
        <v>113</v>
      </c>
      <c r="G5" s="4" t="s">
        <v>57</v>
      </c>
      <c r="H5" s="4" t="s">
        <v>58</v>
      </c>
      <c r="I5" s="4" t="s">
        <v>59</v>
      </c>
      <c r="J5" s="4" t="s">
        <v>114</v>
      </c>
      <c r="K5" s="4" t="s">
        <v>61</v>
      </c>
      <c r="L5" s="5" t="s">
        <v>62</v>
      </c>
      <c r="M5" s="4" t="s">
        <v>63</v>
      </c>
      <c r="N5" s="5" t="s">
        <v>64</v>
      </c>
      <c r="O5" s="4" t="s">
        <v>65</v>
      </c>
      <c r="P5" s="5" t="s">
        <v>66</v>
      </c>
      <c r="Q5" s="4" t="s">
        <v>67</v>
      </c>
      <c r="R5" s="5" t="s">
        <v>68</v>
      </c>
      <c r="S5" s="4" t="s">
        <v>69</v>
      </c>
      <c r="T5" s="5" t="s">
        <v>70</v>
      </c>
      <c r="U5" s="4" t="s">
        <v>71</v>
      </c>
      <c r="V5" s="5" t="s">
        <v>72</v>
      </c>
      <c r="W5" s="4" t="s">
        <v>73</v>
      </c>
      <c r="X5" s="4" t="s">
        <v>74</v>
      </c>
      <c r="Y5" s="5"/>
      <c r="Z5" s="4" t="s">
        <v>75</v>
      </c>
      <c r="AA5" s="6" t="n">
        <v>250000</v>
      </c>
      <c r="AB5" s="6" t="n">
        <v>250000</v>
      </c>
      <c r="AC5" s="6" t="n">
        <v>151265.75</v>
      </c>
      <c r="AD5" s="6" t="n">
        <v>151265.75</v>
      </c>
      <c r="AE5" s="4" t="s">
        <v>76</v>
      </c>
      <c r="AF5" s="5" t="s">
        <v>77</v>
      </c>
      <c r="AG5" s="4" t="s">
        <v>115</v>
      </c>
      <c r="AH5" s="4" t="s">
        <v>115</v>
      </c>
      <c r="AI5" s="5" t="s">
        <v>115</v>
      </c>
      <c r="AJ5" s="1" t="n">
        <v>1</v>
      </c>
      <c r="AK5" s="11" t="n">
        <v>1</v>
      </c>
      <c r="AL5" s="12" t="s">
        <v>81</v>
      </c>
      <c r="AM5" s="13" t="str">
        <f>IF(AL5="","",AL5&amp;" - "&amp;IFERROR(VLOOKUP(AL5,CODEBOOK_CAP!$C$2:$D$212,2,FALSE),""))</f>
        <v>0322 - ESTRUTURAS, HOSPITAIS, CLÍNICAS</v>
      </c>
      <c r="AN5" s="13" t="str">
        <f>IF(AL5="","",IFERROR(VLOOKUP(AL5,CODEBOOK_CAP!$C$2:$E$212,3,FALSE),""))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5" s="11" t="n">
        <v>1</v>
      </c>
      <c r="AP5" s="11" t="s">
        <v>116</v>
      </c>
      <c r="AQ5" s="11" t="n">
        <v>1</v>
      </c>
      <c r="AR5" s="11" t="n">
        <v>1</v>
      </c>
      <c r="AS5" s="11" t="s">
        <v>117</v>
      </c>
      <c r="AT5" s="11" t="n">
        <v>0</v>
      </c>
      <c r="AU5" s="11"/>
      <c r="AV5" s="11" t="n">
        <v>1</v>
      </c>
      <c r="AW5" s="11" t="s">
        <v>76</v>
      </c>
      <c r="AX5" s="7" t="s">
        <v>84</v>
      </c>
      <c r="AY5" s="7"/>
      <c r="AZ5" s="7"/>
      <c r="BA5" s="7"/>
    </row>
    <row r="6" ht="171" customHeight="1">
      <c r="A6" s="4" t="s">
        <v>118</v>
      </c>
      <c r="B6" s="4" t="n">
        <v>2022</v>
      </c>
      <c r="C6" s="4" t="n">
        <v>4278</v>
      </c>
      <c r="D6" s="4" t="s">
        <v>54</v>
      </c>
      <c r="E6" s="4" t="s">
        <v>55</v>
      </c>
      <c r="F6" s="5" t="s">
        <v>119</v>
      </c>
      <c r="G6" s="4" t="s">
        <v>57</v>
      </c>
      <c r="H6" s="4" t="s">
        <v>58</v>
      </c>
      <c r="I6" s="4" t="s">
        <v>59</v>
      </c>
      <c r="J6" s="4" t="s">
        <v>120</v>
      </c>
      <c r="K6" s="4" t="s">
        <v>121</v>
      </c>
      <c r="L6" s="5" t="s">
        <v>122</v>
      </c>
      <c r="M6" s="4" t="s">
        <v>123</v>
      </c>
      <c r="N6" s="5" t="s">
        <v>124</v>
      </c>
      <c r="O6" s="4" t="s">
        <v>125</v>
      </c>
      <c r="P6" s="5" t="s">
        <v>126</v>
      </c>
      <c r="Q6" s="4" t="s">
        <v>127</v>
      </c>
      <c r="R6" s="5" t="s">
        <v>128</v>
      </c>
      <c r="S6" s="4" t="s">
        <v>129</v>
      </c>
      <c r="T6" s="5" t="s">
        <v>130</v>
      </c>
      <c r="U6" s="4" t="s">
        <v>131</v>
      </c>
      <c r="V6" s="5" t="s">
        <v>72</v>
      </c>
      <c r="W6" s="4" t="s">
        <v>73</v>
      </c>
      <c r="X6" s="4" t="s">
        <v>74</v>
      </c>
      <c r="Y6" s="5"/>
      <c r="Z6" s="4" t="s">
        <v>132</v>
      </c>
      <c r="AA6" s="6" t="n">
        <v>515000</v>
      </c>
      <c r="AB6" s="6" t="n">
        <v>515000</v>
      </c>
      <c r="AC6" s="6" t="n">
        <v>0</v>
      </c>
      <c r="AD6" s="6" t="n">
        <v>0</v>
      </c>
      <c r="AE6" s="4" t="s">
        <v>133</v>
      </c>
      <c r="AF6" s="5" t="s">
        <v>134</v>
      </c>
      <c r="AG6" s="4" t="s">
        <v>115</v>
      </c>
      <c r="AH6" s="4" t="s">
        <v>115</v>
      </c>
      <c r="AI6" s="5" t="s">
        <v>115</v>
      </c>
      <c r="AJ6" s="1" t="n">
        <v>0</v>
      </c>
      <c r="AK6" s="11" t="n">
        <v>0</v>
      </c>
      <c r="AL6" s="12" t="s">
        <v>135</v>
      </c>
      <c r="AM6" s="13" t="str">
        <f>IF(AL6="","",AL6&amp;" - "&amp;IFERROR(VLOOKUP(AL6,CODEBOOK_CAP!$C$2:$D$212,2,FALSE),""))</f>
        <v>1002 - CARROS, TRÂNSITO, CONSTRUÇÃO E MANUTENÇÃO DE RUAS E ESTRADAS</v>
      </c>
      <c r="AN6" s="13" t="str">
        <f>IF(AL6="","",IFERROR(VLOOKUP(AL6,CODEBOOK_CAP!$C$2:$E$212,3,FALSE),""))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6" s="11" t="n">
        <v>1</v>
      </c>
      <c r="AP6" s="11" t="s">
        <v>136</v>
      </c>
      <c r="AQ6" s="11" t="n">
        <v>0</v>
      </c>
      <c r="AR6" s="11" t="n">
        <v>0</v>
      </c>
      <c r="AS6" s="11"/>
      <c r="AT6" s="11" t="n">
        <v>0</v>
      </c>
      <c r="AU6" s="11"/>
      <c r="AV6" s="11" t="n">
        <v>1</v>
      </c>
      <c r="AW6" s="11" t="s">
        <v>133</v>
      </c>
      <c r="AX6" s="7" t="s">
        <v>84</v>
      </c>
      <c r="AY6" s="7"/>
      <c r="AZ6" s="7"/>
      <c r="BA6" s="7"/>
    </row>
    <row r="7">
      <c r="A7" s="14" t="s">
        <v>137</v>
      </c>
      <c r="B7" s="14" t="n">
        <v>2022</v>
      </c>
      <c r="C7" s="14" t="n">
        <v>4279</v>
      </c>
      <c r="D7" s="14" t="s">
        <v>54</v>
      </c>
      <c r="E7" s="14" t="s">
        <v>55</v>
      </c>
      <c r="F7" s="15" t="s">
        <v>138</v>
      </c>
      <c r="G7" s="14" t="s">
        <v>139</v>
      </c>
      <c r="H7" s="14" t="s">
        <v>58</v>
      </c>
      <c r="I7" s="14" t="s">
        <v>59</v>
      </c>
      <c r="J7" s="14" t="s">
        <v>115</v>
      </c>
      <c r="K7" s="14" t="s">
        <v>115</v>
      </c>
      <c r="L7" s="15"/>
      <c r="M7" s="14"/>
      <c r="N7" s="15"/>
      <c r="O7" s="14"/>
      <c r="P7" s="15"/>
      <c r="Q7" s="14"/>
      <c r="R7" s="15"/>
      <c r="S7" s="14"/>
      <c r="T7" s="15"/>
      <c r="U7" s="14"/>
      <c r="V7" s="15"/>
      <c r="W7" s="14"/>
      <c r="X7" s="14"/>
      <c r="Y7" s="15"/>
      <c r="Z7" s="14" t="s">
        <v>139</v>
      </c>
      <c r="AA7" s="16" t="n">
        <v>85000</v>
      </c>
      <c r="AB7" s="16"/>
      <c r="AC7" s="16"/>
      <c r="AD7" s="16"/>
      <c r="AE7" s="14" t="s">
        <v>115</v>
      </c>
      <c r="AF7" s="15" t="s">
        <v>115</v>
      </c>
      <c r="AG7" s="14" t="s">
        <v>115</v>
      </c>
      <c r="AH7" s="14" t="s">
        <v>115</v>
      </c>
      <c r="AI7" s="15" t="s">
        <v>115</v>
      </c>
      <c r="AJ7" s="17"/>
      <c r="AK7" s="17"/>
      <c r="AL7" s="18"/>
      <c r="AM7" s="17" t="str">
        <f>IF(AL7="","",AL7&amp;" - "&amp;IFERROR(VLOOKUP(AL7,CODEBOOK_CAP!$C$2:$D$212,2,FALSE),""))</f>
      </c>
      <c r="AN7" s="17" t="str">
        <f>IF(AL7="","",IFERROR(VLOOKUP(AL7,CODEBOOK_CAP!$C$2:$E$212,3,FALSE),""))</f>
      </c>
      <c r="AO7" s="17"/>
      <c r="AP7" s="17"/>
      <c r="AQ7" s="17"/>
      <c r="AR7" s="17"/>
      <c r="AS7" s="17"/>
      <c r="AT7" s="17"/>
      <c r="AU7" s="17"/>
      <c r="AV7" s="17"/>
      <c r="AW7" s="17"/>
      <c r="AX7" s="14" t="s">
        <v>84</v>
      </c>
      <c r="AY7" s="14"/>
      <c r="AZ7" s="14"/>
      <c r="BA7" s="14"/>
    </row>
    <row r="8">
      <c r="A8" s="14" t="s">
        <v>140</v>
      </c>
      <c r="B8" s="14" t="n">
        <v>2022</v>
      </c>
      <c r="C8" s="14" t="n">
        <v>4280</v>
      </c>
      <c r="D8" s="14" t="s">
        <v>54</v>
      </c>
      <c r="E8" s="14" t="s">
        <v>55</v>
      </c>
      <c r="F8" s="15" t="s">
        <v>141</v>
      </c>
      <c r="G8" s="14" t="s">
        <v>139</v>
      </c>
      <c r="H8" s="14" t="s">
        <v>58</v>
      </c>
      <c r="I8" s="14" t="s">
        <v>59</v>
      </c>
      <c r="J8" s="14" t="s">
        <v>115</v>
      </c>
      <c r="K8" s="14" t="s">
        <v>115</v>
      </c>
      <c r="L8" s="15"/>
      <c r="M8" s="14"/>
      <c r="N8" s="15"/>
      <c r="O8" s="14"/>
      <c r="P8" s="15"/>
      <c r="Q8" s="14"/>
      <c r="R8" s="15"/>
      <c r="S8" s="14"/>
      <c r="T8" s="15"/>
      <c r="U8" s="14"/>
      <c r="V8" s="15"/>
      <c r="W8" s="14"/>
      <c r="X8" s="14"/>
      <c r="Y8" s="15"/>
      <c r="Z8" s="14" t="s">
        <v>139</v>
      </c>
      <c r="AA8" s="16" t="n">
        <v>175000</v>
      </c>
      <c r="AB8" s="16"/>
      <c r="AC8" s="16"/>
      <c r="AD8" s="16"/>
      <c r="AE8" s="14" t="s">
        <v>115</v>
      </c>
      <c r="AF8" s="15" t="s">
        <v>115</v>
      </c>
      <c r="AG8" s="14" t="s">
        <v>115</v>
      </c>
      <c r="AH8" s="14" t="s">
        <v>115</v>
      </c>
      <c r="AI8" s="15" t="s">
        <v>115</v>
      </c>
      <c r="AJ8" s="17"/>
      <c r="AK8" s="17"/>
      <c r="AL8" s="18"/>
      <c r="AM8" s="17" t="str">
        <f>IF(AL8="","",AL8&amp;" - "&amp;IFERROR(VLOOKUP(AL8,CODEBOOK_CAP!$C$2:$D$212,2,FALSE),""))</f>
      </c>
      <c r="AN8" s="17" t="str">
        <f>IF(AL8="","",IFERROR(VLOOKUP(AL8,CODEBOOK_CAP!$C$2:$E$212,3,FALSE),""))</f>
      </c>
      <c r="AO8" s="17"/>
      <c r="AP8" s="17"/>
      <c r="AQ8" s="17"/>
      <c r="AR8" s="17"/>
      <c r="AS8" s="17"/>
      <c r="AT8" s="17"/>
      <c r="AU8" s="17"/>
      <c r="AV8" s="17"/>
      <c r="AW8" s="17"/>
      <c r="AX8" s="14" t="s">
        <v>84</v>
      </c>
      <c r="AY8" s="14"/>
      <c r="AZ8" s="14"/>
      <c r="BA8" s="14"/>
    </row>
    <row r="9" ht="171" customHeight="1">
      <c r="A9" s="4" t="s">
        <v>142</v>
      </c>
      <c r="B9" s="4" t="n">
        <v>2022</v>
      </c>
      <c r="C9" s="4" t="n">
        <v>4281</v>
      </c>
      <c r="D9" s="4" t="s">
        <v>54</v>
      </c>
      <c r="E9" s="4" t="s">
        <v>55</v>
      </c>
      <c r="F9" s="5" t="s">
        <v>143</v>
      </c>
      <c r="G9" s="4" t="s">
        <v>139</v>
      </c>
      <c r="H9" s="4" t="s">
        <v>58</v>
      </c>
      <c r="I9" s="4" t="s">
        <v>59</v>
      </c>
      <c r="J9" s="4" t="s">
        <v>144</v>
      </c>
      <c r="K9" s="4" t="s">
        <v>115</v>
      </c>
      <c r="L9" s="5"/>
      <c r="M9" s="4"/>
      <c r="N9" s="5"/>
      <c r="O9" s="4"/>
      <c r="P9" s="5"/>
      <c r="Q9" s="4"/>
      <c r="R9" s="5"/>
      <c r="S9" s="4"/>
      <c r="T9" s="5"/>
      <c r="U9" s="4"/>
      <c r="V9" s="5"/>
      <c r="W9" s="4"/>
      <c r="X9" s="4"/>
      <c r="Y9" s="5"/>
      <c r="Z9" s="4" t="s">
        <v>139</v>
      </c>
      <c r="AA9" s="6" t="n">
        <v>85000</v>
      </c>
      <c r="AB9" s="6"/>
      <c r="AC9" s="6"/>
      <c r="AD9" s="6"/>
      <c r="AE9" s="4" t="s">
        <v>115</v>
      </c>
      <c r="AF9" s="5" t="s">
        <v>115</v>
      </c>
      <c r="AG9" s="4" t="s">
        <v>115</v>
      </c>
      <c r="AH9" s="4" t="s">
        <v>115</v>
      </c>
      <c r="AI9" s="5" t="s">
        <v>115</v>
      </c>
      <c r="AJ9" s="1"/>
      <c r="AK9" s="11" t="n">
        <v>0</v>
      </c>
      <c r="AL9" s="12" t="s">
        <v>135</v>
      </c>
      <c r="AM9" s="13" t="str">
        <f>IF(AL9="","",AL9&amp;" - "&amp;IFERROR(VLOOKUP(AL9,CODEBOOK_CAP!$C$2:$D$212,2,FALSE),""))</f>
        <v>1002 - CARROS, TRÂNSITO, CONSTRUÇÃO E MANUTENÇÃO DE RUAS E ESTRADAS</v>
      </c>
      <c r="AN9" s="13" t="str">
        <f>IF(AL9="","",IFERROR(VLOOKUP(AL9,CODEBOOK_CAP!$C$2:$E$212,3,FALSE),""))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9" s="11" t="n">
        <v>1</v>
      </c>
      <c r="AP9" s="11" t="s">
        <v>145</v>
      </c>
      <c r="AQ9" s="11" t="n">
        <v>1</v>
      </c>
      <c r="AR9" s="11" t="n">
        <v>1</v>
      </c>
      <c r="AS9" s="11" t="s">
        <v>145</v>
      </c>
      <c r="AT9" s="11" t="n">
        <v>0</v>
      </c>
      <c r="AU9" s="11"/>
      <c r="AV9" s="11"/>
      <c r="AW9" s="11"/>
      <c r="AX9" s="7" t="s">
        <v>84</v>
      </c>
      <c r="AY9" s="7"/>
      <c r="AZ9" s="7"/>
      <c r="BA9" s="7"/>
    </row>
    <row r="10" ht="171" customHeight="1">
      <c r="A10" s="4" t="s">
        <v>146</v>
      </c>
      <c r="B10" s="4" t="n">
        <v>2022</v>
      </c>
      <c r="C10" s="4" t="n">
        <v>4282</v>
      </c>
      <c r="D10" s="4" t="s">
        <v>54</v>
      </c>
      <c r="E10" s="4" t="s">
        <v>55</v>
      </c>
      <c r="F10" s="5" t="s">
        <v>147</v>
      </c>
      <c r="G10" s="4" t="s">
        <v>139</v>
      </c>
      <c r="H10" s="4" t="s">
        <v>58</v>
      </c>
      <c r="I10" s="4" t="s">
        <v>59</v>
      </c>
      <c r="J10" s="4" t="s">
        <v>148</v>
      </c>
      <c r="K10" s="4" t="s">
        <v>115</v>
      </c>
      <c r="L10" s="5"/>
      <c r="M10" s="4"/>
      <c r="N10" s="5"/>
      <c r="O10" s="4"/>
      <c r="P10" s="5"/>
      <c r="Q10" s="4"/>
      <c r="R10" s="5"/>
      <c r="S10" s="4"/>
      <c r="T10" s="5"/>
      <c r="U10" s="4"/>
      <c r="V10" s="5"/>
      <c r="W10" s="4"/>
      <c r="X10" s="4"/>
      <c r="Y10" s="5"/>
      <c r="Z10" s="4" t="s">
        <v>139</v>
      </c>
      <c r="AA10" s="6" t="n">
        <v>85000</v>
      </c>
      <c r="AB10" s="6"/>
      <c r="AC10" s="6"/>
      <c r="AD10" s="6"/>
      <c r="AE10" s="4" t="s">
        <v>115</v>
      </c>
      <c r="AF10" s="5" t="s">
        <v>115</v>
      </c>
      <c r="AG10" s="4" t="s">
        <v>115</v>
      </c>
      <c r="AH10" s="4" t="s">
        <v>115</v>
      </c>
      <c r="AI10" s="5" t="s">
        <v>115</v>
      </c>
      <c r="AJ10" s="1"/>
      <c r="AK10" s="11" t="n">
        <v>0</v>
      </c>
      <c r="AL10" s="12" t="s">
        <v>135</v>
      </c>
      <c r="AM10" s="13" t="str">
        <f>IF(AL10="","",AL10&amp;" - "&amp;IFERROR(VLOOKUP(AL10,CODEBOOK_CAP!$C$2:$D$212,2,FALSE),""))</f>
        <v>1002 - CARROS, TRÂNSITO, CONSTRUÇÃO E MANUTENÇÃO DE RUAS E ESTRADAS</v>
      </c>
      <c r="AN10" s="13" t="str">
        <f>IF(AL10="","",IFERROR(VLOOKUP(AL10,CODEBOOK_CAP!$C$2:$E$212,3,FALSE),""))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10" s="11" t="n">
        <v>1</v>
      </c>
      <c r="AP10" s="11" t="s">
        <v>149</v>
      </c>
      <c r="AQ10" s="11" t="n">
        <v>1</v>
      </c>
      <c r="AR10" s="11" t="n">
        <v>1</v>
      </c>
      <c r="AS10" s="11" t="s">
        <v>149</v>
      </c>
      <c r="AT10" s="11" t="n">
        <v>0</v>
      </c>
      <c r="AU10" s="11"/>
      <c r="AV10" s="11"/>
      <c r="AW10" s="11"/>
      <c r="AX10" s="7" t="s">
        <v>84</v>
      </c>
      <c r="AY10" s="7"/>
      <c r="AZ10" s="7"/>
      <c r="BA10" s="7"/>
    </row>
    <row r="11" ht="57" customHeight="1">
      <c r="A11" s="4" t="s">
        <v>150</v>
      </c>
      <c r="B11" s="4" t="n">
        <v>2022</v>
      </c>
      <c r="C11" s="4" t="n">
        <v>4283</v>
      </c>
      <c r="D11" s="4" t="s">
        <v>54</v>
      </c>
      <c r="E11" s="4" t="s">
        <v>55</v>
      </c>
      <c r="F11" s="5" t="s">
        <v>151</v>
      </c>
      <c r="G11" s="4" t="s">
        <v>57</v>
      </c>
      <c r="H11" s="4" t="s">
        <v>58</v>
      </c>
      <c r="I11" s="4" t="s">
        <v>59</v>
      </c>
      <c r="J11" s="4" t="s">
        <v>152</v>
      </c>
      <c r="K11" s="4" t="s">
        <v>153</v>
      </c>
      <c r="L11" s="5" t="s">
        <v>154</v>
      </c>
      <c r="M11" s="4" t="s">
        <v>155</v>
      </c>
      <c r="N11" s="5" t="s">
        <v>156</v>
      </c>
      <c r="O11" s="4" t="s">
        <v>157</v>
      </c>
      <c r="P11" s="5" t="s">
        <v>158</v>
      </c>
      <c r="Q11" s="4" t="s">
        <v>159</v>
      </c>
      <c r="R11" s="5" t="s">
        <v>160</v>
      </c>
      <c r="S11" s="4" t="s">
        <v>161</v>
      </c>
      <c r="T11" s="5" t="s">
        <v>162</v>
      </c>
      <c r="U11" s="4" t="s">
        <v>163</v>
      </c>
      <c r="V11" s="5" t="s">
        <v>104</v>
      </c>
      <c r="W11" s="4" t="s">
        <v>105</v>
      </c>
      <c r="X11" s="4" t="s">
        <v>106</v>
      </c>
      <c r="Y11" s="5"/>
      <c r="Z11" s="4" t="s">
        <v>164</v>
      </c>
      <c r="AA11" s="6" t="n">
        <v>129000</v>
      </c>
      <c r="AB11" s="6" t="n">
        <v>129000</v>
      </c>
      <c r="AC11" s="6" t="n">
        <v>129000</v>
      </c>
      <c r="AD11" s="6" t="n">
        <v>129000</v>
      </c>
      <c r="AE11" s="4" t="s">
        <v>165</v>
      </c>
      <c r="AF11" s="5" t="s">
        <v>166</v>
      </c>
      <c r="AG11" s="4" t="s">
        <v>78</v>
      </c>
      <c r="AH11" s="4" t="s">
        <v>79</v>
      </c>
      <c r="AI11" s="5" t="s">
        <v>80</v>
      </c>
      <c r="AJ11" s="1" t="n">
        <v>0</v>
      </c>
      <c r="AK11" s="11" t="n">
        <v>0</v>
      </c>
      <c r="AL11" s="12" t="s">
        <v>167</v>
      </c>
      <c r="AM11" s="13" t="str">
        <f>IF(AL11="","",AL11&amp;" - "&amp;IFERROR(VLOOKUP(AL11,CODEBOOK_CAP!$C$2:$D$212,2,FALSE),""))</f>
        <v>1524 - TURISMO</v>
      </c>
      <c r="AN11" s="13" t="str">
        <f>IF(AL11="","",IFERROR(VLOOKUP(AL11,CODEBOOK_CAP!$C$2:$E$212,3,FALSE),""))</f>
        <v>Assuntos que se relacionam com a política de desenvolvimento de turismo, cidades turisticas, obras turisticas, assuntos relacioandos a incentismo aos turismo, apoios setoriais para promocao de turismo, visto de turismo, promoção do turismo brasileiro.</v>
      </c>
      <c r="AO11" s="11" t="n">
        <v>0</v>
      </c>
      <c r="AP11" s="11"/>
      <c r="AQ11" s="11" t="n">
        <v>0</v>
      </c>
      <c r="AR11" s="11" t="n">
        <v>0</v>
      </c>
      <c r="AS11" s="11"/>
      <c r="AT11" s="11" t="n">
        <v>0</v>
      </c>
      <c r="AU11" s="11"/>
      <c r="AV11" s="11"/>
      <c r="AW11" s="11"/>
      <c r="AX11" s="7" t="s">
        <v>84</v>
      </c>
      <c r="AY11" s="7"/>
      <c r="AZ11" s="7"/>
      <c r="BA11" s="7"/>
    </row>
    <row r="12" ht="156.75" customHeight="1">
      <c r="A12" s="4" t="s">
        <v>168</v>
      </c>
      <c r="B12" s="4" t="n">
        <v>2022</v>
      </c>
      <c r="C12" s="4" t="n">
        <v>4548</v>
      </c>
      <c r="D12" s="4" t="s">
        <v>54</v>
      </c>
      <c r="E12" s="4" t="s">
        <v>169</v>
      </c>
      <c r="F12" s="5" t="s">
        <v>170</v>
      </c>
      <c r="G12" s="4" t="s">
        <v>57</v>
      </c>
      <c r="H12" s="4" t="s">
        <v>171</v>
      </c>
      <c r="I12" s="4" t="s">
        <v>172</v>
      </c>
      <c r="J12" s="4" t="s">
        <v>173</v>
      </c>
      <c r="K12" s="4" t="s">
        <v>174</v>
      </c>
      <c r="L12" s="5" t="s">
        <v>175</v>
      </c>
      <c r="M12" s="4" t="s">
        <v>176</v>
      </c>
      <c r="N12" s="5" t="s">
        <v>177</v>
      </c>
      <c r="O12" s="4" t="s">
        <v>178</v>
      </c>
      <c r="P12" s="5" t="s">
        <v>179</v>
      </c>
      <c r="Q12" s="4" t="s">
        <v>180</v>
      </c>
      <c r="R12" s="5" t="s">
        <v>181</v>
      </c>
      <c r="S12" s="4" t="s">
        <v>182</v>
      </c>
      <c r="T12" s="5" t="s">
        <v>183</v>
      </c>
      <c r="U12" s="4" t="s">
        <v>184</v>
      </c>
      <c r="V12" s="5" t="s">
        <v>104</v>
      </c>
      <c r="W12" s="4" t="s">
        <v>105</v>
      </c>
      <c r="X12" s="4" t="s">
        <v>106</v>
      </c>
      <c r="Y12" s="5"/>
      <c r="Z12" s="4" t="s">
        <v>185</v>
      </c>
      <c r="AA12" s="6" t="n">
        <v>300000</v>
      </c>
      <c r="AB12" s="6" t="n">
        <v>300000</v>
      </c>
      <c r="AC12" s="6" t="n">
        <v>300000</v>
      </c>
      <c r="AD12" s="6" t="n">
        <v>300000</v>
      </c>
      <c r="AE12" s="4" t="s">
        <v>186</v>
      </c>
      <c r="AF12" s="5" t="s">
        <v>187</v>
      </c>
      <c r="AG12" s="4" t="s">
        <v>78</v>
      </c>
      <c r="AH12" s="4" t="s">
        <v>79</v>
      </c>
      <c r="AI12" s="5" t="s">
        <v>80</v>
      </c>
      <c r="AJ12" s="1" t="n">
        <v>0</v>
      </c>
      <c r="AK12" s="11" t="n">
        <v>0</v>
      </c>
      <c r="AL12" s="12" t="s">
        <v>188</v>
      </c>
      <c r="AM12" s="13" t="str">
        <f>IF(AL12="","",AL12&amp;" - "&amp;IFERROR(VLOOKUP(AL12,CODEBOOK_CAP!$C$2:$D$212,2,FALSE),""))</f>
        <v>2300 - GERAL</v>
      </c>
      <c r="AN12" s="13" t="str">
        <f>IF(AL12="","",IFERROR(VLOOKUP(AL12,CODEBOOK_CAP!$C$2:$E$212,3,FALSE),""))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2" s="11" t="n">
        <v>0</v>
      </c>
      <c r="AP12" s="11"/>
      <c r="AQ12" s="11" t="n">
        <v>0</v>
      </c>
      <c r="AR12" s="11" t="n">
        <v>0</v>
      </c>
      <c r="AS12" s="11"/>
      <c r="AT12" s="11" t="n">
        <v>0</v>
      </c>
      <c r="AU12" s="11"/>
      <c r="AV12" s="11"/>
      <c r="AW12" s="11"/>
      <c r="AX12" s="7" t="s">
        <v>84</v>
      </c>
      <c r="AY12" s="7"/>
      <c r="AZ12" s="7"/>
      <c r="BA12" s="7"/>
      <c r="BB12" s="3" t="s">
        <v>6563</v>
      </c>
    </row>
    <row r="13" ht="256.5" customHeight="1">
      <c r="A13" s="4" t="s">
        <v>189</v>
      </c>
      <c r="B13" s="4" t="n">
        <v>2022</v>
      </c>
      <c r="C13" s="4" t="n">
        <v>4573</v>
      </c>
      <c r="D13" s="4" t="s">
        <v>54</v>
      </c>
      <c r="E13" s="4" t="s">
        <v>169</v>
      </c>
      <c r="F13" s="5" t="s">
        <v>190</v>
      </c>
      <c r="G13" s="4" t="s">
        <v>57</v>
      </c>
      <c r="H13" s="4" t="s">
        <v>171</v>
      </c>
      <c r="I13" s="4" t="s">
        <v>172</v>
      </c>
      <c r="J13" s="4" t="s">
        <v>191</v>
      </c>
      <c r="K13" s="4" t="s">
        <v>192</v>
      </c>
      <c r="L13" s="5" t="s">
        <v>62</v>
      </c>
      <c r="M13" s="4" t="s">
        <v>63</v>
      </c>
      <c r="N13" s="5" t="s">
        <v>64</v>
      </c>
      <c r="O13" s="4" t="s">
        <v>65</v>
      </c>
      <c r="P13" s="5" t="s">
        <v>193</v>
      </c>
      <c r="Q13" s="4" t="s">
        <v>194</v>
      </c>
      <c r="R13" s="5" t="s">
        <v>195</v>
      </c>
      <c r="S13" s="4" t="s">
        <v>196</v>
      </c>
      <c r="T13" s="5" t="s">
        <v>197</v>
      </c>
      <c r="U13" s="4" t="s">
        <v>198</v>
      </c>
      <c r="V13" s="5" t="s">
        <v>104</v>
      </c>
      <c r="W13" s="4" t="s">
        <v>105</v>
      </c>
      <c r="X13" s="4" t="s">
        <v>106</v>
      </c>
      <c r="Y13" s="5"/>
      <c r="Z13" s="4" t="s">
        <v>75</v>
      </c>
      <c r="AA13" s="6" t="n">
        <v>1064319</v>
      </c>
      <c r="AB13" s="6" t="n">
        <v>1064319</v>
      </c>
      <c r="AC13" s="6" t="n">
        <v>1064319</v>
      </c>
      <c r="AD13" s="6" t="n">
        <v>1064319</v>
      </c>
      <c r="AE13" s="4" t="s">
        <v>199</v>
      </c>
      <c r="AF13" s="5" t="s">
        <v>200</v>
      </c>
      <c r="AG13" s="4" t="s">
        <v>78</v>
      </c>
      <c r="AH13" s="4" t="s">
        <v>79</v>
      </c>
      <c r="AI13" s="5" t="s">
        <v>80</v>
      </c>
      <c r="AJ13" s="1" t="n">
        <v>1</v>
      </c>
      <c r="AK13" s="11" t="n">
        <v>1</v>
      </c>
      <c r="AL13" s="12" t="s">
        <v>201</v>
      </c>
      <c r="AM13" s="13" t="str">
        <f>IF(AL13="","",AL13&amp;" - "&amp;IFERROR(VLOOKUP(AL13,CODEBOOK_CAP!$C$2:$D$212,2,FALSE),""))</f>
        <v>0333 - SAÚDE MENTAL</v>
      </c>
      <c r="AN13" s="13" t="str">
        <f>IF(AL13="","",IFERROR(VLOOKUP(AL13,CODEBOOK_CAP!$C$2:$E$212,3,FALSE),""))</f>
        <v>Serviços de atendimento a saúde mental e psico-social. CAPS, Controle de qualidade mental, esquizofrenia, bipolaridade, transtornos mentais, ansiedade, alucinançao, depressão, suicídio, CVV, atendimento psicológico e psiquiátrico, sanatório, manicomio. Não confundir com dependências de alcool (342) e drogas (343)</v>
      </c>
      <c r="AO13" s="11" t="n">
        <v>0</v>
      </c>
      <c r="AP13" s="11"/>
      <c r="AQ13" s="11" t="n">
        <v>0</v>
      </c>
      <c r="AR13" s="11" t="n">
        <v>0</v>
      </c>
      <c r="AS13" s="11"/>
      <c r="AT13" s="11" t="n">
        <v>0</v>
      </c>
      <c r="AU13" s="11"/>
      <c r="AV13" s="11"/>
      <c r="AW13" s="11"/>
      <c r="AX13" s="7" t="s">
        <v>84</v>
      </c>
      <c r="AY13" s="7"/>
      <c r="AZ13" s="7"/>
      <c r="BA13" s="7"/>
    </row>
    <row r="14" ht="142.5" customHeight="1">
      <c r="A14" s="4" t="s">
        <v>202</v>
      </c>
      <c r="B14" s="4" t="n">
        <v>2022</v>
      </c>
      <c r="C14" s="4" t="n">
        <v>4612</v>
      </c>
      <c r="D14" s="4" t="s">
        <v>54</v>
      </c>
      <c r="E14" s="4" t="s">
        <v>169</v>
      </c>
      <c r="F14" s="5" t="s">
        <v>203</v>
      </c>
      <c r="G14" s="4" t="s">
        <v>57</v>
      </c>
      <c r="H14" s="4" t="s">
        <v>171</v>
      </c>
      <c r="I14" s="4" t="s">
        <v>172</v>
      </c>
      <c r="J14" s="4" t="s">
        <v>204</v>
      </c>
      <c r="K14" s="4" t="s">
        <v>205</v>
      </c>
      <c r="L14" s="5" t="s">
        <v>206</v>
      </c>
      <c r="M14" s="4" t="s">
        <v>207</v>
      </c>
      <c r="N14" s="5" t="s">
        <v>208</v>
      </c>
      <c r="O14" s="4" t="s">
        <v>209</v>
      </c>
      <c r="P14" s="5" t="s">
        <v>210</v>
      </c>
      <c r="Q14" s="4" t="s">
        <v>211</v>
      </c>
      <c r="R14" s="5" t="s">
        <v>212</v>
      </c>
      <c r="S14" s="4" t="s">
        <v>213</v>
      </c>
      <c r="T14" s="5" t="s">
        <v>214</v>
      </c>
      <c r="U14" s="4" t="s">
        <v>215</v>
      </c>
      <c r="V14" s="5" t="s">
        <v>104</v>
      </c>
      <c r="W14" s="4" t="s">
        <v>105</v>
      </c>
      <c r="X14" s="4" t="s">
        <v>106</v>
      </c>
      <c r="Y14" s="5"/>
      <c r="Z14" s="4" t="s">
        <v>107</v>
      </c>
      <c r="AA14" s="6" t="n">
        <v>200000</v>
      </c>
      <c r="AB14" s="6" t="n">
        <v>200000</v>
      </c>
      <c r="AC14" s="6" t="n">
        <v>200000</v>
      </c>
      <c r="AD14" s="6" t="n">
        <v>200000</v>
      </c>
      <c r="AE14" s="4" t="s">
        <v>216</v>
      </c>
      <c r="AF14" s="5" t="s">
        <v>217</v>
      </c>
      <c r="AG14" s="4" t="s">
        <v>78</v>
      </c>
      <c r="AH14" s="4" t="s">
        <v>79</v>
      </c>
      <c r="AI14" s="5" t="s">
        <v>80</v>
      </c>
      <c r="AJ14" s="1" t="n">
        <v>0</v>
      </c>
      <c r="AK14" s="11" t="n">
        <v>0</v>
      </c>
      <c r="AL14" s="12" t="s">
        <v>218</v>
      </c>
      <c r="AM14" s="13" t="str">
        <f>IF(AL14="","",AL14&amp;" - "&amp;IFERROR(VLOOKUP(AL14,CODEBOOK_CAP!$C$2:$D$212,2,FALSE),""))</f>
        <v>2102 - POPULAÇÕES TRADICIONAIS BRASILEIRAS - INDÍGENAS, QUILOMBOLAS, RIBEIRINHOS, SERINGUEIROS, CAIÇARAS</v>
      </c>
      <c r="AN14" s="13" t="str">
        <f>IF(AL14="","",IFERROR(VLOOKUP(AL14,CODEBOOK_CAP!$C$2:$E$212,3,FALSE),""))</f>
        <v>Todos os temas, de todas as políticas setoriais que envolvam populações tradicionais nativas brasileiras. Temas relacionados ao uso da terra por populações nativas como uso de terra por indígenas e reservas indígenas, quilombolas e populações ribeirinhas. Saude, educacao, assistencia, terras. Populações Nativas não se codifica em política setoria, mas sim aqui!</v>
      </c>
      <c r="AO14" s="11" t="n">
        <v>1</v>
      </c>
      <c r="AP14" s="11" t="s">
        <v>219</v>
      </c>
      <c r="AQ14" s="11" t="n">
        <v>5</v>
      </c>
      <c r="AR14" s="11" t="n">
        <v>1</v>
      </c>
      <c r="AS14" s="11" t="s">
        <v>219</v>
      </c>
      <c r="AT14" s="11" t="n">
        <v>1</v>
      </c>
      <c r="AU14" s="11" t="s">
        <v>220</v>
      </c>
      <c r="AV14" s="11"/>
      <c r="AW14" s="11"/>
      <c r="AX14" s="7" t="s">
        <v>84</v>
      </c>
      <c r="AY14" s="7"/>
      <c r="AZ14" s="7"/>
      <c r="BA14" s="7"/>
    </row>
    <row r="15" ht="114" customHeight="1">
      <c r="A15" s="4" t="s">
        <v>221</v>
      </c>
      <c r="B15" s="4" t="n">
        <v>2022</v>
      </c>
      <c r="C15" s="4" t="n">
        <v>4617</v>
      </c>
      <c r="D15" s="4" t="s">
        <v>54</v>
      </c>
      <c r="E15" s="4" t="s">
        <v>169</v>
      </c>
      <c r="F15" s="5" t="s">
        <v>222</v>
      </c>
      <c r="G15" s="4" t="s">
        <v>57</v>
      </c>
      <c r="H15" s="4" t="s">
        <v>171</v>
      </c>
      <c r="I15" s="4" t="s">
        <v>172</v>
      </c>
      <c r="J15" s="4" t="s">
        <v>223</v>
      </c>
      <c r="K15" s="4" t="s">
        <v>224</v>
      </c>
      <c r="L15" s="5" t="s">
        <v>225</v>
      </c>
      <c r="M15" s="4" t="s">
        <v>226</v>
      </c>
      <c r="N15" s="5" t="s">
        <v>227</v>
      </c>
      <c r="O15" s="4" t="s">
        <v>228</v>
      </c>
      <c r="P15" s="5" t="s">
        <v>229</v>
      </c>
      <c r="Q15" s="4" t="s">
        <v>230</v>
      </c>
      <c r="R15" s="5" t="s">
        <v>231</v>
      </c>
      <c r="S15" s="4" t="s">
        <v>232</v>
      </c>
      <c r="T15" s="5" t="s">
        <v>233</v>
      </c>
      <c r="U15" s="4" t="s">
        <v>234</v>
      </c>
      <c r="V15" s="5" t="s">
        <v>104</v>
      </c>
      <c r="W15" s="4" t="s">
        <v>105</v>
      </c>
      <c r="X15" s="4" t="s">
        <v>106</v>
      </c>
      <c r="Y15" s="5"/>
      <c r="Z15" s="4" t="s">
        <v>235</v>
      </c>
      <c r="AA15" s="6" t="n">
        <v>500000</v>
      </c>
      <c r="AB15" s="6" t="n">
        <v>0</v>
      </c>
      <c r="AC15" s="6" t="n">
        <v>0</v>
      </c>
      <c r="AD15" s="6" t="n">
        <v>0</v>
      </c>
      <c r="AE15" s="4"/>
      <c r="AF15" s="5"/>
      <c r="AG15" s="4" t="s">
        <v>78</v>
      </c>
      <c r="AH15" s="4" t="s">
        <v>79</v>
      </c>
      <c r="AI15" s="5" t="s">
        <v>80</v>
      </c>
      <c r="AJ15" s="1" t="n">
        <v>0</v>
      </c>
      <c r="AK15" s="11" t="n">
        <v>0</v>
      </c>
      <c r="AL15" s="12" t="s">
        <v>218</v>
      </c>
      <c r="AM15" s="13" t="str">
        <f>IF(AL15="","",AL15&amp;" - "&amp;IFERROR(VLOOKUP(AL15,CODEBOOK_CAP!$C$2:$D$212,2,FALSE),""))</f>
        <v>2102 - POPULAÇÕES TRADICIONAIS BRASILEIRAS - INDÍGENAS, QUILOMBOLAS, RIBEIRINHOS, SERINGUEIROS, CAIÇARAS</v>
      </c>
      <c r="AN15" s="13" t="str">
        <f>IF(AL15="","",IFERROR(VLOOKUP(AL15,CODEBOOK_CAP!$C$2:$E$212,3,FALSE),""))</f>
        <v>Todos os temas, de todas as políticas setoriais que envolvam populações tradicionais nativas brasileiras. Temas relacionados ao uso da terra por populações nativas como uso de terra por indígenas e reservas indígenas, quilombolas e populações ribeirinhas. Saude, educacao, assistencia, terras. Populações Nativas não se codifica em política setoria, mas sim aqui!</v>
      </c>
      <c r="AO15" s="11" t="n">
        <v>0</v>
      </c>
      <c r="AP15" s="11"/>
      <c r="AQ15" s="11" t="n">
        <v>0</v>
      </c>
      <c r="AR15" s="11" t="n">
        <v>0</v>
      </c>
      <c r="AS15" s="11"/>
      <c r="AT15" s="11" t="n">
        <v>1</v>
      </c>
      <c r="AU15" s="11" t="s">
        <v>220</v>
      </c>
      <c r="AV15" s="11"/>
      <c r="AW15" s="11"/>
      <c r="AX15" s="7" t="s">
        <v>84</v>
      </c>
      <c r="AY15" s="7"/>
      <c r="AZ15" s="7"/>
      <c r="BA15" s="7"/>
    </row>
    <row r="16" ht="99.75" customHeight="1">
      <c r="A16" s="4" t="s">
        <v>236</v>
      </c>
      <c r="B16" s="4" t="n">
        <v>2022</v>
      </c>
      <c r="C16" s="4" t="n">
        <v>4663</v>
      </c>
      <c r="D16" s="4" t="s">
        <v>54</v>
      </c>
      <c r="E16" s="4" t="s">
        <v>169</v>
      </c>
      <c r="F16" s="5" t="s">
        <v>237</v>
      </c>
      <c r="G16" s="4" t="s">
        <v>57</v>
      </c>
      <c r="H16" s="4" t="s">
        <v>171</v>
      </c>
      <c r="I16" s="4" t="s">
        <v>172</v>
      </c>
      <c r="J16" s="4" t="s">
        <v>238</v>
      </c>
      <c r="K16" s="4" t="s">
        <v>239</v>
      </c>
      <c r="L16" s="5" t="s">
        <v>240</v>
      </c>
      <c r="M16" s="4" t="s">
        <v>241</v>
      </c>
      <c r="N16" s="5" t="s">
        <v>242</v>
      </c>
      <c r="O16" s="4" t="s">
        <v>243</v>
      </c>
      <c r="P16" s="5" t="s">
        <v>244</v>
      </c>
      <c r="Q16" s="4" t="s">
        <v>245</v>
      </c>
      <c r="R16" s="5" t="s">
        <v>246</v>
      </c>
      <c r="S16" s="4" t="s">
        <v>247</v>
      </c>
      <c r="T16" s="5" t="s">
        <v>248</v>
      </c>
      <c r="U16" s="4" t="s">
        <v>249</v>
      </c>
      <c r="V16" s="5" t="s">
        <v>104</v>
      </c>
      <c r="W16" s="4" t="s">
        <v>105</v>
      </c>
      <c r="X16" s="4" t="s">
        <v>106</v>
      </c>
      <c r="Y16" s="5"/>
      <c r="Z16" s="4" t="s">
        <v>107</v>
      </c>
      <c r="AA16" s="6" t="n">
        <v>100000</v>
      </c>
      <c r="AB16" s="6" t="n">
        <v>40000</v>
      </c>
      <c r="AC16" s="6" t="n">
        <v>40000</v>
      </c>
      <c r="AD16" s="6" t="n">
        <v>40000</v>
      </c>
      <c r="AE16" s="4" t="s">
        <v>250</v>
      </c>
      <c r="AF16" s="5" t="s">
        <v>251</v>
      </c>
      <c r="AG16" s="4" t="s">
        <v>78</v>
      </c>
      <c r="AH16" s="4" t="s">
        <v>79</v>
      </c>
      <c r="AI16" s="5" t="s">
        <v>80</v>
      </c>
      <c r="AJ16" s="1" t="n">
        <v>0</v>
      </c>
      <c r="AK16" s="11" t="n">
        <v>0</v>
      </c>
      <c r="AL16" s="12" t="s">
        <v>252</v>
      </c>
      <c r="AM16" s="13" t="str">
        <f>IF(AL16="","",AL16&amp;" - "&amp;IFERROR(VLOOKUP(AL16,CODEBOOK_CAP!$C$2:$D$212,2,FALSE),""))</f>
        <v>0202 - DISCRIMINAÇÃO POR GÊNERO OU ORIENTAÇÃO SEXUAL (MISOGINIA E HOMOFOBIA)</v>
      </c>
      <c r="AN16" s="13" t="str">
        <f>IF(AL16="","",IFERROR(VLOOKUP(AL16,CODEBOOK_CAP!$C$2:$E$212,3,FALSE),""))</f>
        <v>Políticas de promoção de igualdade de gênero e de igualdade de relações sociais relacionadas a gênero e orientação sexual. Misoginia, Homofobia, ataques homofóbicos, casamento homoafetivo, igualdade salarial para mulheres, igualdade de trabalho para mulheres, feminismo, Parada LGBT, LGBTQI, transexuais, homossexuais, bissexuais, travestis, relações de gênero com emprego ( tipos de posições, renda, promoção , salário) . VIOLÊNCIA DOMESTICA contra mulheres deve ser codificado em 1208</v>
      </c>
      <c r="AO16" s="11" t="n">
        <v>0</v>
      </c>
      <c r="AP16" s="11"/>
      <c r="AQ16" s="11" t="n">
        <v>0</v>
      </c>
      <c r="AR16" s="11" t="n">
        <v>0</v>
      </c>
      <c r="AS16" s="11"/>
      <c r="AT16" s="11" t="n">
        <v>1</v>
      </c>
      <c r="AU16" s="11" t="s">
        <v>253</v>
      </c>
      <c r="AV16" s="11"/>
      <c r="AW16" s="11"/>
      <c r="AX16" s="7" t="s">
        <v>84</v>
      </c>
      <c r="AY16" s="7"/>
      <c r="AZ16" s="7"/>
      <c r="BA16" s="7"/>
    </row>
    <row r="17" ht="99.75" customHeight="1">
      <c r="A17" s="4" t="s">
        <v>254</v>
      </c>
      <c r="B17" s="4" t="n">
        <v>2022</v>
      </c>
      <c r="C17" s="4" t="n">
        <v>4676</v>
      </c>
      <c r="D17" s="4" t="s">
        <v>54</v>
      </c>
      <c r="E17" s="4" t="s">
        <v>169</v>
      </c>
      <c r="F17" s="5" t="s">
        <v>255</v>
      </c>
      <c r="G17" s="4" t="s">
        <v>57</v>
      </c>
      <c r="H17" s="4" t="s">
        <v>171</v>
      </c>
      <c r="I17" s="4" t="s">
        <v>172</v>
      </c>
      <c r="J17" s="4" t="s">
        <v>256</v>
      </c>
      <c r="K17" s="4" t="s">
        <v>257</v>
      </c>
      <c r="L17" s="5" t="s">
        <v>258</v>
      </c>
      <c r="M17" s="4" t="s">
        <v>259</v>
      </c>
      <c r="N17" s="5" t="s">
        <v>242</v>
      </c>
      <c r="O17" s="4" t="s">
        <v>243</v>
      </c>
      <c r="P17" s="5" t="s">
        <v>244</v>
      </c>
      <c r="Q17" s="4" t="s">
        <v>245</v>
      </c>
      <c r="R17" s="5" t="s">
        <v>246</v>
      </c>
      <c r="S17" s="4" t="s">
        <v>247</v>
      </c>
      <c r="T17" s="5" t="s">
        <v>260</v>
      </c>
      <c r="U17" s="4" t="s">
        <v>261</v>
      </c>
      <c r="V17" s="5" t="s">
        <v>262</v>
      </c>
      <c r="W17" s="4" t="s">
        <v>105</v>
      </c>
      <c r="X17" s="4" t="s">
        <v>106</v>
      </c>
      <c r="Y17" s="5"/>
      <c r="Z17" s="4" t="s">
        <v>107</v>
      </c>
      <c r="AA17" s="6" t="n">
        <v>100000</v>
      </c>
      <c r="AB17" s="6" t="n">
        <v>99400</v>
      </c>
      <c r="AC17" s="6" t="n">
        <v>99400</v>
      </c>
      <c r="AD17" s="6" t="n">
        <v>99400</v>
      </c>
      <c r="AE17" s="4" t="s">
        <v>263</v>
      </c>
      <c r="AF17" s="5" t="s">
        <v>264</v>
      </c>
      <c r="AG17" s="4" t="s">
        <v>78</v>
      </c>
      <c r="AH17" s="4" t="s">
        <v>79</v>
      </c>
      <c r="AI17" s="5" t="s">
        <v>80</v>
      </c>
      <c r="AJ17" s="1" t="n">
        <v>0</v>
      </c>
      <c r="AK17" s="11" t="n">
        <v>0</v>
      </c>
      <c r="AL17" s="12" t="s">
        <v>252</v>
      </c>
      <c r="AM17" s="13" t="str">
        <f>IF(AL17="","",AL17&amp;" - "&amp;IFERROR(VLOOKUP(AL17,CODEBOOK_CAP!$C$2:$D$212,2,FALSE),""))</f>
        <v>0202 - DISCRIMINAÇÃO POR GÊNERO OU ORIENTAÇÃO SEXUAL (MISOGINIA E HOMOFOBIA)</v>
      </c>
      <c r="AN17" s="13" t="str">
        <f>IF(AL17="","",IFERROR(VLOOKUP(AL17,CODEBOOK_CAP!$C$2:$E$212,3,FALSE),""))</f>
        <v>Políticas de promoção de igualdade de gênero e de igualdade de relações sociais relacionadas a gênero e orientação sexual. Misoginia, Homofobia, ataques homofóbicos, casamento homoafetivo, igualdade salarial para mulheres, igualdade de trabalho para mulheres, feminismo, Parada LGBT, LGBTQI, transexuais, homossexuais, bissexuais, travestis, relações de gênero com emprego ( tipos de posições, renda, promoção , salário) . VIOLÊNCIA DOMESTICA contra mulheres deve ser codificado em 1208</v>
      </c>
      <c r="AO17" s="11" t="n">
        <v>0</v>
      </c>
      <c r="AP17" s="11"/>
      <c r="AQ17" s="11" t="n">
        <v>0</v>
      </c>
      <c r="AR17" s="11" t="n">
        <v>0</v>
      </c>
      <c r="AS17" s="11"/>
      <c r="AT17" s="11" t="n">
        <v>1</v>
      </c>
      <c r="AU17" s="11" t="s">
        <v>265</v>
      </c>
      <c r="AV17" s="11"/>
      <c r="AW17" s="11"/>
      <c r="AX17" s="7" t="s">
        <v>84</v>
      </c>
      <c r="AY17" s="7"/>
      <c r="AZ17" s="7"/>
      <c r="BA17" s="7"/>
    </row>
    <row r="18" ht="171" customHeight="1">
      <c r="A18" s="4" t="s">
        <v>266</v>
      </c>
      <c r="B18" s="4" t="n">
        <v>2022</v>
      </c>
      <c r="C18" s="4" t="n">
        <v>4677</v>
      </c>
      <c r="D18" s="4" t="s">
        <v>54</v>
      </c>
      <c r="E18" s="4" t="s">
        <v>169</v>
      </c>
      <c r="F18" s="5" t="s">
        <v>267</v>
      </c>
      <c r="G18" s="4" t="s">
        <v>57</v>
      </c>
      <c r="H18" s="4" t="s">
        <v>171</v>
      </c>
      <c r="I18" s="4" t="s">
        <v>172</v>
      </c>
      <c r="J18" s="4" t="s">
        <v>268</v>
      </c>
      <c r="K18" s="4" t="s">
        <v>257</v>
      </c>
      <c r="L18" s="5" t="s">
        <v>258</v>
      </c>
      <c r="M18" s="4" t="s">
        <v>259</v>
      </c>
      <c r="N18" s="5" t="s">
        <v>242</v>
      </c>
      <c r="O18" s="4" t="s">
        <v>243</v>
      </c>
      <c r="P18" s="5" t="s">
        <v>244</v>
      </c>
      <c r="Q18" s="4" t="s">
        <v>245</v>
      </c>
      <c r="R18" s="5" t="s">
        <v>246</v>
      </c>
      <c r="S18" s="4" t="s">
        <v>247</v>
      </c>
      <c r="T18" s="5" t="s">
        <v>260</v>
      </c>
      <c r="U18" s="4" t="s">
        <v>261</v>
      </c>
      <c r="V18" s="5" t="s">
        <v>262</v>
      </c>
      <c r="W18" s="4" t="s">
        <v>105</v>
      </c>
      <c r="X18" s="4" t="s">
        <v>106</v>
      </c>
      <c r="Y18" s="5"/>
      <c r="Z18" s="4" t="s">
        <v>107</v>
      </c>
      <c r="AA18" s="6" t="n">
        <v>89220</v>
      </c>
      <c r="AB18" s="6" t="n">
        <v>78900</v>
      </c>
      <c r="AC18" s="6" t="n">
        <v>77940</v>
      </c>
      <c r="AD18" s="6" t="n">
        <v>77940</v>
      </c>
      <c r="AE18" s="4" t="s">
        <v>263</v>
      </c>
      <c r="AF18" s="5" t="s">
        <v>264</v>
      </c>
      <c r="AG18" s="4" t="s">
        <v>78</v>
      </c>
      <c r="AH18" s="4" t="s">
        <v>79</v>
      </c>
      <c r="AI18" s="5" t="s">
        <v>80</v>
      </c>
      <c r="AJ18" s="1" t="n">
        <v>0</v>
      </c>
      <c r="AK18" s="11" t="n">
        <v>0</v>
      </c>
      <c r="AL18" s="12" t="s">
        <v>269</v>
      </c>
      <c r="AM18" s="13" t="str">
        <f>IF(AL18="","",AL18&amp;" - "&amp;IFERROR(VLOOKUP(AL18,CODEBOOK_CAP!$C$2:$D$212,2,FALSE),""))</f>
        <v>0200 - GERAL</v>
      </c>
      <c r="AN18" s="13" t="str">
        <f>IF(AL18="","",IFERROR(VLOOKUP(AL18,CODEBOOK_CAP!$C$2:$E$212,3,FALSE),""))</f>
        <v>Quando há combinação de diversos assuntos relacionado aos direitos civis, liberdade e atores indetificados como minorias. Questões gerais e amplas tais como Comissões, violações de direitos sem especificação, criação ou modificação ou atuação de Ministérios, departamentos ou instituições gerais, direito a propriedade privada, violação e atentados contra direitos civis em geral, cotas gerais (quando existem várias linhas, nao apenas racial), coberturas jornalisticas, estatisticas sobre minorias e sobre direitos básicos, discriminações e preconceito gerais sobre múltiplos aspectos. Quando o tema abordado for sobre uma única parte (sexo ou raça ou idade ou deficiência, codificar nos subcódigos específicos. Geral somente quando há combinação de fatores. Quando aparecer DIREITOS HUMANOS e assuntos de direito civil internacional, codificar em 1925.</v>
      </c>
      <c r="AO18" s="11" t="n">
        <v>0</v>
      </c>
      <c r="AP18" s="11"/>
      <c r="AQ18" s="11" t="n">
        <v>0</v>
      </c>
      <c r="AR18" s="11" t="n">
        <v>0</v>
      </c>
      <c r="AS18" s="11"/>
      <c r="AT18" s="11" t="n">
        <v>0</v>
      </c>
      <c r="AU18" s="11"/>
      <c r="AV18" s="11"/>
      <c r="AW18" s="11"/>
      <c r="AX18" s="7" t="s">
        <v>84</v>
      </c>
      <c r="AY18" s="7"/>
      <c r="AZ18" s="7"/>
      <c r="BA18" s="7"/>
    </row>
    <row r="19" ht="71.25" customHeight="1">
      <c r="A19" s="4" t="s">
        <v>270</v>
      </c>
      <c r="B19" s="4" t="n">
        <v>2022</v>
      </c>
      <c r="C19" s="4" t="n">
        <v>4781</v>
      </c>
      <c r="D19" s="4" t="s">
        <v>54</v>
      </c>
      <c r="E19" s="4" t="s">
        <v>169</v>
      </c>
      <c r="F19" s="5" t="s">
        <v>271</v>
      </c>
      <c r="G19" s="4" t="s">
        <v>57</v>
      </c>
      <c r="H19" s="4" t="s">
        <v>171</v>
      </c>
      <c r="I19" s="4" t="s">
        <v>172</v>
      </c>
      <c r="J19" s="4" t="s">
        <v>272</v>
      </c>
      <c r="K19" s="4" t="s">
        <v>273</v>
      </c>
      <c r="L19" s="5" t="s">
        <v>62</v>
      </c>
      <c r="M19" s="4" t="s">
        <v>63</v>
      </c>
      <c r="N19" s="5" t="s">
        <v>64</v>
      </c>
      <c r="O19" s="4" t="s">
        <v>65</v>
      </c>
      <c r="P19" s="5" t="s">
        <v>193</v>
      </c>
      <c r="Q19" s="4" t="s">
        <v>194</v>
      </c>
      <c r="R19" s="5" t="s">
        <v>195</v>
      </c>
      <c r="S19" s="4" t="s">
        <v>196</v>
      </c>
      <c r="T19" s="5" t="s">
        <v>197</v>
      </c>
      <c r="U19" s="4" t="s">
        <v>198</v>
      </c>
      <c r="V19" s="5" t="s">
        <v>274</v>
      </c>
      <c r="W19" s="4" t="s">
        <v>105</v>
      </c>
      <c r="X19" s="4" t="s">
        <v>106</v>
      </c>
      <c r="Y19" s="5"/>
      <c r="Z19" s="4" t="s">
        <v>75</v>
      </c>
      <c r="AA19" s="6" t="n">
        <v>224901</v>
      </c>
      <c r="AB19" s="6" t="n">
        <v>224901</v>
      </c>
      <c r="AC19" s="6" t="n">
        <v>224901</v>
      </c>
      <c r="AD19" s="6" t="n">
        <v>224901</v>
      </c>
      <c r="AE19" s="4" t="s">
        <v>275</v>
      </c>
      <c r="AF19" s="5" t="s">
        <v>276</v>
      </c>
      <c r="AG19" s="4" t="s">
        <v>78</v>
      </c>
      <c r="AH19" s="4" t="s">
        <v>79</v>
      </c>
      <c r="AI19" s="5" t="s">
        <v>80</v>
      </c>
      <c r="AJ19" s="1" t="n">
        <v>1</v>
      </c>
      <c r="AK19" s="11" t="n">
        <v>1</v>
      </c>
      <c r="AL19" s="12" t="s">
        <v>201</v>
      </c>
      <c r="AM19" s="13" t="str">
        <f>IF(AL19="","",AL19&amp;" - "&amp;IFERROR(VLOOKUP(AL19,CODEBOOK_CAP!$C$2:$D$212,2,FALSE),""))</f>
        <v>0333 - SAÚDE MENTAL</v>
      </c>
      <c r="AN19" s="13" t="str">
        <f>IF(AL19="","",IFERROR(VLOOKUP(AL19,CODEBOOK_CAP!$C$2:$E$212,3,FALSE),""))</f>
        <v>Serviços de atendimento a saúde mental e psico-social. CAPS, Controle de qualidade mental, esquizofrenia, bipolaridade, transtornos mentais, ansiedade, alucinançao, depressão, suicídio, CVV, atendimento psicológico e psiquiátrico, sanatório, manicomio. Não confundir com dependências de alcool (342) e drogas (343)</v>
      </c>
      <c r="AO19" s="11" t="n">
        <v>0</v>
      </c>
      <c r="AP19" s="11"/>
      <c r="AQ19" s="11" t="n">
        <v>0</v>
      </c>
      <c r="AR19" s="11" t="n">
        <v>0</v>
      </c>
      <c r="AS19" s="11"/>
      <c r="AT19" s="11" t="n">
        <v>0</v>
      </c>
      <c r="AU19" s="11"/>
      <c r="AV19" s="11"/>
      <c r="AW19" s="11"/>
      <c r="AX19" s="7" t="s">
        <v>84</v>
      </c>
      <c r="AY19" s="7"/>
      <c r="AZ19" s="7"/>
      <c r="BA19" s="7"/>
    </row>
    <row r="20" ht="156.75" customHeight="1">
      <c r="A20" s="4" t="s">
        <v>277</v>
      </c>
      <c r="B20" s="4" t="n">
        <v>2022</v>
      </c>
      <c r="C20" s="4" t="n">
        <v>4708</v>
      </c>
      <c r="D20" s="4" t="s">
        <v>54</v>
      </c>
      <c r="E20" s="4" t="s">
        <v>278</v>
      </c>
      <c r="F20" s="5" t="s">
        <v>279</v>
      </c>
      <c r="G20" s="4" t="s">
        <v>57</v>
      </c>
      <c r="H20" s="4" t="s">
        <v>280</v>
      </c>
      <c r="I20" s="4" t="s">
        <v>281</v>
      </c>
      <c r="J20" s="4" t="s">
        <v>282</v>
      </c>
      <c r="K20" s="4" t="s">
        <v>283</v>
      </c>
      <c r="L20" s="5" t="s">
        <v>94</v>
      </c>
      <c r="M20" s="4" t="s">
        <v>95</v>
      </c>
      <c r="N20" s="5" t="s">
        <v>96</v>
      </c>
      <c r="O20" s="4" t="s">
        <v>97</v>
      </c>
      <c r="P20" s="5" t="s">
        <v>98</v>
      </c>
      <c r="Q20" s="4" t="s">
        <v>99</v>
      </c>
      <c r="R20" s="5" t="s">
        <v>100</v>
      </c>
      <c r="S20" s="4" t="s">
        <v>101</v>
      </c>
      <c r="T20" s="5" t="s">
        <v>102</v>
      </c>
      <c r="U20" s="4" t="s">
        <v>103</v>
      </c>
      <c r="V20" s="5" t="s">
        <v>104</v>
      </c>
      <c r="W20" s="4" t="s">
        <v>105</v>
      </c>
      <c r="X20" s="4" t="s">
        <v>106</v>
      </c>
      <c r="Y20" s="5"/>
      <c r="Z20" s="4" t="s">
        <v>107</v>
      </c>
      <c r="AA20" s="6" t="n">
        <v>644610</v>
      </c>
      <c r="AB20" s="6" t="n">
        <v>644610</v>
      </c>
      <c r="AC20" s="6" t="n">
        <v>644610</v>
      </c>
      <c r="AD20" s="6" t="n">
        <v>644610</v>
      </c>
      <c r="AE20" s="4" t="s">
        <v>284</v>
      </c>
      <c r="AF20" s="5" t="s">
        <v>285</v>
      </c>
      <c r="AG20" s="4" t="s">
        <v>110</v>
      </c>
      <c r="AH20" s="4" t="s">
        <v>110</v>
      </c>
      <c r="AI20" s="5"/>
      <c r="AJ20" s="1" t="n">
        <v>0</v>
      </c>
      <c r="AK20" s="11" t="n">
        <v>0</v>
      </c>
      <c r="AL20" s="12" t="s">
        <v>111</v>
      </c>
      <c r="AM20" s="13" t="str">
        <f>IF(AL20="","",AL20&amp;" - "&amp;IFERROR(VLOOKUP(AL20,CODEBOOK_CAP!$C$2:$D$212,2,FALSE),""))</f>
        <v>1300 - GERAL</v>
      </c>
      <c r="AN20" s="13" t="str">
        <f>IF(AL20="","",IFERROR(VLOOKUP(AL20,CODEBOOK_CAP!$C$2:$E$212,3,FALSE),""))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20" s="11" t="n">
        <v>0</v>
      </c>
      <c r="AP20" s="11"/>
      <c r="AQ20" s="11" t="n">
        <v>0</v>
      </c>
      <c r="AR20" s="11" t="n">
        <v>0</v>
      </c>
      <c r="AS20" s="11"/>
      <c r="AT20" s="11" t="n">
        <v>1</v>
      </c>
      <c r="AU20" s="11" t="s">
        <v>286</v>
      </c>
      <c r="AV20" s="11"/>
      <c r="AW20" s="11"/>
      <c r="AX20" s="7" t="s">
        <v>84</v>
      </c>
      <c r="AY20" s="7"/>
      <c r="AZ20" s="7"/>
      <c r="BA20" s="7"/>
    </row>
    <row r="21" ht="71.25" customHeight="1">
      <c r="A21" s="4" t="s">
        <v>287</v>
      </c>
      <c r="B21" s="4" t="n">
        <v>2022</v>
      </c>
      <c r="C21" s="4" t="n">
        <v>4716</v>
      </c>
      <c r="D21" s="4" t="s">
        <v>54</v>
      </c>
      <c r="E21" s="4" t="s">
        <v>278</v>
      </c>
      <c r="F21" s="5" t="s">
        <v>288</v>
      </c>
      <c r="G21" s="4" t="s">
        <v>289</v>
      </c>
      <c r="H21" s="4" t="s">
        <v>280</v>
      </c>
      <c r="I21" s="4" t="s">
        <v>281</v>
      </c>
      <c r="J21" s="4" t="s">
        <v>290</v>
      </c>
      <c r="K21" s="4" t="s">
        <v>115</v>
      </c>
      <c r="L21" s="5"/>
      <c r="M21" s="4"/>
      <c r="N21" s="5"/>
      <c r="O21" s="4"/>
      <c r="P21" s="5"/>
      <c r="Q21" s="4"/>
      <c r="R21" s="5"/>
      <c r="S21" s="4"/>
      <c r="T21" s="5"/>
      <c r="U21" s="4"/>
      <c r="V21" s="5"/>
      <c r="W21" s="4"/>
      <c r="X21" s="4"/>
      <c r="Y21" s="5"/>
      <c r="Z21" s="4" t="s">
        <v>289</v>
      </c>
      <c r="AA21" s="6" t="n">
        <v>217000</v>
      </c>
      <c r="AB21" s="6"/>
      <c r="AC21" s="6"/>
      <c r="AD21" s="6"/>
      <c r="AE21" s="4" t="s">
        <v>115</v>
      </c>
      <c r="AF21" s="5"/>
      <c r="AG21" s="4" t="s">
        <v>78</v>
      </c>
      <c r="AH21" s="4" t="s">
        <v>79</v>
      </c>
      <c r="AI21" s="5" t="s">
        <v>80</v>
      </c>
      <c r="AJ21" s="1" t="n">
        <v>0</v>
      </c>
      <c r="AK21" s="11" t="n">
        <v>0</v>
      </c>
      <c r="AL21" s="12" t="s">
        <v>188</v>
      </c>
      <c r="AM21" s="13" t="str">
        <f>IF(AL21="","",AL21&amp;" - "&amp;IFERROR(VLOOKUP(AL21,CODEBOOK_CAP!$C$2:$D$212,2,FALSE),""))</f>
        <v>2300 - GERAL</v>
      </c>
      <c r="AN21" s="13" t="str">
        <f>IF(AL21="","",IFERROR(VLOOKUP(AL21,CODEBOOK_CAP!$C$2:$E$212,3,FALSE),""))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21" s="11" t="n">
        <v>1</v>
      </c>
      <c r="AP21" s="11" t="s">
        <v>291</v>
      </c>
      <c r="AQ21" s="11" t="n">
        <v>1</v>
      </c>
      <c r="AR21" s="11" t="n">
        <v>1</v>
      </c>
      <c r="AS21" s="11" t="s">
        <v>292</v>
      </c>
      <c r="AT21" s="11" t="n">
        <v>0</v>
      </c>
      <c r="AU21" s="11"/>
      <c r="AV21" s="11"/>
      <c r="AW21" s="11"/>
      <c r="AX21" s="7" t="s">
        <v>84</v>
      </c>
      <c r="AY21" s="7"/>
      <c r="AZ21" s="7"/>
      <c r="BA21" s="7"/>
      <c r="BB21" s="3" t="s">
        <v>6564</v>
      </c>
    </row>
    <row r="22" ht="71.25" customHeight="1">
      <c r="A22" s="4" t="s">
        <v>293</v>
      </c>
      <c r="B22" s="4" t="n">
        <v>2022</v>
      </c>
      <c r="C22" s="4" t="n">
        <v>4717</v>
      </c>
      <c r="D22" s="4" t="s">
        <v>54</v>
      </c>
      <c r="E22" s="4" t="s">
        <v>278</v>
      </c>
      <c r="F22" s="5" t="s">
        <v>294</v>
      </c>
      <c r="G22" s="4" t="s">
        <v>139</v>
      </c>
      <c r="H22" s="4" t="s">
        <v>280</v>
      </c>
      <c r="I22" s="4" t="s">
        <v>281</v>
      </c>
      <c r="J22" s="4" t="s">
        <v>295</v>
      </c>
      <c r="K22" s="4" t="s">
        <v>115</v>
      </c>
      <c r="L22" s="5"/>
      <c r="M22" s="4"/>
      <c r="N22" s="5"/>
      <c r="O22" s="4"/>
      <c r="P22" s="5"/>
      <c r="Q22" s="4"/>
      <c r="R22" s="5"/>
      <c r="S22" s="4"/>
      <c r="T22" s="5"/>
      <c r="U22" s="4"/>
      <c r="V22" s="5"/>
      <c r="W22" s="4"/>
      <c r="X22" s="4"/>
      <c r="Y22" s="5"/>
      <c r="Z22" s="4" t="s">
        <v>139</v>
      </c>
      <c r="AA22" s="6" t="n">
        <v>217000</v>
      </c>
      <c r="AB22" s="6"/>
      <c r="AC22" s="6"/>
      <c r="AD22" s="6"/>
      <c r="AE22" s="4" t="s">
        <v>115</v>
      </c>
      <c r="AF22" s="5" t="s">
        <v>115</v>
      </c>
      <c r="AG22" s="4" t="s">
        <v>78</v>
      </c>
      <c r="AH22" s="4" t="s">
        <v>79</v>
      </c>
      <c r="AI22" s="5" t="s">
        <v>80</v>
      </c>
      <c r="AJ22" s="1" t="n">
        <v>0</v>
      </c>
      <c r="AK22" s="11" t="n">
        <v>0</v>
      </c>
      <c r="AL22" s="12" t="s">
        <v>188</v>
      </c>
      <c r="AM22" s="13" t="str">
        <f>IF(AL22="","",AL22&amp;" - "&amp;IFERROR(VLOOKUP(AL22,CODEBOOK_CAP!$C$2:$D$212,2,FALSE),""))</f>
        <v>2300 - GERAL</v>
      </c>
      <c r="AN22" s="13" t="str">
        <f>IF(AL22="","",IFERROR(VLOOKUP(AL22,CODEBOOK_CAP!$C$2:$E$212,3,FALSE),""))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22" s="11" t="n">
        <v>1</v>
      </c>
      <c r="AP22" s="11" t="s">
        <v>296</v>
      </c>
      <c r="AQ22" s="11" t="n">
        <v>1</v>
      </c>
      <c r="AR22" s="11" t="n">
        <v>1</v>
      </c>
      <c r="AS22" s="11" t="s">
        <v>297</v>
      </c>
      <c r="AT22" s="11" t="n">
        <v>0</v>
      </c>
      <c r="AU22" s="11"/>
      <c r="AV22" s="11"/>
      <c r="AW22" s="11"/>
      <c r="AX22" s="7" t="s">
        <v>84</v>
      </c>
      <c r="AY22" s="7"/>
      <c r="AZ22" s="7"/>
      <c r="BA22" s="7"/>
      <c r="BB22" s="3" t="s">
        <v>6564</v>
      </c>
    </row>
    <row r="23" ht="128.25" customHeight="1">
      <c r="A23" s="4" t="s">
        <v>298</v>
      </c>
      <c r="B23" s="4" t="n">
        <v>2022</v>
      </c>
      <c r="C23" s="4" t="n">
        <v>4775</v>
      </c>
      <c r="D23" s="4" t="s">
        <v>54</v>
      </c>
      <c r="E23" s="4" t="s">
        <v>278</v>
      </c>
      <c r="F23" s="5" t="s">
        <v>299</v>
      </c>
      <c r="G23" s="4" t="s">
        <v>57</v>
      </c>
      <c r="H23" s="4" t="s">
        <v>280</v>
      </c>
      <c r="I23" s="4" t="s">
        <v>281</v>
      </c>
      <c r="J23" s="4" t="s">
        <v>300</v>
      </c>
      <c r="K23" s="4" t="s">
        <v>301</v>
      </c>
      <c r="L23" s="5" t="s">
        <v>302</v>
      </c>
      <c r="M23" s="4" t="s">
        <v>303</v>
      </c>
      <c r="N23" s="5" t="s">
        <v>304</v>
      </c>
      <c r="O23" s="4" t="s">
        <v>305</v>
      </c>
      <c r="P23" s="5" t="s">
        <v>66</v>
      </c>
      <c r="Q23" s="4" t="s">
        <v>67</v>
      </c>
      <c r="R23" s="5" t="s">
        <v>306</v>
      </c>
      <c r="S23" s="4" t="s">
        <v>307</v>
      </c>
      <c r="T23" s="5" t="s">
        <v>308</v>
      </c>
      <c r="U23" s="4" t="s">
        <v>309</v>
      </c>
      <c r="V23" s="5" t="s">
        <v>310</v>
      </c>
      <c r="W23" s="4" t="s">
        <v>73</v>
      </c>
      <c r="X23" s="4" t="s">
        <v>74</v>
      </c>
      <c r="Y23" s="5"/>
      <c r="Z23" s="4" t="s">
        <v>311</v>
      </c>
      <c r="AA23" s="6" t="n">
        <v>66000</v>
      </c>
      <c r="AB23" s="6" t="n">
        <v>65039</v>
      </c>
      <c r="AC23" s="6" t="n">
        <v>0</v>
      </c>
      <c r="AD23" s="6" t="n">
        <v>65039</v>
      </c>
      <c r="AE23" s="4" t="s">
        <v>312</v>
      </c>
      <c r="AF23" s="5" t="s">
        <v>313</v>
      </c>
      <c r="AG23" s="4" t="s">
        <v>115</v>
      </c>
      <c r="AH23" s="4" t="s">
        <v>115</v>
      </c>
      <c r="AI23" s="5" t="s">
        <v>115</v>
      </c>
      <c r="AJ23" s="1" t="n">
        <v>0</v>
      </c>
      <c r="AK23" s="11" t="n">
        <v>0</v>
      </c>
      <c r="AL23" s="12" t="s">
        <v>314</v>
      </c>
      <c r="AM23" s="13" t="str">
        <f>IF(AL23="","",AL23&amp;" - "&amp;IFERROR(VLOOKUP(AL23,CODEBOOK_CAP!$C$2:$D$212,2,FALSE),""))</f>
        <v>1201 - POLÍCIA, AGENCIAS E INSTITUIÇÕES - LEI E CRIMES</v>
      </c>
      <c r="AN23" s="13" t="str">
        <f>IF(AL23="","",IFERROR(VLOOKUP(AL23,CODEBOOK_CAP!$C$2:$E$212,3,FALSE),""))</f>
        <v>Questões relacionadas aos atores, intituições, agencias e agentes que atuam em questões relacionadas a justiça, lei, crime e violência. Servicos e instituições de apoio civil. Assuntos relacionados a atuação de Bombeiros, socorristas, guarda floresta, guarda costeira e proteção civil. Ministério Público, Ministério da Justiça, Polícia Federal, Tribunal de Contas, inteligência, proteção a vítimas, delação premiada, sistemas e banco de dados de justiça, computação vinculada a sistemas de combate a crimes e fraudes. Aqui a observação é sobre as INSTITUIÇÕES EM SI, e não sobre o assunto do qual ela trata, Os assuntos estão nos próximos sub-códigos</v>
      </c>
      <c r="AO23" s="11" t="n">
        <v>0</v>
      </c>
      <c r="AP23" s="11"/>
      <c r="AQ23" s="11" t="n">
        <v>0</v>
      </c>
      <c r="AR23" s="11" t="n">
        <v>0</v>
      </c>
      <c r="AS23" s="11"/>
      <c r="AT23" s="11" t="n">
        <v>0</v>
      </c>
      <c r="AU23" s="11"/>
      <c r="AV23" s="11"/>
      <c r="AW23" s="11"/>
      <c r="AX23" s="7" t="s">
        <v>84</v>
      </c>
      <c r="AY23" s="7"/>
      <c r="AZ23" s="7"/>
      <c r="BA23" s="7"/>
    </row>
    <row r="24" ht="142.5" customHeight="1">
      <c r="A24" s="4" t="s">
        <v>315</v>
      </c>
      <c r="B24" s="4" t="n">
        <v>2022</v>
      </c>
      <c r="C24" s="4" t="n">
        <v>4671</v>
      </c>
      <c r="D24" s="4" t="s">
        <v>54</v>
      </c>
      <c r="E24" s="4" t="s">
        <v>316</v>
      </c>
      <c r="F24" s="5" t="s">
        <v>317</v>
      </c>
      <c r="G24" s="4" t="s">
        <v>57</v>
      </c>
      <c r="H24" s="4" t="s">
        <v>318</v>
      </c>
      <c r="I24" s="4" t="s">
        <v>319</v>
      </c>
      <c r="J24" s="4" t="s">
        <v>320</v>
      </c>
      <c r="K24" s="4" t="s">
        <v>321</v>
      </c>
      <c r="L24" s="5" t="s">
        <v>122</v>
      </c>
      <c r="M24" s="4" t="s">
        <v>123</v>
      </c>
      <c r="N24" s="5" t="s">
        <v>124</v>
      </c>
      <c r="O24" s="4" t="s">
        <v>125</v>
      </c>
      <c r="P24" s="5" t="s">
        <v>126</v>
      </c>
      <c r="Q24" s="4" t="s">
        <v>127</v>
      </c>
      <c r="R24" s="5" t="s">
        <v>322</v>
      </c>
      <c r="S24" s="4" t="s">
        <v>323</v>
      </c>
      <c r="T24" s="5" t="s">
        <v>324</v>
      </c>
      <c r="U24" s="4" t="s">
        <v>325</v>
      </c>
      <c r="V24" s="5" t="s">
        <v>72</v>
      </c>
      <c r="W24" s="4" t="s">
        <v>73</v>
      </c>
      <c r="X24" s="4" t="s">
        <v>74</v>
      </c>
      <c r="Y24" s="5"/>
      <c r="Z24" s="4" t="s">
        <v>132</v>
      </c>
      <c r="AA24" s="6" t="n">
        <v>1000000</v>
      </c>
      <c r="AB24" s="6" t="n">
        <v>584328.07999999996</v>
      </c>
      <c r="AC24" s="6" t="n">
        <v>0</v>
      </c>
      <c r="AD24" s="6" t="n">
        <v>584328.07999999996</v>
      </c>
      <c r="AE24" s="4" t="s">
        <v>326</v>
      </c>
      <c r="AF24" s="5" t="s">
        <v>327</v>
      </c>
      <c r="AG24" s="4" t="s">
        <v>115</v>
      </c>
      <c r="AH24" s="4" t="s">
        <v>115</v>
      </c>
      <c r="AI24" s="5" t="s">
        <v>115</v>
      </c>
      <c r="AJ24" s="1" t="n">
        <v>0</v>
      </c>
      <c r="AK24" s="11" t="n">
        <v>0</v>
      </c>
      <c r="AL24" s="12" t="s">
        <v>328</v>
      </c>
      <c r="AM24" s="13" t="str">
        <f>IF(AL24="","",AL24&amp;" - "&amp;IFERROR(VLOOKUP(AL24,CODEBOOK_CAP!$C$2:$D$212,2,FALSE),""))</f>
        <v>1403 - REABILITAÇÃO URBANA, ECONOMIA URBANA</v>
      </c>
      <c r="AN24" s="13" t="str">
        <f>IF(AL24="","",IFERROR(VLOOKUP(AL24,CODEBOOK_CAP!$C$2:$E$212,3,FALSE),""))</f>
        <v>Reabilitação de áreas urbanas, revitalização urbana, modernização de áreas, mercados públicos, revitalização de praças, política urbana nacional, desenvolvimento urbano , desenvolvimento econômico de estados e cidades, modernização de espaços urbanos</v>
      </c>
      <c r="AO24" s="11" t="n">
        <v>1</v>
      </c>
      <c r="AP24" s="11" t="s">
        <v>329</v>
      </c>
      <c r="AQ24" s="11" t="n">
        <v>4</v>
      </c>
      <c r="AR24" s="11" t="n">
        <v>1</v>
      </c>
      <c r="AS24" s="11" t="s">
        <v>329</v>
      </c>
      <c r="AT24" s="11" t="n">
        <v>0</v>
      </c>
      <c r="AU24" s="11"/>
      <c r="AV24" s="11"/>
      <c r="AW24" s="11"/>
      <c r="AX24" s="7" t="s">
        <v>84</v>
      </c>
      <c r="AY24" s="7"/>
      <c r="AZ24" s="7"/>
      <c r="BA24" s="7"/>
    </row>
    <row r="25" ht="156.75" customHeight="1">
      <c r="A25" s="4" t="s">
        <v>330</v>
      </c>
      <c r="B25" s="4" t="n">
        <v>2022</v>
      </c>
      <c r="C25" s="4" t="n">
        <v>4672</v>
      </c>
      <c r="D25" s="4" t="s">
        <v>54</v>
      </c>
      <c r="E25" s="4" t="s">
        <v>316</v>
      </c>
      <c r="F25" s="5" t="s">
        <v>331</v>
      </c>
      <c r="G25" s="4" t="s">
        <v>57</v>
      </c>
      <c r="H25" s="4" t="s">
        <v>318</v>
      </c>
      <c r="I25" s="4" t="s">
        <v>319</v>
      </c>
      <c r="J25" s="4" t="s">
        <v>332</v>
      </c>
      <c r="K25" s="4" t="s">
        <v>283</v>
      </c>
      <c r="L25" s="5" t="s">
        <v>94</v>
      </c>
      <c r="M25" s="4" t="s">
        <v>95</v>
      </c>
      <c r="N25" s="5" t="s">
        <v>96</v>
      </c>
      <c r="O25" s="4" t="s">
        <v>97</v>
      </c>
      <c r="P25" s="5" t="s">
        <v>98</v>
      </c>
      <c r="Q25" s="4" t="s">
        <v>99</v>
      </c>
      <c r="R25" s="5" t="s">
        <v>100</v>
      </c>
      <c r="S25" s="4" t="s">
        <v>101</v>
      </c>
      <c r="T25" s="5" t="s">
        <v>102</v>
      </c>
      <c r="U25" s="4" t="s">
        <v>103</v>
      </c>
      <c r="V25" s="5" t="s">
        <v>104</v>
      </c>
      <c r="W25" s="4" t="s">
        <v>105</v>
      </c>
      <c r="X25" s="4" t="s">
        <v>106</v>
      </c>
      <c r="Y25" s="5"/>
      <c r="Z25" s="4" t="s">
        <v>107</v>
      </c>
      <c r="AA25" s="6" t="n">
        <v>50000</v>
      </c>
      <c r="AB25" s="6" t="n">
        <v>50000</v>
      </c>
      <c r="AC25" s="6" t="n">
        <v>50000</v>
      </c>
      <c r="AD25" s="6" t="n">
        <v>50000</v>
      </c>
      <c r="AE25" s="4" t="s">
        <v>333</v>
      </c>
      <c r="AF25" s="5" t="s">
        <v>334</v>
      </c>
      <c r="AG25" s="4" t="s">
        <v>110</v>
      </c>
      <c r="AH25" s="4" t="s">
        <v>110</v>
      </c>
      <c r="AI25" s="5"/>
      <c r="AJ25" s="1" t="n">
        <v>0</v>
      </c>
      <c r="AK25" s="11" t="n">
        <v>0</v>
      </c>
      <c r="AL25" s="12" t="s">
        <v>111</v>
      </c>
      <c r="AM25" s="13" t="str">
        <f>IF(AL25="","",AL25&amp;" - "&amp;IFERROR(VLOOKUP(AL25,CODEBOOK_CAP!$C$2:$D$212,2,FALSE),""))</f>
        <v>1300 - GERAL</v>
      </c>
      <c r="AN25" s="13" t="str">
        <f>IF(AL25="","",IFERROR(VLOOKUP(AL25,CODEBOOK_CAP!$C$2:$E$212,3,FALSE),""))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25" s="11" t="n">
        <v>0</v>
      </c>
      <c r="AP25" s="11"/>
      <c r="AQ25" s="11" t="n">
        <v>0</v>
      </c>
      <c r="AR25" s="11" t="n">
        <v>0</v>
      </c>
      <c r="AS25" s="11"/>
      <c r="AT25" s="11" t="n">
        <v>0</v>
      </c>
      <c r="AU25" s="11"/>
      <c r="AV25" s="11"/>
      <c r="AW25" s="11"/>
      <c r="AX25" s="7" t="s">
        <v>84</v>
      </c>
      <c r="AY25" s="7"/>
      <c r="AZ25" s="7"/>
      <c r="BA25" s="7"/>
    </row>
    <row r="26" ht="171" customHeight="1">
      <c r="A26" s="4" t="s">
        <v>335</v>
      </c>
      <c r="B26" s="4" t="n">
        <v>2022</v>
      </c>
      <c r="C26" s="4" t="n">
        <v>4673</v>
      </c>
      <c r="D26" s="4" t="s">
        <v>54</v>
      </c>
      <c r="E26" s="4" t="s">
        <v>316</v>
      </c>
      <c r="F26" s="5" t="s">
        <v>336</v>
      </c>
      <c r="G26" s="4" t="s">
        <v>139</v>
      </c>
      <c r="H26" s="4" t="s">
        <v>318</v>
      </c>
      <c r="I26" s="4" t="s">
        <v>337</v>
      </c>
      <c r="J26" s="4" t="s">
        <v>338</v>
      </c>
      <c r="K26" s="4" t="s">
        <v>115</v>
      </c>
      <c r="L26" s="5"/>
      <c r="M26" s="4"/>
      <c r="N26" s="5"/>
      <c r="O26" s="4"/>
      <c r="P26" s="5"/>
      <c r="Q26" s="4"/>
      <c r="R26" s="5"/>
      <c r="S26" s="4"/>
      <c r="T26" s="5"/>
      <c r="U26" s="4"/>
      <c r="V26" s="5"/>
      <c r="W26" s="4"/>
      <c r="X26" s="4"/>
      <c r="Y26" s="5"/>
      <c r="Z26" s="4" t="s">
        <v>139</v>
      </c>
      <c r="AA26" s="6" t="n">
        <v>300000</v>
      </c>
      <c r="AB26" s="6"/>
      <c r="AC26" s="6"/>
      <c r="AD26" s="6"/>
      <c r="AE26" s="4" t="s">
        <v>115</v>
      </c>
      <c r="AF26" s="5" t="s">
        <v>115</v>
      </c>
      <c r="AG26" s="4" t="s">
        <v>115</v>
      </c>
      <c r="AH26" s="4" t="s">
        <v>115</v>
      </c>
      <c r="AI26" s="5" t="s">
        <v>115</v>
      </c>
      <c r="AJ26" s="1" t="n">
        <v>0</v>
      </c>
      <c r="AK26" s="11" t="n">
        <v>0</v>
      </c>
      <c r="AL26" s="12" t="s">
        <v>135</v>
      </c>
      <c r="AM26" s="13" t="str">
        <f>IF(AL26="","",AL26&amp;" - "&amp;IFERROR(VLOOKUP(AL26,CODEBOOK_CAP!$C$2:$D$212,2,FALSE),""))</f>
        <v>1002 - CARROS, TRÂNSITO, CONSTRUÇÃO E MANUTENÇÃO DE RUAS E ESTRADAS</v>
      </c>
      <c r="AN26" s="13" t="str">
        <f>IF(AL26="","",IFERROR(VLOOKUP(AL26,CODEBOOK_CAP!$C$2:$E$212,3,FALSE),""))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26" s="11" t="n">
        <v>1</v>
      </c>
      <c r="AP26" s="11" t="s">
        <v>339</v>
      </c>
      <c r="AQ26" s="11" t="n">
        <v>1</v>
      </c>
      <c r="AR26" s="11" t="n">
        <v>1</v>
      </c>
      <c r="AS26" s="11" t="s">
        <v>339</v>
      </c>
      <c r="AT26" s="11" t="n">
        <v>0</v>
      </c>
      <c r="AU26" s="11"/>
      <c r="AV26" s="11"/>
      <c r="AW26" s="11"/>
      <c r="AX26" s="7" t="s">
        <v>84</v>
      </c>
      <c r="AY26" s="7"/>
      <c r="AZ26" s="7"/>
      <c r="BA26" s="7"/>
    </row>
    <row r="27" ht="85.5" customHeight="1">
      <c r="A27" s="4" t="s">
        <v>340</v>
      </c>
      <c r="B27" s="4" t="n">
        <v>2022</v>
      </c>
      <c r="C27" s="4" t="n">
        <v>4726</v>
      </c>
      <c r="D27" s="4" t="s">
        <v>54</v>
      </c>
      <c r="E27" s="4" t="s">
        <v>316</v>
      </c>
      <c r="F27" s="5" t="s">
        <v>341</v>
      </c>
      <c r="G27" s="4" t="s">
        <v>57</v>
      </c>
      <c r="H27" s="4" t="s">
        <v>318</v>
      </c>
      <c r="I27" s="4" t="s">
        <v>319</v>
      </c>
      <c r="J27" s="4" t="s">
        <v>342</v>
      </c>
      <c r="K27" s="4" t="s">
        <v>343</v>
      </c>
      <c r="L27" s="5" t="s">
        <v>62</v>
      </c>
      <c r="M27" s="4" t="s">
        <v>63</v>
      </c>
      <c r="N27" s="5" t="s">
        <v>64</v>
      </c>
      <c r="O27" s="4" t="s">
        <v>65</v>
      </c>
      <c r="P27" s="5" t="s">
        <v>344</v>
      </c>
      <c r="Q27" s="4" t="s">
        <v>345</v>
      </c>
      <c r="R27" s="5" t="s">
        <v>346</v>
      </c>
      <c r="S27" s="4" t="s">
        <v>347</v>
      </c>
      <c r="T27" s="5" t="s">
        <v>348</v>
      </c>
      <c r="U27" s="4" t="s">
        <v>349</v>
      </c>
      <c r="V27" s="5" t="s">
        <v>350</v>
      </c>
      <c r="W27" s="4" t="s">
        <v>105</v>
      </c>
      <c r="X27" s="4" t="s">
        <v>106</v>
      </c>
      <c r="Y27" s="5"/>
      <c r="Z27" s="4" t="s">
        <v>75</v>
      </c>
      <c r="AA27" s="6" t="n">
        <v>50000</v>
      </c>
      <c r="AB27" s="6" t="n">
        <v>50000</v>
      </c>
      <c r="AC27" s="6" t="n">
        <v>50000</v>
      </c>
      <c r="AD27" s="6" t="n">
        <v>50000</v>
      </c>
      <c r="AE27" s="4" t="s">
        <v>351</v>
      </c>
      <c r="AF27" s="5" t="s">
        <v>352</v>
      </c>
      <c r="AG27" s="4" t="s">
        <v>78</v>
      </c>
      <c r="AH27" s="4" t="s">
        <v>79</v>
      </c>
      <c r="AI27" s="5" t="s">
        <v>80</v>
      </c>
      <c r="AJ27" s="1" t="n">
        <v>1</v>
      </c>
      <c r="AK27" s="11" t="n">
        <v>1</v>
      </c>
      <c r="AL27" s="12" t="s">
        <v>81</v>
      </c>
      <c r="AM27" s="13" t="str">
        <f>IF(AL27="","",AL27&amp;" - "&amp;IFERROR(VLOOKUP(AL27,CODEBOOK_CAP!$C$2:$D$212,2,FALSE),""))</f>
        <v>0322 - ESTRUTURAS, HOSPITAIS, CLÍNICAS</v>
      </c>
      <c r="AN27" s="13" t="str">
        <f>IF(AL27="","",IFERROR(VLOOKUP(AL27,CODEBOOK_CAP!$C$2:$E$212,3,FALSE),""))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27" s="11" t="n">
        <v>1</v>
      </c>
      <c r="AP27" s="11" t="s">
        <v>353</v>
      </c>
      <c r="AQ27" s="11" t="n">
        <v>1</v>
      </c>
      <c r="AR27" s="11" t="n">
        <v>1</v>
      </c>
      <c r="AS27" s="11" t="s">
        <v>353</v>
      </c>
      <c r="AT27" s="11" t="n">
        <v>0</v>
      </c>
      <c r="AU27" s="11"/>
      <c r="AV27" s="11"/>
      <c r="AW27" s="11"/>
      <c r="AX27" s="7" t="s">
        <v>84</v>
      </c>
      <c r="AY27" s="7"/>
      <c r="AZ27" s="7"/>
      <c r="BA27" s="7"/>
    </row>
    <row r="28" ht="85.5" customHeight="1">
      <c r="A28" s="4" t="s">
        <v>354</v>
      </c>
      <c r="B28" s="4" t="n">
        <v>2022</v>
      </c>
      <c r="C28" s="4" t="n">
        <v>4727</v>
      </c>
      <c r="D28" s="4" t="s">
        <v>54</v>
      </c>
      <c r="E28" s="4" t="s">
        <v>316</v>
      </c>
      <c r="F28" s="5" t="s">
        <v>355</v>
      </c>
      <c r="G28" s="4" t="s">
        <v>57</v>
      </c>
      <c r="H28" s="4" t="s">
        <v>318</v>
      </c>
      <c r="I28" s="4" t="s">
        <v>319</v>
      </c>
      <c r="J28" s="4" t="s">
        <v>356</v>
      </c>
      <c r="K28" s="4" t="s">
        <v>357</v>
      </c>
      <c r="L28" s="5" t="s">
        <v>62</v>
      </c>
      <c r="M28" s="4" t="s">
        <v>63</v>
      </c>
      <c r="N28" s="5" t="s">
        <v>64</v>
      </c>
      <c r="O28" s="4" t="s">
        <v>65</v>
      </c>
      <c r="P28" s="5" t="s">
        <v>66</v>
      </c>
      <c r="Q28" s="4" t="s">
        <v>67</v>
      </c>
      <c r="R28" s="5" t="s">
        <v>68</v>
      </c>
      <c r="S28" s="4" t="s">
        <v>69</v>
      </c>
      <c r="T28" s="5" t="s">
        <v>70</v>
      </c>
      <c r="U28" s="4" t="s">
        <v>71</v>
      </c>
      <c r="V28" s="5" t="s">
        <v>72</v>
      </c>
      <c r="W28" s="4" t="s">
        <v>73</v>
      </c>
      <c r="X28" s="4" t="s">
        <v>74</v>
      </c>
      <c r="Y28" s="5"/>
      <c r="Z28" s="4" t="s">
        <v>75</v>
      </c>
      <c r="AA28" s="6" t="n">
        <v>50000</v>
      </c>
      <c r="AB28" s="6" t="n">
        <v>47505</v>
      </c>
      <c r="AC28" s="6" t="n">
        <v>47505</v>
      </c>
      <c r="AD28" s="6" t="n">
        <v>47505</v>
      </c>
      <c r="AE28" s="4" t="s">
        <v>358</v>
      </c>
      <c r="AF28" s="5" t="s">
        <v>77</v>
      </c>
      <c r="AG28" s="4" t="s">
        <v>78</v>
      </c>
      <c r="AH28" s="4" t="s">
        <v>79</v>
      </c>
      <c r="AI28" s="5" t="s">
        <v>80</v>
      </c>
      <c r="AJ28" s="1" t="n">
        <v>1</v>
      </c>
      <c r="AK28" s="11" t="n">
        <v>1</v>
      </c>
      <c r="AL28" s="12" t="s">
        <v>81</v>
      </c>
      <c r="AM28" s="13" t="str">
        <f>IF(AL28="","",AL28&amp;" - "&amp;IFERROR(VLOOKUP(AL28,CODEBOOK_CAP!$C$2:$D$212,2,FALSE),""))</f>
        <v>0322 - ESTRUTURAS, HOSPITAIS, CLÍNICAS</v>
      </c>
      <c r="AN28" s="13" t="str">
        <f>IF(AL28="","",IFERROR(VLOOKUP(AL28,CODEBOOK_CAP!$C$2:$E$212,3,FALSE),""))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28" s="11" t="n">
        <v>1</v>
      </c>
      <c r="AP28" s="11" t="s">
        <v>359</v>
      </c>
      <c r="AQ28" s="11" t="n">
        <v>1</v>
      </c>
      <c r="AR28" s="11" t="n">
        <v>1</v>
      </c>
      <c r="AS28" s="11" t="s">
        <v>359</v>
      </c>
      <c r="AT28" s="11" t="n">
        <v>0</v>
      </c>
      <c r="AU28" s="11"/>
      <c r="AV28" s="11"/>
      <c r="AW28" s="11"/>
      <c r="AX28" s="7" t="s">
        <v>84</v>
      </c>
      <c r="AY28" s="7"/>
      <c r="AZ28" s="7"/>
      <c r="BA28" s="7"/>
    </row>
    <row r="29" ht="85.5" customHeight="1">
      <c r="A29" s="4" t="s">
        <v>360</v>
      </c>
      <c r="B29" s="4" t="n">
        <v>2022</v>
      </c>
      <c r="C29" s="4" t="n">
        <v>4728</v>
      </c>
      <c r="D29" s="4" t="s">
        <v>54</v>
      </c>
      <c r="E29" s="4" t="s">
        <v>316</v>
      </c>
      <c r="F29" s="5" t="s">
        <v>361</v>
      </c>
      <c r="G29" s="4" t="s">
        <v>57</v>
      </c>
      <c r="H29" s="4" t="s">
        <v>318</v>
      </c>
      <c r="I29" s="4" t="s">
        <v>319</v>
      </c>
      <c r="J29" s="4" t="s">
        <v>362</v>
      </c>
      <c r="K29" s="4" t="s">
        <v>357</v>
      </c>
      <c r="L29" s="5" t="s">
        <v>62</v>
      </c>
      <c r="M29" s="4" t="s">
        <v>63</v>
      </c>
      <c r="N29" s="5" t="s">
        <v>64</v>
      </c>
      <c r="O29" s="4" t="s">
        <v>65</v>
      </c>
      <c r="P29" s="5" t="s">
        <v>66</v>
      </c>
      <c r="Q29" s="4" t="s">
        <v>67</v>
      </c>
      <c r="R29" s="5" t="s">
        <v>68</v>
      </c>
      <c r="S29" s="4" t="s">
        <v>69</v>
      </c>
      <c r="T29" s="5" t="s">
        <v>70</v>
      </c>
      <c r="U29" s="4" t="s">
        <v>71</v>
      </c>
      <c r="V29" s="5" t="s">
        <v>72</v>
      </c>
      <c r="W29" s="4" t="s">
        <v>73</v>
      </c>
      <c r="X29" s="4" t="s">
        <v>74</v>
      </c>
      <c r="Y29" s="5"/>
      <c r="Z29" s="4" t="s">
        <v>75</v>
      </c>
      <c r="AA29" s="6" t="n">
        <v>50000</v>
      </c>
      <c r="AB29" s="6" t="n">
        <v>47499</v>
      </c>
      <c r="AC29" s="6" t="n">
        <v>47499</v>
      </c>
      <c r="AD29" s="6" t="n">
        <v>47499</v>
      </c>
      <c r="AE29" s="4" t="s">
        <v>363</v>
      </c>
      <c r="AF29" s="5" t="s">
        <v>364</v>
      </c>
      <c r="AG29" s="4" t="s">
        <v>78</v>
      </c>
      <c r="AH29" s="4" t="s">
        <v>79</v>
      </c>
      <c r="AI29" s="5" t="s">
        <v>80</v>
      </c>
      <c r="AJ29" s="1" t="n">
        <v>1</v>
      </c>
      <c r="AK29" s="11" t="n">
        <v>1</v>
      </c>
      <c r="AL29" s="12" t="s">
        <v>81</v>
      </c>
      <c r="AM29" s="13" t="str">
        <f>IF(AL29="","",AL29&amp;" - "&amp;IFERROR(VLOOKUP(AL29,CODEBOOK_CAP!$C$2:$D$212,2,FALSE),""))</f>
        <v>0322 - ESTRUTURAS, HOSPITAIS, CLÍNICAS</v>
      </c>
      <c r="AN29" s="13" t="str">
        <f>IF(AL29="","",IFERROR(VLOOKUP(AL29,CODEBOOK_CAP!$C$2:$E$212,3,FALSE),""))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29" s="11" t="n">
        <v>1</v>
      </c>
      <c r="AP29" s="11" t="s">
        <v>365</v>
      </c>
      <c r="AQ29" s="11" t="n">
        <v>1</v>
      </c>
      <c r="AR29" s="11" t="n">
        <v>1</v>
      </c>
      <c r="AS29" s="11" t="s">
        <v>365</v>
      </c>
      <c r="AT29" s="11" t="n">
        <v>0</v>
      </c>
      <c r="AU29" s="11"/>
      <c r="AV29" s="11"/>
      <c r="AW29" s="11"/>
      <c r="AX29" s="7" t="s">
        <v>84</v>
      </c>
      <c r="AY29" s="7"/>
      <c r="AZ29" s="7"/>
      <c r="BA29" s="7"/>
    </row>
    <row r="30" ht="85.5" customHeight="1">
      <c r="A30" s="4" t="s">
        <v>366</v>
      </c>
      <c r="B30" s="4" t="n">
        <v>2022</v>
      </c>
      <c r="C30" s="4" t="n">
        <v>4729</v>
      </c>
      <c r="D30" s="4" t="s">
        <v>54</v>
      </c>
      <c r="E30" s="4" t="s">
        <v>316</v>
      </c>
      <c r="F30" s="5" t="s">
        <v>367</v>
      </c>
      <c r="G30" s="4" t="s">
        <v>57</v>
      </c>
      <c r="H30" s="4" t="s">
        <v>318</v>
      </c>
      <c r="I30" s="4" t="s">
        <v>319</v>
      </c>
      <c r="J30" s="4" t="s">
        <v>368</v>
      </c>
      <c r="K30" s="4" t="s">
        <v>357</v>
      </c>
      <c r="L30" s="5" t="s">
        <v>62</v>
      </c>
      <c r="M30" s="4" t="s">
        <v>63</v>
      </c>
      <c r="N30" s="5" t="s">
        <v>64</v>
      </c>
      <c r="O30" s="4" t="s">
        <v>65</v>
      </c>
      <c r="P30" s="5" t="s">
        <v>66</v>
      </c>
      <c r="Q30" s="4" t="s">
        <v>67</v>
      </c>
      <c r="R30" s="5" t="s">
        <v>68</v>
      </c>
      <c r="S30" s="4" t="s">
        <v>69</v>
      </c>
      <c r="T30" s="5" t="s">
        <v>70</v>
      </c>
      <c r="U30" s="4" t="s">
        <v>71</v>
      </c>
      <c r="V30" s="5" t="s">
        <v>72</v>
      </c>
      <c r="W30" s="4" t="s">
        <v>73</v>
      </c>
      <c r="X30" s="4" t="s">
        <v>74</v>
      </c>
      <c r="Y30" s="5"/>
      <c r="Z30" s="4" t="s">
        <v>75</v>
      </c>
      <c r="AA30" s="6" t="n">
        <v>50000</v>
      </c>
      <c r="AB30" s="6" t="n">
        <v>43924</v>
      </c>
      <c r="AC30" s="6" t="n">
        <v>43924</v>
      </c>
      <c r="AD30" s="6" t="n">
        <v>43924</v>
      </c>
      <c r="AE30" s="4" t="s">
        <v>358</v>
      </c>
      <c r="AF30" s="5" t="s">
        <v>77</v>
      </c>
      <c r="AG30" s="4" t="s">
        <v>78</v>
      </c>
      <c r="AH30" s="4" t="s">
        <v>79</v>
      </c>
      <c r="AI30" s="5" t="s">
        <v>80</v>
      </c>
      <c r="AJ30" s="1" t="n">
        <v>1</v>
      </c>
      <c r="AK30" s="11" t="n">
        <v>1</v>
      </c>
      <c r="AL30" s="12" t="s">
        <v>81</v>
      </c>
      <c r="AM30" s="13" t="str">
        <f>IF(AL30="","",AL30&amp;" - "&amp;IFERROR(VLOOKUP(AL30,CODEBOOK_CAP!$C$2:$D$212,2,FALSE),""))</f>
        <v>0322 - ESTRUTURAS, HOSPITAIS, CLÍNICAS</v>
      </c>
      <c r="AN30" s="13" t="str">
        <f>IF(AL30="","",IFERROR(VLOOKUP(AL30,CODEBOOK_CAP!$C$2:$E$212,3,FALSE),""))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30" s="11" t="n">
        <v>1</v>
      </c>
      <c r="AP30" s="11" t="s">
        <v>369</v>
      </c>
      <c r="AQ30" s="11" t="n">
        <v>1</v>
      </c>
      <c r="AR30" s="11" t="n">
        <v>1</v>
      </c>
      <c r="AS30" s="11" t="s">
        <v>369</v>
      </c>
      <c r="AT30" s="11" t="n">
        <v>0</v>
      </c>
      <c r="AU30" s="11"/>
      <c r="AV30" s="11"/>
      <c r="AW30" s="11"/>
      <c r="AX30" s="7" t="s">
        <v>84</v>
      </c>
      <c r="AY30" s="7"/>
      <c r="AZ30" s="7"/>
      <c r="BA30" s="7"/>
    </row>
    <row r="31" ht="85.5" customHeight="1">
      <c r="A31" s="4" t="s">
        <v>370</v>
      </c>
      <c r="B31" s="4" t="n">
        <v>2022</v>
      </c>
      <c r="C31" s="4" t="n">
        <v>4730</v>
      </c>
      <c r="D31" s="4" t="s">
        <v>54</v>
      </c>
      <c r="E31" s="4" t="s">
        <v>316</v>
      </c>
      <c r="F31" s="5" t="s">
        <v>371</v>
      </c>
      <c r="G31" s="4" t="s">
        <v>57</v>
      </c>
      <c r="H31" s="4" t="s">
        <v>318</v>
      </c>
      <c r="I31" s="4" t="s">
        <v>319</v>
      </c>
      <c r="J31" s="4" t="s">
        <v>372</v>
      </c>
      <c r="K31" s="4" t="s">
        <v>357</v>
      </c>
      <c r="L31" s="5" t="s">
        <v>62</v>
      </c>
      <c r="M31" s="4" t="s">
        <v>63</v>
      </c>
      <c r="N31" s="5" t="s">
        <v>64</v>
      </c>
      <c r="O31" s="4" t="s">
        <v>65</v>
      </c>
      <c r="P31" s="5" t="s">
        <v>66</v>
      </c>
      <c r="Q31" s="4" t="s">
        <v>67</v>
      </c>
      <c r="R31" s="5" t="s">
        <v>68</v>
      </c>
      <c r="S31" s="4" t="s">
        <v>69</v>
      </c>
      <c r="T31" s="5" t="s">
        <v>70</v>
      </c>
      <c r="U31" s="4" t="s">
        <v>71</v>
      </c>
      <c r="V31" s="5" t="s">
        <v>72</v>
      </c>
      <c r="W31" s="4" t="s">
        <v>73</v>
      </c>
      <c r="X31" s="4" t="s">
        <v>74</v>
      </c>
      <c r="Y31" s="5"/>
      <c r="Z31" s="4" t="s">
        <v>75</v>
      </c>
      <c r="AA31" s="6" t="n">
        <v>50000</v>
      </c>
      <c r="AB31" s="6" t="n">
        <v>33672</v>
      </c>
      <c r="AC31" s="6" t="n">
        <v>33672</v>
      </c>
      <c r="AD31" s="6" t="n">
        <v>33672</v>
      </c>
      <c r="AE31" s="4" t="s">
        <v>363</v>
      </c>
      <c r="AF31" s="5" t="s">
        <v>364</v>
      </c>
      <c r="AG31" s="4" t="s">
        <v>78</v>
      </c>
      <c r="AH31" s="4" t="s">
        <v>79</v>
      </c>
      <c r="AI31" s="5" t="s">
        <v>80</v>
      </c>
      <c r="AJ31" s="1" t="n">
        <v>1</v>
      </c>
      <c r="AK31" s="11" t="n">
        <v>1</v>
      </c>
      <c r="AL31" s="12" t="s">
        <v>81</v>
      </c>
      <c r="AM31" s="13" t="str">
        <f>IF(AL31="","",AL31&amp;" - "&amp;IFERROR(VLOOKUP(AL31,CODEBOOK_CAP!$C$2:$D$212,2,FALSE),""))</f>
        <v>0322 - ESTRUTURAS, HOSPITAIS, CLÍNICAS</v>
      </c>
      <c r="AN31" s="13" t="str">
        <f>IF(AL31="","",IFERROR(VLOOKUP(AL31,CODEBOOK_CAP!$C$2:$E$212,3,FALSE),""))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31" s="11" t="n">
        <v>1</v>
      </c>
      <c r="AP31" s="11" t="s">
        <v>373</v>
      </c>
      <c r="AQ31" s="11" t="n">
        <v>1</v>
      </c>
      <c r="AR31" s="11" t="n">
        <v>1</v>
      </c>
      <c r="AS31" s="11" t="s">
        <v>373</v>
      </c>
      <c r="AT31" s="11" t="n">
        <v>0</v>
      </c>
      <c r="AU31" s="11"/>
      <c r="AV31" s="11"/>
      <c r="AW31" s="11"/>
      <c r="AX31" s="7" t="s">
        <v>84</v>
      </c>
      <c r="AY31" s="7"/>
      <c r="AZ31" s="7"/>
      <c r="BA31" s="7"/>
    </row>
    <row r="32" ht="85.5" customHeight="1">
      <c r="A32" s="4" t="s">
        <v>374</v>
      </c>
      <c r="B32" s="4" t="n">
        <v>2022</v>
      </c>
      <c r="C32" s="4" t="n">
        <v>4731</v>
      </c>
      <c r="D32" s="4" t="s">
        <v>54</v>
      </c>
      <c r="E32" s="4" t="s">
        <v>316</v>
      </c>
      <c r="F32" s="5" t="s">
        <v>375</v>
      </c>
      <c r="G32" s="4" t="s">
        <v>57</v>
      </c>
      <c r="H32" s="4" t="s">
        <v>318</v>
      </c>
      <c r="I32" s="4" t="s">
        <v>319</v>
      </c>
      <c r="J32" s="4" t="s">
        <v>376</v>
      </c>
      <c r="K32" s="4" t="s">
        <v>357</v>
      </c>
      <c r="L32" s="5" t="s">
        <v>62</v>
      </c>
      <c r="M32" s="4" t="s">
        <v>63</v>
      </c>
      <c r="N32" s="5" t="s">
        <v>64</v>
      </c>
      <c r="O32" s="4" t="s">
        <v>65</v>
      </c>
      <c r="P32" s="5" t="s">
        <v>66</v>
      </c>
      <c r="Q32" s="4" t="s">
        <v>67</v>
      </c>
      <c r="R32" s="5" t="s">
        <v>68</v>
      </c>
      <c r="S32" s="4" t="s">
        <v>69</v>
      </c>
      <c r="T32" s="5" t="s">
        <v>70</v>
      </c>
      <c r="U32" s="4" t="s">
        <v>71</v>
      </c>
      <c r="V32" s="5" t="s">
        <v>72</v>
      </c>
      <c r="W32" s="4" t="s">
        <v>73</v>
      </c>
      <c r="X32" s="4" t="s">
        <v>74</v>
      </c>
      <c r="Y32" s="5"/>
      <c r="Z32" s="4" t="s">
        <v>75</v>
      </c>
      <c r="AA32" s="6" t="n">
        <v>50000</v>
      </c>
      <c r="AB32" s="6" t="n">
        <v>49814</v>
      </c>
      <c r="AC32" s="6" t="n">
        <v>49814</v>
      </c>
      <c r="AD32" s="6" t="n">
        <v>49814</v>
      </c>
      <c r="AE32" s="4" t="s">
        <v>377</v>
      </c>
      <c r="AF32" s="5" t="s">
        <v>378</v>
      </c>
      <c r="AG32" s="4" t="s">
        <v>78</v>
      </c>
      <c r="AH32" s="4" t="s">
        <v>79</v>
      </c>
      <c r="AI32" s="5" t="s">
        <v>80</v>
      </c>
      <c r="AJ32" s="1" t="n">
        <v>1</v>
      </c>
      <c r="AK32" s="11" t="n">
        <v>1</v>
      </c>
      <c r="AL32" s="12" t="s">
        <v>81</v>
      </c>
      <c r="AM32" s="13" t="str">
        <f>IF(AL32="","",AL32&amp;" - "&amp;IFERROR(VLOOKUP(AL32,CODEBOOK_CAP!$C$2:$D$212,2,FALSE),""))</f>
        <v>0322 - ESTRUTURAS, HOSPITAIS, CLÍNICAS</v>
      </c>
      <c r="AN32" s="13" t="str">
        <f>IF(AL32="","",IFERROR(VLOOKUP(AL32,CODEBOOK_CAP!$C$2:$E$212,3,FALSE),""))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32" s="11" t="n">
        <v>1</v>
      </c>
      <c r="AP32" s="11" t="s">
        <v>379</v>
      </c>
      <c r="AQ32" s="11" t="n">
        <v>1</v>
      </c>
      <c r="AR32" s="11" t="n">
        <v>1</v>
      </c>
      <c r="AS32" s="11" t="s">
        <v>379</v>
      </c>
      <c r="AT32" s="11" t="n">
        <v>0</v>
      </c>
      <c r="AU32" s="11"/>
      <c r="AV32" s="11"/>
      <c r="AW32" s="11"/>
      <c r="AX32" s="7" t="s">
        <v>84</v>
      </c>
      <c r="AY32" s="7"/>
      <c r="AZ32" s="7"/>
      <c r="BA32" s="7"/>
    </row>
    <row r="33" ht="85.5" customHeight="1">
      <c r="A33" s="4" t="s">
        <v>380</v>
      </c>
      <c r="B33" s="4" t="n">
        <v>2022</v>
      </c>
      <c r="C33" s="4" t="n">
        <v>4732</v>
      </c>
      <c r="D33" s="4" t="s">
        <v>54</v>
      </c>
      <c r="E33" s="4" t="s">
        <v>316</v>
      </c>
      <c r="F33" s="5" t="s">
        <v>381</v>
      </c>
      <c r="G33" s="4" t="s">
        <v>57</v>
      </c>
      <c r="H33" s="4" t="s">
        <v>318</v>
      </c>
      <c r="I33" s="4" t="s">
        <v>319</v>
      </c>
      <c r="J33" s="4" t="s">
        <v>382</v>
      </c>
      <c r="K33" s="4" t="s">
        <v>357</v>
      </c>
      <c r="L33" s="5" t="s">
        <v>62</v>
      </c>
      <c r="M33" s="4" t="s">
        <v>63</v>
      </c>
      <c r="N33" s="5" t="s">
        <v>64</v>
      </c>
      <c r="O33" s="4" t="s">
        <v>65</v>
      </c>
      <c r="P33" s="5" t="s">
        <v>66</v>
      </c>
      <c r="Q33" s="4" t="s">
        <v>67</v>
      </c>
      <c r="R33" s="5" t="s">
        <v>68</v>
      </c>
      <c r="S33" s="4" t="s">
        <v>69</v>
      </c>
      <c r="T33" s="5" t="s">
        <v>70</v>
      </c>
      <c r="U33" s="4" t="s">
        <v>71</v>
      </c>
      <c r="V33" s="5" t="s">
        <v>72</v>
      </c>
      <c r="W33" s="4" t="s">
        <v>73</v>
      </c>
      <c r="X33" s="4" t="s">
        <v>74</v>
      </c>
      <c r="Y33" s="5"/>
      <c r="Z33" s="4" t="s">
        <v>75</v>
      </c>
      <c r="AA33" s="6" t="n">
        <v>50000</v>
      </c>
      <c r="AB33" s="6" t="n">
        <v>50000</v>
      </c>
      <c r="AC33" s="6" t="n">
        <v>50000</v>
      </c>
      <c r="AD33" s="6" t="n">
        <v>50000</v>
      </c>
      <c r="AE33" s="4" t="s">
        <v>363</v>
      </c>
      <c r="AF33" s="5" t="s">
        <v>364</v>
      </c>
      <c r="AG33" s="4" t="s">
        <v>78</v>
      </c>
      <c r="AH33" s="4" t="s">
        <v>79</v>
      </c>
      <c r="AI33" s="5" t="s">
        <v>80</v>
      </c>
      <c r="AJ33" s="1" t="n">
        <v>1</v>
      </c>
      <c r="AK33" s="11" t="n">
        <v>1</v>
      </c>
      <c r="AL33" s="12" t="s">
        <v>81</v>
      </c>
      <c r="AM33" s="13" t="str">
        <f>IF(AL33="","",AL33&amp;" - "&amp;IFERROR(VLOOKUP(AL33,CODEBOOK_CAP!$C$2:$D$212,2,FALSE),""))</f>
        <v>0322 - ESTRUTURAS, HOSPITAIS, CLÍNICAS</v>
      </c>
      <c r="AN33" s="13" t="str">
        <f>IF(AL33="","",IFERROR(VLOOKUP(AL33,CODEBOOK_CAP!$C$2:$E$212,3,FALSE),""))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33" s="11" t="n">
        <v>1</v>
      </c>
      <c r="AP33" s="11" t="s">
        <v>383</v>
      </c>
      <c r="AQ33" s="11" t="n">
        <v>1</v>
      </c>
      <c r="AR33" s="11" t="n">
        <v>1</v>
      </c>
      <c r="AS33" s="11" t="s">
        <v>383</v>
      </c>
      <c r="AT33" s="11" t="n">
        <v>0</v>
      </c>
      <c r="AU33" s="11"/>
      <c r="AV33" s="11"/>
      <c r="AW33" s="11"/>
      <c r="AX33" s="7" t="s">
        <v>84</v>
      </c>
      <c r="AY33" s="7"/>
      <c r="AZ33" s="7"/>
      <c r="BA33" s="7"/>
    </row>
    <row r="34" ht="85.5" customHeight="1">
      <c r="A34" s="4" t="s">
        <v>384</v>
      </c>
      <c r="B34" s="4" t="n">
        <v>2022</v>
      </c>
      <c r="C34" s="4" t="n">
        <v>4733</v>
      </c>
      <c r="D34" s="4" t="s">
        <v>54</v>
      </c>
      <c r="E34" s="4" t="s">
        <v>316</v>
      </c>
      <c r="F34" s="5" t="s">
        <v>385</v>
      </c>
      <c r="G34" s="4" t="s">
        <v>57</v>
      </c>
      <c r="H34" s="4" t="s">
        <v>318</v>
      </c>
      <c r="I34" s="4" t="s">
        <v>319</v>
      </c>
      <c r="J34" s="4" t="s">
        <v>386</v>
      </c>
      <c r="K34" s="4" t="s">
        <v>343</v>
      </c>
      <c r="L34" s="5" t="s">
        <v>62</v>
      </c>
      <c r="M34" s="4" t="s">
        <v>63</v>
      </c>
      <c r="N34" s="5" t="s">
        <v>64</v>
      </c>
      <c r="O34" s="4" t="s">
        <v>65</v>
      </c>
      <c r="P34" s="5" t="s">
        <v>344</v>
      </c>
      <c r="Q34" s="4" t="s">
        <v>345</v>
      </c>
      <c r="R34" s="5" t="s">
        <v>346</v>
      </c>
      <c r="S34" s="4" t="s">
        <v>347</v>
      </c>
      <c r="T34" s="5" t="s">
        <v>348</v>
      </c>
      <c r="U34" s="4" t="s">
        <v>349</v>
      </c>
      <c r="V34" s="5" t="s">
        <v>350</v>
      </c>
      <c r="W34" s="4" t="s">
        <v>105</v>
      </c>
      <c r="X34" s="4" t="s">
        <v>106</v>
      </c>
      <c r="Y34" s="5"/>
      <c r="Z34" s="4" t="s">
        <v>75</v>
      </c>
      <c r="AA34" s="6" t="n">
        <v>50000</v>
      </c>
      <c r="AB34" s="6" t="n">
        <v>50000</v>
      </c>
      <c r="AC34" s="6" t="n">
        <v>50000</v>
      </c>
      <c r="AD34" s="6" t="n">
        <v>50000</v>
      </c>
      <c r="AE34" s="4" t="s">
        <v>351</v>
      </c>
      <c r="AF34" s="5" t="s">
        <v>352</v>
      </c>
      <c r="AG34" s="4" t="s">
        <v>78</v>
      </c>
      <c r="AH34" s="4" t="s">
        <v>79</v>
      </c>
      <c r="AI34" s="5" t="s">
        <v>80</v>
      </c>
      <c r="AJ34" s="1" t="n">
        <v>1</v>
      </c>
      <c r="AK34" s="11" t="n">
        <v>1</v>
      </c>
      <c r="AL34" s="12" t="s">
        <v>81</v>
      </c>
      <c r="AM34" s="13" t="str">
        <f>IF(AL34="","",AL34&amp;" - "&amp;IFERROR(VLOOKUP(AL34,CODEBOOK_CAP!$C$2:$D$212,2,FALSE),""))</f>
        <v>0322 - ESTRUTURAS, HOSPITAIS, CLÍNICAS</v>
      </c>
      <c r="AN34" s="13" t="str">
        <f>IF(AL34="","",IFERROR(VLOOKUP(AL34,CODEBOOK_CAP!$C$2:$E$212,3,FALSE),""))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34" s="11" t="n">
        <v>1</v>
      </c>
      <c r="AP34" s="11" t="s">
        <v>387</v>
      </c>
      <c r="AQ34" s="11" t="n">
        <v>2</v>
      </c>
      <c r="AR34" s="11" t="n">
        <v>1</v>
      </c>
      <c r="AS34" s="11" t="s">
        <v>387</v>
      </c>
      <c r="AT34" s="11" t="n">
        <v>0</v>
      </c>
      <c r="AU34" s="11"/>
      <c r="AV34" s="11"/>
      <c r="AW34" s="11"/>
      <c r="AX34" s="7" t="s">
        <v>84</v>
      </c>
      <c r="AY34" s="7"/>
      <c r="AZ34" s="7"/>
      <c r="BA34" s="7"/>
    </row>
    <row r="35" ht="85.5" customHeight="1">
      <c r="A35" s="4" t="s">
        <v>388</v>
      </c>
      <c r="B35" s="4" t="n">
        <v>2022</v>
      </c>
      <c r="C35" s="4" t="n">
        <v>4734</v>
      </c>
      <c r="D35" s="4" t="s">
        <v>54</v>
      </c>
      <c r="E35" s="4" t="s">
        <v>316</v>
      </c>
      <c r="F35" s="5" t="s">
        <v>389</v>
      </c>
      <c r="G35" s="4" t="s">
        <v>57</v>
      </c>
      <c r="H35" s="4" t="s">
        <v>318</v>
      </c>
      <c r="I35" s="4" t="s">
        <v>319</v>
      </c>
      <c r="J35" s="4" t="s">
        <v>390</v>
      </c>
      <c r="K35" s="4" t="s">
        <v>343</v>
      </c>
      <c r="L35" s="5" t="s">
        <v>62</v>
      </c>
      <c r="M35" s="4" t="s">
        <v>63</v>
      </c>
      <c r="N35" s="5" t="s">
        <v>64</v>
      </c>
      <c r="O35" s="4" t="s">
        <v>65</v>
      </c>
      <c r="P35" s="5" t="s">
        <v>344</v>
      </c>
      <c r="Q35" s="4" t="s">
        <v>345</v>
      </c>
      <c r="R35" s="5" t="s">
        <v>346</v>
      </c>
      <c r="S35" s="4" t="s">
        <v>347</v>
      </c>
      <c r="T35" s="5" t="s">
        <v>348</v>
      </c>
      <c r="U35" s="4" t="s">
        <v>349</v>
      </c>
      <c r="V35" s="5" t="s">
        <v>350</v>
      </c>
      <c r="W35" s="4" t="s">
        <v>105</v>
      </c>
      <c r="X35" s="4" t="s">
        <v>106</v>
      </c>
      <c r="Y35" s="5"/>
      <c r="Z35" s="4" t="s">
        <v>75</v>
      </c>
      <c r="AA35" s="6" t="n">
        <v>50000</v>
      </c>
      <c r="AB35" s="6" t="n">
        <v>50000</v>
      </c>
      <c r="AC35" s="6" t="n">
        <v>50000</v>
      </c>
      <c r="AD35" s="6" t="n">
        <v>50000</v>
      </c>
      <c r="AE35" s="4" t="s">
        <v>351</v>
      </c>
      <c r="AF35" s="5" t="s">
        <v>352</v>
      </c>
      <c r="AG35" s="4" t="s">
        <v>78</v>
      </c>
      <c r="AH35" s="4" t="s">
        <v>79</v>
      </c>
      <c r="AI35" s="5" t="s">
        <v>80</v>
      </c>
      <c r="AJ35" s="1" t="n">
        <v>1</v>
      </c>
      <c r="AK35" s="11" t="n">
        <v>1</v>
      </c>
      <c r="AL35" s="12" t="s">
        <v>81</v>
      </c>
      <c r="AM35" s="13" t="str">
        <f>IF(AL35="","",AL35&amp;" - "&amp;IFERROR(VLOOKUP(AL35,CODEBOOK_CAP!$C$2:$D$212,2,FALSE),""))</f>
        <v>0322 - ESTRUTURAS, HOSPITAIS, CLÍNICAS</v>
      </c>
      <c r="AN35" s="13" t="str">
        <f>IF(AL35="","",IFERROR(VLOOKUP(AL35,CODEBOOK_CAP!$C$2:$E$212,3,FALSE),""))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35" s="11" t="n">
        <v>1</v>
      </c>
      <c r="AP35" s="11" t="s">
        <v>391</v>
      </c>
      <c r="AQ35" s="11" t="n">
        <v>1</v>
      </c>
      <c r="AR35" s="11" t="n">
        <v>1</v>
      </c>
      <c r="AS35" s="11" t="s">
        <v>391</v>
      </c>
      <c r="AT35" s="11" t="n">
        <v>0</v>
      </c>
      <c r="AU35" s="11"/>
      <c r="AV35" s="11"/>
      <c r="AW35" s="11"/>
      <c r="AX35" s="7" t="s">
        <v>84</v>
      </c>
      <c r="AY35" s="7"/>
      <c r="AZ35" s="7"/>
      <c r="BA35" s="7"/>
    </row>
    <row r="36" ht="85.5" customHeight="1">
      <c r="A36" s="4" t="s">
        <v>392</v>
      </c>
      <c r="B36" s="4" t="n">
        <v>2022</v>
      </c>
      <c r="C36" s="4" t="n">
        <v>4735</v>
      </c>
      <c r="D36" s="4" t="s">
        <v>54</v>
      </c>
      <c r="E36" s="4" t="s">
        <v>316</v>
      </c>
      <c r="F36" s="5" t="s">
        <v>393</v>
      </c>
      <c r="G36" s="4" t="s">
        <v>57</v>
      </c>
      <c r="H36" s="4" t="s">
        <v>318</v>
      </c>
      <c r="I36" s="4" t="s">
        <v>319</v>
      </c>
      <c r="J36" s="4" t="s">
        <v>394</v>
      </c>
      <c r="K36" s="4" t="s">
        <v>357</v>
      </c>
      <c r="L36" s="5" t="s">
        <v>62</v>
      </c>
      <c r="M36" s="4" t="s">
        <v>63</v>
      </c>
      <c r="N36" s="5" t="s">
        <v>64</v>
      </c>
      <c r="O36" s="4" t="s">
        <v>65</v>
      </c>
      <c r="P36" s="5" t="s">
        <v>66</v>
      </c>
      <c r="Q36" s="4" t="s">
        <v>67</v>
      </c>
      <c r="R36" s="5" t="s">
        <v>68</v>
      </c>
      <c r="S36" s="4" t="s">
        <v>69</v>
      </c>
      <c r="T36" s="5" t="s">
        <v>70</v>
      </c>
      <c r="U36" s="4" t="s">
        <v>71</v>
      </c>
      <c r="V36" s="5" t="s">
        <v>72</v>
      </c>
      <c r="W36" s="4" t="s">
        <v>73</v>
      </c>
      <c r="X36" s="4" t="s">
        <v>74</v>
      </c>
      <c r="Y36" s="5"/>
      <c r="Z36" s="4" t="s">
        <v>75</v>
      </c>
      <c r="AA36" s="6" t="n">
        <v>50000</v>
      </c>
      <c r="AB36" s="6" t="n">
        <v>0</v>
      </c>
      <c r="AC36" s="6" t="n">
        <v>0</v>
      </c>
      <c r="AD36" s="6" t="n">
        <v>0</v>
      </c>
      <c r="AE36" s="4" t="s">
        <v>395</v>
      </c>
      <c r="AF36" s="5" t="s">
        <v>396</v>
      </c>
      <c r="AG36" s="4" t="s">
        <v>115</v>
      </c>
      <c r="AH36" s="4" t="s">
        <v>115</v>
      </c>
      <c r="AI36" s="5" t="s">
        <v>115</v>
      </c>
      <c r="AJ36" s="1" t="n">
        <v>1</v>
      </c>
      <c r="AK36" s="11" t="n">
        <v>1</v>
      </c>
      <c r="AL36" s="12" t="s">
        <v>81</v>
      </c>
      <c r="AM36" s="13" t="str">
        <f>IF(AL36="","",AL36&amp;" - "&amp;IFERROR(VLOOKUP(AL36,CODEBOOK_CAP!$C$2:$D$212,2,FALSE),""))</f>
        <v>0322 - ESTRUTURAS, HOSPITAIS, CLÍNICAS</v>
      </c>
      <c r="AN36" s="13" t="str">
        <f>IF(AL36="","",IFERROR(VLOOKUP(AL36,CODEBOOK_CAP!$C$2:$E$212,3,FALSE),""))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36" s="11" t="n">
        <v>1</v>
      </c>
      <c r="AP36" s="11" t="s">
        <v>397</v>
      </c>
      <c r="AQ36" s="11" t="n">
        <v>1</v>
      </c>
      <c r="AR36" s="11" t="n">
        <v>1</v>
      </c>
      <c r="AS36" s="11" t="s">
        <v>397</v>
      </c>
      <c r="AT36" s="11" t="n">
        <v>0</v>
      </c>
      <c r="AU36" s="11"/>
      <c r="AV36" s="11"/>
      <c r="AW36" s="11"/>
      <c r="AX36" s="7" t="s">
        <v>84</v>
      </c>
      <c r="AY36" s="7"/>
      <c r="AZ36" s="7"/>
      <c r="BA36" s="7"/>
    </row>
    <row r="37" ht="85.5" customHeight="1">
      <c r="A37" s="4" t="s">
        <v>398</v>
      </c>
      <c r="B37" s="4" t="n">
        <v>2022</v>
      </c>
      <c r="C37" s="4" t="n">
        <v>4736</v>
      </c>
      <c r="D37" s="4" t="s">
        <v>54</v>
      </c>
      <c r="E37" s="4" t="s">
        <v>316</v>
      </c>
      <c r="F37" s="5" t="s">
        <v>399</v>
      </c>
      <c r="G37" s="4" t="s">
        <v>57</v>
      </c>
      <c r="H37" s="4" t="s">
        <v>318</v>
      </c>
      <c r="I37" s="4" t="s">
        <v>319</v>
      </c>
      <c r="J37" s="4" t="s">
        <v>400</v>
      </c>
      <c r="K37" s="4" t="s">
        <v>343</v>
      </c>
      <c r="L37" s="5" t="s">
        <v>62</v>
      </c>
      <c r="M37" s="4" t="s">
        <v>63</v>
      </c>
      <c r="N37" s="5" t="s">
        <v>64</v>
      </c>
      <c r="O37" s="4" t="s">
        <v>65</v>
      </c>
      <c r="P37" s="5" t="s">
        <v>344</v>
      </c>
      <c r="Q37" s="4" t="s">
        <v>345</v>
      </c>
      <c r="R37" s="5" t="s">
        <v>346</v>
      </c>
      <c r="S37" s="4" t="s">
        <v>347</v>
      </c>
      <c r="T37" s="5" t="s">
        <v>348</v>
      </c>
      <c r="U37" s="4" t="s">
        <v>349</v>
      </c>
      <c r="V37" s="5" t="s">
        <v>350</v>
      </c>
      <c r="W37" s="4" t="s">
        <v>105</v>
      </c>
      <c r="X37" s="4" t="s">
        <v>106</v>
      </c>
      <c r="Y37" s="5"/>
      <c r="Z37" s="4" t="s">
        <v>75</v>
      </c>
      <c r="AA37" s="6" t="n">
        <v>44610</v>
      </c>
      <c r="AB37" s="6" t="n">
        <v>44610</v>
      </c>
      <c r="AC37" s="6" t="n">
        <v>44610</v>
      </c>
      <c r="AD37" s="6" t="n">
        <v>44610</v>
      </c>
      <c r="AE37" s="4" t="s">
        <v>351</v>
      </c>
      <c r="AF37" s="5" t="s">
        <v>352</v>
      </c>
      <c r="AG37" s="4" t="s">
        <v>78</v>
      </c>
      <c r="AH37" s="4" t="s">
        <v>79</v>
      </c>
      <c r="AI37" s="5" t="s">
        <v>80</v>
      </c>
      <c r="AJ37" s="1" t="n">
        <v>1</v>
      </c>
      <c r="AK37" s="11" t="n">
        <v>1</v>
      </c>
      <c r="AL37" s="12" t="s">
        <v>81</v>
      </c>
      <c r="AM37" s="13" t="str">
        <f>IF(AL37="","",AL37&amp;" - "&amp;IFERROR(VLOOKUP(AL37,CODEBOOK_CAP!$C$2:$D$212,2,FALSE),""))</f>
        <v>0322 - ESTRUTURAS, HOSPITAIS, CLÍNICAS</v>
      </c>
      <c r="AN37" s="13" t="str">
        <f>IF(AL37="","",IFERROR(VLOOKUP(AL37,CODEBOOK_CAP!$C$2:$E$212,3,FALSE),""))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37" s="11" t="n">
        <v>1</v>
      </c>
      <c r="AP37" s="11" t="s">
        <v>401</v>
      </c>
      <c r="AQ37" s="11" t="n">
        <v>1</v>
      </c>
      <c r="AR37" s="11" t="n">
        <v>1</v>
      </c>
      <c r="AS37" s="11" t="s">
        <v>401</v>
      </c>
      <c r="AT37" s="11" t="n">
        <v>0</v>
      </c>
      <c r="AU37" s="11"/>
      <c r="AV37" s="11"/>
      <c r="AW37" s="11"/>
      <c r="AX37" s="7" t="s">
        <v>84</v>
      </c>
      <c r="AY37" s="7"/>
      <c r="AZ37" s="7"/>
      <c r="BA37" s="7"/>
    </row>
    <row r="38" ht="85.5" customHeight="1">
      <c r="A38" s="4" t="s">
        <v>402</v>
      </c>
      <c r="B38" s="4" t="n">
        <v>2022</v>
      </c>
      <c r="C38" s="4" t="n">
        <v>4737</v>
      </c>
      <c r="D38" s="4" t="s">
        <v>54</v>
      </c>
      <c r="E38" s="4" t="s">
        <v>316</v>
      </c>
      <c r="F38" s="5" t="s">
        <v>403</v>
      </c>
      <c r="G38" s="4" t="s">
        <v>289</v>
      </c>
      <c r="H38" s="4" t="s">
        <v>318</v>
      </c>
      <c r="I38" s="4" t="s">
        <v>319</v>
      </c>
      <c r="J38" s="4" t="s">
        <v>404</v>
      </c>
      <c r="K38" s="4" t="s">
        <v>115</v>
      </c>
      <c r="L38" s="5"/>
      <c r="M38" s="4"/>
      <c r="N38" s="5"/>
      <c r="O38" s="4"/>
      <c r="P38" s="5"/>
      <c r="Q38" s="4"/>
      <c r="R38" s="5"/>
      <c r="S38" s="4"/>
      <c r="T38" s="5"/>
      <c r="U38" s="4"/>
      <c r="V38" s="5"/>
      <c r="W38" s="4"/>
      <c r="X38" s="4"/>
      <c r="Y38" s="5"/>
      <c r="Z38" s="4" t="s">
        <v>289</v>
      </c>
      <c r="AA38" s="6" t="n">
        <v>100000</v>
      </c>
      <c r="AB38" s="6"/>
      <c r="AC38" s="6"/>
      <c r="AD38" s="6"/>
      <c r="AE38" s="4" t="s">
        <v>115</v>
      </c>
      <c r="AF38" s="5" t="s">
        <v>115</v>
      </c>
      <c r="AG38" s="4" t="s">
        <v>115</v>
      </c>
      <c r="AH38" s="4" t="s">
        <v>115</v>
      </c>
      <c r="AI38" s="5" t="s">
        <v>115</v>
      </c>
      <c r="AJ38" s="1" t="n">
        <v>1</v>
      </c>
      <c r="AK38" s="11" t="n">
        <v>1</v>
      </c>
      <c r="AL38" s="12" t="s">
        <v>81</v>
      </c>
      <c r="AM38" s="13" t="str">
        <f>IF(AL38="","",AL38&amp;" - "&amp;IFERROR(VLOOKUP(AL38,CODEBOOK_CAP!$C$2:$D$212,2,FALSE),""))</f>
        <v>0322 - ESTRUTURAS, HOSPITAIS, CLÍNICAS</v>
      </c>
      <c r="AN38" s="13" t="str">
        <f>IF(AL38="","",IFERROR(VLOOKUP(AL38,CODEBOOK_CAP!$C$2:$E$212,3,FALSE),""))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38" s="11" t="n">
        <v>1</v>
      </c>
      <c r="AP38" s="11" t="s">
        <v>405</v>
      </c>
      <c r="AQ38" s="11" t="n">
        <v>1</v>
      </c>
      <c r="AR38" s="11" t="n">
        <v>1</v>
      </c>
      <c r="AS38" s="11" t="s">
        <v>405</v>
      </c>
      <c r="AT38" s="11" t="n">
        <v>0</v>
      </c>
      <c r="AU38" s="11"/>
      <c r="AV38" s="11"/>
      <c r="AW38" s="11"/>
      <c r="AX38" s="7" t="s">
        <v>84</v>
      </c>
      <c r="AY38" s="7"/>
      <c r="AZ38" s="7"/>
      <c r="BA38" s="7"/>
    </row>
    <row r="39" ht="85.5" customHeight="1">
      <c r="A39" s="4" t="s">
        <v>406</v>
      </c>
      <c r="B39" s="4" t="n">
        <v>2022</v>
      </c>
      <c r="C39" s="4" t="n">
        <v>4753</v>
      </c>
      <c r="D39" s="4" t="s">
        <v>54</v>
      </c>
      <c r="E39" s="4" t="s">
        <v>316</v>
      </c>
      <c r="F39" s="5" t="s">
        <v>407</v>
      </c>
      <c r="G39" s="4" t="s">
        <v>57</v>
      </c>
      <c r="H39" s="4" t="s">
        <v>318</v>
      </c>
      <c r="I39" s="4" t="s">
        <v>319</v>
      </c>
      <c r="J39" s="4" t="s">
        <v>408</v>
      </c>
      <c r="K39" s="4" t="s">
        <v>357</v>
      </c>
      <c r="L39" s="5" t="s">
        <v>62</v>
      </c>
      <c r="M39" s="4" t="s">
        <v>63</v>
      </c>
      <c r="N39" s="5" t="s">
        <v>64</v>
      </c>
      <c r="O39" s="4" t="s">
        <v>65</v>
      </c>
      <c r="P39" s="5" t="s">
        <v>66</v>
      </c>
      <c r="Q39" s="4" t="s">
        <v>67</v>
      </c>
      <c r="R39" s="5" t="s">
        <v>68</v>
      </c>
      <c r="S39" s="4" t="s">
        <v>69</v>
      </c>
      <c r="T39" s="5" t="s">
        <v>70</v>
      </c>
      <c r="U39" s="4" t="s">
        <v>71</v>
      </c>
      <c r="V39" s="5" t="s">
        <v>72</v>
      </c>
      <c r="W39" s="4" t="s">
        <v>73</v>
      </c>
      <c r="X39" s="4" t="s">
        <v>74</v>
      </c>
      <c r="Y39" s="5"/>
      <c r="Z39" s="4" t="s">
        <v>75</v>
      </c>
      <c r="AA39" s="6" t="n">
        <v>44610</v>
      </c>
      <c r="AB39" s="6" t="n">
        <v>44610</v>
      </c>
      <c r="AC39" s="6" t="n">
        <v>44610</v>
      </c>
      <c r="AD39" s="6" t="n">
        <v>44610</v>
      </c>
      <c r="AE39" s="4" t="s">
        <v>409</v>
      </c>
      <c r="AF39" s="5" t="s">
        <v>410</v>
      </c>
      <c r="AG39" s="4" t="s">
        <v>78</v>
      </c>
      <c r="AH39" s="4" t="s">
        <v>79</v>
      </c>
      <c r="AI39" s="5" t="s">
        <v>80</v>
      </c>
      <c r="AJ39" s="1" t="n">
        <v>1</v>
      </c>
      <c r="AK39" s="11" t="n">
        <v>1</v>
      </c>
      <c r="AL39" s="12" t="s">
        <v>81</v>
      </c>
      <c r="AM39" s="13" t="str">
        <f>IF(AL39="","",AL39&amp;" - "&amp;IFERROR(VLOOKUP(AL39,CODEBOOK_CAP!$C$2:$D$212,2,FALSE),""))</f>
        <v>0322 - ESTRUTURAS, HOSPITAIS, CLÍNICAS</v>
      </c>
      <c r="AN39" s="13" t="str">
        <f>IF(AL39="","",IFERROR(VLOOKUP(AL39,CODEBOOK_CAP!$C$2:$E$212,3,FALSE),""))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39" s="11" t="n">
        <v>1</v>
      </c>
      <c r="AP39" s="11" t="s">
        <v>411</v>
      </c>
      <c r="AQ39" s="11" t="n">
        <v>1</v>
      </c>
      <c r="AR39" s="11" t="n">
        <v>1</v>
      </c>
      <c r="AS39" s="11" t="s">
        <v>411</v>
      </c>
      <c r="AT39" s="11" t="n">
        <v>0</v>
      </c>
      <c r="AU39" s="11"/>
      <c r="AV39" s="11"/>
      <c r="AW39" s="11"/>
      <c r="AX39" s="7" t="s">
        <v>84</v>
      </c>
      <c r="AY39" s="7"/>
      <c r="AZ39" s="7"/>
      <c r="BA39" s="7"/>
    </row>
    <row r="40" ht="71.25" customHeight="1">
      <c r="A40" s="4" t="s">
        <v>412</v>
      </c>
      <c r="B40" s="4" t="n">
        <v>2022</v>
      </c>
      <c r="C40" s="4" t="n">
        <v>4754</v>
      </c>
      <c r="D40" s="4" t="s">
        <v>54</v>
      </c>
      <c r="E40" s="4" t="s">
        <v>316</v>
      </c>
      <c r="F40" s="5" t="s">
        <v>413</v>
      </c>
      <c r="G40" s="4" t="s">
        <v>57</v>
      </c>
      <c r="H40" s="4" t="s">
        <v>318</v>
      </c>
      <c r="I40" s="4" t="s">
        <v>319</v>
      </c>
      <c r="J40" s="4" t="s">
        <v>414</v>
      </c>
      <c r="K40" s="4" t="s">
        <v>415</v>
      </c>
      <c r="L40" s="5" t="s">
        <v>122</v>
      </c>
      <c r="M40" s="4" t="s">
        <v>123</v>
      </c>
      <c r="N40" s="5" t="s">
        <v>227</v>
      </c>
      <c r="O40" s="4" t="s">
        <v>228</v>
      </c>
      <c r="P40" s="5" t="s">
        <v>229</v>
      </c>
      <c r="Q40" s="4" t="s">
        <v>230</v>
      </c>
      <c r="R40" s="5" t="s">
        <v>322</v>
      </c>
      <c r="S40" s="4" t="s">
        <v>323</v>
      </c>
      <c r="T40" s="5" t="s">
        <v>416</v>
      </c>
      <c r="U40" s="4" t="s">
        <v>417</v>
      </c>
      <c r="V40" s="5" t="s">
        <v>72</v>
      </c>
      <c r="W40" s="4" t="s">
        <v>73</v>
      </c>
      <c r="X40" s="4" t="s">
        <v>74</v>
      </c>
      <c r="Y40" s="5"/>
      <c r="Z40" s="4" t="s">
        <v>132</v>
      </c>
      <c r="AA40" s="6" t="n">
        <v>20220</v>
      </c>
      <c r="AB40" s="6" t="n">
        <v>6466</v>
      </c>
      <c r="AC40" s="6" t="n">
        <v>6466</v>
      </c>
      <c r="AD40" s="6" t="n">
        <v>6466</v>
      </c>
      <c r="AE40" s="4" t="s">
        <v>418</v>
      </c>
      <c r="AF40" s="5" t="s">
        <v>419</v>
      </c>
      <c r="AG40" s="4" t="s">
        <v>78</v>
      </c>
      <c r="AH40" s="4" t="s">
        <v>79</v>
      </c>
      <c r="AI40" s="5" t="s">
        <v>80</v>
      </c>
      <c r="AJ40" s="1" t="n">
        <v>0</v>
      </c>
      <c r="AK40" s="11" t="n">
        <v>0</v>
      </c>
      <c r="AL40" s="12" t="s">
        <v>328</v>
      </c>
      <c r="AM40" s="13" t="str">
        <f>IF(AL40="","",AL40&amp;" - "&amp;IFERROR(VLOOKUP(AL40,CODEBOOK_CAP!$C$2:$D$212,2,FALSE),""))</f>
        <v>1403 - REABILITAÇÃO URBANA, ECONOMIA URBANA</v>
      </c>
      <c r="AN40" s="13" t="str">
        <f>IF(AL40="","",IFERROR(VLOOKUP(AL40,CODEBOOK_CAP!$C$2:$E$212,3,FALSE),""))</f>
        <v>Reabilitação de áreas urbanas, revitalização urbana, modernização de áreas, mercados públicos, revitalização de praças, política urbana nacional, desenvolvimento urbano , desenvolvimento econômico de estados e cidades, modernização de espaços urbanos</v>
      </c>
      <c r="AO40" s="11" t="n">
        <v>1</v>
      </c>
      <c r="AP40" s="11" t="s">
        <v>420</v>
      </c>
      <c r="AQ40" s="11" t="n">
        <v>1</v>
      </c>
      <c r="AR40" s="11" t="n">
        <v>1</v>
      </c>
      <c r="AS40" s="11" t="s">
        <v>420</v>
      </c>
      <c r="AT40" s="11" t="n">
        <v>0</v>
      </c>
      <c r="AU40" s="11"/>
      <c r="AV40" s="11"/>
      <c r="AW40" s="11"/>
      <c r="AX40" s="7" t="s">
        <v>84</v>
      </c>
      <c r="AY40" s="7"/>
      <c r="AZ40" s="7"/>
      <c r="BA40" s="7"/>
    </row>
    <row r="41" ht="85.5" customHeight="1">
      <c r="A41" s="4" t="s">
        <v>421</v>
      </c>
      <c r="B41" s="4" t="n">
        <v>2022</v>
      </c>
      <c r="C41" s="4" t="n">
        <v>4755</v>
      </c>
      <c r="D41" s="4" t="s">
        <v>54</v>
      </c>
      <c r="E41" s="4" t="s">
        <v>316</v>
      </c>
      <c r="F41" s="5" t="s">
        <v>422</v>
      </c>
      <c r="G41" s="4" t="s">
        <v>57</v>
      </c>
      <c r="H41" s="4" t="s">
        <v>318</v>
      </c>
      <c r="I41" s="4" t="s">
        <v>319</v>
      </c>
      <c r="J41" s="4" t="s">
        <v>423</v>
      </c>
      <c r="K41" s="4" t="s">
        <v>357</v>
      </c>
      <c r="L41" s="5" t="s">
        <v>62</v>
      </c>
      <c r="M41" s="4" t="s">
        <v>63</v>
      </c>
      <c r="N41" s="5" t="s">
        <v>64</v>
      </c>
      <c r="O41" s="4" t="s">
        <v>65</v>
      </c>
      <c r="P41" s="5" t="s">
        <v>66</v>
      </c>
      <c r="Q41" s="4" t="s">
        <v>67</v>
      </c>
      <c r="R41" s="5" t="s">
        <v>68</v>
      </c>
      <c r="S41" s="4" t="s">
        <v>69</v>
      </c>
      <c r="T41" s="5" t="s">
        <v>70</v>
      </c>
      <c r="U41" s="4" t="s">
        <v>71</v>
      </c>
      <c r="V41" s="5" t="s">
        <v>72</v>
      </c>
      <c r="W41" s="4" t="s">
        <v>73</v>
      </c>
      <c r="X41" s="4" t="s">
        <v>74</v>
      </c>
      <c r="Y41" s="5"/>
      <c r="Z41" s="4" t="s">
        <v>75</v>
      </c>
      <c r="AA41" s="6" t="n">
        <v>80000</v>
      </c>
      <c r="AB41" s="6" t="n">
        <v>71844</v>
      </c>
      <c r="AC41" s="6" t="n">
        <v>71844</v>
      </c>
      <c r="AD41" s="6" t="n">
        <v>71844</v>
      </c>
      <c r="AE41" s="4" t="s">
        <v>363</v>
      </c>
      <c r="AF41" s="5" t="s">
        <v>364</v>
      </c>
      <c r="AG41" s="4" t="s">
        <v>78</v>
      </c>
      <c r="AH41" s="4" t="s">
        <v>79</v>
      </c>
      <c r="AI41" s="5" t="s">
        <v>80</v>
      </c>
      <c r="AJ41" s="1" t="n">
        <v>1</v>
      </c>
      <c r="AK41" s="11" t="n">
        <v>1</v>
      </c>
      <c r="AL41" s="12" t="s">
        <v>81</v>
      </c>
      <c r="AM41" s="13" t="str">
        <f>IF(AL41="","",AL41&amp;" - "&amp;IFERROR(VLOOKUP(AL41,CODEBOOK_CAP!$C$2:$D$212,2,FALSE),""))</f>
        <v>0322 - ESTRUTURAS, HOSPITAIS, CLÍNICAS</v>
      </c>
      <c r="AN41" s="13" t="str">
        <f>IF(AL41="","",IFERROR(VLOOKUP(AL41,CODEBOOK_CAP!$C$2:$E$212,3,FALSE),""))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41" s="11" t="n">
        <v>1</v>
      </c>
      <c r="AP41" s="11" t="s">
        <v>424</v>
      </c>
      <c r="AQ41" s="11" t="n">
        <v>1</v>
      </c>
      <c r="AR41" s="11" t="n">
        <v>1</v>
      </c>
      <c r="AS41" s="11" t="s">
        <v>424</v>
      </c>
      <c r="AT41" s="11" t="n">
        <v>0</v>
      </c>
      <c r="AU41" s="11"/>
      <c r="AV41" s="11"/>
      <c r="AW41" s="11"/>
      <c r="AX41" s="7" t="s">
        <v>84</v>
      </c>
      <c r="AY41" s="7"/>
      <c r="AZ41" s="7"/>
      <c r="BA41" s="7"/>
    </row>
    <row r="42" ht="85.5" customHeight="1">
      <c r="A42" s="4" t="s">
        <v>425</v>
      </c>
      <c r="B42" s="4" t="n">
        <v>2022</v>
      </c>
      <c r="C42" s="4" t="n">
        <v>4756</v>
      </c>
      <c r="D42" s="4" t="s">
        <v>54</v>
      </c>
      <c r="E42" s="4" t="s">
        <v>316</v>
      </c>
      <c r="F42" s="5" t="s">
        <v>426</v>
      </c>
      <c r="G42" s="4" t="s">
        <v>57</v>
      </c>
      <c r="H42" s="4" t="s">
        <v>318</v>
      </c>
      <c r="I42" s="4" t="s">
        <v>319</v>
      </c>
      <c r="J42" s="4" t="s">
        <v>427</v>
      </c>
      <c r="K42" s="4" t="s">
        <v>428</v>
      </c>
      <c r="L42" s="5" t="s">
        <v>62</v>
      </c>
      <c r="M42" s="4" t="s">
        <v>63</v>
      </c>
      <c r="N42" s="5" t="s">
        <v>64</v>
      </c>
      <c r="O42" s="4" t="s">
        <v>65</v>
      </c>
      <c r="P42" s="5" t="s">
        <v>193</v>
      </c>
      <c r="Q42" s="4" t="s">
        <v>194</v>
      </c>
      <c r="R42" s="5" t="s">
        <v>195</v>
      </c>
      <c r="S42" s="4" t="s">
        <v>196</v>
      </c>
      <c r="T42" s="5" t="s">
        <v>429</v>
      </c>
      <c r="U42" s="4" t="s">
        <v>430</v>
      </c>
      <c r="V42" s="5" t="s">
        <v>104</v>
      </c>
      <c r="W42" s="4" t="s">
        <v>105</v>
      </c>
      <c r="X42" s="4" t="s">
        <v>106</v>
      </c>
      <c r="Y42" s="5"/>
      <c r="Z42" s="4" t="s">
        <v>75</v>
      </c>
      <c r="AA42" s="6" t="n">
        <v>80000</v>
      </c>
      <c r="AB42" s="6" t="n">
        <v>80000</v>
      </c>
      <c r="AC42" s="6" t="n">
        <v>80000</v>
      </c>
      <c r="AD42" s="6" t="n">
        <v>80000</v>
      </c>
      <c r="AE42" s="4" t="s">
        <v>431</v>
      </c>
      <c r="AF42" s="5" t="s">
        <v>432</v>
      </c>
      <c r="AG42" s="4" t="s">
        <v>433</v>
      </c>
      <c r="AH42" s="4" t="s">
        <v>433</v>
      </c>
      <c r="AI42" s="5"/>
      <c r="AJ42" s="1" t="n">
        <v>1</v>
      </c>
      <c r="AK42" s="11" t="n">
        <v>1</v>
      </c>
      <c r="AL42" s="12" t="s">
        <v>81</v>
      </c>
      <c r="AM42" s="13" t="str">
        <f>IF(AL42="","",AL42&amp;" - "&amp;IFERROR(VLOOKUP(AL42,CODEBOOK_CAP!$C$2:$D$212,2,FALSE),""))</f>
        <v>0322 - ESTRUTURAS, HOSPITAIS, CLÍNICAS</v>
      </c>
      <c r="AN42" s="13" t="str">
        <f>IF(AL42="","",IFERROR(VLOOKUP(AL42,CODEBOOK_CAP!$C$2:$E$212,3,FALSE),""))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42" s="11" t="n">
        <v>0</v>
      </c>
      <c r="AP42" s="11"/>
      <c r="AQ42" s="11" t="n">
        <v>1</v>
      </c>
      <c r="AR42" s="11" t="n">
        <v>1</v>
      </c>
      <c r="AS42" s="11" t="s">
        <v>434</v>
      </c>
      <c r="AT42" s="11" t="n">
        <v>0</v>
      </c>
      <c r="AU42" s="11"/>
      <c r="AV42" s="11"/>
      <c r="AW42" s="11"/>
      <c r="AX42" s="7" t="s">
        <v>84</v>
      </c>
      <c r="AY42" s="7"/>
      <c r="AZ42" s="7"/>
      <c r="BA42" s="7"/>
    </row>
    <row r="43" ht="85.5" customHeight="1">
      <c r="A43" s="4" t="s">
        <v>435</v>
      </c>
      <c r="B43" s="4" t="n">
        <v>2022</v>
      </c>
      <c r="C43" s="4" t="n">
        <v>4757</v>
      </c>
      <c r="D43" s="4" t="s">
        <v>54</v>
      </c>
      <c r="E43" s="4" t="s">
        <v>316</v>
      </c>
      <c r="F43" s="5" t="s">
        <v>436</v>
      </c>
      <c r="G43" s="4" t="s">
        <v>57</v>
      </c>
      <c r="H43" s="4" t="s">
        <v>318</v>
      </c>
      <c r="I43" s="4" t="s">
        <v>319</v>
      </c>
      <c r="J43" s="4" t="s">
        <v>437</v>
      </c>
      <c r="K43" s="4" t="s">
        <v>428</v>
      </c>
      <c r="L43" s="5" t="s">
        <v>62</v>
      </c>
      <c r="M43" s="4" t="s">
        <v>63</v>
      </c>
      <c r="N43" s="5" t="s">
        <v>64</v>
      </c>
      <c r="O43" s="4" t="s">
        <v>65</v>
      </c>
      <c r="P43" s="5" t="s">
        <v>193</v>
      </c>
      <c r="Q43" s="4" t="s">
        <v>194</v>
      </c>
      <c r="R43" s="5" t="s">
        <v>195</v>
      </c>
      <c r="S43" s="4" t="s">
        <v>196</v>
      </c>
      <c r="T43" s="5" t="s">
        <v>429</v>
      </c>
      <c r="U43" s="4" t="s">
        <v>430</v>
      </c>
      <c r="V43" s="5" t="s">
        <v>104</v>
      </c>
      <c r="W43" s="4" t="s">
        <v>105</v>
      </c>
      <c r="X43" s="4" t="s">
        <v>106</v>
      </c>
      <c r="Y43" s="5"/>
      <c r="Z43" s="4" t="s">
        <v>75</v>
      </c>
      <c r="AA43" s="6" t="n">
        <v>80000</v>
      </c>
      <c r="AB43" s="6" t="n">
        <v>80000</v>
      </c>
      <c r="AC43" s="6" t="n">
        <v>80000</v>
      </c>
      <c r="AD43" s="6" t="n">
        <v>80000</v>
      </c>
      <c r="AE43" s="4" t="s">
        <v>438</v>
      </c>
      <c r="AF43" s="5" t="s">
        <v>439</v>
      </c>
      <c r="AG43" s="4" t="s">
        <v>433</v>
      </c>
      <c r="AH43" s="4" t="s">
        <v>433</v>
      </c>
      <c r="AI43" s="5"/>
      <c r="AJ43" s="1" t="n">
        <v>1</v>
      </c>
      <c r="AK43" s="11" t="n">
        <v>1</v>
      </c>
      <c r="AL43" s="12" t="s">
        <v>81</v>
      </c>
      <c r="AM43" s="13" t="str">
        <f>IF(AL43="","",AL43&amp;" - "&amp;IFERROR(VLOOKUP(AL43,CODEBOOK_CAP!$C$2:$D$212,2,FALSE),""))</f>
        <v>0322 - ESTRUTURAS, HOSPITAIS, CLÍNICAS</v>
      </c>
      <c r="AN43" s="13" t="str">
        <f>IF(AL43="","",IFERROR(VLOOKUP(AL43,CODEBOOK_CAP!$C$2:$E$212,3,FALSE),""))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43" s="11" t="n">
        <v>0</v>
      </c>
      <c r="AP43" s="11"/>
      <c r="AQ43" s="11" t="n">
        <v>1</v>
      </c>
      <c r="AR43" s="11" t="n">
        <v>1</v>
      </c>
      <c r="AS43" s="11" t="s">
        <v>440</v>
      </c>
      <c r="AT43" s="11" t="n">
        <v>0</v>
      </c>
      <c r="AU43" s="11"/>
      <c r="AV43" s="11"/>
      <c r="AW43" s="11"/>
      <c r="AX43" s="7" t="s">
        <v>84</v>
      </c>
      <c r="AY43" s="7"/>
      <c r="AZ43" s="7"/>
      <c r="BA43" s="7"/>
    </row>
    <row r="44" ht="85.5" customHeight="1">
      <c r="A44" s="4" t="s">
        <v>441</v>
      </c>
      <c r="B44" s="4" t="n">
        <v>2022</v>
      </c>
      <c r="C44" s="4" t="n">
        <v>4758</v>
      </c>
      <c r="D44" s="4" t="s">
        <v>54</v>
      </c>
      <c r="E44" s="4" t="s">
        <v>316</v>
      </c>
      <c r="F44" s="5" t="s">
        <v>442</v>
      </c>
      <c r="G44" s="4" t="s">
        <v>57</v>
      </c>
      <c r="H44" s="4" t="s">
        <v>318</v>
      </c>
      <c r="I44" s="4" t="s">
        <v>319</v>
      </c>
      <c r="J44" s="4" t="s">
        <v>443</v>
      </c>
      <c r="K44" s="4" t="s">
        <v>428</v>
      </c>
      <c r="L44" s="5" t="s">
        <v>62</v>
      </c>
      <c r="M44" s="4" t="s">
        <v>63</v>
      </c>
      <c r="N44" s="5" t="s">
        <v>64</v>
      </c>
      <c r="O44" s="4" t="s">
        <v>65</v>
      </c>
      <c r="P44" s="5" t="s">
        <v>193</v>
      </c>
      <c r="Q44" s="4" t="s">
        <v>194</v>
      </c>
      <c r="R44" s="5" t="s">
        <v>195</v>
      </c>
      <c r="S44" s="4" t="s">
        <v>196</v>
      </c>
      <c r="T44" s="5" t="s">
        <v>429</v>
      </c>
      <c r="U44" s="4" t="s">
        <v>430</v>
      </c>
      <c r="V44" s="5" t="s">
        <v>104</v>
      </c>
      <c r="W44" s="4" t="s">
        <v>105</v>
      </c>
      <c r="X44" s="4" t="s">
        <v>106</v>
      </c>
      <c r="Y44" s="5"/>
      <c r="Z44" s="4" t="s">
        <v>75</v>
      </c>
      <c r="AA44" s="6" t="n">
        <v>80000</v>
      </c>
      <c r="AB44" s="6" t="n">
        <v>80000</v>
      </c>
      <c r="AC44" s="6" t="n">
        <v>80000</v>
      </c>
      <c r="AD44" s="6" t="n">
        <v>80000</v>
      </c>
      <c r="AE44" s="4" t="s">
        <v>444</v>
      </c>
      <c r="AF44" s="5" t="s">
        <v>445</v>
      </c>
      <c r="AG44" s="4" t="s">
        <v>433</v>
      </c>
      <c r="AH44" s="4" t="s">
        <v>433</v>
      </c>
      <c r="AI44" s="5"/>
      <c r="AJ44" s="1" t="n">
        <v>1</v>
      </c>
      <c r="AK44" s="11" t="n">
        <v>1</v>
      </c>
      <c r="AL44" s="12" t="s">
        <v>81</v>
      </c>
      <c r="AM44" s="13" t="str">
        <f>IF(AL44="","",AL44&amp;" - "&amp;IFERROR(VLOOKUP(AL44,CODEBOOK_CAP!$C$2:$D$212,2,FALSE),""))</f>
        <v>0322 - ESTRUTURAS, HOSPITAIS, CLÍNICAS</v>
      </c>
      <c r="AN44" s="13" t="str">
        <f>IF(AL44="","",IFERROR(VLOOKUP(AL44,CODEBOOK_CAP!$C$2:$E$212,3,FALSE),""))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44" s="11" t="n">
        <v>0</v>
      </c>
      <c r="AP44" s="11"/>
      <c r="AQ44" s="11" t="n">
        <v>1</v>
      </c>
      <c r="AR44" s="11" t="n">
        <v>1</v>
      </c>
      <c r="AS44" s="11" t="s">
        <v>446</v>
      </c>
      <c r="AT44" s="11" t="n">
        <v>0</v>
      </c>
      <c r="AU44" s="11"/>
      <c r="AV44" s="11"/>
      <c r="AW44" s="11"/>
      <c r="AX44" s="7" t="s">
        <v>84</v>
      </c>
      <c r="AY44" s="7"/>
      <c r="AZ44" s="7"/>
      <c r="BA44" s="7"/>
    </row>
    <row r="45" ht="114" customHeight="1">
      <c r="A45" s="4" t="s">
        <v>447</v>
      </c>
      <c r="B45" s="4" t="n">
        <v>2022</v>
      </c>
      <c r="C45" s="4" t="n">
        <v>4759</v>
      </c>
      <c r="D45" s="4" t="s">
        <v>54</v>
      </c>
      <c r="E45" s="4" t="s">
        <v>316</v>
      </c>
      <c r="F45" s="5" t="s">
        <v>448</v>
      </c>
      <c r="G45" s="4" t="s">
        <v>57</v>
      </c>
      <c r="H45" s="4" t="s">
        <v>318</v>
      </c>
      <c r="I45" s="4" t="s">
        <v>319</v>
      </c>
      <c r="J45" s="4" t="s">
        <v>449</v>
      </c>
      <c r="K45" s="4" t="s">
        <v>428</v>
      </c>
      <c r="L45" s="5" t="s">
        <v>62</v>
      </c>
      <c r="M45" s="4" t="s">
        <v>63</v>
      </c>
      <c r="N45" s="5" t="s">
        <v>64</v>
      </c>
      <c r="O45" s="4" t="s">
        <v>65</v>
      </c>
      <c r="P45" s="5" t="s">
        <v>193</v>
      </c>
      <c r="Q45" s="4" t="s">
        <v>194</v>
      </c>
      <c r="R45" s="5" t="s">
        <v>195</v>
      </c>
      <c r="S45" s="4" t="s">
        <v>196</v>
      </c>
      <c r="T45" s="5" t="s">
        <v>429</v>
      </c>
      <c r="U45" s="4" t="s">
        <v>430</v>
      </c>
      <c r="V45" s="5" t="s">
        <v>104</v>
      </c>
      <c r="W45" s="4" t="s">
        <v>105</v>
      </c>
      <c r="X45" s="4" t="s">
        <v>106</v>
      </c>
      <c r="Y45" s="5"/>
      <c r="Z45" s="4" t="s">
        <v>75</v>
      </c>
      <c r="AA45" s="6" t="n">
        <v>80000</v>
      </c>
      <c r="AB45" s="6" t="n">
        <v>80000</v>
      </c>
      <c r="AC45" s="6" t="n">
        <v>80000</v>
      </c>
      <c r="AD45" s="6" t="n">
        <v>80000</v>
      </c>
      <c r="AE45" s="4" t="s">
        <v>450</v>
      </c>
      <c r="AF45" s="5" t="s">
        <v>451</v>
      </c>
      <c r="AG45" s="4" t="s">
        <v>433</v>
      </c>
      <c r="AH45" s="4" t="s">
        <v>433</v>
      </c>
      <c r="AI45" s="5"/>
      <c r="AJ45" s="1" t="n">
        <v>1</v>
      </c>
      <c r="AK45" s="11" t="n">
        <v>1</v>
      </c>
      <c r="AL45" s="12" t="s">
        <v>452</v>
      </c>
      <c r="AM45" s="13" t="str">
        <f>IF(AL45="","",AL45&amp;" - "&amp;IFERROR(VLOOKUP(AL45,CODEBOOK_CAP!$C$2:$D$212,2,FALSE),""))</f>
        <v>0332 - SAÚDE INFANTIL, GRAVIDEZ E PRÉ-NATAL</v>
      </c>
      <c r="AN45" s="13" t="str">
        <f>IF(AL45="","",IFERROR(VLOOKUP(AL45,CODEBOOK_CAP!$C$2:$E$212,3,FALSE),""))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45" s="11" t="n">
        <v>0</v>
      </c>
      <c r="AP45" s="11"/>
      <c r="AQ45" s="11" t="n">
        <v>1</v>
      </c>
      <c r="AR45" s="11" t="n">
        <v>1</v>
      </c>
      <c r="AS45" s="11" t="s">
        <v>453</v>
      </c>
      <c r="AT45" s="11" t="n">
        <v>1</v>
      </c>
      <c r="AU45" s="11" t="s">
        <v>454</v>
      </c>
      <c r="AV45" s="11"/>
      <c r="AW45" s="11"/>
      <c r="AX45" s="7" t="s">
        <v>84</v>
      </c>
      <c r="AY45" s="7"/>
      <c r="AZ45" s="7"/>
      <c r="BA45" s="7"/>
    </row>
    <row r="46" ht="85.5" customHeight="1">
      <c r="A46" s="4" t="s">
        <v>455</v>
      </c>
      <c r="B46" s="4" t="n">
        <v>2022</v>
      </c>
      <c r="C46" s="4" t="n">
        <v>4760</v>
      </c>
      <c r="D46" s="4" t="s">
        <v>54</v>
      </c>
      <c r="E46" s="4" t="s">
        <v>316</v>
      </c>
      <c r="F46" s="5" t="s">
        <v>456</v>
      </c>
      <c r="G46" s="4" t="s">
        <v>57</v>
      </c>
      <c r="H46" s="4" t="s">
        <v>318</v>
      </c>
      <c r="I46" s="4" t="s">
        <v>319</v>
      </c>
      <c r="J46" s="4" t="s">
        <v>457</v>
      </c>
      <c r="K46" s="4" t="s">
        <v>428</v>
      </c>
      <c r="L46" s="5" t="s">
        <v>62</v>
      </c>
      <c r="M46" s="4" t="s">
        <v>63</v>
      </c>
      <c r="N46" s="5" t="s">
        <v>64</v>
      </c>
      <c r="O46" s="4" t="s">
        <v>65</v>
      </c>
      <c r="P46" s="5" t="s">
        <v>193</v>
      </c>
      <c r="Q46" s="4" t="s">
        <v>194</v>
      </c>
      <c r="R46" s="5" t="s">
        <v>195</v>
      </c>
      <c r="S46" s="4" t="s">
        <v>196</v>
      </c>
      <c r="T46" s="5" t="s">
        <v>429</v>
      </c>
      <c r="U46" s="4" t="s">
        <v>430</v>
      </c>
      <c r="V46" s="5" t="s">
        <v>104</v>
      </c>
      <c r="W46" s="4" t="s">
        <v>105</v>
      </c>
      <c r="X46" s="4" t="s">
        <v>106</v>
      </c>
      <c r="Y46" s="5"/>
      <c r="Z46" s="4" t="s">
        <v>75</v>
      </c>
      <c r="AA46" s="6" t="n">
        <v>80000</v>
      </c>
      <c r="AB46" s="6" t="n">
        <v>80000</v>
      </c>
      <c r="AC46" s="6" t="n">
        <v>80000</v>
      </c>
      <c r="AD46" s="6" t="n">
        <v>80000</v>
      </c>
      <c r="AE46" s="4" t="s">
        <v>458</v>
      </c>
      <c r="AF46" s="5" t="s">
        <v>459</v>
      </c>
      <c r="AG46" s="4" t="s">
        <v>433</v>
      </c>
      <c r="AH46" s="4" t="s">
        <v>433</v>
      </c>
      <c r="AI46" s="5"/>
      <c r="AJ46" s="1" t="n">
        <v>1</v>
      </c>
      <c r="AK46" s="11" t="n">
        <v>1</v>
      </c>
      <c r="AL46" s="12" t="s">
        <v>81</v>
      </c>
      <c r="AM46" s="13" t="str">
        <f>IF(AL46="","",AL46&amp;" - "&amp;IFERROR(VLOOKUP(AL46,CODEBOOK_CAP!$C$2:$D$212,2,FALSE),""))</f>
        <v>0322 - ESTRUTURAS, HOSPITAIS, CLÍNICAS</v>
      </c>
      <c r="AN46" s="13" t="str">
        <f>IF(AL46="","",IFERROR(VLOOKUP(AL46,CODEBOOK_CAP!$C$2:$E$212,3,FALSE),""))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46" s="11" t="n">
        <v>0</v>
      </c>
      <c r="AP46" s="11"/>
      <c r="AQ46" s="11" t="n">
        <v>1</v>
      </c>
      <c r="AR46" s="11" t="n">
        <v>1</v>
      </c>
      <c r="AS46" s="11" t="s">
        <v>460</v>
      </c>
      <c r="AT46" s="11" t="n">
        <v>0</v>
      </c>
      <c r="AU46" s="11"/>
      <c r="AV46" s="11"/>
      <c r="AW46" s="11"/>
      <c r="AX46" s="7" t="s">
        <v>84</v>
      </c>
      <c r="AY46" s="7"/>
      <c r="AZ46" s="7"/>
      <c r="BA46" s="7"/>
    </row>
    <row r="47" ht="85.5" customHeight="1">
      <c r="A47" s="4" t="s">
        <v>461</v>
      </c>
      <c r="B47" s="4" t="n">
        <v>2022</v>
      </c>
      <c r="C47" s="4" t="n">
        <v>4761</v>
      </c>
      <c r="D47" s="4" t="s">
        <v>54</v>
      </c>
      <c r="E47" s="4" t="s">
        <v>316</v>
      </c>
      <c r="F47" s="5" t="s">
        <v>462</v>
      </c>
      <c r="G47" s="4" t="s">
        <v>57</v>
      </c>
      <c r="H47" s="4" t="s">
        <v>318</v>
      </c>
      <c r="I47" s="4" t="s">
        <v>319</v>
      </c>
      <c r="J47" s="4" t="s">
        <v>463</v>
      </c>
      <c r="K47" s="4" t="s">
        <v>428</v>
      </c>
      <c r="L47" s="5" t="s">
        <v>62</v>
      </c>
      <c r="M47" s="4" t="s">
        <v>63</v>
      </c>
      <c r="N47" s="5" t="s">
        <v>64</v>
      </c>
      <c r="O47" s="4" t="s">
        <v>65</v>
      </c>
      <c r="P47" s="5" t="s">
        <v>193</v>
      </c>
      <c r="Q47" s="4" t="s">
        <v>194</v>
      </c>
      <c r="R47" s="5" t="s">
        <v>195</v>
      </c>
      <c r="S47" s="4" t="s">
        <v>196</v>
      </c>
      <c r="T47" s="5" t="s">
        <v>429</v>
      </c>
      <c r="U47" s="4" t="s">
        <v>430</v>
      </c>
      <c r="V47" s="5" t="s">
        <v>104</v>
      </c>
      <c r="W47" s="4" t="s">
        <v>105</v>
      </c>
      <c r="X47" s="4" t="s">
        <v>106</v>
      </c>
      <c r="Y47" s="5"/>
      <c r="Z47" s="4" t="s">
        <v>75</v>
      </c>
      <c r="AA47" s="6" t="n">
        <v>80000</v>
      </c>
      <c r="AB47" s="6" t="n">
        <v>0</v>
      </c>
      <c r="AC47" s="6" t="n">
        <v>0</v>
      </c>
      <c r="AD47" s="6" t="n">
        <v>0</v>
      </c>
      <c r="AE47" s="4" t="s">
        <v>464</v>
      </c>
      <c r="AF47" s="5" t="s">
        <v>465</v>
      </c>
      <c r="AG47" s="4" t="s">
        <v>115</v>
      </c>
      <c r="AH47" s="4" t="s">
        <v>115</v>
      </c>
      <c r="AI47" s="5" t="s">
        <v>115</v>
      </c>
      <c r="AJ47" s="1" t="n">
        <v>1</v>
      </c>
      <c r="AK47" s="11" t="n">
        <v>1</v>
      </c>
      <c r="AL47" s="12" t="s">
        <v>81</v>
      </c>
      <c r="AM47" s="13" t="str">
        <f>IF(AL47="","",AL47&amp;" - "&amp;IFERROR(VLOOKUP(AL47,CODEBOOK_CAP!$C$2:$D$212,2,FALSE),""))</f>
        <v>0322 - ESTRUTURAS, HOSPITAIS, CLÍNICAS</v>
      </c>
      <c r="AN47" s="13" t="str">
        <f>IF(AL47="","",IFERROR(VLOOKUP(AL47,CODEBOOK_CAP!$C$2:$E$212,3,FALSE),""))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47" s="11" t="n">
        <v>0</v>
      </c>
      <c r="AP47" s="11"/>
      <c r="AQ47" s="11" t="n">
        <v>1</v>
      </c>
      <c r="AR47" s="11" t="n">
        <v>1</v>
      </c>
      <c r="AS47" s="11" t="s">
        <v>466</v>
      </c>
      <c r="AT47" s="11" t="n">
        <v>0</v>
      </c>
      <c r="AU47" s="11"/>
      <c r="AV47" s="11"/>
      <c r="AW47" s="11"/>
      <c r="AX47" s="7" t="s">
        <v>84</v>
      </c>
      <c r="AY47" s="7"/>
      <c r="AZ47" s="7"/>
      <c r="BA47" s="7"/>
    </row>
    <row r="48" ht="85.5" customHeight="1">
      <c r="A48" s="4" t="s">
        <v>467</v>
      </c>
      <c r="B48" s="4" t="n">
        <v>2022</v>
      </c>
      <c r="C48" s="4" t="n">
        <v>4762</v>
      </c>
      <c r="D48" s="4" t="s">
        <v>54</v>
      </c>
      <c r="E48" s="4" t="s">
        <v>316</v>
      </c>
      <c r="F48" s="5" t="s">
        <v>468</v>
      </c>
      <c r="G48" s="4" t="s">
        <v>57</v>
      </c>
      <c r="H48" s="4" t="s">
        <v>318</v>
      </c>
      <c r="I48" s="4" t="s">
        <v>319</v>
      </c>
      <c r="J48" s="4" t="s">
        <v>469</v>
      </c>
      <c r="K48" s="4" t="s">
        <v>357</v>
      </c>
      <c r="L48" s="5" t="s">
        <v>62</v>
      </c>
      <c r="M48" s="4" t="s">
        <v>63</v>
      </c>
      <c r="N48" s="5" t="s">
        <v>64</v>
      </c>
      <c r="O48" s="4" t="s">
        <v>65</v>
      </c>
      <c r="P48" s="5" t="s">
        <v>66</v>
      </c>
      <c r="Q48" s="4" t="s">
        <v>67</v>
      </c>
      <c r="R48" s="5" t="s">
        <v>68</v>
      </c>
      <c r="S48" s="4" t="s">
        <v>69</v>
      </c>
      <c r="T48" s="5" t="s">
        <v>70</v>
      </c>
      <c r="U48" s="4" t="s">
        <v>71</v>
      </c>
      <c r="V48" s="5" t="s">
        <v>72</v>
      </c>
      <c r="W48" s="4" t="s">
        <v>73</v>
      </c>
      <c r="X48" s="4" t="s">
        <v>74</v>
      </c>
      <c r="Y48" s="5"/>
      <c r="Z48" s="4" t="s">
        <v>75</v>
      </c>
      <c r="AA48" s="6" t="n">
        <v>40000</v>
      </c>
      <c r="AB48" s="6" t="n">
        <v>40000</v>
      </c>
      <c r="AC48" s="6" t="n">
        <v>40000</v>
      </c>
      <c r="AD48" s="6" t="n">
        <v>40000</v>
      </c>
      <c r="AE48" s="4" t="s">
        <v>409</v>
      </c>
      <c r="AF48" s="5" t="s">
        <v>410</v>
      </c>
      <c r="AG48" s="4" t="s">
        <v>78</v>
      </c>
      <c r="AH48" s="4" t="s">
        <v>79</v>
      </c>
      <c r="AI48" s="5" t="s">
        <v>80</v>
      </c>
      <c r="AJ48" s="1" t="n">
        <v>1</v>
      </c>
      <c r="AK48" s="11" t="n">
        <v>1</v>
      </c>
      <c r="AL48" s="12" t="s">
        <v>81</v>
      </c>
      <c r="AM48" s="13" t="str">
        <f>IF(AL48="","",AL48&amp;" - "&amp;IFERROR(VLOOKUP(AL48,CODEBOOK_CAP!$C$2:$D$212,2,FALSE),""))</f>
        <v>0322 - ESTRUTURAS, HOSPITAIS, CLÍNICAS</v>
      </c>
      <c r="AN48" s="13" t="str">
        <f>IF(AL48="","",IFERROR(VLOOKUP(AL48,CODEBOOK_CAP!$C$2:$E$212,3,FALSE),""))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48" s="11" t="n">
        <v>1</v>
      </c>
      <c r="AP48" s="11" t="s">
        <v>470</v>
      </c>
      <c r="AQ48" s="11" t="n">
        <v>1</v>
      </c>
      <c r="AR48" s="11" t="n">
        <v>1</v>
      </c>
      <c r="AS48" s="11" t="s">
        <v>470</v>
      </c>
      <c r="AT48" s="11" t="n">
        <v>0</v>
      </c>
      <c r="AU48" s="11"/>
      <c r="AV48" s="11"/>
      <c r="AW48" s="11"/>
      <c r="AX48" s="7" t="s">
        <v>84</v>
      </c>
      <c r="AY48" s="7"/>
      <c r="AZ48" s="7"/>
      <c r="BA48" s="7"/>
    </row>
    <row r="49" ht="71.25" customHeight="1">
      <c r="A49" s="4" t="s">
        <v>471</v>
      </c>
      <c r="B49" s="4" t="n">
        <v>2022</v>
      </c>
      <c r="C49" s="4" t="n">
        <v>4776</v>
      </c>
      <c r="D49" s="4" t="s">
        <v>54</v>
      </c>
      <c r="E49" s="4" t="s">
        <v>316</v>
      </c>
      <c r="F49" s="5" t="s">
        <v>472</v>
      </c>
      <c r="G49" s="4" t="s">
        <v>57</v>
      </c>
      <c r="H49" s="4" t="s">
        <v>318</v>
      </c>
      <c r="I49" s="4" t="s">
        <v>319</v>
      </c>
      <c r="J49" s="4" t="s">
        <v>473</v>
      </c>
      <c r="K49" s="4" t="s">
        <v>415</v>
      </c>
      <c r="L49" s="5" t="s">
        <v>122</v>
      </c>
      <c r="M49" s="4" t="s">
        <v>123</v>
      </c>
      <c r="N49" s="5" t="s">
        <v>227</v>
      </c>
      <c r="O49" s="4" t="s">
        <v>228</v>
      </c>
      <c r="P49" s="5" t="s">
        <v>229</v>
      </c>
      <c r="Q49" s="4" t="s">
        <v>230</v>
      </c>
      <c r="R49" s="5" t="s">
        <v>322</v>
      </c>
      <c r="S49" s="4" t="s">
        <v>323</v>
      </c>
      <c r="T49" s="5" t="s">
        <v>416</v>
      </c>
      <c r="U49" s="4" t="s">
        <v>417</v>
      </c>
      <c r="V49" s="5" t="s">
        <v>72</v>
      </c>
      <c r="W49" s="4" t="s">
        <v>73</v>
      </c>
      <c r="X49" s="4" t="s">
        <v>74</v>
      </c>
      <c r="Y49" s="5"/>
      <c r="Z49" s="4" t="s">
        <v>132</v>
      </c>
      <c r="AA49" s="6" t="n">
        <v>59000</v>
      </c>
      <c r="AB49" s="6" t="n">
        <v>59000</v>
      </c>
      <c r="AC49" s="6" t="n">
        <v>59000</v>
      </c>
      <c r="AD49" s="6" t="n">
        <v>59000</v>
      </c>
      <c r="AE49" s="4" t="s">
        <v>363</v>
      </c>
      <c r="AF49" s="5" t="s">
        <v>364</v>
      </c>
      <c r="AG49" s="4" t="s">
        <v>78</v>
      </c>
      <c r="AH49" s="4" t="s">
        <v>79</v>
      </c>
      <c r="AI49" s="5" t="s">
        <v>80</v>
      </c>
      <c r="AJ49" s="1" t="n">
        <v>0</v>
      </c>
      <c r="AK49" s="11" t="n">
        <v>0</v>
      </c>
      <c r="AL49" s="12" t="s">
        <v>188</v>
      </c>
      <c r="AM49" s="13" t="str">
        <f>IF(AL49="","",AL49&amp;" - "&amp;IFERROR(VLOOKUP(AL49,CODEBOOK_CAP!$C$2:$D$212,2,FALSE),""))</f>
        <v>2300 - GERAL</v>
      </c>
      <c r="AN49" s="13" t="str">
        <f>IF(AL49="","",IFERROR(VLOOKUP(AL49,CODEBOOK_CAP!$C$2:$E$212,3,FALSE),""))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49" s="11" t="n">
        <v>1</v>
      </c>
      <c r="AP49" s="11" t="s">
        <v>474</v>
      </c>
      <c r="AQ49" s="11" t="n">
        <v>1</v>
      </c>
      <c r="AR49" s="11" t="n">
        <v>1</v>
      </c>
      <c r="AS49" s="11" t="s">
        <v>474</v>
      </c>
      <c r="AT49" s="11" t="n">
        <v>0</v>
      </c>
      <c r="AU49" s="11"/>
      <c r="AV49" s="11"/>
      <c r="AW49" s="11"/>
      <c r="AX49" s="7" t="s">
        <v>84</v>
      </c>
      <c r="AY49" s="7"/>
      <c r="AZ49" s="7"/>
      <c r="BA49" s="7"/>
      <c r="BB49" s="3" t="s">
        <v>6564</v>
      </c>
    </row>
    <row r="50" ht="71.25" customHeight="1">
      <c r="A50" s="4" t="s">
        <v>475</v>
      </c>
      <c r="B50" s="4" t="n">
        <v>2022</v>
      </c>
      <c r="C50" s="4" t="n">
        <v>4780</v>
      </c>
      <c r="D50" s="4" t="s">
        <v>54</v>
      </c>
      <c r="E50" s="4" t="s">
        <v>316</v>
      </c>
      <c r="F50" s="5" t="s">
        <v>476</v>
      </c>
      <c r="G50" s="4" t="s">
        <v>57</v>
      </c>
      <c r="H50" s="4" t="s">
        <v>318</v>
      </c>
      <c r="I50" s="4" t="s">
        <v>319</v>
      </c>
      <c r="J50" s="4" t="s">
        <v>477</v>
      </c>
      <c r="K50" s="4" t="s">
        <v>478</v>
      </c>
      <c r="L50" s="5" t="s">
        <v>122</v>
      </c>
      <c r="M50" s="4" t="s">
        <v>123</v>
      </c>
      <c r="N50" s="5" t="s">
        <v>479</v>
      </c>
      <c r="O50" s="4" t="s">
        <v>480</v>
      </c>
      <c r="P50" s="5" t="s">
        <v>66</v>
      </c>
      <c r="Q50" s="4" t="s">
        <v>67</v>
      </c>
      <c r="R50" s="5" t="s">
        <v>322</v>
      </c>
      <c r="S50" s="4" t="s">
        <v>323</v>
      </c>
      <c r="T50" s="5" t="s">
        <v>481</v>
      </c>
      <c r="U50" s="4" t="s">
        <v>482</v>
      </c>
      <c r="V50" s="5" t="s">
        <v>72</v>
      </c>
      <c r="W50" s="4" t="s">
        <v>73</v>
      </c>
      <c r="X50" s="4" t="s">
        <v>74</v>
      </c>
      <c r="Y50" s="5"/>
      <c r="Z50" s="4" t="s">
        <v>132</v>
      </c>
      <c r="AA50" s="6" t="n">
        <v>40000</v>
      </c>
      <c r="AB50" s="6" t="n">
        <v>40000</v>
      </c>
      <c r="AC50" s="6" t="n">
        <v>40000</v>
      </c>
      <c r="AD50" s="6" t="n">
        <v>40000</v>
      </c>
      <c r="AE50" s="4" t="s">
        <v>363</v>
      </c>
      <c r="AF50" s="5" t="s">
        <v>364</v>
      </c>
      <c r="AG50" s="4" t="s">
        <v>78</v>
      </c>
      <c r="AH50" s="4" t="s">
        <v>79</v>
      </c>
      <c r="AI50" s="5" t="s">
        <v>80</v>
      </c>
      <c r="AJ50" s="1" t="n">
        <v>0</v>
      </c>
      <c r="AK50" s="11" t="n">
        <v>0</v>
      </c>
      <c r="AL50" s="12" t="s">
        <v>188</v>
      </c>
      <c r="AM50" s="13" t="str">
        <f>IF(AL50="","",AL50&amp;" - "&amp;IFERROR(VLOOKUP(AL50,CODEBOOK_CAP!$C$2:$D$212,2,FALSE),""))</f>
        <v>2300 - GERAL</v>
      </c>
      <c r="AN50" s="13" t="str">
        <f>IF(AL50="","",IFERROR(VLOOKUP(AL50,CODEBOOK_CAP!$C$2:$E$212,3,FALSE),""))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50" s="11" t="n">
        <v>1</v>
      </c>
      <c r="AP50" s="11" t="s">
        <v>483</v>
      </c>
      <c r="AQ50" s="11" t="n">
        <v>1</v>
      </c>
      <c r="AR50" s="11" t="n">
        <v>1</v>
      </c>
      <c r="AS50" s="11" t="s">
        <v>483</v>
      </c>
      <c r="AT50" s="11" t="n">
        <v>0</v>
      </c>
      <c r="AU50" s="11"/>
      <c r="AV50" s="11"/>
      <c r="AW50" s="11"/>
      <c r="AX50" s="7" t="s">
        <v>84</v>
      </c>
      <c r="AY50" s="7"/>
      <c r="AZ50" s="7"/>
      <c r="BA50" s="7"/>
      <c r="BB50" s="3" t="s">
        <v>6564</v>
      </c>
    </row>
    <row r="51" ht="71.25" customHeight="1">
      <c r="A51" s="4" t="s">
        <v>484</v>
      </c>
      <c r="B51" s="4" t="n">
        <v>2022</v>
      </c>
      <c r="C51" s="4" t="n">
        <v>4782</v>
      </c>
      <c r="D51" s="4" t="s">
        <v>54</v>
      </c>
      <c r="E51" s="4" t="s">
        <v>316</v>
      </c>
      <c r="F51" s="5" t="s">
        <v>485</v>
      </c>
      <c r="G51" s="4" t="s">
        <v>57</v>
      </c>
      <c r="H51" s="4" t="s">
        <v>318</v>
      </c>
      <c r="I51" s="4" t="s">
        <v>319</v>
      </c>
      <c r="J51" s="4" t="s">
        <v>486</v>
      </c>
      <c r="K51" s="4" t="s">
        <v>415</v>
      </c>
      <c r="L51" s="5" t="s">
        <v>122</v>
      </c>
      <c r="M51" s="4" t="s">
        <v>123</v>
      </c>
      <c r="N51" s="5" t="s">
        <v>227</v>
      </c>
      <c r="O51" s="4" t="s">
        <v>228</v>
      </c>
      <c r="P51" s="5" t="s">
        <v>229</v>
      </c>
      <c r="Q51" s="4" t="s">
        <v>230</v>
      </c>
      <c r="R51" s="5" t="s">
        <v>322</v>
      </c>
      <c r="S51" s="4" t="s">
        <v>323</v>
      </c>
      <c r="T51" s="5" t="s">
        <v>416</v>
      </c>
      <c r="U51" s="4" t="s">
        <v>417</v>
      </c>
      <c r="V51" s="5" t="s">
        <v>72</v>
      </c>
      <c r="W51" s="4" t="s">
        <v>73</v>
      </c>
      <c r="X51" s="4" t="s">
        <v>74</v>
      </c>
      <c r="Y51" s="5"/>
      <c r="Z51" s="4" t="s">
        <v>132</v>
      </c>
      <c r="AA51" s="6" t="n">
        <v>40000</v>
      </c>
      <c r="AB51" s="6" t="n">
        <v>0</v>
      </c>
      <c r="AC51" s="6" t="n">
        <v>0</v>
      </c>
      <c r="AD51" s="6" t="n">
        <v>0</v>
      </c>
      <c r="AE51" s="4" t="s">
        <v>418</v>
      </c>
      <c r="AF51" s="5" t="s">
        <v>419</v>
      </c>
      <c r="AG51" s="4" t="s">
        <v>78</v>
      </c>
      <c r="AH51" s="4" t="s">
        <v>79</v>
      </c>
      <c r="AI51" s="5" t="s">
        <v>80</v>
      </c>
      <c r="AJ51" s="1" t="n">
        <v>0</v>
      </c>
      <c r="AK51" s="11" t="n">
        <v>0</v>
      </c>
      <c r="AL51" s="12" t="s">
        <v>188</v>
      </c>
      <c r="AM51" s="13" t="str">
        <f>IF(AL51="","",AL51&amp;" - "&amp;IFERROR(VLOOKUP(AL51,CODEBOOK_CAP!$C$2:$D$212,2,FALSE),""))</f>
        <v>2300 - GERAL</v>
      </c>
      <c r="AN51" s="13" t="str">
        <f>IF(AL51="","",IFERROR(VLOOKUP(AL51,CODEBOOK_CAP!$C$2:$E$212,3,FALSE),""))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51" s="11" t="n">
        <v>1</v>
      </c>
      <c r="AP51" s="11" t="s">
        <v>487</v>
      </c>
      <c r="AQ51" s="11" t="n">
        <v>1</v>
      </c>
      <c r="AR51" s="11" t="n">
        <v>1</v>
      </c>
      <c r="AS51" s="11" t="s">
        <v>487</v>
      </c>
      <c r="AT51" s="11" t="n">
        <v>0</v>
      </c>
      <c r="AU51" s="11"/>
      <c r="AV51" s="11"/>
      <c r="AW51" s="11"/>
      <c r="AX51" s="7" t="s">
        <v>84</v>
      </c>
      <c r="AY51" s="7"/>
      <c r="AZ51" s="7"/>
      <c r="BA51" s="7"/>
      <c r="BB51" s="3" t="s">
        <v>6564</v>
      </c>
    </row>
    <row r="52" ht="71.25" customHeight="1">
      <c r="A52" s="4" t="s">
        <v>488</v>
      </c>
      <c r="B52" s="4" t="n">
        <v>2022</v>
      </c>
      <c r="C52" s="4" t="n">
        <v>4783</v>
      </c>
      <c r="D52" s="4" t="s">
        <v>54</v>
      </c>
      <c r="E52" s="4" t="s">
        <v>316</v>
      </c>
      <c r="F52" s="5" t="s">
        <v>489</v>
      </c>
      <c r="G52" s="4" t="s">
        <v>57</v>
      </c>
      <c r="H52" s="4" t="s">
        <v>318</v>
      </c>
      <c r="I52" s="4" t="s">
        <v>319</v>
      </c>
      <c r="J52" s="4" t="s">
        <v>490</v>
      </c>
      <c r="K52" s="4" t="s">
        <v>415</v>
      </c>
      <c r="L52" s="5" t="s">
        <v>122</v>
      </c>
      <c r="M52" s="4" t="s">
        <v>123</v>
      </c>
      <c r="N52" s="5" t="s">
        <v>227</v>
      </c>
      <c r="O52" s="4" t="s">
        <v>228</v>
      </c>
      <c r="P52" s="5" t="s">
        <v>229</v>
      </c>
      <c r="Q52" s="4" t="s">
        <v>230</v>
      </c>
      <c r="R52" s="5" t="s">
        <v>322</v>
      </c>
      <c r="S52" s="4" t="s">
        <v>323</v>
      </c>
      <c r="T52" s="5" t="s">
        <v>416</v>
      </c>
      <c r="U52" s="4" t="s">
        <v>417</v>
      </c>
      <c r="V52" s="5" t="s">
        <v>72</v>
      </c>
      <c r="W52" s="4" t="s">
        <v>73</v>
      </c>
      <c r="X52" s="4" t="s">
        <v>74</v>
      </c>
      <c r="Y52" s="5"/>
      <c r="Z52" s="4" t="s">
        <v>132</v>
      </c>
      <c r="AA52" s="6" t="n">
        <v>40000</v>
      </c>
      <c r="AB52" s="6" t="n">
        <v>0</v>
      </c>
      <c r="AC52" s="6" t="n">
        <v>0</v>
      </c>
      <c r="AD52" s="6" t="n">
        <v>0</v>
      </c>
      <c r="AE52" s="4" t="s">
        <v>358</v>
      </c>
      <c r="AF52" s="5" t="s">
        <v>77</v>
      </c>
      <c r="AG52" s="4" t="s">
        <v>115</v>
      </c>
      <c r="AH52" s="4" t="s">
        <v>115</v>
      </c>
      <c r="AI52" s="5" t="s">
        <v>115</v>
      </c>
      <c r="AJ52" s="1" t="n">
        <v>0</v>
      </c>
      <c r="AK52" s="11" t="n">
        <v>0</v>
      </c>
      <c r="AL52" s="12" t="s">
        <v>188</v>
      </c>
      <c r="AM52" s="13" t="str">
        <f>IF(AL52="","",AL52&amp;" - "&amp;IFERROR(VLOOKUP(AL52,CODEBOOK_CAP!$C$2:$D$212,2,FALSE),""))</f>
        <v>2300 - GERAL</v>
      </c>
      <c r="AN52" s="13" t="str">
        <f>IF(AL52="","",IFERROR(VLOOKUP(AL52,CODEBOOK_CAP!$C$2:$E$212,3,FALSE),""))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52" s="11" t="n">
        <v>1</v>
      </c>
      <c r="AP52" s="11" t="s">
        <v>491</v>
      </c>
      <c r="AQ52" s="11" t="n">
        <v>1</v>
      </c>
      <c r="AR52" s="11" t="n">
        <v>1</v>
      </c>
      <c r="AS52" s="11" t="s">
        <v>491</v>
      </c>
      <c r="AT52" s="11" t="n">
        <v>0</v>
      </c>
      <c r="AU52" s="11"/>
      <c r="AV52" s="11"/>
      <c r="AW52" s="11"/>
      <c r="AX52" s="7" t="s">
        <v>84</v>
      </c>
      <c r="AY52" s="7"/>
      <c r="AZ52" s="7"/>
      <c r="BA52" s="7"/>
      <c r="BB52" s="3" t="s">
        <v>6564</v>
      </c>
    </row>
    <row r="53" ht="71.25" customHeight="1">
      <c r="A53" s="4" t="s">
        <v>492</v>
      </c>
      <c r="B53" s="4" t="n">
        <v>2022</v>
      </c>
      <c r="C53" s="4" t="n">
        <v>4784</v>
      </c>
      <c r="D53" s="4" t="s">
        <v>54</v>
      </c>
      <c r="E53" s="4" t="s">
        <v>316</v>
      </c>
      <c r="F53" s="5" t="s">
        <v>493</v>
      </c>
      <c r="G53" s="4" t="s">
        <v>57</v>
      </c>
      <c r="H53" s="4" t="s">
        <v>318</v>
      </c>
      <c r="I53" s="4" t="s">
        <v>319</v>
      </c>
      <c r="J53" s="4" t="s">
        <v>494</v>
      </c>
      <c r="K53" s="4" t="s">
        <v>415</v>
      </c>
      <c r="L53" s="5" t="s">
        <v>122</v>
      </c>
      <c r="M53" s="4" t="s">
        <v>123</v>
      </c>
      <c r="N53" s="5" t="s">
        <v>227</v>
      </c>
      <c r="O53" s="4" t="s">
        <v>228</v>
      </c>
      <c r="P53" s="5" t="s">
        <v>229</v>
      </c>
      <c r="Q53" s="4" t="s">
        <v>230</v>
      </c>
      <c r="R53" s="5" t="s">
        <v>322</v>
      </c>
      <c r="S53" s="4" t="s">
        <v>323</v>
      </c>
      <c r="T53" s="5" t="s">
        <v>416</v>
      </c>
      <c r="U53" s="4" t="s">
        <v>417</v>
      </c>
      <c r="V53" s="5" t="s">
        <v>72</v>
      </c>
      <c r="W53" s="4" t="s">
        <v>73</v>
      </c>
      <c r="X53" s="4" t="s">
        <v>74</v>
      </c>
      <c r="Y53" s="5"/>
      <c r="Z53" s="4" t="s">
        <v>132</v>
      </c>
      <c r="AA53" s="6" t="n">
        <v>40000</v>
      </c>
      <c r="AB53" s="6" t="n">
        <v>36053</v>
      </c>
      <c r="AC53" s="6" t="n">
        <v>36053</v>
      </c>
      <c r="AD53" s="6" t="n">
        <v>36053</v>
      </c>
      <c r="AE53" s="4" t="s">
        <v>363</v>
      </c>
      <c r="AF53" s="5" t="s">
        <v>364</v>
      </c>
      <c r="AG53" s="4" t="s">
        <v>78</v>
      </c>
      <c r="AH53" s="4" t="s">
        <v>79</v>
      </c>
      <c r="AI53" s="5" t="s">
        <v>80</v>
      </c>
      <c r="AJ53" s="1" t="n">
        <v>0</v>
      </c>
      <c r="AK53" s="11" t="n">
        <v>0</v>
      </c>
      <c r="AL53" s="12" t="s">
        <v>188</v>
      </c>
      <c r="AM53" s="13" t="str">
        <f>IF(AL53="","",AL53&amp;" - "&amp;IFERROR(VLOOKUP(AL53,CODEBOOK_CAP!$C$2:$D$212,2,FALSE),""))</f>
        <v>2300 - GERAL</v>
      </c>
      <c r="AN53" s="13" t="str">
        <f>IF(AL53="","",IFERROR(VLOOKUP(AL53,CODEBOOK_CAP!$C$2:$E$212,3,FALSE),""))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53" s="11" t="n">
        <v>1</v>
      </c>
      <c r="AP53" s="11" t="s">
        <v>495</v>
      </c>
      <c r="AQ53" s="11" t="n">
        <v>1</v>
      </c>
      <c r="AR53" s="11" t="n">
        <v>1</v>
      </c>
      <c r="AS53" s="11" t="s">
        <v>495</v>
      </c>
      <c r="AT53" s="11" t="n">
        <v>0</v>
      </c>
      <c r="AU53" s="11"/>
      <c r="AV53" s="11"/>
      <c r="AW53" s="11"/>
      <c r="AX53" s="7" t="s">
        <v>84</v>
      </c>
      <c r="AY53" s="7"/>
      <c r="AZ53" s="7"/>
      <c r="BA53" s="7"/>
      <c r="BB53" s="3" t="s">
        <v>6564</v>
      </c>
    </row>
    <row r="54" ht="171" customHeight="1">
      <c r="A54" s="4" t="s">
        <v>496</v>
      </c>
      <c r="B54" s="4" t="n">
        <v>2022</v>
      </c>
      <c r="C54" s="4" t="n">
        <v>4443</v>
      </c>
      <c r="D54" s="4" t="s">
        <v>54</v>
      </c>
      <c r="E54" s="4" t="s">
        <v>497</v>
      </c>
      <c r="F54" s="5" t="s">
        <v>498</v>
      </c>
      <c r="G54" s="4" t="s">
        <v>57</v>
      </c>
      <c r="H54" s="4" t="s">
        <v>499</v>
      </c>
      <c r="I54" s="4" t="s">
        <v>500</v>
      </c>
      <c r="J54" s="4" t="s">
        <v>501</v>
      </c>
      <c r="K54" s="4" t="s">
        <v>415</v>
      </c>
      <c r="L54" s="5" t="s">
        <v>122</v>
      </c>
      <c r="M54" s="4" t="s">
        <v>123</v>
      </c>
      <c r="N54" s="5" t="s">
        <v>227</v>
      </c>
      <c r="O54" s="4" t="s">
        <v>228</v>
      </c>
      <c r="P54" s="5" t="s">
        <v>229</v>
      </c>
      <c r="Q54" s="4" t="s">
        <v>230</v>
      </c>
      <c r="R54" s="5" t="s">
        <v>322</v>
      </c>
      <c r="S54" s="4" t="s">
        <v>323</v>
      </c>
      <c r="T54" s="5" t="s">
        <v>416</v>
      </c>
      <c r="U54" s="4" t="s">
        <v>417</v>
      </c>
      <c r="V54" s="5" t="s">
        <v>72</v>
      </c>
      <c r="W54" s="4" t="s">
        <v>73</v>
      </c>
      <c r="X54" s="4" t="s">
        <v>74</v>
      </c>
      <c r="Y54" s="5"/>
      <c r="Z54" s="4" t="s">
        <v>132</v>
      </c>
      <c r="AA54" s="6" t="n">
        <v>384000</v>
      </c>
      <c r="AB54" s="6" t="n">
        <v>316726</v>
      </c>
      <c r="AC54" s="6" t="n">
        <v>316726</v>
      </c>
      <c r="AD54" s="6" t="n">
        <v>316726</v>
      </c>
      <c r="AE54" s="4" t="s">
        <v>502</v>
      </c>
      <c r="AF54" s="5"/>
      <c r="AG54" s="4" t="s">
        <v>78</v>
      </c>
      <c r="AH54" s="4" t="s">
        <v>79</v>
      </c>
      <c r="AI54" s="5" t="s">
        <v>80</v>
      </c>
      <c r="AJ54" s="1" t="n">
        <v>0</v>
      </c>
      <c r="AK54" s="11" t="n">
        <v>0</v>
      </c>
      <c r="AL54" s="12" t="s">
        <v>188</v>
      </c>
      <c r="AM54" s="13" t="str">
        <f>IF(AL54="","",AL54&amp;" - "&amp;IFERROR(VLOOKUP(AL54,CODEBOOK_CAP!$C$2:$D$212,2,FALSE),""))</f>
        <v>2300 - GERAL</v>
      </c>
      <c r="AN54" s="13" t="str">
        <f>IF(AL54="","",IFERROR(VLOOKUP(AL54,CODEBOOK_CAP!$C$2:$E$212,3,FALSE),""))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54" s="11" t="n">
        <v>0</v>
      </c>
      <c r="AP54" s="11"/>
      <c r="AQ54" s="11" t="n">
        <v>0</v>
      </c>
      <c r="AR54" s="11" t="n">
        <v>0</v>
      </c>
      <c r="AS54" s="11"/>
      <c r="AT54" s="11" t="n">
        <v>1</v>
      </c>
      <c r="AU54" s="11" t="s">
        <v>503</v>
      </c>
      <c r="AV54" s="11"/>
      <c r="AW54" s="11"/>
      <c r="AX54" s="7" t="s">
        <v>84</v>
      </c>
      <c r="AY54" s="7"/>
      <c r="AZ54" s="7"/>
      <c r="BA54" s="7"/>
      <c r="BB54" s="3" t="s">
        <v>6564</v>
      </c>
    </row>
    <row r="55" ht="128.25" customHeight="1">
      <c r="A55" s="4" t="s">
        <v>504</v>
      </c>
      <c r="B55" s="4" t="n">
        <v>2022</v>
      </c>
      <c r="C55" s="4" t="n">
        <v>4451</v>
      </c>
      <c r="D55" s="4" t="s">
        <v>54</v>
      </c>
      <c r="E55" s="4" t="s">
        <v>497</v>
      </c>
      <c r="F55" s="5" t="s">
        <v>505</v>
      </c>
      <c r="G55" s="4" t="s">
        <v>57</v>
      </c>
      <c r="H55" s="4" t="s">
        <v>499</v>
      </c>
      <c r="I55" s="4" t="s">
        <v>500</v>
      </c>
      <c r="J55" s="4" t="s">
        <v>506</v>
      </c>
      <c r="K55" s="4" t="s">
        <v>507</v>
      </c>
      <c r="L55" s="5" t="s">
        <v>508</v>
      </c>
      <c r="M55" s="4" t="s">
        <v>509</v>
      </c>
      <c r="N55" s="5" t="s">
        <v>510</v>
      </c>
      <c r="O55" s="4" t="s">
        <v>511</v>
      </c>
      <c r="P55" s="5" t="s">
        <v>512</v>
      </c>
      <c r="Q55" s="4" t="s">
        <v>513</v>
      </c>
      <c r="R55" s="5" t="s">
        <v>514</v>
      </c>
      <c r="S55" s="4" t="s">
        <v>515</v>
      </c>
      <c r="T55" s="5" t="s">
        <v>516</v>
      </c>
      <c r="U55" s="4" t="s">
        <v>517</v>
      </c>
      <c r="V55" s="5" t="s">
        <v>104</v>
      </c>
      <c r="W55" s="4" t="s">
        <v>105</v>
      </c>
      <c r="X55" s="4" t="s">
        <v>106</v>
      </c>
      <c r="Y55" s="5"/>
      <c r="Z55" s="4" t="s">
        <v>518</v>
      </c>
      <c r="AA55" s="6" t="n">
        <v>300000</v>
      </c>
      <c r="AB55" s="6" t="n">
        <v>0</v>
      </c>
      <c r="AC55" s="6" t="n">
        <v>0</v>
      </c>
      <c r="AD55" s="6" t="n">
        <v>0</v>
      </c>
      <c r="AE55" s="4" t="s">
        <v>519</v>
      </c>
      <c r="AF55" s="5" t="s">
        <v>115</v>
      </c>
      <c r="AG55" s="4" t="s">
        <v>115</v>
      </c>
      <c r="AH55" s="4" t="s">
        <v>115</v>
      </c>
      <c r="AI55" s="5" t="s">
        <v>115</v>
      </c>
      <c r="AJ55" s="1" t="n">
        <v>0</v>
      </c>
      <c r="AK55" s="11" t="n">
        <v>0</v>
      </c>
      <c r="AL55" s="12" t="s">
        <v>520</v>
      </c>
      <c r="AM55" s="13" t="str">
        <f>IF(AL55="","",AL55&amp;" - "&amp;IFERROR(VLOOKUP(AL55,CODEBOOK_CAP!$C$2:$D$212,2,FALSE),""))</f>
        <v>0502 - FORMAÇÃO E DESENVOLVIMENTO PROFISSIONAL</v>
      </c>
      <c r="AN55" s="13" t="str">
        <f>IF(AL55="","",IFERROR(VLOOKUP(AL55,CODEBOOK_CAP!$C$2:$E$212,3,FALSE),""))</f>
        <v>Programas de capacitação profissional, programas de incentivo ao emprego geral, reciclagem, realocação profissional em outra área, acordos e parcerias do estado com empresas privadas na capacitação, formação e treinamento profissional.</v>
      </c>
      <c r="AO55" s="11" t="n">
        <v>0</v>
      </c>
      <c r="AP55" s="11"/>
      <c r="AQ55" s="11" t="n">
        <v>0</v>
      </c>
      <c r="AR55" s="11" t="n">
        <v>0</v>
      </c>
      <c r="AS55" s="11"/>
      <c r="AT55" s="11" t="n">
        <v>0</v>
      </c>
      <c r="AU55" s="11"/>
      <c r="AV55" s="11"/>
      <c r="AW55" s="11"/>
      <c r="AX55" s="7" t="s">
        <v>84</v>
      </c>
      <c r="AY55" s="7"/>
      <c r="AZ55" s="7"/>
      <c r="BA55" s="7"/>
    </row>
    <row r="56" ht="156.75" customHeight="1">
      <c r="A56" s="4" t="s">
        <v>521</v>
      </c>
      <c r="B56" s="4" t="n">
        <v>2022</v>
      </c>
      <c r="C56" s="4" t="n">
        <v>4476</v>
      </c>
      <c r="D56" s="4" t="s">
        <v>54</v>
      </c>
      <c r="E56" s="4" t="s">
        <v>497</v>
      </c>
      <c r="F56" s="5" t="s">
        <v>522</v>
      </c>
      <c r="G56" s="4" t="s">
        <v>57</v>
      </c>
      <c r="H56" s="4" t="s">
        <v>499</v>
      </c>
      <c r="I56" s="4" t="s">
        <v>500</v>
      </c>
      <c r="J56" s="4" t="s">
        <v>282</v>
      </c>
      <c r="K56" s="4" t="s">
        <v>283</v>
      </c>
      <c r="L56" s="5" t="s">
        <v>94</v>
      </c>
      <c r="M56" s="4" t="s">
        <v>95</v>
      </c>
      <c r="N56" s="5" t="s">
        <v>96</v>
      </c>
      <c r="O56" s="4" t="s">
        <v>97</v>
      </c>
      <c r="P56" s="5" t="s">
        <v>98</v>
      </c>
      <c r="Q56" s="4" t="s">
        <v>99</v>
      </c>
      <c r="R56" s="5" t="s">
        <v>100</v>
      </c>
      <c r="S56" s="4" t="s">
        <v>101</v>
      </c>
      <c r="T56" s="5" t="s">
        <v>102</v>
      </c>
      <c r="U56" s="4" t="s">
        <v>103</v>
      </c>
      <c r="V56" s="5" t="s">
        <v>104</v>
      </c>
      <c r="W56" s="4" t="s">
        <v>105</v>
      </c>
      <c r="X56" s="4" t="s">
        <v>106</v>
      </c>
      <c r="Y56" s="5"/>
      <c r="Z56" s="4" t="s">
        <v>107</v>
      </c>
      <c r="AA56" s="6" t="n">
        <v>644000</v>
      </c>
      <c r="AB56" s="6" t="n">
        <v>644000</v>
      </c>
      <c r="AC56" s="6" t="n">
        <v>644000</v>
      </c>
      <c r="AD56" s="6" t="n">
        <v>644000</v>
      </c>
      <c r="AE56" s="4" t="s">
        <v>284</v>
      </c>
      <c r="AF56" s="5" t="s">
        <v>285</v>
      </c>
      <c r="AG56" s="4" t="s">
        <v>110</v>
      </c>
      <c r="AH56" s="4" t="s">
        <v>110</v>
      </c>
      <c r="AI56" s="5"/>
      <c r="AJ56" s="1" t="n">
        <v>0</v>
      </c>
      <c r="AK56" s="11" t="n">
        <v>0</v>
      </c>
      <c r="AL56" s="12" t="s">
        <v>111</v>
      </c>
      <c r="AM56" s="13" t="str">
        <f>IF(AL56="","",AL56&amp;" - "&amp;IFERROR(VLOOKUP(AL56,CODEBOOK_CAP!$C$2:$D$212,2,FALSE),""))</f>
        <v>1300 - GERAL</v>
      </c>
      <c r="AN56" s="13" t="str">
        <f>IF(AL56="","",IFERROR(VLOOKUP(AL56,CODEBOOK_CAP!$C$2:$E$212,3,FALSE),""))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56" s="11" t="n">
        <v>0</v>
      </c>
      <c r="AP56" s="11"/>
      <c r="AQ56" s="11" t="n">
        <v>0</v>
      </c>
      <c r="AR56" s="11" t="n">
        <v>0</v>
      </c>
      <c r="AS56" s="11"/>
      <c r="AT56" s="11" t="n">
        <v>1</v>
      </c>
      <c r="AU56" s="11" t="s">
        <v>286</v>
      </c>
      <c r="AV56" s="11"/>
      <c r="AW56" s="11"/>
      <c r="AX56" s="7" t="s">
        <v>84</v>
      </c>
      <c r="AY56" s="7"/>
      <c r="AZ56" s="7"/>
      <c r="BA56" s="7"/>
    </row>
    <row r="57" ht="99.75" customHeight="1">
      <c r="A57" s="4" t="s">
        <v>523</v>
      </c>
      <c r="B57" s="4" t="n">
        <v>2022</v>
      </c>
      <c r="C57" s="4" t="n">
        <v>4510</v>
      </c>
      <c r="D57" s="4" t="s">
        <v>54</v>
      </c>
      <c r="E57" s="4" t="s">
        <v>497</v>
      </c>
      <c r="F57" s="5" t="s">
        <v>524</v>
      </c>
      <c r="G57" s="4" t="s">
        <v>57</v>
      </c>
      <c r="H57" s="4" t="s">
        <v>499</v>
      </c>
      <c r="I57" s="4" t="s">
        <v>500</v>
      </c>
      <c r="J57" s="4" t="s">
        <v>525</v>
      </c>
      <c r="K57" s="4" t="s">
        <v>192</v>
      </c>
      <c r="L57" s="5" t="s">
        <v>62</v>
      </c>
      <c r="M57" s="4" t="s">
        <v>63</v>
      </c>
      <c r="N57" s="5" t="s">
        <v>64</v>
      </c>
      <c r="O57" s="4" t="s">
        <v>65</v>
      </c>
      <c r="P57" s="5" t="s">
        <v>193</v>
      </c>
      <c r="Q57" s="4" t="s">
        <v>194</v>
      </c>
      <c r="R57" s="5" t="s">
        <v>195</v>
      </c>
      <c r="S57" s="4" t="s">
        <v>196</v>
      </c>
      <c r="T57" s="5" t="s">
        <v>197</v>
      </c>
      <c r="U57" s="4" t="s">
        <v>198</v>
      </c>
      <c r="V57" s="5" t="s">
        <v>104</v>
      </c>
      <c r="W57" s="4" t="s">
        <v>105</v>
      </c>
      <c r="X57" s="4" t="s">
        <v>106</v>
      </c>
      <c r="Y57" s="5"/>
      <c r="Z57" s="4" t="s">
        <v>75</v>
      </c>
      <c r="AA57" s="6" t="n">
        <v>1000000</v>
      </c>
      <c r="AB57" s="6" t="n">
        <v>1000000</v>
      </c>
      <c r="AC57" s="6" t="n">
        <v>1000000</v>
      </c>
      <c r="AD57" s="6" t="n">
        <v>1000000</v>
      </c>
      <c r="AE57" s="4" t="s">
        <v>526</v>
      </c>
      <c r="AF57" s="5" t="s">
        <v>527</v>
      </c>
      <c r="AG57" s="4" t="s">
        <v>528</v>
      </c>
      <c r="AH57" s="4" t="s">
        <v>529</v>
      </c>
      <c r="AI57" s="5" t="s">
        <v>530</v>
      </c>
      <c r="AJ57" s="1" t="n">
        <v>1</v>
      </c>
      <c r="AK57" s="11" t="n">
        <v>1</v>
      </c>
      <c r="AL57" s="12" t="s">
        <v>531</v>
      </c>
      <c r="AM57" s="13" t="str">
        <f>IF(AL57="","",AL57&amp;" - "&amp;IFERROR(VLOOKUP(AL57,CODEBOOK_CAP!$C$2:$D$212,2,FALSE),""))</f>
        <v>0399 - OUTROS</v>
      </c>
      <c r="AN57" s="13" t="str">
        <f>IF(AL57="","",IFERROR(VLOOKUP(AL57,CODEBOOK_CAP!$C$2:$E$212,3,FALSE),""))</f>
        <v>Observações que versam sobre SAÚDE, mas que não se enquadram em nenhum dos itens acima.</v>
      </c>
      <c r="AO57" s="11" t="n">
        <v>0</v>
      </c>
      <c r="AP57" s="11"/>
      <c r="AQ57" s="11" t="n">
        <v>0</v>
      </c>
      <c r="AR57" s="11" t="n">
        <v>0</v>
      </c>
      <c r="AS57" s="11"/>
      <c r="AT57" s="11" t="n">
        <v>0</v>
      </c>
      <c r="AU57" s="11"/>
      <c r="AV57" s="11"/>
      <c r="AW57" s="11"/>
      <c r="AX57" s="7" t="s">
        <v>84</v>
      </c>
      <c r="AY57" s="7"/>
      <c r="AZ57" s="7"/>
      <c r="BA57" s="7"/>
    </row>
    <row r="58" ht="71.25" customHeight="1">
      <c r="A58" s="4" t="s">
        <v>532</v>
      </c>
      <c r="B58" s="4" t="n">
        <v>2022</v>
      </c>
      <c r="C58" s="4" t="n">
        <v>4517</v>
      </c>
      <c r="D58" s="4" t="s">
        <v>54</v>
      </c>
      <c r="E58" s="4" t="s">
        <v>497</v>
      </c>
      <c r="F58" s="5" t="s">
        <v>533</v>
      </c>
      <c r="G58" s="4" t="s">
        <v>57</v>
      </c>
      <c r="H58" s="4" t="s">
        <v>499</v>
      </c>
      <c r="I58" s="4" t="s">
        <v>500</v>
      </c>
      <c r="J58" s="4" t="s">
        <v>534</v>
      </c>
      <c r="K58" s="4" t="s">
        <v>415</v>
      </c>
      <c r="L58" s="5" t="s">
        <v>122</v>
      </c>
      <c r="M58" s="4" t="s">
        <v>123</v>
      </c>
      <c r="N58" s="5" t="s">
        <v>227</v>
      </c>
      <c r="O58" s="4" t="s">
        <v>228</v>
      </c>
      <c r="P58" s="5" t="s">
        <v>229</v>
      </c>
      <c r="Q58" s="4" t="s">
        <v>230</v>
      </c>
      <c r="R58" s="5" t="s">
        <v>322</v>
      </c>
      <c r="S58" s="4" t="s">
        <v>323</v>
      </c>
      <c r="T58" s="5" t="s">
        <v>416</v>
      </c>
      <c r="U58" s="4" t="s">
        <v>417</v>
      </c>
      <c r="V58" s="5" t="s">
        <v>72</v>
      </c>
      <c r="W58" s="4" t="s">
        <v>73</v>
      </c>
      <c r="X58" s="4" t="s">
        <v>74</v>
      </c>
      <c r="Y58" s="5"/>
      <c r="Z58" s="4" t="s">
        <v>132</v>
      </c>
      <c r="AA58" s="6" t="n">
        <v>250000</v>
      </c>
      <c r="AB58" s="6" t="n">
        <v>250000</v>
      </c>
      <c r="AC58" s="6" t="n">
        <v>250000</v>
      </c>
      <c r="AD58" s="6" t="n">
        <v>250000</v>
      </c>
      <c r="AE58" s="4" t="s">
        <v>535</v>
      </c>
      <c r="AF58" s="5" t="s">
        <v>536</v>
      </c>
      <c r="AG58" s="4" t="s">
        <v>78</v>
      </c>
      <c r="AH58" s="4" t="s">
        <v>79</v>
      </c>
      <c r="AI58" s="5" t="s">
        <v>80</v>
      </c>
      <c r="AJ58" s="1" t="n">
        <v>0</v>
      </c>
      <c r="AK58" s="11" t="n">
        <v>0</v>
      </c>
      <c r="AL58" s="12" t="s">
        <v>188</v>
      </c>
      <c r="AM58" s="13" t="str">
        <f>IF(AL58="","",AL58&amp;" - "&amp;IFERROR(VLOOKUP(AL58,CODEBOOK_CAP!$C$2:$D$212,2,FALSE),""))</f>
        <v>2300 - GERAL</v>
      </c>
      <c r="AN58" s="13" t="str">
        <f>IF(AL58="","",IFERROR(VLOOKUP(AL58,CODEBOOK_CAP!$C$2:$E$212,3,FALSE),""))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58" s="11" t="n">
        <v>1</v>
      </c>
      <c r="AP58" s="11" t="s">
        <v>537</v>
      </c>
      <c r="AQ58" s="11" t="n">
        <v>1</v>
      </c>
      <c r="AR58" s="11" t="n">
        <v>1</v>
      </c>
      <c r="AS58" s="11" t="s">
        <v>537</v>
      </c>
      <c r="AT58" s="11" t="n">
        <v>0</v>
      </c>
      <c r="AU58" s="11"/>
      <c r="AV58" s="11"/>
      <c r="AW58" s="11"/>
      <c r="AX58" s="7" t="s">
        <v>84</v>
      </c>
      <c r="AY58" s="7"/>
      <c r="AZ58" s="7"/>
      <c r="BA58" s="7"/>
      <c r="BB58" s="3" t="s">
        <v>6564</v>
      </c>
    </row>
    <row r="59" ht="156.75" customHeight="1">
      <c r="A59" s="4" t="s">
        <v>538</v>
      </c>
      <c r="B59" s="4" t="n">
        <v>2022</v>
      </c>
      <c r="C59" s="4" t="n">
        <v>4266</v>
      </c>
      <c r="D59" s="4" t="s">
        <v>54</v>
      </c>
      <c r="E59" s="4" t="s">
        <v>539</v>
      </c>
      <c r="F59" s="5" t="s">
        <v>540</v>
      </c>
      <c r="G59" s="4" t="s">
        <v>57</v>
      </c>
      <c r="H59" s="4" t="s">
        <v>541</v>
      </c>
      <c r="I59" s="4" t="s">
        <v>542</v>
      </c>
      <c r="J59" s="4" t="s">
        <v>543</v>
      </c>
      <c r="K59" s="4" t="s">
        <v>93</v>
      </c>
      <c r="L59" s="5" t="s">
        <v>94</v>
      </c>
      <c r="M59" s="4" t="s">
        <v>95</v>
      </c>
      <c r="N59" s="5" t="s">
        <v>96</v>
      </c>
      <c r="O59" s="4" t="s">
        <v>97</v>
      </c>
      <c r="P59" s="5" t="s">
        <v>98</v>
      </c>
      <c r="Q59" s="4" t="s">
        <v>99</v>
      </c>
      <c r="R59" s="5" t="s">
        <v>100</v>
      </c>
      <c r="S59" s="4" t="s">
        <v>101</v>
      </c>
      <c r="T59" s="5" t="s">
        <v>102</v>
      </c>
      <c r="U59" s="4" t="s">
        <v>103</v>
      </c>
      <c r="V59" s="5" t="s">
        <v>104</v>
      </c>
      <c r="W59" s="4" t="s">
        <v>105</v>
      </c>
      <c r="X59" s="4" t="s">
        <v>106</v>
      </c>
      <c r="Y59" s="5"/>
      <c r="Z59" s="4" t="s">
        <v>107</v>
      </c>
      <c r="AA59" s="6" t="n">
        <v>60000</v>
      </c>
      <c r="AB59" s="6" t="n">
        <v>60000</v>
      </c>
      <c r="AC59" s="6" t="n">
        <v>60000</v>
      </c>
      <c r="AD59" s="6" t="n">
        <v>60000</v>
      </c>
      <c r="AE59" s="4" t="s">
        <v>544</v>
      </c>
      <c r="AF59" s="5" t="s">
        <v>545</v>
      </c>
      <c r="AG59" s="4" t="s">
        <v>110</v>
      </c>
      <c r="AH59" s="4" t="s">
        <v>110</v>
      </c>
      <c r="AI59" s="5"/>
      <c r="AJ59" s="1" t="n">
        <v>0</v>
      </c>
      <c r="AK59" s="11" t="n">
        <v>0</v>
      </c>
      <c r="AL59" s="12" t="s">
        <v>111</v>
      </c>
      <c r="AM59" s="13" t="str">
        <f>IF(AL59="","",AL59&amp;" - "&amp;IFERROR(VLOOKUP(AL59,CODEBOOK_CAP!$C$2:$D$212,2,FALSE),""))</f>
        <v>1300 - GERAL</v>
      </c>
      <c r="AN59" s="13" t="str">
        <f>IF(AL59="","",IFERROR(VLOOKUP(AL59,CODEBOOK_CAP!$C$2:$E$212,3,FALSE),""))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59" s="11" t="n">
        <v>0</v>
      </c>
      <c r="AP59" s="11"/>
      <c r="AQ59" s="11" t="n">
        <v>0</v>
      </c>
      <c r="AR59" s="11" t="n">
        <v>0</v>
      </c>
      <c r="AS59" s="11"/>
      <c r="AT59" s="11" t="n">
        <v>0</v>
      </c>
      <c r="AU59" s="11"/>
      <c r="AV59" s="11"/>
      <c r="AW59" s="11"/>
      <c r="AX59" s="7" t="s">
        <v>84</v>
      </c>
      <c r="AY59" s="7"/>
      <c r="AZ59" s="7"/>
      <c r="BA59" s="7"/>
    </row>
    <row r="60" ht="85.5" customHeight="1">
      <c r="A60" s="4" t="s">
        <v>546</v>
      </c>
      <c r="B60" s="4" t="n">
        <v>2022</v>
      </c>
      <c r="C60" s="4" t="n">
        <v>4267</v>
      </c>
      <c r="D60" s="4" t="s">
        <v>54</v>
      </c>
      <c r="E60" s="4" t="s">
        <v>539</v>
      </c>
      <c r="F60" s="5" t="s">
        <v>547</v>
      </c>
      <c r="G60" s="4" t="s">
        <v>57</v>
      </c>
      <c r="H60" s="4" t="s">
        <v>541</v>
      </c>
      <c r="I60" s="4" t="s">
        <v>542</v>
      </c>
      <c r="J60" s="4" t="s">
        <v>548</v>
      </c>
      <c r="K60" s="4" t="s">
        <v>549</v>
      </c>
      <c r="L60" s="5" t="s">
        <v>62</v>
      </c>
      <c r="M60" s="4" t="s">
        <v>63</v>
      </c>
      <c r="N60" s="5" t="s">
        <v>64</v>
      </c>
      <c r="O60" s="4" t="s">
        <v>65</v>
      </c>
      <c r="P60" s="5" t="s">
        <v>193</v>
      </c>
      <c r="Q60" s="4" t="s">
        <v>194</v>
      </c>
      <c r="R60" s="5" t="s">
        <v>195</v>
      </c>
      <c r="S60" s="4" t="s">
        <v>196</v>
      </c>
      <c r="T60" s="5" t="s">
        <v>429</v>
      </c>
      <c r="U60" s="4" t="s">
        <v>430</v>
      </c>
      <c r="V60" s="5" t="s">
        <v>104</v>
      </c>
      <c r="W60" s="4" t="s">
        <v>105</v>
      </c>
      <c r="X60" s="4" t="s">
        <v>106</v>
      </c>
      <c r="Y60" s="5"/>
      <c r="Z60" s="4" t="s">
        <v>75</v>
      </c>
      <c r="AA60" s="6" t="n">
        <v>540000</v>
      </c>
      <c r="AB60" s="6" t="n">
        <v>540000</v>
      </c>
      <c r="AC60" s="6" t="n">
        <v>540000</v>
      </c>
      <c r="AD60" s="6" t="n">
        <v>540000</v>
      </c>
      <c r="AE60" s="4" t="s">
        <v>431</v>
      </c>
      <c r="AF60" s="5" t="s">
        <v>432</v>
      </c>
      <c r="AG60" s="4" t="s">
        <v>78</v>
      </c>
      <c r="AH60" s="4" t="s">
        <v>79</v>
      </c>
      <c r="AI60" s="5" t="s">
        <v>80</v>
      </c>
      <c r="AJ60" s="1" t="n">
        <v>1</v>
      </c>
      <c r="AK60" s="11" t="n">
        <v>1</v>
      </c>
      <c r="AL60" s="12" t="s">
        <v>81</v>
      </c>
      <c r="AM60" s="13" t="str">
        <f>IF(AL60="","",AL60&amp;" - "&amp;IFERROR(VLOOKUP(AL60,CODEBOOK_CAP!$C$2:$D$212,2,FALSE),""))</f>
        <v>0322 - ESTRUTURAS, HOSPITAIS, CLÍNICAS</v>
      </c>
      <c r="AN60" s="13" t="str">
        <f>IF(AL60="","",IFERROR(VLOOKUP(AL60,CODEBOOK_CAP!$C$2:$E$212,3,FALSE),""))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60" s="11" t="n">
        <v>0</v>
      </c>
      <c r="AP60" s="11"/>
      <c r="AQ60" s="11" t="n">
        <v>1</v>
      </c>
      <c r="AR60" s="11" t="n">
        <v>1</v>
      </c>
      <c r="AS60" s="11" t="s">
        <v>550</v>
      </c>
      <c r="AT60" s="11" t="n">
        <v>0</v>
      </c>
      <c r="AU60" s="11"/>
      <c r="AV60" s="11"/>
      <c r="AW60" s="11"/>
      <c r="AX60" s="7" t="s">
        <v>84</v>
      </c>
      <c r="AY60" s="7"/>
      <c r="AZ60" s="7"/>
      <c r="BA60" s="7"/>
    </row>
    <row r="61" ht="156.75" customHeight="1">
      <c r="A61" s="4" t="s">
        <v>551</v>
      </c>
      <c r="B61" s="4" t="n">
        <v>2022</v>
      </c>
      <c r="C61" s="4" t="n">
        <v>4268</v>
      </c>
      <c r="D61" s="4" t="s">
        <v>54</v>
      </c>
      <c r="E61" s="4" t="s">
        <v>539</v>
      </c>
      <c r="F61" s="5" t="s">
        <v>552</v>
      </c>
      <c r="G61" s="4" t="s">
        <v>57</v>
      </c>
      <c r="H61" s="4" t="s">
        <v>541</v>
      </c>
      <c r="I61" s="4" t="s">
        <v>542</v>
      </c>
      <c r="J61" s="4" t="s">
        <v>553</v>
      </c>
      <c r="K61" s="4" t="s">
        <v>554</v>
      </c>
      <c r="L61" s="5" t="s">
        <v>62</v>
      </c>
      <c r="M61" s="4" t="s">
        <v>63</v>
      </c>
      <c r="N61" s="5" t="s">
        <v>64</v>
      </c>
      <c r="O61" s="4" t="s">
        <v>65</v>
      </c>
      <c r="P61" s="5" t="s">
        <v>344</v>
      </c>
      <c r="Q61" s="4" t="s">
        <v>345</v>
      </c>
      <c r="R61" s="5" t="s">
        <v>346</v>
      </c>
      <c r="S61" s="4" t="s">
        <v>347</v>
      </c>
      <c r="T61" s="5" t="s">
        <v>555</v>
      </c>
      <c r="U61" s="4" t="s">
        <v>347</v>
      </c>
      <c r="V61" s="5" t="s">
        <v>310</v>
      </c>
      <c r="W61" s="4" t="s">
        <v>73</v>
      </c>
      <c r="X61" s="4" t="s">
        <v>74</v>
      </c>
      <c r="Y61" s="5"/>
      <c r="Z61" s="4" t="s">
        <v>75</v>
      </c>
      <c r="AA61" s="6" t="n">
        <v>100000</v>
      </c>
      <c r="AB61" s="6" t="n">
        <v>99987</v>
      </c>
      <c r="AC61" s="6" t="n">
        <v>99987</v>
      </c>
      <c r="AD61" s="6" t="n">
        <v>99987</v>
      </c>
      <c r="AE61" s="4"/>
      <c r="AF61" s="5"/>
      <c r="AG61" s="4" t="s">
        <v>78</v>
      </c>
      <c r="AH61" s="4" t="s">
        <v>79</v>
      </c>
      <c r="AI61" s="5" t="s">
        <v>80</v>
      </c>
      <c r="AJ61" s="1" t="n">
        <v>1</v>
      </c>
      <c r="AK61" s="11" t="n">
        <v>1</v>
      </c>
      <c r="AL61" s="12" t="s">
        <v>556</v>
      </c>
      <c r="AM61" s="13" t="str">
        <f>IF(AL61="","",AL61&amp;" - "&amp;IFERROR(VLOOKUP(AL61,CODEBOOK_CAP!$C$2:$D$212,2,FALSE),""))</f>
        <v>0304 - CUIDADOS PRIMARIOS E ATENÇÃO BÁSICA</v>
      </c>
      <c r="AN61" s="13" t="str">
        <f>IF(AL61="","",IFERROR(VLOOKUP(AL61,CODEBOOK_CAP!$C$2:$E$212,3,FALSE),""))</f>
        <v>Medicina da familia, cuidados básicos e informativos de saude, higiene pessoal e higiene alimentar. Normalmente vinculada a comunidades carentes e de exercício de práticas gerenciais e sanitárias democráticas, atuacao de trabalho em equipe, dirigidas a populações de territórios bem delimitados, pelas quais assume a responsabilidade sanitária, considerando a dinamicidade existente no território em que vivem essas populações. Programa saúde da família, Política Nacional de atenção básica, Equipes de Saúde da Família, Agentes comunitários de saúde. Mias médicos quando se tratar de inclusão regional, interiorização do atendimento. Quando tratar apenas de prevenção e promoção a saude, como campanhas específicas contra dengue, DSTs, codificar em (331)</v>
      </c>
      <c r="AO61" s="11" t="n">
        <v>1</v>
      </c>
      <c r="AP61" s="11" t="s">
        <v>557</v>
      </c>
      <c r="AQ61" s="11" t="n">
        <v>0</v>
      </c>
      <c r="AR61" s="11" t="n">
        <v>0</v>
      </c>
      <c r="AS61" s="11"/>
      <c r="AT61" s="11" t="n">
        <v>0</v>
      </c>
      <c r="AU61" s="11"/>
      <c r="AV61" s="11"/>
      <c r="AW61" s="11"/>
      <c r="AX61" s="7" t="s">
        <v>84</v>
      </c>
      <c r="AY61" s="7"/>
      <c r="AZ61" s="7"/>
      <c r="BA61" s="7"/>
    </row>
    <row r="62" ht="156.75" customHeight="1">
      <c r="A62" s="4" t="s">
        <v>558</v>
      </c>
      <c r="B62" s="4" t="n">
        <v>2022</v>
      </c>
      <c r="C62" s="4" t="n">
        <v>4269</v>
      </c>
      <c r="D62" s="4" t="s">
        <v>54</v>
      </c>
      <c r="E62" s="4" t="s">
        <v>539</v>
      </c>
      <c r="F62" s="5" t="s">
        <v>559</v>
      </c>
      <c r="G62" s="4" t="s">
        <v>57</v>
      </c>
      <c r="H62" s="4" t="s">
        <v>541</v>
      </c>
      <c r="I62" s="4" t="s">
        <v>542</v>
      </c>
      <c r="J62" s="4" t="s">
        <v>560</v>
      </c>
      <c r="K62" s="4" t="s">
        <v>554</v>
      </c>
      <c r="L62" s="5" t="s">
        <v>62</v>
      </c>
      <c r="M62" s="4" t="s">
        <v>63</v>
      </c>
      <c r="N62" s="5" t="s">
        <v>64</v>
      </c>
      <c r="O62" s="4" t="s">
        <v>65</v>
      </c>
      <c r="P62" s="5" t="s">
        <v>344</v>
      </c>
      <c r="Q62" s="4" t="s">
        <v>345</v>
      </c>
      <c r="R62" s="5" t="s">
        <v>346</v>
      </c>
      <c r="S62" s="4" t="s">
        <v>347</v>
      </c>
      <c r="T62" s="5" t="s">
        <v>555</v>
      </c>
      <c r="U62" s="4" t="s">
        <v>347</v>
      </c>
      <c r="V62" s="5" t="s">
        <v>310</v>
      </c>
      <c r="W62" s="4" t="s">
        <v>73</v>
      </c>
      <c r="X62" s="4" t="s">
        <v>74</v>
      </c>
      <c r="Y62" s="5"/>
      <c r="Z62" s="4" t="s">
        <v>75</v>
      </c>
      <c r="AA62" s="6" t="n">
        <v>100000</v>
      </c>
      <c r="AB62" s="6" t="n">
        <v>99882</v>
      </c>
      <c r="AC62" s="6" t="n">
        <v>99882</v>
      </c>
      <c r="AD62" s="6" t="n">
        <v>99882</v>
      </c>
      <c r="AE62" s="4" t="s">
        <v>561</v>
      </c>
      <c r="AF62" s="5" t="s">
        <v>562</v>
      </c>
      <c r="AG62" s="4" t="s">
        <v>78</v>
      </c>
      <c r="AH62" s="4" t="s">
        <v>79</v>
      </c>
      <c r="AI62" s="5" t="s">
        <v>80</v>
      </c>
      <c r="AJ62" s="1" t="n">
        <v>1</v>
      </c>
      <c r="AK62" s="11" t="n">
        <v>1</v>
      </c>
      <c r="AL62" s="12" t="s">
        <v>556</v>
      </c>
      <c r="AM62" s="13" t="str">
        <f>IF(AL62="","",AL62&amp;" - "&amp;IFERROR(VLOOKUP(AL62,CODEBOOK_CAP!$C$2:$D$212,2,FALSE),""))</f>
        <v>0304 - CUIDADOS PRIMARIOS E ATENÇÃO BÁSICA</v>
      </c>
      <c r="AN62" s="13" t="str">
        <f>IF(AL62="","",IFERROR(VLOOKUP(AL62,CODEBOOK_CAP!$C$2:$E$212,3,FALSE),""))</f>
        <v>Medicina da familia, cuidados básicos e informativos de saude, higiene pessoal e higiene alimentar. Normalmente vinculada a comunidades carentes e de exercício de práticas gerenciais e sanitárias democráticas, atuacao de trabalho em equipe, dirigidas a populações de territórios bem delimitados, pelas quais assume a responsabilidade sanitária, considerando a dinamicidade existente no território em que vivem essas populações. Programa saúde da família, Política Nacional de atenção básica, Equipes de Saúde da Família, Agentes comunitários de saúde. Mias médicos quando se tratar de inclusão regional, interiorização do atendimento. Quando tratar apenas de prevenção e promoção a saude, como campanhas específicas contra dengue, DSTs, codificar em (331)</v>
      </c>
      <c r="AO62" s="11" t="n">
        <v>1</v>
      </c>
      <c r="AP62" s="11" t="s">
        <v>563</v>
      </c>
      <c r="AQ62" s="11" t="n">
        <v>0</v>
      </c>
      <c r="AR62" s="11" t="n">
        <v>0</v>
      </c>
      <c r="AS62" s="11"/>
      <c r="AT62" s="11" t="n">
        <v>0</v>
      </c>
      <c r="AU62" s="11"/>
      <c r="AV62" s="11"/>
      <c r="AW62" s="11"/>
      <c r="AX62" s="7" t="s">
        <v>84</v>
      </c>
      <c r="AY62" s="7"/>
      <c r="AZ62" s="7"/>
      <c r="BA62" s="7"/>
    </row>
    <row r="63" ht="156.75" customHeight="1">
      <c r="A63" s="4" t="s">
        <v>564</v>
      </c>
      <c r="B63" s="4" t="n">
        <v>2022</v>
      </c>
      <c r="C63" s="4" t="n">
        <v>4270</v>
      </c>
      <c r="D63" s="4" t="s">
        <v>54</v>
      </c>
      <c r="E63" s="4" t="s">
        <v>539</v>
      </c>
      <c r="F63" s="5" t="s">
        <v>565</v>
      </c>
      <c r="G63" s="4" t="s">
        <v>57</v>
      </c>
      <c r="H63" s="4" t="s">
        <v>541</v>
      </c>
      <c r="I63" s="4" t="s">
        <v>542</v>
      </c>
      <c r="J63" s="4" t="s">
        <v>566</v>
      </c>
      <c r="K63" s="4" t="s">
        <v>554</v>
      </c>
      <c r="L63" s="5" t="s">
        <v>62</v>
      </c>
      <c r="M63" s="4" t="s">
        <v>63</v>
      </c>
      <c r="N63" s="5" t="s">
        <v>64</v>
      </c>
      <c r="O63" s="4" t="s">
        <v>65</v>
      </c>
      <c r="P63" s="5" t="s">
        <v>344</v>
      </c>
      <c r="Q63" s="4" t="s">
        <v>345</v>
      </c>
      <c r="R63" s="5" t="s">
        <v>346</v>
      </c>
      <c r="S63" s="4" t="s">
        <v>347</v>
      </c>
      <c r="T63" s="5" t="s">
        <v>555</v>
      </c>
      <c r="U63" s="4" t="s">
        <v>347</v>
      </c>
      <c r="V63" s="5" t="s">
        <v>310</v>
      </c>
      <c r="W63" s="4" t="s">
        <v>73</v>
      </c>
      <c r="X63" s="4" t="s">
        <v>74</v>
      </c>
      <c r="Y63" s="5"/>
      <c r="Z63" s="4" t="s">
        <v>75</v>
      </c>
      <c r="AA63" s="6" t="n">
        <v>100000</v>
      </c>
      <c r="AB63" s="6" t="n">
        <v>99917</v>
      </c>
      <c r="AC63" s="6" t="n">
        <v>99917</v>
      </c>
      <c r="AD63" s="6" t="n">
        <v>99917</v>
      </c>
      <c r="AE63" s="4" t="s">
        <v>567</v>
      </c>
      <c r="AF63" s="5" t="s">
        <v>568</v>
      </c>
      <c r="AG63" s="4" t="s">
        <v>78</v>
      </c>
      <c r="AH63" s="4" t="s">
        <v>79</v>
      </c>
      <c r="AI63" s="5" t="s">
        <v>80</v>
      </c>
      <c r="AJ63" s="1" t="n">
        <v>1</v>
      </c>
      <c r="AK63" s="11" t="n">
        <v>1</v>
      </c>
      <c r="AL63" s="12" t="s">
        <v>556</v>
      </c>
      <c r="AM63" s="13" t="str">
        <f>IF(AL63="","",AL63&amp;" - "&amp;IFERROR(VLOOKUP(AL63,CODEBOOK_CAP!$C$2:$D$212,2,FALSE),""))</f>
        <v>0304 - CUIDADOS PRIMARIOS E ATENÇÃO BÁSICA</v>
      </c>
      <c r="AN63" s="13" t="str">
        <f>IF(AL63="","",IFERROR(VLOOKUP(AL63,CODEBOOK_CAP!$C$2:$E$212,3,FALSE),""))</f>
        <v>Medicina da familia, cuidados básicos e informativos de saude, higiene pessoal e higiene alimentar. Normalmente vinculada a comunidades carentes e de exercício de práticas gerenciais e sanitárias democráticas, atuacao de trabalho em equipe, dirigidas a populações de territórios bem delimitados, pelas quais assume a responsabilidade sanitária, considerando a dinamicidade existente no território em que vivem essas populações. Programa saúde da família, Política Nacional de atenção básica, Equipes de Saúde da Família, Agentes comunitários de saúde. Mias médicos quando se tratar de inclusão regional, interiorização do atendimento. Quando tratar apenas de prevenção e promoção a saude, como campanhas específicas contra dengue, DSTs, codificar em (331)</v>
      </c>
      <c r="AO63" s="11" t="n">
        <v>0</v>
      </c>
      <c r="AP63" s="11"/>
      <c r="AQ63" s="11" t="n">
        <v>0</v>
      </c>
      <c r="AR63" s="11" t="n">
        <v>0</v>
      </c>
      <c r="AS63" s="11"/>
      <c r="AT63" s="11" t="n">
        <v>0</v>
      </c>
      <c r="AU63" s="11"/>
      <c r="AV63" s="11"/>
      <c r="AW63" s="11"/>
      <c r="AX63" s="7" t="s">
        <v>84</v>
      </c>
      <c r="AY63" s="7"/>
      <c r="AZ63" s="7"/>
      <c r="BA63" s="7"/>
    </row>
    <row r="64" ht="85.5" customHeight="1">
      <c r="A64" s="4" t="s">
        <v>569</v>
      </c>
      <c r="B64" s="4" t="n">
        <v>2022</v>
      </c>
      <c r="C64" s="4" t="n">
        <v>4271</v>
      </c>
      <c r="D64" s="4" t="s">
        <v>54</v>
      </c>
      <c r="E64" s="4" t="s">
        <v>539</v>
      </c>
      <c r="F64" s="5" t="s">
        <v>570</v>
      </c>
      <c r="G64" s="4" t="s">
        <v>57</v>
      </c>
      <c r="H64" s="4" t="s">
        <v>541</v>
      </c>
      <c r="I64" s="4" t="s">
        <v>542</v>
      </c>
      <c r="J64" s="4" t="s">
        <v>571</v>
      </c>
      <c r="K64" s="4" t="s">
        <v>572</v>
      </c>
      <c r="L64" s="5" t="s">
        <v>62</v>
      </c>
      <c r="M64" s="4" t="s">
        <v>63</v>
      </c>
      <c r="N64" s="5" t="s">
        <v>64</v>
      </c>
      <c r="O64" s="4" t="s">
        <v>65</v>
      </c>
      <c r="P64" s="5" t="s">
        <v>193</v>
      </c>
      <c r="Q64" s="4" t="s">
        <v>194</v>
      </c>
      <c r="R64" s="5" t="s">
        <v>195</v>
      </c>
      <c r="S64" s="4" t="s">
        <v>196</v>
      </c>
      <c r="T64" s="5" t="s">
        <v>573</v>
      </c>
      <c r="U64" s="4" t="s">
        <v>574</v>
      </c>
      <c r="V64" s="5" t="s">
        <v>310</v>
      </c>
      <c r="W64" s="4" t="s">
        <v>73</v>
      </c>
      <c r="X64" s="4" t="s">
        <v>74</v>
      </c>
      <c r="Y64" s="5"/>
      <c r="Z64" s="4" t="s">
        <v>75</v>
      </c>
      <c r="AA64" s="6" t="n">
        <v>50000</v>
      </c>
      <c r="AB64" s="6" t="n">
        <v>34320</v>
      </c>
      <c r="AC64" s="6" t="n">
        <v>34320</v>
      </c>
      <c r="AD64" s="6" t="n">
        <v>34320</v>
      </c>
      <c r="AE64" s="4" t="s">
        <v>575</v>
      </c>
      <c r="AF64" s="5" t="s">
        <v>576</v>
      </c>
      <c r="AG64" s="4" t="s">
        <v>78</v>
      </c>
      <c r="AH64" s="4" t="s">
        <v>79</v>
      </c>
      <c r="AI64" s="5" t="s">
        <v>80</v>
      </c>
      <c r="AJ64" s="1" t="n">
        <v>1</v>
      </c>
      <c r="AK64" s="11" t="n">
        <v>1</v>
      </c>
      <c r="AL64" s="12" t="s">
        <v>81</v>
      </c>
      <c r="AM64" s="13" t="str">
        <f>IF(AL64="","",AL64&amp;" - "&amp;IFERROR(VLOOKUP(AL64,CODEBOOK_CAP!$C$2:$D$212,2,FALSE),""))</f>
        <v>0322 - ESTRUTURAS, HOSPITAIS, CLÍNICAS</v>
      </c>
      <c r="AN64" s="13" t="str">
        <f>IF(AL64="","",IFERROR(VLOOKUP(AL64,CODEBOOK_CAP!$C$2:$E$212,3,FALSE),""))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64" s="11" t="n">
        <v>0</v>
      </c>
      <c r="AP64" s="11"/>
      <c r="AQ64" s="11" t="n">
        <v>0</v>
      </c>
      <c r="AR64" s="11" t="n">
        <v>0</v>
      </c>
      <c r="AS64" s="11"/>
      <c r="AT64" s="11" t="n">
        <v>0</v>
      </c>
      <c r="AU64" s="11"/>
      <c r="AV64" s="11"/>
      <c r="AW64" s="11"/>
      <c r="AX64" s="7" t="s">
        <v>84</v>
      </c>
      <c r="AY64" s="7"/>
      <c r="AZ64" s="7"/>
      <c r="BA64" s="7"/>
    </row>
    <row r="65" ht="85.5" customHeight="1">
      <c r="A65" s="4" t="s">
        <v>577</v>
      </c>
      <c r="B65" s="4" t="n">
        <v>2022</v>
      </c>
      <c r="C65" s="4" t="n">
        <v>4272</v>
      </c>
      <c r="D65" s="4" t="s">
        <v>54</v>
      </c>
      <c r="E65" s="4" t="s">
        <v>539</v>
      </c>
      <c r="F65" s="5" t="s">
        <v>578</v>
      </c>
      <c r="G65" s="4" t="s">
        <v>57</v>
      </c>
      <c r="H65" s="4" t="s">
        <v>541</v>
      </c>
      <c r="I65" s="4" t="s">
        <v>542</v>
      </c>
      <c r="J65" s="4" t="s">
        <v>579</v>
      </c>
      <c r="K65" s="4" t="s">
        <v>572</v>
      </c>
      <c r="L65" s="5" t="s">
        <v>62</v>
      </c>
      <c r="M65" s="4" t="s">
        <v>63</v>
      </c>
      <c r="N65" s="5" t="s">
        <v>64</v>
      </c>
      <c r="O65" s="4" t="s">
        <v>65</v>
      </c>
      <c r="P65" s="5" t="s">
        <v>193</v>
      </c>
      <c r="Q65" s="4" t="s">
        <v>194</v>
      </c>
      <c r="R65" s="5" t="s">
        <v>195</v>
      </c>
      <c r="S65" s="4" t="s">
        <v>196</v>
      </c>
      <c r="T65" s="5" t="s">
        <v>573</v>
      </c>
      <c r="U65" s="4" t="s">
        <v>574</v>
      </c>
      <c r="V65" s="5" t="s">
        <v>310</v>
      </c>
      <c r="W65" s="4" t="s">
        <v>73</v>
      </c>
      <c r="X65" s="4" t="s">
        <v>74</v>
      </c>
      <c r="Y65" s="5"/>
      <c r="Z65" s="4" t="s">
        <v>75</v>
      </c>
      <c r="AA65" s="6" t="n">
        <v>50000</v>
      </c>
      <c r="AB65" s="6" t="n">
        <v>32568</v>
      </c>
      <c r="AC65" s="6" t="n">
        <v>32568</v>
      </c>
      <c r="AD65" s="6" t="n">
        <v>32568</v>
      </c>
      <c r="AE65" s="4" t="s">
        <v>580</v>
      </c>
      <c r="AF65" s="5" t="s">
        <v>581</v>
      </c>
      <c r="AG65" s="4" t="s">
        <v>78</v>
      </c>
      <c r="AH65" s="4" t="s">
        <v>79</v>
      </c>
      <c r="AI65" s="5" t="s">
        <v>80</v>
      </c>
      <c r="AJ65" s="1" t="n">
        <v>1</v>
      </c>
      <c r="AK65" s="11" t="n">
        <v>1</v>
      </c>
      <c r="AL65" s="12" t="s">
        <v>81</v>
      </c>
      <c r="AM65" s="13" t="str">
        <f>IF(AL65="","",AL65&amp;" - "&amp;IFERROR(VLOOKUP(AL65,CODEBOOK_CAP!$C$2:$D$212,2,FALSE),""))</f>
        <v>0322 - ESTRUTURAS, HOSPITAIS, CLÍNICAS</v>
      </c>
      <c r="AN65" s="13" t="str">
        <f>IF(AL65="","",IFERROR(VLOOKUP(AL65,CODEBOOK_CAP!$C$2:$E$212,3,FALSE),""))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65" s="11" t="n">
        <v>0</v>
      </c>
      <c r="AP65" s="11"/>
      <c r="AQ65" s="11" t="n">
        <v>0</v>
      </c>
      <c r="AR65" s="11" t="n">
        <v>0</v>
      </c>
      <c r="AS65" s="11"/>
      <c r="AT65" s="11" t="n">
        <v>0</v>
      </c>
      <c r="AU65" s="11"/>
      <c r="AV65" s="11"/>
      <c r="AW65" s="11"/>
      <c r="AX65" s="7" t="s">
        <v>84</v>
      </c>
      <c r="AY65" s="7"/>
      <c r="AZ65" s="7"/>
      <c r="BA65" s="7"/>
    </row>
    <row r="66" ht="156.75" customHeight="1">
      <c r="A66" s="4" t="s">
        <v>582</v>
      </c>
      <c r="B66" s="4" t="n">
        <v>2022</v>
      </c>
      <c r="C66" s="4" t="n">
        <v>4273</v>
      </c>
      <c r="D66" s="4" t="s">
        <v>54</v>
      </c>
      <c r="E66" s="4" t="s">
        <v>539</v>
      </c>
      <c r="F66" s="5" t="s">
        <v>583</v>
      </c>
      <c r="G66" s="4" t="s">
        <v>57</v>
      </c>
      <c r="H66" s="4" t="s">
        <v>541</v>
      </c>
      <c r="I66" s="4" t="s">
        <v>542</v>
      </c>
      <c r="J66" s="4" t="s">
        <v>584</v>
      </c>
      <c r="K66" s="4" t="s">
        <v>585</v>
      </c>
      <c r="L66" s="5" t="s">
        <v>62</v>
      </c>
      <c r="M66" s="4" t="s">
        <v>63</v>
      </c>
      <c r="N66" s="5" t="s">
        <v>64</v>
      </c>
      <c r="O66" s="4" t="s">
        <v>65</v>
      </c>
      <c r="P66" s="5" t="s">
        <v>344</v>
      </c>
      <c r="Q66" s="4" t="s">
        <v>345</v>
      </c>
      <c r="R66" s="5" t="s">
        <v>346</v>
      </c>
      <c r="S66" s="4" t="s">
        <v>347</v>
      </c>
      <c r="T66" s="5" t="s">
        <v>555</v>
      </c>
      <c r="U66" s="4" t="s">
        <v>347</v>
      </c>
      <c r="V66" s="5" t="s">
        <v>310</v>
      </c>
      <c r="W66" s="4" t="s">
        <v>73</v>
      </c>
      <c r="X66" s="4" t="s">
        <v>74</v>
      </c>
      <c r="Y66" s="5"/>
      <c r="Z66" s="4" t="s">
        <v>75</v>
      </c>
      <c r="AA66" s="6" t="n">
        <v>100000</v>
      </c>
      <c r="AB66" s="6" t="n">
        <v>12600</v>
      </c>
      <c r="AC66" s="6" t="n">
        <v>12600</v>
      </c>
      <c r="AD66" s="6" t="n">
        <v>12600</v>
      </c>
      <c r="AE66" s="4" t="s">
        <v>586</v>
      </c>
      <c r="AF66" s="5" t="s">
        <v>587</v>
      </c>
      <c r="AG66" s="4" t="s">
        <v>78</v>
      </c>
      <c r="AH66" s="4" t="s">
        <v>79</v>
      </c>
      <c r="AI66" s="5" t="s">
        <v>80</v>
      </c>
      <c r="AJ66" s="1" t="n">
        <v>1</v>
      </c>
      <c r="AK66" s="11" t="n">
        <v>1</v>
      </c>
      <c r="AL66" s="12" t="s">
        <v>556</v>
      </c>
      <c r="AM66" s="13" t="str">
        <f>IF(AL66="","",AL66&amp;" - "&amp;IFERROR(VLOOKUP(AL66,CODEBOOK_CAP!$C$2:$D$212,2,FALSE),""))</f>
        <v>0304 - CUIDADOS PRIMARIOS E ATENÇÃO BÁSICA</v>
      </c>
      <c r="AN66" s="13" t="str">
        <f>IF(AL66="","",IFERROR(VLOOKUP(AL66,CODEBOOK_CAP!$C$2:$E$212,3,FALSE),""))</f>
        <v>Medicina da familia, cuidados básicos e informativos de saude, higiene pessoal e higiene alimentar. Normalmente vinculada a comunidades carentes e de exercício de práticas gerenciais e sanitárias democráticas, atuacao de trabalho em equipe, dirigidas a populações de territórios bem delimitados, pelas quais assume a responsabilidade sanitária, considerando a dinamicidade existente no território em que vivem essas populações. Programa saúde da família, Política Nacional de atenção básica, Equipes de Saúde da Família, Agentes comunitários de saúde. Mias médicos quando se tratar de inclusão regional, interiorização do atendimento. Quando tratar apenas de prevenção e promoção a saude, como campanhas específicas contra dengue, DSTs, codificar em (331)</v>
      </c>
      <c r="AO66" s="11" t="n">
        <v>1</v>
      </c>
      <c r="AP66" s="11" t="s">
        <v>588</v>
      </c>
      <c r="AQ66" s="11" t="n">
        <v>0</v>
      </c>
      <c r="AR66" s="11" t="n">
        <v>0</v>
      </c>
      <c r="AS66" s="11"/>
      <c r="AT66" s="11" t="n">
        <v>0</v>
      </c>
      <c r="AU66" s="11"/>
      <c r="AV66" s="11"/>
      <c r="AW66" s="11"/>
      <c r="AX66" s="7" t="s">
        <v>84</v>
      </c>
      <c r="AY66" s="7"/>
      <c r="AZ66" s="7"/>
      <c r="BA66" s="7"/>
    </row>
    <row r="67" ht="85.5" customHeight="1">
      <c r="A67" s="4" t="s">
        <v>589</v>
      </c>
      <c r="B67" s="4" t="n">
        <v>2022</v>
      </c>
      <c r="C67" s="4" t="n">
        <v>4189</v>
      </c>
      <c r="D67" s="4" t="s">
        <v>54</v>
      </c>
      <c r="E67" s="4" t="s">
        <v>590</v>
      </c>
      <c r="F67" s="5" t="s">
        <v>591</v>
      </c>
      <c r="G67" s="4" t="s">
        <v>57</v>
      </c>
      <c r="H67" s="4" t="s">
        <v>592</v>
      </c>
      <c r="I67" s="4" t="s">
        <v>281</v>
      </c>
      <c r="J67" s="4" t="s">
        <v>593</v>
      </c>
      <c r="K67" s="4" t="s">
        <v>594</v>
      </c>
      <c r="L67" s="5" t="s">
        <v>595</v>
      </c>
      <c r="M67" s="4" t="s">
        <v>596</v>
      </c>
      <c r="N67" s="5" t="s">
        <v>597</v>
      </c>
      <c r="O67" s="4" t="s">
        <v>598</v>
      </c>
      <c r="P67" s="5" t="s">
        <v>599</v>
      </c>
      <c r="Q67" s="4" t="s">
        <v>600</v>
      </c>
      <c r="R67" s="5" t="s">
        <v>601</v>
      </c>
      <c r="S67" s="4" t="s">
        <v>602</v>
      </c>
      <c r="T67" s="5" t="s">
        <v>603</v>
      </c>
      <c r="U67" s="4" t="s">
        <v>604</v>
      </c>
      <c r="V67" s="5" t="s">
        <v>605</v>
      </c>
      <c r="W67" s="4" t="s">
        <v>73</v>
      </c>
      <c r="X67" s="4" t="s">
        <v>74</v>
      </c>
      <c r="Y67" s="5"/>
      <c r="Z67" s="4" t="s">
        <v>606</v>
      </c>
      <c r="AA67" s="6" t="n">
        <v>80000</v>
      </c>
      <c r="AB67" s="6" t="n">
        <v>80000</v>
      </c>
      <c r="AC67" s="6" t="n">
        <v>80000</v>
      </c>
      <c r="AD67" s="6" t="n">
        <v>80000</v>
      </c>
      <c r="AE67" s="4" t="s">
        <v>607</v>
      </c>
      <c r="AF67" s="5" t="s">
        <v>608</v>
      </c>
      <c r="AG67" s="4" t="s">
        <v>78</v>
      </c>
      <c r="AH67" s="4" t="s">
        <v>79</v>
      </c>
      <c r="AI67" s="5" t="s">
        <v>80</v>
      </c>
      <c r="AJ67" s="1" t="n">
        <v>0</v>
      </c>
      <c r="AK67" s="11" t="n">
        <v>0</v>
      </c>
      <c r="AL67" s="12" t="s">
        <v>609</v>
      </c>
      <c r="AM67" s="13" t="str">
        <f>IF(AL67="","",AL67&amp;" - "&amp;IFERROR(VLOOKUP(AL67,CODEBOOK_CAP!$C$2:$D$212,2,FALSE),""))</f>
        <v>0607 - PROMOCAO DA QUALIDADE, ESTRUTURA E AÇÕES</v>
      </c>
      <c r="AN67" s="13" t="str">
        <f>IF(AL67="","",IFERROR(VLOOKUP(AL67,CODEBOOK_CAP!$C$2:$E$212,3,FALSE),""))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67" s="11" t="n">
        <v>1</v>
      </c>
      <c r="AP67" s="11" t="s">
        <v>610</v>
      </c>
      <c r="AQ67" s="11" t="n">
        <v>1</v>
      </c>
      <c r="AR67" s="11" t="n">
        <v>1</v>
      </c>
      <c r="AS67" s="11" t="s">
        <v>611</v>
      </c>
      <c r="AT67" s="11" t="n">
        <v>1</v>
      </c>
      <c r="AU67" s="11" t="s">
        <v>286</v>
      </c>
      <c r="AV67" s="11"/>
      <c r="AW67" s="11"/>
      <c r="AX67" s="7" t="s">
        <v>84</v>
      </c>
      <c r="AY67" s="7"/>
      <c r="AZ67" s="7"/>
      <c r="BA67" s="7"/>
    </row>
    <row r="68" ht="85.5" customHeight="1">
      <c r="A68" s="4" t="s">
        <v>612</v>
      </c>
      <c r="B68" s="4" t="n">
        <v>2022</v>
      </c>
      <c r="C68" s="4" t="n">
        <v>4197</v>
      </c>
      <c r="D68" s="4" t="s">
        <v>54</v>
      </c>
      <c r="E68" s="4" t="s">
        <v>590</v>
      </c>
      <c r="F68" s="5" t="s">
        <v>613</v>
      </c>
      <c r="G68" s="4" t="s">
        <v>57</v>
      </c>
      <c r="H68" s="4" t="s">
        <v>592</v>
      </c>
      <c r="I68" s="4" t="s">
        <v>281</v>
      </c>
      <c r="J68" s="4" t="s">
        <v>614</v>
      </c>
      <c r="K68" s="4" t="s">
        <v>615</v>
      </c>
      <c r="L68" s="5" t="s">
        <v>595</v>
      </c>
      <c r="M68" s="4" t="s">
        <v>596</v>
      </c>
      <c r="N68" s="5" t="s">
        <v>597</v>
      </c>
      <c r="O68" s="4" t="s">
        <v>598</v>
      </c>
      <c r="P68" s="5" t="s">
        <v>599</v>
      </c>
      <c r="Q68" s="4" t="s">
        <v>600</v>
      </c>
      <c r="R68" s="5" t="s">
        <v>601</v>
      </c>
      <c r="S68" s="4" t="s">
        <v>602</v>
      </c>
      <c r="T68" s="5" t="s">
        <v>603</v>
      </c>
      <c r="U68" s="4" t="s">
        <v>604</v>
      </c>
      <c r="V68" s="5" t="s">
        <v>605</v>
      </c>
      <c r="W68" s="4" t="s">
        <v>73</v>
      </c>
      <c r="X68" s="4" t="s">
        <v>74</v>
      </c>
      <c r="Y68" s="5"/>
      <c r="Z68" s="4" t="s">
        <v>606</v>
      </c>
      <c r="AA68" s="6" t="n">
        <v>80000</v>
      </c>
      <c r="AB68" s="6" t="n">
        <v>80000</v>
      </c>
      <c r="AC68" s="6" t="n">
        <v>80000</v>
      </c>
      <c r="AD68" s="6" t="n">
        <v>80000</v>
      </c>
      <c r="AE68" s="4" t="s">
        <v>616</v>
      </c>
      <c r="AF68" s="5" t="s">
        <v>617</v>
      </c>
      <c r="AG68" s="4" t="s">
        <v>78</v>
      </c>
      <c r="AH68" s="4" t="s">
        <v>79</v>
      </c>
      <c r="AI68" s="5" t="s">
        <v>80</v>
      </c>
      <c r="AJ68" s="1" t="n">
        <v>0</v>
      </c>
      <c r="AK68" s="11" t="n">
        <v>0</v>
      </c>
      <c r="AL68" s="12" t="s">
        <v>609</v>
      </c>
      <c r="AM68" s="13" t="str">
        <f>IF(AL68="","",AL68&amp;" - "&amp;IFERROR(VLOOKUP(AL68,CODEBOOK_CAP!$C$2:$D$212,2,FALSE),""))</f>
        <v>0607 - PROMOCAO DA QUALIDADE, ESTRUTURA E AÇÕES</v>
      </c>
      <c r="AN68" s="13" t="str">
        <f>IF(AL68="","",IFERROR(VLOOKUP(AL68,CODEBOOK_CAP!$C$2:$E$212,3,FALSE),""))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68" s="11" t="n">
        <v>1</v>
      </c>
      <c r="AP68" s="11" t="s">
        <v>618</v>
      </c>
      <c r="AQ68" s="11" t="n">
        <v>1</v>
      </c>
      <c r="AR68" s="11" t="n">
        <v>1</v>
      </c>
      <c r="AS68" s="11" t="s">
        <v>619</v>
      </c>
      <c r="AT68" s="11" t="n">
        <v>1</v>
      </c>
      <c r="AU68" s="11" t="s">
        <v>286</v>
      </c>
      <c r="AV68" s="11"/>
      <c r="AW68" s="11"/>
      <c r="AX68" s="7" t="s">
        <v>84</v>
      </c>
      <c r="AY68" s="7"/>
      <c r="AZ68" s="7"/>
      <c r="BA68" s="7"/>
    </row>
    <row r="69" ht="85.5" customHeight="1">
      <c r="A69" s="4" t="s">
        <v>620</v>
      </c>
      <c r="B69" s="4" t="n">
        <v>2022</v>
      </c>
      <c r="C69" s="4" t="n">
        <v>4198</v>
      </c>
      <c r="D69" s="4" t="s">
        <v>54</v>
      </c>
      <c r="E69" s="4" t="s">
        <v>590</v>
      </c>
      <c r="F69" s="5" t="s">
        <v>66</v>
      </c>
      <c r="G69" s="4" t="s">
        <v>57</v>
      </c>
      <c r="H69" s="4" t="s">
        <v>592</v>
      </c>
      <c r="I69" s="4" t="s">
        <v>281</v>
      </c>
      <c r="J69" s="4" t="s">
        <v>621</v>
      </c>
      <c r="K69" s="4" t="s">
        <v>622</v>
      </c>
      <c r="L69" s="5" t="s">
        <v>595</v>
      </c>
      <c r="M69" s="4" t="s">
        <v>596</v>
      </c>
      <c r="N69" s="5" t="s">
        <v>597</v>
      </c>
      <c r="O69" s="4" t="s">
        <v>598</v>
      </c>
      <c r="P69" s="5" t="s">
        <v>599</v>
      </c>
      <c r="Q69" s="4" t="s">
        <v>600</v>
      </c>
      <c r="R69" s="5" t="s">
        <v>601</v>
      </c>
      <c r="S69" s="4" t="s">
        <v>602</v>
      </c>
      <c r="T69" s="5" t="s">
        <v>603</v>
      </c>
      <c r="U69" s="4" t="s">
        <v>604</v>
      </c>
      <c r="V69" s="5" t="s">
        <v>605</v>
      </c>
      <c r="W69" s="4" t="s">
        <v>73</v>
      </c>
      <c r="X69" s="4" t="s">
        <v>74</v>
      </c>
      <c r="Y69" s="5"/>
      <c r="Z69" s="4" t="s">
        <v>606</v>
      </c>
      <c r="AA69" s="6" t="n">
        <v>80000</v>
      </c>
      <c r="AB69" s="6" t="n">
        <v>80000</v>
      </c>
      <c r="AC69" s="6" t="n">
        <v>80000</v>
      </c>
      <c r="AD69" s="6" t="n">
        <v>80000</v>
      </c>
      <c r="AE69" s="4" t="s">
        <v>623</v>
      </c>
      <c r="AF69" s="5" t="s">
        <v>624</v>
      </c>
      <c r="AG69" s="4" t="s">
        <v>78</v>
      </c>
      <c r="AH69" s="4" t="s">
        <v>79</v>
      </c>
      <c r="AI69" s="5" t="s">
        <v>80</v>
      </c>
      <c r="AJ69" s="1" t="n">
        <v>0</v>
      </c>
      <c r="AK69" s="11" t="n">
        <v>0</v>
      </c>
      <c r="AL69" s="12" t="s">
        <v>609</v>
      </c>
      <c r="AM69" s="13" t="str">
        <f>IF(AL69="","",AL69&amp;" - "&amp;IFERROR(VLOOKUP(AL69,CODEBOOK_CAP!$C$2:$D$212,2,FALSE),""))</f>
        <v>0607 - PROMOCAO DA QUALIDADE, ESTRUTURA E AÇÕES</v>
      </c>
      <c r="AN69" s="13" t="str">
        <f>IF(AL69="","",IFERROR(VLOOKUP(AL69,CODEBOOK_CAP!$C$2:$E$212,3,FALSE),""))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69" s="11" t="n">
        <v>1</v>
      </c>
      <c r="AP69" s="11" t="s">
        <v>625</v>
      </c>
      <c r="AQ69" s="11" t="n">
        <v>1</v>
      </c>
      <c r="AR69" s="11" t="n">
        <v>1</v>
      </c>
      <c r="AS69" s="11" t="s">
        <v>626</v>
      </c>
      <c r="AT69" s="11" t="n">
        <v>1</v>
      </c>
      <c r="AU69" s="11" t="s">
        <v>286</v>
      </c>
      <c r="AV69" s="11"/>
      <c r="AW69" s="11"/>
      <c r="AX69" s="7" t="s">
        <v>84</v>
      </c>
      <c r="AY69" s="7"/>
      <c r="AZ69" s="7"/>
      <c r="BA69" s="7"/>
    </row>
    <row r="70" ht="85.5" customHeight="1">
      <c r="A70" s="4" t="s">
        <v>627</v>
      </c>
      <c r="B70" s="4" t="n">
        <v>2022</v>
      </c>
      <c r="C70" s="4" t="n">
        <v>4199</v>
      </c>
      <c r="D70" s="4" t="s">
        <v>54</v>
      </c>
      <c r="E70" s="4" t="s">
        <v>590</v>
      </c>
      <c r="F70" s="5" t="s">
        <v>628</v>
      </c>
      <c r="G70" s="4" t="s">
        <v>57</v>
      </c>
      <c r="H70" s="4" t="s">
        <v>592</v>
      </c>
      <c r="I70" s="4" t="s">
        <v>281</v>
      </c>
      <c r="J70" s="4" t="s">
        <v>629</v>
      </c>
      <c r="K70" s="4" t="s">
        <v>594</v>
      </c>
      <c r="L70" s="5" t="s">
        <v>595</v>
      </c>
      <c r="M70" s="4" t="s">
        <v>596</v>
      </c>
      <c r="N70" s="5" t="s">
        <v>597</v>
      </c>
      <c r="O70" s="4" t="s">
        <v>598</v>
      </c>
      <c r="P70" s="5" t="s">
        <v>599</v>
      </c>
      <c r="Q70" s="4" t="s">
        <v>600</v>
      </c>
      <c r="R70" s="5" t="s">
        <v>601</v>
      </c>
      <c r="S70" s="4" t="s">
        <v>602</v>
      </c>
      <c r="T70" s="5" t="s">
        <v>603</v>
      </c>
      <c r="U70" s="4" t="s">
        <v>604</v>
      </c>
      <c r="V70" s="5" t="s">
        <v>605</v>
      </c>
      <c r="W70" s="4" t="s">
        <v>73</v>
      </c>
      <c r="X70" s="4" t="s">
        <v>74</v>
      </c>
      <c r="Y70" s="5"/>
      <c r="Z70" s="4" t="s">
        <v>606</v>
      </c>
      <c r="AA70" s="6" t="n">
        <v>80000</v>
      </c>
      <c r="AB70" s="6" t="n">
        <v>80000</v>
      </c>
      <c r="AC70" s="6" t="n">
        <v>80000</v>
      </c>
      <c r="AD70" s="6" t="n">
        <v>80000</v>
      </c>
      <c r="AE70" s="4" t="s">
        <v>630</v>
      </c>
      <c r="AF70" s="5" t="s">
        <v>631</v>
      </c>
      <c r="AG70" s="4" t="s">
        <v>78</v>
      </c>
      <c r="AH70" s="4" t="s">
        <v>79</v>
      </c>
      <c r="AI70" s="5" t="s">
        <v>80</v>
      </c>
      <c r="AJ70" s="1" t="n">
        <v>0</v>
      </c>
      <c r="AK70" s="11" t="n">
        <v>0</v>
      </c>
      <c r="AL70" s="12" t="s">
        <v>609</v>
      </c>
      <c r="AM70" s="13" t="str">
        <f>IF(AL70="","",AL70&amp;" - "&amp;IFERROR(VLOOKUP(AL70,CODEBOOK_CAP!$C$2:$D$212,2,FALSE),""))</f>
        <v>0607 - PROMOCAO DA QUALIDADE, ESTRUTURA E AÇÕES</v>
      </c>
      <c r="AN70" s="13" t="str">
        <f>IF(AL70="","",IFERROR(VLOOKUP(AL70,CODEBOOK_CAP!$C$2:$E$212,3,FALSE),""))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70" s="11" t="n">
        <v>1</v>
      </c>
      <c r="AP70" s="11" t="s">
        <v>632</v>
      </c>
      <c r="AQ70" s="11" t="n">
        <v>1</v>
      </c>
      <c r="AR70" s="11" t="n">
        <v>1</v>
      </c>
      <c r="AS70" s="11" t="s">
        <v>633</v>
      </c>
      <c r="AT70" s="11" t="n">
        <v>1</v>
      </c>
      <c r="AU70" s="11" t="s">
        <v>286</v>
      </c>
      <c r="AV70" s="11"/>
      <c r="AW70" s="11"/>
      <c r="AX70" s="7" t="s">
        <v>84</v>
      </c>
      <c r="AY70" s="7"/>
      <c r="AZ70" s="7"/>
      <c r="BA70" s="7"/>
    </row>
    <row r="71" ht="85.5" customHeight="1">
      <c r="A71" s="4" t="s">
        <v>634</v>
      </c>
      <c r="B71" s="4" t="n">
        <v>2022</v>
      </c>
      <c r="C71" s="4" t="n">
        <v>4201</v>
      </c>
      <c r="D71" s="4" t="s">
        <v>54</v>
      </c>
      <c r="E71" s="4" t="s">
        <v>590</v>
      </c>
      <c r="F71" s="5" t="s">
        <v>635</v>
      </c>
      <c r="G71" s="4" t="s">
        <v>139</v>
      </c>
      <c r="H71" s="4" t="s">
        <v>592</v>
      </c>
      <c r="I71" s="4" t="s">
        <v>281</v>
      </c>
      <c r="J71" s="4" t="s">
        <v>636</v>
      </c>
      <c r="K71" s="4" t="s">
        <v>115</v>
      </c>
      <c r="L71" s="5"/>
      <c r="M71" s="4"/>
      <c r="N71" s="5"/>
      <c r="O71" s="4"/>
      <c r="P71" s="5"/>
      <c r="Q71" s="4"/>
      <c r="R71" s="5"/>
      <c r="S71" s="4"/>
      <c r="T71" s="5"/>
      <c r="U71" s="4"/>
      <c r="V71" s="5"/>
      <c r="W71" s="4"/>
      <c r="X71" s="4"/>
      <c r="Y71" s="5"/>
      <c r="Z71" s="4" t="s">
        <v>139</v>
      </c>
      <c r="AA71" s="6" t="n">
        <v>30000</v>
      </c>
      <c r="AB71" s="6"/>
      <c r="AC71" s="6"/>
      <c r="AD71" s="6"/>
      <c r="AE71" s="4" t="s">
        <v>115</v>
      </c>
      <c r="AF71" s="5" t="s">
        <v>115</v>
      </c>
      <c r="AG71" s="4" t="s">
        <v>115</v>
      </c>
      <c r="AH71" s="4" t="s">
        <v>115</v>
      </c>
      <c r="AI71" s="5" t="s">
        <v>115</v>
      </c>
      <c r="AJ71" s="1" t="n">
        <v>0</v>
      </c>
      <c r="AK71" s="11" t="n">
        <v>0</v>
      </c>
      <c r="AL71" s="12" t="s">
        <v>637</v>
      </c>
      <c r="AM71" s="13" t="str">
        <f>IF(AL71="","",AL71&amp;" - "&amp;IFERROR(VLOOKUP(AL71,CODEBOOK_CAP!$C$2:$D$212,2,FALSE),""))</f>
        <v>1301 - ASSISTÊNCIA ALIMENTAR</v>
      </c>
      <c r="AN71" s="13" t="str">
        <f>IF(AL71="","",IFERROR(VLOOKUP(AL71,CODEBOOK_CAP!$C$2:$E$212,3,FALSE),""))</f>
        <v>Políticas de combate a fome, políticas de educação alimentar, políticas de alimentos, incentivos a alimentos não industrializados, apoios a necessidades de alimentação, subnutrição, fome, desnutrição, somente políticas cujo foco principal seja a questão alimentar e o combate a fome. Fome Zero, Leve Leite, políticas de merenda escolar, alimentação nas escolas, creches.</v>
      </c>
      <c r="AO71" s="11" t="n">
        <v>0</v>
      </c>
      <c r="AP71" s="11"/>
      <c r="AQ71" s="11" t="n">
        <v>0</v>
      </c>
      <c r="AR71" s="11" t="n">
        <v>0</v>
      </c>
      <c r="AS71" s="11"/>
      <c r="AT71" s="11" t="n">
        <v>0</v>
      </c>
      <c r="AU71" s="11"/>
      <c r="AV71" s="11"/>
      <c r="AW71" s="11"/>
      <c r="AX71" s="7" t="s">
        <v>84</v>
      </c>
      <c r="AY71" s="7"/>
      <c r="AZ71" s="7"/>
      <c r="BA71" s="7"/>
    </row>
    <row r="72" ht="85.5" customHeight="1">
      <c r="A72" s="4" t="s">
        <v>638</v>
      </c>
      <c r="B72" s="4" t="n">
        <v>2022</v>
      </c>
      <c r="C72" s="4" t="n">
        <v>4202</v>
      </c>
      <c r="D72" s="4" t="s">
        <v>54</v>
      </c>
      <c r="E72" s="4" t="s">
        <v>590</v>
      </c>
      <c r="F72" s="5" t="s">
        <v>639</v>
      </c>
      <c r="G72" s="4" t="s">
        <v>57</v>
      </c>
      <c r="H72" s="4" t="s">
        <v>592</v>
      </c>
      <c r="I72" s="4" t="s">
        <v>281</v>
      </c>
      <c r="J72" s="4" t="s">
        <v>640</v>
      </c>
      <c r="K72" s="4" t="s">
        <v>549</v>
      </c>
      <c r="L72" s="5" t="s">
        <v>62</v>
      </c>
      <c r="M72" s="4" t="s">
        <v>63</v>
      </c>
      <c r="N72" s="5" t="s">
        <v>64</v>
      </c>
      <c r="O72" s="4" t="s">
        <v>65</v>
      </c>
      <c r="P72" s="5" t="s">
        <v>193</v>
      </c>
      <c r="Q72" s="4" t="s">
        <v>194</v>
      </c>
      <c r="R72" s="5" t="s">
        <v>195</v>
      </c>
      <c r="S72" s="4" t="s">
        <v>196</v>
      </c>
      <c r="T72" s="5" t="s">
        <v>429</v>
      </c>
      <c r="U72" s="4" t="s">
        <v>430</v>
      </c>
      <c r="V72" s="5" t="s">
        <v>104</v>
      </c>
      <c r="W72" s="4" t="s">
        <v>105</v>
      </c>
      <c r="X72" s="4" t="s">
        <v>106</v>
      </c>
      <c r="Y72" s="5"/>
      <c r="Z72" s="4" t="s">
        <v>75</v>
      </c>
      <c r="AA72" s="6" t="n">
        <v>40000</v>
      </c>
      <c r="AB72" s="6" t="n">
        <v>40000</v>
      </c>
      <c r="AC72" s="6" t="n">
        <v>40000</v>
      </c>
      <c r="AD72" s="6" t="n">
        <v>40000</v>
      </c>
      <c r="AE72" s="4" t="s">
        <v>641</v>
      </c>
      <c r="AF72" s="5" t="s">
        <v>642</v>
      </c>
      <c r="AG72" s="4" t="s">
        <v>115</v>
      </c>
      <c r="AH72" s="4" t="s">
        <v>115</v>
      </c>
      <c r="AI72" s="5" t="s">
        <v>115</v>
      </c>
      <c r="AJ72" s="1" t="n">
        <v>1</v>
      </c>
      <c r="AK72" s="11" t="n">
        <v>1</v>
      </c>
      <c r="AL72" s="12" t="s">
        <v>81</v>
      </c>
      <c r="AM72" s="13" t="str">
        <f>IF(AL72="","",AL72&amp;" - "&amp;IFERROR(VLOOKUP(AL72,CODEBOOK_CAP!$C$2:$D$212,2,FALSE),""))</f>
        <v>0322 - ESTRUTURAS, HOSPITAIS, CLÍNICAS</v>
      </c>
      <c r="AN72" s="13" t="str">
        <f>IF(AL72="","",IFERROR(VLOOKUP(AL72,CODEBOOK_CAP!$C$2:$E$212,3,FALSE),""))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72" s="11" t="n">
        <v>0</v>
      </c>
      <c r="AP72" s="11"/>
      <c r="AQ72" s="11" t="n">
        <v>0</v>
      </c>
      <c r="AR72" s="11" t="n">
        <v>0</v>
      </c>
      <c r="AS72" s="11"/>
      <c r="AT72" s="11" t="n">
        <v>0</v>
      </c>
      <c r="AU72" s="11"/>
      <c r="AV72" s="11"/>
      <c r="AW72" s="11"/>
      <c r="AX72" s="7" t="s">
        <v>84</v>
      </c>
      <c r="AY72" s="7"/>
      <c r="AZ72" s="7"/>
      <c r="BA72" s="7"/>
    </row>
    <row r="73" ht="85.5" customHeight="1">
      <c r="A73" s="4" t="s">
        <v>643</v>
      </c>
      <c r="B73" s="4" t="n">
        <v>2022</v>
      </c>
      <c r="C73" s="4" t="n">
        <v>4203</v>
      </c>
      <c r="D73" s="4" t="s">
        <v>54</v>
      </c>
      <c r="E73" s="4" t="s">
        <v>590</v>
      </c>
      <c r="F73" s="5" t="s">
        <v>644</v>
      </c>
      <c r="G73" s="4" t="s">
        <v>57</v>
      </c>
      <c r="H73" s="4" t="s">
        <v>592</v>
      </c>
      <c r="I73" s="4" t="s">
        <v>281</v>
      </c>
      <c r="J73" s="4" t="s">
        <v>645</v>
      </c>
      <c r="K73" s="4" t="s">
        <v>646</v>
      </c>
      <c r="L73" s="5" t="s">
        <v>595</v>
      </c>
      <c r="M73" s="4" t="s">
        <v>596</v>
      </c>
      <c r="N73" s="5" t="s">
        <v>597</v>
      </c>
      <c r="O73" s="4" t="s">
        <v>598</v>
      </c>
      <c r="P73" s="5" t="s">
        <v>66</v>
      </c>
      <c r="Q73" s="4" t="s">
        <v>67</v>
      </c>
      <c r="R73" s="5" t="s">
        <v>647</v>
      </c>
      <c r="S73" s="4" t="s">
        <v>648</v>
      </c>
      <c r="T73" s="5" t="s">
        <v>649</v>
      </c>
      <c r="U73" s="4" t="s">
        <v>650</v>
      </c>
      <c r="V73" s="5" t="s">
        <v>310</v>
      </c>
      <c r="W73" s="4" t="s">
        <v>73</v>
      </c>
      <c r="X73" s="4" t="s">
        <v>74</v>
      </c>
      <c r="Y73" s="5"/>
      <c r="Z73" s="4" t="s">
        <v>606</v>
      </c>
      <c r="AA73" s="6" t="n">
        <v>80000</v>
      </c>
      <c r="AB73" s="6" t="n">
        <v>0</v>
      </c>
      <c r="AC73" s="6" t="n">
        <v>0</v>
      </c>
      <c r="AD73" s="6" t="n">
        <v>0</v>
      </c>
      <c r="AE73" s="4"/>
      <c r="AF73" s="5"/>
      <c r="AG73" s="4" t="s">
        <v>78</v>
      </c>
      <c r="AH73" s="4" t="s">
        <v>79</v>
      </c>
      <c r="AI73" s="5" t="s">
        <v>80</v>
      </c>
      <c r="AJ73" s="1" t="n">
        <v>0</v>
      </c>
      <c r="AK73" s="11" t="n">
        <v>0</v>
      </c>
      <c r="AL73" s="12" t="s">
        <v>609</v>
      </c>
      <c r="AM73" s="13" t="str">
        <f>IF(AL73="","",AL73&amp;" - "&amp;IFERROR(VLOOKUP(AL73,CODEBOOK_CAP!$C$2:$D$212,2,FALSE),""))</f>
        <v>0607 - PROMOCAO DA QUALIDADE, ESTRUTURA E AÇÕES</v>
      </c>
      <c r="AN73" s="13" t="str">
        <f>IF(AL73="","",IFERROR(VLOOKUP(AL73,CODEBOOK_CAP!$C$2:$E$212,3,FALSE),""))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73" s="11" t="n">
        <v>1</v>
      </c>
      <c r="AP73" s="11" t="s">
        <v>651</v>
      </c>
      <c r="AQ73" s="11" t="n">
        <v>1</v>
      </c>
      <c r="AR73" s="11" t="n">
        <v>1</v>
      </c>
      <c r="AS73" s="11" t="s">
        <v>652</v>
      </c>
      <c r="AT73" s="11" t="n">
        <v>1</v>
      </c>
      <c r="AU73" s="11" t="s">
        <v>286</v>
      </c>
      <c r="AV73" s="11"/>
      <c r="AW73" s="11"/>
      <c r="AX73" s="7" t="s">
        <v>84</v>
      </c>
      <c r="AY73" s="7"/>
      <c r="AZ73" s="7"/>
      <c r="BA73" s="7"/>
    </row>
    <row r="74" ht="156.75" customHeight="1">
      <c r="A74" s="4" t="s">
        <v>653</v>
      </c>
      <c r="B74" s="4" t="n">
        <v>2022</v>
      </c>
      <c r="C74" s="4" t="n">
        <v>4204</v>
      </c>
      <c r="D74" s="4" t="s">
        <v>54</v>
      </c>
      <c r="E74" s="4" t="s">
        <v>590</v>
      </c>
      <c r="F74" s="5" t="s">
        <v>654</v>
      </c>
      <c r="G74" s="4" t="s">
        <v>139</v>
      </c>
      <c r="H74" s="4" t="s">
        <v>592</v>
      </c>
      <c r="I74" s="4" t="s">
        <v>281</v>
      </c>
      <c r="J74" s="4" t="s">
        <v>655</v>
      </c>
      <c r="K74" s="4" t="s">
        <v>115</v>
      </c>
      <c r="L74" s="5"/>
      <c r="M74" s="4"/>
      <c r="N74" s="5"/>
      <c r="O74" s="4"/>
      <c r="P74" s="5"/>
      <c r="Q74" s="4"/>
      <c r="R74" s="5"/>
      <c r="S74" s="4"/>
      <c r="T74" s="5"/>
      <c r="U74" s="4"/>
      <c r="V74" s="5"/>
      <c r="W74" s="4"/>
      <c r="X74" s="4"/>
      <c r="Y74" s="5"/>
      <c r="Z74" s="4" t="s">
        <v>139</v>
      </c>
      <c r="AA74" s="6" t="n">
        <v>30000</v>
      </c>
      <c r="AB74" s="6"/>
      <c r="AC74" s="6"/>
      <c r="AD74" s="6"/>
      <c r="AE74" s="4" t="s">
        <v>115</v>
      </c>
      <c r="AF74" s="5" t="s">
        <v>115</v>
      </c>
      <c r="AG74" s="4" t="s">
        <v>115</v>
      </c>
      <c r="AH74" s="4" t="s">
        <v>115</v>
      </c>
      <c r="AI74" s="5" t="s">
        <v>115</v>
      </c>
      <c r="AJ74" s="1" t="n">
        <v>0</v>
      </c>
      <c r="AK74" s="11" t="n">
        <v>0</v>
      </c>
      <c r="AL74" s="12" t="s">
        <v>111</v>
      </c>
      <c r="AM74" s="13" t="str">
        <f>IF(AL74="","",AL74&amp;" - "&amp;IFERROR(VLOOKUP(AL74,CODEBOOK_CAP!$C$2:$D$212,2,FALSE),""))</f>
        <v>1300 - GERAL</v>
      </c>
      <c r="AN74" s="13" t="str">
        <f>IF(AL74="","",IFERROR(VLOOKUP(AL74,CODEBOOK_CAP!$C$2:$E$212,3,FALSE),""))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74" s="11" t="n">
        <v>0</v>
      </c>
      <c r="AP74" s="11"/>
      <c r="AQ74" s="11" t="n">
        <v>1</v>
      </c>
      <c r="AR74" s="11" t="n">
        <v>1</v>
      </c>
      <c r="AS74" s="11" t="s">
        <v>656</v>
      </c>
      <c r="AT74" s="11" t="n">
        <v>0</v>
      </c>
      <c r="AU74" s="11"/>
      <c r="AV74" s="11"/>
      <c r="AW74" s="11"/>
      <c r="AX74" s="7" t="s">
        <v>84</v>
      </c>
      <c r="AY74" s="7"/>
      <c r="AZ74" s="7"/>
      <c r="BA74" s="7"/>
    </row>
    <row r="75" ht="85.5" customHeight="1">
      <c r="A75" s="4" t="s">
        <v>657</v>
      </c>
      <c r="B75" s="4" t="n">
        <v>2022</v>
      </c>
      <c r="C75" s="4" t="n">
        <v>4205</v>
      </c>
      <c r="D75" s="4" t="s">
        <v>54</v>
      </c>
      <c r="E75" s="4" t="s">
        <v>590</v>
      </c>
      <c r="F75" s="5" t="s">
        <v>658</v>
      </c>
      <c r="G75" s="4" t="s">
        <v>57</v>
      </c>
      <c r="H75" s="4" t="s">
        <v>592</v>
      </c>
      <c r="I75" s="4" t="s">
        <v>281</v>
      </c>
      <c r="J75" s="4" t="s">
        <v>659</v>
      </c>
      <c r="K75" s="4" t="s">
        <v>549</v>
      </c>
      <c r="L75" s="5" t="s">
        <v>62</v>
      </c>
      <c r="M75" s="4" t="s">
        <v>63</v>
      </c>
      <c r="N75" s="5" t="s">
        <v>64</v>
      </c>
      <c r="O75" s="4" t="s">
        <v>65</v>
      </c>
      <c r="P75" s="5" t="s">
        <v>193</v>
      </c>
      <c r="Q75" s="4" t="s">
        <v>194</v>
      </c>
      <c r="R75" s="5" t="s">
        <v>195</v>
      </c>
      <c r="S75" s="4" t="s">
        <v>196</v>
      </c>
      <c r="T75" s="5" t="s">
        <v>429</v>
      </c>
      <c r="U75" s="4" t="s">
        <v>430</v>
      </c>
      <c r="V75" s="5" t="s">
        <v>104</v>
      </c>
      <c r="W75" s="4" t="s">
        <v>105</v>
      </c>
      <c r="X75" s="4" t="s">
        <v>106</v>
      </c>
      <c r="Y75" s="5"/>
      <c r="Z75" s="4" t="s">
        <v>75</v>
      </c>
      <c r="AA75" s="6" t="n">
        <v>40000</v>
      </c>
      <c r="AB75" s="6" t="n">
        <v>40000</v>
      </c>
      <c r="AC75" s="6" t="n">
        <v>40000</v>
      </c>
      <c r="AD75" s="6" t="n">
        <v>40000</v>
      </c>
      <c r="AE75" s="4" t="s">
        <v>438</v>
      </c>
      <c r="AF75" s="5" t="s">
        <v>439</v>
      </c>
      <c r="AG75" s="4" t="s">
        <v>433</v>
      </c>
      <c r="AH75" s="4" t="s">
        <v>433</v>
      </c>
      <c r="AI75" s="5"/>
      <c r="AJ75" s="1" t="n">
        <v>1</v>
      </c>
      <c r="AK75" s="11" t="n">
        <v>1</v>
      </c>
      <c r="AL75" s="12" t="s">
        <v>81</v>
      </c>
      <c r="AM75" s="13" t="str">
        <f>IF(AL75="","",AL75&amp;" - "&amp;IFERROR(VLOOKUP(AL75,CODEBOOK_CAP!$C$2:$D$212,2,FALSE),""))</f>
        <v>0322 - ESTRUTURAS, HOSPITAIS, CLÍNICAS</v>
      </c>
      <c r="AN75" s="13" t="str">
        <f>IF(AL75="","",IFERROR(VLOOKUP(AL75,CODEBOOK_CAP!$C$2:$E$212,3,FALSE),""))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75" s="11" t="n">
        <v>0</v>
      </c>
      <c r="AP75" s="11"/>
      <c r="AQ75" s="11" t="n">
        <v>1</v>
      </c>
      <c r="AR75" s="11" t="n">
        <v>1</v>
      </c>
      <c r="AS75" s="11" t="s">
        <v>660</v>
      </c>
      <c r="AT75" s="11" t="n">
        <v>0</v>
      </c>
      <c r="AU75" s="11"/>
      <c r="AV75" s="11"/>
      <c r="AW75" s="11"/>
      <c r="AX75" s="7" t="s">
        <v>84</v>
      </c>
      <c r="AY75" s="7"/>
      <c r="AZ75" s="7"/>
      <c r="BA75" s="7"/>
    </row>
    <row r="76" ht="85.5" customHeight="1">
      <c r="A76" s="4" t="s">
        <v>661</v>
      </c>
      <c r="B76" s="4" t="n">
        <v>2022</v>
      </c>
      <c r="C76" s="4" t="n">
        <v>4206</v>
      </c>
      <c r="D76" s="4" t="s">
        <v>54</v>
      </c>
      <c r="E76" s="4" t="s">
        <v>590</v>
      </c>
      <c r="F76" s="5" t="s">
        <v>662</v>
      </c>
      <c r="G76" s="4" t="s">
        <v>57</v>
      </c>
      <c r="H76" s="4" t="s">
        <v>592</v>
      </c>
      <c r="I76" s="4" t="s">
        <v>281</v>
      </c>
      <c r="J76" s="4" t="s">
        <v>663</v>
      </c>
      <c r="K76" s="4" t="s">
        <v>549</v>
      </c>
      <c r="L76" s="5" t="s">
        <v>62</v>
      </c>
      <c r="M76" s="4" t="s">
        <v>63</v>
      </c>
      <c r="N76" s="5" t="s">
        <v>64</v>
      </c>
      <c r="O76" s="4" t="s">
        <v>65</v>
      </c>
      <c r="P76" s="5" t="s">
        <v>193</v>
      </c>
      <c r="Q76" s="4" t="s">
        <v>194</v>
      </c>
      <c r="R76" s="5" t="s">
        <v>195</v>
      </c>
      <c r="S76" s="4" t="s">
        <v>196</v>
      </c>
      <c r="T76" s="5" t="s">
        <v>429</v>
      </c>
      <c r="U76" s="4" t="s">
        <v>430</v>
      </c>
      <c r="V76" s="5" t="s">
        <v>104</v>
      </c>
      <c r="W76" s="4" t="s">
        <v>105</v>
      </c>
      <c r="X76" s="4" t="s">
        <v>106</v>
      </c>
      <c r="Y76" s="5"/>
      <c r="Z76" s="4" t="s">
        <v>75</v>
      </c>
      <c r="AA76" s="6" t="n">
        <v>150000</v>
      </c>
      <c r="AB76" s="6" t="n">
        <v>150000</v>
      </c>
      <c r="AC76" s="6" t="n">
        <v>150000</v>
      </c>
      <c r="AD76" s="6" t="n">
        <v>150000</v>
      </c>
      <c r="AE76" s="4" t="s">
        <v>526</v>
      </c>
      <c r="AF76" s="5" t="s">
        <v>527</v>
      </c>
      <c r="AG76" s="4" t="s">
        <v>433</v>
      </c>
      <c r="AH76" s="4" t="s">
        <v>433</v>
      </c>
      <c r="AI76" s="5"/>
      <c r="AJ76" s="1" t="n">
        <v>1</v>
      </c>
      <c r="AK76" s="11" t="n">
        <v>1</v>
      </c>
      <c r="AL76" s="12" t="s">
        <v>81</v>
      </c>
      <c r="AM76" s="13" t="str">
        <f>IF(AL76="","",AL76&amp;" - "&amp;IFERROR(VLOOKUP(AL76,CODEBOOK_CAP!$C$2:$D$212,2,FALSE),""))</f>
        <v>0322 - ESTRUTURAS, HOSPITAIS, CLÍNICAS</v>
      </c>
      <c r="AN76" s="13" t="str">
        <f>IF(AL76="","",IFERROR(VLOOKUP(AL76,CODEBOOK_CAP!$C$2:$E$212,3,FALSE),""))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76" s="11" t="n">
        <v>0</v>
      </c>
      <c r="AP76" s="11"/>
      <c r="AQ76" s="11" t="n">
        <v>1</v>
      </c>
      <c r="AR76" s="11" t="n">
        <v>1</v>
      </c>
      <c r="AS76" s="11" t="s">
        <v>664</v>
      </c>
      <c r="AT76" s="11" t="n">
        <v>0</v>
      </c>
      <c r="AU76" s="11"/>
      <c r="AV76" s="11"/>
      <c r="AW76" s="11"/>
      <c r="AX76" s="7" t="s">
        <v>84</v>
      </c>
      <c r="AY76" s="7"/>
      <c r="AZ76" s="7"/>
      <c r="BA76" s="7"/>
    </row>
    <row r="77" ht="85.5" customHeight="1">
      <c r="A77" s="4" t="s">
        <v>665</v>
      </c>
      <c r="B77" s="4" t="n">
        <v>2022</v>
      </c>
      <c r="C77" s="4" t="n">
        <v>4207</v>
      </c>
      <c r="D77" s="4" t="s">
        <v>54</v>
      </c>
      <c r="E77" s="4" t="s">
        <v>590</v>
      </c>
      <c r="F77" s="5" t="s">
        <v>666</v>
      </c>
      <c r="G77" s="4" t="s">
        <v>57</v>
      </c>
      <c r="H77" s="4" t="s">
        <v>592</v>
      </c>
      <c r="I77" s="4" t="s">
        <v>281</v>
      </c>
      <c r="J77" s="4" t="s">
        <v>667</v>
      </c>
      <c r="K77" s="4" t="s">
        <v>668</v>
      </c>
      <c r="L77" s="5" t="s">
        <v>595</v>
      </c>
      <c r="M77" s="4" t="s">
        <v>596</v>
      </c>
      <c r="N77" s="5" t="s">
        <v>597</v>
      </c>
      <c r="O77" s="4" t="s">
        <v>598</v>
      </c>
      <c r="P77" s="5" t="s">
        <v>669</v>
      </c>
      <c r="Q77" s="4" t="s">
        <v>670</v>
      </c>
      <c r="R77" s="5" t="s">
        <v>671</v>
      </c>
      <c r="S77" s="4" t="s">
        <v>672</v>
      </c>
      <c r="T77" s="5" t="s">
        <v>603</v>
      </c>
      <c r="U77" s="4" t="s">
        <v>604</v>
      </c>
      <c r="V77" s="5" t="s">
        <v>605</v>
      </c>
      <c r="W77" s="4" t="s">
        <v>73</v>
      </c>
      <c r="X77" s="4" t="s">
        <v>74</v>
      </c>
      <c r="Y77" s="5"/>
      <c r="Z77" s="4" t="s">
        <v>606</v>
      </c>
      <c r="AA77" s="6" t="n">
        <v>80000</v>
      </c>
      <c r="AB77" s="6" t="n">
        <v>80000</v>
      </c>
      <c r="AC77" s="6" t="n">
        <v>80000</v>
      </c>
      <c r="AD77" s="6" t="n">
        <v>80000</v>
      </c>
      <c r="AE77" s="4" t="s">
        <v>673</v>
      </c>
      <c r="AF77" s="5" t="s">
        <v>674</v>
      </c>
      <c r="AG77" s="4" t="s">
        <v>78</v>
      </c>
      <c r="AH77" s="4" t="s">
        <v>79</v>
      </c>
      <c r="AI77" s="5" t="s">
        <v>80</v>
      </c>
      <c r="AJ77" s="1" t="n">
        <v>0</v>
      </c>
      <c r="AK77" s="11" t="n">
        <v>0</v>
      </c>
      <c r="AL77" s="12" t="s">
        <v>609</v>
      </c>
      <c r="AM77" s="13" t="str">
        <f>IF(AL77="","",AL77&amp;" - "&amp;IFERROR(VLOOKUP(AL77,CODEBOOK_CAP!$C$2:$D$212,2,FALSE),""))</f>
        <v>0607 - PROMOCAO DA QUALIDADE, ESTRUTURA E AÇÕES</v>
      </c>
      <c r="AN77" s="13" t="str">
        <f>IF(AL77="","",IFERROR(VLOOKUP(AL77,CODEBOOK_CAP!$C$2:$E$212,3,FALSE),""))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77" s="11" t="n">
        <v>1</v>
      </c>
      <c r="AP77" s="11" t="s">
        <v>675</v>
      </c>
      <c r="AQ77" s="11" t="n">
        <v>1</v>
      </c>
      <c r="AR77" s="11" t="n">
        <v>1</v>
      </c>
      <c r="AS77" s="11" t="s">
        <v>676</v>
      </c>
      <c r="AT77" s="11" t="n">
        <v>1</v>
      </c>
      <c r="AU77" s="11" t="s">
        <v>503</v>
      </c>
      <c r="AV77" s="11"/>
      <c r="AW77" s="11"/>
      <c r="AX77" s="7" t="s">
        <v>84</v>
      </c>
      <c r="AY77" s="7"/>
      <c r="AZ77" s="7"/>
      <c r="BA77" s="7"/>
    </row>
    <row r="78" ht="85.5" customHeight="1">
      <c r="A78" s="4" t="s">
        <v>677</v>
      </c>
      <c r="B78" s="4" t="n">
        <v>2022</v>
      </c>
      <c r="C78" s="4" t="n">
        <v>4208</v>
      </c>
      <c r="D78" s="4" t="s">
        <v>54</v>
      </c>
      <c r="E78" s="4" t="s">
        <v>590</v>
      </c>
      <c r="F78" s="5" t="s">
        <v>678</v>
      </c>
      <c r="G78" s="4" t="s">
        <v>289</v>
      </c>
      <c r="H78" s="4" t="s">
        <v>592</v>
      </c>
      <c r="I78" s="4" t="s">
        <v>281</v>
      </c>
      <c r="J78" s="4" t="s">
        <v>679</v>
      </c>
      <c r="K78" s="4" t="s">
        <v>549</v>
      </c>
      <c r="L78" s="5" t="s">
        <v>62</v>
      </c>
      <c r="M78" s="4" t="s">
        <v>63</v>
      </c>
      <c r="N78" s="5" t="s">
        <v>64</v>
      </c>
      <c r="O78" s="4" t="s">
        <v>65</v>
      </c>
      <c r="P78" s="5" t="s">
        <v>193</v>
      </c>
      <c r="Q78" s="4" t="s">
        <v>194</v>
      </c>
      <c r="R78" s="5" t="s">
        <v>195</v>
      </c>
      <c r="S78" s="4" t="s">
        <v>196</v>
      </c>
      <c r="T78" s="5" t="s">
        <v>429</v>
      </c>
      <c r="U78" s="4" t="s">
        <v>430</v>
      </c>
      <c r="V78" s="5" t="s">
        <v>104</v>
      </c>
      <c r="W78" s="4" t="s">
        <v>105</v>
      </c>
      <c r="X78" s="4" t="s">
        <v>106</v>
      </c>
      <c r="Y78" s="5"/>
      <c r="Z78" s="4" t="s">
        <v>75</v>
      </c>
      <c r="AA78" s="6" t="n">
        <v>200000</v>
      </c>
      <c r="AB78" s="6" t="n">
        <v>200000</v>
      </c>
      <c r="AC78" s="6" t="n">
        <v>200000</v>
      </c>
      <c r="AD78" s="6" t="n">
        <v>200000</v>
      </c>
      <c r="AE78" s="4" t="s">
        <v>444</v>
      </c>
      <c r="AF78" s="5" t="s">
        <v>445</v>
      </c>
      <c r="AG78" s="4" t="s">
        <v>78</v>
      </c>
      <c r="AH78" s="4" t="s">
        <v>79</v>
      </c>
      <c r="AI78" s="5" t="s">
        <v>80</v>
      </c>
      <c r="AJ78" s="1" t="n">
        <v>1</v>
      </c>
      <c r="AK78" s="11" t="n">
        <v>1</v>
      </c>
      <c r="AL78" s="12" t="s">
        <v>81</v>
      </c>
      <c r="AM78" s="13" t="str">
        <f>IF(AL78="","",AL78&amp;" - "&amp;IFERROR(VLOOKUP(AL78,CODEBOOK_CAP!$C$2:$D$212,2,FALSE),""))</f>
        <v>0322 - ESTRUTURAS, HOSPITAIS, CLÍNICAS</v>
      </c>
      <c r="AN78" s="13" t="str">
        <f>IF(AL78="","",IFERROR(VLOOKUP(AL78,CODEBOOK_CAP!$C$2:$E$212,3,FALSE),""))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78" s="11" t="n">
        <v>0</v>
      </c>
      <c r="AP78" s="11"/>
      <c r="AQ78" s="11" t="n">
        <v>1</v>
      </c>
      <c r="AR78" s="11" t="n">
        <v>1</v>
      </c>
      <c r="AS78" s="11" t="s">
        <v>680</v>
      </c>
      <c r="AT78" s="11" t="n">
        <v>0</v>
      </c>
      <c r="AU78" s="11"/>
      <c r="AV78" s="11"/>
      <c r="AW78" s="11"/>
      <c r="AX78" s="7" t="s">
        <v>84</v>
      </c>
      <c r="AY78" s="7"/>
      <c r="AZ78" s="7"/>
      <c r="BA78" s="7"/>
    </row>
    <row r="79" ht="85.5" customHeight="1">
      <c r="A79" s="4" t="s">
        <v>681</v>
      </c>
      <c r="B79" s="4" t="n">
        <v>2022</v>
      </c>
      <c r="C79" s="4" t="n">
        <v>4209</v>
      </c>
      <c r="D79" s="4" t="s">
        <v>54</v>
      </c>
      <c r="E79" s="4" t="s">
        <v>590</v>
      </c>
      <c r="F79" s="5" t="s">
        <v>682</v>
      </c>
      <c r="G79" s="4" t="s">
        <v>57</v>
      </c>
      <c r="H79" s="4" t="s">
        <v>592</v>
      </c>
      <c r="I79" s="4" t="s">
        <v>281</v>
      </c>
      <c r="J79" s="4" t="s">
        <v>683</v>
      </c>
      <c r="K79" s="4" t="s">
        <v>549</v>
      </c>
      <c r="L79" s="5" t="s">
        <v>62</v>
      </c>
      <c r="M79" s="4" t="s">
        <v>63</v>
      </c>
      <c r="N79" s="5" t="s">
        <v>64</v>
      </c>
      <c r="O79" s="4" t="s">
        <v>65</v>
      </c>
      <c r="P79" s="5" t="s">
        <v>193</v>
      </c>
      <c r="Q79" s="4" t="s">
        <v>194</v>
      </c>
      <c r="R79" s="5" t="s">
        <v>195</v>
      </c>
      <c r="S79" s="4" t="s">
        <v>196</v>
      </c>
      <c r="T79" s="5" t="s">
        <v>429</v>
      </c>
      <c r="U79" s="4" t="s">
        <v>430</v>
      </c>
      <c r="V79" s="5" t="s">
        <v>104</v>
      </c>
      <c r="W79" s="4" t="s">
        <v>105</v>
      </c>
      <c r="X79" s="4" t="s">
        <v>106</v>
      </c>
      <c r="Y79" s="5"/>
      <c r="Z79" s="4" t="s">
        <v>75</v>
      </c>
      <c r="AA79" s="6" t="n">
        <v>40000</v>
      </c>
      <c r="AB79" s="6" t="n">
        <v>40000</v>
      </c>
      <c r="AC79" s="6" t="n">
        <v>40000</v>
      </c>
      <c r="AD79" s="6" t="n">
        <v>40000</v>
      </c>
      <c r="AE79" s="4" t="s">
        <v>458</v>
      </c>
      <c r="AF79" s="5" t="s">
        <v>459</v>
      </c>
      <c r="AG79" s="4" t="s">
        <v>78</v>
      </c>
      <c r="AH79" s="4" t="s">
        <v>79</v>
      </c>
      <c r="AI79" s="5" t="s">
        <v>80</v>
      </c>
      <c r="AJ79" s="1" t="n">
        <v>1</v>
      </c>
      <c r="AK79" s="11" t="n">
        <v>1</v>
      </c>
      <c r="AL79" s="12" t="s">
        <v>81</v>
      </c>
      <c r="AM79" s="13" t="str">
        <f>IF(AL79="","",AL79&amp;" - "&amp;IFERROR(VLOOKUP(AL79,CODEBOOK_CAP!$C$2:$D$212,2,FALSE),""))</f>
        <v>0322 - ESTRUTURAS, HOSPITAIS, CLÍNICAS</v>
      </c>
      <c r="AN79" s="13" t="str">
        <f>IF(AL79="","",IFERROR(VLOOKUP(AL79,CODEBOOK_CAP!$C$2:$E$212,3,FALSE),""))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79" s="11" t="n">
        <v>0</v>
      </c>
      <c r="AP79" s="11"/>
      <c r="AQ79" s="11" t="n">
        <v>1</v>
      </c>
      <c r="AR79" s="11" t="n">
        <v>1</v>
      </c>
      <c r="AS79" s="11" t="s">
        <v>460</v>
      </c>
      <c r="AT79" s="11" t="n">
        <v>0</v>
      </c>
      <c r="AU79" s="11"/>
      <c r="AV79" s="11"/>
      <c r="AW79" s="11"/>
      <c r="AX79" s="7" t="s">
        <v>84</v>
      </c>
      <c r="AY79" s="7"/>
      <c r="AZ79" s="7"/>
      <c r="BA79" s="7"/>
    </row>
    <row r="80" ht="156.75" customHeight="1">
      <c r="A80" s="4" t="s">
        <v>684</v>
      </c>
      <c r="B80" s="4" t="n">
        <v>2022</v>
      </c>
      <c r="C80" s="4" t="n">
        <v>4210</v>
      </c>
      <c r="D80" s="4" t="s">
        <v>54</v>
      </c>
      <c r="E80" s="4" t="s">
        <v>590</v>
      </c>
      <c r="F80" s="5" t="s">
        <v>685</v>
      </c>
      <c r="G80" s="4" t="s">
        <v>57</v>
      </c>
      <c r="H80" s="4" t="s">
        <v>592</v>
      </c>
      <c r="I80" s="4" t="s">
        <v>281</v>
      </c>
      <c r="J80" s="4" t="s">
        <v>686</v>
      </c>
      <c r="K80" s="4" t="s">
        <v>283</v>
      </c>
      <c r="L80" s="5" t="s">
        <v>94</v>
      </c>
      <c r="M80" s="4" t="s">
        <v>95</v>
      </c>
      <c r="N80" s="5" t="s">
        <v>96</v>
      </c>
      <c r="O80" s="4" t="s">
        <v>97</v>
      </c>
      <c r="P80" s="5" t="s">
        <v>98</v>
      </c>
      <c r="Q80" s="4" t="s">
        <v>99</v>
      </c>
      <c r="R80" s="5" t="s">
        <v>100</v>
      </c>
      <c r="S80" s="4" t="s">
        <v>101</v>
      </c>
      <c r="T80" s="5" t="s">
        <v>102</v>
      </c>
      <c r="U80" s="4" t="s">
        <v>103</v>
      </c>
      <c r="V80" s="5" t="s">
        <v>104</v>
      </c>
      <c r="W80" s="4" t="s">
        <v>105</v>
      </c>
      <c r="X80" s="4" t="s">
        <v>106</v>
      </c>
      <c r="Y80" s="5"/>
      <c r="Z80" s="4" t="s">
        <v>107</v>
      </c>
      <c r="AA80" s="6" t="n">
        <v>30000</v>
      </c>
      <c r="AB80" s="6" t="n">
        <v>0</v>
      </c>
      <c r="AC80" s="6" t="n">
        <v>0</v>
      </c>
      <c r="AD80" s="6" t="n">
        <v>0</v>
      </c>
      <c r="AE80" s="4"/>
      <c r="AF80" s="5"/>
      <c r="AG80" s="4" t="s">
        <v>110</v>
      </c>
      <c r="AH80" s="4" t="s">
        <v>110</v>
      </c>
      <c r="AI80" s="5"/>
      <c r="AJ80" s="1" t="n">
        <v>0</v>
      </c>
      <c r="AK80" s="11" t="n">
        <v>0</v>
      </c>
      <c r="AL80" s="12" t="s">
        <v>111</v>
      </c>
      <c r="AM80" s="13" t="str">
        <f>IF(AL80="","",AL80&amp;" - "&amp;IFERROR(VLOOKUP(AL80,CODEBOOK_CAP!$C$2:$D$212,2,FALSE),""))</f>
        <v>1300 - GERAL</v>
      </c>
      <c r="AN80" s="13" t="str">
        <f>IF(AL80="","",IFERROR(VLOOKUP(AL80,CODEBOOK_CAP!$C$2:$E$212,3,FALSE),""))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80" s="11" t="n">
        <v>0</v>
      </c>
      <c r="AP80" s="11"/>
      <c r="AQ80" s="11" t="n">
        <v>0</v>
      </c>
      <c r="AR80" s="11" t="n">
        <v>0</v>
      </c>
      <c r="AS80" s="11"/>
      <c r="AT80" s="11" t="n">
        <v>0</v>
      </c>
      <c r="AU80" s="11"/>
      <c r="AV80" s="11"/>
      <c r="AW80" s="11"/>
      <c r="AX80" s="7" t="s">
        <v>84</v>
      </c>
      <c r="AY80" s="7"/>
      <c r="AZ80" s="7"/>
      <c r="BA80" s="7"/>
    </row>
    <row r="81" ht="114" customHeight="1">
      <c r="A81" s="4" t="s">
        <v>687</v>
      </c>
      <c r="B81" s="4" t="n">
        <v>2022</v>
      </c>
      <c r="C81" s="4" t="n">
        <v>4241</v>
      </c>
      <c r="D81" s="4" t="s">
        <v>54</v>
      </c>
      <c r="E81" s="4" t="s">
        <v>590</v>
      </c>
      <c r="F81" s="5" t="s">
        <v>688</v>
      </c>
      <c r="G81" s="4" t="s">
        <v>57</v>
      </c>
      <c r="H81" s="4" t="s">
        <v>592</v>
      </c>
      <c r="I81" s="4" t="s">
        <v>281</v>
      </c>
      <c r="J81" s="4" t="s">
        <v>689</v>
      </c>
      <c r="K81" s="4" t="s">
        <v>549</v>
      </c>
      <c r="L81" s="5" t="s">
        <v>62</v>
      </c>
      <c r="M81" s="4" t="s">
        <v>63</v>
      </c>
      <c r="N81" s="5" t="s">
        <v>64</v>
      </c>
      <c r="O81" s="4" t="s">
        <v>65</v>
      </c>
      <c r="P81" s="5" t="s">
        <v>193</v>
      </c>
      <c r="Q81" s="4" t="s">
        <v>194</v>
      </c>
      <c r="R81" s="5" t="s">
        <v>195</v>
      </c>
      <c r="S81" s="4" t="s">
        <v>196</v>
      </c>
      <c r="T81" s="5" t="s">
        <v>429</v>
      </c>
      <c r="U81" s="4" t="s">
        <v>430</v>
      </c>
      <c r="V81" s="5" t="s">
        <v>104</v>
      </c>
      <c r="W81" s="4" t="s">
        <v>105</v>
      </c>
      <c r="X81" s="4" t="s">
        <v>106</v>
      </c>
      <c r="Y81" s="5"/>
      <c r="Z81" s="4" t="s">
        <v>75</v>
      </c>
      <c r="AA81" s="6" t="n">
        <v>24000</v>
      </c>
      <c r="AB81" s="6" t="n">
        <v>24000</v>
      </c>
      <c r="AC81" s="6" t="n">
        <v>24000</v>
      </c>
      <c r="AD81" s="6" t="n">
        <v>24000</v>
      </c>
      <c r="AE81" s="4" t="s">
        <v>690</v>
      </c>
      <c r="AF81" s="5" t="s">
        <v>451</v>
      </c>
      <c r="AG81" s="4" t="s">
        <v>78</v>
      </c>
      <c r="AH81" s="4" t="s">
        <v>79</v>
      </c>
      <c r="AI81" s="5" t="s">
        <v>80</v>
      </c>
      <c r="AJ81" s="1" t="n">
        <v>1</v>
      </c>
      <c r="AK81" s="11" t="n">
        <v>1</v>
      </c>
      <c r="AL81" s="12" t="s">
        <v>452</v>
      </c>
      <c r="AM81" s="13" t="str">
        <f>IF(AL81="","",AL81&amp;" - "&amp;IFERROR(VLOOKUP(AL81,CODEBOOK_CAP!$C$2:$D$212,2,FALSE),""))</f>
        <v>0332 - SAÚDE INFANTIL, GRAVIDEZ E PRÉ-NATAL</v>
      </c>
      <c r="AN81" s="13" t="str">
        <f>IF(AL81="","",IFERROR(VLOOKUP(AL81,CODEBOOK_CAP!$C$2:$E$212,3,FALSE),""))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81" s="11" t="n">
        <v>0</v>
      </c>
      <c r="AP81" s="11"/>
      <c r="AQ81" s="11" t="n">
        <v>1</v>
      </c>
      <c r="AR81" s="11" t="n">
        <v>1</v>
      </c>
      <c r="AS81" s="11" t="s">
        <v>453</v>
      </c>
      <c r="AT81" s="11" t="n">
        <v>1</v>
      </c>
      <c r="AU81" s="11" t="s">
        <v>454</v>
      </c>
      <c r="AV81" s="11"/>
      <c r="AW81" s="11"/>
      <c r="AX81" s="7" t="s">
        <v>84</v>
      </c>
      <c r="AY81" s="7"/>
      <c r="AZ81" s="7"/>
      <c r="BA81" s="7"/>
    </row>
    <row r="82" ht="85.5" customHeight="1">
      <c r="A82" s="4" t="s">
        <v>691</v>
      </c>
      <c r="B82" s="4" t="n">
        <v>2022</v>
      </c>
      <c r="C82" s="4" t="n">
        <v>4242</v>
      </c>
      <c r="D82" s="4" t="s">
        <v>54</v>
      </c>
      <c r="E82" s="4" t="s">
        <v>590</v>
      </c>
      <c r="F82" s="5" t="s">
        <v>692</v>
      </c>
      <c r="G82" s="4" t="s">
        <v>57</v>
      </c>
      <c r="H82" s="4" t="s">
        <v>592</v>
      </c>
      <c r="I82" s="4" t="s">
        <v>281</v>
      </c>
      <c r="J82" s="4" t="s">
        <v>693</v>
      </c>
      <c r="K82" s="4" t="s">
        <v>594</v>
      </c>
      <c r="L82" s="5" t="s">
        <v>595</v>
      </c>
      <c r="M82" s="4" t="s">
        <v>596</v>
      </c>
      <c r="N82" s="5" t="s">
        <v>597</v>
      </c>
      <c r="O82" s="4" t="s">
        <v>598</v>
      </c>
      <c r="P82" s="5" t="s">
        <v>599</v>
      </c>
      <c r="Q82" s="4" t="s">
        <v>600</v>
      </c>
      <c r="R82" s="5" t="s">
        <v>601</v>
      </c>
      <c r="S82" s="4" t="s">
        <v>602</v>
      </c>
      <c r="T82" s="5" t="s">
        <v>603</v>
      </c>
      <c r="U82" s="4" t="s">
        <v>604</v>
      </c>
      <c r="V82" s="5" t="s">
        <v>605</v>
      </c>
      <c r="W82" s="4" t="s">
        <v>73</v>
      </c>
      <c r="X82" s="4" t="s">
        <v>74</v>
      </c>
      <c r="Y82" s="5"/>
      <c r="Z82" s="4" t="s">
        <v>606</v>
      </c>
      <c r="AA82" s="6" t="n">
        <v>80000</v>
      </c>
      <c r="AB82" s="6" t="n">
        <v>80000</v>
      </c>
      <c r="AC82" s="6" t="n">
        <v>80000</v>
      </c>
      <c r="AD82" s="6" t="n">
        <v>80000</v>
      </c>
      <c r="AE82" s="4" t="s">
        <v>694</v>
      </c>
      <c r="AF82" s="5" t="s">
        <v>695</v>
      </c>
      <c r="AG82" s="4" t="s">
        <v>78</v>
      </c>
      <c r="AH82" s="4" t="s">
        <v>79</v>
      </c>
      <c r="AI82" s="5" t="s">
        <v>80</v>
      </c>
      <c r="AJ82" s="1" t="n">
        <v>0</v>
      </c>
      <c r="AK82" s="11" t="n">
        <v>0</v>
      </c>
      <c r="AL82" s="12" t="s">
        <v>609</v>
      </c>
      <c r="AM82" s="13" t="str">
        <f>IF(AL82="","",AL82&amp;" - "&amp;IFERROR(VLOOKUP(AL82,CODEBOOK_CAP!$C$2:$D$212,2,FALSE),""))</f>
        <v>0607 - PROMOCAO DA QUALIDADE, ESTRUTURA E AÇÕES</v>
      </c>
      <c r="AN82" s="13" t="str">
        <f>IF(AL82="","",IFERROR(VLOOKUP(AL82,CODEBOOK_CAP!$C$2:$E$212,3,FALSE),""))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82" s="11" t="n">
        <v>1</v>
      </c>
      <c r="AP82" s="11" t="s">
        <v>696</v>
      </c>
      <c r="AQ82" s="11" t="n">
        <v>1</v>
      </c>
      <c r="AR82" s="11" t="n">
        <v>1</v>
      </c>
      <c r="AS82" s="11" t="s">
        <v>697</v>
      </c>
      <c r="AT82" s="11" t="n">
        <v>1</v>
      </c>
      <c r="AU82" s="11" t="s">
        <v>286</v>
      </c>
      <c r="AV82" s="11"/>
      <c r="AW82" s="11"/>
      <c r="AX82" s="7" t="s">
        <v>84</v>
      </c>
      <c r="AY82" s="7"/>
      <c r="AZ82" s="7"/>
      <c r="BA82" s="7"/>
    </row>
    <row r="83" ht="128.25" customHeight="1">
      <c r="A83" s="4" t="s">
        <v>698</v>
      </c>
      <c r="B83" s="4" t="n">
        <v>2022</v>
      </c>
      <c r="C83" s="4" t="n">
        <v>4243</v>
      </c>
      <c r="D83" s="4" t="s">
        <v>54</v>
      </c>
      <c r="E83" s="4" t="s">
        <v>590</v>
      </c>
      <c r="F83" s="5" t="s">
        <v>699</v>
      </c>
      <c r="G83" s="4" t="s">
        <v>57</v>
      </c>
      <c r="H83" s="4" t="s">
        <v>592</v>
      </c>
      <c r="I83" s="4" t="s">
        <v>281</v>
      </c>
      <c r="J83" s="4" t="s">
        <v>700</v>
      </c>
      <c r="K83" s="4" t="s">
        <v>701</v>
      </c>
      <c r="L83" s="5" t="s">
        <v>302</v>
      </c>
      <c r="M83" s="4" t="s">
        <v>303</v>
      </c>
      <c r="N83" s="5" t="s">
        <v>304</v>
      </c>
      <c r="O83" s="4" t="s">
        <v>305</v>
      </c>
      <c r="P83" s="5" t="s">
        <v>702</v>
      </c>
      <c r="Q83" s="4" t="s">
        <v>703</v>
      </c>
      <c r="R83" s="5" t="s">
        <v>306</v>
      </c>
      <c r="S83" s="4" t="s">
        <v>307</v>
      </c>
      <c r="T83" s="5" t="s">
        <v>704</v>
      </c>
      <c r="U83" s="4" t="s">
        <v>705</v>
      </c>
      <c r="V83" s="5" t="s">
        <v>706</v>
      </c>
      <c r="W83" s="4" t="s">
        <v>105</v>
      </c>
      <c r="X83" s="4" t="s">
        <v>106</v>
      </c>
      <c r="Y83" s="5"/>
      <c r="Z83" s="4" t="s">
        <v>311</v>
      </c>
      <c r="AA83" s="6" t="n">
        <v>100000</v>
      </c>
      <c r="AB83" s="6" t="n">
        <v>96763.75</v>
      </c>
      <c r="AC83" s="6" t="n">
        <v>0</v>
      </c>
      <c r="AD83" s="6" t="n">
        <v>0</v>
      </c>
      <c r="AE83" s="4" t="s">
        <v>707</v>
      </c>
      <c r="AF83" s="5" t="s">
        <v>708</v>
      </c>
      <c r="AG83" s="4" t="s">
        <v>78</v>
      </c>
      <c r="AH83" s="4" t="s">
        <v>79</v>
      </c>
      <c r="AI83" s="5" t="s">
        <v>80</v>
      </c>
      <c r="AJ83" s="1" t="n">
        <v>0</v>
      </c>
      <c r="AK83" s="11" t="n">
        <v>0</v>
      </c>
      <c r="AL83" s="12" t="s">
        <v>314</v>
      </c>
      <c r="AM83" s="13" t="str">
        <f>IF(AL83="","",AL83&amp;" - "&amp;IFERROR(VLOOKUP(AL83,CODEBOOK_CAP!$C$2:$D$212,2,FALSE),""))</f>
        <v>1201 - POLÍCIA, AGENCIAS E INSTITUIÇÕES - LEI E CRIMES</v>
      </c>
      <c r="AN83" s="13" t="str">
        <f>IF(AL83="","",IFERROR(VLOOKUP(AL83,CODEBOOK_CAP!$C$2:$E$212,3,FALSE),""))</f>
        <v>Questões relacionadas aos atores, intituições, agencias e agentes que atuam em questões relacionadas a justiça, lei, crime e violência. Servicos e instituições de apoio civil. Assuntos relacionados a atuação de Bombeiros, socorristas, guarda floresta, guarda costeira e proteção civil. Ministério Público, Ministério da Justiça, Polícia Federal, Tribunal de Contas, inteligência, proteção a vítimas, delação premiada, sistemas e banco de dados de justiça, computação vinculada a sistemas de combate a crimes e fraudes. Aqui a observação é sobre as INSTITUIÇÕES EM SI, e não sobre o assunto do qual ela trata, Os assuntos estão nos próximos sub-códigos</v>
      </c>
      <c r="AO83" s="11" t="n">
        <v>0</v>
      </c>
      <c r="AP83" s="11"/>
      <c r="AQ83" s="11" t="n">
        <v>0</v>
      </c>
      <c r="AR83" s="11" t="n">
        <v>0</v>
      </c>
      <c r="AS83" s="11"/>
      <c r="AT83" s="11" t="n">
        <v>0</v>
      </c>
      <c r="AU83" s="11"/>
      <c r="AV83" s="11"/>
      <c r="AW83" s="11"/>
      <c r="AX83" s="7" t="s">
        <v>84</v>
      </c>
      <c r="AY83" s="7"/>
      <c r="AZ83" s="7"/>
      <c r="BA83" s="7"/>
    </row>
    <row r="84" ht="85.5" customHeight="1">
      <c r="A84" s="4" t="s">
        <v>709</v>
      </c>
      <c r="B84" s="4" t="n">
        <v>2022</v>
      </c>
      <c r="C84" s="4" t="n">
        <v>4244</v>
      </c>
      <c r="D84" s="4" t="s">
        <v>54</v>
      </c>
      <c r="E84" s="4" t="s">
        <v>590</v>
      </c>
      <c r="F84" s="5" t="s">
        <v>710</v>
      </c>
      <c r="G84" s="4" t="s">
        <v>289</v>
      </c>
      <c r="H84" s="4" t="s">
        <v>592</v>
      </c>
      <c r="I84" s="4" t="s">
        <v>281</v>
      </c>
      <c r="J84" s="4" t="s">
        <v>711</v>
      </c>
      <c r="K84" s="4" t="s">
        <v>283</v>
      </c>
      <c r="L84" s="5" t="s">
        <v>94</v>
      </c>
      <c r="M84" s="4" t="s">
        <v>95</v>
      </c>
      <c r="N84" s="5" t="s">
        <v>96</v>
      </c>
      <c r="O84" s="4" t="s">
        <v>97</v>
      </c>
      <c r="P84" s="5" t="s">
        <v>98</v>
      </c>
      <c r="Q84" s="4" t="s">
        <v>99</v>
      </c>
      <c r="R84" s="5" t="s">
        <v>100</v>
      </c>
      <c r="S84" s="4" t="s">
        <v>101</v>
      </c>
      <c r="T84" s="5" t="s">
        <v>102</v>
      </c>
      <c r="U84" s="4" t="s">
        <v>103</v>
      </c>
      <c r="V84" s="5" t="s">
        <v>104</v>
      </c>
      <c r="W84" s="4" t="s">
        <v>105</v>
      </c>
      <c r="X84" s="4" t="s">
        <v>106</v>
      </c>
      <c r="Y84" s="5"/>
      <c r="Z84" s="4" t="s">
        <v>107</v>
      </c>
      <c r="AA84" s="6" t="n">
        <v>30000</v>
      </c>
      <c r="AB84" s="6" t="n">
        <v>0</v>
      </c>
      <c r="AC84" s="6" t="n">
        <v>0</v>
      </c>
      <c r="AD84" s="6" t="n">
        <v>0</v>
      </c>
      <c r="AE84" s="4"/>
      <c r="AF84" s="5"/>
      <c r="AG84" s="4" t="s">
        <v>110</v>
      </c>
      <c r="AH84" s="4" t="s">
        <v>110</v>
      </c>
      <c r="AI84" s="5"/>
      <c r="AJ84" s="1" t="n">
        <v>0</v>
      </c>
      <c r="AK84" s="11" t="n">
        <v>0</v>
      </c>
      <c r="AL84" s="12" t="s">
        <v>712</v>
      </c>
      <c r="AM84" s="13" t="str">
        <f>IF(AL84="","",AL84&amp;" - "&amp;IFERROR(VLOOKUP(AL84,CODEBOOK_CAP!$C$2:$D$212,2,FALSE),""))</f>
        <v>1308 - POLÍTICAS SOCIAIS PARA FAMÍLIAS E INFÂNCIA</v>
      </c>
      <c r="AN84" s="13" t="str">
        <f>IF(AL84="","",IFERROR(VLOOKUP(AL84,CODEBOOK_CAP!$C$2:$E$212,3,FALSE),""))</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O84" s="11" t="n">
        <v>0</v>
      </c>
      <c r="AP84" s="11"/>
      <c r="AQ84" s="11" t="n">
        <v>1</v>
      </c>
      <c r="AR84" s="11" t="n">
        <v>1</v>
      </c>
      <c r="AS84" s="11" t="s">
        <v>713</v>
      </c>
      <c r="AT84" s="11" t="n">
        <v>1</v>
      </c>
      <c r="AU84" s="11" t="s">
        <v>503</v>
      </c>
      <c r="AV84" s="11"/>
      <c r="AW84" s="11"/>
      <c r="AX84" s="7" t="s">
        <v>84</v>
      </c>
      <c r="AY84" s="7"/>
      <c r="AZ84" s="7"/>
      <c r="BA84" s="7"/>
    </row>
    <row r="85" ht="156.75" customHeight="1">
      <c r="A85" s="4" t="s">
        <v>714</v>
      </c>
      <c r="B85" s="4" t="n">
        <v>2022</v>
      </c>
      <c r="C85" s="4" t="n">
        <v>4245</v>
      </c>
      <c r="D85" s="4" t="s">
        <v>54</v>
      </c>
      <c r="E85" s="4" t="s">
        <v>590</v>
      </c>
      <c r="F85" s="5" t="s">
        <v>715</v>
      </c>
      <c r="G85" s="4" t="s">
        <v>57</v>
      </c>
      <c r="H85" s="4" t="s">
        <v>592</v>
      </c>
      <c r="I85" s="4" t="s">
        <v>281</v>
      </c>
      <c r="J85" s="4" t="s">
        <v>716</v>
      </c>
      <c r="K85" s="4" t="s">
        <v>93</v>
      </c>
      <c r="L85" s="5" t="s">
        <v>94</v>
      </c>
      <c r="M85" s="4" t="s">
        <v>95</v>
      </c>
      <c r="N85" s="5" t="s">
        <v>96</v>
      </c>
      <c r="O85" s="4" t="s">
        <v>97</v>
      </c>
      <c r="P85" s="5" t="s">
        <v>98</v>
      </c>
      <c r="Q85" s="4" t="s">
        <v>99</v>
      </c>
      <c r="R85" s="5" t="s">
        <v>100</v>
      </c>
      <c r="S85" s="4" t="s">
        <v>101</v>
      </c>
      <c r="T85" s="5" t="s">
        <v>102</v>
      </c>
      <c r="U85" s="4" t="s">
        <v>103</v>
      </c>
      <c r="V85" s="5" t="s">
        <v>104</v>
      </c>
      <c r="W85" s="4" t="s">
        <v>105</v>
      </c>
      <c r="X85" s="4" t="s">
        <v>106</v>
      </c>
      <c r="Y85" s="5"/>
      <c r="Z85" s="4" t="s">
        <v>107</v>
      </c>
      <c r="AA85" s="6" t="n">
        <v>30000</v>
      </c>
      <c r="AB85" s="6" t="n">
        <v>30000</v>
      </c>
      <c r="AC85" s="6" t="n">
        <v>30000</v>
      </c>
      <c r="AD85" s="6" t="n">
        <v>30000</v>
      </c>
      <c r="AE85" s="4" t="s">
        <v>717</v>
      </c>
      <c r="AF85" s="5" t="s">
        <v>718</v>
      </c>
      <c r="AG85" s="4" t="s">
        <v>110</v>
      </c>
      <c r="AH85" s="4" t="s">
        <v>110</v>
      </c>
      <c r="AI85" s="5"/>
      <c r="AJ85" s="1" t="n">
        <v>0</v>
      </c>
      <c r="AK85" s="11" t="n">
        <v>0</v>
      </c>
      <c r="AL85" s="12" t="s">
        <v>111</v>
      </c>
      <c r="AM85" s="13" t="str">
        <f>IF(AL85="","",AL85&amp;" - "&amp;IFERROR(VLOOKUP(AL85,CODEBOOK_CAP!$C$2:$D$212,2,FALSE),""))</f>
        <v>1300 - GERAL</v>
      </c>
      <c r="AN85" s="13" t="str">
        <f>IF(AL85="","",IFERROR(VLOOKUP(AL85,CODEBOOK_CAP!$C$2:$E$212,3,FALSE),""))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85" s="11" t="n">
        <v>0</v>
      </c>
      <c r="AP85" s="11"/>
      <c r="AQ85" s="11" t="n">
        <v>0</v>
      </c>
      <c r="AR85" s="11" t="n">
        <v>0</v>
      </c>
      <c r="AS85" s="11"/>
      <c r="AT85" s="11" t="n">
        <v>0</v>
      </c>
      <c r="AU85" s="11"/>
      <c r="AV85" s="11"/>
      <c r="AW85" s="11"/>
      <c r="AX85" s="7" t="s">
        <v>84</v>
      </c>
      <c r="AY85" s="7"/>
      <c r="AZ85" s="7"/>
      <c r="BA85" s="7"/>
    </row>
    <row r="86" ht="85.5" customHeight="1">
      <c r="A86" s="4" t="s">
        <v>719</v>
      </c>
      <c r="B86" s="4" t="n">
        <v>2022</v>
      </c>
      <c r="C86" s="4" t="n">
        <v>4246</v>
      </c>
      <c r="D86" s="4" t="s">
        <v>54</v>
      </c>
      <c r="E86" s="4" t="s">
        <v>590</v>
      </c>
      <c r="F86" s="5" t="s">
        <v>720</v>
      </c>
      <c r="G86" s="4" t="s">
        <v>57</v>
      </c>
      <c r="H86" s="4" t="s">
        <v>592</v>
      </c>
      <c r="I86" s="4" t="s">
        <v>281</v>
      </c>
      <c r="J86" s="4" t="s">
        <v>721</v>
      </c>
      <c r="K86" s="4" t="s">
        <v>93</v>
      </c>
      <c r="L86" s="5" t="s">
        <v>94</v>
      </c>
      <c r="M86" s="4" t="s">
        <v>95</v>
      </c>
      <c r="N86" s="5" t="s">
        <v>96</v>
      </c>
      <c r="O86" s="4" t="s">
        <v>97</v>
      </c>
      <c r="P86" s="5" t="s">
        <v>98</v>
      </c>
      <c r="Q86" s="4" t="s">
        <v>99</v>
      </c>
      <c r="R86" s="5" t="s">
        <v>100</v>
      </c>
      <c r="S86" s="4" t="s">
        <v>101</v>
      </c>
      <c r="T86" s="5" t="s">
        <v>102</v>
      </c>
      <c r="U86" s="4" t="s">
        <v>103</v>
      </c>
      <c r="V86" s="5" t="s">
        <v>104</v>
      </c>
      <c r="W86" s="4" t="s">
        <v>105</v>
      </c>
      <c r="X86" s="4" t="s">
        <v>106</v>
      </c>
      <c r="Y86" s="5"/>
      <c r="Z86" s="4" t="s">
        <v>107</v>
      </c>
      <c r="AA86" s="6" t="n">
        <v>30000</v>
      </c>
      <c r="AB86" s="6" t="n">
        <v>30000</v>
      </c>
      <c r="AC86" s="6" t="n">
        <v>30000</v>
      </c>
      <c r="AD86" s="6" t="n">
        <v>30000</v>
      </c>
      <c r="AE86" s="4" t="s">
        <v>722</v>
      </c>
      <c r="AF86" s="5" t="s">
        <v>723</v>
      </c>
      <c r="AG86" s="4" t="s">
        <v>110</v>
      </c>
      <c r="AH86" s="4" t="s">
        <v>110</v>
      </c>
      <c r="AI86" s="5"/>
      <c r="AJ86" s="1" t="n">
        <v>0</v>
      </c>
      <c r="AK86" s="11" t="n">
        <v>0</v>
      </c>
      <c r="AL86" s="12" t="s">
        <v>712</v>
      </c>
      <c r="AM86" s="13" t="str">
        <f>IF(AL86="","",AL86&amp;" - "&amp;IFERROR(VLOOKUP(AL86,CODEBOOK_CAP!$C$2:$D$212,2,FALSE),""))</f>
        <v>1308 - POLÍTICAS SOCIAIS PARA FAMÍLIAS E INFÂNCIA</v>
      </c>
      <c r="AN86" s="13" t="str">
        <f>IF(AL86="","",IFERROR(VLOOKUP(AL86,CODEBOOK_CAP!$C$2:$E$212,3,FALSE),""))</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O86" s="11" t="n">
        <v>0</v>
      </c>
      <c r="AP86" s="11"/>
      <c r="AQ86" s="11" t="n">
        <v>1</v>
      </c>
      <c r="AR86" s="11" t="n">
        <v>1</v>
      </c>
      <c r="AS86" s="11" t="s">
        <v>724</v>
      </c>
      <c r="AT86" s="11" t="n">
        <v>1</v>
      </c>
      <c r="AU86" s="11" t="s">
        <v>286</v>
      </c>
      <c r="AV86" s="11"/>
      <c r="AW86" s="11"/>
      <c r="AX86" s="7" t="s">
        <v>84</v>
      </c>
      <c r="AY86" s="7"/>
      <c r="AZ86" s="7"/>
      <c r="BA86" s="7"/>
    </row>
    <row r="87" ht="156.75" customHeight="1">
      <c r="A87" s="4" t="s">
        <v>725</v>
      </c>
      <c r="B87" s="4" t="n">
        <v>2022</v>
      </c>
      <c r="C87" s="4" t="n">
        <v>4247</v>
      </c>
      <c r="D87" s="4" t="s">
        <v>54</v>
      </c>
      <c r="E87" s="4" t="s">
        <v>590</v>
      </c>
      <c r="F87" s="5" t="s">
        <v>726</v>
      </c>
      <c r="G87" s="4" t="s">
        <v>57</v>
      </c>
      <c r="H87" s="4" t="s">
        <v>592</v>
      </c>
      <c r="I87" s="4" t="s">
        <v>281</v>
      </c>
      <c r="J87" s="4" t="s">
        <v>727</v>
      </c>
      <c r="K87" s="4" t="s">
        <v>283</v>
      </c>
      <c r="L87" s="5" t="s">
        <v>94</v>
      </c>
      <c r="M87" s="4" t="s">
        <v>95</v>
      </c>
      <c r="N87" s="5" t="s">
        <v>96</v>
      </c>
      <c r="O87" s="4" t="s">
        <v>97</v>
      </c>
      <c r="P87" s="5" t="s">
        <v>98</v>
      </c>
      <c r="Q87" s="4" t="s">
        <v>99</v>
      </c>
      <c r="R87" s="5" t="s">
        <v>100</v>
      </c>
      <c r="S87" s="4" t="s">
        <v>101</v>
      </c>
      <c r="T87" s="5" t="s">
        <v>102</v>
      </c>
      <c r="U87" s="4" t="s">
        <v>103</v>
      </c>
      <c r="V87" s="5" t="s">
        <v>104</v>
      </c>
      <c r="W87" s="4" t="s">
        <v>105</v>
      </c>
      <c r="X87" s="4" t="s">
        <v>106</v>
      </c>
      <c r="Y87" s="5"/>
      <c r="Z87" s="4" t="s">
        <v>107</v>
      </c>
      <c r="AA87" s="6" t="n">
        <v>30000</v>
      </c>
      <c r="AB87" s="6" t="n">
        <v>30000</v>
      </c>
      <c r="AC87" s="6" t="n">
        <v>30000</v>
      </c>
      <c r="AD87" s="6" t="n">
        <v>30000</v>
      </c>
      <c r="AE87" s="4" t="s">
        <v>728</v>
      </c>
      <c r="AF87" s="5" t="s">
        <v>729</v>
      </c>
      <c r="AG87" s="4" t="s">
        <v>110</v>
      </c>
      <c r="AH87" s="4" t="s">
        <v>110</v>
      </c>
      <c r="AI87" s="5"/>
      <c r="AJ87" s="1" t="n">
        <v>0</v>
      </c>
      <c r="AK87" s="11" t="n">
        <v>0</v>
      </c>
      <c r="AL87" s="12" t="s">
        <v>111</v>
      </c>
      <c r="AM87" s="13" t="str">
        <f>IF(AL87="","",AL87&amp;" - "&amp;IFERROR(VLOOKUP(AL87,CODEBOOK_CAP!$C$2:$D$212,2,FALSE),""))</f>
        <v>1300 - GERAL</v>
      </c>
      <c r="AN87" s="13" t="str">
        <f>IF(AL87="","",IFERROR(VLOOKUP(AL87,CODEBOOK_CAP!$C$2:$E$212,3,FALSE),""))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87" s="11" t="n">
        <v>0</v>
      </c>
      <c r="AP87" s="11"/>
      <c r="AQ87" s="11" t="n">
        <v>0</v>
      </c>
      <c r="AR87" s="11" t="n">
        <v>0</v>
      </c>
      <c r="AS87" s="11"/>
      <c r="AT87" s="11" t="n">
        <v>0</v>
      </c>
      <c r="AU87" s="11"/>
      <c r="AV87" s="11"/>
      <c r="AW87" s="11"/>
      <c r="AX87" s="7" t="s">
        <v>84</v>
      </c>
      <c r="AY87" s="7"/>
      <c r="AZ87" s="7"/>
      <c r="BA87" s="7"/>
    </row>
    <row r="88" ht="156.75" customHeight="1">
      <c r="A88" s="4" t="s">
        <v>730</v>
      </c>
      <c r="B88" s="4" t="n">
        <v>2022</v>
      </c>
      <c r="C88" s="4" t="n">
        <v>4248</v>
      </c>
      <c r="D88" s="4" t="s">
        <v>54</v>
      </c>
      <c r="E88" s="4" t="s">
        <v>590</v>
      </c>
      <c r="F88" s="5" t="s">
        <v>731</v>
      </c>
      <c r="G88" s="4" t="s">
        <v>57</v>
      </c>
      <c r="H88" s="4" t="s">
        <v>592</v>
      </c>
      <c r="I88" s="4" t="s">
        <v>281</v>
      </c>
      <c r="J88" s="4" t="s">
        <v>732</v>
      </c>
      <c r="K88" s="4" t="s">
        <v>93</v>
      </c>
      <c r="L88" s="5" t="s">
        <v>94</v>
      </c>
      <c r="M88" s="4" t="s">
        <v>95</v>
      </c>
      <c r="N88" s="5" t="s">
        <v>96</v>
      </c>
      <c r="O88" s="4" t="s">
        <v>97</v>
      </c>
      <c r="P88" s="5" t="s">
        <v>98</v>
      </c>
      <c r="Q88" s="4" t="s">
        <v>99</v>
      </c>
      <c r="R88" s="5" t="s">
        <v>100</v>
      </c>
      <c r="S88" s="4" t="s">
        <v>101</v>
      </c>
      <c r="T88" s="5" t="s">
        <v>102</v>
      </c>
      <c r="U88" s="4" t="s">
        <v>103</v>
      </c>
      <c r="V88" s="5" t="s">
        <v>104</v>
      </c>
      <c r="W88" s="4" t="s">
        <v>105</v>
      </c>
      <c r="X88" s="4" t="s">
        <v>106</v>
      </c>
      <c r="Y88" s="5"/>
      <c r="Z88" s="4" t="s">
        <v>107</v>
      </c>
      <c r="AA88" s="6" t="n">
        <v>30000</v>
      </c>
      <c r="AB88" s="6" t="n">
        <v>30000</v>
      </c>
      <c r="AC88" s="6" t="n">
        <v>30000</v>
      </c>
      <c r="AD88" s="6" t="n">
        <v>30000</v>
      </c>
      <c r="AE88" s="4" t="s">
        <v>733</v>
      </c>
      <c r="AF88" s="5" t="s">
        <v>734</v>
      </c>
      <c r="AG88" s="4" t="s">
        <v>110</v>
      </c>
      <c r="AH88" s="4" t="s">
        <v>110</v>
      </c>
      <c r="AI88" s="5"/>
      <c r="AJ88" s="1" t="n">
        <v>0</v>
      </c>
      <c r="AK88" s="11" t="n">
        <v>0</v>
      </c>
      <c r="AL88" s="12" t="s">
        <v>111</v>
      </c>
      <c r="AM88" s="13" t="str">
        <f>IF(AL88="","",AL88&amp;" - "&amp;IFERROR(VLOOKUP(AL88,CODEBOOK_CAP!$C$2:$D$212,2,FALSE),""))</f>
        <v>1300 - GERAL</v>
      </c>
      <c r="AN88" s="13" t="str">
        <f>IF(AL88="","",IFERROR(VLOOKUP(AL88,CODEBOOK_CAP!$C$2:$E$212,3,FALSE),""))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88" s="11" t="n">
        <v>0</v>
      </c>
      <c r="AP88" s="11"/>
      <c r="AQ88" s="11" t="n">
        <v>0</v>
      </c>
      <c r="AR88" s="11" t="n">
        <v>0</v>
      </c>
      <c r="AS88" s="11"/>
      <c r="AT88" s="11" t="n">
        <v>0</v>
      </c>
      <c r="AU88" s="11"/>
      <c r="AV88" s="11"/>
      <c r="AW88" s="11"/>
      <c r="AX88" s="7" t="s">
        <v>84</v>
      </c>
      <c r="AY88" s="7"/>
      <c r="AZ88" s="7"/>
      <c r="BA88" s="7"/>
    </row>
    <row r="89" ht="156.75" customHeight="1">
      <c r="A89" s="4" t="s">
        <v>735</v>
      </c>
      <c r="B89" s="4" t="n">
        <v>2022</v>
      </c>
      <c r="C89" s="4" t="n">
        <v>4249</v>
      </c>
      <c r="D89" s="4" t="s">
        <v>54</v>
      </c>
      <c r="E89" s="4" t="s">
        <v>590</v>
      </c>
      <c r="F89" s="5" t="s">
        <v>736</v>
      </c>
      <c r="G89" s="4" t="s">
        <v>57</v>
      </c>
      <c r="H89" s="4" t="s">
        <v>592</v>
      </c>
      <c r="I89" s="4" t="s">
        <v>281</v>
      </c>
      <c r="J89" s="4" t="s">
        <v>737</v>
      </c>
      <c r="K89" s="4" t="s">
        <v>93</v>
      </c>
      <c r="L89" s="5" t="s">
        <v>94</v>
      </c>
      <c r="M89" s="4" t="s">
        <v>95</v>
      </c>
      <c r="N89" s="5" t="s">
        <v>96</v>
      </c>
      <c r="O89" s="4" t="s">
        <v>97</v>
      </c>
      <c r="P89" s="5" t="s">
        <v>98</v>
      </c>
      <c r="Q89" s="4" t="s">
        <v>99</v>
      </c>
      <c r="R89" s="5" t="s">
        <v>100</v>
      </c>
      <c r="S89" s="4" t="s">
        <v>101</v>
      </c>
      <c r="T89" s="5" t="s">
        <v>102</v>
      </c>
      <c r="U89" s="4" t="s">
        <v>103</v>
      </c>
      <c r="V89" s="5" t="s">
        <v>104</v>
      </c>
      <c r="W89" s="4" t="s">
        <v>105</v>
      </c>
      <c r="X89" s="4" t="s">
        <v>106</v>
      </c>
      <c r="Y89" s="5"/>
      <c r="Z89" s="4" t="s">
        <v>107</v>
      </c>
      <c r="AA89" s="6" t="n">
        <v>30000</v>
      </c>
      <c r="AB89" s="6" t="n">
        <v>30000</v>
      </c>
      <c r="AC89" s="6" t="n">
        <v>30000</v>
      </c>
      <c r="AD89" s="6" t="n">
        <v>30000</v>
      </c>
      <c r="AE89" s="4" t="s">
        <v>738</v>
      </c>
      <c r="AF89" s="5" t="s">
        <v>739</v>
      </c>
      <c r="AG89" s="4" t="s">
        <v>110</v>
      </c>
      <c r="AH89" s="4" t="s">
        <v>110</v>
      </c>
      <c r="AI89" s="5"/>
      <c r="AJ89" s="1" t="n">
        <v>0</v>
      </c>
      <c r="AK89" s="11" t="n">
        <v>0</v>
      </c>
      <c r="AL89" s="12" t="s">
        <v>111</v>
      </c>
      <c r="AM89" s="13" t="str">
        <f>IF(AL89="","",AL89&amp;" - "&amp;IFERROR(VLOOKUP(AL89,CODEBOOK_CAP!$C$2:$D$212,2,FALSE),""))</f>
        <v>1300 - GERAL</v>
      </c>
      <c r="AN89" s="13" t="str">
        <f>IF(AL89="","",IFERROR(VLOOKUP(AL89,CODEBOOK_CAP!$C$2:$E$212,3,FALSE),""))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89" s="11" t="n">
        <v>0</v>
      </c>
      <c r="AP89" s="11"/>
      <c r="AQ89" s="11" t="n">
        <v>0</v>
      </c>
      <c r="AR89" s="11" t="n">
        <v>0</v>
      </c>
      <c r="AS89" s="11"/>
      <c r="AT89" s="11" t="n">
        <v>0</v>
      </c>
      <c r="AU89" s="11"/>
      <c r="AV89" s="11"/>
      <c r="AW89" s="11"/>
      <c r="AX89" s="7" t="s">
        <v>84</v>
      </c>
      <c r="AY89" s="7"/>
      <c r="AZ89" s="7"/>
      <c r="BA89" s="7"/>
    </row>
    <row r="90" ht="85.5" customHeight="1">
      <c r="A90" s="4" t="s">
        <v>740</v>
      </c>
      <c r="B90" s="4" t="n">
        <v>2022</v>
      </c>
      <c r="C90" s="4" t="n">
        <v>4250</v>
      </c>
      <c r="D90" s="4" t="s">
        <v>54</v>
      </c>
      <c r="E90" s="4" t="s">
        <v>590</v>
      </c>
      <c r="F90" s="5" t="s">
        <v>741</v>
      </c>
      <c r="G90" s="4" t="s">
        <v>57</v>
      </c>
      <c r="H90" s="4" t="s">
        <v>592</v>
      </c>
      <c r="I90" s="4" t="s">
        <v>281</v>
      </c>
      <c r="J90" s="4" t="s">
        <v>742</v>
      </c>
      <c r="K90" s="4" t="s">
        <v>549</v>
      </c>
      <c r="L90" s="5" t="s">
        <v>62</v>
      </c>
      <c r="M90" s="4" t="s">
        <v>63</v>
      </c>
      <c r="N90" s="5" t="s">
        <v>64</v>
      </c>
      <c r="O90" s="4" t="s">
        <v>65</v>
      </c>
      <c r="P90" s="5" t="s">
        <v>193</v>
      </c>
      <c r="Q90" s="4" t="s">
        <v>194</v>
      </c>
      <c r="R90" s="5" t="s">
        <v>195</v>
      </c>
      <c r="S90" s="4" t="s">
        <v>196</v>
      </c>
      <c r="T90" s="5" t="s">
        <v>429</v>
      </c>
      <c r="U90" s="4" t="s">
        <v>430</v>
      </c>
      <c r="V90" s="5" t="s">
        <v>104</v>
      </c>
      <c r="W90" s="4" t="s">
        <v>105</v>
      </c>
      <c r="X90" s="4" t="s">
        <v>106</v>
      </c>
      <c r="Y90" s="5"/>
      <c r="Z90" s="4" t="s">
        <v>75</v>
      </c>
      <c r="AA90" s="6" t="n">
        <v>100000</v>
      </c>
      <c r="AB90" s="6" t="n">
        <v>100000</v>
      </c>
      <c r="AC90" s="6" t="n">
        <v>100000</v>
      </c>
      <c r="AD90" s="6" t="n">
        <v>100000</v>
      </c>
      <c r="AE90" s="4" t="s">
        <v>743</v>
      </c>
      <c r="AF90" s="5" t="s">
        <v>744</v>
      </c>
      <c r="AG90" s="4" t="s">
        <v>433</v>
      </c>
      <c r="AH90" s="4" t="s">
        <v>433</v>
      </c>
      <c r="AI90" s="5"/>
      <c r="AJ90" s="1" t="n">
        <v>1</v>
      </c>
      <c r="AK90" s="11" t="n">
        <v>1</v>
      </c>
      <c r="AL90" s="12" t="s">
        <v>81</v>
      </c>
      <c r="AM90" s="13" t="str">
        <f>IF(AL90="","",AL90&amp;" - "&amp;IFERROR(VLOOKUP(AL90,CODEBOOK_CAP!$C$2:$D$212,2,FALSE),""))</f>
        <v>0322 - ESTRUTURAS, HOSPITAIS, CLÍNICAS</v>
      </c>
      <c r="AN90" s="13" t="str">
        <f>IF(AL90="","",IFERROR(VLOOKUP(AL90,CODEBOOK_CAP!$C$2:$E$212,3,FALSE),""))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90" s="11" t="n">
        <v>1</v>
      </c>
      <c r="AP90" s="11" t="s">
        <v>745</v>
      </c>
      <c r="AQ90" s="11" t="n">
        <v>1</v>
      </c>
      <c r="AR90" s="11" t="n">
        <v>1</v>
      </c>
      <c r="AS90" s="11" t="s">
        <v>746</v>
      </c>
      <c r="AT90" s="11" t="n">
        <v>0</v>
      </c>
      <c r="AU90" s="11"/>
      <c r="AV90" s="11"/>
      <c r="AW90" s="11"/>
      <c r="AX90" s="7" t="s">
        <v>84</v>
      </c>
      <c r="AY90" s="7"/>
      <c r="AZ90" s="7"/>
      <c r="BA90" s="7"/>
    </row>
    <row r="91" ht="85.5" customHeight="1">
      <c r="A91" s="4" t="s">
        <v>747</v>
      </c>
      <c r="B91" s="4" t="n">
        <v>2022</v>
      </c>
      <c r="C91" s="4" t="n">
        <v>4251</v>
      </c>
      <c r="D91" s="4" t="s">
        <v>54</v>
      </c>
      <c r="E91" s="4" t="s">
        <v>590</v>
      </c>
      <c r="F91" s="5" t="s">
        <v>748</v>
      </c>
      <c r="G91" s="4" t="s">
        <v>57</v>
      </c>
      <c r="H91" s="4" t="s">
        <v>592</v>
      </c>
      <c r="I91" s="4" t="s">
        <v>281</v>
      </c>
      <c r="J91" s="4" t="s">
        <v>749</v>
      </c>
      <c r="K91" s="4" t="s">
        <v>428</v>
      </c>
      <c r="L91" s="5" t="s">
        <v>62</v>
      </c>
      <c r="M91" s="4" t="s">
        <v>63</v>
      </c>
      <c r="N91" s="5" t="s">
        <v>64</v>
      </c>
      <c r="O91" s="4" t="s">
        <v>65</v>
      </c>
      <c r="P91" s="5" t="s">
        <v>193</v>
      </c>
      <c r="Q91" s="4" t="s">
        <v>194</v>
      </c>
      <c r="R91" s="5" t="s">
        <v>195</v>
      </c>
      <c r="S91" s="4" t="s">
        <v>196</v>
      </c>
      <c r="T91" s="5" t="s">
        <v>429</v>
      </c>
      <c r="U91" s="4" t="s">
        <v>430</v>
      </c>
      <c r="V91" s="5" t="s">
        <v>104</v>
      </c>
      <c r="W91" s="4" t="s">
        <v>105</v>
      </c>
      <c r="X91" s="4" t="s">
        <v>106</v>
      </c>
      <c r="Y91" s="5"/>
      <c r="Z91" s="4" t="s">
        <v>75</v>
      </c>
      <c r="AA91" s="6" t="n">
        <v>40000</v>
      </c>
      <c r="AB91" s="6" t="n">
        <v>40000</v>
      </c>
      <c r="AC91" s="6" t="n">
        <v>40000</v>
      </c>
      <c r="AD91" s="6" t="n">
        <v>40000</v>
      </c>
      <c r="AE91" s="4" t="s">
        <v>750</v>
      </c>
      <c r="AF91" s="5" t="s">
        <v>751</v>
      </c>
      <c r="AG91" s="4" t="s">
        <v>115</v>
      </c>
      <c r="AH91" s="4" t="s">
        <v>115</v>
      </c>
      <c r="AI91" s="5" t="s">
        <v>115</v>
      </c>
      <c r="AJ91" s="1" t="n">
        <v>1</v>
      </c>
      <c r="AK91" s="11" t="n">
        <v>1</v>
      </c>
      <c r="AL91" s="12" t="s">
        <v>81</v>
      </c>
      <c r="AM91" s="13" t="str">
        <f>IF(AL91="","",AL91&amp;" - "&amp;IFERROR(VLOOKUP(AL91,CODEBOOK_CAP!$C$2:$D$212,2,FALSE),""))</f>
        <v>0322 - ESTRUTURAS, HOSPITAIS, CLÍNICAS</v>
      </c>
      <c r="AN91" s="13" t="str">
        <f>IF(AL91="","",IFERROR(VLOOKUP(AL91,CODEBOOK_CAP!$C$2:$E$212,3,FALSE),""))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91" s="11" t="n">
        <v>0</v>
      </c>
      <c r="AP91" s="11"/>
      <c r="AQ91" s="11" t="n">
        <v>1</v>
      </c>
      <c r="AR91" s="11" t="n">
        <v>1</v>
      </c>
      <c r="AS91" s="11" t="s">
        <v>752</v>
      </c>
      <c r="AT91" s="11" t="n">
        <v>0</v>
      </c>
      <c r="AU91" s="11"/>
      <c r="AV91" s="11"/>
      <c r="AW91" s="11"/>
      <c r="AX91" s="7" t="s">
        <v>84</v>
      </c>
      <c r="AY91" s="7"/>
      <c r="AZ91" s="7"/>
      <c r="BA91" s="7"/>
    </row>
    <row r="92" ht="85.5" customHeight="1">
      <c r="A92" s="4" t="s">
        <v>753</v>
      </c>
      <c r="B92" s="4" t="n">
        <v>2022</v>
      </c>
      <c r="C92" s="4" t="n">
        <v>4252</v>
      </c>
      <c r="D92" s="4" t="s">
        <v>54</v>
      </c>
      <c r="E92" s="4" t="s">
        <v>590</v>
      </c>
      <c r="F92" s="5" t="s">
        <v>754</v>
      </c>
      <c r="G92" s="4" t="s">
        <v>57</v>
      </c>
      <c r="H92" s="4" t="s">
        <v>592</v>
      </c>
      <c r="I92" s="4" t="s">
        <v>281</v>
      </c>
      <c r="J92" s="4" t="s">
        <v>755</v>
      </c>
      <c r="K92" s="4" t="s">
        <v>756</v>
      </c>
      <c r="L92" s="5" t="s">
        <v>62</v>
      </c>
      <c r="M92" s="4" t="s">
        <v>63</v>
      </c>
      <c r="N92" s="5" t="s">
        <v>64</v>
      </c>
      <c r="O92" s="4" t="s">
        <v>65</v>
      </c>
      <c r="P92" s="5" t="s">
        <v>193</v>
      </c>
      <c r="Q92" s="4" t="s">
        <v>194</v>
      </c>
      <c r="R92" s="5" t="s">
        <v>195</v>
      </c>
      <c r="S92" s="4" t="s">
        <v>196</v>
      </c>
      <c r="T92" s="5" t="s">
        <v>429</v>
      </c>
      <c r="U92" s="4" t="s">
        <v>430</v>
      </c>
      <c r="V92" s="5" t="s">
        <v>757</v>
      </c>
      <c r="W92" s="4" t="s">
        <v>105</v>
      </c>
      <c r="X92" s="4" t="s">
        <v>106</v>
      </c>
      <c r="Y92" s="5"/>
      <c r="Z92" s="4" t="s">
        <v>75</v>
      </c>
      <c r="AA92" s="6" t="n">
        <v>100000</v>
      </c>
      <c r="AB92" s="6" t="n">
        <v>100000</v>
      </c>
      <c r="AC92" s="6" t="n">
        <v>100000</v>
      </c>
      <c r="AD92" s="6" t="n">
        <v>100000</v>
      </c>
      <c r="AE92" s="4" t="s">
        <v>758</v>
      </c>
      <c r="AF92" s="5" t="s">
        <v>759</v>
      </c>
      <c r="AG92" s="4" t="s">
        <v>78</v>
      </c>
      <c r="AH92" s="4" t="s">
        <v>79</v>
      </c>
      <c r="AI92" s="5" t="s">
        <v>80</v>
      </c>
      <c r="AJ92" s="1" t="n">
        <v>1</v>
      </c>
      <c r="AK92" s="11" t="n">
        <v>1</v>
      </c>
      <c r="AL92" s="12" t="s">
        <v>81</v>
      </c>
      <c r="AM92" s="13" t="str">
        <f>IF(AL92="","",AL92&amp;" - "&amp;IFERROR(VLOOKUP(AL92,CODEBOOK_CAP!$C$2:$D$212,2,FALSE),""))</f>
        <v>0322 - ESTRUTURAS, HOSPITAIS, CLÍNICAS</v>
      </c>
      <c r="AN92" s="13" t="str">
        <f>IF(AL92="","",IFERROR(VLOOKUP(AL92,CODEBOOK_CAP!$C$2:$E$212,3,FALSE),""))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92" s="11" t="n">
        <v>0</v>
      </c>
      <c r="AP92" s="11"/>
      <c r="AQ92" s="11" t="n">
        <v>1</v>
      </c>
      <c r="AR92" s="11" t="n">
        <v>1</v>
      </c>
      <c r="AS92" s="11" t="s">
        <v>760</v>
      </c>
      <c r="AT92" s="11" t="n">
        <v>0</v>
      </c>
      <c r="AU92" s="11"/>
      <c r="AV92" s="11"/>
      <c r="AW92" s="11"/>
      <c r="AX92" s="7" t="s">
        <v>84</v>
      </c>
      <c r="AY92" s="7"/>
      <c r="AZ92" s="7"/>
      <c r="BA92" s="7"/>
    </row>
    <row r="93" ht="156.75" customHeight="1">
      <c r="A93" s="4" t="s">
        <v>761</v>
      </c>
      <c r="B93" s="4" t="n">
        <v>2022</v>
      </c>
      <c r="C93" s="4" t="n">
        <v>4260</v>
      </c>
      <c r="D93" s="4" t="s">
        <v>54</v>
      </c>
      <c r="E93" s="4" t="s">
        <v>590</v>
      </c>
      <c r="F93" s="5" t="s">
        <v>762</v>
      </c>
      <c r="G93" s="4" t="s">
        <v>57</v>
      </c>
      <c r="H93" s="4" t="s">
        <v>592</v>
      </c>
      <c r="I93" s="4" t="s">
        <v>281</v>
      </c>
      <c r="J93" s="4" t="s">
        <v>763</v>
      </c>
      <c r="K93" s="4" t="s">
        <v>93</v>
      </c>
      <c r="L93" s="5" t="s">
        <v>94</v>
      </c>
      <c r="M93" s="4" t="s">
        <v>95</v>
      </c>
      <c r="N93" s="5" t="s">
        <v>96</v>
      </c>
      <c r="O93" s="4" t="s">
        <v>97</v>
      </c>
      <c r="P93" s="5" t="s">
        <v>98</v>
      </c>
      <c r="Q93" s="4" t="s">
        <v>99</v>
      </c>
      <c r="R93" s="5" t="s">
        <v>100</v>
      </c>
      <c r="S93" s="4" t="s">
        <v>101</v>
      </c>
      <c r="T93" s="5" t="s">
        <v>102</v>
      </c>
      <c r="U93" s="4" t="s">
        <v>103</v>
      </c>
      <c r="V93" s="5" t="s">
        <v>104</v>
      </c>
      <c r="W93" s="4" t="s">
        <v>105</v>
      </c>
      <c r="X93" s="4" t="s">
        <v>106</v>
      </c>
      <c r="Y93" s="5"/>
      <c r="Z93" s="4" t="s">
        <v>107</v>
      </c>
      <c r="AA93" s="6" t="n">
        <v>30000</v>
      </c>
      <c r="AB93" s="6" t="n">
        <v>30000</v>
      </c>
      <c r="AC93" s="6" t="n">
        <v>30000</v>
      </c>
      <c r="AD93" s="6" t="n">
        <v>30000</v>
      </c>
      <c r="AE93" s="4" t="s">
        <v>764</v>
      </c>
      <c r="AF93" s="5" t="s">
        <v>765</v>
      </c>
      <c r="AG93" s="4" t="s">
        <v>110</v>
      </c>
      <c r="AH93" s="4" t="s">
        <v>110</v>
      </c>
      <c r="AI93" s="5"/>
      <c r="AJ93" s="1" t="n">
        <v>0</v>
      </c>
      <c r="AK93" s="11" t="n">
        <v>0</v>
      </c>
      <c r="AL93" s="12" t="s">
        <v>111</v>
      </c>
      <c r="AM93" s="13" t="str">
        <f>IF(AL93="","",AL93&amp;" - "&amp;IFERROR(VLOOKUP(AL93,CODEBOOK_CAP!$C$2:$D$212,2,FALSE),""))</f>
        <v>1300 - GERAL</v>
      </c>
      <c r="AN93" s="13" t="str">
        <f>IF(AL93="","",IFERROR(VLOOKUP(AL93,CODEBOOK_CAP!$C$2:$E$212,3,FALSE),""))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93" s="11" t="n">
        <v>0</v>
      </c>
      <c r="AP93" s="11"/>
      <c r="AQ93" s="11" t="n">
        <v>0</v>
      </c>
      <c r="AR93" s="11" t="n">
        <v>0</v>
      </c>
      <c r="AS93" s="11"/>
      <c r="AT93" s="11" t="n">
        <v>0</v>
      </c>
      <c r="AU93" s="11"/>
      <c r="AV93" s="11"/>
      <c r="AW93" s="11"/>
      <c r="AX93" s="7" t="s">
        <v>84</v>
      </c>
      <c r="AY93" s="7"/>
      <c r="AZ93" s="7"/>
      <c r="BA93" s="7"/>
    </row>
    <row r="94" ht="85.5" customHeight="1">
      <c r="A94" s="4" t="s">
        <v>766</v>
      </c>
      <c r="B94" s="4" t="n">
        <v>2022</v>
      </c>
      <c r="C94" s="4" t="n">
        <v>4261</v>
      </c>
      <c r="D94" s="4" t="s">
        <v>54</v>
      </c>
      <c r="E94" s="4" t="s">
        <v>590</v>
      </c>
      <c r="F94" s="5" t="s">
        <v>767</v>
      </c>
      <c r="G94" s="4" t="s">
        <v>57</v>
      </c>
      <c r="H94" s="4" t="s">
        <v>592</v>
      </c>
      <c r="I94" s="4" t="s">
        <v>281</v>
      </c>
      <c r="J94" s="4" t="s">
        <v>768</v>
      </c>
      <c r="K94" s="4" t="s">
        <v>549</v>
      </c>
      <c r="L94" s="5" t="s">
        <v>62</v>
      </c>
      <c r="M94" s="4" t="s">
        <v>63</v>
      </c>
      <c r="N94" s="5" t="s">
        <v>64</v>
      </c>
      <c r="O94" s="4" t="s">
        <v>65</v>
      </c>
      <c r="P94" s="5" t="s">
        <v>193</v>
      </c>
      <c r="Q94" s="4" t="s">
        <v>194</v>
      </c>
      <c r="R94" s="5" t="s">
        <v>195</v>
      </c>
      <c r="S94" s="4" t="s">
        <v>196</v>
      </c>
      <c r="T94" s="5" t="s">
        <v>429</v>
      </c>
      <c r="U94" s="4" t="s">
        <v>430</v>
      </c>
      <c r="V94" s="5" t="s">
        <v>104</v>
      </c>
      <c r="W94" s="4" t="s">
        <v>105</v>
      </c>
      <c r="X94" s="4" t="s">
        <v>106</v>
      </c>
      <c r="Y94" s="5"/>
      <c r="Z94" s="4" t="s">
        <v>75</v>
      </c>
      <c r="AA94" s="6" t="n">
        <v>40000</v>
      </c>
      <c r="AB94" s="6" t="n">
        <v>40000</v>
      </c>
      <c r="AC94" s="6" t="n">
        <v>40000</v>
      </c>
      <c r="AD94" s="6" t="n">
        <v>40000</v>
      </c>
      <c r="AE94" s="4" t="s">
        <v>431</v>
      </c>
      <c r="AF94" s="5" t="s">
        <v>432</v>
      </c>
      <c r="AG94" s="4" t="s">
        <v>78</v>
      </c>
      <c r="AH94" s="4" t="s">
        <v>79</v>
      </c>
      <c r="AI94" s="5" t="s">
        <v>80</v>
      </c>
      <c r="AJ94" s="1" t="n">
        <v>1</v>
      </c>
      <c r="AK94" s="11" t="n">
        <v>1</v>
      </c>
      <c r="AL94" s="12" t="s">
        <v>81</v>
      </c>
      <c r="AM94" s="13" t="str">
        <f>IF(AL94="","",AL94&amp;" - "&amp;IFERROR(VLOOKUP(AL94,CODEBOOK_CAP!$C$2:$D$212,2,FALSE),""))</f>
        <v>0322 - ESTRUTURAS, HOSPITAIS, CLÍNICAS</v>
      </c>
      <c r="AN94" s="13" t="str">
        <f>IF(AL94="","",IFERROR(VLOOKUP(AL94,CODEBOOK_CAP!$C$2:$E$212,3,FALSE),""))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94" s="11" t="n">
        <v>0</v>
      </c>
      <c r="AP94" s="11"/>
      <c r="AQ94" s="11" t="n">
        <v>1</v>
      </c>
      <c r="AR94" s="11" t="n">
        <v>1</v>
      </c>
      <c r="AS94" s="11" t="s">
        <v>769</v>
      </c>
      <c r="AT94" s="11" t="n">
        <v>0</v>
      </c>
      <c r="AU94" s="11"/>
      <c r="AV94" s="11"/>
      <c r="AW94" s="11"/>
      <c r="AX94" s="7" t="s">
        <v>84</v>
      </c>
      <c r="AY94" s="7"/>
      <c r="AZ94" s="7"/>
      <c r="BA94" s="7"/>
    </row>
    <row r="95" ht="171" customHeight="1">
      <c r="A95" s="4" t="s">
        <v>770</v>
      </c>
      <c r="B95" s="4" t="n">
        <v>2022</v>
      </c>
      <c r="C95" s="4" t="n">
        <v>4262</v>
      </c>
      <c r="D95" s="4" t="s">
        <v>54</v>
      </c>
      <c r="E95" s="4" t="s">
        <v>590</v>
      </c>
      <c r="F95" s="5" t="s">
        <v>771</v>
      </c>
      <c r="G95" s="4" t="s">
        <v>57</v>
      </c>
      <c r="H95" s="4" t="s">
        <v>592</v>
      </c>
      <c r="I95" s="4" t="s">
        <v>281</v>
      </c>
      <c r="J95" s="4" t="s">
        <v>772</v>
      </c>
      <c r="K95" s="4" t="s">
        <v>773</v>
      </c>
      <c r="L95" s="5" t="s">
        <v>122</v>
      </c>
      <c r="M95" s="4" t="s">
        <v>123</v>
      </c>
      <c r="N95" s="5" t="s">
        <v>124</v>
      </c>
      <c r="O95" s="4" t="s">
        <v>125</v>
      </c>
      <c r="P95" s="5" t="s">
        <v>126</v>
      </c>
      <c r="Q95" s="4" t="s">
        <v>127</v>
      </c>
      <c r="R95" s="5" t="s">
        <v>322</v>
      </c>
      <c r="S95" s="4" t="s">
        <v>323</v>
      </c>
      <c r="T95" s="5" t="s">
        <v>774</v>
      </c>
      <c r="U95" s="4" t="s">
        <v>775</v>
      </c>
      <c r="V95" s="5" t="s">
        <v>72</v>
      </c>
      <c r="W95" s="4" t="s">
        <v>73</v>
      </c>
      <c r="X95" s="4" t="s">
        <v>74</v>
      </c>
      <c r="Y95" s="5"/>
      <c r="Z95" s="4" t="s">
        <v>132</v>
      </c>
      <c r="AA95" s="6" t="n">
        <v>90610</v>
      </c>
      <c r="AB95" s="6" t="n">
        <v>77779</v>
      </c>
      <c r="AC95" s="6" t="n">
        <v>77779</v>
      </c>
      <c r="AD95" s="6" t="n">
        <v>77779</v>
      </c>
      <c r="AE95" s="4" t="s">
        <v>76</v>
      </c>
      <c r="AF95" s="5" t="s">
        <v>77</v>
      </c>
      <c r="AG95" s="4" t="s">
        <v>78</v>
      </c>
      <c r="AH95" s="4" t="s">
        <v>79</v>
      </c>
      <c r="AI95" s="5" t="s">
        <v>80</v>
      </c>
      <c r="AJ95" s="1" t="n">
        <v>0</v>
      </c>
      <c r="AK95" s="11" t="n">
        <v>0</v>
      </c>
      <c r="AL95" s="12" t="s">
        <v>135</v>
      </c>
      <c r="AM95" s="13" t="str">
        <f>IF(AL95="","",AL95&amp;" - "&amp;IFERROR(VLOOKUP(AL95,CODEBOOK_CAP!$C$2:$D$212,2,FALSE),""))</f>
        <v>1002 - CARROS, TRÂNSITO, CONSTRUÇÃO E MANUTENÇÃO DE RUAS E ESTRADAS</v>
      </c>
      <c r="AN95" s="13" t="str">
        <f>IF(AL95="","",IFERROR(VLOOKUP(AL95,CODEBOOK_CAP!$C$2:$E$212,3,FALSE),""))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95" s="11" t="n">
        <v>1</v>
      </c>
      <c r="AP95" s="11" t="s">
        <v>776</v>
      </c>
      <c r="AQ95" s="11" t="n">
        <v>1</v>
      </c>
      <c r="AR95" s="11" t="n">
        <v>1</v>
      </c>
      <c r="AS95" s="11" t="s">
        <v>776</v>
      </c>
      <c r="AT95" s="11" t="n">
        <v>0</v>
      </c>
      <c r="AU95" s="11"/>
      <c r="AV95" s="11"/>
      <c r="AW95" s="11"/>
      <c r="AX95" s="7" t="s">
        <v>84</v>
      </c>
      <c r="AY95" s="7"/>
      <c r="AZ95" s="7"/>
      <c r="BA95" s="7"/>
    </row>
    <row r="96" ht="156.75" customHeight="1">
      <c r="A96" s="4" t="s">
        <v>777</v>
      </c>
      <c r="B96" s="4" t="n">
        <v>2022</v>
      </c>
      <c r="C96" s="4" t="n">
        <v>4263</v>
      </c>
      <c r="D96" s="4" t="s">
        <v>54</v>
      </c>
      <c r="E96" s="4" t="s">
        <v>590</v>
      </c>
      <c r="F96" s="5" t="s">
        <v>778</v>
      </c>
      <c r="G96" s="4" t="s">
        <v>57</v>
      </c>
      <c r="H96" s="4" t="s">
        <v>592</v>
      </c>
      <c r="I96" s="4" t="s">
        <v>281</v>
      </c>
      <c r="J96" s="4" t="s">
        <v>779</v>
      </c>
      <c r="K96" s="4" t="s">
        <v>93</v>
      </c>
      <c r="L96" s="5" t="s">
        <v>94</v>
      </c>
      <c r="M96" s="4" t="s">
        <v>95</v>
      </c>
      <c r="N96" s="5" t="s">
        <v>96</v>
      </c>
      <c r="O96" s="4" t="s">
        <v>97</v>
      </c>
      <c r="P96" s="5" t="s">
        <v>98</v>
      </c>
      <c r="Q96" s="4" t="s">
        <v>99</v>
      </c>
      <c r="R96" s="5" t="s">
        <v>100</v>
      </c>
      <c r="S96" s="4" t="s">
        <v>101</v>
      </c>
      <c r="T96" s="5" t="s">
        <v>102</v>
      </c>
      <c r="U96" s="4" t="s">
        <v>103</v>
      </c>
      <c r="V96" s="5" t="s">
        <v>104</v>
      </c>
      <c r="W96" s="4" t="s">
        <v>105</v>
      </c>
      <c r="X96" s="4" t="s">
        <v>106</v>
      </c>
      <c r="Y96" s="5"/>
      <c r="Z96" s="4" t="s">
        <v>107</v>
      </c>
      <c r="AA96" s="6" t="n">
        <v>30000</v>
      </c>
      <c r="AB96" s="6" t="n">
        <v>30000</v>
      </c>
      <c r="AC96" s="6" t="n">
        <v>30000</v>
      </c>
      <c r="AD96" s="6" t="n">
        <v>30000</v>
      </c>
      <c r="AE96" s="4" t="s">
        <v>780</v>
      </c>
      <c r="AF96" s="5" t="s">
        <v>781</v>
      </c>
      <c r="AG96" s="4" t="s">
        <v>110</v>
      </c>
      <c r="AH96" s="4" t="s">
        <v>110</v>
      </c>
      <c r="AI96" s="5"/>
      <c r="AJ96" s="1" t="n">
        <v>0</v>
      </c>
      <c r="AK96" s="11" t="n">
        <v>0</v>
      </c>
      <c r="AL96" s="12" t="s">
        <v>111</v>
      </c>
      <c r="AM96" s="13" t="str">
        <f>IF(AL96="","",AL96&amp;" - "&amp;IFERROR(VLOOKUP(AL96,CODEBOOK_CAP!$C$2:$D$212,2,FALSE),""))</f>
        <v>1300 - GERAL</v>
      </c>
      <c r="AN96" s="13" t="str">
        <f>IF(AL96="","",IFERROR(VLOOKUP(AL96,CODEBOOK_CAP!$C$2:$E$212,3,FALSE),""))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96" s="11" t="n">
        <v>0</v>
      </c>
      <c r="AP96" s="11"/>
      <c r="AQ96" s="11" t="n">
        <v>0</v>
      </c>
      <c r="AR96" s="11" t="n">
        <v>0</v>
      </c>
      <c r="AS96" s="11"/>
      <c r="AT96" s="11" t="n">
        <v>0</v>
      </c>
      <c r="AU96" s="11"/>
      <c r="AV96" s="11"/>
      <c r="AW96" s="11"/>
      <c r="AX96" s="7" t="s">
        <v>84</v>
      </c>
      <c r="AY96" s="7"/>
      <c r="AZ96" s="7"/>
      <c r="BA96" s="7"/>
    </row>
    <row r="97" ht="85.5" customHeight="1">
      <c r="A97" s="4" t="s">
        <v>782</v>
      </c>
      <c r="B97" s="4" t="n">
        <v>2022</v>
      </c>
      <c r="C97" s="4" t="n">
        <v>4321</v>
      </c>
      <c r="D97" s="4" t="s">
        <v>54</v>
      </c>
      <c r="E97" s="4" t="s">
        <v>590</v>
      </c>
      <c r="F97" s="5" t="s">
        <v>783</v>
      </c>
      <c r="G97" s="4" t="s">
        <v>57</v>
      </c>
      <c r="H97" s="4" t="s">
        <v>592</v>
      </c>
      <c r="I97" s="4" t="s">
        <v>281</v>
      </c>
      <c r="J97" s="4" t="s">
        <v>784</v>
      </c>
      <c r="K97" s="4" t="s">
        <v>785</v>
      </c>
      <c r="L97" s="5" t="s">
        <v>62</v>
      </c>
      <c r="M97" s="4" t="s">
        <v>63</v>
      </c>
      <c r="N97" s="5" t="s">
        <v>64</v>
      </c>
      <c r="O97" s="4" t="s">
        <v>65</v>
      </c>
      <c r="P97" s="5" t="s">
        <v>344</v>
      </c>
      <c r="Q97" s="4" t="s">
        <v>345</v>
      </c>
      <c r="R97" s="5" t="s">
        <v>346</v>
      </c>
      <c r="S97" s="4" t="s">
        <v>347</v>
      </c>
      <c r="T97" s="5" t="s">
        <v>555</v>
      </c>
      <c r="U97" s="4" t="s">
        <v>347</v>
      </c>
      <c r="V97" s="5" t="s">
        <v>310</v>
      </c>
      <c r="W97" s="4" t="s">
        <v>73</v>
      </c>
      <c r="X97" s="4" t="s">
        <v>74</v>
      </c>
      <c r="Y97" s="5"/>
      <c r="Z97" s="4" t="s">
        <v>75</v>
      </c>
      <c r="AA97" s="6" t="n">
        <v>50000</v>
      </c>
      <c r="AB97" s="6" t="n">
        <v>30117</v>
      </c>
      <c r="AC97" s="6" t="n">
        <v>30117</v>
      </c>
      <c r="AD97" s="6" t="n">
        <v>30117</v>
      </c>
      <c r="AE97" s="4" t="s">
        <v>786</v>
      </c>
      <c r="AF97" s="5" t="s">
        <v>787</v>
      </c>
      <c r="AG97" s="4" t="s">
        <v>78</v>
      </c>
      <c r="AH97" s="4" t="s">
        <v>79</v>
      </c>
      <c r="AI97" s="5" t="s">
        <v>80</v>
      </c>
      <c r="AJ97" s="1" t="n">
        <v>1</v>
      </c>
      <c r="AK97" s="11" t="n">
        <v>1</v>
      </c>
      <c r="AL97" s="12" t="s">
        <v>81</v>
      </c>
      <c r="AM97" s="13" t="str">
        <f>IF(AL97="","",AL97&amp;" - "&amp;IFERROR(VLOOKUP(AL97,CODEBOOK_CAP!$C$2:$D$212,2,FALSE),""))</f>
        <v>0322 - ESTRUTURAS, HOSPITAIS, CLÍNICAS</v>
      </c>
      <c r="AN97" s="13" t="str">
        <f>IF(AL97="","",IFERROR(VLOOKUP(AL97,CODEBOOK_CAP!$C$2:$E$212,3,FALSE),""))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97" s="11" t="n">
        <v>1</v>
      </c>
      <c r="AP97" s="11" t="s">
        <v>788</v>
      </c>
      <c r="AQ97" s="11" t="n">
        <v>1</v>
      </c>
      <c r="AR97" s="11" t="n">
        <v>1</v>
      </c>
      <c r="AS97" s="11" t="s">
        <v>789</v>
      </c>
      <c r="AT97" s="11" t="n">
        <v>0</v>
      </c>
      <c r="AU97" s="11"/>
      <c r="AV97" s="11"/>
      <c r="AW97" s="11"/>
      <c r="AX97" s="7" t="s">
        <v>84</v>
      </c>
      <c r="AY97" s="7"/>
      <c r="AZ97" s="7"/>
      <c r="BA97" s="7"/>
    </row>
    <row r="98" ht="156.75" customHeight="1">
      <c r="A98" s="4" t="s">
        <v>790</v>
      </c>
      <c r="B98" s="4" t="n">
        <v>2022</v>
      </c>
      <c r="C98" s="4" t="n">
        <v>4322</v>
      </c>
      <c r="D98" s="4" t="s">
        <v>54</v>
      </c>
      <c r="E98" s="4" t="s">
        <v>590</v>
      </c>
      <c r="F98" s="5" t="s">
        <v>791</v>
      </c>
      <c r="G98" s="4" t="s">
        <v>57</v>
      </c>
      <c r="H98" s="4" t="s">
        <v>592</v>
      </c>
      <c r="I98" s="4" t="s">
        <v>281</v>
      </c>
      <c r="J98" s="4" t="s">
        <v>792</v>
      </c>
      <c r="K98" s="4" t="s">
        <v>554</v>
      </c>
      <c r="L98" s="5" t="s">
        <v>62</v>
      </c>
      <c r="M98" s="4" t="s">
        <v>63</v>
      </c>
      <c r="N98" s="5" t="s">
        <v>64</v>
      </c>
      <c r="O98" s="4" t="s">
        <v>65</v>
      </c>
      <c r="P98" s="5" t="s">
        <v>344</v>
      </c>
      <c r="Q98" s="4" t="s">
        <v>345</v>
      </c>
      <c r="R98" s="5" t="s">
        <v>346</v>
      </c>
      <c r="S98" s="4" t="s">
        <v>347</v>
      </c>
      <c r="T98" s="5" t="s">
        <v>555</v>
      </c>
      <c r="U98" s="4" t="s">
        <v>347</v>
      </c>
      <c r="V98" s="5" t="s">
        <v>310</v>
      </c>
      <c r="W98" s="4" t="s">
        <v>73</v>
      </c>
      <c r="X98" s="4" t="s">
        <v>74</v>
      </c>
      <c r="Y98" s="5"/>
      <c r="Z98" s="4" t="s">
        <v>75</v>
      </c>
      <c r="AA98" s="6" t="n">
        <v>50000</v>
      </c>
      <c r="AB98" s="6" t="n">
        <v>25549</v>
      </c>
      <c r="AC98" s="6" t="n">
        <v>25549</v>
      </c>
      <c r="AD98" s="6" t="n">
        <v>25549</v>
      </c>
      <c r="AE98" s="4" t="s">
        <v>793</v>
      </c>
      <c r="AF98" s="5" t="s">
        <v>794</v>
      </c>
      <c r="AG98" s="4" t="s">
        <v>78</v>
      </c>
      <c r="AH98" s="4" t="s">
        <v>79</v>
      </c>
      <c r="AI98" s="5" t="s">
        <v>80</v>
      </c>
      <c r="AJ98" s="1" t="n">
        <v>1</v>
      </c>
      <c r="AK98" s="11" t="n">
        <v>1</v>
      </c>
      <c r="AL98" s="12" t="s">
        <v>81</v>
      </c>
      <c r="AM98" s="13" t="str">
        <f>IF(AL98="","",AL98&amp;" - "&amp;IFERROR(VLOOKUP(AL98,CODEBOOK_CAP!$C$2:$D$212,2,FALSE),""))</f>
        <v>0322 - ESTRUTURAS, HOSPITAIS, CLÍNICAS</v>
      </c>
      <c r="AN98" s="13" t="str">
        <f>IF(AL98="","",IFERROR(VLOOKUP(AL98,CODEBOOK_CAP!$C$2:$E$212,3,FALSE),""))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98" s="11" t="n">
        <v>1</v>
      </c>
      <c r="AP98" s="11" t="s">
        <v>795</v>
      </c>
      <c r="AQ98" s="11" t="n">
        <v>1</v>
      </c>
      <c r="AR98" s="11" t="n">
        <v>1</v>
      </c>
      <c r="AS98" s="11" t="s">
        <v>796</v>
      </c>
      <c r="AT98" s="11" t="n">
        <v>0</v>
      </c>
      <c r="AU98" s="11"/>
      <c r="AV98" s="11"/>
      <c r="AW98" s="11"/>
      <c r="AX98" s="7" t="s">
        <v>84</v>
      </c>
      <c r="AY98" s="7"/>
      <c r="AZ98" s="7"/>
      <c r="BA98" s="7"/>
    </row>
    <row r="99" ht="128.25" customHeight="1">
      <c r="A99" s="4" t="s">
        <v>797</v>
      </c>
      <c r="B99" s="4" t="n">
        <v>2022</v>
      </c>
      <c r="C99" s="4" t="n">
        <v>4323</v>
      </c>
      <c r="D99" s="4" t="s">
        <v>54</v>
      </c>
      <c r="E99" s="4" t="s">
        <v>590</v>
      </c>
      <c r="F99" s="5" t="s">
        <v>798</v>
      </c>
      <c r="G99" s="4" t="s">
        <v>57</v>
      </c>
      <c r="H99" s="4" t="s">
        <v>592</v>
      </c>
      <c r="I99" s="4" t="s">
        <v>281</v>
      </c>
      <c r="J99" s="4" t="s">
        <v>799</v>
      </c>
      <c r="K99" s="4" t="s">
        <v>554</v>
      </c>
      <c r="L99" s="5" t="s">
        <v>62</v>
      </c>
      <c r="M99" s="4" t="s">
        <v>63</v>
      </c>
      <c r="N99" s="5" t="s">
        <v>64</v>
      </c>
      <c r="O99" s="4" t="s">
        <v>65</v>
      </c>
      <c r="P99" s="5" t="s">
        <v>344</v>
      </c>
      <c r="Q99" s="4" t="s">
        <v>345</v>
      </c>
      <c r="R99" s="5" t="s">
        <v>346</v>
      </c>
      <c r="S99" s="4" t="s">
        <v>347</v>
      </c>
      <c r="T99" s="5" t="s">
        <v>555</v>
      </c>
      <c r="U99" s="4" t="s">
        <v>347</v>
      </c>
      <c r="V99" s="5" t="s">
        <v>310</v>
      </c>
      <c r="W99" s="4" t="s">
        <v>73</v>
      </c>
      <c r="X99" s="4" t="s">
        <v>74</v>
      </c>
      <c r="Y99" s="5"/>
      <c r="Z99" s="4" t="s">
        <v>75</v>
      </c>
      <c r="AA99" s="6" t="n">
        <v>50000</v>
      </c>
      <c r="AB99" s="6" t="n">
        <v>31496</v>
      </c>
      <c r="AC99" s="6" t="n">
        <v>31496</v>
      </c>
      <c r="AD99" s="6" t="n">
        <v>31496</v>
      </c>
      <c r="AE99" s="4" t="s">
        <v>800</v>
      </c>
      <c r="AF99" s="5" t="s">
        <v>801</v>
      </c>
      <c r="AG99" s="4" t="s">
        <v>78</v>
      </c>
      <c r="AH99" s="4" t="s">
        <v>79</v>
      </c>
      <c r="AI99" s="5" t="s">
        <v>80</v>
      </c>
      <c r="AJ99" s="1" t="n">
        <v>1</v>
      </c>
      <c r="AK99" s="11" t="n">
        <v>1</v>
      </c>
      <c r="AL99" s="12" t="s">
        <v>81</v>
      </c>
      <c r="AM99" s="13" t="str">
        <f>IF(AL99="","",AL99&amp;" - "&amp;IFERROR(VLOOKUP(AL99,CODEBOOK_CAP!$C$2:$D$212,2,FALSE),""))</f>
        <v>0322 - ESTRUTURAS, HOSPITAIS, CLÍNICAS</v>
      </c>
      <c r="AN99" s="13" t="str">
        <f>IF(AL99="","",IFERROR(VLOOKUP(AL99,CODEBOOK_CAP!$C$2:$E$212,3,FALSE),""))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99" s="11" t="n">
        <v>1</v>
      </c>
      <c r="AP99" s="11" t="s">
        <v>802</v>
      </c>
      <c r="AQ99" s="11" t="n">
        <v>1</v>
      </c>
      <c r="AR99" s="11" t="n">
        <v>1</v>
      </c>
      <c r="AS99" s="11" t="s">
        <v>803</v>
      </c>
      <c r="AT99" s="11" t="n">
        <v>0</v>
      </c>
      <c r="AU99" s="11"/>
      <c r="AV99" s="11"/>
      <c r="AW99" s="11"/>
      <c r="AX99" s="7" t="s">
        <v>84</v>
      </c>
      <c r="AY99" s="7"/>
      <c r="AZ99" s="7"/>
      <c r="BA99" s="7"/>
    </row>
    <row r="100" ht="128.25" customHeight="1">
      <c r="A100" s="4" t="s">
        <v>804</v>
      </c>
      <c r="B100" s="4" t="n">
        <v>2022</v>
      </c>
      <c r="C100" s="4" t="n">
        <v>4324</v>
      </c>
      <c r="D100" s="4" t="s">
        <v>54</v>
      </c>
      <c r="E100" s="4" t="s">
        <v>590</v>
      </c>
      <c r="F100" s="5" t="s">
        <v>805</v>
      </c>
      <c r="G100" s="4" t="s">
        <v>57</v>
      </c>
      <c r="H100" s="4" t="s">
        <v>592</v>
      </c>
      <c r="I100" s="4" t="s">
        <v>281</v>
      </c>
      <c r="J100" s="4" t="s">
        <v>806</v>
      </c>
      <c r="K100" s="4" t="s">
        <v>554</v>
      </c>
      <c r="L100" s="5" t="s">
        <v>62</v>
      </c>
      <c r="M100" s="4" t="s">
        <v>63</v>
      </c>
      <c r="N100" s="5" t="s">
        <v>64</v>
      </c>
      <c r="O100" s="4" t="s">
        <v>65</v>
      </c>
      <c r="P100" s="5" t="s">
        <v>344</v>
      </c>
      <c r="Q100" s="4" t="s">
        <v>345</v>
      </c>
      <c r="R100" s="5" t="s">
        <v>346</v>
      </c>
      <c r="S100" s="4" t="s">
        <v>347</v>
      </c>
      <c r="T100" s="5" t="s">
        <v>555</v>
      </c>
      <c r="U100" s="4" t="s">
        <v>347</v>
      </c>
      <c r="V100" s="5" t="s">
        <v>310</v>
      </c>
      <c r="W100" s="4" t="s">
        <v>73</v>
      </c>
      <c r="X100" s="4" t="s">
        <v>74</v>
      </c>
      <c r="Y100" s="5"/>
      <c r="Z100" s="4" t="s">
        <v>75</v>
      </c>
      <c r="AA100" s="6" t="n">
        <v>50000</v>
      </c>
      <c r="AB100" s="6" t="n">
        <v>31496</v>
      </c>
      <c r="AC100" s="6" t="n">
        <v>31496</v>
      </c>
      <c r="AD100" s="6" t="n">
        <v>31496</v>
      </c>
      <c r="AE100" s="4" t="s">
        <v>807</v>
      </c>
      <c r="AF100" s="5" t="s">
        <v>808</v>
      </c>
      <c r="AG100" s="4" t="s">
        <v>78</v>
      </c>
      <c r="AH100" s="4" t="s">
        <v>79</v>
      </c>
      <c r="AI100" s="5" t="s">
        <v>80</v>
      </c>
      <c r="AJ100" s="1" t="n">
        <v>1</v>
      </c>
      <c r="AK100" s="11" t="n">
        <v>1</v>
      </c>
      <c r="AL100" s="12" t="s">
        <v>81</v>
      </c>
      <c r="AM100" s="13" t="str">
        <f>IF(AL100="","",AL100&amp;" - "&amp;IFERROR(VLOOKUP(AL100,CODEBOOK_CAP!$C$2:$D$212,2,FALSE),""))</f>
        <v>0322 - ESTRUTURAS, HOSPITAIS, CLÍNICAS</v>
      </c>
      <c r="AN100" s="13" t="str">
        <f>IF(AL100="","",IFERROR(VLOOKUP(AL100,CODEBOOK_CAP!$C$2:$E$212,3,FALSE),""))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100" s="11" t="n">
        <v>1</v>
      </c>
      <c r="AP100" s="11" t="s">
        <v>809</v>
      </c>
      <c r="AQ100" s="11" t="n">
        <v>1</v>
      </c>
      <c r="AR100" s="11" t="n">
        <v>1</v>
      </c>
      <c r="AS100" s="11" t="s">
        <v>810</v>
      </c>
      <c r="AT100" s="11" t="n">
        <v>0</v>
      </c>
      <c r="AU100" s="11"/>
      <c r="AV100" s="11"/>
      <c r="AW100" s="11"/>
      <c r="AX100" s="7" t="s">
        <v>84</v>
      </c>
      <c r="AY100" s="7"/>
      <c r="AZ100" s="7"/>
      <c r="BA100" s="7"/>
    </row>
    <row r="101" ht="128.25" customHeight="1">
      <c r="A101" s="4" t="s">
        <v>811</v>
      </c>
      <c r="B101" s="4" t="n">
        <v>2022</v>
      </c>
      <c r="C101" s="4" t="n">
        <v>4325</v>
      </c>
      <c r="D101" s="4" t="s">
        <v>54</v>
      </c>
      <c r="E101" s="4" t="s">
        <v>590</v>
      </c>
      <c r="F101" s="5" t="s">
        <v>812</v>
      </c>
      <c r="G101" s="4" t="s">
        <v>57</v>
      </c>
      <c r="H101" s="4" t="s">
        <v>592</v>
      </c>
      <c r="I101" s="4" t="s">
        <v>281</v>
      </c>
      <c r="J101" s="4" t="s">
        <v>813</v>
      </c>
      <c r="K101" s="4" t="s">
        <v>554</v>
      </c>
      <c r="L101" s="5" t="s">
        <v>62</v>
      </c>
      <c r="M101" s="4" t="s">
        <v>63</v>
      </c>
      <c r="N101" s="5" t="s">
        <v>64</v>
      </c>
      <c r="O101" s="4" t="s">
        <v>65</v>
      </c>
      <c r="P101" s="5" t="s">
        <v>344</v>
      </c>
      <c r="Q101" s="4" t="s">
        <v>345</v>
      </c>
      <c r="R101" s="5" t="s">
        <v>346</v>
      </c>
      <c r="S101" s="4" t="s">
        <v>347</v>
      </c>
      <c r="T101" s="5" t="s">
        <v>555</v>
      </c>
      <c r="U101" s="4" t="s">
        <v>347</v>
      </c>
      <c r="V101" s="5" t="s">
        <v>310</v>
      </c>
      <c r="W101" s="4" t="s">
        <v>73</v>
      </c>
      <c r="X101" s="4" t="s">
        <v>74</v>
      </c>
      <c r="Y101" s="5"/>
      <c r="Z101" s="4" t="s">
        <v>75</v>
      </c>
      <c r="AA101" s="6" t="n">
        <v>50000</v>
      </c>
      <c r="AB101" s="6" t="n">
        <v>41584</v>
      </c>
      <c r="AC101" s="6" t="n">
        <v>41584</v>
      </c>
      <c r="AD101" s="6" t="n">
        <v>41584</v>
      </c>
      <c r="AE101" s="4" t="s">
        <v>814</v>
      </c>
      <c r="AF101" s="5" t="s">
        <v>815</v>
      </c>
      <c r="AG101" s="4" t="s">
        <v>78</v>
      </c>
      <c r="AH101" s="4" t="s">
        <v>79</v>
      </c>
      <c r="AI101" s="5" t="s">
        <v>80</v>
      </c>
      <c r="AJ101" s="1" t="n">
        <v>1</v>
      </c>
      <c r="AK101" s="11" t="n">
        <v>1</v>
      </c>
      <c r="AL101" s="12" t="s">
        <v>81</v>
      </c>
      <c r="AM101" s="13" t="str">
        <f>IF(AL101="","",AL101&amp;" - "&amp;IFERROR(VLOOKUP(AL101,CODEBOOK_CAP!$C$2:$D$212,2,FALSE),""))</f>
        <v>0322 - ESTRUTURAS, HOSPITAIS, CLÍNICAS</v>
      </c>
      <c r="AN101" s="13" t="str">
        <f>IF(AL101="","",IFERROR(VLOOKUP(AL101,CODEBOOK_CAP!$C$2:$E$212,3,FALSE),""))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101" s="11" t="n">
        <v>1</v>
      </c>
      <c r="AP101" s="11" t="s">
        <v>816</v>
      </c>
      <c r="AQ101" s="11" t="n">
        <v>1</v>
      </c>
      <c r="AR101" s="11" t="n">
        <v>1</v>
      </c>
      <c r="AS101" s="11" t="s">
        <v>817</v>
      </c>
      <c r="AT101" s="11" t="n">
        <v>0</v>
      </c>
      <c r="AU101" s="11"/>
      <c r="AV101" s="11"/>
      <c r="AW101" s="11"/>
      <c r="AX101" s="7" t="s">
        <v>84</v>
      </c>
      <c r="AY101" s="7"/>
      <c r="AZ101" s="7"/>
      <c r="BA101" s="7"/>
    </row>
    <row r="102" ht="99.75" customHeight="1">
      <c r="A102" s="4" t="s">
        <v>818</v>
      </c>
      <c r="B102" s="4" t="n">
        <v>2022</v>
      </c>
      <c r="C102" s="4" t="n">
        <v>4326</v>
      </c>
      <c r="D102" s="4" t="s">
        <v>54</v>
      </c>
      <c r="E102" s="4" t="s">
        <v>590</v>
      </c>
      <c r="F102" s="5" t="s">
        <v>819</v>
      </c>
      <c r="G102" s="4" t="s">
        <v>57</v>
      </c>
      <c r="H102" s="4" t="s">
        <v>592</v>
      </c>
      <c r="I102" s="4" t="s">
        <v>281</v>
      </c>
      <c r="J102" s="4" t="s">
        <v>820</v>
      </c>
      <c r="K102" s="4" t="s">
        <v>554</v>
      </c>
      <c r="L102" s="5" t="s">
        <v>62</v>
      </c>
      <c r="M102" s="4" t="s">
        <v>63</v>
      </c>
      <c r="N102" s="5" t="s">
        <v>64</v>
      </c>
      <c r="O102" s="4" t="s">
        <v>65</v>
      </c>
      <c r="P102" s="5" t="s">
        <v>344</v>
      </c>
      <c r="Q102" s="4" t="s">
        <v>345</v>
      </c>
      <c r="R102" s="5" t="s">
        <v>346</v>
      </c>
      <c r="S102" s="4" t="s">
        <v>347</v>
      </c>
      <c r="T102" s="5" t="s">
        <v>555</v>
      </c>
      <c r="U102" s="4" t="s">
        <v>347</v>
      </c>
      <c r="V102" s="5" t="s">
        <v>310</v>
      </c>
      <c r="W102" s="4" t="s">
        <v>73</v>
      </c>
      <c r="X102" s="4" t="s">
        <v>74</v>
      </c>
      <c r="Y102" s="5"/>
      <c r="Z102" s="4" t="s">
        <v>75</v>
      </c>
      <c r="AA102" s="6" t="n">
        <v>50000</v>
      </c>
      <c r="AB102" s="6" t="n">
        <v>27078</v>
      </c>
      <c r="AC102" s="6" t="n">
        <v>27078</v>
      </c>
      <c r="AD102" s="6" t="n">
        <v>27078</v>
      </c>
      <c r="AE102" s="4" t="s">
        <v>821</v>
      </c>
      <c r="AF102" s="5" t="s">
        <v>822</v>
      </c>
      <c r="AG102" s="4" t="s">
        <v>78</v>
      </c>
      <c r="AH102" s="4" t="s">
        <v>79</v>
      </c>
      <c r="AI102" s="5" t="s">
        <v>80</v>
      </c>
      <c r="AJ102" s="1" t="n">
        <v>1</v>
      </c>
      <c r="AK102" s="11" t="n">
        <v>1</v>
      </c>
      <c r="AL102" s="12" t="s">
        <v>81</v>
      </c>
      <c r="AM102" s="13" t="str">
        <f>IF(AL102="","",AL102&amp;" - "&amp;IFERROR(VLOOKUP(AL102,CODEBOOK_CAP!$C$2:$D$212,2,FALSE),""))</f>
        <v>0322 - ESTRUTURAS, HOSPITAIS, CLÍNICAS</v>
      </c>
      <c r="AN102" s="13" t="str">
        <f>IF(AL102="","",IFERROR(VLOOKUP(AL102,CODEBOOK_CAP!$C$2:$E$212,3,FALSE),""))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102" s="11" t="n">
        <v>1</v>
      </c>
      <c r="AP102" s="11" t="s">
        <v>823</v>
      </c>
      <c r="AQ102" s="11" t="n">
        <v>1</v>
      </c>
      <c r="AR102" s="11" t="n">
        <v>1</v>
      </c>
      <c r="AS102" s="11" t="s">
        <v>824</v>
      </c>
      <c r="AT102" s="11" t="n">
        <v>0</v>
      </c>
      <c r="AU102" s="11"/>
      <c r="AV102" s="11"/>
      <c r="AW102" s="11"/>
      <c r="AX102" s="7" t="s">
        <v>84</v>
      </c>
      <c r="AY102" s="7"/>
      <c r="AZ102" s="7"/>
      <c r="BA102" s="7"/>
    </row>
    <row r="103" ht="128.25" customHeight="1">
      <c r="A103" s="4" t="s">
        <v>825</v>
      </c>
      <c r="B103" s="4" t="n">
        <v>2022</v>
      </c>
      <c r="C103" s="4" t="n">
        <v>4327</v>
      </c>
      <c r="D103" s="4" t="s">
        <v>54</v>
      </c>
      <c r="E103" s="4" t="s">
        <v>590</v>
      </c>
      <c r="F103" s="5" t="s">
        <v>826</v>
      </c>
      <c r="G103" s="4" t="s">
        <v>57</v>
      </c>
      <c r="H103" s="4" t="s">
        <v>592</v>
      </c>
      <c r="I103" s="4" t="s">
        <v>281</v>
      </c>
      <c r="J103" s="4" t="s">
        <v>827</v>
      </c>
      <c r="K103" s="4" t="s">
        <v>828</v>
      </c>
      <c r="L103" s="5" t="s">
        <v>62</v>
      </c>
      <c r="M103" s="4" t="s">
        <v>63</v>
      </c>
      <c r="N103" s="5" t="s">
        <v>64</v>
      </c>
      <c r="O103" s="4" t="s">
        <v>65</v>
      </c>
      <c r="P103" s="5" t="s">
        <v>193</v>
      </c>
      <c r="Q103" s="4" t="s">
        <v>194</v>
      </c>
      <c r="R103" s="5" t="s">
        <v>195</v>
      </c>
      <c r="S103" s="4" t="s">
        <v>196</v>
      </c>
      <c r="T103" s="5" t="s">
        <v>197</v>
      </c>
      <c r="U103" s="4" t="s">
        <v>198</v>
      </c>
      <c r="V103" s="5" t="s">
        <v>274</v>
      </c>
      <c r="W103" s="4" t="s">
        <v>105</v>
      </c>
      <c r="X103" s="4" t="s">
        <v>106</v>
      </c>
      <c r="Y103" s="5"/>
      <c r="Z103" s="4" t="s">
        <v>75</v>
      </c>
      <c r="AA103" s="6" t="n">
        <v>24610</v>
      </c>
      <c r="AB103" s="6" t="n">
        <v>24610</v>
      </c>
      <c r="AC103" s="6" t="n">
        <v>24610</v>
      </c>
      <c r="AD103" s="6" t="n">
        <v>24610</v>
      </c>
      <c r="AE103" s="4" t="s">
        <v>829</v>
      </c>
      <c r="AF103" s="5" t="s">
        <v>830</v>
      </c>
      <c r="AG103" s="4" t="s">
        <v>78</v>
      </c>
      <c r="AH103" s="4" t="s">
        <v>79</v>
      </c>
      <c r="AI103" s="5" t="s">
        <v>80</v>
      </c>
      <c r="AJ103" s="1" t="n">
        <v>1</v>
      </c>
      <c r="AK103" s="11" t="n">
        <v>1</v>
      </c>
      <c r="AL103" s="12" t="s">
        <v>831</v>
      </c>
      <c r="AM103" s="13" t="str">
        <f>IF(AL103="","",AL103&amp;" - "&amp;IFERROR(VLOOKUP(AL103,CODEBOOK_CAP!$C$2:$D$212,2,FALSE),""))</f>
        <v>0342 - ALCOOLISMO e TOXICODEPENDÊNCIA</v>
      </c>
      <c r="AN103" s="13" t="str">
        <f>IF(AL103="","",IFERROR(VLOOKUP(AL103,CODEBOOK_CAP!$C$2:$E$212,3,FALSE),""))</f>
        <v>Regulação da publicidade e propaganda de bebidas alcoolicas, rotulos, venda e comercialização, LEI SECA, campanhas de prevenção específicas sobre alcoolismo, centros de recuperação, tratamentos aprovados, doenças relacionadas ao consumo excessivo e a dependencia de beidas alcoolicas. Programas de prevenção específicas contra drogas ilegais, centros especializados, políticas de proteção e de recuperação de usuários, Cracolândia, sempre relaciobadas com a saúde e drogas. Cocaína, Crack, maconha, LSD. Não confundir com tráfico (1203) ou regulamentação da legalidade de drogas (321)</v>
      </c>
      <c r="AO103" s="11" t="n">
        <v>1</v>
      </c>
      <c r="AP103" s="11" t="s">
        <v>832</v>
      </c>
      <c r="AQ103" s="11" t="n">
        <v>1</v>
      </c>
      <c r="AR103" s="11" t="n">
        <v>1</v>
      </c>
      <c r="AS103" s="11" t="s">
        <v>833</v>
      </c>
      <c r="AT103" s="11" t="n">
        <v>1</v>
      </c>
      <c r="AU103" s="11" t="s">
        <v>834</v>
      </c>
      <c r="AV103" s="11"/>
      <c r="AW103" s="11"/>
      <c r="AX103" s="7" t="s">
        <v>84</v>
      </c>
      <c r="AY103" s="7"/>
      <c r="AZ103" s="7"/>
      <c r="BA103" s="7"/>
    </row>
    <row r="104" ht="156.75" customHeight="1">
      <c r="A104" s="4" t="s">
        <v>835</v>
      </c>
      <c r="B104" s="4" t="n">
        <v>2022</v>
      </c>
      <c r="C104" s="4" t="n">
        <v>4363</v>
      </c>
      <c r="D104" s="4" t="s">
        <v>54</v>
      </c>
      <c r="E104" s="4" t="s">
        <v>590</v>
      </c>
      <c r="F104" s="5" t="s">
        <v>836</v>
      </c>
      <c r="G104" s="4" t="s">
        <v>57</v>
      </c>
      <c r="H104" s="4" t="s">
        <v>592</v>
      </c>
      <c r="I104" s="4" t="s">
        <v>281</v>
      </c>
      <c r="J104" s="4" t="s">
        <v>837</v>
      </c>
      <c r="K104" s="4" t="s">
        <v>93</v>
      </c>
      <c r="L104" s="5" t="s">
        <v>94</v>
      </c>
      <c r="M104" s="4" t="s">
        <v>95</v>
      </c>
      <c r="N104" s="5" t="s">
        <v>96</v>
      </c>
      <c r="O104" s="4" t="s">
        <v>97</v>
      </c>
      <c r="P104" s="5" t="s">
        <v>98</v>
      </c>
      <c r="Q104" s="4" t="s">
        <v>99</v>
      </c>
      <c r="R104" s="5" t="s">
        <v>100</v>
      </c>
      <c r="S104" s="4" t="s">
        <v>101</v>
      </c>
      <c r="T104" s="5" t="s">
        <v>102</v>
      </c>
      <c r="U104" s="4" t="s">
        <v>103</v>
      </c>
      <c r="V104" s="5" t="s">
        <v>104</v>
      </c>
      <c r="W104" s="4" t="s">
        <v>105</v>
      </c>
      <c r="X104" s="4" t="s">
        <v>106</v>
      </c>
      <c r="Y104" s="5"/>
      <c r="Z104" s="4" t="s">
        <v>107</v>
      </c>
      <c r="AA104" s="6" t="n">
        <v>30000</v>
      </c>
      <c r="AB104" s="6" t="n">
        <v>30000</v>
      </c>
      <c r="AC104" s="6" t="n">
        <v>30000</v>
      </c>
      <c r="AD104" s="6" t="n">
        <v>30000</v>
      </c>
      <c r="AE104" s="4" t="s">
        <v>333</v>
      </c>
      <c r="AF104" s="5" t="s">
        <v>838</v>
      </c>
      <c r="AG104" s="4" t="s">
        <v>110</v>
      </c>
      <c r="AH104" s="4" t="s">
        <v>110</v>
      </c>
      <c r="AI104" s="5"/>
      <c r="AJ104" s="1" t="n">
        <v>0</v>
      </c>
      <c r="AK104" s="11" t="n">
        <v>0</v>
      </c>
      <c r="AL104" s="12" t="s">
        <v>111</v>
      </c>
      <c r="AM104" s="13" t="str">
        <f>IF(AL104="","",AL104&amp;" - "&amp;IFERROR(VLOOKUP(AL104,CODEBOOK_CAP!$C$2:$D$212,2,FALSE),""))</f>
        <v>1300 - GERAL</v>
      </c>
      <c r="AN104" s="13" t="str">
        <f>IF(AL104="","",IFERROR(VLOOKUP(AL104,CODEBOOK_CAP!$C$2:$E$212,3,FALSE),""))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104" s="11" t="n">
        <v>0</v>
      </c>
      <c r="AP104" s="11"/>
      <c r="AQ104" s="11" t="n">
        <v>0</v>
      </c>
      <c r="AR104" s="11" t="n">
        <v>0</v>
      </c>
      <c r="AS104" s="11"/>
      <c r="AT104" s="11" t="n">
        <v>0</v>
      </c>
      <c r="AU104" s="11"/>
      <c r="AV104" s="11"/>
      <c r="AW104" s="11"/>
      <c r="AX104" s="7" t="s">
        <v>84</v>
      </c>
      <c r="AY104" s="7"/>
      <c r="AZ104" s="7"/>
      <c r="BA104" s="7"/>
    </row>
    <row r="105" ht="85.5" customHeight="1">
      <c r="A105" s="4" t="s">
        <v>839</v>
      </c>
      <c r="B105" s="4" t="n">
        <v>2022</v>
      </c>
      <c r="C105" s="4" t="n">
        <v>4364</v>
      </c>
      <c r="D105" s="4" t="s">
        <v>54</v>
      </c>
      <c r="E105" s="4" t="s">
        <v>590</v>
      </c>
      <c r="F105" s="5" t="s">
        <v>840</v>
      </c>
      <c r="G105" s="4" t="s">
        <v>57</v>
      </c>
      <c r="H105" s="4" t="s">
        <v>592</v>
      </c>
      <c r="I105" s="4" t="s">
        <v>281</v>
      </c>
      <c r="J105" s="4" t="s">
        <v>841</v>
      </c>
      <c r="K105" s="4" t="s">
        <v>549</v>
      </c>
      <c r="L105" s="5" t="s">
        <v>62</v>
      </c>
      <c r="M105" s="4" t="s">
        <v>63</v>
      </c>
      <c r="N105" s="5" t="s">
        <v>64</v>
      </c>
      <c r="O105" s="4" t="s">
        <v>65</v>
      </c>
      <c r="P105" s="5" t="s">
        <v>193</v>
      </c>
      <c r="Q105" s="4" t="s">
        <v>194</v>
      </c>
      <c r="R105" s="5" t="s">
        <v>195</v>
      </c>
      <c r="S105" s="4" t="s">
        <v>196</v>
      </c>
      <c r="T105" s="5" t="s">
        <v>429</v>
      </c>
      <c r="U105" s="4" t="s">
        <v>430</v>
      </c>
      <c r="V105" s="5" t="s">
        <v>104</v>
      </c>
      <c r="W105" s="4" t="s">
        <v>105</v>
      </c>
      <c r="X105" s="4" t="s">
        <v>106</v>
      </c>
      <c r="Y105" s="5"/>
      <c r="Z105" s="4" t="s">
        <v>75</v>
      </c>
      <c r="AA105" s="6" t="n">
        <v>30000</v>
      </c>
      <c r="AB105" s="6" t="n">
        <v>30000</v>
      </c>
      <c r="AC105" s="6" t="n">
        <v>30000</v>
      </c>
      <c r="AD105" s="6" t="n">
        <v>30000</v>
      </c>
      <c r="AE105" s="4" t="s">
        <v>464</v>
      </c>
      <c r="AF105" s="5" t="s">
        <v>465</v>
      </c>
      <c r="AG105" s="4" t="s">
        <v>433</v>
      </c>
      <c r="AH105" s="4" t="s">
        <v>433</v>
      </c>
      <c r="AI105" s="5"/>
      <c r="AJ105" s="1" t="n">
        <v>1</v>
      </c>
      <c r="AK105" s="11" t="n">
        <v>1</v>
      </c>
      <c r="AL105" s="12" t="s">
        <v>81</v>
      </c>
      <c r="AM105" s="13" t="str">
        <f>IF(AL105="","",AL105&amp;" - "&amp;IFERROR(VLOOKUP(AL105,CODEBOOK_CAP!$C$2:$D$212,2,FALSE),""))</f>
        <v>0322 - ESTRUTURAS, HOSPITAIS, CLÍNICAS</v>
      </c>
      <c r="AN105" s="13" t="str">
        <f>IF(AL105="","",IFERROR(VLOOKUP(AL105,CODEBOOK_CAP!$C$2:$E$212,3,FALSE),""))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105" s="11" t="n">
        <v>0</v>
      </c>
      <c r="AP105" s="11"/>
      <c r="AQ105" s="11" t="n">
        <v>1</v>
      </c>
      <c r="AR105" s="11" t="n">
        <v>1</v>
      </c>
      <c r="AS105" s="11" t="s">
        <v>842</v>
      </c>
      <c r="AT105" s="11" t="n">
        <v>0</v>
      </c>
      <c r="AU105" s="11"/>
      <c r="AV105" s="11"/>
      <c r="AW105" s="11"/>
      <c r="AX105" s="7" t="s">
        <v>84</v>
      </c>
      <c r="AY105" s="7"/>
      <c r="AZ105" s="7"/>
      <c r="BA105" s="7"/>
    </row>
    <row r="106" ht="114" customHeight="1">
      <c r="A106" s="4" t="s">
        <v>843</v>
      </c>
      <c r="B106" s="4" t="n">
        <v>2022</v>
      </c>
      <c r="C106" s="4" t="n">
        <v>4372</v>
      </c>
      <c r="D106" s="4" t="s">
        <v>54</v>
      </c>
      <c r="E106" s="4" t="s">
        <v>590</v>
      </c>
      <c r="F106" s="5" t="s">
        <v>844</v>
      </c>
      <c r="G106" s="4" t="s">
        <v>57</v>
      </c>
      <c r="H106" s="4" t="s">
        <v>592</v>
      </c>
      <c r="I106" s="4" t="s">
        <v>281</v>
      </c>
      <c r="J106" s="4" t="s">
        <v>845</v>
      </c>
      <c r="K106" s="4" t="s">
        <v>549</v>
      </c>
      <c r="L106" s="5" t="s">
        <v>62</v>
      </c>
      <c r="M106" s="4" t="s">
        <v>63</v>
      </c>
      <c r="N106" s="5" t="s">
        <v>64</v>
      </c>
      <c r="O106" s="4" t="s">
        <v>65</v>
      </c>
      <c r="P106" s="5" t="s">
        <v>193</v>
      </c>
      <c r="Q106" s="4" t="s">
        <v>194</v>
      </c>
      <c r="R106" s="5" t="s">
        <v>195</v>
      </c>
      <c r="S106" s="4" t="s">
        <v>196</v>
      </c>
      <c r="T106" s="5" t="s">
        <v>429</v>
      </c>
      <c r="U106" s="4" t="s">
        <v>430</v>
      </c>
      <c r="V106" s="5" t="s">
        <v>104</v>
      </c>
      <c r="W106" s="4" t="s">
        <v>105</v>
      </c>
      <c r="X106" s="4" t="s">
        <v>106</v>
      </c>
      <c r="Y106" s="5"/>
      <c r="Z106" s="4" t="s">
        <v>75</v>
      </c>
      <c r="AA106" s="6" t="n">
        <v>150000</v>
      </c>
      <c r="AB106" s="6" t="n">
        <v>150000</v>
      </c>
      <c r="AC106" s="6" t="n">
        <v>150000</v>
      </c>
      <c r="AD106" s="6" t="n">
        <v>150000</v>
      </c>
      <c r="AE106" s="4" t="s">
        <v>743</v>
      </c>
      <c r="AF106" s="5" t="s">
        <v>846</v>
      </c>
      <c r="AG106" s="4" t="s">
        <v>528</v>
      </c>
      <c r="AH106" s="4" t="s">
        <v>847</v>
      </c>
      <c r="AI106" s="5" t="s">
        <v>846</v>
      </c>
      <c r="AJ106" s="1" t="n">
        <v>1</v>
      </c>
      <c r="AK106" s="11" t="n">
        <v>1</v>
      </c>
      <c r="AL106" s="12" t="s">
        <v>452</v>
      </c>
      <c r="AM106" s="13" t="str">
        <f>IF(AL106="","",AL106&amp;" - "&amp;IFERROR(VLOOKUP(AL106,CODEBOOK_CAP!$C$2:$D$212,2,FALSE),""))</f>
        <v>0332 - SAÚDE INFANTIL, GRAVIDEZ E PRÉ-NATAL</v>
      </c>
      <c r="AN106" s="13" t="str">
        <f>IF(AL106="","",IFERROR(VLOOKUP(AL106,CODEBOOK_CAP!$C$2:$E$212,3,FALSE),""))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106" s="11" t="n">
        <v>1</v>
      </c>
      <c r="AP106" s="11" t="s">
        <v>848</v>
      </c>
      <c r="AQ106" s="11" t="n">
        <v>1</v>
      </c>
      <c r="AR106" s="11" t="n">
        <v>1</v>
      </c>
      <c r="AS106" s="11" t="s">
        <v>849</v>
      </c>
      <c r="AT106" s="11" t="n">
        <v>1</v>
      </c>
      <c r="AU106" s="11" t="s">
        <v>454</v>
      </c>
      <c r="AV106" s="11"/>
      <c r="AW106" s="11"/>
      <c r="AX106" s="7" t="s">
        <v>84</v>
      </c>
      <c r="AY106" s="7"/>
      <c r="AZ106" s="7"/>
      <c r="BA106" s="7"/>
    </row>
    <row r="107" ht="128.25" customHeight="1">
      <c r="A107" s="4" t="s">
        <v>850</v>
      </c>
      <c r="B107" s="4" t="n">
        <v>2022</v>
      </c>
      <c r="C107" s="4" t="n">
        <v>4373</v>
      </c>
      <c r="D107" s="4" t="s">
        <v>54</v>
      </c>
      <c r="E107" s="4" t="s">
        <v>590</v>
      </c>
      <c r="F107" s="5" t="s">
        <v>851</v>
      </c>
      <c r="G107" s="4" t="s">
        <v>289</v>
      </c>
      <c r="H107" s="4" t="s">
        <v>592</v>
      </c>
      <c r="I107" s="4" t="s">
        <v>281</v>
      </c>
      <c r="J107" s="4" t="s">
        <v>852</v>
      </c>
      <c r="K107" s="4" t="s">
        <v>585</v>
      </c>
      <c r="L107" s="5" t="s">
        <v>62</v>
      </c>
      <c r="M107" s="4" t="s">
        <v>63</v>
      </c>
      <c r="N107" s="5" t="s">
        <v>64</v>
      </c>
      <c r="O107" s="4" t="s">
        <v>65</v>
      </c>
      <c r="P107" s="5" t="s">
        <v>344</v>
      </c>
      <c r="Q107" s="4" t="s">
        <v>345</v>
      </c>
      <c r="R107" s="5" t="s">
        <v>346</v>
      </c>
      <c r="S107" s="4" t="s">
        <v>347</v>
      </c>
      <c r="T107" s="5" t="s">
        <v>555</v>
      </c>
      <c r="U107" s="4" t="s">
        <v>347</v>
      </c>
      <c r="V107" s="5" t="s">
        <v>310</v>
      </c>
      <c r="W107" s="4" t="s">
        <v>73</v>
      </c>
      <c r="X107" s="4" t="s">
        <v>74</v>
      </c>
      <c r="Y107" s="5"/>
      <c r="Z107" s="4" t="s">
        <v>289</v>
      </c>
      <c r="AA107" s="6" t="n">
        <v>40000</v>
      </c>
      <c r="AB107" s="6" t="n">
        <v>39642</v>
      </c>
      <c r="AC107" s="6" t="n">
        <v>39465</v>
      </c>
      <c r="AD107" s="6" t="n">
        <v>39465</v>
      </c>
      <c r="AE107" s="4" t="s">
        <v>853</v>
      </c>
      <c r="AF107" s="5" t="s">
        <v>854</v>
      </c>
      <c r="AG107" s="4" t="s">
        <v>115</v>
      </c>
      <c r="AH107" s="4" t="s">
        <v>115</v>
      </c>
      <c r="AI107" s="5" t="s">
        <v>115</v>
      </c>
      <c r="AJ107" s="1" t="n">
        <v>1</v>
      </c>
      <c r="AK107" s="11" t="n">
        <v>1</v>
      </c>
      <c r="AL107" s="12" t="s">
        <v>81</v>
      </c>
      <c r="AM107" s="13" t="str">
        <f>IF(AL107="","",AL107&amp;" - "&amp;IFERROR(VLOOKUP(AL107,CODEBOOK_CAP!$C$2:$D$212,2,FALSE),""))</f>
        <v>0322 - ESTRUTURAS, HOSPITAIS, CLÍNICAS</v>
      </c>
      <c r="AN107" s="13" t="str">
        <f>IF(AL107="","",IFERROR(VLOOKUP(AL107,CODEBOOK_CAP!$C$2:$E$212,3,FALSE),""))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107" s="11" t="n">
        <v>1</v>
      </c>
      <c r="AP107" s="11" t="s">
        <v>855</v>
      </c>
      <c r="AQ107" s="11" t="n">
        <v>1</v>
      </c>
      <c r="AR107" s="11" t="n">
        <v>1</v>
      </c>
      <c r="AS107" s="11" t="s">
        <v>856</v>
      </c>
      <c r="AT107" s="11" t="n">
        <v>0</v>
      </c>
      <c r="AU107" s="11"/>
      <c r="AV107" s="11"/>
      <c r="AW107" s="11"/>
      <c r="AX107" s="7" t="s">
        <v>84</v>
      </c>
      <c r="AY107" s="7"/>
      <c r="AZ107" s="7"/>
      <c r="BA107" s="7"/>
    </row>
    <row r="108" ht="142.5" customHeight="1">
      <c r="A108" s="4" t="s">
        <v>857</v>
      </c>
      <c r="B108" s="4" t="n">
        <v>2022</v>
      </c>
      <c r="C108" s="4" t="n">
        <v>4387</v>
      </c>
      <c r="D108" s="4" t="s">
        <v>54</v>
      </c>
      <c r="E108" s="4" t="s">
        <v>590</v>
      </c>
      <c r="F108" s="5" t="s">
        <v>858</v>
      </c>
      <c r="G108" s="4" t="s">
        <v>57</v>
      </c>
      <c r="H108" s="4" t="s">
        <v>592</v>
      </c>
      <c r="I108" s="4" t="s">
        <v>281</v>
      </c>
      <c r="J108" s="4" t="s">
        <v>859</v>
      </c>
      <c r="K108" s="4" t="s">
        <v>860</v>
      </c>
      <c r="L108" s="5" t="s">
        <v>861</v>
      </c>
      <c r="M108" s="4" t="s">
        <v>862</v>
      </c>
      <c r="N108" s="5" t="s">
        <v>304</v>
      </c>
      <c r="O108" s="4" t="s">
        <v>305</v>
      </c>
      <c r="P108" s="5" t="s">
        <v>863</v>
      </c>
      <c r="Q108" s="4" t="s">
        <v>864</v>
      </c>
      <c r="R108" s="5" t="s">
        <v>865</v>
      </c>
      <c r="S108" s="4" t="s">
        <v>866</v>
      </c>
      <c r="T108" s="5" t="s">
        <v>867</v>
      </c>
      <c r="U108" s="4" t="s">
        <v>868</v>
      </c>
      <c r="V108" s="5" t="s">
        <v>706</v>
      </c>
      <c r="W108" s="4" t="s">
        <v>105</v>
      </c>
      <c r="X108" s="4" t="s">
        <v>106</v>
      </c>
      <c r="Y108" s="5"/>
      <c r="Z108" s="4" t="s">
        <v>311</v>
      </c>
      <c r="AA108" s="6" t="n">
        <v>39220</v>
      </c>
      <c r="AB108" s="6" t="n">
        <v>39081</v>
      </c>
      <c r="AC108" s="6" t="n">
        <v>39081</v>
      </c>
      <c r="AD108" s="6" t="n">
        <v>39081</v>
      </c>
      <c r="AE108" s="4" t="s">
        <v>869</v>
      </c>
      <c r="AF108" s="5" t="s">
        <v>870</v>
      </c>
      <c r="AG108" s="4" t="s">
        <v>78</v>
      </c>
      <c r="AH108" s="4" t="s">
        <v>79</v>
      </c>
      <c r="AI108" s="5" t="s">
        <v>80</v>
      </c>
      <c r="AJ108" s="1" t="n">
        <v>0</v>
      </c>
      <c r="AK108" s="11" t="n">
        <v>0</v>
      </c>
      <c r="AL108" s="12" t="s">
        <v>871</v>
      </c>
      <c r="AM108" s="13" t="str">
        <f>IF(AL108="","",AL108&amp;" - "&amp;IFERROR(VLOOKUP(AL108,CODEBOOK_CAP!$C$2:$D$212,2,FALSE),""))</f>
        <v>0711 - CONSERVAÇÃO DO SOLO, MAR, RIOS, PRAIAS E COSTAS</v>
      </c>
      <c r="AN108" s="13" t="str">
        <f>IF(AL108="","",IFERROR(VLOOKUP(AL108,CODEBOOK_CAP!$C$2:$E$212,3,FALSE),""))</f>
        <v>Poluição de oceanos, regulamentação de acesso e conservação da costa, ilhas, praias, mangues, e assuntos relacionados ao mar, oceanos e litoral. Erosão de terrenos, morros, promoção da qualidade do solo, conservação de rios, lagos e afluentes, questões vinculadas a enchentes, poluição urbana, margens, encostas de rios, chuvas, temporais, tempestades, terrenos contaminados, rios contamidados e poluidos, fertilizantes. Quando assunto for uso dos recursos naturais usar codigo 21. 2104 para recursos hídricos, 2103 para recursos naturais como minerais. Quando o assunto for tratamento de água potável, distribuição de água potável para residencias, 701.</v>
      </c>
      <c r="AO108" s="11" t="n">
        <v>0</v>
      </c>
      <c r="AP108" s="11"/>
      <c r="AQ108" s="11" t="n">
        <v>0</v>
      </c>
      <c r="AR108" s="11" t="n">
        <v>0</v>
      </c>
      <c r="AS108" s="11"/>
      <c r="AT108" s="11" t="n">
        <v>0</v>
      </c>
      <c r="AU108" s="11"/>
      <c r="AV108" s="11"/>
      <c r="AW108" s="11"/>
      <c r="AX108" s="7" t="s">
        <v>84</v>
      </c>
      <c r="AY108" s="7"/>
      <c r="AZ108" s="7"/>
      <c r="BA108" s="7"/>
    </row>
    <row r="109" ht="85.5" customHeight="1">
      <c r="A109" s="4" t="s">
        <v>872</v>
      </c>
      <c r="B109" s="4" t="n">
        <v>2022</v>
      </c>
      <c r="C109" s="4" t="n">
        <v>4340</v>
      </c>
      <c r="D109" s="4" t="s">
        <v>54</v>
      </c>
      <c r="E109" s="4" t="s">
        <v>873</v>
      </c>
      <c r="F109" s="5" t="s">
        <v>874</v>
      </c>
      <c r="G109" s="4" t="s">
        <v>57</v>
      </c>
      <c r="H109" s="4" t="s">
        <v>875</v>
      </c>
      <c r="I109" s="4" t="s">
        <v>876</v>
      </c>
      <c r="J109" s="4" t="s">
        <v>877</v>
      </c>
      <c r="K109" s="4" t="s">
        <v>878</v>
      </c>
      <c r="L109" s="5" t="s">
        <v>595</v>
      </c>
      <c r="M109" s="4" t="s">
        <v>596</v>
      </c>
      <c r="N109" s="5" t="s">
        <v>597</v>
      </c>
      <c r="O109" s="4" t="s">
        <v>598</v>
      </c>
      <c r="P109" s="5" t="s">
        <v>599</v>
      </c>
      <c r="Q109" s="4" t="s">
        <v>600</v>
      </c>
      <c r="R109" s="5" t="s">
        <v>601</v>
      </c>
      <c r="S109" s="4" t="s">
        <v>602</v>
      </c>
      <c r="T109" s="5" t="s">
        <v>603</v>
      </c>
      <c r="U109" s="4" t="s">
        <v>604</v>
      </c>
      <c r="V109" s="5" t="s">
        <v>605</v>
      </c>
      <c r="W109" s="4" t="s">
        <v>73</v>
      </c>
      <c r="X109" s="4" t="s">
        <v>74</v>
      </c>
      <c r="Y109" s="5"/>
      <c r="Z109" s="4" t="s">
        <v>606</v>
      </c>
      <c r="AA109" s="6" t="n">
        <v>200000</v>
      </c>
      <c r="AB109" s="6" t="n">
        <v>200000</v>
      </c>
      <c r="AC109" s="6" t="n">
        <v>200000</v>
      </c>
      <c r="AD109" s="6" t="n">
        <v>200000</v>
      </c>
      <c r="AE109" s="4" t="s">
        <v>879</v>
      </c>
      <c r="AF109" s="5" t="s">
        <v>880</v>
      </c>
      <c r="AG109" s="4" t="s">
        <v>78</v>
      </c>
      <c r="AH109" s="4" t="s">
        <v>79</v>
      </c>
      <c r="AI109" s="5" t="s">
        <v>80</v>
      </c>
      <c r="AJ109" s="1" t="n">
        <v>0</v>
      </c>
      <c r="AK109" s="11" t="n">
        <v>0</v>
      </c>
      <c r="AL109" s="12" t="s">
        <v>609</v>
      </c>
      <c r="AM109" s="13" t="str">
        <f>IF(AL109="","",AL109&amp;" - "&amp;IFERROR(VLOOKUP(AL109,CODEBOOK_CAP!$C$2:$D$212,2,FALSE),""))</f>
        <v>0607 - PROMOCAO DA QUALIDADE, ESTRUTURA E AÇÕES</v>
      </c>
      <c r="AN109" s="13" t="str">
        <f>IF(AL109="","",IFERROR(VLOOKUP(AL109,CODEBOOK_CAP!$C$2:$E$212,3,FALSE),""))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109" s="11" t="n">
        <v>1</v>
      </c>
      <c r="AP109" s="11" t="s">
        <v>881</v>
      </c>
      <c r="AQ109" s="11" t="n">
        <v>1</v>
      </c>
      <c r="AR109" s="11" t="n">
        <v>1</v>
      </c>
      <c r="AS109" s="11" t="s">
        <v>882</v>
      </c>
      <c r="AT109" s="11" t="n">
        <v>1</v>
      </c>
      <c r="AU109" s="11" t="s">
        <v>286</v>
      </c>
      <c r="AV109" s="11"/>
      <c r="AW109" s="11"/>
      <c r="AX109" s="7" t="s">
        <v>84</v>
      </c>
      <c r="AY109" s="7"/>
      <c r="AZ109" s="7"/>
      <c r="BA109" s="7"/>
    </row>
    <row r="110" ht="85.5" customHeight="1">
      <c r="A110" s="4" t="s">
        <v>883</v>
      </c>
      <c r="B110" s="4" t="n">
        <v>2022</v>
      </c>
      <c r="C110" s="4" t="n">
        <v>4371</v>
      </c>
      <c r="D110" s="4" t="s">
        <v>54</v>
      </c>
      <c r="E110" s="4" t="s">
        <v>873</v>
      </c>
      <c r="F110" s="5" t="s">
        <v>884</v>
      </c>
      <c r="G110" s="4" t="s">
        <v>57</v>
      </c>
      <c r="H110" s="4" t="s">
        <v>875</v>
      </c>
      <c r="I110" s="4" t="s">
        <v>876</v>
      </c>
      <c r="J110" s="4" t="s">
        <v>885</v>
      </c>
      <c r="K110" s="4" t="s">
        <v>886</v>
      </c>
      <c r="L110" s="5" t="s">
        <v>595</v>
      </c>
      <c r="M110" s="4" t="s">
        <v>596</v>
      </c>
      <c r="N110" s="5" t="s">
        <v>597</v>
      </c>
      <c r="O110" s="4" t="s">
        <v>598</v>
      </c>
      <c r="P110" s="5" t="s">
        <v>669</v>
      </c>
      <c r="Q110" s="4" t="s">
        <v>670</v>
      </c>
      <c r="R110" s="5" t="s">
        <v>671</v>
      </c>
      <c r="S110" s="4" t="s">
        <v>672</v>
      </c>
      <c r="T110" s="5" t="s">
        <v>603</v>
      </c>
      <c r="U110" s="4" t="s">
        <v>604</v>
      </c>
      <c r="V110" s="5" t="s">
        <v>605</v>
      </c>
      <c r="W110" s="4" t="s">
        <v>73</v>
      </c>
      <c r="X110" s="4" t="s">
        <v>74</v>
      </c>
      <c r="Y110" s="5"/>
      <c r="Z110" s="4" t="s">
        <v>606</v>
      </c>
      <c r="AA110" s="6" t="n">
        <v>80000</v>
      </c>
      <c r="AB110" s="6" t="n">
        <v>80000</v>
      </c>
      <c r="AC110" s="6" t="n">
        <v>80000</v>
      </c>
      <c r="AD110" s="6" t="n">
        <v>80000</v>
      </c>
      <c r="AE110" s="4" t="s">
        <v>887</v>
      </c>
      <c r="AF110" s="5" t="s">
        <v>888</v>
      </c>
      <c r="AG110" s="4" t="s">
        <v>78</v>
      </c>
      <c r="AH110" s="4" t="s">
        <v>79</v>
      </c>
      <c r="AI110" s="5" t="s">
        <v>80</v>
      </c>
      <c r="AJ110" s="1" t="n">
        <v>0</v>
      </c>
      <c r="AK110" s="11" t="n">
        <v>0</v>
      </c>
      <c r="AL110" s="12" t="s">
        <v>609</v>
      </c>
      <c r="AM110" s="13" t="str">
        <f>IF(AL110="","",AL110&amp;" - "&amp;IFERROR(VLOOKUP(AL110,CODEBOOK_CAP!$C$2:$D$212,2,FALSE),""))</f>
        <v>0607 - PROMOCAO DA QUALIDADE, ESTRUTURA E AÇÕES</v>
      </c>
      <c r="AN110" s="13" t="str">
        <f>IF(AL110="","",IFERROR(VLOOKUP(AL110,CODEBOOK_CAP!$C$2:$E$212,3,FALSE),""))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110" s="11" t="n">
        <v>1</v>
      </c>
      <c r="AP110" s="11" t="s">
        <v>889</v>
      </c>
      <c r="AQ110" s="11" t="n">
        <v>1</v>
      </c>
      <c r="AR110" s="11" t="n">
        <v>1</v>
      </c>
      <c r="AS110" s="11" t="s">
        <v>890</v>
      </c>
      <c r="AT110" s="11" t="n">
        <v>1</v>
      </c>
      <c r="AU110" s="11" t="s">
        <v>503</v>
      </c>
      <c r="AV110" s="11"/>
      <c r="AW110" s="11"/>
      <c r="AX110" s="7" t="s">
        <v>84</v>
      </c>
      <c r="AY110" s="7"/>
      <c r="AZ110" s="7"/>
      <c r="BA110" s="7"/>
    </row>
    <row r="111" ht="71.25" customHeight="1">
      <c r="A111" s="4" t="s">
        <v>891</v>
      </c>
      <c r="B111" s="4" t="n">
        <v>2022</v>
      </c>
      <c r="C111" s="4" t="n">
        <v>4386</v>
      </c>
      <c r="D111" s="4" t="s">
        <v>54</v>
      </c>
      <c r="E111" s="4" t="s">
        <v>873</v>
      </c>
      <c r="F111" s="5" t="s">
        <v>892</v>
      </c>
      <c r="G111" s="4" t="s">
        <v>57</v>
      </c>
      <c r="H111" s="4" t="s">
        <v>875</v>
      </c>
      <c r="I111" s="4" t="s">
        <v>876</v>
      </c>
      <c r="J111" s="4" t="s">
        <v>893</v>
      </c>
      <c r="K111" s="4" t="s">
        <v>415</v>
      </c>
      <c r="L111" s="5" t="s">
        <v>122</v>
      </c>
      <c r="M111" s="4" t="s">
        <v>123</v>
      </c>
      <c r="N111" s="5" t="s">
        <v>227</v>
      </c>
      <c r="O111" s="4" t="s">
        <v>228</v>
      </c>
      <c r="P111" s="5" t="s">
        <v>229</v>
      </c>
      <c r="Q111" s="4" t="s">
        <v>230</v>
      </c>
      <c r="R111" s="5" t="s">
        <v>322</v>
      </c>
      <c r="S111" s="4" t="s">
        <v>323</v>
      </c>
      <c r="T111" s="5" t="s">
        <v>416</v>
      </c>
      <c r="U111" s="4" t="s">
        <v>417</v>
      </c>
      <c r="V111" s="5" t="s">
        <v>72</v>
      </c>
      <c r="W111" s="4" t="s">
        <v>73</v>
      </c>
      <c r="X111" s="4" t="s">
        <v>74</v>
      </c>
      <c r="Y111" s="5"/>
      <c r="Z111" s="4" t="s">
        <v>132</v>
      </c>
      <c r="AA111" s="6" t="n">
        <v>100000</v>
      </c>
      <c r="AB111" s="6" t="n">
        <v>100000</v>
      </c>
      <c r="AC111" s="6" t="n">
        <v>100000</v>
      </c>
      <c r="AD111" s="6" t="n">
        <v>100000</v>
      </c>
      <c r="AE111" s="4" t="s">
        <v>894</v>
      </c>
      <c r="AF111" s="5" t="s">
        <v>396</v>
      </c>
      <c r="AG111" s="4" t="s">
        <v>78</v>
      </c>
      <c r="AH111" s="4" t="s">
        <v>79</v>
      </c>
      <c r="AI111" s="5" t="s">
        <v>80</v>
      </c>
      <c r="AJ111" s="1" t="n">
        <v>0</v>
      </c>
      <c r="AK111" s="11" t="n">
        <v>0</v>
      </c>
      <c r="AL111" s="12" t="s">
        <v>188</v>
      </c>
      <c r="AM111" s="13" t="str">
        <f>IF(AL111="","",AL111&amp;" - "&amp;IFERROR(VLOOKUP(AL111,CODEBOOK_CAP!$C$2:$D$212,2,FALSE),""))</f>
        <v>2300 - GERAL</v>
      </c>
      <c r="AN111" s="13" t="str">
        <f>IF(AL111="","",IFERROR(VLOOKUP(AL111,CODEBOOK_CAP!$C$2:$E$212,3,FALSE),""))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11" s="11" t="n">
        <v>1</v>
      </c>
      <c r="AP111" s="11" t="s">
        <v>895</v>
      </c>
      <c r="AQ111" s="11" t="n">
        <v>1</v>
      </c>
      <c r="AR111" s="11" t="n">
        <v>1</v>
      </c>
      <c r="AS111" s="11" t="s">
        <v>895</v>
      </c>
      <c r="AT111" s="11" t="n">
        <v>0</v>
      </c>
      <c r="AU111" s="11"/>
      <c r="AV111" s="11"/>
      <c r="AW111" s="11"/>
      <c r="AX111" s="7" t="s">
        <v>84</v>
      </c>
      <c r="AY111" s="7"/>
      <c r="AZ111" s="7"/>
      <c r="BA111" s="7"/>
      <c r="BB111" s="3" t="s">
        <v>6564</v>
      </c>
    </row>
    <row r="112" ht="71.25" customHeight="1">
      <c r="A112" s="4" t="s">
        <v>896</v>
      </c>
      <c r="B112" s="4" t="n">
        <v>2022</v>
      </c>
      <c r="C112" s="4" t="n">
        <v>4421</v>
      </c>
      <c r="D112" s="4" t="s">
        <v>54</v>
      </c>
      <c r="E112" s="4" t="s">
        <v>873</v>
      </c>
      <c r="F112" s="5" t="s">
        <v>897</v>
      </c>
      <c r="G112" s="4" t="s">
        <v>57</v>
      </c>
      <c r="H112" s="4" t="s">
        <v>875</v>
      </c>
      <c r="I112" s="4" t="s">
        <v>876</v>
      </c>
      <c r="J112" s="4" t="s">
        <v>898</v>
      </c>
      <c r="K112" s="4" t="s">
        <v>415</v>
      </c>
      <c r="L112" s="5" t="s">
        <v>122</v>
      </c>
      <c r="M112" s="4" t="s">
        <v>123</v>
      </c>
      <c r="N112" s="5" t="s">
        <v>227</v>
      </c>
      <c r="O112" s="4" t="s">
        <v>228</v>
      </c>
      <c r="P112" s="5" t="s">
        <v>229</v>
      </c>
      <c r="Q112" s="4" t="s">
        <v>230</v>
      </c>
      <c r="R112" s="5" t="s">
        <v>322</v>
      </c>
      <c r="S112" s="4" t="s">
        <v>323</v>
      </c>
      <c r="T112" s="5" t="s">
        <v>416</v>
      </c>
      <c r="U112" s="4" t="s">
        <v>417</v>
      </c>
      <c r="V112" s="5" t="s">
        <v>72</v>
      </c>
      <c r="W112" s="4" t="s">
        <v>73</v>
      </c>
      <c r="X112" s="4" t="s">
        <v>74</v>
      </c>
      <c r="Y112" s="5"/>
      <c r="Z112" s="4" t="s">
        <v>132</v>
      </c>
      <c r="AA112" s="6" t="n">
        <v>100000</v>
      </c>
      <c r="AB112" s="6" t="n">
        <v>63098</v>
      </c>
      <c r="AC112" s="6" t="n">
        <v>63098</v>
      </c>
      <c r="AD112" s="6" t="n">
        <v>63098</v>
      </c>
      <c r="AE112" s="4" t="s">
        <v>358</v>
      </c>
      <c r="AF112" s="5"/>
      <c r="AG112" s="4" t="s">
        <v>78</v>
      </c>
      <c r="AH112" s="4" t="s">
        <v>79</v>
      </c>
      <c r="AI112" s="5" t="s">
        <v>80</v>
      </c>
      <c r="AJ112" s="1" t="n">
        <v>0</v>
      </c>
      <c r="AK112" s="11" t="n">
        <v>0</v>
      </c>
      <c r="AL112" s="12" t="s">
        <v>188</v>
      </c>
      <c r="AM112" s="13" t="str">
        <f>IF(AL112="","",AL112&amp;" - "&amp;IFERROR(VLOOKUP(AL112,CODEBOOK_CAP!$C$2:$D$212,2,FALSE),""))</f>
        <v>2300 - GERAL</v>
      </c>
      <c r="AN112" s="13" t="str">
        <f>IF(AL112="","",IFERROR(VLOOKUP(AL112,CODEBOOK_CAP!$C$2:$E$212,3,FALSE),""))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12" s="11" t="n">
        <v>1</v>
      </c>
      <c r="AP112" s="11" t="s">
        <v>899</v>
      </c>
      <c r="AQ112" s="11" t="n">
        <v>1</v>
      </c>
      <c r="AR112" s="11" t="n">
        <v>1</v>
      </c>
      <c r="AS112" s="11" t="s">
        <v>900</v>
      </c>
      <c r="AT112" s="11" t="n">
        <v>0</v>
      </c>
      <c r="AU112" s="11"/>
      <c r="AV112" s="11"/>
      <c r="AW112" s="11"/>
      <c r="AX112" s="7" t="s">
        <v>84</v>
      </c>
      <c r="AY112" s="7"/>
      <c r="AZ112" s="7"/>
      <c r="BA112" s="7"/>
      <c r="BB112" s="3" t="s">
        <v>6564</v>
      </c>
    </row>
    <row r="113" ht="71.25" customHeight="1">
      <c r="A113" s="4" t="s">
        <v>901</v>
      </c>
      <c r="B113" s="4" t="n">
        <v>2022</v>
      </c>
      <c r="C113" s="4" t="n">
        <v>4435</v>
      </c>
      <c r="D113" s="4" t="s">
        <v>54</v>
      </c>
      <c r="E113" s="4" t="s">
        <v>873</v>
      </c>
      <c r="F113" s="5" t="s">
        <v>902</v>
      </c>
      <c r="G113" s="4" t="s">
        <v>57</v>
      </c>
      <c r="H113" s="4" t="s">
        <v>875</v>
      </c>
      <c r="I113" s="4" t="s">
        <v>876</v>
      </c>
      <c r="J113" s="4" t="s">
        <v>903</v>
      </c>
      <c r="K113" s="4" t="s">
        <v>415</v>
      </c>
      <c r="L113" s="5" t="s">
        <v>122</v>
      </c>
      <c r="M113" s="4" t="s">
        <v>123</v>
      </c>
      <c r="N113" s="5" t="s">
        <v>227</v>
      </c>
      <c r="O113" s="4" t="s">
        <v>228</v>
      </c>
      <c r="P113" s="5" t="s">
        <v>229</v>
      </c>
      <c r="Q113" s="4" t="s">
        <v>230</v>
      </c>
      <c r="R113" s="5" t="s">
        <v>322</v>
      </c>
      <c r="S113" s="4" t="s">
        <v>323</v>
      </c>
      <c r="T113" s="5" t="s">
        <v>416</v>
      </c>
      <c r="U113" s="4" t="s">
        <v>417</v>
      </c>
      <c r="V113" s="5" t="s">
        <v>72</v>
      </c>
      <c r="W113" s="4" t="s">
        <v>73</v>
      </c>
      <c r="X113" s="4" t="s">
        <v>74</v>
      </c>
      <c r="Y113" s="5"/>
      <c r="Z113" s="4" t="s">
        <v>132</v>
      </c>
      <c r="AA113" s="6" t="n">
        <v>100000</v>
      </c>
      <c r="AB113" s="6" t="n">
        <v>44032</v>
      </c>
      <c r="AC113" s="6" t="n">
        <v>44032</v>
      </c>
      <c r="AD113" s="6" t="n">
        <v>44032</v>
      </c>
      <c r="AE113" s="4" t="s">
        <v>358</v>
      </c>
      <c r="AF113" s="5"/>
      <c r="AG113" s="4" t="s">
        <v>78</v>
      </c>
      <c r="AH113" s="4" t="s">
        <v>79</v>
      </c>
      <c r="AI113" s="5" t="s">
        <v>80</v>
      </c>
      <c r="AJ113" s="1" t="n">
        <v>0</v>
      </c>
      <c r="AK113" s="11" t="n">
        <v>0</v>
      </c>
      <c r="AL113" s="12" t="s">
        <v>188</v>
      </c>
      <c r="AM113" s="13" t="str">
        <f>IF(AL113="","",AL113&amp;" - "&amp;IFERROR(VLOOKUP(AL113,CODEBOOK_CAP!$C$2:$D$212,2,FALSE),""))</f>
        <v>2300 - GERAL</v>
      </c>
      <c r="AN113" s="13" t="str">
        <f>IF(AL113="","",IFERROR(VLOOKUP(AL113,CODEBOOK_CAP!$C$2:$E$212,3,FALSE),""))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13" s="11" t="n">
        <v>1</v>
      </c>
      <c r="AP113" s="11" t="s">
        <v>904</v>
      </c>
      <c r="AQ113" s="11" t="n">
        <v>1</v>
      </c>
      <c r="AR113" s="11" t="n">
        <v>1</v>
      </c>
      <c r="AS113" s="11" t="s">
        <v>905</v>
      </c>
      <c r="AT113" s="11" t="n">
        <v>0</v>
      </c>
      <c r="AU113" s="11"/>
      <c r="AV113" s="11"/>
      <c r="AW113" s="11"/>
      <c r="AX113" s="7" t="s">
        <v>84</v>
      </c>
      <c r="AY113" s="7"/>
      <c r="AZ113" s="7"/>
      <c r="BA113" s="7"/>
      <c r="BB113" s="3" t="s">
        <v>6564</v>
      </c>
    </row>
    <row r="114" ht="71.25" customHeight="1">
      <c r="A114" s="4" t="s">
        <v>906</v>
      </c>
      <c r="B114" s="4" t="n">
        <v>2022</v>
      </c>
      <c r="C114" s="4" t="n">
        <v>4436</v>
      </c>
      <c r="D114" s="4" t="s">
        <v>54</v>
      </c>
      <c r="E114" s="4" t="s">
        <v>873</v>
      </c>
      <c r="F114" s="5" t="s">
        <v>907</v>
      </c>
      <c r="G114" s="4" t="s">
        <v>57</v>
      </c>
      <c r="H114" s="4" t="s">
        <v>875</v>
      </c>
      <c r="I114" s="4" t="s">
        <v>876</v>
      </c>
      <c r="J114" s="4" t="s">
        <v>908</v>
      </c>
      <c r="K114" s="4" t="s">
        <v>415</v>
      </c>
      <c r="L114" s="5" t="s">
        <v>122</v>
      </c>
      <c r="M114" s="4" t="s">
        <v>123</v>
      </c>
      <c r="N114" s="5" t="s">
        <v>227</v>
      </c>
      <c r="O114" s="4" t="s">
        <v>228</v>
      </c>
      <c r="P114" s="5" t="s">
        <v>229</v>
      </c>
      <c r="Q114" s="4" t="s">
        <v>230</v>
      </c>
      <c r="R114" s="5" t="s">
        <v>322</v>
      </c>
      <c r="S114" s="4" t="s">
        <v>323</v>
      </c>
      <c r="T114" s="5" t="s">
        <v>416</v>
      </c>
      <c r="U114" s="4" t="s">
        <v>417</v>
      </c>
      <c r="V114" s="5" t="s">
        <v>72</v>
      </c>
      <c r="W114" s="4" t="s">
        <v>73</v>
      </c>
      <c r="X114" s="4" t="s">
        <v>74</v>
      </c>
      <c r="Y114" s="5"/>
      <c r="Z114" s="4" t="s">
        <v>132</v>
      </c>
      <c r="AA114" s="6" t="n">
        <v>100000</v>
      </c>
      <c r="AB114" s="6" t="n">
        <v>16102</v>
      </c>
      <c r="AC114" s="6" t="n">
        <v>16102</v>
      </c>
      <c r="AD114" s="6" t="n">
        <v>16102</v>
      </c>
      <c r="AE114" s="4" t="s">
        <v>358</v>
      </c>
      <c r="AF114" s="5"/>
      <c r="AG114" s="4" t="s">
        <v>78</v>
      </c>
      <c r="AH114" s="4" t="s">
        <v>79</v>
      </c>
      <c r="AI114" s="5" t="s">
        <v>80</v>
      </c>
      <c r="AJ114" s="1" t="n">
        <v>0</v>
      </c>
      <c r="AK114" s="11" t="n">
        <v>0</v>
      </c>
      <c r="AL114" s="12" t="s">
        <v>188</v>
      </c>
      <c r="AM114" s="13" t="str">
        <f>IF(AL114="","",AL114&amp;" - "&amp;IFERROR(VLOOKUP(AL114,CODEBOOK_CAP!$C$2:$D$212,2,FALSE),""))</f>
        <v>2300 - GERAL</v>
      </c>
      <c r="AN114" s="13" t="str">
        <f>IF(AL114="","",IFERROR(VLOOKUP(AL114,CODEBOOK_CAP!$C$2:$E$212,3,FALSE),""))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14" s="11" t="n">
        <v>1</v>
      </c>
      <c r="AP114" s="11" t="s">
        <v>909</v>
      </c>
      <c r="AQ114" s="11" t="n">
        <v>1</v>
      </c>
      <c r="AR114" s="11" t="n">
        <v>1</v>
      </c>
      <c r="AS114" s="11" t="s">
        <v>910</v>
      </c>
      <c r="AT114" s="11" t="n">
        <v>0</v>
      </c>
      <c r="AU114" s="11"/>
      <c r="AV114" s="11"/>
      <c r="AW114" s="11"/>
      <c r="AX114" s="7" t="s">
        <v>84</v>
      </c>
      <c r="AY114" s="7"/>
      <c r="AZ114" s="7"/>
      <c r="BA114" s="7"/>
      <c r="BB114" s="3" t="s">
        <v>6564</v>
      </c>
    </row>
    <row r="115" ht="85.5" customHeight="1">
      <c r="A115" s="4" t="s">
        <v>911</v>
      </c>
      <c r="B115" s="4" t="n">
        <v>2022</v>
      </c>
      <c r="C115" s="4" t="n">
        <v>4448</v>
      </c>
      <c r="D115" s="4" t="s">
        <v>54</v>
      </c>
      <c r="E115" s="4" t="s">
        <v>873</v>
      </c>
      <c r="F115" s="5" t="s">
        <v>912</v>
      </c>
      <c r="G115" s="4" t="s">
        <v>57</v>
      </c>
      <c r="H115" s="4" t="s">
        <v>875</v>
      </c>
      <c r="I115" s="4" t="s">
        <v>876</v>
      </c>
      <c r="J115" s="4" t="s">
        <v>913</v>
      </c>
      <c r="K115" s="4" t="s">
        <v>357</v>
      </c>
      <c r="L115" s="5" t="s">
        <v>62</v>
      </c>
      <c r="M115" s="4" t="s">
        <v>63</v>
      </c>
      <c r="N115" s="5" t="s">
        <v>64</v>
      </c>
      <c r="O115" s="4" t="s">
        <v>65</v>
      </c>
      <c r="P115" s="5" t="s">
        <v>66</v>
      </c>
      <c r="Q115" s="4" t="s">
        <v>67</v>
      </c>
      <c r="R115" s="5" t="s">
        <v>68</v>
      </c>
      <c r="S115" s="4" t="s">
        <v>69</v>
      </c>
      <c r="T115" s="5" t="s">
        <v>70</v>
      </c>
      <c r="U115" s="4" t="s">
        <v>71</v>
      </c>
      <c r="V115" s="5" t="s">
        <v>72</v>
      </c>
      <c r="W115" s="4" t="s">
        <v>73</v>
      </c>
      <c r="X115" s="4" t="s">
        <v>74</v>
      </c>
      <c r="Y115" s="5"/>
      <c r="Z115" s="4" t="s">
        <v>75</v>
      </c>
      <c r="AA115" s="6" t="n">
        <v>150000</v>
      </c>
      <c r="AB115" s="6" t="n">
        <v>138232</v>
      </c>
      <c r="AC115" s="6" t="n">
        <v>138232</v>
      </c>
      <c r="AD115" s="6" t="n">
        <v>138232</v>
      </c>
      <c r="AE115" s="4" t="s">
        <v>914</v>
      </c>
      <c r="AF115" s="5"/>
      <c r="AG115" s="4" t="s">
        <v>78</v>
      </c>
      <c r="AH115" s="4" t="s">
        <v>79</v>
      </c>
      <c r="AI115" s="5" t="s">
        <v>80</v>
      </c>
      <c r="AJ115" s="1" t="n">
        <v>1</v>
      </c>
      <c r="AK115" s="11" t="n">
        <v>1</v>
      </c>
      <c r="AL115" s="12" t="s">
        <v>81</v>
      </c>
      <c r="AM115" s="13" t="str">
        <f>IF(AL115="","",AL115&amp;" - "&amp;IFERROR(VLOOKUP(AL115,CODEBOOK_CAP!$C$2:$D$212,2,FALSE),""))</f>
        <v>0322 - ESTRUTURAS, HOSPITAIS, CLÍNICAS</v>
      </c>
      <c r="AN115" s="13" t="str">
        <f>IF(AL115="","",IFERROR(VLOOKUP(AL115,CODEBOOK_CAP!$C$2:$E$212,3,FALSE),""))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115" s="11" t="n">
        <v>0</v>
      </c>
      <c r="AP115" s="11"/>
      <c r="AQ115" s="11" t="n">
        <v>1</v>
      </c>
      <c r="AR115" s="11" t="n">
        <v>1</v>
      </c>
      <c r="AS115" s="11" t="s">
        <v>915</v>
      </c>
      <c r="AT115" s="11" t="n">
        <v>0</v>
      </c>
      <c r="AU115" s="11"/>
      <c r="AV115" s="11"/>
      <c r="AW115" s="11"/>
      <c r="AX115" s="7" t="s">
        <v>84</v>
      </c>
      <c r="AY115" s="7"/>
      <c r="AZ115" s="7"/>
      <c r="BA115" s="7"/>
    </row>
    <row r="116" ht="85.5" customHeight="1">
      <c r="A116" s="4" t="s">
        <v>916</v>
      </c>
      <c r="B116" s="4" t="n">
        <v>2022</v>
      </c>
      <c r="C116" s="4" t="n">
        <v>4454</v>
      </c>
      <c r="D116" s="4" t="s">
        <v>54</v>
      </c>
      <c r="E116" s="4" t="s">
        <v>873</v>
      </c>
      <c r="F116" s="5" t="s">
        <v>917</v>
      </c>
      <c r="G116" s="4" t="s">
        <v>289</v>
      </c>
      <c r="H116" s="4" t="s">
        <v>875</v>
      </c>
      <c r="I116" s="4" t="s">
        <v>876</v>
      </c>
      <c r="J116" s="4" t="s">
        <v>918</v>
      </c>
      <c r="K116" s="4" t="s">
        <v>549</v>
      </c>
      <c r="L116" s="5" t="s">
        <v>62</v>
      </c>
      <c r="M116" s="4" t="s">
        <v>63</v>
      </c>
      <c r="N116" s="5" t="s">
        <v>64</v>
      </c>
      <c r="O116" s="4" t="s">
        <v>65</v>
      </c>
      <c r="P116" s="5" t="s">
        <v>193</v>
      </c>
      <c r="Q116" s="4" t="s">
        <v>194</v>
      </c>
      <c r="R116" s="5" t="s">
        <v>195</v>
      </c>
      <c r="S116" s="4" t="s">
        <v>196</v>
      </c>
      <c r="T116" s="5" t="s">
        <v>429</v>
      </c>
      <c r="U116" s="4" t="s">
        <v>430</v>
      </c>
      <c r="V116" s="5" t="s">
        <v>104</v>
      </c>
      <c r="W116" s="4" t="s">
        <v>105</v>
      </c>
      <c r="X116" s="4" t="s">
        <v>106</v>
      </c>
      <c r="Y116" s="5"/>
      <c r="Z116" s="4" t="s">
        <v>289</v>
      </c>
      <c r="AA116" s="6" t="n">
        <v>200610</v>
      </c>
      <c r="AB116" s="6" t="n">
        <v>200610</v>
      </c>
      <c r="AC116" s="6" t="n">
        <v>200610</v>
      </c>
      <c r="AD116" s="6" t="n">
        <v>200610</v>
      </c>
      <c r="AE116" s="4" t="s">
        <v>444</v>
      </c>
      <c r="AF116" s="5" t="s">
        <v>445</v>
      </c>
      <c r="AG116" s="4" t="s">
        <v>115</v>
      </c>
      <c r="AH116" s="4" t="s">
        <v>115</v>
      </c>
      <c r="AI116" s="5" t="s">
        <v>115</v>
      </c>
      <c r="AJ116" s="1" t="n">
        <v>1</v>
      </c>
      <c r="AK116" s="11" t="n">
        <v>1</v>
      </c>
      <c r="AL116" s="12" t="s">
        <v>81</v>
      </c>
      <c r="AM116" s="13" t="str">
        <f>IF(AL116="","",AL116&amp;" - "&amp;IFERROR(VLOOKUP(AL116,CODEBOOK_CAP!$C$2:$D$212,2,FALSE),""))</f>
        <v>0322 - ESTRUTURAS, HOSPITAIS, CLÍNICAS</v>
      </c>
      <c r="AN116" s="13" t="str">
        <f>IF(AL116="","",IFERROR(VLOOKUP(AL116,CODEBOOK_CAP!$C$2:$E$212,3,FALSE),""))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116" s="11" t="n">
        <v>0</v>
      </c>
      <c r="AP116" s="11"/>
      <c r="AQ116" s="11" t="n">
        <v>1</v>
      </c>
      <c r="AR116" s="11" t="n">
        <v>1</v>
      </c>
      <c r="AS116" s="11" t="s">
        <v>446</v>
      </c>
      <c r="AT116" s="11" t="n">
        <v>0</v>
      </c>
      <c r="AU116" s="11"/>
      <c r="AV116" s="11"/>
      <c r="AW116" s="11"/>
      <c r="AX116" s="7" t="s">
        <v>84</v>
      </c>
      <c r="AY116" s="7"/>
      <c r="AZ116" s="7"/>
      <c r="BA116" s="7"/>
    </row>
    <row r="117" ht="85.5" customHeight="1">
      <c r="A117" s="4" t="s">
        <v>919</v>
      </c>
      <c r="B117" s="4" t="n">
        <v>2022</v>
      </c>
      <c r="C117" s="4" t="n">
        <v>4474</v>
      </c>
      <c r="D117" s="4" t="s">
        <v>54</v>
      </c>
      <c r="E117" s="4" t="s">
        <v>873</v>
      </c>
      <c r="F117" s="5" t="s">
        <v>920</v>
      </c>
      <c r="G117" s="4" t="s">
        <v>57</v>
      </c>
      <c r="H117" s="4" t="s">
        <v>875</v>
      </c>
      <c r="I117" s="4" t="s">
        <v>876</v>
      </c>
      <c r="J117" s="4" t="s">
        <v>921</v>
      </c>
      <c r="K117" s="4" t="s">
        <v>428</v>
      </c>
      <c r="L117" s="5" t="s">
        <v>62</v>
      </c>
      <c r="M117" s="4" t="s">
        <v>63</v>
      </c>
      <c r="N117" s="5" t="s">
        <v>64</v>
      </c>
      <c r="O117" s="4" t="s">
        <v>65</v>
      </c>
      <c r="P117" s="5" t="s">
        <v>193</v>
      </c>
      <c r="Q117" s="4" t="s">
        <v>194</v>
      </c>
      <c r="R117" s="5" t="s">
        <v>195</v>
      </c>
      <c r="S117" s="4" t="s">
        <v>196</v>
      </c>
      <c r="T117" s="5" t="s">
        <v>429</v>
      </c>
      <c r="U117" s="4" t="s">
        <v>430</v>
      </c>
      <c r="V117" s="5" t="s">
        <v>104</v>
      </c>
      <c r="W117" s="4" t="s">
        <v>105</v>
      </c>
      <c r="X117" s="4" t="s">
        <v>106</v>
      </c>
      <c r="Y117" s="5"/>
      <c r="Z117" s="4" t="s">
        <v>75</v>
      </c>
      <c r="AA117" s="6" t="n">
        <v>147000</v>
      </c>
      <c r="AB117" s="6" t="n">
        <v>147000</v>
      </c>
      <c r="AC117" s="6" t="n">
        <v>147000</v>
      </c>
      <c r="AD117" s="6" t="n">
        <v>147000</v>
      </c>
      <c r="AE117" s="4" t="s">
        <v>922</v>
      </c>
      <c r="AF117" s="5" t="s">
        <v>923</v>
      </c>
      <c r="AG117" s="4" t="s">
        <v>433</v>
      </c>
      <c r="AH117" s="4" t="s">
        <v>433</v>
      </c>
      <c r="AI117" s="5"/>
      <c r="AJ117" s="1" t="n">
        <v>1</v>
      </c>
      <c r="AK117" s="11" t="n">
        <v>1</v>
      </c>
      <c r="AL117" s="12" t="s">
        <v>81</v>
      </c>
      <c r="AM117" s="13" t="str">
        <f>IF(AL117="","",AL117&amp;" - "&amp;IFERROR(VLOOKUP(AL117,CODEBOOK_CAP!$C$2:$D$212,2,FALSE),""))</f>
        <v>0322 - ESTRUTURAS, HOSPITAIS, CLÍNICAS</v>
      </c>
      <c r="AN117" s="13" t="str">
        <f>IF(AL117="","",IFERROR(VLOOKUP(AL117,CODEBOOK_CAP!$C$2:$E$212,3,FALSE),""))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117" s="11" t="n">
        <v>0</v>
      </c>
      <c r="AP117" s="11"/>
      <c r="AQ117" s="11" t="n">
        <v>1</v>
      </c>
      <c r="AR117" s="11" t="n">
        <v>1</v>
      </c>
      <c r="AS117" s="11" t="s">
        <v>924</v>
      </c>
      <c r="AT117" s="11" t="n">
        <v>0</v>
      </c>
      <c r="AU117" s="11"/>
      <c r="AV117" s="11"/>
      <c r="AW117" s="11"/>
      <c r="AX117" s="7" t="s">
        <v>84</v>
      </c>
      <c r="AY117" s="7"/>
      <c r="AZ117" s="7"/>
      <c r="BA117" s="7"/>
    </row>
    <row r="118" ht="85.5" customHeight="1">
      <c r="A118" s="4" t="s">
        <v>925</v>
      </c>
      <c r="B118" s="4" t="n">
        <v>2022</v>
      </c>
      <c r="C118" s="4" t="n">
        <v>4475</v>
      </c>
      <c r="D118" s="4" t="s">
        <v>54</v>
      </c>
      <c r="E118" s="4" t="s">
        <v>873</v>
      </c>
      <c r="F118" s="5" t="s">
        <v>926</v>
      </c>
      <c r="G118" s="4" t="s">
        <v>57</v>
      </c>
      <c r="H118" s="4" t="s">
        <v>875</v>
      </c>
      <c r="I118" s="4" t="s">
        <v>876</v>
      </c>
      <c r="J118" s="4" t="s">
        <v>927</v>
      </c>
      <c r="K118" s="4" t="s">
        <v>428</v>
      </c>
      <c r="L118" s="5" t="s">
        <v>62</v>
      </c>
      <c r="M118" s="4" t="s">
        <v>63</v>
      </c>
      <c r="N118" s="5" t="s">
        <v>64</v>
      </c>
      <c r="O118" s="4" t="s">
        <v>65</v>
      </c>
      <c r="P118" s="5" t="s">
        <v>193</v>
      </c>
      <c r="Q118" s="4" t="s">
        <v>194</v>
      </c>
      <c r="R118" s="5" t="s">
        <v>195</v>
      </c>
      <c r="S118" s="4" t="s">
        <v>196</v>
      </c>
      <c r="T118" s="5" t="s">
        <v>429</v>
      </c>
      <c r="U118" s="4" t="s">
        <v>430</v>
      </c>
      <c r="V118" s="5" t="s">
        <v>104</v>
      </c>
      <c r="W118" s="4" t="s">
        <v>105</v>
      </c>
      <c r="X118" s="4" t="s">
        <v>106</v>
      </c>
      <c r="Y118" s="5"/>
      <c r="Z118" s="4" t="s">
        <v>75</v>
      </c>
      <c r="AA118" s="6" t="n">
        <v>147000</v>
      </c>
      <c r="AB118" s="6" t="n">
        <v>147000</v>
      </c>
      <c r="AC118" s="6" t="n">
        <v>147000</v>
      </c>
      <c r="AD118" s="6" t="n">
        <v>147000</v>
      </c>
      <c r="AE118" s="4" t="s">
        <v>526</v>
      </c>
      <c r="AF118" s="5" t="s">
        <v>527</v>
      </c>
      <c r="AG118" s="4" t="s">
        <v>433</v>
      </c>
      <c r="AH118" s="4" t="s">
        <v>433</v>
      </c>
      <c r="AI118" s="5"/>
      <c r="AJ118" s="1" t="n">
        <v>1</v>
      </c>
      <c r="AK118" s="11" t="n">
        <v>1</v>
      </c>
      <c r="AL118" s="12" t="s">
        <v>81</v>
      </c>
      <c r="AM118" s="13" t="str">
        <f>IF(AL118="","",AL118&amp;" - "&amp;IFERROR(VLOOKUP(AL118,CODEBOOK_CAP!$C$2:$D$212,2,FALSE),""))</f>
        <v>0322 - ESTRUTURAS, HOSPITAIS, CLÍNICAS</v>
      </c>
      <c r="AN118" s="13" t="str">
        <f>IF(AL118="","",IFERROR(VLOOKUP(AL118,CODEBOOK_CAP!$C$2:$E$212,3,FALSE),""))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118" s="11" t="n">
        <v>0</v>
      </c>
      <c r="AP118" s="11"/>
      <c r="AQ118" s="11" t="n">
        <v>1</v>
      </c>
      <c r="AR118" s="11" t="n">
        <v>1</v>
      </c>
      <c r="AS118" s="11" t="s">
        <v>664</v>
      </c>
      <c r="AT118" s="11" t="n">
        <v>0</v>
      </c>
      <c r="AU118" s="11"/>
      <c r="AV118" s="11"/>
      <c r="AW118" s="11"/>
      <c r="AX118" s="7" t="s">
        <v>84</v>
      </c>
      <c r="AY118" s="7"/>
      <c r="AZ118" s="7"/>
      <c r="BA118" s="7"/>
    </row>
    <row r="119" ht="85.5" customHeight="1">
      <c r="A119" s="4" t="s">
        <v>928</v>
      </c>
      <c r="B119" s="4" t="n">
        <v>2022</v>
      </c>
      <c r="C119" s="4" t="n">
        <v>4488</v>
      </c>
      <c r="D119" s="4" t="s">
        <v>54</v>
      </c>
      <c r="E119" s="4" t="s">
        <v>873</v>
      </c>
      <c r="F119" s="5" t="s">
        <v>929</v>
      </c>
      <c r="G119" s="4" t="s">
        <v>57</v>
      </c>
      <c r="H119" s="4" t="s">
        <v>875</v>
      </c>
      <c r="I119" s="4" t="s">
        <v>876</v>
      </c>
      <c r="J119" s="4" t="s">
        <v>930</v>
      </c>
      <c r="K119" s="4" t="s">
        <v>931</v>
      </c>
      <c r="L119" s="5" t="s">
        <v>595</v>
      </c>
      <c r="M119" s="4" t="s">
        <v>596</v>
      </c>
      <c r="N119" s="5" t="s">
        <v>597</v>
      </c>
      <c r="O119" s="4" t="s">
        <v>598</v>
      </c>
      <c r="P119" s="5" t="s">
        <v>669</v>
      </c>
      <c r="Q119" s="4" t="s">
        <v>670</v>
      </c>
      <c r="R119" s="5" t="s">
        <v>671</v>
      </c>
      <c r="S119" s="4" t="s">
        <v>672</v>
      </c>
      <c r="T119" s="5" t="s">
        <v>603</v>
      </c>
      <c r="U119" s="4" t="s">
        <v>604</v>
      </c>
      <c r="V119" s="5" t="s">
        <v>605</v>
      </c>
      <c r="W119" s="4" t="s">
        <v>73</v>
      </c>
      <c r="X119" s="4" t="s">
        <v>74</v>
      </c>
      <c r="Y119" s="5"/>
      <c r="Z119" s="4" t="s">
        <v>606</v>
      </c>
      <c r="AA119" s="6" t="n">
        <v>69610</v>
      </c>
      <c r="AB119" s="6" t="n">
        <v>69610</v>
      </c>
      <c r="AC119" s="6" t="n">
        <v>69610</v>
      </c>
      <c r="AD119" s="6" t="n">
        <v>69610</v>
      </c>
      <c r="AE119" s="4" t="s">
        <v>932</v>
      </c>
      <c r="AF119" s="5" t="s">
        <v>933</v>
      </c>
      <c r="AG119" s="4" t="s">
        <v>78</v>
      </c>
      <c r="AH119" s="4" t="s">
        <v>79</v>
      </c>
      <c r="AI119" s="5" t="s">
        <v>80</v>
      </c>
      <c r="AJ119" s="1" t="n">
        <v>0</v>
      </c>
      <c r="AK119" s="11" t="n">
        <v>0</v>
      </c>
      <c r="AL119" s="12" t="s">
        <v>609</v>
      </c>
      <c r="AM119" s="13" t="str">
        <f>IF(AL119="","",AL119&amp;" - "&amp;IFERROR(VLOOKUP(AL119,CODEBOOK_CAP!$C$2:$D$212,2,FALSE),""))</f>
        <v>0607 - PROMOCAO DA QUALIDADE, ESTRUTURA E AÇÕES</v>
      </c>
      <c r="AN119" s="13" t="str">
        <f>IF(AL119="","",IFERROR(VLOOKUP(AL119,CODEBOOK_CAP!$C$2:$E$212,3,FALSE),""))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119" s="11" t="n">
        <v>1</v>
      </c>
      <c r="AP119" s="11" t="s">
        <v>934</v>
      </c>
      <c r="AQ119" s="11" t="n">
        <v>1</v>
      </c>
      <c r="AR119" s="11" t="n">
        <v>1</v>
      </c>
      <c r="AS119" s="11" t="s">
        <v>935</v>
      </c>
      <c r="AT119" s="11" t="n">
        <v>1</v>
      </c>
      <c r="AU119" s="11" t="s">
        <v>503</v>
      </c>
      <c r="AV119" s="11"/>
      <c r="AW119" s="11"/>
      <c r="AX119" s="7" t="s">
        <v>84</v>
      </c>
      <c r="AY119" s="7"/>
      <c r="AZ119" s="7"/>
      <c r="BA119" s="7"/>
    </row>
    <row r="120" ht="85.5" customHeight="1">
      <c r="A120" s="4" t="s">
        <v>936</v>
      </c>
      <c r="B120" s="4" t="n">
        <v>2022</v>
      </c>
      <c r="C120" s="4" t="n">
        <v>4509</v>
      </c>
      <c r="D120" s="4" t="s">
        <v>54</v>
      </c>
      <c r="E120" s="4" t="s">
        <v>873</v>
      </c>
      <c r="F120" s="5" t="s">
        <v>937</v>
      </c>
      <c r="G120" s="4" t="s">
        <v>289</v>
      </c>
      <c r="H120" s="4" t="s">
        <v>875</v>
      </c>
      <c r="I120" s="4" t="s">
        <v>876</v>
      </c>
      <c r="J120" s="4" t="s">
        <v>938</v>
      </c>
      <c r="K120" s="4" t="s">
        <v>115</v>
      </c>
      <c r="L120" s="5"/>
      <c r="M120" s="4"/>
      <c r="N120" s="5"/>
      <c r="O120" s="4"/>
      <c r="P120" s="5"/>
      <c r="Q120" s="4"/>
      <c r="R120" s="5"/>
      <c r="S120" s="4"/>
      <c r="T120" s="5"/>
      <c r="U120" s="4"/>
      <c r="V120" s="5"/>
      <c r="W120" s="4"/>
      <c r="X120" s="4"/>
      <c r="Y120" s="5"/>
      <c r="Z120" s="4" t="s">
        <v>289</v>
      </c>
      <c r="AA120" s="6" t="n">
        <v>69610</v>
      </c>
      <c r="AB120" s="6" t="n">
        <v>69610</v>
      </c>
      <c r="AC120" s="6" t="n">
        <v>0</v>
      </c>
      <c r="AD120" s="6" t="n">
        <v>69610</v>
      </c>
      <c r="AE120" s="4" t="s">
        <v>939</v>
      </c>
      <c r="AF120" s="5" t="s">
        <v>940</v>
      </c>
      <c r="AG120" s="4" t="s">
        <v>78</v>
      </c>
      <c r="AH120" s="4" t="s">
        <v>79</v>
      </c>
      <c r="AI120" s="5" t="s">
        <v>80</v>
      </c>
      <c r="AJ120" s="1" t="n">
        <v>0</v>
      </c>
      <c r="AK120" s="11" t="n">
        <v>0</v>
      </c>
      <c r="AL120" s="12" t="s">
        <v>609</v>
      </c>
      <c r="AM120" s="13" t="str">
        <f>IF(AL120="","",AL120&amp;" - "&amp;IFERROR(VLOOKUP(AL120,CODEBOOK_CAP!$C$2:$D$212,2,FALSE),""))</f>
        <v>0607 - PROMOCAO DA QUALIDADE, ESTRUTURA E AÇÕES</v>
      </c>
      <c r="AN120" s="13" t="str">
        <f>IF(AL120="","",IFERROR(VLOOKUP(AL120,CODEBOOK_CAP!$C$2:$E$212,3,FALSE),""))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120" s="11" t="n">
        <v>1</v>
      </c>
      <c r="AP120" s="11" t="s">
        <v>941</v>
      </c>
      <c r="AQ120" s="11" t="n">
        <v>1</v>
      </c>
      <c r="AR120" s="11" t="n">
        <v>1</v>
      </c>
      <c r="AS120" s="11" t="s">
        <v>942</v>
      </c>
      <c r="AT120" s="11" t="n">
        <v>1</v>
      </c>
      <c r="AU120" s="11" t="s">
        <v>503</v>
      </c>
      <c r="AV120" s="11"/>
      <c r="AW120" s="11"/>
      <c r="AX120" s="7" t="s">
        <v>84</v>
      </c>
      <c r="AY120" s="7"/>
      <c r="AZ120" s="7"/>
      <c r="BA120" s="7"/>
    </row>
    <row r="121" ht="85.5" customHeight="1">
      <c r="A121" s="4" t="s">
        <v>943</v>
      </c>
      <c r="B121" s="4" t="n">
        <v>2022</v>
      </c>
      <c r="C121" s="4" t="n">
        <v>4572</v>
      </c>
      <c r="D121" s="4" t="s">
        <v>54</v>
      </c>
      <c r="E121" s="4" t="s">
        <v>873</v>
      </c>
      <c r="F121" s="5" t="s">
        <v>944</v>
      </c>
      <c r="G121" s="4" t="s">
        <v>57</v>
      </c>
      <c r="H121" s="4" t="s">
        <v>875</v>
      </c>
      <c r="I121" s="4" t="s">
        <v>876</v>
      </c>
      <c r="J121" s="4" t="s">
        <v>945</v>
      </c>
      <c r="K121" s="4" t="s">
        <v>428</v>
      </c>
      <c r="L121" s="5" t="s">
        <v>62</v>
      </c>
      <c r="M121" s="4" t="s">
        <v>63</v>
      </c>
      <c r="N121" s="5" t="s">
        <v>64</v>
      </c>
      <c r="O121" s="4" t="s">
        <v>65</v>
      </c>
      <c r="P121" s="5" t="s">
        <v>193</v>
      </c>
      <c r="Q121" s="4" t="s">
        <v>194</v>
      </c>
      <c r="R121" s="5" t="s">
        <v>195</v>
      </c>
      <c r="S121" s="4" t="s">
        <v>196</v>
      </c>
      <c r="T121" s="5" t="s">
        <v>429</v>
      </c>
      <c r="U121" s="4" t="s">
        <v>430</v>
      </c>
      <c r="V121" s="5" t="s">
        <v>104</v>
      </c>
      <c r="W121" s="4" t="s">
        <v>105</v>
      </c>
      <c r="X121" s="4" t="s">
        <v>106</v>
      </c>
      <c r="Y121" s="5"/>
      <c r="Z121" s="4" t="s">
        <v>75</v>
      </c>
      <c r="AA121" s="6" t="n">
        <v>244610</v>
      </c>
      <c r="AB121" s="6" t="n">
        <v>244610</v>
      </c>
      <c r="AC121" s="6" t="n">
        <v>244610</v>
      </c>
      <c r="AD121" s="6" t="n">
        <v>244610</v>
      </c>
      <c r="AE121" s="4" t="s">
        <v>458</v>
      </c>
      <c r="AF121" s="5" t="s">
        <v>459</v>
      </c>
      <c r="AG121" s="4" t="s">
        <v>433</v>
      </c>
      <c r="AH121" s="4" t="s">
        <v>433</v>
      </c>
      <c r="AI121" s="5"/>
      <c r="AJ121" s="1" t="n">
        <v>1</v>
      </c>
      <c r="AK121" s="11" t="n">
        <v>1</v>
      </c>
      <c r="AL121" s="12" t="s">
        <v>81</v>
      </c>
      <c r="AM121" s="13" t="str">
        <f>IF(AL121="","",AL121&amp;" - "&amp;IFERROR(VLOOKUP(AL121,CODEBOOK_CAP!$C$2:$D$212,2,FALSE),""))</f>
        <v>0322 - ESTRUTURAS, HOSPITAIS, CLÍNICAS</v>
      </c>
      <c r="AN121" s="13" t="str">
        <f>IF(AL121="","",IFERROR(VLOOKUP(AL121,CODEBOOK_CAP!$C$2:$E$212,3,FALSE),""))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121" s="11" t="n">
        <v>0</v>
      </c>
      <c r="AP121" s="11"/>
      <c r="AQ121" s="11" t="n">
        <v>1</v>
      </c>
      <c r="AR121" s="11" t="n">
        <v>1</v>
      </c>
      <c r="AS121" s="11" t="s">
        <v>460</v>
      </c>
      <c r="AT121" s="11" t="n">
        <v>0</v>
      </c>
      <c r="AU121" s="11"/>
      <c r="AV121" s="11"/>
      <c r="AW121" s="11"/>
      <c r="AX121" s="7" t="s">
        <v>84</v>
      </c>
      <c r="AY121" s="7"/>
      <c r="AZ121" s="7"/>
      <c r="BA121" s="7"/>
    </row>
    <row r="122" ht="85.5" customHeight="1">
      <c r="A122" s="4" t="s">
        <v>946</v>
      </c>
      <c r="B122" s="4" t="n">
        <v>2022</v>
      </c>
      <c r="C122" s="4" t="n">
        <v>4591</v>
      </c>
      <c r="D122" s="4" t="s">
        <v>54</v>
      </c>
      <c r="E122" s="4" t="s">
        <v>873</v>
      </c>
      <c r="F122" s="5" t="s">
        <v>947</v>
      </c>
      <c r="G122" s="4" t="s">
        <v>57</v>
      </c>
      <c r="H122" s="4" t="s">
        <v>875</v>
      </c>
      <c r="I122" s="4" t="s">
        <v>876</v>
      </c>
      <c r="J122" s="4" t="s">
        <v>948</v>
      </c>
      <c r="K122" s="4" t="s">
        <v>428</v>
      </c>
      <c r="L122" s="5" t="s">
        <v>62</v>
      </c>
      <c r="M122" s="4" t="s">
        <v>63</v>
      </c>
      <c r="N122" s="5" t="s">
        <v>64</v>
      </c>
      <c r="O122" s="4" t="s">
        <v>65</v>
      </c>
      <c r="P122" s="5" t="s">
        <v>193</v>
      </c>
      <c r="Q122" s="4" t="s">
        <v>194</v>
      </c>
      <c r="R122" s="5" t="s">
        <v>195</v>
      </c>
      <c r="S122" s="4" t="s">
        <v>196</v>
      </c>
      <c r="T122" s="5" t="s">
        <v>429</v>
      </c>
      <c r="U122" s="4" t="s">
        <v>430</v>
      </c>
      <c r="V122" s="5" t="s">
        <v>104</v>
      </c>
      <c r="W122" s="4" t="s">
        <v>105</v>
      </c>
      <c r="X122" s="4" t="s">
        <v>106</v>
      </c>
      <c r="Y122" s="5"/>
      <c r="Z122" s="4" t="s">
        <v>75</v>
      </c>
      <c r="AA122" s="6" t="n">
        <v>200000</v>
      </c>
      <c r="AB122" s="6" t="n">
        <v>200000</v>
      </c>
      <c r="AC122" s="6" t="n">
        <v>200000</v>
      </c>
      <c r="AD122" s="6" t="n">
        <v>200000</v>
      </c>
      <c r="AE122" s="4" t="s">
        <v>438</v>
      </c>
      <c r="AF122" s="5" t="s">
        <v>439</v>
      </c>
      <c r="AG122" s="4" t="s">
        <v>433</v>
      </c>
      <c r="AH122" s="4" t="s">
        <v>433</v>
      </c>
      <c r="AI122" s="5"/>
      <c r="AJ122" s="1" t="n">
        <v>1</v>
      </c>
      <c r="AK122" s="11" t="n">
        <v>1</v>
      </c>
      <c r="AL122" s="12" t="s">
        <v>81</v>
      </c>
      <c r="AM122" s="13" t="str">
        <f>IF(AL122="","",AL122&amp;" - "&amp;IFERROR(VLOOKUP(AL122,CODEBOOK_CAP!$C$2:$D$212,2,FALSE),""))</f>
        <v>0322 - ESTRUTURAS, HOSPITAIS, CLÍNICAS</v>
      </c>
      <c r="AN122" s="13" t="str">
        <f>IF(AL122="","",IFERROR(VLOOKUP(AL122,CODEBOOK_CAP!$C$2:$E$212,3,FALSE),""))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122" s="11" t="n">
        <v>1</v>
      </c>
      <c r="AP122" s="11" t="s">
        <v>949</v>
      </c>
      <c r="AQ122" s="11" t="n">
        <v>1</v>
      </c>
      <c r="AR122" s="11" t="n">
        <v>1</v>
      </c>
      <c r="AS122" s="11" t="s">
        <v>950</v>
      </c>
      <c r="AT122" s="11" t="n">
        <v>0</v>
      </c>
      <c r="AU122" s="11"/>
      <c r="AV122" s="11"/>
      <c r="AW122" s="11"/>
      <c r="AX122" s="7" t="s">
        <v>84</v>
      </c>
      <c r="AY122" s="7"/>
      <c r="AZ122" s="7"/>
      <c r="BA122" s="7"/>
    </row>
    <row r="123" ht="85.5" customHeight="1">
      <c r="A123" s="4" t="s">
        <v>951</v>
      </c>
      <c r="B123" s="4" t="n">
        <v>2022</v>
      </c>
      <c r="C123" s="4" t="n">
        <v>4634</v>
      </c>
      <c r="D123" s="4" t="s">
        <v>54</v>
      </c>
      <c r="E123" s="4" t="s">
        <v>873</v>
      </c>
      <c r="F123" s="5" t="s">
        <v>952</v>
      </c>
      <c r="G123" s="4" t="s">
        <v>57</v>
      </c>
      <c r="H123" s="4" t="s">
        <v>875</v>
      </c>
      <c r="I123" s="4" t="s">
        <v>876</v>
      </c>
      <c r="J123" s="4" t="s">
        <v>953</v>
      </c>
      <c r="K123" s="4" t="s">
        <v>428</v>
      </c>
      <c r="L123" s="5" t="s">
        <v>62</v>
      </c>
      <c r="M123" s="4" t="s">
        <v>63</v>
      </c>
      <c r="N123" s="5" t="s">
        <v>64</v>
      </c>
      <c r="O123" s="4" t="s">
        <v>65</v>
      </c>
      <c r="P123" s="5" t="s">
        <v>193</v>
      </c>
      <c r="Q123" s="4" t="s">
        <v>194</v>
      </c>
      <c r="R123" s="5" t="s">
        <v>195</v>
      </c>
      <c r="S123" s="4" t="s">
        <v>196</v>
      </c>
      <c r="T123" s="5" t="s">
        <v>429</v>
      </c>
      <c r="U123" s="4" t="s">
        <v>430</v>
      </c>
      <c r="V123" s="5" t="s">
        <v>104</v>
      </c>
      <c r="W123" s="4" t="s">
        <v>105</v>
      </c>
      <c r="X123" s="4" t="s">
        <v>106</v>
      </c>
      <c r="Y123" s="5"/>
      <c r="Z123" s="4" t="s">
        <v>75</v>
      </c>
      <c r="AA123" s="6" t="n">
        <v>200000</v>
      </c>
      <c r="AB123" s="6" t="n">
        <v>200000</v>
      </c>
      <c r="AC123" s="6" t="n">
        <v>0</v>
      </c>
      <c r="AD123" s="6" t="n">
        <v>200000</v>
      </c>
      <c r="AE123" s="4" t="s">
        <v>431</v>
      </c>
      <c r="AF123" s="5" t="s">
        <v>432</v>
      </c>
      <c r="AG123" s="4" t="s">
        <v>115</v>
      </c>
      <c r="AH123" s="4" t="s">
        <v>115</v>
      </c>
      <c r="AI123" s="5" t="s">
        <v>115</v>
      </c>
      <c r="AJ123" s="1" t="n">
        <v>1</v>
      </c>
      <c r="AK123" s="11" t="n">
        <v>1</v>
      </c>
      <c r="AL123" s="12" t="s">
        <v>81</v>
      </c>
      <c r="AM123" s="13" t="str">
        <f>IF(AL123="","",AL123&amp;" - "&amp;IFERROR(VLOOKUP(AL123,CODEBOOK_CAP!$C$2:$D$212,2,FALSE),""))</f>
        <v>0322 - ESTRUTURAS, HOSPITAIS, CLÍNICAS</v>
      </c>
      <c r="AN123" s="13" t="str">
        <f>IF(AL123="","",IFERROR(VLOOKUP(AL123,CODEBOOK_CAP!$C$2:$E$212,3,FALSE),""))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123" s="11" t="n">
        <v>0</v>
      </c>
      <c r="AP123" s="11"/>
      <c r="AQ123" s="11" t="n">
        <v>1</v>
      </c>
      <c r="AR123" s="11" t="n">
        <v>1</v>
      </c>
      <c r="AS123" s="11" t="s">
        <v>434</v>
      </c>
      <c r="AT123" s="11" t="n">
        <v>0</v>
      </c>
      <c r="AU123" s="11"/>
      <c r="AV123" s="11"/>
      <c r="AW123" s="11"/>
      <c r="AX123" s="7" t="s">
        <v>84</v>
      </c>
      <c r="AY123" s="7"/>
      <c r="AZ123" s="7"/>
      <c r="BA123" s="7"/>
    </row>
    <row r="124" ht="114" customHeight="1">
      <c r="A124" s="4" t="s">
        <v>954</v>
      </c>
      <c r="B124" s="4" t="n">
        <v>2022</v>
      </c>
      <c r="C124" s="4" t="n">
        <v>4477</v>
      </c>
      <c r="D124" s="4" t="s">
        <v>54</v>
      </c>
      <c r="E124" s="4" t="s">
        <v>955</v>
      </c>
      <c r="F124" s="5" t="s">
        <v>956</v>
      </c>
      <c r="G124" s="4" t="s">
        <v>57</v>
      </c>
      <c r="H124" s="4" t="s">
        <v>957</v>
      </c>
      <c r="I124" s="4" t="s">
        <v>500</v>
      </c>
      <c r="J124" s="4" t="s">
        <v>958</v>
      </c>
      <c r="K124" s="4" t="s">
        <v>205</v>
      </c>
      <c r="L124" s="5" t="s">
        <v>206</v>
      </c>
      <c r="M124" s="4" t="s">
        <v>207</v>
      </c>
      <c r="N124" s="5" t="s">
        <v>208</v>
      </c>
      <c r="O124" s="4" t="s">
        <v>209</v>
      </c>
      <c r="P124" s="5" t="s">
        <v>210</v>
      </c>
      <c r="Q124" s="4" t="s">
        <v>211</v>
      </c>
      <c r="R124" s="5" t="s">
        <v>212</v>
      </c>
      <c r="S124" s="4" t="s">
        <v>213</v>
      </c>
      <c r="T124" s="5" t="s">
        <v>214</v>
      </c>
      <c r="U124" s="4" t="s">
        <v>215</v>
      </c>
      <c r="V124" s="5" t="s">
        <v>104</v>
      </c>
      <c r="W124" s="4" t="s">
        <v>105</v>
      </c>
      <c r="X124" s="4" t="s">
        <v>106</v>
      </c>
      <c r="Y124" s="5"/>
      <c r="Z124" s="4" t="s">
        <v>107</v>
      </c>
      <c r="AA124" s="6" t="n">
        <v>30000</v>
      </c>
      <c r="AB124" s="6" t="n">
        <v>27192</v>
      </c>
      <c r="AC124" s="6" t="n">
        <v>27192</v>
      </c>
      <c r="AD124" s="6" t="n">
        <v>27192</v>
      </c>
      <c r="AE124" s="4" t="s">
        <v>959</v>
      </c>
      <c r="AF124" s="5" t="s">
        <v>960</v>
      </c>
      <c r="AG124" s="4" t="s">
        <v>78</v>
      </c>
      <c r="AH124" s="4" t="s">
        <v>79</v>
      </c>
      <c r="AI124" s="5" t="s">
        <v>80</v>
      </c>
      <c r="AJ124" s="1" t="n">
        <v>0</v>
      </c>
      <c r="AK124" s="11" t="n">
        <v>0</v>
      </c>
      <c r="AL124" s="12" t="s">
        <v>961</v>
      </c>
      <c r="AM124" s="13" t="str">
        <f>IF(AL124="","",AL124&amp;" - "&amp;IFERROR(VLOOKUP(AL124,CODEBOOK_CAP!$C$2:$D$212,2,FALSE),""))</f>
        <v>0499 - OUTROS</v>
      </c>
      <c r="AN124" s="13" t="str">
        <f>IF(AL124="","",IFERROR(VLOOKUP(AL124,CODEBOOK_CAP!$C$2:$E$212,3,FALSE),""))</f>
        <v>Observações que versam sobre AGRICULTURA, PECUÁRIA E PESCA, mas que não se enquadram em nenhum dos itens acima.</v>
      </c>
      <c r="AO124" s="11" t="n">
        <v>0</v>
      </c>
      <c r="AP124" s="11"/>
      <c r="AQ124" s="11" t="n">
        <v>0</v>
      </c>
      <c r="AR124" s="11" t="n">
        <v>0</v>
      </c>
      <c r="AS124" s="11"/>
      <c r="AT124" s="11" t="n">
        <v>0</v>
      </c>
      <c r="AU124" s="11"/>
      <c r="AV124" s="11"/>
      <c r="AW124" s="11"/>
      <c r="AX124" s="7" t="s">
        <v>84</v>
      </c>
      <c r="AY124" s="7"/>
      <c r="AZ124" s="7"/>
      <c r="BA124" s="7"/>
    </row>
    <row r="125" ht="85.5" customHeight="1">
      <c r="A125" s="4" t="s">
        <v>962</v>
      </c>
      <c r="B125" s="4" t="n">
        <v>2022</v>
      </c>
      <c r="C125" s="4" t="n">
        <v>4478</v>
      </c>
      <c r="D125" s="4" t="s">
        <v>54</v>
      </c>
      <c r="E125" s="4" t="s">
        <v>955</v>
      </c>
      <c r="F125" s="5" t="s">
        <v>963</v>
      </c>
      <c r="G125" s="4" t="s">
        <v>57</v>
      </c>
      <c r="H125" s="4" t="s">
        <v>957</v>
      </c>
      <c r="I125" s="4" t="s">
        <v>500</v>
      </c>
      <c r="J125" s="4" t="s">
        <v>964</v>
      </c>
      <c r="K125" s="4" t="s">
        <v>965</v>
      </c>
      <c r="L125" s="5" t="s">
        <v>62</v>
      </c>
      <c r="M125" s="4" t="s">
        <v>63</v>
      </c>
      <c r="N125" s="5" t="s">
        <v>64</v>
      </c>
      <c r="O125" s="4" t="s">
        <v>65</v>
      </c>
      <c r="P125" s="5" t="s">
        <v>193</v>
      </c>
      <c r="Q125" s="4" t="s">
        <v>194</v>
      </c>
      <c r="R125" s="5" t="s">
        <v>195</v>
      </c>
      <c r="S125" s="4" t="s">
        <v>196</v>
      </c>
      <c r="T125" s="5" t="s">
        <v>429</v>
      </c>
      <c r="U125" s="4" t="s">
        <v>430</v>
      </c>
      <c r="V125" s="5" t="s">
        <v>310</v>
      </c>
      <c r="W125" s="4" t="s">
        <v>73</v>
      </c>
      <c r="X125" s="4" t="s">
        <v>74</v>
      </c>
      <c r="Y125" s="5"/>
      <c r="Z125" s="4" t="s">
        <v>75</v>
      </c>
      <c r="AA125" s="6" t="n">
        <v>100000</v>
      </c>
      <c r="AB125" s="6" t="n">
        <v>100000</v>
      </c>
      <c r="AC125" s="6" t="n">
        <v>100000</v>
      </c>
      <c r="AD125" s="6" t="n">
        <v>100000</v>
      </c>
      <c r="AE125" s="4" t="s">
        <v>743</v>
      </c>
      <c r="AF125" s="5" t="s">
        <v>966</v>
      </c>
      <c r="AG125" s="4" t="s">
        <v>433</v>
      </c>
      <c r="AH125" s="4" t="s">
        <v>433</v>
      </c>
      <c r="AI125" s="5"/>
      <c r="AJ125" s="1" t="n">
        <v>1</v>
      </c>
      <c r="AK125" s="11" t="n">
        <v>1</v>
      </c>
      <c r="AL125" s="12" t="s">
        <v>81</v>
      </c>
      <c r="AM125" s="13" t="str">
        <f>IF(AL125="","",AL125&amp;" - "&amp;IFERROR(VLOOKUP(AL125,CODEBOOK_CAP!$C$2:$D$212,2,FALSE),""))</f>
        <v>0322 - ESTRUTURAS, HOSPITAIS, CLÍNICAS</v>
      </c>
      <c r="AN125" s="13" t="str">
        <f>IF(AL125="","",IFERROR(VLOOKUP(AL125,CODEBOOK_CAP!$C$2:$E$212,3,FALSE),""))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125" s="11" t="n">
        <v>0</v>
      </c>
      <c r="AP125" s="11"/>
      <c r="AQ125" s="11" t="n">
        <v>1</v>
      </c>
      <c r="AR125" s="11" t="n">
        <v>1</v>
      </c>
      <c r="AS125" s="11" t="s">
        <v>967</v>
      </c>
      <c r="AT125" s="11" t="n">
        <v>1</v>
      </c>
      <c r="AU125" s="11" t="s">
        <v>253</v>
      </c>
      <c r="AV125" s="11"/>
      <c r="AW125" s="11"/>
      <c r="AX125" s="7" t="s">
        <v>84</v>
      </c>
      <c r="AY125" s="7"/>
      <c r="AZ125" s="7"/>
      <c r="BA125" s="7"/>
    </row>
    <row r="126" ht="85.5" customHeight="1">
      <c r="A126" s="4" t="s">
        <v>968</v>
      </c>
      <c r="B126" s="4" t="n">
        <v>2022</v>
      </c>
      <c r="C126" s="4" t="n">
        <v>4479</v>
      </c>
      <c r="D126" s="4" t="s">
        <v>54</v>
      </c>
      <c r="E126" s="4" t="s">
        <v>955</v>
      </c>
      <c r="F126" s="5" t="s">
        <v>969</v>
      </c>
      <c r="G126" s="4" t="s">
        <v>57</v>
      </c>
      <c r="H126" s="4" t="s">
        <v>957</v>
      </c>
      <c r="I126" s="4" t="s">
        <v>500</v>
      </c>
      <c r="J126" s="4" t="s">
        <v>970</v>
      </c>
      <c r="K126" s="4" t="s">
        <v>428</v>
      </c>
      <c r="L126" s="5" t="s">
        <v>62</v>
      </c>
      <c r="M126" s="4" t="s">
        <v>63</v>
      </c>
      <c r="N126" s="5" t="s">
        <v>64</v>
      </c>
      <c r="O126" s="4" t="s">
        <v>65</v>
      </c>
      <c r="P126" s="5" t="s">
        <v>193</v>
      </c>
      <c r="Q126" s="4" t="s">
        <v>194</v>
      </c>
      <c r="R126" s="5" t="s">
        <v>195</v>
      </c>
      <c r="S126" s="4" t="s">
        <v>196</v>
      </c>
      <c r="T126" s="5" t="s">
        <v>429</v>
      </c>
      <c r="U126" s="4" t="s">
        <v>430</v>
      </c>
      <c r="V126" s="5" t="s">
        <v>104</v>
      </c>
      <c r="W126" s="4" t="s">
        <v>105</v>
      </c>
      <c r="X126" s="4" t="s">
        <v>106</v>
      </c>
      <c r="Y126" s="5"/>
      <c r="Z126" s="4" t="s">
        <v>75</v>
      </c>
      <c r="AA126" s="6" t="n">
        <v>100000</v>
      </c>
      <c r="AB126" s="6" t="n">
        <v>100000</v>
      </c>
      <c r="AC126" s="6" t="n">
        <v>100000</v>
      </c>
      <c r="AD126" s="6" t="n">
        <v>100000</v>
      </c>
      <c r="AE126" s="4" t="s">
        <v>743</v>
      </c>
      <c r="AF126" s="5" t="s">
        <v>966</v>
      </c>
      <c r="AG126" s="4" t="s">
        <v>433</v>
      </c>
      <c r="AH126" s="4" t="s">
        <v>433</v>
      </c>
      <c r="AI126" s="5"/>
      <c r="AJ126" s="1" t="n">
        <v>1</v>
      </c>
      <c r="AK126" s="11" t="n">
        <v>1</v>
      </c>
      <c r="AL126" s="12" t="s">
        <v>81</v>
      </c>
      <c r="AM126" s="13" t="str">
        <f>IF(AL126="","",AL126&amp;" - "&amp;IFERROR(VLOOKUP(AL126,CODEBOOK_CAP!$C$2:$D$212,2,FALSE),""))</f>
        <v>0322 - ESTRUTURAS, HOSPITAIS, CLÍNICAS</v>
      </c>
      <c r="AN126" s="13" t="str">
        <f>IF(AL126="","",IFERROR(VLOOKUP(AL126,CODEBOOK_CAP!$C$2:$E$212,3,FALSE),""))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126" s="11" t="n">
        <v>0</v>
      </c>
      <c r="AP126" s="11"/>
      <c r="AQ126" s="11" t="n">
        <v>1</v>
      </c>
      <c r="AR126" s="11" t="n">
        <v>1</v>
      </c>
      <c r="AS126" s="11" t="s">
        <v>971</v>
      </c>
      <c r="AT126" s="11" t="n">
        <v>0</v>
      </c>
      <c r="AU126" s="11"/>
      <c r="AV126" s="11"/>
      <c r="AW126" s="11"/>
      <c r="AX126" s="7" t="s">
        <v>84</v>
      </c>
      <c r="AY126" s="7"/>
      <c r="AZ126" s="7"/>
      <c r="BA126" s="7"/>
    </row>
    <row r="127" ht="85.5" customHeight="1">
      <c r="A127" s="4" t="s">
        <v>972</v>
      </c>
      <c r="B127" s="4" t="n">
        <v>2022</v>
      </c>
      <c r="C127" s="4" t="n">
        <v>4480</v>
      </c>
      <c r="D127" s="4" t="s">
        <v>54</v>
      </c>
      <c r="E127" s="4" t="s">
        <v>955</v>
      </c>
      <c r="F127" s="5" t="s">
        <v>973</v>
      </c>
      <c r="G127" s="4" t="s">
        <v>57</v>
      </c>
      <c r="H127" s="4" t="s">
        <v>957</v>
      </c>
      <c r="I127" s="4" t="s">
        <v>500</v>
      </c>
      <c r="J127" s="4" t="s">
        <v>974</v>
      </c>
      <c r="K127" s="4" t="s">
        <v>975</v>
      </c>
      <c r="L127" s="5" t="s">
        <v>62</v>
      </c>
      <c r="M127" s="4" t="s">
        <v>63</v>
      </c>
      <c r="N127" s="5" t="s">
        <v>64</v>
      </c>
      <c r="O127" s="4" t="s">
        <v>65</v>
      </c>
      <c r="P127" s="5" t="s">
        <v>193</v>
      </c>
      <c r="Q127" s="4" t="s">
        <v>194</v>
      </c>
      <c r="R127" s="5" t="s">
        <v>195</v>
      </c>
      <c r="S127" s="4" t="s">
        <v>196</v>
      </c>
      <c r="T127" s="5" t="s">
        <v>429</v>
      </c>
      <c r="U127" s="4" t="s">
        <v>430</v>
      </c>
      <c r="V127" s="5" t="s">
        <v>757</v>
      </c>
      <c r="W127" s="4" t="s">
        <v>105</v>
      </c>
      <c r="X127" s="4" t="s">
        <v>106</v>
      </c>
      <c r="Y127" s="5"/>
      <c r="Z127" s="4" t="s">
        <v>75</v>
      </c>
      <c r="AA127" s="6" t="n">
        <v>100000</v>
      </c>
      <c r="AB127" s="6" t="n">
        <v>100000</v>
      </c>
      <c r="AC127" s="6" t="n">
        <v>100000</v>
      </c>
      <c r="AD127" s="6" t="n">
        <v>100000</v>
      </c>
      <c r="AE127" s="4" t="s">
        <v>976</v>
      </c>
      <c r="AF127" s="5" t="s">
        <v>759</v>
      </c>
      <c r="AG127" s="4" t="s">
        <v>78</v>
      </c>
      <c r="AH127" s="4" t="s">
        <v>79</v>
      </c>
      <c r="AI127" s="5" t="s">
        <v>80</v>
      </c>
      <c r="AJ127" s="1" t="n">
        <v>1</v>
      </c>
      <c r="AK127" s="11" t="n">
        <v>1</v>
      </c>
      <c r="AL127" s="12" t="s">
        <v>81</v>
      </c>
      <c r="AM127" s="13" t="str">
        <f>IF(AL127="","",AL127&amp;" - "&amp;IFERROR(VLOOKUP(AL127,CODEBOOK_CAP!$C$2:$D$212,2,FALSE),""))</f>
        <v>0322 - ESTRUTURAS, HOSPITAIS, CLÍNICAS</v>
      </c>
      <c r="AN127" s="13" t="str">
        <f>IF(AL127="","",IFERROR(VLOOKUP(AL127,CODEBOOK_CAP!$C$2:$E$212,3,FALSE),""))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127" s="11" t="n">
        <v>0</v>
      </c>
      <c r="AP127" s="11"/>
      <c r="AQ127" s="11" t="n">
        <v>1</v>
      </c>
      <c r="AR127" s="11" t="n">
        <v>1</v>
      </c>
      <c r="AS127" s="11" t="s">
        <v>760</v>
      </c>
      <c r="AT127" s="11" t="n">
        <v>0</v>
      </c>
      <c r="AU127" s="11"/>
      <c r="AV127" s="11"/>
      <c r="AW127" s="11"/>
      <c r="AX127" s="7" t="s">
        <v>84</v>
      </c>
      <c r="AY127" s="7"/>
      <c r="AZ127" s="7"/>
      <c r="BA127" s="7"/>
    </row>
    <row r="128" ht="142.5" customHeight="1">
      <c r="A128" s="4" t="s">
        <v>977</v>
      </c>
      <c r="B128" s="4" t="n">
        <v>2022</v>
      </c>
      <c r="C128" s="4" t="n">
        <v>4481</v>
      </c>
      <c r="D128" s="4" t="s">
        <v>54</v>
      </c>
      <c r="E128" s="4" t="s">
        <v>955</v>
      </c>
      <c r="F128" s="5" t="s">
        <v>978</v>
      </c>
      <c r="G128" s="4" t="s">
        <v>57</v>
      </c>
      <c r="H128" s="4" t="s">
        <v>957</v>
      </c>
      <c r="I128" s="4" t="s">
        <v>500</v>
      </c>
      <c r="J128" s="4" t="s">
        <v>979</v>
      </c>
      <c r="K128" s="4" t="s">
        <v>980</v>
      </c>
      <c r="L128" s="5" t="s">
        <v>62</v>
      </c>
      <c r="M128" s="4" t="s">
        <v>63</v>
      </c>
      <c r="N128" s="5" t="s">
        <v>64</v>
      </c>
      <c r="O128" s="4" t="s">
        <v>65</v>
      </c>
      <c r="P128" s="5" t="s">
        <v>193</v>
      </c>
      <c r="Q128" s="4" t="s">
        <v>194</v>
      </c>
      <c r="R128" s="5" t="s">
        <v>195</v>
      </c>
      <c r="S128" s="4" t="s">
        <v>196</v>
      </c>
      <c r="T128" s="5" t="s">
        <v>197</v>
      </c>
      <c r="U128" s="4" t="s">
        <v>198</v>
      </c>
      <c r="V128" s="5" t="s">
        <v>310</v>
      </c>
      <c r="W128" s="4" t="s">
        <v>73</v>
      </c>
      <c r="X128" s="4" t="s">
        <v>74</v>
      </c>
      <c r="Y128" s="5"/>
      <c r="Z128" s="4" t="s">
        <v>75</v>
      </c>
      <c r="AA128" s="6" t="n">
        <v>14220</v>
      </c>
      <c r="AB128" s="6" t="n">
        <v>7078</v>
      </c>
      <c r="AC128" s="6" t="n">
        <v>7078</v>
      </c>
      <c r="AD128" s="6" t="n">
        <v>7078</v>
      </c>
      <c r="AE128" s="4" t="s">
        <v>981</v>
      </c>
      <c r="AF128" s="5" t="s">
        <v>982</v>
      </c>
      <c r="AG128" s="4" t="s">
        <v>78</v>
      </c>
      <c r="AH128" s="4" t="s">
        <v>79</v>
      </c>
      <c r="AI128" s="5" t="s">
        <v>80</v>
      </c>
      <c r="AJ128" s="1" t="n">
        <v>1</v>
      </c>
      <c r="AK128" s="11" t="n">
        <v>1</v>
      </c>
      <c r="AL128" s="12" t="s">
        <v>201</v>
      </c>
      <c r="AM128" s="13" t="str">
        <f>IF(AL128="","",AL128&amp;" - "&amp;IFERROR(VLOOKUP(AL128,CODEBOOK_CAP!$C$2:$D$212,2,FALSE),""))</f>
        <v>0333 - SAÚDE MENTAL</v>
      </c>
      <c r="AN128" s="13" t="str">
        <f>IF(AL128="","",IFERROR(VLOOKUP(AL128,CODEBOOK_CAP!$C$2:$E$212,3,FALSE),""))</f>
        <v>Serviços de atendimento a saúde mental e psico-social. CAPS, Controle de qualidade mental, esquizofrenia, bipolaridade, transtornos mentais, ansiedade, alucinançao, depressão, suicídio, CVV, atendimento psicológico e psiquiátrico, sanatório, manicomio. Não confundir com dependências de alcool (342) e drogas (343)</v>
      </c>
      <c r="AO128" s="11" t="n">
        <v>0</v>
      </c>
      <c r="AP128" s="11"/>
      <c r="AQ128" s="11" t="n">
        <v>1</v>
      </c>
      <c r="AR128" s="11" t="n">
        <v>1</v>
      </c>
      <c r="AS128" s="11" t="s">
        <v>983</v>
      </c>
      <c r="AT128" s="11" t="n">
        <v>0</v>
      </c>
      <c r="AU128" s="11"/>
      <c r="AV128" s="11"/>
      <c r="AW128" s="11"/>
      <c r="AX128" s="7" t="s">
        <v>84</v>
      </c>
      <c r="AY128" s="7"/>
      <c r="AZ128" s="7"/>
      <c r="BA128" s="7"/>
    </row>
    <row r="129" ht="99.75" customHeight="1">
      <c r="A129" s="4" t="s">
        <v>984</v>
      </c>
      <c r="B129" s="4" t="n">
        <v>2022</v>
      </c>
      <c r="C129" s="4" t="n">
        <v>4482</v>
      </c>
      <c r="D129" s="4" t="s">
        <v>54</v>
      </c>
      <c r="E129" s="4" t="s">
        <v>955</v>
      </c>
      <c r="F129" s="5" t="s">
        <v>985</v>
      </c>
      <c r="G129" s="4" t="s">
        <v>57</v>
      </c>
      <c r="H129" s="4" t="s">
        <v>957</v>
      </c>
      <c r="I129" s="4" t="s">
        <v>500</v>
      </c>
      <c r="J129" s="4" t="s">
        <v>986</v>
      </c>
      <c r="K129" s="4" t="s">
        <v>987</v>
      </c>
      <c r="L129" s="5" t="s">
        <v>302</v>
      </c>
      <c r="M129" s="4" t="s">
        <v>303</v>
      </c>
      <c r="N129" s="5" t="s">
        <v>304</v>
      </c>
      <c r="O129" s="4" t="s">
        <v>305</v>
      </c>
      <c r="P129" s="5" t="s">
        <v>702</v>
      </c>
      <c r="Q129" s="4" t="s">
        <v>703</v>
      </c>
      <c r="R129" s="5" t="s">
        <v>306</v>
      </c>
      <c r="S129" s="4" t="s">
        <v>307</v>
      </c>
      <c r="T129" s="5" t="s">
        <v>704</v>
      </c>
      <c r="U129" s="4" t="s">
        <v>705</v>
      </c>
      <c r="V129" s="5" t="s">
        <v>706</v>
      </c>
      <c r="W129" s="4" t="s">
        <v>105</v>
      </c>
      <c r="X129" s="4" t="s">
        <v>106</v>
      </c>
      <c r="Y129" s="5"/>
      <c r="Z129" s="4" t="s">
        <v>311</v>
      </c>
      <c r="AA129" s="6" t="n">
        <v>20000</v>
      </c>
      <c r="AB129" s="6" t="n">
        <v>17592</v>
      </c>
      <c r="AC129" s="6" t="n">
        <v>17592</v>
      </c>
      <c r="AD129" s="6" t="n">
        <v>17592</v>
      </c>
      <c r="AE129" s="4" t="s">
        <v>988</v>
      </c>
      <c r="AF129" s="5" t="s">
        <v>989</v>
      </c>
      <c r="AG129" s="4" t="s">
        <v>78</v>
      </c>
      <c r="AH129" s="4" t="s">
        <v>79</v>
      </c>
      <c r="AI129" s="5" t="s">
        <v>80</v>
      </c>
      <c r="AJ129" s="1" t="n">
        <v>0</v>
      </c>
      <c r="AK129" s="11" t="n">
        <v>0</v>
      </c>
      <c r="AL129" s="12" t="s">
        <v>252</v>
      </c>
      <c r="AM129" s="13" t="str">
        <f>IF(AL129="","",AL129&amp;" - "&amp;IFERROR(VLOOKUP(AL129,CODEBOOK_CAP!$C$2:$D$212,2,FALSE),""))</f>
        <v>0202 - DISCRIMINAÇÃO POR GÊNERO OU ORIENTAÇÃO SEXUAL (MISOGINIA E HOMOFOBIA)</v>
      </c>
      <c r="AN129" s="13" t="str">
        <f>IF(AL129="","",IFERROR(VLOOKUP(AL129,CODEBOOK_CAP!$C$2:$E$212,3,FALSE),""))</f>
        <v>Políticas de promoção de igualdade de gênero e de igualdade de relações sociais relacionadas a gênero e orientação sexual. Misoginia, Homofobia, ataques homofóbicos, casamento homoafetivo, igualdade salarial para mulheres, igualdade de trabalho para mulheres, feminismo, Parada LGBT, LGBTQI, transexuais, homossexuais, bissexuais, travestis, relações de gênero com emprego ( tipos de posições, renda, promoção , salário) . VIOLÊNCIA DOMESTICA contra mulheres deve ser codificado em 1208</v>
      </c>
      <c r="AO129" s="11" t="n">
        <v>0</v>
      </c>
      <c r="AP129" s="11"/>
      <c r="AQ129" s="11" t="n">
        <v>0</v>
      </c>
      <c r="AR129" s="11" t="n">
        <v>0</v>
      </c>
      <c r="AS129" s="11"/>
      <c r="AT129" s="11" t="n">
        <v>1</v>
      </c>
      <c r="AU129" s="11" t="s">
        <v>265</v>
      </c>
      <c r="AV129" s="11"/>
      <c r="AW129" s="11"/>
      <c r="AX129" s="7" t="s">
        <v>84</v>
      </c>
      <c r="AY129" s="7"/>
      <c r="AZ129" s="7"/>
      <c r="BA129" s="7"/>
    </row>
    <row r="130" ht="99.75" customHeight="1">
      <c r="A130" s="4" t="s">
        <v>990</v>
      </c>
      <c r="B130" s="4" t="n">
        <v>2022</v>
      </c>
      <c r="C130" s="4" t="n">
        <v>4483</v>
      </c>
      <c r="D130" s="4" t="s">
        <v>54</v>
      </c>
      <c r="E130" s="4" t="s">
        <v>955</v>
      </c>
      <c r="F130" s="5" t="s">
        <v>991</v>
      </c>
      <c r="G130" s="4" t="s">
        <v>57</v>
      </c>
      <c r="H130" s="4" t="s">
        <v>957</v>
      </c>
      <c r="I130" s="4" t="s">
        <v>500</v>
      </c>
      <c r="J130" s="4" t="s">
        <v>986</v>
      </c>
      <c r="K130" s="4" t="s">
        <v>992</v>
      </c>
      <c r="L130" s="5" t="s">
        <v>302</v>
      </c>
      <c r="M130" s="4" t="s">
        <v>303</v>
      </c>
      <c r="N130" s="5" t="s">
        <v>304</v>
      </c>
      <c r="O130" s="4" t="s">
        <v>305</v>
      </c>
      <c r="P130" s="5" t="s">
        <v>702</v>
      </c>
      <c r="Q130" s="4" t="s">
        <v>703</v>
      </c>
      <c r="R130" s="5" t="s">
        <v>306</v>
      </c>
      <c r="S130" s="4" t="s">
        <v>307</v>
      </c>
      <c r="T130" s="5" t="s">
        <v>704</v>
      </c>
      <c r="U130" s="4" t="s">
        <v>705</v>
      </c>
      <c r="V130" s="5" t="s">
        <v>104</v>
      </c>
      <c r="W130" s="4" t="s">
        <v>105</v>
      </c>
      <c r="X130" s="4" t="s">
        <v>106</v>
      </c>
      <c r="Y130" s="5"/>
      <c r="Z130" s="4" t="s">
        <v>311</v>
      </c>
      <c r="AA130" s="6" t="n">
        <v>30000</v>
      </c>
      <c r="AB130" s="6" t="n">
        <v>26383</v>
      </c>
      <c r="AC130" s="6" t="n">
        <v>26383</v>
      </c>
      <c r="AD130" s="6" t="n">
        <v>26383</v>
      </c>
      <c r="AE130" s="4" t="s">
        <v>988</v>
      </c>
      <c r="AF130" s="5" t="s">
        <v>989</v>
      </c>
      <c r="AG130" s="4" t="s">
        <v>78</v>
      </c>
      <c r="AH130" s="4" t="s">
        <v>79</v>
      </c>
      <c r="AI130" s="5" t="s">
        <v>80</v>
      </c>
      <c r="AJ130" s="1" t="n">
        <v>0</v>
      </c>
      <c r="AK130" s="11" t="n">
        <v>0</v>
      </c>
      <c r="AL130" s="12" t="s">
        <v>252</v>
      </c>
      <c r="AM130" s="13" t="str">
        <f>IF(AL130="","",AL130&amp;" - "&amp;IFERROR(VLOOKUP(AL130,CODEBOOK_CAP!$C$2:$D$212,2,FALSE),""))</f>
        <v>0202 - DISCRIMINAÇÃO POR GÊNERO OU ORIENTAÇÃO SEXUAL (MISOGINIA E HOMOFOBIA)</v>
      </c>
      <c r="AN130" s="13" t="str">
        <f>IF(AL130="","",IFERROR(VLOOKUP(AL130,CODEBOOK_CAP!$C$2:$E$212,3,FALSE),""))</f>
        <v>Políticas de promoção de igualdade de gênero e de igualdade de relações sociais relacionadas a gênero e orientação sexual. Misoginia, Homofobia, ataques homofóbicos, casamento homoafetivo, igualdade salarial para mulheres, igualdade de trabalho para mulheres, feminismo, Parada LGBT, LGBTQI, transexuais, homossexuais, bissexuais, travestis, relações de gênero com emprego ( tipos de posições, renda, promoção , salário) . VIOLÊNCIA DOMESTICA contra mulheres deve ser codificado em 1208</v>
      </c>
      <c r="AO130" s="11" t="n">
        <v>0</v>
      </c>
      <c r="AP130" s="11"/>
      <c r="AQ130" s="11" t="n">
        <v>0</v>
      </c>
      <c r="AR130" s="11" t="n">
        <v>0</v>
      </c>
      <c r="AS130" s="11"/>
      <c r="AT130" s="11" t="n">
        <v>1</v>
      </c>
      <c r="AU130" s="11" t="s">
        <v>265</v>
      </c>
      <c r="AV130" s="11"/>
      <c r="AW130" s="11"/>
      <c r="AX130" s="7" t="s">
        <v>84</v>
      </c>
      <c r="AY130" s="7"/>
      <c r="AZ130" s="7"/>
      <c r="BA130" s="7"/>
    </row>
    <row r="131" ht="71.25" customHeight="1">
      <c r="A131" s="4" t="s">
        <v>993</v>
      </c>
      <c r="B131" s="4" t="n">
        <v>2022</v>
      </c>
      <c r="C131" s="4" t="n">
        <v>4484</v>
      </c>
      <c r="D131" s="4" t="s">
        <v>54</v>
      </c>
      <c r="E131" s="4" t="s">
        <v>955</v>
      </c>
      <c r="F131" s="5" t="s">
        <v>994</v>
      </c>
      <c r="G131" s="4" t="s">
        <v>57</v>
      </c>
      <c r="H131" s="4" t="s">
        <v>957</v>
      </c>
      <c r="I131" s="4" t="s">
        <v>500</v>
      </c>
      <c r="J131" s="4" t="s">
        <v>995</v>
      </c>
      <c r="K131" s="4" t="s">
        <v>992</v>
      </c>
      <c r="L131" s="5" t="s">
        <v>302</v>
      </c>
      <c r="M131" s="4" t="s">
        <v>303</v>
      </c>
      <c r="N131" s="5" t="s">
        <v>304</v>
      </c>
      <c r="O131" s="4" t="s">
        <v>305</v>
      </c>
      <c r="P131" s="5" t="s">
        <v>702</v>
      </c>
      <c r="Q131" s="4" t="s">
        <v>703</v>
      </c>
      <c r="R131" s="5" t="s">
        <v>306</v>
      </c>
      <c r="S131" s="4" t="s">
        <v>307</v>
      </c>
      <c r="T131" s="5" t="s">
        <v>704</v>
      </c>
      <c r="U131" s="4" t="s">
        <v>705</v>
      </c>
      <c r="V131" s="5" t="s">
        <v>104</v>
      </c>
      <c r="W131" s="4" t="s">
        <v>105</v>
      </c>
      <c r="X131" s="4" t="s">
        <v>106</v>
      </c>
      <c r="Y131" s="5"/>
      <c r="Z131" s="4" t="s">
        <v>311</v>
      </c>
      <c r="AA131" s="6" t="n">
        <v>15017</v>
      </c>
      <c r="AB131" s="6" t="n">
        <v>13201</v>
      </c>
      <c r="AC131" s="6" t="n">
        <v>13201</v>
      </c>
      <c r="AD131" s="6" t="n">
        <v>13201</v>
      </c>
      <c r="AE131" s="4" t="s">
        <v>988</v>
      </c>
      <c r="AF131" s="5" t="s">
        <v>989</v>
      </c>
      <c r="AG131" s="4" t="s">
        <v>78</v>
      </c>
      <c r="AH131" s="4" t="s">
        <v>79</v>
      </c>
      <c r="AI131" s="5" t="s">
        <v>80</v>
      </c>
      <c r="AJ131" s="1" t="n">
        <v>0</v>
      </c>
      <c r="AK131" s="11" t="n">
        <v>0</v>
      </c>
      <c r="AL131" s="12" t="s">
        <v>218</v>
      </c>
      <c r="AM131" s="13" t="str">
        <f>IF(AL131="","",AL131&amp;" - "&amp;IFERROR(VLOOKUP(AL131,CODEBOOK_CAP!$C$2:$D$212,2,FALSE),""))</f>
        <v>2102 - POPULAÇÕES TRADICIONAIS BRASILEIRAS - INDÍGENAS, QUILOMBOLAS, RIBEIRINHOS, SERINGUEIROS, CAIÇARAS</v>
      </c>
      <c r="AN131" s="13" t="str">
        <f>IF(AL131="","",IFERROR(VLOOKUP(AL131,CODEBOOK_CAP!$C$2:$E$212,3,FALSE),""))</f>
        <v>Todos os temas, de todas as políticas setoriais que envolvam populações tradicionais nativas brasileiras. Temas relacionados ao uso da terra por populações nativas como uso de terra por indígenas e reservas indígenas, quilombolas e populações ribeirinhas. Saude, educacao, assistencia, terras. Populações Nativas não se codifica em política setoria, mas sim aqui!</v>
      </c>
      <c r="AO131" s="11" t="n">
        <v>0</v>
      </c>
      <c r="AP131" s="11"/>
      <c r="AQ131" s="11" t="n">
        <v>0</v>
      </c>
      <c r="AR131" s="11" t="n">
        <v>0</v>
      </c>
      <c r="AS131" s="11"/>
      <c r="AT131" s="11" t="n">
        <v>1</v>
      </c>
      <c r="AU131" s="11" t="s">
        <v>996</v>
      </c>
      <c r="AV131" s="11"/>
      <c r="AW131" s="11"/>
      <c r="AX131" s="7" t="s">
        <v>84</v>
      </c>
      <c r="AY131" s="7"/>
      <c r="AZ131" s="7"/>
      <c r="BA131" s="7"/>
    </row>
    <row r="132" ht="71.25" customHeight="1">
      <c r="A132" s="4" t="s">
        <v>997</v>
      </c>
      <c r="B132" s="4" t="n">
        <v>2022</v>
      </c>
      <c r="C132" s="4" t="n">
        <v>4485</v>
      </c>
      <c r="D132" s="4" t="s">
        <v>54</v>
      </c>
      <c r="E132" s="4" t="s">
        <v>955</v>
      </c>
      <c r="F132" s="5" t="s">
        <v>998</v>
      </c>
      <c r="G132" s="4" t="s">
        <v>57</v>
      </c>
      <c r="H132" s="4" t="s">
        <v>957</v>
      </c>
      <c r="I132" s="4" t="s">
        <v>500</v>
      </c>
      <c r="J132" s="4" t="s">
        <v>999</v>
      </c>
      <c r="K132" s="4" t="s">
        <v>415</v>
      </c>
      <c r="L132" s="5" t="s">
        <v>122</v>
      </c>
      <c r="M132" s="4" t="s">
        <v>123</v>
      </c>
      <c r="N132" s="5" t="s">
        <v>227</v>
      </c>
      <c r="O132" s="4" t="s">
        <v>228</v>
      </c>
      <c r="P132" s="5" t="s">
        <v>229</v>
      </c>
      <c r="Q132" s="4" t="s">
        <v>230</v>
      </c>
      <c r="R132" s="5" t="s">
        <v>322</v>
      </c>
      <c r="S132" s="4" t="s">
        <v>323</v>
      </c>
      <c r="T132" s="5" t="s">
        <v>416</v>
      </c>
      <c r="U132" s="4" t="s">
        <v>417</v>
      </c>
      <c r="V132" s="5" t="s">
        <v>72</v>
      </c>
      <c r="W132" s="4" t="s">
        <v>73</v>
      </c>
      <c r="X132" s="4" t="s">
        <v>74</v>
      </c>
      <c r="Y132" s="5"/>
      <c r="Z132" s="4" t="s">
        <v>132</v>
      </c>
      <c r="AA132" s="6" t="n">
        <v>25000</v>
      </c>
      <c r="AB132" s="6" t="n">
        <v>24239</v>
      </c>
      <c r="AC132" s="6" t="n">
        <v>24239</v>
      </c>
      <c r="AD132" s="6" t="n">
        <v>24239</v>
      </c>
      <c r="AE132" s="4" t="s">
        <v>1000</v>
      </c>
      <c r="AF132" s="5" t="s">
        <v>1001</v>
      </c>
      <c r="AG132" s="4" t="s">
        <v>78</v>
      </c>
      <c r="AH132" s="4" t="s">
        <v>79</v>
      </c>
      <c r="AI132" s="5" t="s">
        <v>80</v>
      </c>
      <c r="AJ132" s="1" t="n">
        <v>0</v>
      </c>
      <c r="AK132" s="11" t="n">
        <v>0</v>
      </c>
      <c r="AL132" s="12" t="s">
        <v>188</v>
      </c>
      <c r="AM132" s="13" t="str">
        <f>IF(AL132="","",AL132&amp;" - "&amp;IFERROR(VLOOKUP(AL132,CODEBOOK_CAP!$C$2:$D$212,2,FALSE),""))</f>
        <v>2300 - GERAL</v>
      </c>
      <c r="AN132" s="13" t="str">
        <f>IF(AL132="","",IFERROR(VLOOKUP(AL132,CODEBOOK_CAP!$C$2:$E$212,3,FALSE),""))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32" s="11" t="n">
        <v>1</v>
      </c>
      <c r="AP132" s="11" t="s">
        <v>1002</v>
      </c>
      <c r="AQ132" s="11" t="n">
        <v>1</v>
      </c>
      <c r="AR132" s="11" t="n">
        <v>1</v>
      </c>
      <c r="AS132" s="11" t="s">
        <v>1002</v>
      </c>
      <c r="AT132" s="11" t="n">
        <v>1</v>
      </c>
      <c r="AU132" s="11" t="s">
        <v>1003</v>
      </c>
      <c r="AV132" s="11"/>
      <c r="AW132" s="11"/>
      <c r="AX132" s="7" t="s">
        <v>84</v>
      </c>
      <c r="AY132" s="7"/>
      <c r="AZ132" s="7"/>
      <c r="BA132" s="7"/>
      <c r="BB132" s="3" t="s">
        <v>6564</v>
      </c>
    </row>
    <row r="133" ht="114" customHeight="1">
      <c r="A133" s="4" t="s">
        <v>1004</v>
      </c>
      <c r="B133" s="4" t="n">
        <v>2022</v>
      </c>
      <c r="C133" s="4" t="n">
        <v>4489</v>
      </c>
      <c r="D133" s="4" t="s">
        <v>54</v>
      </c>
      <c r="E133" s="4" t="s">
        <v>955</v>
      </c>
      <c r="F133" s="5" t="s">
        <v>1005</v>
      </c>
      <c r="G133" s="4" t="s">
        <v>57</v>
      </c>
      <c r="H133" s="4" t="s">
        <v>957</v>
      </c>
      <c r="I133" s="4" t="s">
        <v>500</v>
      </c>
      <c r="J133" s="4" t="s">
        <v>1006</v>
      </c>
      <c r="K133" s="4" t="s">
        <v>428</v>
      </c>
      <c r="L133" s="5" t="s">
        <v>62</v>
      </c>
      <c r="M133" s="4" t="s">
        <v>63</v>
      </c>
      <c r="N133" s="5" t="s">
        <v>64</v>
      </c>
      <c r="O133" s="4" t="s">
        <v>65</v>
      </c>
      <c r="P133" s="5" t="s">
        <v>193</v>
      </c>
      <c r="Q133" s="4" t="s">
        <v>194</v>
      </c>
      <c r="R133" s="5" t="s">
        <v>195</v>
      </c>
      <c r="S133" s="4" t="s">
        <v>196</v>
      </c>
      <c r="T133" s="5" t="s">
        <v>429</v>
      </c>
      <c r="U133" s="4" t="s">
        <v>430</v>
      </c>
      <c r="V133" s="5" t="s">
        <v>104</v>
      </c>
      <c r="W133" s="4" t="s">
        <v>105</v>
      </c>
      <c r="X133" s="4" t="s">
        <v>106</v>
      </c>
      <c r="Y133" s="5"/>
      <c r="Z133" s="4" t="s">
        <v>75</v>
      </c>
      <c r="AA133" s="6" t="n">
        <v>540000</v>
      </c>
      <c r="AB133" s="6" t="n">
        <v>540000</v>
      </c>
      <c r="AC133" s="6" t="n">
        <v>540000</v>
      </c>
      <c r="AD133" s="6" t="n">
        <v>540000</v>
      </c>
      <c r="AE133" s="4" t="s">
        <v>450</v>
      </c>
      <c r="AF133" s="5" t="s">
        <v>451</v>
      </c>
      <c r="AG133" s="4" t="s">
        <v>433</v>
      </c>
      <c r="AH133" s="4" t="s">
        <v>433</v>
      </c>
      <c r="AI133" s="5"/>
      <c r="AJ133" s="1" t="n">
        <v>1</v>
      </c>
      <c r="AK133" s="11" t="n">
        <v>1</v>
      </c>
      <c r="AL133" s="12" t="s">
        <v>452</v>
      </c>
      <c r="AM133" s="13" t="str">
        <f>IF(AL133="","",AL133&amp;" - "&amp;IFERROR(VLOOKUP(AL133,CODEBOOK_CAP!$C$2:$D$212,2,FALSE),""))</f>
        <v>0332 - SAÚDE INFANTIL, GRAVIDEZ E PRÉ-NATAL</v>
      </c>
      <c r="AN133" s="13" t="str">
        <f>IF(AL133="","",IFERROR(VLOOKUP(AL133,CODEBOOK_CAP!$C$2:$E$212,3,FALSE),""))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133" s="11" t="n">
        <v>0</v>
      </c>
      <c r="AP133" s="11"/>
      <c r="AQ133" s="11" t="n">
        <v>1</v>
      </c>
      <c r="AR133" s="11" t="n">
        <v>1</v>
      </c>
      <c r="AS133" s="11" t="s">
        <v>453</v>
      </c>
      <c r="AT133" s="11" t="n">
        <v>1</v>
      </c>
      <c r="AU133" s="11" t="s">
        <v>454</v>
      </c>
      <c r="AV133" s="11"/>
      <c r="AW133" s="11"/>
      <c r="AX133" s="7" t="s">
        <v>84</v>
      </c>
      <c r="AY133" s="7"/>
      <c r="AZ133" s="7"/>
      <c r="BA133" s="7"/>
    </row>
    <row r="134" ht="99.75" customHeight="1">
      <c r="A134" s="4" t="s">
        <v>1007</v>
      </c>
      <c r="B134" s="4" t="n">
        <v>2022</v>
      </c>
      <c r="C134" s="4" t="n">
        <v>4490</v>
      </c>
      <c r="D134" s="4" t="s">
        <v>54</v>
      </c>
      <c r="E134" s="4" t="s">
        <v>955</v>
      </c>
      <c r="F134" s="5" t="s">
        <v>1008</v>
      </c>
      <c r="G134" s="4" t="s">
        <v>57</v>
      </c>
      <c r="H134" s="4" t="s">
        <v>957</v>
      </c>
      <c r="I134" s="4" t="s">
        <v>500</v>
      </c>
      <c r="J134" s="4" t="s">
        <v>1009</v>
      </c>
      <c r="K134" s="4" t="s">
        <v>1010</v>
      </c>
      <c r="L134" s="5" t="s">
        <v>240</v>
      </c>
      <c r="M134" s="4" t="s">
        <v>241</v>
      </c>
      <c r="N134" s="5" t="s">
        <v>242</v>
      </c>
      <c r="O134" s="4" t="s">
        <v>243</v>
      </c>
      <c r="P134" s="5" t="s">
        <v>244</v>
      </c>
      <c r="Q134" s="4" t="s">
        <v>245</v>
      </c>
      <c r="R134" s="5" t="s">
        <v>246</v>
      </c>
      <c r="S134" s="4" t="s">
        <v>247</v>
      </c>
      <c r="T134" s="5" t="s">
        <v>1011</v>
      </c>
      <c r="U134" s="4" t="s">
        <v>1012</v>
      </c>
      <c r="V134" s="5" t="s">
        <v>262</v>
      </c>
      <c r="W134" s="4" t="s">
        <v>105</v>
      </c>
      <c r="X134" s="4" t="s">
        <v>106</v>
      </c>
      <c r="Y134" s="5"/>
      <c r="Z134" s="4" t="s">
        <v>107</v>
      </c>
      <c r="AA134" s="6" t="n">
        <v>60000</v>
      </c>
      <c r="AB134" s="6" t="n">
        <v>60000</v>
      </c>
      <c r="AC134" s="6" t="n">
        <v>60000</v>
      </c>
      <c r="AD134" s="6" t="n">
        <v>60000</v>
      </c>
      <c r="AE134" s="4" t="s">
        <v>1013</v>
      </c>
      <c r="AF134" s="5" t="s">
        <v>1014</v>
      </c>
      <c r="AG134" s="4" t="s">
        <v>78</v>
      </c>
      <c r="AH134" s="4" t="s">
        <v>79</v>
      </c>
      <c r="AI134" s="5" t="s">
        <v>80</v>
      </c>
      <c r="AJ134" s="1" t="n">
        <v>0</v>
      </c>
      <c r="AK134" s="11" t="n">
        <v>0</v>
      </c>
      <c r="AL134" s="12" t="s">
        <v>252</v>
      </c>
      <c r="AM134" s="13" t="str">
        <f>IF(AL134="","",AL134&amp;" - "&amp;IFERROR(VLOOKUP(AL134,CODEBOOK_CAP!$C$2:$D$212,2,FALSE),""))</f>
        <v>0202 - DISCRIMINAÇÃO POR GÊNERO OU ORIENTAÇÃO SEXUAL (MISOGINIA E HOMOFOBIA)</v>
      </c>
      <c r="AN134" s="13" t="str">
        <f>IF(AL134="","",IFERROR(VLOOKUP(AL134,CODEBOOK_CAP!$C$2:$E$212,3,FALSE),""))</f>
        <v>Políticas de promoção de igualdade de gênero e de igualdade de relações sociais relacionadas a gênero e orientação sexual. Misoginia, Homofobia, ataques homofóbicos, casamento homoafetivo, igualdade salarial para mulheres, igualdade de trabalho para mulheres, feminismo, Parada LGBT, LGBTQI, transexuais, homossexuais, bissexuais, travestis, relações de gênero com emprego ( tipos de posições, renda, promoção , salário) . VIOLÊNCIA DOMESTICA contra mulheres deve ser codificado em 1208</v>
      </c>
      <c r="AO134" s="11" t="n">
        <v>0</v>
      </c>
      <c r="AP134" s="11"/>
      <c r="AQ134" s="11" t="n">
        <v>0</v>
      </c>
      <c r="AR134" s="11" t="n">
        <v>0</v>
      </c>
      <c r="AS134" s="11"/>
      <c r="AT134" s="11" t="n">
        <v>1</v>
      </c>
      <c r="AU134" s="11" t="s">
        <v>1015</v>
      </c>
      <c r="AV134" s="11"/>
      <c r="AW134" s="11"/>
      <c r="AX134" s="7" t="s">
        <v>84</v>
      </c>
      <c r="AY134" s="7"/>
      <c r="AZ134" s="7"/>
      <c r="BA134" s="7"/>
    </row>
    <row r="135" ht="99.75" customHeight="1">
      <c r="A135" s="4" t="s">
        <v>1016</v>
      </c>
      <c r="B135" s="4" t="n">
        <v>2022</v>
      </c>
      <c r="C135" s="4" t="n">
        <v>4491</v>
      </c>
      <c r="D135" s="4" t="s">
        <v>54</v>
      </c>
      <c r="E135" s="4" t="s">
        <v>955</v>
      </c>
      <c r="F135" s="5" t="s">
        <v>1017</v>
      </c>
      <c r="G135" s="4" t="s">
        <v>57</v>
      </c>
      <c r="H135" s="4" t="s">
        <v>957</v>
      </c>
      <c r="I135" s="4" t="s">
        <v>500</v>
      </c>
      <c r="J135" s="4" t="s">
        <v>1018</v>
      </c>
      <c r="K135" s="4" t="s">
        <v>1019</v>
      </c>
      <c r="L135" s="5" t="s">
        <v>240</v>
      </c>
      <c r="M135" s="4" t="s">
        <v>241</v>
      </c>
      <c r="N135" s="5" t="s">
        <v>242</v>
      </c>
      <c r="O135" s="4" t="s">
        <v>243</v>
      </c>
      <c r="P135" s="5" t="s">
        <v>244</v>
      </c>
      <c r="Q135" s="4" t="s">
        <v>245</v>
      </c>
      <c r="R135" s="5" t="s">
        <v>246</v>
      </c>
      <c r="S135" s="4" t="s">
        <v>247</v>
      </c>
      <c r="T135" s="5" t="s">
        <v>248</v>
      </c>
      <c r="U135" s="4" t="s">
        <v>249</v>
      </c>
      <c r="V135" s="5" t="s">
        <v>1020</v>
      </c>
      <c r="W135" s="4" t="s">
        <v>105</v>
      </c>
      <c r="X135" s="4" t="s">
        <v>106</v>
      </c>
      <c r="Y135" s="5"/>
      <c r="Z135" s="4" t="s">
        <v>107</v>
      </c>
      <c r="AA135" s="6" t="n">
        <v>100000</v>
      </c>
      <c r="AB135" s="6" t="n">
        <v>40000</v>
      </c>
      <c r="AC135" s="6" t="n">
        <v>40000</v>
      </c>
      <c r="AD135" s="6" t="n">
        <v>40000</v>
      </c>
      <c r="AE135" s="4" t="s">
        <v>250</v>
      </c>
      <c r="AF135" s="5" t="s">
        <v>251</v>
      </c>
      <c r="AG135" s="4" t="s">
        <v>78</v>
      </c>
      <c r="AH135" s="4" t="s">
        <v>79</v>
      </c>
      <c r="AI135" s="5" t="s">
        <v>80</v>
      </c>
      <c r="AJ135" s="1" t="n">
        <v>0</v>
      </c>
      <c r="AK135" s="11" t="n">
        <v>0</v>
      </c>
      <c r="AL135" s="12" t="s">
        <v>252</v>
      </c>
      <c r="AM135" s="13" t="str">
        <f>IF(AL135="","",AL135&amp;" - "&amp;IFERROR(VLOOKUP(AL135,CODEBOOK_CAP!$C$2:$D$212,2,FALSE),""))</f>
        <v>0202 - DISCRIMINAÇÃO POR GÊNERO OU ORIENTAÇÃO SEXUAL (MISOGINIA E HOMOFOBIA)</v>
      </c>
      <c r="AN135" s="13" t="str">
        <f>IF(AL135="","",IFERROR(VLOOKUP(AL135,CODEBOOK_CAP!$C$2:$E$212,3,FALSE),""))</f>
        <v>Políticas de promoção de igualdade de gênero e de igualdade de relações sociais relacionadas a gênero e orientação sexual. Misoginia, Homofobia, ataques homofóbicos, casamento homoafetivo, igualdade salarial para mulheres, igualdade de trabalho para mulheres, feminismo, Parada LGBT, LGBTQI, transexuais, homossexuais, bissexuais, travestis, relações de gênero com emprego ( tipos de posições, renda, promoção , salário) . VIOLÊNCIA DOMESTICA contra mulheres deve ser codificado em 1208</v>
      </c>
      <c r="AO135" s="11" t="n">
        <v>0</v>
      </c>
      <c r="AP135" s="11"/>
      <c r="AQ135" s="11" t="n">
        <v>0</v>
      </c>
      <c r="AR135" s="11" t="n">
        <v>0</v>
      </c>
      <c r="AS135" s="11"/>
      <c r="AT135" s="11" t="n">
        <v>1</v>
      </c>
      <c r="AU135" s="11" t="s">
        <v>253</v>
      </c>
      <c r="AV135" s="11"/>
      <c r="AW135" s="11"/>
      <c r="AX135" s="7" t="s">
        <v>84</v>
      </c>
      <c r="AY135" s="7"/>
      <c r="AZ135" s="7"/>
      <c r="BA135" s="7"/>
    </row>
    <row r="136" ht="57" customHeight="1">
      <c r="A136" s="4" t="s">
        <v>1021</v>
      </c>
      <c r="B136" s="4" t="n">
        <v>2022</v>
      </c>
      <c r="C136" s="4" t="n">
        <v>4492</v>
      </c>
      <c r="D136" s="4" t="s">
        <v>54</v>
      </c>
      <c r="E136" s="4" t="s">
        <v>955</v>
      </c>
      <c r="F136" s="5" t="s">
        <v>1022</v>
      </c>
      <c r="G136" s="4" t="s">
        <v>57</v>
      </c>
      <c r="H136" s="4" t="s">
        <v>957</v>
      </c>
      <c r="I136" s="4" t="s">
        <v>500</v>
      </c>
      <c r="J136" s="4" t="s">
        <v>1023</v>
      </c>
      <c r="K136" s="4" t="s">
        <v>507</v>
      </c>
      <c r="L136" s="5" t="s">
        <v>508</v>
      </c>
      <c r="M136" s="4" t="s">
        <v>509</v>
      </c>
      <c r="N136" s="5" t="s">
        <v>510</v>
      </c>
      <c r="O136" s="4" t="s">
        <v>511</v>
      </c>
      <c r="P136" s="5" t="s">
        <v>512</v>
      </c>
      <c r="Q136" s="4" t="s">
        <v>513</v>
      </c>
      <c r="R136" s="5" t="s">
        <v>514</v>
      </c>
      <c r="S136" s="4" t="s">
        <v>515</v>
      </c>
      <c r="T136" s="5" t="s">
        <v>516</v>
      </c>
      <c r="U136" s="4" t="s">
        <v>517</v>
      </c>
      <c r="V136" s="5" t="s">
        <v>104</v>
      </c>
      <c r="W136" s="4" t="s">
        <v>105</v>
      </c>
      <c r="X136" s="4" t="s">
        <v>106</v>
      </c>
      <c r="Y136" s="5"/>
      <c r="Z136" s="4" t="s">
        <v>518</v>
      </c>
      <c r="AA136" s="6" t="n">
        <v>100000</v>
      </c>
      <c r="AB136" s="6" t="n">
        <v>100000</v>
      </c>
      <c r="AC136" s="6" t="n">
        <v>100000</v>
      </c>
      <c r="AD136" s="6" t="n">
        <v>100000</v>
      </c>
      <c r="AE136" s="4" t="s">
        <v>1024</v>
      </c>
      <c r="AF136" s="5" t="s">
        <v>1025</v>
      </c>
      <c r="AG136" s="4" t="s">
        <v>78</v>
      </c>
      <c r="AH136" s="4" t="s">
        <v>79</v>
      </c>
      <c r="AI136" s="5" t="s">
        <v>80</v>
      </c>
      <c r="AJ136" s="1" t="n">
        <v>0</v>
      </c>
      <c r="AK136" s="11" t="n">
        <v>0</v>
      </c>
      <c r="AL136" s="12" t="s">
        <v>520</v>
      </c>
      <c r="AM136" s="13" t="str">
        <f>IF(AL136="","",AL136&amp;" - "&amp;IFERROR(VLOOKUP(AL136,CODEBOOK_CAP!$C$2:$D$212,2,FALSE),""))</f>
        <v>0502 - FORMAÇÃO E DESENVOLVIMENTO PROFISSIONAL</v>
      </c>
      <c r="AN136" s="13" t="str">
        <f>IF(AL136="","",IFERROR(VLOOKUP(AL136,CODEBOOK_CAP!$C$2:$E$212,3,FALSE),""))</f>
        <v>Programas de capacitação profissional, programas de incentivo ao emprego geral, reciclagem, realocação profissional em outra área, acordos e parcerias do estado com empresas privadas na capacitação, formação e treinamento profissional.</v>
      </c>
      <c r="AO136" s="11" t="n">
        <v>0</v>
      </c>
      <c r="AP136" s="11"/>
      <c r="AQ136" s="11" t="n">
        <v>0</v>
      </c>
      <c r="AR136" s="11" t="n">
        <v>0</v>
      </c>
      <c r="AS136" s="11"/>
      <c r="AT136" s="11" t="n">
        <v>1</v>
      </c>
      <c r="AU136" s="11" t="s">
        <v>253</v>
      </c>
      <c r="AV136" s="11"/>
      <c r="AW136" s="11"/>
      <c r="AX136" s="7" t="s">
        <v>84</v>
      </c>
      <c r="AY136" s="7"/>
      <c r="AZ136" s="7"/>
      <c r="BA136" s="7"/>
    </row>
    <row r="137" ht="71.25" customHeight="1">
      <c r="A137" s="4" t="s">
        <v>1026</v>
      </c>
      <c r="B137" s="4" t="n">
        <v>2022</v>
      </c>
      <c r="C137" s="4" t="n">
        <v>4493</v>
      </c>
      <c r="D137" s="4" t="s">
        <v>54</v>
      </c>
      <c r="E137" s="4" t="s">
        <v>955</v>
      </c>
      <c r="F137" s="5" t="s">
        <v>1027</v>
      </c>
      <c r="G137" s="4" t="s">
        <v>57</v>
      </c>
      <c r="H137" s="4" t="s">
        <v>957</v>
      </c>
      <c r="I137" s="4" t="s">
        <v>500</v>
      </c>
      <c r="J137" s="4" t="s">
        <v>1028</v>
      </c>
      <c r="K137" s="4" t="s">
        <v>174</v>
      </c>
      <c r="L137" s="5" t="s">
        <v>175</v>
      </c>
      <c r="M137" s="4" t="s">
        <v>176</v>
      </c>
      <c r="N137" s="5" t="s">
        <v>177</v>
      </c>
      <c r="O137" s="4" t="s">
        <v>178</v>
      </c>
      <c r="P137" s="5" t="s">
        <v>179</v>
      </c>
      <c r="Q137" s="4" t="s">
        <v>180</v>
      </c>
      <c r="R137" s="5" t="s">
        <v>181</v>
      </c>
      <c r="S137" s="4" t="s">
        <v>182</v>
      </c>
      <c r="T137" s="5" t="s">
        <v>183</v>
      </c>
      <c r="U137" s="4" t="s">
        <v>184</v>
      </c>
      <c r="V137" s="5" t="s">
        <v>104</v>
      </c>
      <c r="W137" s="4" t="s">
        <v>105</v>
      </c>
      <c r="X137" s="4" t="s">
        <v>106</v>
      </c>
      <c r="Y137" s="5"/>
      <c r="Z137" s="4" t="s">
        <v>185</v>
      </c>
      <c r="AA137" s="6" t="n">
        <v>30000</v>
      </c>
      <c r="AB137" s="6" t="n">
        <v>30000</v>
      </c>
      <c r="AC137" s="6" t="n">
        <v>30000</v>
      </c>
      <c r="AD137" s="6" t="n">
        <v>30000</v>
      </c>
      <c r="AE137" s="4" t="s">
        <v>1029</v>
      </c>
      <c r="AF137" s="5" t="s">
        <v>1030</v>
      </c>
      <c r="AG137" s="4" t="s">
        <v>78</v>
      </c>
      <c r="AH137" s="4" t="s">
        <v>79</v>
      </c>
      <c r="AI137" s="5" t="s">
        <v>80</v>
      </c>
      <c r="AJ137" s="1" t="n">
        <v>0</v>
      </c>
      <c r="AK137" s="11" t="n">
        <v>0</v>
      </c>
      <c r="AL137" s="12" t="s">
        <v>188</v>
      </c>
      <c r="AM137" s="13" t="str">
        <f>IF(AL137="","",AL137&amp;" - "&amp;IFERROR(VLOOKUP(AL137,CODEBOOK_CAP!$C$2:$D$212,2,FALSE),""))</f>
        <v>2300 - GERAL</v>
      </c>
      <c r="AN137" s="13" t="str">
        <f>IF(AL137="","",IFERROR(VLOOKUP(AL137,CODEBOOK_CAP!$C$2:$E$212,3,FALSE),""))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37" s="11" t="n">
        <v>0</v>
      </c>
      <c r="AP137" s="11"/>
      <c r="AQ137" s="11" t="n">
        <v>0</v>
      </c>
      <c r="AR137" s="11" t="n">
        <v>0</v>
      </c>
      <c r="AS137" s="11"/>
      <c r="AT137" s="11" t="n">
        <v>1</v>
      </c>
      <c r="AU137" s="11" t="s">
        <v>996</v>
      </c>
      <c r="AV137" s="11"/>
      <c r="AW137" s="11"/>
      <c r="AX137" s="7" t="s">
        <v>84</v>
      </c>
      <c r="AY137" s="7"/>
      <c r="AZ137" s="7"/>
      <c r="BA137" s="7"/>
      <c r="BB137" s="3" t="s">
        <v>6563</v>
      </c>
    </row>
    <row r="138" ht="71.25" customHeight="1">
      <c r="A138" s="4" t="s">
        <v>1031</v>
      </c>
      <c r="B138" s="4" t="n">
        <v>2022</v>
      </c>
      <c r="C138" s="4" t="n">
        <v>4494</v>
      </c>
      <c r="D138" s="4" t="s">
        <v>54</v>
      </c>
      <c r="E138" s="4" t="s">
        <v>955</v>
      </c>
      <c r="F138" s="5" t="s">
        <v>1032</v>
      </c>
      <c r="G138" s="4" t="s">
        <v>57</v>
      </c>
      <c r="H138" s="4" t="s">
        <v>957</v>
      </c>
      <c r="I138" s="4" t="s">
        <v>500</v>
      </c>
      <c r="J138" s="4" t="s">
        <v>1033</v>
      </c>
      <c r="K138" s="4" t="s">
        <v>415</v>
      </c>
      <c r="L138" s="5" t="s">
        <v>122</v>
      </c>
      <c r="M138" s="4" t="s">
        <v>123</v>
      </c>
      <c r="N138" s="5" t="s">
        <v>227</v>
      </c>
      <c r="O138" s="4" t="s">
        <v>228</v>
      </c>
      <c r="P138" s="5" t="s">
        <v>229</v>
      </c>
      <c r="Q138" s="4" t="s">
        <v>230</v>
      </c>
      <c r="R138" s="5" t="s">
        <v>322</v>
      </c>
      <c r="S138" s="4" t="s">
        <v>323</v>
      </c>
      <c r="T138" s="5" t="s">
        <v>416</v>
      </c>
      <c r="U138" s="4" t="s">
        <v>417</v>
      </c>
      <c r="V138" s="5" t="s">
        <v>72</v>
      </c>
      <c r="W138" s="4" t="s">
        <v>73</v>
      </c>
      <c r="X138" s="4" t="s">
        <v>74</v>
      </c>
      <c r="Y138" s="5"/>
      <c r="Z138" s="4" t="s">
        <v>132</v>
      </c>
      <c r="AA138" s="6" t="n">
        <v>20000</v>
      </c>
      <c r="AB138" s="6" t="n">
        <v>19498</v>
      </c>
      <c r="AC138" s="6" t="n">
        <v>19498</v>
      </c>
      <c r="AD138" s="6" t="n">
        <v>19498</v>
      </c>
      <c r="AE138" s="4" t="s">
        <v>1000</v>
      </c>
      <c r="AF138" s="5" t="s">
        <v>1001</v>
      </c>
      <c r="AG138" s="4" t="s">
        <v>78</v>
      </c>
      <c r="AH138" s="4" t="s">
        <v>79</v>
      </c>
      <c r="AI138" s="5" t="s">
        <v>80</v>
      </c>
      <c r="AJ138" s="1" t="n">
        <v>0</v>
      </c>
      <c r="AK138" s="11" t="n">
        <v>0</v>
      </c>
      <c r="AL138" s="12" t="s">
        <v>188</v>
      </c>
      <c r="AM138" s="13" t="str">
        <f>IF(AL138="","",AL138&amp;" - "&amp;IFERROR(VLOOKUP(AL138,CODEBOOK_CAP!$C$2:$D$212,2,FALSE),""))</f>
        <v>2300 - GERAL</v>
      </c>
      <c r="AN138" s="13" t="str">
        <f>IF(AL138="","",IFERROR(VLOOKUP(AL138,CODEBOOK_CAP!$C$2:$E$212,3,FALSE),""))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38" s="11" t="n">
        <v>1</v>
      </c>
      <c r="AP138" s="11" t="s">
        <v>1034</v>
      </c>
      <c r="AQ138" s="11" t="n">
        <v>1</v>
      </c>
      <c r="AR138" s="11" t="n">
        <v>1</v>
      </c>
      <c r="AS138" s="11" t="s">
        <v>1034</v>
      </c>
      <c r="AT138" s="11" t="n">
        <v>1</v>
      </c>
      <c r="AU138" s="11" t="s">
        <v>1003</v>
      </c>
      <c r="AV138" s="11"/>
      <c r="AW138" s="11"/>
      <c r="AX138" s="7" t="s">
        <v>84</v>
      </c>
      <c r="AY138" s="7"/>
      <c r="AZ138" s="7"/>
      <c r="BA138" s="7"/>
      <c r="BB138" s="3" t="s">
        <v>6564</v>
      </c>
    </row>
    <row r="139" ht="99.75" customHeight="1">
      <c r="A139" s="4" t="s">
        <v>1035</v>
      </c>
      <c r="B139" s="4" t="n">
        <v>2022</v>
      </c>
      <c r="C139" s="4" t="n">
        <v>4495</v>
      </c>
      <c r="D139" s="4" t="s">
        <v>54</v>
      </c>
      <c r="E139" s="4" t="s">
        <v>955</v>
      </c>
      <c r="F139" s="5" t="s">
        <v>1036</v>
      </c>
      <c r="G139" s="4" t="s">
        <v>57</v>
      </c>
      <c r="H139" s="4" t="s">
        <v>957</v>
      </c>
      <c r="I139" s="4" t="s">
        <v>500</v>
      </c>
      <c r="J139" s="4" t="s">
        <v>1037</v>
      </c>
      <c r="K139" s="4" t="s">
        <v>1038</v>
      </c>
      <c r="L139" s="5" t="s">
        <v>122</v>
      </c>
      <c r="M139" s="4" t="s">
        <v>123</v>
      </c>
      <c r="N139" s="5" t="s">
        <v>124</v>
      </c>
      <c r="O139" s="4" t="s">
        <v>125</v>
      </c>
      <c r="P139" s="5" t="s">
        <v>126</v>
      </c>
      <c r="Q139" s="4" t="s">
        <v>127</v>
      </c>
      <c r="R139" s="5" t="s">
        <v>1039</v>
      </c>
      <c r="S139" s="4" t="s">
        <v>1040</v>
      </c>
      <c r="T139" s="5" t="s">
        <v>1041</v>
      </c>
      <c r="U139" s="4" t="s">
        <v>1042</v>
      </c>
      <c r="V139" s="5" t="s">
        <v>104</v>
      </c>
      <c r="W139" s="4" t="s">
        <v>105</v>
      </c>
      <c r="X139" s="4" t="s">
        <v>106</v>
      </c>
      <c r="Y139" s="5"/>
      <c r="Z139" s="4" t="s">
        <v>132</v>
      </c>
      <c r="AA139" s="6" t="n">
        <v>7500</v>
      </c>
      <c r="AB139" s="6" t="n">
        <v>0</v>
      </c>
      <c r="AC139" s="6" t="n">
        <v>0</v>
      </c>
      <c r="AD139" s="6" t="n">
        <v>0</v>
      </c>
      <c r="AE139" s="4"/>
      <c r="AF139" s="5"/>
      <c r="AG139" s="4" t="s">
        <v>78</v>
      </c>
      <c r="AH139" s="4" t="s">
        <v>79</v>
      </c>
      <c r="AI139" s="5" t="s">
        <v>80</v>
      </c>
      <c r="AJ139" s="1" t="n">
        <v>0</v>
      </c>
      <c r="AK139" s="11" t="n">
        <v>0</v>
      </c>
      <c r="AL139" s="12" t="s">
        <v>1043</v>
      </c>
      <c r="AM139" s="13" t="str">
        <f>IF(AL139="","",AL139&amp;" - "&amp;IFERROR(VLOOKUP(AL139,CODEBOOK_CAP!$C$2:$D$212,2,FALSE),""))</f>
        <v>0802 - ELETRICIDADE E HIDROELÉTRICAS</v>
      </c>
      <c r="AN139" s="13" t="str">
        <f>IF(AL139="","",IFERROR(VLOOKUP(AL139,CODEBOOK_CAP!$C$2:$E$212,3,FALSE),""))</f>
        <v>Planejamento de rede elétrica, postes, rede elétrica de fiação, distribuição de energia elétrica, privatizações e estataizações de companhias elétricas. Hidroelétricas, construção e manutenção de hidroeletricas, capacidade produtiva de hidroeletricas, licenciamento e normas de funcionamento de hidroeletricas, precos, taxas e tarifas de produção e distribuição de eletricidade, acidentes com producao e distribuicao de rede eletrica e hidroeletricas</v>
      </c>
      <c r="AO139" s="11" t="n">
        <v>1</v>
      </c>
      <c r="AP139" s="11" t="s">
        <v>1044</v>
      </c>
      <c r="AQ139" s="11" t="n">
        <v>1</v>
      </c>
      <c r="AR139" s="11" t="n">
        <v>1</v>
      </c>
      <c r="AS139" s="11" t="s">
        <v>1044</v>
      </c>
      <c r="AT139" s="11" t="n">
        <v>0</v>
      </c>
      <c r="AU139" s="11"/>
      <c r="AV139" s="11"/>
      <c r="AW139" s="11"/>
      <c r="AX139" s="7" t="s">
        <v>84</v>
      </c>
      <c r="AY139" s="7"/>
      <c r="AZ139" s="7"/>
      <c r="BA139" s="7"/>
    </row>
    <row r="140" ht="71.25" customHeight="1">
      <c r="A140" s="4" t="s">
        <v>1045</v>
      </c>
      <c r="B140" s="4" t="n">
        <v>2022</v>
      </c>
      <c r="C140" s="4" t="n">
        <v>4496</v>
      </c>
      <c r="D140" s="4" t="s">
        <v>54</v>
      </c>
      <c r="E140" s="4" t="s">
        <v>955</v>
      </c>
      <c r="F140" s="5" t="s">
        <v>1046</v>
      </c>
      <c r="G140" s="4" t="s">
        <v>57</v>
      </c>
      <c r="H140" s="4" t="s">
        <v>957</v>
      </c>
      <c r="I140" s="4" t="s">
        <v>500</v>
      </c>
      <c r="J140" s="4" t="s">
        <v>1047</v>
      </c>
      <c r="K140" s="4" t="s">
        <v>1048</v>
      </c>
      <c r="L140" s="5" t="s">
        <v>595</v>
      </c>
      <c r="M140" s="4" t="s">
        <v>596</v>
      </c>
      <c r="N140" s="5" t="s">
        <v>597</v>
      </c>
      <c r="O140" s="4" t="s">
        <v>598</v>
      </c>
      <c r="P140" s="5" t="s">
        <v>874</v>
      </c>
      <c r="Q140" s="4" t="s">
        <v>1049</v>
      </c>
      <c r="R140" s="5" t="s">
        <v>1050</v>
      </c>
      <c r="S140" s="4" t="s">
        <v>1051</v>
      </c>
      <c r="T140" s="5" t="s">
        <v>1052</v>
      </c>
      <c r="U140" s="4" t="s">
        <v>1053</v>
      </c>
      <c r="V140" s="5" t="s">
        <v>310</v>
      </c>
      <c r="W140" s="4" t="s">
        <v>73</v>
      </c>
      <c r="X140" s="4" t="s">
        <v>74</v>
      </c>
      <c r="Y140" s="5"/>
      <c r="Z140" s="4" t="s">
        <v>606</v>
      </c>
      <c r="AA140" s="6" t="n">
        <v>100000</v>
      </c>
      <c r="AB140" s="6" t="n">
        <v>0</v>
      </c>
      <c r="AC140" s="6" t="n">
        <v>0</v>
      </c>
      <c r="AD140" s="6" t="n">
        <v>0</v>
      </c>
      <c r="AE140" s="4"/>
      <c r="AF140" s="5"/>
      <c r="AG140" s="4" t="s">
        <v>78</v>
      </c>
      <c r="AH140" s="4" t="s">
        <v>79</v>
      </c>
      <c r="AI140" s="5" t="s">
        <v>80</v>
      </c>
      <c r="AJ140" s="1" t="n">
        <v>0</v>
      </c>
      <c r="AK140" s="11" t="n">
        <v>0</v>
      </c>
      <c r="AL140" s="12" t="s">
        <v>1054</v>
      </c>
      <c r="AM140" s="13" t="str">
        <f>IF(AL140="","",AL140&amp;" - "&amp;IFERROR(VLOOKUP(AL140,CODEBOOK_CAP!$C$2:$D$212,2,FALSE),""))</f>
        <v>0603 - EDUCAÇÃO ESPECIAL, INCLUSÃO</v>
      </c>
      <c r="AN140" s="13" t="str">
        <f>IF(AL140="","",IFERROR(VLOOKUP(AL140,CODEBOOK_CAP!$C$2:$E$212,3,FALSE),""))</f>
        <v>Observações relacionadas ao ensino especial, alfabetização de de adultos, EJA, jovens fora do período escolar adequado, educação e ensino especial para cegos, surdos e criancas com dificuldades de aprendizagem, programas para criancas especiais, portadores de deficiência, reforço escolar, apoio especializado, APAE.</v>
      </c>
      <c r="AO140" s="11" t="n">
        <v>0</v>
      </c>
      <c r="AP140" s="11"/>
      <c r="AQ140" s="11" t="n">
        <v>0</v>
      </c>
      <c r="AR140" s="11" t="n">
        <v>0</v>
      </c>
      <c r="AS140" s="11"/>
      <c r="AT140" s="11" t="n">
        <v>1</v>
      </c>
      <c r="AU140" s="11" t="s">
        <v>1055</v>
      </c>
      <c r="AV140" s="11"/>
      <c r="AW140" s="11"/>
      <c r="AX140" s="7" t="s">
        <v>84</v>
      </c>
      <c r="AY140" s="7"/>
      <c r="AZ140" s="7"/>
      <c r="BA140" s="7"/>
    </row>
    <row r="141" ht="114" customHeight="1">
      <c r="A141" s="4" t="s">
        <v>1056</v>
      </c>
      <c r="B141" s="4" t="n">
        <v>2022</v>
      </c>
      <c r="C141" s="4" t="n">
        <v>4497</v>
      </c>
      <c r="D141" s="4" t="s">
        <v>54</v>
      </c>
      <c r="E141" s="4" t="s">
        <v>955</v>
      </c>
      <c r="F141" s="5" t="s">
        <v>1057</v>
      </c>
      <c r="G141" s="4" t="s">
        <v>57</v>
      </c>
      <c r="H141" s="4" t="s">
        <v>957</v>
      </c>
      <c r="I141" s="4" t="s">
        <v>500</v>
      </c>
      <c r="J141" s="4" t="s">
        <v>1058</v>
      </c>
      <c r="K141" s="4" t="s">
        <v>1059</v>
      </c>
      <c r="L141" s="5" t="s">
        <v>225</v>
      </c>
      <c r="M141" s="4" t="s">
        <v>226</v>
      </c>
      <c r="N141" s="5" t="s">
        <v>227</v>
      </c>
      <c r="O141" s="4" t="s">
        <v>228</v>
      </c>
      <c r="P141" s="5" t="s">
        <v>1060</v>
      </c>
      <c r="Q141" s="4" t="s">
        <v>1061</v>
      </c>
      <c r="R141" s="5" t="s">
        <v>1062</v>
      </c>
      <c r="S141" s="4" t="s">
        <v>1063</v>
      </c>
      <c r="T141" s="5" t="s">
        <v>1064</v>
      </c>
      <c r="U141" s="4" t="s">
        <v>1065</v>
      </c>
      <c r="V141" s="5" t="s">
        <v>104</v>
      </c>
      <c r="W141" s="4" t="s">
        <v>105</v>
      </c>
      <c r="X141" s="4" t="s">
        <v>106</v>
      </c>
      <c r="Y141" s="5"/>
      <c r="Z141" s="4" t="s">
        <v>235</v>
      </c>
      <c r="AA141" s="6" t="n">
        <v>80000</v>
      </c>
      <c r="AB141" s="6" t="n">
        <v>80000</v>
      </c>
      <c r="AC141" s="6" t="n">
        <v>80000</v>
      </c>
      <c r="AD141" s="6" t="n">
        <v>80000</v>
      </c>
      <c r="AE141" s="4" t="s">
        <v>1066</v>
      </c>
      <c r="AF141" s="5" t="s">
        <v>1067</v>
      </c>
      <c r="AG141" s="4" t="s">
        <v>78</v>
      </c>
      <c r="AH141" s="4" t="s">
        <v>79</v>
      </c>
      <c r="AI141" s="5" t="s">
        <v>80</v>
      </c>
      <c r="AJ141" s="1" t="n">
        <v>0</v>
      </c>
      <c r="AK141" s="11" t="n">
        <v>0</v>
      </c>
      <c r="AL141" s="12" t="s">
        <v>1068</v>
      </c>
      <c r="AM141" s="13" t="str">
        <f>IF(AL141="","",AL141&amp;" - "&amp;IFERROR(VLOOKUP(AL141,CODEBOOK_CAP!$C$2:$D$212,2,FALSE),""))</f>
        <v>0405 - CONTROLE DE DOENÇAS ANIMAIS</v>
      </c>
      <c r="AN141" s="13" t="str">
        <f>IF(AL141="","",IFERROR(VLOOKUP(AL141,CODEBOOK_CAP!$C$2:$E$212,3,FALSE),""))</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O141" s="11" t="n">
        <v>0</v>
      </c>
      <c r="AP141" s="11"/>
      <c r="AQ141" s="11" t="n">
        <v>0</v>
      </c>
      <c r="AR141" s="11" t="n">
        <v>0</v>
      </c>
      <c r="AS141" s="11"/>
      <c r="AT141" s="11" t="n">
        <v>1</v>
      </c>
      <c r="AU141" s="11" t="s">
        <v>1069</v>
      </c>
      <c r="AV141" s="11"/>
      <c r="AW141" s="11"/>
      <c r="AX141" s="7" t="s">
        <v>84</v>
      </c>
      <c r="AY141" s="7"/>
      <c r="AZ141" s="7"/>
      <c r="BA141" s="7"/>
    </row>
    <row r="142" ht="114" customHeight="1">
      <c r="A142" s="4" t="s">
        <v>1070</v>
      </c>
      <c r="B142" s="4" t="n">
        <v>2022</v>
      </c>
      <c r="C142" s="4" t="n">
        <v>4498</v>
      </c>
      <c r="D142" s="4" t="s">
        <v>54</v>
      </c>
      <c r="E142" s="4" t="s">
        <v>955</v>
      </c>
      <c r="F142" s="5" t="s">
        <v>1071</v>
      </c>
      <c r="G142" s="4" t="s">
        <v>57</v>
      </c>
      <c r="H142" s="4" t="s">
        <v>957</v>
      </c>
      <c r="I142" s="4" t="s">
        <v>500</v>
      </c>
      <c r="J142" s="4" t="s">
        <v>1072</v>
      </c>
      <c r="K142" s="4" t="s">
        <v>1059</v>
      </c>
      <c r="L142" s="5" t="s">
        <v>225</v>
      </c>
      <c r="M142" s="4" t="s">
        <v>226</v>
      </c>
      <c r="N142" s="5" t="s">
        <v>227</v>
      </c>
      <c r="O142" s="4" t="s">
        <v>228</v>
      </c>
      <c r="P142" s="5" t="s">
        <v>1060</v>
      </c>
      <c r="Q142" s="4" t="s">
        <v>1061</v>
      </c>
      <c r="R142" s="5" t="s">
        <v>1062</v>
      </c>
      <c r="S142" s="4" t="s">
        <v>1063</v>
      </c>
      <c r="T142" s="5" t="s">
        <v>1064</v>
      </c>
      <c r="U142" s="4" t="s">
        <v>1065</v>
      </c>
      <c r="V142" s="5" t="s">
        <v>104</v>
      </c>
      <c r="W142" s="4" t="s">
        <v>105</v>
      </c>
      <c r="X142" s="4" t="s">
        <v>106</v>
      </c>
      <c r="Y142" s="5"/>
      <c r="Z142" s="4" t="s">
        <v>235</v>
      </c>
      <c r="AA142" s="6" t="n">
        <v>50000</v>
      </c>
      <c r="AB142" s="6" t="n">
        <v>50000</v>
      </c>
      <c r="AC142" s="6" t="n">
        <v>50000</v>
      </c>
      <c r="AD142" s="6" t="n">
        <v>50000</v>
      </c>
      <c r="AE142" s="4" t="s">
        <v>1066</v>
      </c>
      <c r="AF142" s="5" t="s">
        <v>1067</v>
      </c>
      <c r="AG142" s="4" t="s">
        <v>78</v>
      </c>
      <c r="AH142" s="4" t="s">
        <v>79</v>
      </c>
      <c r="AI142" s="5" t="s">
        <v>80</v>
      </c>
      <c r="AJ142" s="1" t="n">
        <v>0</v>
      </c>
      <c r="AK142" s="11" t="n">
        <v>0</v>
      </c>
      <c r="AL142" s="12" t="s">
        <v>1068</v>
      </c>
      <c r="AM142" s="13" t="str">
        <f>IF(AL142="","",AL142&amp;" - "&amp;IFERROR(VLOOKUP(AL142,CODEBOOK_CAP!$C$2:$D$212,2,FALSE),""))</f>
        <v>0405 - CONTROLE DE DOENÇAS ANIMAIS</v>
      </c>
      <c r="AN142" s="13" t="str">
        <f>IF(AL142="","",IFERROR(VLOOKUP(AL142,CODEBOOK_CAP!$C$2:$E$212,3,FALSE),""))</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O142" s="11" t="n">
        <v>0</v>
      </c>
      <c r="AP142" s="11"/>
      <c r="AQ142" s="11" t="n">
        <v>0</v>
      </c>
      <c r="AR142" s="11" t="n">
        <v>0</v>
      </c>
      <c r="AS142" s="11"/>
      <c r="AT142" s="11" t="n">
        <v>1</v>
      </c>
      <c r="AU142" s="11" t="s">
        <v>1069</v>
      </c>
      <c r="AV142" s="11"/>
      <c r="AW142" s="11"/>
      <c r="AX142" s="7" t="s">
        <v>84</v>
      </c>
      <c r="AY142" s="7"/>
      <c r="AZ142" s="7"/>
      <c r="BA142" s="7"/>
    </row>
    <row r="143" ht="99.75" customHeight="1">
      <c r="A143" s="4" t="s">
        <v>1073</v>
      </c>
      <c r="B143" s="4" t="n">
        <v>2022</v>
      </c>
      <c r="C143" s="4" t="n">
        <v>4499</v>
      </c>
      <c r="D143" s="4" t="s">
        <v>54</v>
      </c>
      <c r="E143" s="4" t="s">
        <v>955</v>
      </c>
      <c r="F143" s="5" t="s">
        <v>1074</v>
      </c>
      <c r="G143" s="4" t="s">
        <v>57</v>
      </c>
      <c r="H143" s="4" t="s">
        <v>957</v>
      </c>
      <c r="I143" s="4" t="s">
        <v>500</v>
      </c>
      <c r="J143" s="4" t="s">
        <v>1075</v>
      </c>
      <c r="K143" s="4" t="s">
        <v>1076</v>
      </c>
      <c r="L143" s="5" t="s">
        <v>1077</v>
      </c>
      <c r="M143" s="4" t="s">
        <v>1078</v>
      </c>
      <c r="N143" s="5" t="s">
        <v>227</v>
      </c>
      <c r="O143" s="4" t="s">
        <v>228</v>
      </c>
      <c r="P143" s="5" t="s">
        <v>229</v>
      </c>
      <c r="Q143" s="4" t="s">
        <v>230</v>
      </c>
      <c r="R143" s="5" t="s">
        <v>1079</v>
      </c>
      <c r="S143" s="4" t="s">
        <v>1080</v>
      </c>
      <c r="T143" s="5" t="s">
        <v>1081</v>
      </c>
      <c r="U143" s="4" t="s">
        <v>1082</v>
      </c>
      <c r="V143" s="5" t="s">
        <v>706</v>
      </c>
      <c r="W143" s="4" t="s">
        <v>105</v>
      </c>
      <c r="X143" s="4" t="s">
        <v>106</v>
      </c>
      <c r="Y143" s="5"/>
      <c r="Z143" s="4" t="s">
        <v>1083</v>
      </c>
      <c r="AA143" s="6" t="n">
        <v>36000</v>
      </c>
      <c r="AB143" s="6" t="n">
        <v>28574</v>
      </c>
      <c r="AC143" s="6" t="n">
        <v>28574</v>
      </c>
      <c r="AD143" s="6" t="n">
        <v>28574</v>
      </c>
      <c r="AE143" s="4" t="s">
        <v>1084</v>
      </c>
      <c r="AF143" s="5" t="s">
        <v>1085</v>
      </c>
      <c r="AG143" s="4" t="s">
        <v>78</v>
      </c>
      <c r="AH143" s="4" t="s">
        <v>79</v>
      </c>
      <c r="AI143" s="5" t="s">
        <v>80</v>
      </c>
      <c r="AJ143" s="1" t="n">
        <v>0</v>
      </c>
      <c r="AK143" s="11" t="n">
        <v>0</v>
      </c>
      <c r="AL143" s="12" t="s">
        <v>1086</v>
      </c>
      <c r="AM143" s="13" t="str">
        <f>IF(AL143="","",AL143&amp;" - "&amp;IFERROR(VLOOKUP(AL143,CODEBOOK_CAP!$C$2:$D$212,2,FALSE),""))</f>
        <v>0705 - POLUIÇÃO DO AR, VISUAL E SONORA E TEMPERATURA</v>
      </c>
      <c r="AN143" s="13" t="str">
        <f>IF(AL143="","",IFERROR(VLOOKUP(AL143,CODEBOOK_CAP!$C$2:$E$212,3,FALSE),""))</f>
        <v>Questões vinculadas com a variação de temperatura global, aquecimento global, degelo, mudanças de temperatura, pouição do ar, poluição visual, poluição sonora, regras e normas ambientais de combate a poluição, emissão de gases, regras de banners, paineis e fachadas de comércio visual, restrição e normas de barulhos, ruidos e poluição sonora, qualidade do ar, programas de redução de poluição do ar, plantio de arvores, arborização</v>
      </c>
      <c r="AO143" s="11" t="n">
        <v>0</v>
      </c>
      <c r="AP143" s="11"/>
      <c r="AQ143" s="11" t="n">
        <v>0</v>
      </c>
      <c r="AR143" s="11" t="n">
        <v>0</v>
      </c>
      <c r="AS143" s="11"/>
      <c r="AT143" s="11" t="n">
        <v>0</v>
      </c>
      <c r="AU143" s="11"/>
      <c r="AV143" s="11"/>
      <c r="AW143" s="11"/>
      <c r="AX143" s="7" t="s">
        <v>84</v>
      </c>
      <c r="AY143" s="7"/>
      <c r="AZ143" s="7"/>
      <c r="BA143" s="7"/>
    </row>
    <row r="144" ht="99.75" customHeight="1">
      <c r="A144" s="4" t="s">
        <v>1087</v>
      </c>
      <c r="B144" s="4" t="n">
        <v>2022</v>
      </c>
      <c r="C144" s="4" t="n">
        <v>4500</v>
      </c>
      <c r="D144" s="4" t="s">
        <v>54</v>
      </c>
      <c r="E144" s="4" t="s">
        <v>955</v>
      </c>
      <c r="F144" s="5" t="s">
        <v>1088</v>
      </c>
      <c r="G144" s="4" t="s">
        <v>57</v>
      </c>
      <c r="H144" s="4" t="s">
        <v>957</v>
      </c>
      <c r="I144" s="4" t="s">
        <v>500</v>
      </c>
      <c r="J144" s="4" t="s">
        <v>1075</v>
      </c>
      <c r="K144" s="4" t="s">
        <v>1089</v>
      </c>
      <c r="L144" s="5" t="s">
        <v>1077</v>
      </c>
      <c r="M144" s="4" t="s">
        <v>1078</v>
      </c>
      <c r="N144" s="5" t="s">
        <v>227</v>
      </c>
      <c r="O144" s="4" t="s">
        <v>228</v>
      </c>
      <c r="P144" s="5" t="s">
        <v>229</v>
      </c>
      <c r="Q144" s="4" t="s">
        <v>230</v>
      </c>
      <c r="R144" s="5" t="s">
        <v>1079</v>
      </c>
      <c r="S144" s="4" t="s">
        <v>1080</v>
      </c>
      <c r="T144" s="5" t="s">
        <v>1081</v>
      </c>
      <c r="U144" s="4" t="s">
        <v>1082</v>
      </c>
      <c r="V144" s="5" t="s">
        <v>1090</v>
      </c>
      <c r="W144" s="4" t="s">
        <v>105</v>
      </c>
      <c r="X144" s="4" t="s">
        <v>106</v>
      </c>
      <c r="Y144" s="5"/>
      <c r="Z144" s="4" t="s">
        <v>1083</v>
      </c>
      <c r="AA144" s="6" t="n">
        <v>54000</v>
      </c>
      <c r="AB144" s="6" t="n">
        <v>54000</v>
      </c>
      <c r="AC144" s="6" t="n">
        <v>54000</v>
      </c>
      <c r="AD144" s="6" t="n">
        <v>54000</v>
      </c>
      <c r="AE144" s="4" t="s">
        <v>1091</v>
      </c>
      <c r="AF144" s="5" t="s">
        <v>1092</v>
      </c>
      <c r="AG144" s="4" t="s">
        <v>78</v>
      </c>
      <c r="AH144" s="4" t="s">
        <v>79</v>
      </c>
      <c r="AI144" s="5" t="s">
        <v>80</v>
      </c>
      <c r="AJ144" s="1" t="n">
        <v>0</v>
      </c>
      <c r="AK144" s="11" t="n">
        <v>0</v>
      </c>
      <c r="AL144" s="12" t="s">
        <v>1086</v>
      </c>
      <c r="AM144" s="13" t="str">
        <f>IF(AL144="","",AL144&amp;" - "&amp;IFERROR(VLOOKUP(AL144,CODEBOOK_CAP!$C$2:$D$212,2,FALSE),""))</f>
        <v>0705 - POLUIÇÃO DO AR, VISUAL E SONORA E TEMPERATURA</v>
      </c>
      <c r="AN144" s="13" t="str">
        <f>IF(AL144="","",IFERROR(VLOOKUP(AL144,CODEBOOK_CAP!$C$2:$E$212,3,FALSE),""))</f>
        <v>Questões vinculadas com a variação de temperatura global, aquecimento global, degelo, mudanças de temperatura, pouição do ar, poluição visual, poluição sonora, regras e normas ambientais de combate a poluição, emissão de gases, regras de banners, paineis e fachadas de comércio visual, restrição e normas de barulhos, ruidos e poluição sonora, qualidade do ar, programas de redução de poluição do ar, plantio de arvores, arborização</v>
      </c>
      <c r="AO144" s="11" t="n">
        <v>0</v>
      </c>
      <c r="AP144" s="11"/>
      <c r="AQ144" s="11" t="n">
        <v>0</v>
      </c>
      <c r="AR144" s="11" t="n">
        <v>0</v>
      </c>
      <c r="AS144" s="11"/>
      <c r="AT144" s="11" t="n">
        <v>0</v>
      </c>
      <c r="AU144" s="11"/>
      <c r="AV144" s="11"/>
      <c r="AW144" s="11"/>
      <c r="AX144" s="7" t="s">
        <v>84</v>
      </c>
      <c r="AY144" s="7"/>
      <c r="AZ144" s="7"/>
      <c r="BA144" s="7"/>
    </row>
    <row r="145" ht="99.75" customHeight="1">
      <c r="A145" s="4" t="s">
        <v>1093</v>
      </c>
      <c r="B145" s="4" t="n">
        <v>2022</v>
      </c>
      <c r="C145" s="4" t="n">
        <v>4501</v>
      </c>
      <c r="D145" s="4" t="s">
        <v>54</v>
      </c>
      <c r="E145" s="4" t="s">
        <v>955</v>
      </c>
      <c r="F145" s="5" t="s">
        <v>1094</v>
      </c>
      <c r="G145" s="4" t="s">
        <v>57</v>
      </c>
      <c r="H145" s="4" t="s">
        <v>957</v>
      </c>
      <c r="I145" s="4" t="s">
        <v>500</v>
      </c>
      <c r="J145" s="4" t="s">
        <v>1095</v>
      </c>
      <c r="K145" s="4" t="s">
        <v>1096</v>
      </c>
      <c r="L145" s="5" t="s">
        <v>1077</v>
      </c>
      <c r="M145" s="4" t="s">
        <v>1078</v>
      </c>
      <c r="N145" s="5" t="s">
        <v>227</v>
      </c>
      <c r="O145" s="4" t="s">
        <v>228</v>
      </c>
      <c r="P145" s="5" t="s">
        <v>229</v>
      </c>
      <c r="Q145" s="4" t="s">
        <v>230</v>
      </c>
      <c r="R145" s="5" t="s">
        <v>1079</v>
      </c>
      <c r="S145" s="4" t="s">
        <v>1080</v>
      </c>
      <c r="T145" s="5" t="s">
        <v>1097</v>
      </c>
      <c r="U145" s="4" t="s">
        <v>1098</v>
      </c>
      <c r="V145" s="5" t="s">
        <v>104</v>
      </c>
      <c r="W145" s="4" t="s">
        <v>105</v>
      </c>
      <c r="X145" s="4" t="s">
        <v>106</v>
      </c>
      <c r="Y145" s="5"/>
      <c r="Z145" s="4" t="s">
        <v>1083</v>
      </c>
      <c r="AA145" s="6" t="n">
        <v>88703</v>
      </c>
      <c r="AB145" s="6" t="n">
        <v>60840</v>
      </c>
      <c r="AC145" s="6" t="n">
        <v>60840</v>
      </c>
      <c r="AD145" s="6" t="n">
        <v>60840</v>
      </c>
      <c r="AE145" s="4" t="s">
        <v>1099</v>
      </c>
      <c r="AF145" s="5" t="s">
        <v>1100</v>
      </c>
      <c r="AG145" s="4" t="s">
        <v>78</v>
      </c>
      <c r="AH145" s="4" t="s">
        <v>79</v>
      </c>
      <c r="AI145" s="5" t="s">
        <v>80</v>
      </c>
      <c r="AJ145" s="1" t="n">
        <v>0</v>
      </c>
      <c r="AK145" s="11" t="n">
        <v>0</v>
      </c>
      <c r="AL145" s="12" t="s">
        <v>1101</v>
      </c>
      <c r="AM145" s="13" t="str">
        <f>IF(AL145="","",AL145&amp;" - "&amp;IFERROR(VLOOKUP(AL145,CODEBOOK_CAP!$C$2:$D$212,2,FALSE),""))</f>
        <v>0709 - PROTEÇÃO DE ESPÉCIES, FAUNA, FLORA E FLORESTAS</v>
      </c>
      <c r="AN145" s="13" t="str">
        <f>IF(AL145="","",IFERROR(VLOOKUP(AL145,CODEBOOK_CAP!$C$2:$E$212,3,FALSE),""))</f>
        <v>Proteção de espécies em extinção, preservação do ecossistema, comércio ilegal de animais, regulações do IBAMA, comércio de plantas, proteção de florestas. regulamentação de caça de animais silvestres, lista de espécies protegidas e ameaçadas de extinção. Assuntos relacioandos a preservação de espécies e florestas que não impliquem criação ou manutenção de reservas. Quando o tema for vinculado ao território, craiação e manutenção de espaços públicos, codificar no 2101.</v>
      </c>
      <c r="AO145" s="11" t="n">
        <v>0</v>
      </c>
      <c r="AP145" s="11"/>
      <c r="AQ145" s="11" t="n">
        <v>0</v>
      </c>
      <c r="AR145" s="11" t="n">
        <v>0</v>
      </c>
      <c r="AS145" s="11"/>
      <c r="AT145" s="11" t="n">
        <v>0</v>
      </c>
      <c r="AU145" s="11"/>
      <c r="AV145" s="11"/>
      <c r="AW145" s="11"/>
      <c r="AX145" s="7" t="s">
        <v>84</v>
      </c>
      <c r="AY145" s="7"/>
      <c r="AZ145" s="7"/>
      <c r="BA145" s="7"/>
    </row>
    <row r="146" ht="85.5" customHeight="1">
      <c r="A146" s="4" t="s">
        <v>1102</v>
      </c>
      <c r="B146" s="4" t="n">
        <v>2022</v>
      </c>
      <c r="C146" s="4" t="n">
        <v>4502</v>
      </c>
      <c r="D146" s="4" t="s">
        <v>54</v>
      </c>
      <c r="E146" s="4" t="s">
        <v>955</v>
      </c>
      <c r="F146" s="5" t="s">
        <v>1103</v>
      </c>
      <c r="G146" s="4" t="s">
        <v>57</v>
      </c>
      <c r="H146" s="4" t="s">
        <v>957</v>
      </c>
      <c r="I146" s="4" t="s">
        <v>500</v>
      </c>
      <c r="J146" s="4" t="s">
        <v>1104</v>
      </c>
      <c r="K146" s="4" t="s">
        <v>1096</v>
      </c>
      <c r="L146" s="5" t="s">
        <v>1077</v>
      </c>
      <c r="M146" s="4" t="s">
        <v>1078</v>
      </c>
      <c r="N146" s="5" t="s">
        <v>227</v>
      </c>
      <c r="O146" s="4" t="s">
        <v>228</v>
      </c>
      <c r="P146" s="5" t="s">
        <v>229</v>
      </c>
      <c r="Q146" s="4" t="s">
        <v>230</v>
      </c>
      <c r="R146" s="5" t="s">
        <v>1079</v>
      </c>
      <c r="S146" s="4" t="s">
        <v>1080</v>
      </c>
      <c r="T146" s="5" t="s">
        <v>1097</v>
      </c>
      <c r="U146" s="4" t="s">
        <v>1098</v>
      </c>
      <c r="V146" s="5" t="s">
        <v>104</v>
      </c>
      <c r="W146" s="4" t="s">
        <v>105</v>
      </c>
      <c r="X146" s="4" t="s">
        <v>106</v>
      </c>
      <c r="Y146" s="5"/>
      <c r="Z146" s="4" t="s">
        <v>1083</v>
      </c>
      <c r="AA146" s="6" t="n">
        <v>77000</v>
      </c>
      <c r="AB146" s="6" t="n">
        <v>61715</v>
      </c>
      <c r="AC146" s="6" t="n">
        <v>61715</v>
      </c>
      <c r="AD146" s="6" t="n">
        <v>61715</v>
      </c>
      <c r="AE146" s="4" t="s">
        <v>1105</v>
      </c>
      <c r="AF146" s="5" t="s">
        <v>1106</v>
      </c>
      <c r="AG146" s="4" t="s">
        <v>78</v>
      </c>
      <c r="AH146" s="4" t="s">
        <v>79</v>
      </c>
      <c r="AI146" s="5" t="s">
        <v>80</v>
      </c>
      <c r="AJ146" s="1" t="n">
        <v>0</v>
      </c>
      <c r="AK146" s="11" t="n">
        <v>0</v>
      </c>
      <c r="AL146" s="12" t="s">
        <v>1107</v>
      </c>
      <c r="AM146" s="13" t="str">
        <f>IF(AL146="","",AL146&amp;" - "&amp;IFERROR(VLOOKUP(AL146,CODEBOOK_CAP!$C$2:$D$212,2,FALSE),""))</f>
        <v>2101 - PARQUES PÚBLICOS E RESERVAS DE PRESERVAÇÃO</v>
      </c>
      <c r="AN146" s="13" t="str">
        <f>IF(AL146="","",IFERROR(VLOOKUP(AL146,CODEBOOK_CAP!$C$2:$E$212,3,FALSE),""))</f>
        <v>Regulação, normas, orinetações, manutenção em território publico aberto, como parques, reservas ambientais, áreas protegidas e de preservação ambiental. Regulação de parques naturais e áreas protegidas. Utilização de bosques e florestas públicas</v>
      </c>
      <c r="AO146" s="11" t="n">
        <v>0</v>
      </c>
      <c r="AP146" s="11"/>
      <c r="AQ146" s="11" t="n">
        <v>1</v>
      </c>
      <c r="AR146" s="11" t="n">
        <v>1</v>
      </c>
      <c r="AS146" s="11" t="s">
        <v>1108</v>
      </c>
      <c r="AT146" s="11" t="n">
        <v>0</v>
      </c>
      <c r="AU146" s="11"/>
      <c r="AV146" s="11"/>
      <c r="AW146" s="11"/>
      <c r="AX146" s="7" t="s">
        <v>84</v>
      </c>
      <c r="AY146" s="7"/>
      <c r="AZ146" s="7"/>
      <c r="BA146" s="7"/>
    </row>
    <row r="147" ht="99.75" customHeight="1">
      <c r="A147" s="4" t="s">
        <v>1109</v>
      </c>
      <c r="B147" s="4" t="n">
        <v>2022</v>
      </c>
      <c r="C147" s="4" t="n">
        <v>4503</v>
      </c>
      <c r="D147" s="4" t="s">
        <v>54</v>
      </c>
      <c r="E147" s="4" t="s">
        <v>955</v>
      </c>
      <c r="F147" s="5" t="s">
        <v>1110</v>
      </c>
      <c r="G147" s="4" t="s">
        <v>57</v>
      </c>
      <c r="H147" s="4" t="s">
        <v>957</v>
      </c>
      <c r="I147" s="4" t="s">
        <v>500</v>
      </c>
      <c r="J147" s="4" t="s">
        <v>1111</v>
      </c>
      <c r="K147" s="4" t="s">
        <v>1096</v>
      </c>
      <c r="L147" s="5" t="s">
        <v>1077</v>
      </c>
      <c r="M147" s="4" t="s">
        <v>1078</v>
      </c>
      <c r="N147" s="5" t="s">
        <v>227</v>
      </c>
      <c r="O147" s="4" t="s">
        <v>228</v>
      </c>
      <c r="P147" s="5" t="s">
        <v>229</v>
      </c>
      <c r="Q147" s="4" t="s">
        <v>230</v>
      </c>
      <c r="R147" s="5" t="s">
        <v>1079</v>
      </c>
      <c r="S147" s="4" t="s">
        <v>1080</v>
      </c>
      <c r="T147" s="5" t="s">
        <v>1097</v>
      </c>
      <c r="U147" s="4" t="s">
        <v>1098</v>
      </c>
      <c r="V147" s="5" t="s">
        <v>104</v>
      </c>
      <c r="W147" s="4" t="s">
        <v>105</v>
      </c>
      <c r="X147" s="4" t="s">
        <v>106</v>
      </c>
      <c r="Y147" s="5"/>
      <c r="Z147" s="4" t="s">
        <v>1083</v>
      </c>
      <c r="AA147" s="6" t="n">
        <v>77000</v>
      </c>
      <c r="AB147" s="6" t="n">
        <v>30921</v>
      </c>
      <c r="AC147" s="6" t="n">
        <v>30921</v>
      </c>
      <c r="AD147" s="6" t="n">
        <v>30921</v>
      </c>
      <c r="AE147" s="4" t="s">
        <v>1112</v>
      </c>
      <c r="AF147" s="5" t="s">
        <v>1113</v>
      </c>
      <c r="AG147" s="4" t="s">
        <v>78</v>
      </c>
      <c r="AH147" s="4" t="s">
        <v>79</v>
      </c>
      <c r="AI147" s="5" t="s">
        <v>80</v>
      </c>
      <c r="AJ147" s="1" t="n">
        <v>0</v>
      </c>
      <c r="AK147" s="11" t="n">
        <v>0</v>
      </c>
      <c r="AL147" s="12" t="s">
        <v>1107</v>
      </c>
      <c r="AM147" s="13" t="str">
        <f>IF(AL147="","",AL147&amp;" - "&amp;IFERROR(VLOOKUP(AL147,CODEBOOK_CAP!$C$2:$D$212,2,FALSE),""))</f>
        <v>2101 - PARQUES PÚBLICOS E RESERVAS DE PRESERVAÇÃO</v>
      </c>
      <c r="AN147" s="13" t="str">
        <f>IF(AL147="","",IFERROR(VLOOKUP(AL147,CODEBOOK_CAP!$C$2:$E$212,3,FALSE),""))</f>
        <v>Regulação, normas, orinetações, manutenção em território publico aberto, como parques, reservas ambientais, áreas protegidas e de preservação ambiental. Regulação de parques naturais e áreas protegidas. Utilização de bosques e florestas públicas</v>
      </c>
      <c r="AO147" s="11" t="n">
        <v>0</v>
      </c>
      <c r="AP147" s="11"/>
      <c r="AQ147" s="11" t="n">
        <v>1</v>
      </c>
      <c r="AR147" s="11" t="n">
        <v>1</v>
      </c>
      <c r="AS147" s="11" t="s">
        <v>1114</v>
      </c>
      <c r="AT147" s="11" t="n">
        <v>0</v>
      </c>
      <c r="AU147" s="11"/>
      <c r="AV147" s="11"/>
      <c r="AW147" s="11"/>
      <c r="AX147" s="7" t="s">
        <v>84</v>
      </c>
      <c r="AY147" s="7"/>
      <c r="AZ147" s="7"/>
      <c r="BA147" s="7"/>
    </row>
    <row r="148" ht="128.25" customHeight="1">
      <c r="A148" s="4" t="s">
        <v>1115</v>
      </c>
      <c r="B148" s="4" t="n">
        <v>2022</v>
      </c>
      <c r="C148" s="4" t="n">
        <v>4504</v>
      </c>
      <c r="D148" s="4" t="s">
        <v>54</v>
      </c>
      <c r="E148" s="4" t="s">
        <v>955</v>
      </c>
      <c r="F148" s="5" t="s">
        <v>1116</v>
      </c>
      <c r="G148" s="4" t="s">
        <v>57</v>
      </c>
      <c r="H148" s="4" t="s">
        <v>957</v>
      </c>
      <c r="I148" s="4" t="s">
        <v>500</v>
      </c>
      <c r="J148" s="4" t="s">
        <v>1117</v>
      </c>
      <c r="K148" s="4" t="s">
        <v>1118</v>
      </c>
      <c r="L148" s="5" t="s">
        <v>206</v>
      </c>
      <c r="M148" s="4" t="s">
        <v>207</v>
      </c>
      <c r="N148" s="5" t="s">
        <v>208</v>
      </c>
      <c r="O148" s="4" t="s">
        <v>209</v>
      </c>
      <c r="P148" s="5" t="s">
        <v>210</v>
      </c>
      <c r="Q148" s="4" t="s">
        <v>211</v>
      </c>
      <c r="R148" s="5" t="s">
        <v>212</v>
      </c>
      <c r="S148" s="4" t="s">
        <v>213</v>
      </c>
      <c r="T148" s="5" t="s">
        <v>214</v>
      </c>
      <c r="U148" s="4" t="s">
        <v>215</v>
      </c>
      <c r="V148" s="5" t="s">
        <v>706</v>
      </c>
      <c r="W148" s="4" t="s">
        <v>105</v>
      </c>
      <c r="X148" s="4" t="s">
        <v>106</v>
      </c>
      <c r="Y148" s="5"/>
      <c r="Z148" s="4" t="s">
        <v>107</v>
      </c>
      <c r="AA148" s="6" t="n">
        <v>100000</v>
      </c>
      <c r="AB148" s="6" t="n">
        <v>94090</v>
      </c>
      <c r="AC148" s="6" t="n">
        <v>94090</v>
      </c>
      <c r="AD148" s="6" t="n">
        <v>94090</v>
      </c>
      <c r="AE148" s="4" t="s">
        <v>959</v>
      </c>
      <c r="AF148" s="5" t="s">
        <v>960</v>
      </c>
      <c r="AG148" s="4" t="s">
        <v>78</v>
      </c>
      <c r="AH148" s="4" t="s">
        <v>79</v>
      </c>
      <c r="AI148" s="5" t="s">
        <v>80</v>
      </c>
      <c r="AJ148" s="1" t="n">
        <v>0</v>
      </c>
      <c r="AK148" s="11" t="n">
        <v>0</v>
      </c>
      <c r="AL148" s="12" t="s">
        <v>961</v>
      </c>
      <c r="AM148" s="13" t="str">
        <f>IF(AL148="","",AL148&amp;" - "&amp;IFERROR(VLOOKUP(AL148,CODEBOOK_CAP!$C$2:$D$212,2,FALSE),""))</f>
        <v>0499 - OUTROS</v>
      </c>
      <c r="AN148" s="13" t="str">
        <f>IF(AL148="","",IFERROR(VLOOKUP(AL148,CODEBOOK_CAP!$C$2:$E$212,3,FALSE),""))</f>
        <v>Observações que versam sobre AGRICULTURA, PECUÁRIA E PESCA, mas que não se enquadram em nenhum dos itens acima.</v>
      </c>
      <c r="AO148" s="11" t="n">
        <v>0</v>
      </c>
      <c r="AP148" s="11"/>
      <c r="AQ148" s="11" t="n">
        <v>0</v>
      </c>
      <c r="AR148" s="11" t="n">
        <v>0</v>
      </c>
      <c r="AS148" s="11"/>
      <c r="AT148" s="11" t="n">
        <v>0</v>
      </c>
      <c r="AU148" s="11"/>
      <c r="AV148" s="11"/>
      <c r="AW148" s="11"/>
      <c r="AX148" s="7" t="s">
        <v>84</v>
      </c>
      <c r="AY148" s="7"/>
      <c r="AZ148" s="7"/>
      <c r="BA148" s="7"/>
    </row>
    <row r="149" ht="114" customHeight="1">
      <c r="A149" s="4" t="s">
        <v>1119</v>
      </c>
      <c r="B149" s="4" t="n">
        <v>2022</v>
      </c>
      <c r="C149" s="4" t="n">
        <v>4505</v>
      </c>
      <c r="D149" s="4" t="s">
        <v>54</v>
      </c>
      <c r="E149" s="4" t="s">
        <v>955</v>
      </c>
      <c r="F149" s="5" t="s">
        <v>1120</v>
      </c>
      <c r="G149" s="4" t="s">
        <v>57</v>
      </c>
      <c r="H149" s="4" t="s">
        <v>957</v>
      </c>
      <c r="I149" s="4" t="s">
        <v>500</v>
      </c>
      <c r="J149" s="4" t="s">
        <v>1121</v>
      </c>
      <c r="K149" s="4" t="s">
        <v>975</v>
      </c>
      <c r="L149" s="5" t="s">
        <v>62</v>
      </c>
      <c r="M149" s="4" t="s">
        <v>63</v>
      </c>
      <c r="N149" s="5" t="s">
        <v>64</v>
      </c>
      <c r="O149" s="4" t="s">
        <v>65</v>
      </c>
      <c r="P149" s="5" t="s">
        <v>193</v>
      </c>
      <c r="Q149" s="4" t="s">
        <v>194</v>
      </c>
      <c r="R149" s="5" t="s">
        <v>195</v>
      </c>
      <c r="S149" s="4" t="s">
        <v>196</v>
      </c>
      <c r="T149" s="5" t="s">
        <v>429</v>
      </c>
      <c r="U149" s="4" t="s">
        <v>430</v>
      </c>
      <c r="V149" s="5" t="s">
        <v>757</v>
      </c>
      <c r="W149" s="4" t="s">
        <v>105</v>
      </c>
      <c r="X149" s="4" t="s">
        <v>106</v>
      </c>
      <c r="Y149" s="5"/>
      <c r="Z149" s="4" t="s">
        <v>75</v>
      </c>
      <c r="AA149" s="6" t="n">
        <v>95000</v>
      </c>
      <c r="AB149" s="6" t="n">
        <v>95000</v>
      </c>
      <c r="AC149" s="6" t="n">
        <v>95000</v>
      </c>
      <c r="AD149" s="6" t="n">
        <v>95000</v>
      </c>
      <c r="AE149" s="4" t="s">
        <v>976</v>
      </c>
      <c r="AF149" s="5" t="s">
        <v>759</v>
      </c>
      <c r="AG149" s="4" t="s">
        <v>78</v>
      </c>
      <c r="AH149" s="4" t="s">
        <v>79</v>
      </c>
      <c r="AI149" s="5" t="s">
        <v>80</v>
      </c>
      <c r="AJ149" s="1" t="n">
        <v>1</v>
      </c>
      <c r="AK149" s="11" t="n">
        <v>1</v>
      </c>
      <c r="AL149" s="12" t="s">
        <v>452</v>
      </c>
      <c r="AM149" s="13" t="str">
        <f>IF(AL149="","",AL149&amp;" - "&amp;IFERROR(VLOOKUP(AL149,CODEBOOK_CAP!$C$2:$D$212,2,FALSE),""))</f>
        <v>0332 - SAÚDE INFANTIL, GRAVIDEZ E PRÉ-NATAL</v>
      </c>
      <c r="AN149" s="13" t="str">
        <f>IF(AL149="","",IFERROR(VLOOKUP(AL149,CODEBOOK_CAP!$C$2:$E$212,3,FALSE),""))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149" s="11" t="n">
        <v>0</v>
      </c>
      <c r="AP149" s="11"/>
      <c r="AQ149" s="11" t="n">
        <v>1</v>
      </c>
      <c r="AR149" s="11" t="n">
        <v>1</v>
      </c>
      <c r="AS149" s="11" t="s">
        <v>760</v>
      </c>
      <c r="AT149" s="11" t="n">
        <v>1</v>
      </c>
      <c r="AU149" s="11" t="s">
        <v>1122</v>
      </c>
      <c r="AV149" s="11"/>
      <c r="AW149" s="11"/>
      <c r="AX149" s="7" t="s">
        <v>84</v>
      </c>
      <c r="AY149" s="7"/>
      <c r="AZ149" s="7"/>
      <c r="BA149" s="7"/>
    </row>
    <row r="150" ht="99.75" customHeight="1">
      <c r="A150" s="4" t="s">
        <v>1123</v>
      </c>
      <c r="B150" s="4" t="n">
        <v>2022</v>
      </c>
      <c r="C150" s="4" t="n">
        <v>4506</v>
      </c>
      <c r="D150" s="4" t="s">
        <v>54</v>
      </c>
      <c r="E150" s="4" t="s">
        <v>955</v>
      </c>
      <c r="F150" s="5" t="s">
        <v>1124</v>
      </c>
      <c r="G150" s="4" t="s">
        <v>57</v>
      </c>
      <c r="H150" s="4" t="s">
        <v>957</v>
      </c>
      <c r="I150" s="4" t="s">
        <v>500</v>
      </c>
      <c r="J150" s="4" t="s">
        <v>1125</v>
      </c>
      <c r="K150" s="4" t="s">
        <v>205</v>
      </c>
      <c r="L150" s="5" t="s">
        <v>206</v>
      </c>
      <c r="M150" s="4" t="s">
        <v>207</v>
      </c>
      <c r="N150" s="5" t="s">
        <v>208</v>
      </c>
      <c r="O150" s="4" t="s">
        <v>209</v>
      </c>
      <c r="P150" s="5" t="s">
        <v>210</v>
      </c>
      <c r="Q150" s="4" t="s">
        <v>211</v>
      </c>
      <c r="R150" s="5" t="s">
        <v>212</v>
      </c>
      <c r="S150" s="4" t="s">
        <v>213</v>
      </c>
      <c r="T150" s="5" t="s">
        <v>214</v>
      </c>
      <c r="U150" s="4" t="s">
        <v>215</v>
      </c>
      <c r="V150" s="5" t="s">
        <v>104</v>
      </c>
      <c r="W150" s="4" t="s">
        <v>105</v>
      </c>
      <c r="X150" s="4" t="s">
        <v>106</v>
      </c>
      <c r="Y150" s="5"/>
      <c r="Z150" s="4" t="s">
        <v>107</v>
      </c>
      <c r="AA150" s="6" t="n">
        <v>60000</v>
      </c>
      <c r="AB150" s="6" t="n">
        <v>49647</v>
      </c>
      <c r="AC150" s="6" t="n">
        <v>49647</v>
      </c>
      <c r="AD150" s="6" t="n">
        <v>49647</v>
      </c>
      <c r="AE150" s="4" t="s">
        <v>1126</v>
      </c>
      <c r="AF150" s="5" t="s">
        <v>1127</v>
      </c>
      <c r="AG150" s="4" t="s">
        <v>78</v>
      </c>
      <c r="AH150" s="4" t="s">
        <v>79</v>
      </c>
      <c r="AI150" s="5" t="s">
        <v>80</v>
      </c>
      <c r="AJ150" s="1" t="n">
        <v>0</v>
      </c>
      <c r="AK150" s="11" t="n">
        <v>0</v>
      </c>
      <c r="AL150" s="12" t="s">
        <v>961</v>
      </c>
      <c r="AM150" s="13" t="str">
        <f>IF(AL150="","",AL150&amp;" - "&amp;IFERROR(VLOOKUP(AL150,CODEBOOK_CAP!$C$2:$D$212,2,FALSE),""))</f>
        <v>0499 - OUTROS</v>
      </c>
      <c r="AN150" s="13" t="str">
        <f>IF(AL150="","",IFERROR(VLOOKUP(AL150,CODEBOOK_CAP!$C$2:$E$212,3,FALSE),""))</f>
        <v>Observações que versam sobre AGRICULTURA, PECUÁRIA E PESCA, mas que não se enquadram em nenhum dos itens acima.</v>
      </c>
      <c r="AO150" s="11" t="n">
        <v>0</v>
      </c>
      <c r="AP150" s="11"/>
      <c r="AQ150" s="11" t="n">
        <v>0</v>
      </c>
      <c r="AR150" s="11" t="n">
        <v>0</v>
      </c>
      <c r="AS150" s="11"/>
      <c r="AT150" s="11" t="n">
        <v>0</v>
      </c>
      <c r="AU150" s="11"/>
      <c r="AV150" s="11"/>
      <c r="AW150" s="11"/>
      <c r="AX150" s="7" t="s">
        <v>84</v>
      </c>
      <c r="AY150" s="7"/>
      <c r="AZ150" s="7"/>
      <c r="BA150" s="7"/>
    </row>
    <row r="151" ht="85.5" customHeight="1">
      <c r="A151" s="4" t="s">
        <v>1128</v>
      </c>
      <c r="B151" s="4" t="n">
        <v>2022</v>
      </c>
      <c r="C151" s="4" t="n">
        <v>4507</v>
      </c>
      <c r="D151" s="4" t="s">
        <v>54</v>
      </c>
      <c r="E151" s="4" t="s">
        <v>955</v>
      </c>
      <c r="F151" s="5" t="s">
        <v>1129</v>
      </c>
      <c r="G151" s="4" t="s">
        <v>57</v>
      </c>
      <c r="H151" s="4" t="s">
        <v>957</v>
      </c>
      <c r="I151" s="4" t="s">
        <v>500</v>
      </c>
      <c r="J151" s="4" t="s">
        <v>1130</v>
      </c>
      <c r="K151" s="4" t="s">
        <v>931</v>
      </c>
      <c r="L151" s="5" t="s">
        <v>595</v>
      </c>
      <c r="M151" s="4" t="s">
        <v>596</v>
      </c>
      <c r="N151" s="5" t="s">
        <v>597</v>
      </c>
      <c r="O151" s="4" t="s">
        <v>598</v>
      </c>
      <c r="P151" s="5" t="s">
        <v>669</v>
      </c>
      <c r="Q151" s="4" t="s">
        <v>670</v>
      </c>
      <c r="R151" s="5" t="s">
        <v>671</v>
      </c>
      <c r="S151" s="4" t="s">
        <v>672</v>
      </c>
      <c r="T151" s="5" t="s">
        <v>603</v>
      </c>
      <c r="U151" s="4" t="s">
        <v>604</v>
      </c>
      <c r="V151" s="5" t="s">
        <v>605</v>
      </c>
      <c r="W151" s="4" t="s">
        <v>73</v>
      </c>
      <c r="X151" s="4" t="s">
        <v>74</v>
      </c>
      <c r="Y151" s="5"/>
      <c r="Z151" s="4" t="s">
        <v>107</v>
      </c>
      <c r="AA151" s="6" t="n">
        <v>84000</v>
      </c>
      <c r="AB151" s="6" t="n">
        <v>0</v>
      </c>
      <c r="AC151" s="6" t="n">
        <v>0</v>
      </c>
      <c r="AD151" s="6" t="n">
        <v>0</v>
      </c>
      <c r="AE151" s="4" t="s">
        <v>1131</v>
      </c>
      <c r="AF151" s="5" t="s">
        <v>1132</v>
      </c>
      <c r="AG151" s="4" t="s">
        <v>115</v>
      </c>
      <c r="AH151" s="4" t="s">
        <v>115</v>
      </c>
      <c r="AI151" s="5" t="s">
        <v>115</v>
      </c>
      <c r="AJ151" s="1" t="n">
        <v>0</v>
      </c>
      <c r="AK151" s="11" t="n">
        <v>0</v>
      </c>
      <c r="AL151" s="12" t="s">
        <v>961</v>
      </c>
      <c r="AM151" s="13" t="str">
        <f>IF(AL151="","",AL151&amp;" - "&amp;IFERROR(VLOOKUP(AL151,CODEBOOK_CAP!$C$2:$D$212,2,FALSE),""))</f>
        <v>0499 - OUTROS</v>
      </c>
      <c r="AN151" s="13" t="str">
        <f>IF(AL151="","",IFERROR(VLOOKUP(AL151,CODEBOOK_CAP!$C$2:$E$212,3,FALSE),""))</f>
        <v>Observações que versam sobre AGRICULTURA, PECUÁRIA E PESCA, mas que não se enquadram em nenhum dos itens acima.</v>
      </c>
      <c r="AO151" s="11" t="n">
        <v>0</v>
      </c>
      <c r="AP151" s="11"/>
      <c r="AQ151" s="11" t="n">
        <v>0</v>
      </c>
      <c r="AR151" s="11" t="n">
        <v>0</v>
      </c>
      <c r="AS151" s="11"/>
      <c r="AT151" s="11" t="n">
        <v>0</v>
      </c>
      <c r="AU151" s="11"/>
      <c r="AV151" s="11"/>
      <c r="AW151" s="11"/>
      <c r="AX151" s="7" t="s">
        <v>84</v>
      </c>
      <c r="AY151" s="7"/>
      <c r="AZ151" s="7"/>
      <c r="BA151" s="7"/>
    </row>
    <row r="152" ht="85.5" customHeight="1">
      <c r="A152" s="4" t="s">
        <v>1133</v>
      </c>
      <c r="B152" s="4" t="n">
        <v>2022</v>
      </c>
      <c r="C152" s="4" t="n">
        <v>4508</v>
      </c>
      <c r="D152" s="4" t="s">
        <v>54</v>
      </c>
      <c r="E152" s="4" t="s">
        <v>955</v>
      </c>
      <c r="F152" s="5" t="s">
        <v>1134</v>
      </c>
      <c r="G152" s="4" t="s">
        <v>57</v>
      </c>
      <c r="H152" s="4" t="s">
        <v>957</v>
      </c>
      <c r="I152" s="4" t="s">
        <v>500</v>
      </c>
      <c r="J152" s="4" t="s">
        <v>1135</v>
      </c>
      <c r="K152" s="4" t="s">
        <v>1096</v>
      </c>
      <c r="L152" s="5" t="s">
        <v>1077</v>
      </c>
      <c r="M152" s="4" t="s">
        <v>1078</v>
      </c>
      <c r="N152" s="5" t="s">
        <v>227</v>
      </c>
      <c r="O152" s="4" t="s">
        <v>228</v>
      </c>
      <c r="P152" s="5" t="s">
        <v>229</v>
      </c>
      <c r="Q152" s="4" t="s">
        <v>230</v>
      </c>
      <c r="R152" s="5" t="s">
        <v>1079</v>
      </c>
      <c r="S152" s="4" t="s">
        <v>1080</v>
      </c>
      <c r="T152" s="5" t="s">
        <v>1097</v>
      </c>
      <c r="U152" s="4" t="s">
        <v>1098</v>
      </c>
      <c r="V152" s="5" t="s">
        <v>104</v>
      </c>
      <c r="W152" s="4" t="s">
        <v>105</v>
      </c>
      <c r="X152" s="4" t="s">
        <v>106</v>
      </c>
      <c r="Y152" s="5"/>
      <c r="Z152" s="4" t="s">
        <v>1083</v>
      </c>
      <c r="AA152" s="6" t="n">
        <v>45000</v>
      </c>
      <c r="AB152" s="6" t="n">
        <v>43577</v>
      </c>
      <c r="AC152" s="6" t="n">
        <v>43577</v>
      </c>
      <c r="AD152" s="6" t="n">
        <v>43577</v>
      </c>
      <c r="AE152" s="4" t="s">
        <v>1136</v>
      </c>
      <c r="AF152" s="5" t="s">
        <v>1137</v>
      </c>
      <c r="AG152" s="4" t="s">
        <v>78</v>
      </c>
      <c r="AH152" s="4" t="s">
        <v>79</v>
      </c>
      <c r="AI152" s="5" t="s">
        <v>80</v>
      </c>
      <c r="AJ152" s="1" t="n">
        <v>0</v>
      </c>
      <c r="AK152" s="11" t="n">
        <v>0</v>
      </c>
      <c r="AL152" s="12" t="s">
        <v>961</v>
      </c>
      <c r="AM152" s="13" t="str">
        <f>IF(AL152="","",AL152&amp;" - "&amp;IFERROR(VLOOKUP(AL152,CODEBOOK_CAP!$C$2:$D$212,2,FALSE),""))</f>
        <v>0499 - OUTROS</v>
      </c>
      <c r="AN152" s="13" t="str">
        <f>IF(AL152="","",IFERROR(VLOOKUP(AL152,CODEBOOK_CAP!$C$2:$E$212,3,FALSE),""))</f>
        <v>Observações que versam sobre AGRICULTURA, PECUÁRIA E PESCA, mas que não se enquadram em nenhum dos itens acima.</v>
      </c>
      <c r="AO152" s="11" t="n">
        <v>0</v>
      </c>
      <c r="AP152" s="11"/>
      <c r="AQ152" s="11" t="n">
        <v>0</v>
      </c>
      <c r="AR152" s="11" t="n">
        <v>0</v>
      </c>
      <c r="AS152" s="11"/>
      <c r="AT152" s="11" t="n">
        <v>0</v>
      </c>
      <c r="AU152" s="11"/>
      <c r="AV152" s="11"/>
      <c r="AW152" s="11"/>
      <c r="AX152" s="7" t="s">
        <v>84</v>
      </c>
      <c r="AY152" s="7"/>
      <c r="AZ152" s="7"/>
      <c r="BA152" s="7"/>
    </row>
    <row r="153" ht="85.5" customHeight="1">
      <c r="A153" s="4" t="s">
        <v>1138</v>
      </c>
      <c r="B153" s="4" t="n">
        <v>2022</v>
      </c>
      <c r="C153" s="4" t="n">
        <v>4211</v>
      </c>
      <c r="D153" s="4" t="s">
        <v>54</v>
      </c>
      <c r="E153" s="4" t="s">
        <v>1139</v>
      </c>
      <c r="F153" s="5" t="s">
        <v>1140</v>
      </c>
      <c r="G153" s="4" t="s">
        <v>57</v>
      </c>
      <c r="H153" s="4" t="s">
        <v>1141</v>
      </c>
      <c r="I153" s="4" t="s">
        <v>319</v>
      </c>
      <c r="J153" s="4" t="s">
        <v>1142</v>
      </c>
      <c r="K153" s="4" t="s">
        <v>93</v>
      </c>
      <c r="L153" s="5" t="s">
        <v>94</v>
      </c>
      <c r="M153" s="4" t="s">
        <v>95</v>
      </c>
      <c r="N153" s="5" t="s">
        <v>96</v>
      </c>
      <c r="O153" s="4" t="s">
        <v>97</v>
      </c>
      <c r="P153" s="5" t="s">
        <v>98</v>
      </c>
      <c r="Q153" s="4" t="s">
        <v>99</v>
      </c>
      <c r="R153" s="5" t="s">
        <v>100</v>
      </c>
      <c r="S153" s="4" t="s">
        <v>101</v>
      </c>
      <c r="T153" s="5" t="s">
        <v>102</v>
      </c>
      <c r="U153" s="4" t="s">
        <v>103</v>
      </c>
      <c r="V153" s="5" t="s">
        <v>104</v>
      </c>
      <c r="W153" s="4" t="s">
        <v>105</v>
      </c>
      <c r="X153" s="4" t="s">
        <v>106</v>
      </c>
      <c r="Y153" s="5"/>
      <c r="Z153" s="4" t="s">
        <v>107</v>
      </c>
      <c r="AA153" s="6" t="n">
        <v>644610</v>
      </c>
      <c r="AB153" s="6" t="n">
        <v>644610</v>
      </c>
      <c r="AC153" s="6" t="n">
        <v>644610</v>
      </c>
      <c r="AD153" s="6" t="n">
        <v>644610</v>
      </c>
      <c r="AE153" s="4" t="s">
        <v>1143</v>
      </c>
      <c r="AF153" s="5" t="s">
        <v>1144</v>
      </c>
      <c r="AG153" s="4" t="s">
        <v>115</v>
      </c>
      <c r="AH153" s="4" t="s">
        <v>115</v>
      </c>
      <c r="AI153" s="5" t="s">
        <v>115</v>
      </c>
      <c r="AJ153" s="1" t="n">
        <v>0</v>
      </c>
      <c r="AK153" s="11" t="n">
        <v>0</v>
      </c>
      <c r="AL153" s="12" t="s">
        <v>1145</v>
      </c>
      <c r="AM153" s="13" t="str">
        <f>IF(AL153="","",AL153&amp;" - "&amp;IFERROR(VLOOKUP(AL153,CODEBOOK_CAP!$C$2:$D$212,2,FALSE),""))</f>
        <v>1304 - POLÍTICAS SOCIAIS DE ASSISTÊNCIA PARA PESSOAS COM DEFICIÊNCIAS</v>
      </c>
      <c r="AN153" s="13" t="str">
        <f>IF(AL153="","",IFERROR(VLOOKUP(AL153,CODEBOOK_CAP!$C$2:$E$212,3,FALSE),""))</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O153" s="11" t="n">
        <v>0</v>
      </c>
      <c r="AP153" s="11"/>
      <c r="AQ153" s="11" t="n">
        <v>0</v>
      </c>
      <c r="AR153" s="11" t="n">
        <v>0</v>
      </c>
      <c r="AS153" s="11"/>
      <c r="AT153" s="11" t="n">
        <v>1</v>
      </c>
      <c r="AU153" s="11" t="s">
        <v>1146</v>
      </c>
      <c r="AV153" s="11"/>
      <c r="AW153" s="11"/>
      <c r="AX153" s="7" t="s">
        <v>84</v>
      </c>
      <c r="AY153" s="7"/>
      <c r="AZ153" s="7"/>
      <c r="BA153" s="7"/>
    </row>
    <row r="154" ht="85.5" customHeight="1">
      <c r="A154" s="4" t="s">
        <v>1147</v>
      </c>
      <c r="B154" s="4" t="n">
        <v>2022</v>
      </c>
      <c r="C154" s="4" t="n">
        <v>4221</v>
      </c>
      <c r="D154" s="4" t="s">
        <v>54</v>
      </c>
      <c r="E154" s="4" t="s">
        <v>1139</v>
      </c>
      <c r="F154" s="5" t="s">
        <v>702</v>
      </c>
      <c r="G154" s="4" t="s">
        <v>57</v>
      </c>
      <c r="H154" s="4" t="s">
        <v>1141</v>
      </c>
      <c r="I154" s="4" t="s">
        <v>319</v>
      </c>
      <c r="J154" s="4" t="s">
        <v>1148</v>
      </c>
      <c r="K154" s="4" t="s">
        <v>756</v>
      </c>
      <c r="L154" s="5" t="s">
        <v>62</v>
      </c>
      <c r="M154" s="4" t="s">
        <v>63</v>
      </c>
      <c r="N154" s="5" t="s">
        <v>64</v>
      </c>
      <c r="O154" s="4" t="s">
        <v>65</v>
      </c>
      <c r="P154" s="5" t="s">
        <v>193</v>
      </c>
      <c r="Q154" s="4" t="s">
        <v>194</v>
      </c>
      <c r="R154" s="5" t="s">
        <v>195</v>
      </c>
      <c r="S154" s="4" t="s">
        <v>196</v>
      </c>
      <c r="T154" s="5" t="s">
        <v>429</v>
      </c>
      <c r="U154" s="4" t="s">
        <v>430</v>
      </c>
      <c r="V154" s="5" t="s">
        <v>757</v>
      </c>
      <c r="W154" s="4" t="s">
        <v>105</v>
      </c>
      <c r="X154" s="4" t="s">
        <v>106</v>
      </c>
      <c r="Y154" s="5"/>
      <c r="Z154" s="4" t="s">
        <v>75</v>
      </c>
      <c r="AA154" s="6" t="n">
        <v>1289220</v>
      </c>
      <c r="AB154" s="6" t="n">
        <v>1289220</v>
      </c>
      <c r="AC154" s="6" t="n">
        <v>1289220</v>
      </c>
      <c r="AD154" s="6" t="n">
        <v>1289220</v>
      </c>
      <c r="AE154" s="4" t="s">
        <v>758</v>
      </c>
      <c r="AF154" s="5" t="s">
        <v>759</v>
      </c>
      <c r="AG154" s="4" t="s">
        <v>78</v>
      </c>
      <c r="AH154" s="4" t="s">
        <v>79</v>
      </c>
      <c r="AI154" s="5" t="s">
        <v>80</v>
      </c>
      <c r="AJ154" s="1" t="n">
        <v>1</v>
      </c>
      <c r="AK154" s="11" t="n">
        <v>1</v>
      </c>
      <c r="AL154" s="12" t="s">
        <v>81</v>
      </c>
      <c r="AM154" s="13" t="str">
        <f>IF(AL154="","",AL154&amp;" - "&amp;IFERROR(VLOOKUP(AL154,CODEBOOK_CAP!$C$2:$D$212,2,FALSE),""))</f>
        <v>0322 - ESTRUTURAS, HOSPITAIS, CLÍNICAS</v>
      </c>
      <c r="AN154" s="13" t="str">
        <f>IF(AL154="","",IFERROR(VLOOKUP(AL154,CODEBOOK_CAP!$C$2:$E$212,3,FALSE),""))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154" s="11" t="n">
        <v>0</v>
      </c>
      <c r="AP154" s="11"/>
      <c r="AQ154" s="11" t="n">
        <v>1</v>
      </c>
      <c r="AR154" s="11" t="n">
        <v>1</v>
      </c>
      <c r="AS154" s="11" t="s">
        <v>760</v>
      </c>
      <c r="AT154" s="11" t="n">
        <v>0</v>
      </c>
      <c r="AU154" s="11"/>
      <c r="AV154" s="11"/>
      <c r="AW154" s="11"/>
      <c r="AX154" s="7" t="s">
        <v>84</v>
      </c>
      <c r="AY154" s="7"/>
      <c r="AZ154" s="7"/>
      <c r="BA154" s="7"/>
    </row>
    <row r="155" ht="142.5" customHeight="1">
      <c r="A155" s="4" t="s">
        <v>1149</v>
      </c>
      <c r="B155" s="4" t="n">
        <v>2022</v>
      </c>
      <c r="C155" s="4" t="n">
        <v>4264</v>
      </c>
      <c r="D155" s="4" t="s">
        <v>54</v>
      </c>
      <c r="E155" s="4" t="s">
        <v>1139</v>
      </c>
      <c r="F155" s="5" t="s">
        <v>1150</v>
      </c>
      <c r="G155" s="4" t="s">
        <v>57</v>
      </c>
      <c r="H155" s="4" t="s">
        <v>1141</v>
      </c>
      <c r="I155" s="4" t="s">
        <v>319</v>
      </c>
      <c r="J155" s="4" t="s">
        <v>1151</v>
      </c>
      <c r="K155" s="4" t="s">
        <v>1152</v>
      </c>
      <c r="L155" s="5" t="s">
        <v>122</v>
      </c>
      <c r="M155" s="4" t="s">
        <v>123</v>
      </c>
      <c r="N155" s="5" t="s">
        <v>227</v>
      </c>
      <c r="O155" s="4" t="s">
        <v>228</v>
      </c>
      <c r="P155" s="5" t="s">
        <v>229</v>
      </c>
      <c r="Q155" s="4" t="s">
        <v>230</v>
      </c>
      <c r="R155" s="5" t="s">
        <v>1079</v>
      </c>
      <c r="S155" s="4" t="s">
        <v>1080</v>
      </c>
      <c r="T155" s="5" t="s">
        <v>1153</v>
      </c>
      <c r="U155" s="4" t="s">
        <v>1154</v>
      </c>
      <c r="V155" s="5" t="s">
        <v>72</v>
      </c>
      <c r="W155" s="4" t="s">
        <v>73</v>
      </c>
      <c r="X155" s="4" t="s">
        <v>74</v>
      </c>
      <c r="Y155" s="5"/>
      <c r="Z155" s="4" t="s">
        <v>132</v>
      </c>
      <c r="AA155" s="6" t="n">
        <v>644610</v>
      </c>
      <c r="AB155" s="6" t="n">
        <v>644610</v>
      </c>
      <c r="AC155" s="6" t="n">
        <v>0</v>
      </c>
      <c r="AD155" s="6" t="n">
        <v>0</v>
      </c>
      <c r="AE155" s="4" t="s">
        <v>1155</v>
      </c>
      <c r="AF155" s="5" t="s">
        <v>1156</v>
      </c>
      <c r="AG155" s="4" t="s">
        <v>78</v>
      </c>
      <c r="AH155" s="4" t="s">
        <v>79</v>
      </c>
      <c r="AI155" s="5" t="s">
        <v>80</v>
      </c>
      <c r="AJ155" s="1" t="n">
        <v>0</v>
      </c>
      <c r="AK155" s="11" t="n">
        <v>0</v>
      </c>
      <c r="AL155" s="12" t="s">
        <v>871</v>
      </c>
      <c r="AM155" s="13" t="str">
        <f>IF(AL155="","",AL155&amp;" - "&amp;IFERROR(VLOOKUP(AL155,CODEBOOK_CAP!$C$2:$D$212,2,FALSE),""))</f>
        <v>0711 - CONSERVAÇÃO DO SOLO, MAR, RIOS, PRAIAS E COSTAS</v>
      </c>
      <c r="AN155" s="13" t="str">
        <f>IF(AL155="","",IFERROR(VLOOKUP(AL155,CODEBOOK_CAP!$C$2:$E$212,3,FALSE),""))</f>
        <v>Poluição de oceanos, regulamentação de acesso e conservação da costa, ilhas, praias, mangues, e assuntos relacionados ao mar, oceanos e litoral. Erosão de terrenos, morros, promoção da qualidade do solo, conservação de rios, lagos e afluentes, questões vinculadas a enchentes, poluição urbana, margens, encostas de rios, chuvas, temporais, tempestades, terrenos contaminados, rios contamidados e poluidos, fertilizantes. Quando assunto for uso dos recursos naturais usar codigo 21. 2104 para recursos hídricos, 2103 para recursos naturais como minerais. Quando o assunto for tratamento de água potável, distribuição de água potável para residencias, 701.</v>
      </c>
      <c r="AO155" s="11" t="n">
        <v>0</v>
      </c>
      <c r="AP155" s="11"/>
      <c r="AQ155" s="11" t="n">
        <v>0</v>
      </c>
      <c r="AR155" s="11" t="n">
        <v>0</v>
      </c>
      <c r="AS155" s="11"/>
      <c r="AT155" s="11" t="n">
        <v>0</v>
      </c>
      <c r="AU155" s="11"/>
      <c r="AV155" s="11"/>
      <c r="AW155" s="11"/>
      <c r="AX155" s="7" t="s">
        <v>84</v>
      </c>
      <c r="AY155" s="7"/>
      <c r="AZ155" s="7"/>
      <c r="BA155" s="7"/>
    </row>
    <row r="156" ht="171" customHeight="1">
      <c r="A156" s="4" t="s">
        <v>1157</v>
      </c>
      <c r="B156" s="4" t="n">
        <v>2022</v>
      </c>
      <c r="C156" s="4" t="n">
        <v>4190</v>
      </c>
      <c r="D156" s="4" t="s">
        <v>54</v>
      </c>
      <c r="E156" s="4" t="s">
        <v>1158</v>
      </c>
      <c r="F156" s="5" t="s">
        <v>1159</v>
      </c>
      <c r="G156" s="4" t="s">
        <v>139</v>
      </c>
      <c r="H156" s="4" t="s">
        <v>1160</v>
      </c>
      <c r="I156" s="4" t="s">
        <v>281</v>
      </c>
      <c r="J156" s="4" t="s">
        <v>1161</v>
      </c>
      <c r="K156" s="4" t="s">
        <v>115</v>
      </c>
      <c r="L156" s="5"/>
      <c r="M156" s="4"/>
      <c r="N156" s="5"/>
      <c r="O156" s="4"/>
      <c r="P156" s="5"/>
      <c r="Q156" s="4"/>
      <c r="R156" s="5"/>
      <c r="S156" s="4"/>
      <c r="T156" s="5"/>
      <c r="U156" s="4"/>
      <c r="V156" s="5"/>
      <c r="W156" s="4"/>
      <c r="X156" s="4"/>
      <c r="Y156" s="5"/>
      <c r="Z156" s="4" t="s">
        <v>139</v>
      </c>
      <c r="AA156" s="6" t="n">
        <v>92000</v>
      </c>
      <c r="AB156" s="6"/>
      <c r="AC156" s="6"/>
      <c r="AD156" s="6"/>
      <c r="AE156" s="4" t="s">
        <v>115</v>
      </c>
      <c r="AF156" s="5" t="s">
        <v>115</v>
      </c>
      <c r="AG156" s="4" t="s">
        <v>115</v>
      </c>
      <c r="AH156" s="4" t="s">
        <v>115</v>
      </c>
      <c r="AI156" s="5" t="s">
        <v>115</v>
      </c>
      <c r="AJ156" s="1" t="n">
        <v>0</v>
      </c>
      <c r="AK156" s="11" t="n">
        <v>0</v>
      </c>
      <c r="AL156" s="12" t="s">
        <v>135</v>
      </c>
      <c r="AM156" s="13" t="str">
        <f>IF(AL156="","",AL156&amp;" - "&amp;IFERROR(VLOOKUP(AL156,CODEBOOK_CAP!$C$2:$D$212,2,FALSE),""))</f>
        <v>1002 - CARROS, TRÂNSITO, CONSTRUÇÃO E MANUTENÇÃO DE RUAS E ESTRADAS</v>
      </c>
      <c r="AN156" s="13" t="str">
        <f>IF(AL156="","",IFERROR(VLOOKUP(AL156,CODEBOOK_CAP!$C$2:$E$212,3,FALSE),""))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156" s="11" t="n">
        <v>1</v>
      </c>
      <c r="AP156" s="11" t="s">
        <v>1162</v>
      </c>
      <c r="AQ156" s="11" t="n">
        <v>1</v>
      </c>
      <c r="AR156" s="11" t="n">
        <v>1</v>
      </c>
      <c r="AS156" s="11" t="s">
        <v>1162</v>
      </c>
      <c r="AT156" s="11" t="n">
        <v>0</v>
      </c>
      <c r="AU156" s="11"/>
      <c r="AV156" s="11"/>
      <c r="AW156" s="11"/>
      <c r="AX156" s="7" t="s">
        <v>84</v>
      </c>
      <c r="AY156" s="7"/>
      <c r="AZ156" s="7"/>
      <c r="BA156" s="7"/>
    </row>
    <row r="157" ht="171" customHeight="1">
      <c r="A157" s="4" t="s">
        <v>1163</v>
      </c>
      <c r="B157" s="4" t="n">
        <v>2022</v>
      </c>
      <c r="C157" s="4" t="n">
        <v>4191</v>
      </c>
      <c r="D157" s="4" t="s">
        <v>54</v>
      </c>
      <c r="E157" s="4" t="s">
        <v>1158</v>
      </c>
      <c r="F157" s="5" t="s">
        <v>1164</v>
      </c>
      <c r="G157" s="4" t="s">
        <v>139</v>
      </c>
      <c r="H157" s="4" t="s">
        <v>1160</v>
      </c>
      <c r="I157" s="4" t="s">
        <v>281</v>
      </c>
      <c r="J157" s="4" t="s">
        <v>1165</v>
      </c>
      <c r="K157" s="4" t="s">
        <v>115</v>
      </c>
      <c r="L157" s="5"/>
      <c r="M157" s="4"/>
      <c r="N157" s="5"/>
      <c r="O157" s="4"/>
      <c r="P157" s="5"/>
      <c r="Q157" s="4"/>
      <c r="R157" s="5"/>
      <c r="S157" s="4"/>
      <c r="T157" s="5"/>
      <c r="U157" s="4"/>
      <c r="V157" s="5"/>
      <c r="W157" s="4"/>
      <c r="X157" s="4"/>
      <c r="Y157" s="5"/>
      <c r="Z157" s="4" t="s">
        <v>139</v>
      </c>
      <c r="AA157" s="6" t="n">
        <v>57000</v>
      </c>
      <c r="AB157" s="6"/>
      <c r="AC157" s="6"/>
      <c r="AD157" s="6"/>
      <c r="AE157" s="4" t="s">
        <v>115</v>
      </c>
      <c r="AF157" s="5" t="s">
        <v>115</v>
      </c>
      <c r="AG157" s="4" t="s">
        <v>115</v>
      </c>
      <c r="AH157" s="4" t="s">
        <v>115</v>
      </c>
      <c r="AI157" s="5" t="s">
        <v>115</v>
      </c>
      <c r="AJ157" s="1" t="n">
        <v>0</v>
      </c>
      <c r="AK157" s="11" t="n">
        <v>0</v>
      </c>
      <c r="AL157" s="12" t="s">
        <v>135</v>
      </c>
      <c r="AM157" s="13" t="str">
        <f>IF(AL157="","",AL157&amp;" - "&amp;IFERROR(VLOOKUP(AL157,CODEBOOK_CAP!$C$2:$D$212,2,FALSE),""))</f>
        <v>1002 - CARROS, TRÂNSITO, CONSTRUÇÃO E MANUTENÇÃO DE RUAS E ESTRADAS</v>
      </c>
      <c r="AN157" s="13" t="str">
        <f>IF(AL157="","",IFERROR(VLOOKUP(AL157,CODEBOOK_CAP!$C$2:$E$212,3,FALSE),""))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157" s="11" t="n">
        <v>1</v>
      </c>
      <c r="AP157" s="11" t="s">
        <v>1166</v>
      </c>
      <c r="AQ157" s="11" t="n">
        <v>1</v>
      </c>
      <c r="AR157" s="11" t="n">
        <v>1</v>
      </c>
      <c r="AS157" s="11" t="s">
        <v>1166</v>
      </c>
      <c r="AT157" s="11" t="n">
        <v>0</v>
      </c>
      <c r="AU157" s="11"/>
      <c r="AV157" s="11"/>
      <c r="AW157" s="11"/>
      <c r="AX157" s="7" t="s">
        <v>84</v>
      </c>
      <c r="AY157" s="7"/>
      <c r="AZ157" s="7"/>
      <c r="BA157" s="7"/>
    </row>
    <row r="158" ht="171" customHeight="1">
      <c r="A158" s="4" t="s">
        <v>1167</v>
      </c>
      <c r="B158" s="4" t="n">
        <v>2022</v>
      </c>
      <c r="C158" s="4" t="n">
        <v>4192</v>
      </c>
      <c r="D158" s="4" t="s">
        <v>54</v>
      </c>
      <c r="E158" s="4" t="s">
        <v>1158</v>
      </c>
      <c r="F158" s="5" t="s">
        <v>1168</v>
      </c>
      <c r="G158" s="4" t="s">
        <v>139</v>
      </c>
      <c r="H158" s="4" t="s">
        <v>1160</v>
      </c>
      <c r="I158" s="4" t="s">
        <v>281</v>
      </c>
      <c r="J158" s="4" t="s">
        <v>1169</v>
      </c>
      <c r="K158" s="4" t="s">
        <v>115</v>
      </c>
      <c r="L158" s="5"/>
      <c r="M158" s="4"/>
      <c r="N158" s="5"/>
      <c r="O158" s="4"/>
      <c r="P158" s="5"/>
      <c r="Q158" s="4"/>
      <c r="R158" s="5"/>
      <c r="S158" s="4"/>
      <c r="T158" s="5"/>
      <c r="U158" s="4"/>
      <c r="V158" s="5"/>
      <c r="W158" s="4"/>
      <c r="X158" s="4"/>
      <c r="Y158" s="5"/>
      <c r="Z158" s="4" t="s">
        <v>139</v>
      </c>
      <c r="AA158" s="6" t="n">
        <v>46000</v>
      </c>
      <c r="AB158" s="6"/>
      <c r="AC158" s="6"/>
      <c r="AD158" s="6"/>
      <c r="AE158" s="4" t="s">
        <v>115</v>
      </c>
      <c r="AF158" s="5" t="s">
        <v>115</v>
      </c>
      <c r="AG158" s="4" t="s">
        <v>115</v>
      </c>
      <c r="AH158" s="4" t="s">
        <v>115</v>
      </c>
      <c r="AI158" s="5" t="s">
        <v>115</v>
      </c>
      <c r="AJ158" s="1" t="n">
        <v>0</v>
      </c>
      <c r="AK158" s="11" t="n">
        <v>0</v>
      </c>
      <c r="AL158" s="12" t="s">
        <v>135</v>
      </c>
      <c r="AM158" s="13" t="str">
        <f>IF(AL158="","",AL158&amp;" - "&amp;IFERROR(VLOOKUP(AL158,CODEBOOK_CAP!$C$2:$D$212,2,FALSE),""))</f>
        <v>1002 - CARROS, TRÂNSITO, CONSTRUÇÃO E MANUTENÇÃO DE RUAS E ESTRADAS</v>
      </c>
      <c r="AN158" s="13" t="str">
        <f>IF(AL158="","",IFERROR(VLOOKUP(AL158,CODEBOOK_CAP!$C$2:$E$212,3,FALSE),""))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158" s="11" t="n">
        <v>1</v>
      </c>
      <c r="AP158" s="11" t="s">
        <v>1170</v>
      </c>
      <c r="AQ158" s="11" t="n">
        <v>1</v>
      </c>
      <c r="AR158" s="11" t="n">
        <v>1</v>
      </c>
      <c r="AS158" s="11" t="s">
        <v>1170</v>
      </c>
      <c r="AT158" s="11" t="n">
        <v>0</v>
      </c>
      <c r="AU158" s="11"/>
      <c r="AV158" s="11"/>
      <c r="AW158" s="11"/>
      <c r="AX158" s="7" t="s">
        <v>84</v>
      </c>
      <c r="AY158" s="7"/>
      <c r="AZ158" s="7"/>
      <c r="BA158" s="7"/>
    </row>
    <row r="159" ht="57" customHeight="1">
      <c r="A159" s="4" t="s">
        <v>1171</v>
      </c>
      <c r="B159" s="4" t="n">
        <v>2022</v>
      </c>
      <c r="C159" s="4" t="n">
        <v>4193</v>
      </c>
      <c r="D159" s="4" t="s">
        <v>54</v>
      </c>
      <c r="E159" s="4" t="s">
        <v>1158</v>
      </c>
      <c r="F159" s="5" t="s">
        <v>1172</v>
      </c>
      <c r="G159" s="4" t="s">
        <v>57</v>
      </c>
      <c r="H159" s="4" t="s">
        <v>1160</v>
      </c>
      <c r="I159" s="4" t="s">
        <v>281</v>
      </c>
      <c r="J159" s="4" t="s">
        <v>1173</v>
      </c>
      <c r="K159" s="4" t="s">
        <v>1174</v>
      </c>
      <c r="L159" s="5" t="s">
        <v>122</v>
      </c>
      <c r="M159" s="4" t="s">
        <v>123</v>
      </c>
      <c r="N159" s="5" t="s">
        <v>227</v>
      </c>
      <c r="O159" s="4" t="s">
        <v>228</v>
      </c>
      <c r="P159" s="5" t="s">
        <v>229</v>
      </c>
      <c r="Q159" s="4" t="s">
        <v>230</v>
      </c>
      <c r="R159" s="5" t="s">
        <v>1079</v>
      </c>
      <c r="S159" s="4" t="s">
        <v>1080</v>
      </c>
      <c r="T159" s="5" t="s">
        <v>1153</v>
      </c>
      <c r="U159" s="4" t="s">
        <v>1154</v>
      </c>
      <c r="V159" s="5" t="s">
        <v>72</v>
      </c>
      <c r="W159" s="4" t="s">
        <v>73</v>
      </c>
      <c r="X159" s="4" t="s">
        <v>74</v>
      </c>
      <c r="Y159" s="5"/>
      <c r="Z159" s="4" t="s">
        <v>132</v>
      </c>
      <c r="AA159" s="6" t="n">
        <v>250000</v>
      </c>
      <c r="AB159" s="6" t="n">
        <v>250000</v>
      </c>
      <c r="AC159" s="6" t="n">
        <v>197677.51</v>
      </c>
      <c r="AD159" s="6" t="n">
        <v>197677.51</v>
      </c>
      <c r="AE159" s="4" t="s">
        <v>894</v>
      </c>
      <c r="AF159" s="5" t="s">
        <v>396</v>
      </c>
      <c r="AG159" s="4" t="s">
        <v>78</v>
      </c>
      <c r="AH159" s="4" t="s">
        <v>79</v>
      </c>
      <c r="AI159" s="5" t="s">
        <v>80</v>
      </c>
      <c r="AJ159" s="1" t="n">
        <v>0</v>
      </c>
      <c r="AK159" s="11" t="n">
        <v>0</v>
      </c>
      <c r="AL159" s="12" t="s">
        <v>328</v>
      </c>
      <c r="AM159" s="13" t="str">
        <f>IF(AL159="","",AL159&amp;" - "&amp;IFERROR(VLOOKUP(AL159,CODEBOOK_CAP!$C$2:$D$212,2,FALSE),""))</f>
        <v>1403 - REABILITAÇÃO URBANA, ECONOMIA URBANA</v>
      </c>
      <c r="AN159" s="13" t="str">
        <f>IF(AL159="","",IFERROR(VLOOKUP(AL159,CODEBOOK_CAP!$C$2:$E$212,3,FALSE),""))</f>
        <v>Reabilitação de áreas urbanas, revitalização urbana, modernização de áreas, mercados públicos, revitalização de praças, política urbana nacional, desenvolvimento urbano , desenvolvimento econômico de estados e cidades, modernização de espaços urbanos</v>
      </c>
      <c r="AO159" s="11" t="n">
        <v>1</v>
      </c>
      <c r="AP159" s="11" t="s">
        <v>1175</v>
      </c>
      <c r="AQ159" s="11" t="n">
        <v>1</v>
      </c>
      <c r="AR159" s="11" t="n">
        <v>1</v>
      </c>
      <c r="AS159" s="11" t="s">
        <v>1175</v>
      </c>
      <c r="AT159" s="11" t="n">
        <v>0</v>
      </c>
      <c r="AU159" s="11"/>
      <c r="AV159" s="11"/>
      <c r="AW159" s="11"/>
      <c r="AX159" s="7" t="s">
        <v>84</v>
      </c>
      <c r="AY159" s="7"/>
      <c r="AZ159" s="7"/>
      <c r="BA159" s="7"/>
    </row>
    <row r="160" ht="57" customHeight="1">
      <c r="A160" s="4" t="s">
        <v>1176</v>
      </c>
      <c r="B160" s="4" t="n">
        <v>2022</v>
      </c>
      <c r="C160" s="4" t="n">
        <v>4194</v>
      </c>
      <c r="D160" s="4" t="s">
        <v>54</v>
      </c>
      <c r="E160" s="4" t="s">
        <v>1158</v>
      </c>
      <c r="F160" s="5" t="s">
        <v>1177</v>
      </c>
      <c r="G160" s="4" t="s">
        <v>57</v>
      </c>
      <c r="H160" s="4" t="s">
        <v>1160</v>
      </c>
      <c r="I160" s="4" t="s">
        <v>281</v>
      </c>
      <c r="J160" s="4" t="s">
        <v>1178</v>
      </c>
      <c r="K160" s="4" t="s">
        <v>1179</v>
      </c>
      <c r="L160" s="5" t="s">
        <v>122</v>
      </c>
      <c r="M160" s="4" t="s">
        <v>123</v>
      </c>
      <c r="N160" s="5" t="s">
        <v>227</v>
      </c>
      <c r="O160" s="4" t="s">
        <v>228</v>
      </c>
      <c r="P160" s="5" t="s">
        <v>229</v>
      </c>
      <c r="Q160" s="4" t="s">
        <v>230</v>
      </c>
      <c r="R160" s="5" t="s">
        <v>1079</v>
      </c>
      <c r="S160" s="4" t="s">
        <v>1080</v>
      </c>
      <c r="T160" s="5" t="s">
        <v>1153</v>
      </c>
      <c r="U160" s="4" t="s">
        <v>1154</v>
      </c>
      <c r="V160" s="5" t="s">
        <v>72</v>
      </c>
      <c r="W160" s="4" t="s">
        <v>73</v>
      </c>
      <c r="X160" s="4" t="s">
        <v>74</v>
      </c>
      <c r="Y160" s="5"/>
      <c r="Z160" s="4" t="s">
        <v>132</v>
      </c>
      <c r="AA160" s="6" t="n">
        <v>250000</v>
      </c>
      <c r="AB160" s="6" t="n">
        <v>250000</v>
      </c>
      <c r="AC160" s="6" t="n">
        <v>116688</v>
      </c>
      <c r="AD160" s="6" t="n">
        <v>116688</v>
      </c>
      <c r="AE160" s="4" t="s">
        <v>894</v>
      </c>
      <c r="AF160" s="5" t="s">
        <v>396</v>
      </c>
      <c r="AG160" s="4" t="s">
        <v>78</v>
      </c>
      <c r="AH160" s="4" t="s">
        <v>79</v>
      </c>
      <c r="AI160" s="5" t="s">
        <v>80</v>
      </c>
      <c r="AJ160" s="1" t="n">
        <v>0</v>
      </c>
      <c r="AK160" s="11" t="n">
        <v>0</v>
      </c>
      <c r="AL160" s="12" t="s">
        <v>328</v>
      </c>
      <c r="AM160" s="13" t="str">
        <f>IF(AL160="","",AL160&amp;" - "&amp;IFERROR(VLOOKUP(AL160,CODEBOOK_CAP!$C$2:$D$212,2,FALSE),""))</f>
        <v>1403 - REABILITAÇÃO URBANA, ECONOMIA URBANA</v>
      </c>
      <c r="AN160" s="13" t="str">
        <f>IF(AL160="","",IFERROR(VLOOKUP(AL160,CODEBOOK_CAP!$C$2:$E$212,3,FALSE),""))</f>
        <v>Reabilitação de áreas urbanas, revitalização urbana, modernização de áreas, mercados públicos, revitalização de praças, política urbana nacional, desenvolvimento urbano , desenvolvimento econômico de estados e cidades, modernização de espaços urbanos</v>
      </c>
      <c r="AO160" s="11" t="n">
        <v>1</v>
      </c>
      <c r="AP160" s="11" t="s">
        <v>1180</v>
      </c>
      <c r="AQ160" s="11" t="n">
        <v>1</v>
      </c>
      <c r="AR160" s="11" t="n">
        <v>1</v>
      </c>
      <c r="AS160" s="11" t="s">
        <v>1180</v>
      </c>
      <c r="AT160" s="11" t="n">
        <v>0</v>
      </c>
      <c r="AU160" s="11"/>
      <c r="AV160" s="11"/>
      <c r="AW160" s="11"/>
      <c r="AX160" s="7" t="s">
        <v>84</v>
      </c>
      <c r="AY160" s="7"/>
      <c r="AZ160" s="7"/>
      <c r="BA160" s="7"/>
    </row>
    <row r="161" ht="171" customHeight="1">
      <c r="A161" s="4" t="s">
        <v>1181</v>
      </c>
      <c r="B161" s="4" t="n">
        <v>2022</v>
      </c>
      <c r="C161" s="4" t="n">
        <v>4195</v>
      </c>
      <c r="D161" s="4" t="s">
        <v>54</v>
      </c>
      <c r="E161" s="4" t="s">
        <v>1158</v>
      </c>
      <c r="F161" s="5" t="s">
        <v>1182</v>
      </c>
      <c r="G161" s="4" t="s">
        <v>289</v>
      </c>
      <c r="H161" s="4" t="s">
        <v>1160</v>
      </c>
      <c r="I161" s="4" t="s">
        <v>281</v>
      </c>
      <c r="J161" s="4" t="s">
        <v>1183</v>
      </c>
      <c r="K161" s="4" t="s">
        <v>1184</v>
      </c>
      <c r="L161" s="5" t="s">
        <v>122</v>
      </c>
      <c r="M161" s="4" t="s">
        <v>123</v>
      </c>
      <c r="N161" s="5" t="s">
        <v>124</v>
      </c>
      <c r="O161" s="4" t="s">
        <v>125</v>
      </c>
      <c r="P161" s="5" t="s">
        <v>126</v>
      </c>
      <c r="Q161" s="4" t="s">
        <v>127</v>
      </c>
      <c r="R161" s="5" t="s">
        <v>322</v>
      </c>
      <c r="S161" s="4" t="s">
        <v>323</v>
      </c>
      <c r="T161" s="5" t="s">
        <v>774</v>
      </c>
      <c r="U161" s="4" t="s">
        <v>775</v>
      </c>
      <c r="V161" s="5" t="s">
        <v>72</v>
      </c>
      <c r="W161" s="4" t="s">
        <v>73</v>
      </c>
      <c r="X161" s="4" t="s">
        <v>74</v>
      </c>
      <c r="Y161" s="5"/>
      <c r="Z161" s="4" t="s">
        <v>132</v>
      </c>
      <c r="AA161" s="6" t="n">
        <v>380000</v>
      </c>
      <c r="AB161" s="6"/>
      <c r="AC161" s="6"/>
      <c r="AD161" s="6"/>
      <c r="AE161" s="4"/>
      <c r="AF161" s="5"/>
      <c r="AG161" s="4" t="s">
        <v>78</v>
      </c>
      <c r="AH161" s="4" t="s">
        <v>79</v>
      </c>
      <c r="AI161" s="5" t="s">
        <v>80</v>
      </c>
      <c r="AJ161" s="1" t="n">
        <v>0</v>
      </c>
      <c r="AK161" s="11" t="n">
        <v>0</v>
      </c>
      <c r="AL161" s="12" t="s">
        <v>135</v>
      </c>
      <c r="AM161" s="13" t="str">
        <f>IF(AL161="","",AL161&amp;" - "&amp;IFERROR(VLOOKUP(AL161,CODEBOOK_CAP!$C$2:$D$212,2,FALSE),""))</f>
        <v>1002 - CARROS, TRÂNSITO, CONSTRUÇÃO E MANUTENÇÃO DE RUAS E ESTRADAS</v>
      </c>
      <c r="AN161" s="13" t="str">
        <f>IF(AL161="","",IFERROR(VLOOKUP(AL161,CODEBOOK_CAP!$C$2:$E$212,3,FALSE),""))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161" s="11" t="n">
        <v>1</v>
      </c>
      <c r="AP161" s="11" t="s">
        <v>1185</v>
      </c>
      <c r="AQ161" s="11" t="n">
        <v>1</v>
      </c>
      <c r="AR161" s="11" t="n">
        <v>1</v>
      </c>
      <c r="AS161" s="11" t="s">
        <v>1185</v>
      </c>
      <c r="AT161" s="11" t="n">
        <v>0</v>
      </c>
      <c r="AU161" s="11"/>
      <c r="AV161" s="11"/>
      <c r="AW161" s="11"/>
      <c r="AX161" s="7" t="s">
        <v>84</v>
      </c>
      <c r="AY161" s="7"/>
      <c r="AZ161" s="7"/>
      <c r="BA161" s="7"/>
    </row>
    <row r="162" ht="171" customHeight="1">
      <c r="A162" s="4" t="s">
        <v>1186</v>
      </c>
      <c r="B162" s="4" t="n">
        <v>2022</v>
      </c>
      <c r="C162" s="4" t="n">
        <v>4196</v>
      </c>
      <c r="D162" s="4" t="s">
        <v>54</v>
      </c>
      <c r="E162" s="4" t="s">
        <v>1158</v>
      </c>
      <c r="F162" s="5" t="s">
        <v>1187</v>
      </c>
      <c r="G162" s="4" t="s">
        <v>57</v>
      </c>
      <c r="H162" s="4" t="s">
        <v>1160</v>
      </c>
      <c r="I162" s="4" t="s">
        <v>281</v>
      </c>
      <c r="J162" s="4" t="s">
        <v>1188</v>
      </c>
      <c r="K162" s="4" t="s">
        <v>1189</v>
      </c>
      <c r="L162" s="5" t="s">
        <v>122</v>
      </c>
      <c r="M162" s="4" t="s">
        <v>123</v>
      </c>
      <c r="N162" s="5" t="s">
        <v>124</v>
      </c>
      <c r="O162" s="4" t="s">
        <v>125</v>
      </c>
      <c r="P162" s="5" t="s">
        <v>126</v>
      </c>
      <c r="Q162" s="4" t="s">
        <v>127</v>
      </c>
      <c r="R162" s="5" t="s">
        <v>128</v>
      </c>
      <c r="S162" s="4" t="s">
        <v>129</v>
      </c>
      <c r="T162" s="5" t="s">
        <v>130</v>
      </c>
      <c r="U162" s="4" t="s">
        <v>131</v>
      </c>
      <c r="V162" s="5" t="s">
        <v>72</v>
      </c>
      <c r="W162" s="4" t="s">
        <v>73</v>
      </c>
      <c r="X162" s="4" t="s">
        <v>74</v>
      </c>
      <c r="Y162" s="5"/>
      <c r="Z162" s="4" t="s">
        <v>132</v>
      </c>
      <c r="AA162" s="6" t="n">
        <v>357000</v>
      </c>
      <c r="AB162" s="6" t="n">
        <v>736961</v>
      </c>
      <c r="AC162" s="6" t="n">
        <v>736961</v>
      </c>
      <c r="AD162" s="6" t="n">
        <v>736961</v>
      </c>
      <c r="AE162" s="4" t="s">
        <v>1190</v>
      </c>
      <c r="AF162" s="5" t="s">
        <v>1191</v>
      </c>
      <c r="AG162" s="4" t="s">
        <v>78</v>
      </c>
      <c r="AH162" s="4" t="s">
        <v>79</v>
      </c>
      <c r="AI162" s="5" t="s">
        <v>80</v>
      </c>
      <c r="AJ162" s="1" t="n">
        <v>0</v>
      </c>
      <c r="AK162" s="11" t="n">
        <v>0</v>
      </c>
      <c r="AL162" s="12" t="s">
        <v>135</v>
      </c>
      <c r="AM162" s="13" t="str">
        <f>IF(AL162="","",AL162&amp;" - "&amp;IFERROR(VLOOKUP(AL162,CODEBOOK_CAP!$C$2:$D$212,2,FALSE),""))</f>
        <v>1002 - CARROS, TRÂNSITO, CONSTRUÇÃO E MANUTENÇÃO DE RUAS E ESTRADAS</v>
      </c>
      <c r="AN162" s="13" t="str">
        <f>IF(AL162="","",IFERROR(VLOOKUP(AL162,CODEBOOK_CAP!$C$2:$E$212,3,FALSE),""))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162" s="11" t="n">
        <v>0</v>
      </c>
      <c r="AP162" s="11"/>
      <c r="AQ162" s="11" t="n">
        <v>0</v>
      </c>
      <c r="AR162" s="11" t="n">
        <v>0</v>
      </c>
      <c r="AS162" s="11"/>
      <c r="AT162" s="11" t="n">
        <v>0</v>
      </c>
      <c r="AU162" s="11"/>
      <c r="AV162" s="11"/>
      <c r="AW162" s="11"/>
      <c r="AX162" s="7" t="s">
        <v>84</v>
      </c>
      <c r="AY162" s="7"/>
      <c r="AZ162" s="7"/>
      <c r="BA162" s="7"/>
    </row>
    <row r="163" ht="85.5" customHeight="1">
      <c r="A163" s="4" t="s">
        <v>1192</v>
      </c>
      <c r="B163" s="4" t="n">
        <v>2022</v>
      </c>
      <c r="C163" s="4" t="n">
        <v>4512</v>
      </c>
      <c r="D163" s="4" t="s">
        <v>54</v>
      </c>
      <c r="E163" s="4" t="s">
        <v>1158</v>
      </c>
      <c r="F163" s="5" t="s">
        <v>1193</v>
      </c>
      <c r="G163" s="4" t="s">
        <v>57</v>
      </c>
      <c r="H163" s="4" t="s">
        <v>1160</v>
      </c>
      <c r="I163" s="4" t="s">
        <v>281</v>
      </c>
      <c r="J163" s="4" t="s">
        <v>1194</v>
      </c>
      <c r="K163" s="4" t="s">
        <v>428</v>
      </c>
      <c r="L163" s="5" t="s">
        <v>62</v>
      </c>
      <c r="M163" s="4" t="s">
        <v>63</v>
      </c>
      <c r="N163" s="5" t="s">
        <v>64</v>
      </c>
      <c r="O163" s="4" t="s">
        <v>65</v>
      </c>
      <c r="P163" s="5" t="s">
        <v>193</v>
      </c>
      <c r="Q163" s="4" t="s">
        <v>194</v>
      </c>
      <c r="R163" s="5" t="s">
        <v>195</v>
      </c>
      <c r="S163" s="4" t="s">
        <v>196</v>
      </c>
      <c r="T163" s="5" t="s">
        <v>429</v>
      </c>
      <c r="U163" s="4" t="s">
        <v>430</v>
      </c>
      <c r="V163" s="5" t="s">
        <v>104</v>
      </c>
      <c r="W163" s="4" t="s">
        <v>105</v>
      </c>
      <c r="X163" s="4" t="s">
        <v>106</v>
      </c>
      <c r="Y163" s="5"/>
      <c r="Z163" s="4" t="s">
        <v>75</v>
      </c>
      <c r="AA163" s="6" t="n">
        <v>322000</v>
      </c>
      <c r="AB163" s="6" t="n">
        <v>322000</v>
      </c>
      <c r="AC163" s="6" t="n">
        <v>322000</v>
      </c>
      <c r="AD163" s="6" t="n">
        <v>322000</v>
      </c>
      <c r="AE163" s="4" t="s">
        <v>464</v>
      </c>
      <c r="AF163" s="5" t="s">
        <v>465</v>
      </c>
      <c r="AG163" s="4" t="s">
        <v>78</v>
      </c>
      <c r="AH163" s="4" t="s">
        <v>79</v>
      </c>
      <c r="AI163" s="5" t="s">
        <v>80</v>
      </c>
      <c r="AJ163" s="1" t="n">
        <v>1</v>
      </c>
      <c r="AK163" s="11" t="n">
        <v>1</v>
      </c>
      <c r="AL163" s="12" t="s">
        <v>81</v>
      </c>
      <c r="AM163" s="13" t="str">
        <f>IF(AL163="","",AL163&amp;" - "&amp;IFERROR(VLOOKUP(AL163,CODEBOOK_CAP!$C$2:$D$212,2,FALSE),""))</f>
        <v>0322 - ESTRUTURAS, HOSPITAIS, CLÍNICAS</v>
      </c>
      <c r="AN163" s="13" t="str">
        <f>IF(AL163="","",IFERROR(VLOOKUP(AL163,CODEBOOK_CAP!$C$2:$E$212,3,FALSE),""))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163" s="11" t="n">
        <v>0</v>
      </c>
      <c r="AP163" s="11"/>
      <c r="AQ163" s="11" t="n">
        <v>1</v>
      </c>
      <c r="AR163" s="11" t="n">
        <v>1</v>
      </c>
      <c r="AS163" s="11" t="s">
        <v>1195</v>
      </c>
      <c r="AT163" s="11" t="n">
        <v>0</v>
      </c>
      <c r="AU163" s="11"/>
      <c r="AV163" s="11"/>
      <c r="AW163" s="11"/>
      <c r="AX163" s="7" t="s">
        <v>84</v>
      </c>
      <c r="AY163" s="7"/>
      <c r="AZ163" s="7"/>
      <c r="BA163" s="7"/>
    </row>
    <row r="164" ht="85.5" customHeight="1">
      <c r="A164" s="4" t="s">
        <v>1196</v>
      </c>
      <c r="B164" s="4" t="n">
        <v>2022</v>
      </c>
      <c r="C164" s="4" t="n">
        <v>4513</v>
      </c>
      <c r="D164" s="4" t="s">
        <v>54</v>
      </c>
      <c r="E164" s="4" t="s">
        <v>1158</v>
      </c>
      <c r="F164" s="5" t="s">
        <v>1197</v>
      </c>
      <c r="G164" s="4" t="s">
        <v>57</v>
      </c>
      <c r="H164" s="4" t="s">
        <v>1160</v>
      </c>
      <c r="I164" s="4" t="s">
        <v>281</v>
      </c>
      <c r="J164" s="4" t="s">
        <v>1198</v>
      </c>
      <c r="K164" s="4" t="s">
        <v>975</v>
      </c>
      <c r="L164" s="5" t="s">
        <v>62</v>
      </c>
      <c r="M164" s="4" t="s">
        <v>63</v>
      </c>
      <c r="N164" s="5" t="s">
        <v>64</v>
      </c>
      <c r="O164" s="4" t="s">
        <v>65</v>
      </c>
      <c r="P164" s="5" t="s">
        <v>193</v>
      </c>
      <c r="Q164" s="4" t="s">
        <v>194</v>
      </c>
      <c r="R164" s="5" t="s">
        <v>195</v>
      </c>
      <c r="S164" s="4" t="s">
        <v>196</v>
      </c>
      <c r="T164" s="5" t="s">
        <v>429</v>
      </c>
      <c r="U164" s="4" t="s">
        <v>430</v>
      </c>
      <c r="V164" s="5" t="s">
        <v>757</v>
      </c>
      <c r="W164" s="4" t="s">
        <v>105</v>
      </c>
      <c r="X164" s="4" t="s">
        <v>106</v>
      </c>
      <c r="Y164" s="5"/>
      <c r="Z164" s="4" t="s">
        <v>75</v>
      </c>
      <c r="AA164" s="6" t="n">
        <v>644000</v>
      </c>
      <c r="AB164" s="6" t="n">
        <v>644000</v>
      </c>
      <c r="AC164" s="6" t="n">
        <v>644000</v>
      </c>
      <c r="AD164" s="6" t="n">
        <v>644000</v>
      </c>
      <c r="AE164" s="4" t="s">
        <v>976</v>
      </c>
      <c r="AF164" s="5" t="s">
        <v>759</v>
      </c>
      <c r="AG164" s="4" t="s">
        <v>78</v>
      </c>
      <c r="AH164" s="4" t="s">
        <v>79</v>
      </c>
      <c r="AI164" s="5" t="s">
        <v>80</v>
      </c>
      <c r="AJ164" s="1" t="n">
        <v>1</v>
      </c>
      <c r="AK164" s="11" t="n">
        <v>1</v>
      </c>
      <c r="AL164" s="12" t="s">
        <v>81</v>
      </c>
      <c r="AM164" s="13" t="str">
        <f>IF(AL164="","",AL164&amp;" - "&amp;IFERROR(VLOOKUP(AL164,CODEBOOK_CAP!$C$2:$D$212,2,FALSE),""))</f>
        <v>0322 - ESTRUTURAS, HOSPITAIS, CLÍNICAS</v>
      </c>
      <c r="AN164" s="13" t="str">
        <f>IF(AL164="","",IFERROR(VLOOKUP(AL164,CODEBOOK_CAP!$C$2:$E$212,3,FALSE),""))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164" s="11" t="n">
        <v>0</v>
      </c>
      <c r="AP164" s="11"/>
      <c r="AQ164" s="11" t="n">
        <v>1</v>
      </c>
      <c r="AR164" s="11" t="n">
        <v>1</v>
      </c>
      <c r="AS164" s="11" t="s">
        <v>1199</v>
      </c>
      <c r="AT164" s="11" t="n">
        <v>0</v>
      </c>
      <c r="AU164" s="11"/>
      <c r="AV164" s="11"/>
      <c r="AW164" s="11"/>
      <c r="AX164" s="7" t="s">
        <v>84</v>
      </c>
      <c r="AY164" s="7"/>
      <c r="AZ164" s="7"/>
      <c r="BA164" s="7"/>
    </row>
    <row r="165" ht="156.75" customHeight="1">
      <c r="A165" s="4" t="s">
        <v>1200</v>
      </c>
      <c r="B165" s="4" t="n">
        <v>2022</v>
      </c>
      <c r="C165" s="4" t="n">
        <v>4532</v>
      </c>
      <c r="D165" s="4" t="s">
        <v>54</v>
      </c>
      <c r="E165" s="4" t="s">
        <v>1158</v>
      </c>
      <c r="F165" s="5" t="s">
        <v>1201</v>
      </c>
      <c r="G165" s="4" t="s">
        <v>57</v>
      </c>
      <c r="H165" s="4" t="s">
        <v>1160</v>
      </c>
      <c r="I165" s="4" t="s">
        <v>281</v>
      </c>
      <c r="J165" s="4" t="s">
        <v>1202</v>
      </c>
      <c r="K165" s="4" t="s">
        <v>1203</v>
      </c>
      <c r="L165" s="5" t="s">
        <v>94</v>
      </c>
      <c r="M165" s="4" t="s">
        <v>95</v>
      </c>
      <c r="N165" s="5" t="s">
        <v>96</v>
      </c>
      <c r="O165" s="4" t="s">
        <v>97</v>
      </c>
      <c r="P165" s="5" t="s">
        <v>98</v>
      </c>
      <c r="Q165" s="4" t="s">
        <v>99</v>
      </c>
      <c r="R165" s="5" t="s">
        <v>1204</v>
      </c>
      <c r="S165" s="4" t="s">
        <v>1205</v>
      </c>
      <c r="T165" s="5" t="s">
        <v>1206</v>
      </c>
      <c r="U165" s="4" t="s">
        <v>1207</v>
      </c>
      <c r="V165" s="5" t="s">
        <v>104</v>
      </c>
      <c r="W165" s="4" t="s">
        <v>105</v>
      </c>
      <c r="X165" s="4" t="s">
        <v>106</v>
      </c>
      <c r="Y165" s="5"/>
      <c r="Z165" s="4" t="s">
        <v>107</v>
      </c>
      <c r="AA165" s="6" t="n">
        <v>322000</v>
      </c>
      <c r="AB165" s="6" t="n">
        <v>322000</v>
      </c>
      <c r="AC165" s="6" t="n">
        <v>322000</v>
      </c>
      <c r="AD165" s="6" t="n">
        <v>322000</v>
      </c>
      <c r="AE165" s="4" t="s">
        <v>1208</v>
      </c>
      <c r="AF165" s="5" t="s">
        <v>1209</v>
      </c>
      <c r="AG165" s="4" t="s">
        <v>110</v>
      </c>
      <c r="AH165" s="4" t="s">
        <v>110</v>
      </c>
      <c r="AI165" s="5"/>
      <c r="AJ165" s="1" t="n">
        <v>0</v>
      </c>
      <c r="AK165" s="11" t="n">
        <v>0</v>
      </c>
      <c r="AL165" s="12" t="s">
        <v>111</v>
      </c>
      <c r="AM165" s="13" t="str">
        <f>IF(AL165="","",AL165&amp;" - "&amp;IFERROR(VLOOKUP(AL165,CODEBOOK_CAP!$C$2:$D$212,2,FALSE),""))</f>
        <v>1300 - GERAL</v>
      </c>
      <c r="AN165" s="13" t="str">
        <f>IF(AL165="","",IFERROR(VLOOKUP(AL165,CODEBOOK_CAP!$C$2:$E$212,3,FALSE),""))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165" s="11" t="n">
        <v>0</v>
      </c>
      <c r="AP165" s="11"/>
      <c r="AQ165" s="11" t="n">
        <v>0</v>
      </c>
      <c r="AR165" s="11" t="n">
        <v>0</v>
      </c>
      <c r="AS165" s="11"/>
      <c r="AT165" s="11" t="n">
        <v>0</v>
      </c>
      <c r="AU165" s="11"/>
      <c r="AV165" s="11"/>
      <c r="AW165" s="11"/>
      <c r="AX165" s="7" t="s">
        <v>84</v>
      </c>
      <c r="AY165" s="7"/>
      <c r="AZ165" s="7"/>
      <c r="BA165" s="7"/>
    </row>
    <row r="166" ht="156.75" customHeight="1">
      <c r="A166" s="4" t="s">
        <v>1210</v>
      </c>
      <c r="B166" s="4" t="n">
        <v>2022</v>
      </c>
      <c r="C166" s="4" t="n">
        <v>4215</v>
      </c>
      <c r="D166" s="4" t="s">
        <v>54</v>
      </c>
      <c r="E166" s="4" t="s">
        <v>1211</v>
      </c>
      <c r="F166" s="5" t="s">
        <v>1212</v>
      </c>
      <c r="G166" s="4" t="s">
        <v>57</v>
      </c>
      <c r="H166" s="4" t="s">
        <v>1213</v>
      </c>
      <c r="I166" s="4" t="s">
        <v>1214</v>
      </c>
      <c r="J166" s="4" t="s">
        <v>1215</v>
      </c>
      <c r="K166" s="4" t="s">
        <v>93</v>
      </c>
      <c r="L166" s="5" t="s">
        <v>94</v>
      </c>
      <c r="M166" s="4" t="s">
        <v>95</v>
      </c>
      <c r="N166" s="5" t="s">
        <v>96</v>
      </c>
      <c r="O166" s="4" t="s">
        <v>97</v>
      </c>
      <c r="P166" s="5" t="s">
        <v>98</v>
      </c>
      <c r="Q166" s="4" t="s">
        <v>99</v>
      </c>
      <c r="R166" s="5" t="s">
        <v>100</v>
      </c>
      <c r="S166" s="4" t="s">
        <v>101</v>
      </c>
      <c r="T166" s="5" t="s">
        <v>102</v>
      </c>
      <c r="U166" s="4" t="s">
        <v>103</v>
      </c>
      <c r="V166" s="5" t="s">
        <v>104</v>
      </c>
      <c r="W166" s="4" t="s">
        <v>105</v>
      </c>
      <c r="X166" s="4" t="s">
        <v>106</v>
      </c>
      <c r="Y166" s="5"/>
      <c r="Z166" s="4" t="s">
        <v>107</v>
      </c>
      <c r="AA166" s="6" t="n">
        <v>14000</v>
      </c>
      <c r="AB166" s="6" t="n">
        <v>14000</v>
      </c>
      <c r="AC166" s="6" t="n">
        <v>14000</v>
      </c>
      <c r="AD166" s="6" t="n">
        <v>14000</v>
      </c>
      <c r="AE166" s="4" t="s">
        <v>1216</v>
      </c>
      <c r="AF166" s="5" t="s">
        <v>1217</v>
      </c>
      <c r="AG166" s="4" t="s">
        <v>110</v>
      </c>
      <c r="AH166" s="4" t="s">
        <v>110</v>
      </c>
      <c r="AI166" s="5" t="s">
        <v>115</v>
      </c>
      <c r="AJ166" s="1" t="n">
        <v>0</v>
      </c>
      <c r="AK166" s="11" t="n">
        <v>0</v>
      </c>
      <c r="AL166" s="12" t="s">
        <v>111</v>
      </c>
      <c r="AM166" s="13" t="str">
        <f>IF(AL166="","",AL166&amp;" - "&amp;IFERROR(VLOOKUP(AL166,CODEBOOK_CAP!$C$2:$D$212,2,FALSE),""))</f>
        <v>1300 - GERAL</v>
      </c>
      <c r="AN166" s="13" t="str">
        <f>IF(AL166="","",IFERROR(VLOOKUP(AL166,CODEBOOK_CAP!$C$2:$E$212,3,FALSE),""))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166" s="11" t="n">
        <v>0</v>
      </c>
      <c r="AP166" s="11"/>
      <c r="AQ166" s="11" t="n">
        <v>0</v>
      </c>
      <c r="AR166" s="11" t="n">
        <v>0</v>
      </c>
      <c r="AS166" s="11"/>
      <c r="AT166" s="11" t="n">
        <v>0</v>
      </c>
      <c r="AU166" s="11"/>
      <c r="AV166" s="11"/>
      <c r="AW166" s="11"/>
      <c r="AX166" s="7" t="s">
        <v>84</v>
      </c>
      <c r="AY166" s="7"/>
      <c r="AZ166" s="7"/>
      <c r="BA166" s="7"/>
    </row>
    <row r="167" ht="171" customHeight="1">
      <c r="A167" s="4" t="s">
        <v>1218</v>
      </c>
      <c r="B167" s="4" t="n">
        <v>2022</v>
      </c>
      <c r="C167" s="4" t="n">
        <v>4216</v>
      </c>
      <c r="D167" s="4" t="s">
        <v>54</v>
      </c>
      <c r="E167" s="4" t="s">
        <v>1211</v>
      </c>
      <c r="F167" s="5" t="s">
        <v>1219</v>
      </c>
      <c r="G167" s="4" t="s">
        <v>139</v>
      </c>
      <c r="H167" s="4" t="s">
        <v>1213</v>
      </c>
      <c r="I167" s="4" t="s">
        <v>1220</v>
      </c>
      <c r="J167" s="4" t="s">
        <v>1161</v>
      </c>
      <c r="K167" s="4" t="s">
        <v>115</v>
      </c>
      <c r="L167" s="5"/>
      <c r="M167" s="4"/>
      <c r="N167" s="5"/>
      <c r="O167" s="4"/>
      <c r="P167" s="5"/>
      <c r="Q167" s="4"/>
      <c r="R167" s="5"/>
      <c r="S167" s="4"/>
      <c r="T167" s="5"/>
      <c r="U167" s="4"/>
      <c r="V167" s="5"/>
      <c r="W167" s="4"/>
      <c r="X167" s="4"/>
      <c r="Y167" s="5"/>
      <c r="Z167" s="4" t="s">
        <v>139</v>
      </c>
      <c r="AA167" s="6" t="n">
        <v>4000</v>
      </c>
      <c r="AB167" s="6"/>
      <c r="AC167" s="6"/>
      <c r="AD167" s="6"/>
      <c r="AE167" s="4" t="s">
        <v>115</v>
      </c>
      <c r="AF167" s="5" t="s">
        <v>115</v>
      </c>
      <c r="AG167" s="4" t="s">
        <v>115</v>
      </c>
      <c r="AH167" s="4" t="s">
        <v>115</v>
      </c>
      <c r="AI167" s="5" t="s">
        <v>115</v>
      </c>
      <c r="AJ167" s="1" t="n">
        <v>0</v>
      </c>
      <c r="AK167" s="11" t="n">
        <v>0</v>
      </c>
      <c r="AL167" s="12" t="s">
        <v>135</v>
      </c>
      <c r="AM167" s="13" t="str">
        <f>IF(AL167="","",AL167&amp;" - "&amp;IFERROR(VLOOKUP(AL167,CODEBOOK_CAP!$C$2:$D$212,2,FALSE),""))</f>
        <v>1002 - CARROS, TRÂNSITO, CONSTRUÇÃO E MANUTENÇÃO DE RUAS E ESTRADAS</v>
      </c>
      <c r="AN167" s="13" t="str">
        <f>IF(AL167="","",IFERROR(VLOOKUP(AL167,CODEBOOK_CAP!$C$2:$E$212,3,FALSE),""))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167" s="11" t="n">
        <v>1</v>
      </c>
      <c r="AP167" s="11" t="s">
        <v>1221</v>
      </c>
      <c r="AQ167" s="11" t="n">
        <v>1</v>
      </c>
      <c r="AR167" s="11" t="n">
        <v>1</v>
      </c>
      <c r="AS167" s="11" t="s">
        <v>1221</v>
      </c>
      <c r="AT167" s="11" t="n">
        <v>0</v>
      </c>
      <c r="AU167" s="11"/>
      <c r="AV167" s="11"/>
      <c r="AW167" s="11"/>
      <c r="AX167" s="7" t="s">
        <v>84</v>
      </c>
      <c r="AY167" s="7"/>
      <c r="AZ167" s="7"/>
      <c r="BA167" s="7"/>
    </row>
    <row r="168" ht="171" customHeight="1">
      <c r="A168" s="4" t="s">
        <v>1222</v>
      </c>
      <c r="B168" s="4" t="n">
        <v>2022</v>
      </c>
      <c r="C168" s="4" t="n">
        <v>4217</v>
      </c>
      <c r="D168" s="4" t="s">
        <v>54</v>
      </c>
      <c r="E168" s="4" t="s">
        <v>1211</v>
      </c>
      <c r="F168" s="5" t="s">
        <v>1223</v>
      </c>
      <c r="G168" s="4" t="s">
        <v>139</v>
      </c>
      <c r="H168" s="4" t="s">
        <v>1213</v>
      </c>
      <c r="I168" s="4" t="s">
        <v>1220</v>
      </c>
      <c r="J168" s="4" t="s">
        <v>1165</v>
      </c>
      <c r="K168" s="4" t="s">
        <v>115</v>
      </c>
      <c r="L168" s="5"/>
      <c r="M168" s="4"/>
      <c r="N168" s="5"/>
      <c r="O168" s="4"/>
      <c r="P168" s="5"/>
      <c r="Q168" s="4"/>
      <c r="R168" s="5"/>
      <c r="S168" s="4"/>
      <c r="T168" s="5"/>
      <c r="U168" s="4"/>
      <c r="V168" s="5"/>
      <c r="W168" s="4"/>
      <c r="X168" s="4"/>
      <c r="Y168" s="5"/>
      <c r="Z168" s="4" t="s">
        <v>139</v>
      </c>
      <c r="AA168" s="6" t="n">
        <v>3000</v>
      </c>
      <c r="AB168" s="6"/>
      <c r="AC168" s="6"/>
      <c r="AD168" s="6"/>
      <c r="AE168" s="4" t="s">
        <v>115</v>
      </c>
      <c r="AF168" s="5" t="s">
        <v>115</v>
      </c>
      <c r="AG168" s="4" t="s">
        <v>115</v>
      </c>
      <c r="AH168" s="4" t="s">
        <v>115</v>
      </c>
      <c r="AI168" s="5" t="s">
        <v>115</v>
      </c>
      <c r="AJ168" s="1" t="n">
        <v>0</v>
      </c>
      <c r="AK168" s="11" t="n">
        <v>0</v>
      </c>
      <c r="AL168" s="12" t="s">
        <v>135</v>
      </c>
      <c r="AM168" s="13" t="str">
        <f>IF(AL168="","",AL168&amp;" - "&amp;IFERROR(VLOOKUP(AL168,CODEBOOK_CAP!$C$2:$D$212,2,FALSE),""))</f>
        <v>1002 - CARROS, TRÂNSITO, CONSTRUÇÃO E MANUTENÇÃO DE RUAS E ESTRADAS</v>
      </c>
      <c r="AN168" s="13" t="str">
        <f>IF(AL168="","",IFERROR(VLOOKUP(AL168,CODEBOOK_CAP!$C$2:$E$212,3,FALSE),""))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168" s="11" t="n">
        <v>1</v>
      </c>
      <c r="AP168" s="11" t="s">
        <v>1224</v>
      </c>
      <c r="AQ168" s="11" t="n">
        <v>1</v>
      </c>
      <c r="AR168" s="11" t="n">
        <v>1</v>
      </c>
      <c r="AS168" s="11" t="s">
        <v>1224</v>
      </c>
      <c r="AT168" s="11" t="n">
        <v>0</v>
      </c>
      <c r="AU168" s="11"/>
      <c r="AV168" s="11"/>
      <c r="AW168" s="11"/>
      <c r="AX168" s="7" t="s">
        <v>84</v>
      </c>
      <c r="AY168" s="7"/>
      <c r="AZ168" s="7"/>
      <c r="BA168" s="7"/>
    </row>
    <row r="169" ht="171" customHeight="1">
      <c r="A169" s="4" t="s">
        <v>1225</v>
      </c>
      <c r="B169" s="4" t="n">
        <v>2022</v>
      </c>
      <c r="C169" s="4" t="n">
        <v>4218</v>
      </c>
      <c r="D169" s="4" t="s">
        <v>54</v>
      </c>
      <c r="E169" s="4" t="s">
        <v>1211</v>
      </c>
      <c r="F169" s="5" t="s">
        <v>1226</v>
      </c>
      <c r="G169" s="4" t="s">
        <v>139</v>
      </c>
      <c r="H169" s="4" t="s">
        <v>1213</v>
      </c>
      <c r="I169" s="4" t="s">
        <v>1220</v>
      </c>
      <c r="J169" s="4" t="s">
        <v>1169</v>
      </c>
      <c r="K169" s="4" t="s">
        <v>115</v>
      </c>
      <c r="L169" s="5"/>
      <c r="M169" s="4"/>
      <c r="N169" s="5"/>
      <c r="O169" s="4"/>
      <c r="P169" s="5"/>
      <c r="Q169" s="4"/>
      <c r="R169" s="5"/>
      <c r="S169" s="4"/>
      <c r="T169" s="5"/>
      <c r="U169" s="4"/>
      <c r="V169" s="5"/>
      <c r="W169" s="4"/>
      <c r="X169" s="4"/>
      <c r="Y169" s="5"/>
      <c r="Z169" s="4" t="s">
        <v>139</v>
      </c>
      <c r="AA169" s="6" t="n">
        <v>2000</v>
      </c>
      <c r="AB169" s="6"/>
      <c r="AC169" s="6"/>
      <c r="AD169" s="6"/>
      <c r="AE169" s="4" t="s">
        <v>115</v>
      </c>
      <c r="AF169" s="5" t="s">
        <v>115</v>
      </c>
      <c r="AG169" s="4" t="s">
        <v>115</v>
      </c>
      <c r="AH169" s="4" t="s">
        <v>115</v>
      </c>
      <c r="AI169" s="5" t="s">
        <v>115</v>
      </c>
      <c r="AJ169" s="1" t="n">
        <v>0</v>
      </c>
      <c r="AK169" s="11" t="n">
        <v>0</v>
      </c>
      <c r="AL169" s="12" t="s">
        <v>135</v>
      </c>
      <c r="AM169" s="13" t="str">
        <f>IF(AL169="","",AL169&amp;" - "&amp;IFERROR(VLOOKUP(AL169,CODEBOOK_CAP!$C$2:$D$212,2,FALSE),""))</f>
        <v>1002 - CARROS, TRÂNSITO, CONSTRUÇÃO E MANUTENÇÃO DE RUAS E ESTRADAS</v>
      </c>
      <c r="AN169" s="13" t="str">
        <f>IF(AL169="","",IFERROR(VLOOKUP(AL169,CODEBOOK_CAP!$C$2:$E$212,3,FALSE),""))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169" s="11" t="n">
        <v>1</v>
      </c>
      <c r="AP169" s="11" t="s">
        <v>1227</v>
      </c>
      <c r="AQ169" s="11" t="n">
        <v>1</v>
      </c>
      <c r="AR169" s="11" t="n">
        <v>1</v>
      </c>
      <c r="AS169" s="11" t="s">
        <v>1227</v>
      </c>
      <c r="AT169" s="11" t="n">
        <v>0</v>
      </c>
      <c r="AU169" s="11"/>
      <c r="AV169" s="11"/>
      <c r="AW169" s="11"/>
      <c r="AX169" s="7" t="s">
        <v>84</v>
      </c>
      <c r="AY169" s="7"/>
      <c r="AZ169" s="7"/>
      <c r="BA169" s="7"/>
    </row>
    <row r="170" ht="57" customHeight="1">
      <c r="A170" s="4" t="s">
        <v>1228</v>
      </c>
      <c r="B170" s="4" t="n">
        <v>2022</v>
      </c>
      <c r="C170" s="4" t="n">
        <v>4219</v>
      </c>
      <c r="D170" s="4" t="s">
        <v>54</v>
      </c>
      <c r="E170" s="4" t="s">
        <v>1211</v>
      </c>
      <c r="F170" s="5" t="s">
        <v>1229</v>
      </c>
      <c r="G170" s="4" t="s">
        <v>57</v>
      </c>
      <c r="H170" s="4" t="s">
        <v>1213</v>
      </c>
      <c r="I170" s="4" t="s">
        <v>1214</v>
      </c>
      <c r="J170" s="4" t="s">
        <v>1230</v>
      </c>
      <c r="K170" s="4" t="s">
        <v>415</v>
      </c>
      <c r="L170" s="5" t="s">
        <v>122</v>
      </c>
      <c r="M170" s="4" t="s">
        <v>123</v>
      </c>
      <c r="N170" s="5" t="s">
        <v>227</v>
      </c>
      <c r="O170" s="4" t="s">
        <v>228</v>
      </c>
      <c r="P170" s="5" t="s">
        <v>229</v>
      </c>
      <c r="Q170" s="4" t="s">
        <v>230</v>
      </c>
      <c r="R170" s="5" t="s">
        <v>322</v>
      </c>
      <c r="S170" s="4" t="s">
        <v>323</v>
      </c>
      <c r="T170" s="5" t="s">
        <v>416</v>
      </c>
      <c r="U170" s="4" t="s">
        <v>417</v>
      </c>
      <c r="V170" s="5" t="s">
        <v>72</v>
      </c>
      <c r="W170" s="4" t="s">
        <v>73</v>
      </c>
      <c r="X170" s="4" t="s">
        <v>74</v>
      </c>
      <c r="Y170" s="5"/>
      <c r="Z170" s="4" t="s">
        <v>132</v>
      </c>
      <c r="AA170" s="6" t="n">
        <v>50000</v>
      </c>
      <c r="AB170" s="6" t="n">
        <v>45571</v>
      </c>
      <c r="AC170" s="6" t="n">
        <v>45571</v>
      </c>
      <c r="AD170" s="6" t="n">
        <v>45571</v>
      </c>
      <c r="AE170" s="4" t="s">
        <v>1231</v>
      </c>
      <c r="AF170" s="5" t="s">
        <v>1232</v>
      </c>
      <c r="AG170" s="4" t="s">
        <v>78</v>
      </c>
      <c r="AH170" s="4" t="s">
        <v>79</v>
      </c>
      <c r="AI170" s="5" t="s">
        <v>80</v>
      </c>
      <c r="AJ170" s="1" t="n">
        <v>0</v>
      </c>
      <c r="AK170" s="11" t="n">
        <v>0</v>
      </c>
      <c r="AL170" s="12" t="s">
        <v>328</v>
      </c>
      <c r="AM170" s="13" t="str">
        <f>IF(AL170="","",AL170&amp;" - "&amp;IFERROR(VLOOKUP(AL170,CODEBOOK_CAP!$C$2:$D$212,2,FALSE),""))</f>
        <v>1403 - REABILITAÇÃO URBANA, ECONOMIA URBANA</v>
      </c>
      <c r="AN170" s="13" t="str">
        <f>IF(AL170="","",IFERROR(VLOOKUP(AL170,CODEBOOK_CAP!$C$2:$E$212,3,FALSE),""))</f>
        <v>Reabilitação de áreas urbanas, revitalização urbana, modernização de áreas, mercados públicos, revitalização de praças, política urbana nacional, desenvolvimento urbano , desenvolvimento econômico de estados e cidades, modernização de espaços urbanos</v>
      </c>
      <c r="AO170" s="11" t="n">
        <v>1</v>
      </c>
      <c r="AP170" s="11" t="s">
        <v>1233</v>
      </c>
      <c r="AQ170" s="11" t="n">
        <v>1</v>
      </c>
      <c r="AR170" s="11" t="n">
        <v>1</v>
      </c>
      <c r="AS170" s="11" t="s">
        <v>1233</v>
      </c>
      <c r="AT170" s="11" t="n">
        <v>0</v>
      </c>
      <c r="AU170" s="11"/>
      <c r="AV170" s="11"/>
      <c r="AW170" s="11"/>
      <c r="AX170" s="7" t="s">
        <v>84</v>
      </c>
      <c r="AY170" s="7"/>
      <c r="AZ170" s="7"/>
      <c r="BA170" s="7"/>
    </row>
    <row r="171" ht="57" customHeight="1">
      <c r="A171" s="4" t="s">
        <v>1234</v>
      </c>
      <c r="B171" s="4" t="n">
        <v>2022</v>
      </c>
      <c r="C171" s="4" t="n">
        <v>4366</v>
      </c>
      <c r="D171" s="4" t="s">
        <v>54</v>
      </c>
      <c r="E171" s="4" t="s">
        <v>1211</v>
      </c>
      <c r="F171" s="5" t="s">
        <v>1235</v>
      </c>
      <c r="G171" s="4" t="s">
        <v>57</v>
      </c>
      <c r="H171" s="4" t="s">
        <v>1213</v>
      </c>
      <c r="I171" s="4" t="s">
        <v>1214</v>
      </c>
      <c r="J171" s="4" t="s">
        <v>1236</v>
      </c>
      <c r="K171" s="4" t="s">
        <v>1237</v>
      </c>
      <c r="L171" s="5" t="s">
        <v>1238</v>
      </c>
      <c r="M171" s="4" t="s">
        <v>1239</v>
      </c>
      <c r="N171" s="5" t="s">
        <v>227</v>
      </c>
      <c r="O171" s="4" t="s">
        <v>228</v>
      </c>
      <c r="P171" s="5" t="s">
        <v>229</v>
      </c>
      <c r="Q171" s="4" t="s">
        <v>230</v>
      </c>
      <c r="R171" s="5" t="s">
        <v>322</v>
      </c>
      <c r="S171" s="4" t="s">
        <v>323</v>
      </c>
      <c r="T171" s="5" t="s">
        <v>416</v>
      </c>
      <c r="U171" s="4" t="s">
        <v>417</v>
      </c>
      <c r="V171" s="5" t="s">
        <v>104</v>
      </c>
      <c r="W171" s="4" t="s">
        <v>105</v>
      </c>
      <c r="X171" s="4" t="s">
        <v>106</v>
      </c>
      <c r="Y171" s="5"/>
      <c r="Z171" s="4" t="s">
        <v>132</v>
      </c>
      <c r="AA171" s="6" t="n">
        <v>50000</v>
      </c>
      <c r="AB171" s="6" t="n">
        <v>6962</v>
      </c>
      <c r="AC171" s="6" t="n">
        <v>6962</v>
      </c>
      <c r="AD171" s="6" t="n">
        <v>6962</v>
      </c>
      <c r="AE171" s="4" t="s">
        <v>1240</v>
      </c>
      <c r="AF171" s="5" t="s">
        <v>1241</v>
      </c>
      <c r="AG171" s="4" t="s">
        <v>78</v>
      </c>
      <c r="AH171" s="4" t="s">
        <v>79</v>
      </c>
      <c r="AI171" s="5" t="s">
        <v>80</v>
      </c>
      <c r="AJ171" s="1" t="n">
        <v>0</v>
      </c>
      <c r="AK171" s="11" t="n">
        <v>0</v>
      </c>
      <c r="AL171" s="12" t="s">
        <v>328</v>
      </c>
      <c r="AM171" s="13" t="str">
        <f>IF(AL171="","",AL171&amp;" - "&amp;IFERROR(VLOOKUP(AL171,CODEBOOK_CAP!$C$2:$D$212,2,FALSE),""))</f>
        <v>1403 - REABILITAÇÃO URBANA, ECONOMIA URBANA</v>
      </c>
      <c r="AN171" s="13" t="str">
        <f>IF(AL171="","",IFERROR(VLOOKUP(AL171,CODEBOOK_CAP!$C$2:$E$212,3,FALSE),""))</f>
        <v>Reabilitação de áreas urbanas, revitalização urbana, modernização de áreas, mercados públicos, revitalização de praças, política urbana nacional, desenvolvimento urbano , desenvolvimento econômico de estados e cidades, modernização de espaços urbanos</v>
      </c>
      <c r="AO171" s="11" t="n">
        <v>1</v>
      </c>
      <c r="AP171" s="11" t="s">
        <v>1242</v>
      </c>
      <c r="AQ171" s="11" t="n">
        <v>1</v>
      </c>
      <c r="AR171" s="11" t="n">
        <v>1</v>
      </c>
      <c r="AS171" s="11" t="s">
        <v>1242</v>
      </c>
      <c r="AT171" s="11" t="n">
        <v>0</v>
      </c>
      <c r="AU171" s="11"/>
      <c r="AV171" s="11"/>
      <c r="AW171" s="11"/>
      <c r="AX171" s="7" t="s">
        <v>84</v>
      </c>
      <c r="AY171" s="7"/>
      <c r="AZ171" s="7"/>
      <c r="BA171" s="7"/>
    </row>
    <row r="172" ht="71.25" customHeight="1">
      <c r="A172" s="4" t="s">
        <v>1243</v>
      </c>
      <c r="B172" s="4" t="n">
        <v>2022</v>
      </c>
      <c r="C172" s="4" t="n">
        <v>4711</v>
      </c>
      <c r="D172" s="4" t="s">
        <v>54</v>
      </c>
      <c r="E172" s="4" t="s">
        <v>1211</v>
      </c>
      <c r="F172" s="5" t="s">
        <v>1244</v>
      </c>
      <c r="G172" s="4" t="s">
        <v>57</v>
      </c>
      <c r="H172" s="4" t="s">
        <v>1213</v>
      </c>
      <c r="I172" s="4" t="s">
        <v>1214</v>
      </c>
      <c r="J172" s="4" t="s">
        <v>1245</v>
      </c>
      <c r="K172" s="4" t="s">
        <v>415</v>
      </c>
      <c r="L172" s="5" t="s">
        <v>122</v>
      </c>
      <c r="M172" s="4" t="s">
        <v>123</v>
      </c>
      <c r="N172" s="5" t="s">
        <v>227</v>
      </c>
      <c r="O172" s="4" t="s">
        <v>228</v>
      </c>
      <c r="P172" s="5" t="s">
        <v>229</v>
      </c>
      <c r="Q172" s="4" t="s">
        <v>230</v>
      </c>
      <c r="R172" s="5" t="s">
        <v>322</v>
      </c>
      <c r="S172" s="4" t="s">
        <v>323</v>
      </c>
      <c r="T172" s="5" t="s">
        <v>416</v>
      </c>
      <c r="U172" s="4" t="s">
        <v>417</v>
      </c>
      <c r="V172" s="5" t="s">
        <v>72</v>
      </c>
      <c r="W172" s="4" t="s">
        <v>73</v>
      </c>
      <c r="X172" s="4" t="s">
        <v>74</v>
      </c>
      <c r="Y172" s="5"/>
      <c r="Z172" s="4" t="s">
        <v>132</v>
      </c>
      <c r="AA172" s="6" t="n">
        <v>25000</v>
      </c>
      <c r="AB172" s="6" t="n">
        <v>24463</v>
      </c>
      <c r="AC172" s="6" t="n">
        <v>24463</v>
      </c>
      <c r="AD172" s="6" t="n">
        <v>24463</v>
      </c>
      <c r="AE172" s="4" t="s">
        <v>1246</v>
      </c>
      <c r="AF172" s="5" t="s">
        <v>1247</v>
      </c>
      <c r="AG172" s="4" t="s">
        <v>78</v>
      </c>
      <c r="AH172" s="4" t="s">
        <v>79</v>
      </c>
      <c r="AI172" s="5" t="s">
        <v>80</v>
      </c>
      <c r="AJ172" s="1" t="n">
        <v>0</v>
      </c>
      <c r="AK172" s="11" t="n">
        <v>0</v>
      </c>
      <c r="AL172" s="12" t="s">
        <v>328</v>
      </c>
      <c r="AM172" s="13" t="str">
        <f>IF(AL172="","",AL172&amp;" - "&amp;IFERROR(VLOOKUP(AL172,CODEBOOK_CAP!$C$2:$D$212,2,FALSE),""))</f>
        <v>1403 - REABILITAÇÃO URBANA, ECONOMIA URBANA</v>
      </c>
      <c r="AN172" s="13" t="str">
        <f>IF(AL172="","",IFERROR(VLOOKUP(AL172,CODEBOOK_CAP!$C$2:$E$212,3,FALSE),""))</f>
        <v>Reabilitação de áreas urbanas, revitalização urbana, modernização de áreas, mercados públicos, revitalização de praças, política urbana nacional, desenvolvimento urbano , desenvolvimento econômico de estados e cidades, modernização de espaços urbanos</v>
      </c>
      <c r="AO172" s="11" t="n">
        <v>1</v>
      </c>
      <c r="AP172" s="11" t="s">
        <v>1248</v>
      </c>
      <c r="AQ172" s="11" t="n">
        <v>1</v>
      </c>
      <c r="AR172" s="11" t="n">
        <v>1</v>
      </c>
      <c r="AS172" s="11" t="s">
        <v>1248</v>
      </c>
      <c r="AT172" s="11" t="n">
        <v>0</v>
      </c>
      <c r="AU172" s="11"/>
      <c r="AV172" s="11"/>
      <c r="AW172" s="11"/>
      <c r="AX172" s="7" t="s">
        <v>84</v>
      </c>
      <c r="AY172" s="7"/>
      <c r="AZ172" s="7"/>
      <c r="BA172" s="7"/>
    </row>
    <row r="173" ht="57" customHeight="1">
      <c r="A173" s="4" t="s">
        <v>1249</v>
      </c>
      <c r="B173" s="4" t="n">
        <v>2022</v>
      </c>
      <c r="C173" s="4" t="n">
        <v>4712</v>
      </c>
      <c r="D173" s="4" t="s">
        <v>54</v>
      </c>
      <c r="E173" s="4" t="s">
        <v>1211</v>
      </c>
      <c r="F173" s="5" t="s">
        <v>1250</v>
      </c>
      <c r="G173" s="4" t="s">
        <v>57</v>
      </c>
      <c r="H173" s="4" t="s">
        <v>1213</v>
      </c>
      <c r="I173" s="4" t="s">
        <v>1214</v>
      </c>
      <c r="J173" s="4" t="s">
        <v>1251</v>
      </c>
      <c r="K173" s="4" t="s">
        <v>415</v>
      </c>
      <c r="L173" s="5" t="s">
        <v>122</v>
      </c>
      <c r="M173" s="4" t="s">
        <v>123</v>
      </c>
      <c r="N173" s="5" t="s">
        <v>227</v>
      </c>
      <c r="O173" s="4" t="s">
        <v>228</v>
      </c>
      <c r="P173" s="5" t="s">
        <v>229</v>
      </c>
      <c r="Q173" s="4" t="s">
        <v>230</v>
      </c>
      <c r="R173" s="5" t="s">
        <v>322</v>
      </c>
      <c r="S173" s="4" t="s">
        <v>323</v>
      </c>
      <c r="T173" s="5" t="s">
        <v>416</v>
      </c>
      <c r="U173" s="4" t="s">
        <v>417</v>
      </c>
      <c r="V173" s="5" t="s">
        <v>72</v>
      </c>
      <c r="W173" s="4" t="s">
        <v>73</v>
      </c>
      <c r="X173" s="4" t="s">
        <v>74</v>
      </c>
      <c r="Y173" s="5"/>
      <c r="Z173" s="4" t="s">
        <v>132</v>
      </c>
      <c r="AA173" s="6" t="n">
        <v>25000</v>
      </c>
      <c r="AB173" s="6" t="n">
        <v>22736</v>
      </c>
      <c r="AC173" s="6" t="n">
        <v>22736</v>
      </c>
      <c r="AD173" s="6" t="n">
        <v>22736</v>
      </c>
      <c r="AE173" s="4" t="s">
        <v>1231</v>
      </c>
      <c r="AF173" s="5" t="s">
        <v>1232</v>
      </c>
      <c r="AG173" s="4" t="s">
        <v>78</v>
      </c>
      <c r="AH173" s="4" t="s">
        <v>79</v>
      </c>
      <c r="AI173" s="5" t="s">
        <v>80</v>
      </c>
      <c r="AJ173" s="1" t="n">
        <v>0</v>
      </c>
      <c r="AK173" s="11" t="n">
        <v>0</v>
      </c>
      <c r="AL173" s="12" t="s">
        <v>328</v>
      </c>
      <c r="AM173" s="13" t="str">
        <f>IF(AL173="","",AL173&amp;" - "&amp;IFERROR(VLOOKUP(AL173,CODEBOOK_CAP!$C$2:$D$212,2,FALSE),""))</f>
        <v>1403 - REABILITAÇÃO URBANA, ECONOMIA URBANA</v>
      </c>
      <c r="AN173" s="13" t="str">
        <f>IF(AL173="","",IFERROR(VLOOKUP(AL173,CODEBOOK_CAP!$C$2:$E$212,3,FALSE),""))</f>
        <v>Reabilitação de áreas urbanas, revitalização urbana, modernização de áreas, mercados públicos, revitalização de praças, política urbana nacional, desenvolvimento urbano , desenvolvimento econômico de estados e cidades, modernização de espaços urbanos</v>
      </c>
      <c r="AO173" s="11" t="n">
        <v>1</v>
      </c>
      <c r="AP173" s="11" t="s">
        <v>1252</v>
      </c>
      <c r="AQ173" s="11" t="n">
        <v>1</v>
      </c>
      <c r="AR173" s="11" t="n">
        <v>1</v>
      </c>
      <c r="AS173" s="11" t="s">
        <v>1253</v>
      </c>
      <c r="AT173" s="11" t="n">
        <v>0</v>
      </c>
      <c r="AU173" s="11"/>
      <c r="AV173" s="11"/>
      <c r="AW173" s="11"/>
      <c r="AX173" s="7" t="s">
        <v>84</v>
      </c>
      <c r="AY173" s="7"/>
      <c r="AZ173" s="7"/>
      <c r="BA173" s="7"/>
    </row>
    <row r="174" ht="57" customHeight="1">
      <c r="A174" s="4" t="s">
        <v>1254</v>
      </c>
      <c r="B174" s="4" t="n">
        <v>2022</v>
      </c>
      <c r="C174" s="4" t="n">
        <v>4713</v>
      </c>
      <c r="D174" s="4" t="s">
        <v>54</v>
      </c>
      <c r="E174" s="4" t="s">
        <v>1211</v>
      </c>
      <c r="F174" s="5" t="s">
        <v>1255</v>
      </c>
      <c r="G174" s="4" t="s">
        <v>57</v>
      </c>
      <c r="H174" s="4" t="s">
        <v>1213</v>
      </c>
      <c r="I174" s="4" t="s">
        <v>1214</v>
      </c>
      <c r="J174" s="4" t="s">
        <v>1256</v>
      </c>
      <c r="K174" s="4" t="s">
        <v>415</v>
      </c>
      <c r="L174" s="5" t="s">
        <v>122</v>
      </c>
      <c r="M174" s="4" t="s">
        <v>123</v>
      </c>
      <c r="N174" s="5" t="s">
        <v>227</v>
      </c>
      <c r="O174" s="4" t="s">
        <v>228</v>
      </c>
      <c r="P174" s="5" t="s">
        <v>229</v>
      </c>
      <c r="Q174" s="4" t="s">
        <v>230</v>
      </c>
      <c r="R174" s="5" t="s">
        <v>322</v>
      </c>
      <c r="S174" s="4" t="s">
        <v>323</v>
      </c>
      <c r="T174" s="5" t="s">
        <v>416</v>
      </c>
      <c r="U174" s="4" t="s">
        <v>417</v>
      </c>
      <c r="V174" s="5" t="s">
        <v>72</v>
      </c>
      <c r="W174" s="4" t="s">
        <v>73</v>
      </c>
      <c r="X174" s="4" t="s">
        <v>74</v>
      </c>
      <c r="Y174" s="5"/>
      <c r="Z174" s="4" t="s">
        <v>132</v>
      </c>
      <c r="AA174" s="6" t="n">
        <v>10000</v>
      </c>
      <c r="AB174" s="6" t="n">
        <v>9841</v>
      </c>
      <c r="AC174" s="6" t="n">
        <v>9841</v>
      </c>
      <c r="AD174" s="6" t="n">
        <v>9841</v>
      </c>
      <c r="AE174" s="4" t="s">
        <v>1257</v>
      </c>
      <c r="AF174" s="5" t="s">
        <v>1258</v>
      </c>
      <c r="AG174" s="4" t="s">
        <v>78</v>
      </c>
      <c r="AH174" s="4" t="s">
        <v>79</v>
      </c>
      <c r="AI174" s="5" t="s">
        <v>80</v>
      </c>
      <c r="AJ174" s="1" t="n">
        <v>0</v>
      </c>
      <c r="AK174" s="11" t="n">
        <v>0</v>
      </c>
      <c r="AL174" s="12" t="s">
        <v>328</v>
      </c>
      <c r="AM174" s="13" t="str">
        <f>IF(AL174="","",AL174&amp;" - "&amp;IFERROR(VLOOKUP(AL174,CODEBOOK_CAP!$C$2:$D$212,2,FALSE),""))</f>
        <v>1403 - REABILITAÇÃO URBANA, ECONOMIA URBANA</v>
      </c>
      <c r="AN174" s="13" t="str">
        <f>IF(AL174="","",IFERROR(VLOOKUP(AL174,CODEBOOK_CAP!$C$2:$E$212,3,FALSE),""))</f>
        <v>Reabilitação de áreas urbanas, revitalização urbana, modernização de áreas, mercados públicos, revitalização de praças, política urbana nacional, desenvolvimento urbano , desenvolvimento econômico de estados e cidades, modernização de espaços urbanos</v>
      </c>
      <c r="AO174" s="11" t="n">
        <v>1</v>
      </c>
      <c r="AP174" s="11" t="s">
        <v>1259</v>
      </c>
      <c r="AQ174" s="11" t="n">
        <v>1</v>
      </c>
      <c r="AR174" s="11" t="n">
        <v>1</v>
      </c>
      <c r="AS174" s="11" t="s">
        <v>1259</v>
      </c>
      <c r="AT174" s="11" t="n">
        <v>0</v>
      </c>
      <c r="AU174" s="11"/>
      <c r="AV174" s="11"/>
      <c r="AW174" s="11"/>
      <c r="AX174" s="7" t="s">
        <v>84</v>
      </c>
      <c r="AY174" s="7"/>
      <c r="AZ174" s="7"/>
      <c r="BA174" s="7"/>
    </row>
    <row r="175" ht="156.75" customHeight="1">
      <c r="A175" s="4" t="s">
        <v>1260</v>
      </c>
      <c r="B175" s="4" t="n">
        <v>2022</v>
      </c>
      <c r="C175" s="4" t="n">
        <v>4714</v>
      </c>
      <c r="D175" s="4" t="s">
        <v>54</v>
      </c>
      <c r="E175" s="4" t="s">
        <v>1211</v>
      </c>
      <c r="F175" s="5" t="s">
        <v>1261</v>
      </c>
      <c r="G175" s="4" t="s">
        <v>57</v>
      </c>
      <c r="H175" s="4" t="s">
        <v>1213</v>
      </c>
      <c r="I175" s="4" t="s">
        <v>1214</v>
      </c>
      <c r="J175" s="4" t="s">
        <v>1262</v>
      </c>
      <c r="K175" s="4" t="s">
        <v>283</v>
      </c>
      <c r="L175" s="5" t="s">
        <v>94</v>
      </c>
      <c r="M175" s="4" t="s">
        <v>95</v>
      </c>
      <c r="N175" s="5" t="s">
        <v>96</v>
      </c>
      <c r="O175" s="4" t="s">
        <v>97</v>
      </c>
      <c r="P175" s="5" t="s">
        <v>98</v>
      </c>
      <c r="Q175" s="4" t="s">
        <v>99</v>
      </c>
      <c r="R175" s="5" t="s">
        <v>100</v>
      </c>
      <c r="S175" s="4" t="s">
        <v>101</v>
      </c>
      <c r="T175" s="5" t="s">
        <v>102</v>
      </c>
      <c r="U175" s="4" t="s">
        <v>103</v>
      </c>
      <c r="V175" s="5" t="s">
        <v>104</v>
      </c>
      <c r="W175" s="4" t="s">
        <v>105</v>
      </c>
      <c r="X175" s="4" t="s">
        <v>106</v>
      </c>
      <c r="Y175" s="5"/>
      <c r="Z175" s="4" t="s">
        <v>107</v>
      </c>
      <c r="AA175" s="6" t="n">
        <v>100000</v>
      </c>
      <c r="AB175" s="6" t="n">
        <v>0</v>
      </c>
      <c r="AC175" s="6" t="n">
        <v>0</v>
      </c>
      <c r="AD175" s="6" t="n">
        <v>0</v>
      </c>
      <c r="AE175" s="4" t="s">
        <v>1263</v>
      </c>
      <c r="AF175" s="5" t="s">
        <v>1264</v>
      </c>
      <c r="AG175" s="4" t="s">
        <v>115</v>
      </c>
      <c r="AH175" s="4" t="s">
        <v>115</v>
      </c>
      <c r="AI175" s="5" t="s">
        <v>115</v>
      </c>
      <c r="AJ175" s="1" t="n">
        <v>0</v>
      </c>
      <c r="AK175" s="11" t="n">
        <v>0</v>
      </c>
      <c r="AL175" s="12" t="s">
        <v>111</v>
      </c>
      <c r="AM175" s="13" t="str">
        <f>IF(AL175="","",AL175&amp;" - "&amp;IFERROR(VLOOKUP(AL175,CODEBOOK_CAP!$C$2:$D$212,2,FALSE),""))</f>
        <v>1300 - GERAL</v>
      </c>
      <c r="AN175" s="13" t="str">
        <f>IF(AL175="","",IFERROR(VLOOKUP(AL175,CODEBOOK_CAP!$C$2:$E$212,3,FALSE),""))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175" s="11" t="n">
        <v>0</v>
      </c>
      <c r="AP175" s="11"/>
      <c r="AQ175" s="11" t="n">
        <v>0</v>
      </c>
      <c r="AR175" s="11" t="n">
        <v>0</v>
      </c>
      <c r="AS175" s="11"/>
      <c r="AT175" s="11" t="n">
        <v>0</v>
      </c>
      <c r="AU175" s="11"/>
      <c r="AV175" s="11"/>
      <c r="AW175" s="11"/>
      <c r="AX175" s="7" t="s">
        <v>84</v>
      </c>
      <c r="AY175" s="7"/>
      <c r="AZ175" s="7"/>
      <c r="BA175" s="7"/>
    </row>
    <row r="176" ht="156.75" customHeight="1">
      <c r="A176" s="4" t="s">
        <v>1265</v>
      </c>
      <c r="B176" s="4" t="n">
        <v>2022</v>
      </c>
      <c r="C176" s="4" t="n">
        <v>4715</v>
      </c>
      <c r="D176" s="4" t="s">
        <v>54</v>
      </c>
      <c r="E176" s="4" t="s">
        <v>1211</v>
      </c>
      <c r="F176" s="5" t="s">
        <v>1266</v>
      </c>
      <c r="G176" s="4" t="s">
        <v>57</v>
      </c>
      <c r="H176" s="4" t="s">
        <v>1213</v>
      </c>
      <c r="I176" s="4" t="s">
        <v>1214</v>
      </c>
      <c r="J176" s="4" t="s">
        <v>1267</v>
      </c>
      <c r="K176" s="4" t="s">
        <v>283</v>
      </c>
      <c r="L176" s="5" t="s">
        <v>94</v>
      </c>
      <c r="M176" s="4" t="s">
        <v>95</v>
      </c>
      <c r="N176" s="5" t="s">
        <v>96</v>
      </c>
      <c r="O176" s="4" t="s">
        <v>97</v>
      </c>
      <c r="P176" s="5" t="s">
        <v>98</v>
      </c>
      <c r="Q176" s="4" t="s">
        <v>99</v>
      </c>
      <c r="R176" s="5" t="s">
        <v>100</v>
      </c>
      <c r="S176" s="4" t="s">
        <v>101</v>
      </c>
      <c r="T176" s="5" t="s">
        <v>102</v>
      </c>
      <c r="U176" s="4" t="s">
        <v>103</v>
      </c>
      <c r="V176" s="5" t="s">
        <v>104</v>
      </c>
      <c r="W176" s="4" t="s">
        <v>105</v>
      </c>
      <c r="X176" s="4" t="s">
        <v>106</v>
      </c>
      <c r="Y176" s="5"/>
      <c r="Z176" s="4" t="s">
        <v>107</v>
      </c>
      <c r="AA176" s="6" t="n">
        <v>100000</v>
      </c>
      <c r="AB176" s="6" t="n">
        <v>0</v>
      </c>
      <c r="AC176" s="6" t="n">
        <v>0</v>
      </c>
      <c r="AD176" s="6" t="n">
        <v>0</v>
      </c>
      <c r="AE176" s="4" t="s">
        <v>1216</v>
      </c>
      <c r="AF176" s="5" t="s">
        <v>1268</v>
      </c>
      <c r="AG176" s="4" t="s">
        <v>115</v>
      </c>
      <c r="AH176" s="4" t="s">
        <v>115</v>
      </c>
      <c r="AI176" s="5" t="s">
        <v>115</v>
      </c>
      <c r="AJ176" s="1" t="n">
        <v>0</v>
      </c>
      <c r="AK176" s="11" t="n">
        <v>0</v>
      </c>
      <c r="AL176" s="12" t="s">
        <v>111</v>
      </c>
      <c r="AM176" s="13" t="str">
        <f>IF(AL176="","",AL176&amp;" - "&amp;IFERROR(VLOOKUP(AL176,CODEBOOK_CAP!$C$2:$D$212,2,FALSE),""))</f>
        <v>1300 - GERAL</v>
      </c>
      <c r="AN176" s="13" t="str">
        <f>IF(AL176="","",IFERROR(VLOOKUP(AL176,CODEBOOK_CAP!$C$2:$E$212,3,FALSE),""))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176" s="11" t="n">
        <v>0</v>
      </c>
      <c r="AP176" s="11"/>
      <c r="AQ176" s="11" t="n">
        <v>0</v>
      </c>
      <c r="AR176" s="11" t="n">
        <v>0</v>
      </c>
      <c r="AS176" s="11"/>
      <c r="AT176" s="11" t="n">
        <v>0</v>
      </c>
      <c r="AU176" s="11"/>
      <c r="AV176" s="11"/>
      <c r="AW176" s="11"/>
      <c r="AX176" s="7" t="s">
        <v>84</v>
      </c>
      <c r="AY176" s="7"/>
      <c r="AZ176" s="7"/>
      <c r="BA176" s="7"/>
    </row>
    <row r="177" ht="156.75" customHeight="1">
      <c r="A177" s="4" t="s">
        <v>1269</v>
      </c>
      <c r="B177" s="4" t="n">
        <v>2022</v>
      </c>
      <c r="C177" s="4" t="n">
        <v>4778</v>
      </c>
      <c r="D177" s="4" t="s">
        <v>54</v>
      </c>
      <c r="E177" s="4" t="s">
        <v>1211</v>
      </c>
      <c r="F177" s="5" t="s">
        <v>1270</v>
      </c>
      <c r="G177" s="4" t="s">
        <v>57</v>
      </c>
      <c r="H177" s="4" t="s">
        <v>1213</v>
      </c>
      <c r="I177" s="4" t="s">
        <v>1214</v>
      </c>
      <c r="J177" s="4" t="s">
        <v>1271</v>
      </c>
      <c r="K177" s="4" t="s">
        <v>283</v>
      </c>
      <c r="L177" s="5" t="s">
        <v>94</v>
      </c>
      <c r="M177" s="4" t="s">
        <v>95</v>
      </c>
      <c r="N177" s="5" t="s">
        <v>96</v>
      </c>
      <c r="O177" s="4" t="s">
        <v>97</v>
      </c>
      <c r="P177" s="5" t="s">
        <v>98</v>
      </c>
      <c r="Q177" s="4" t="s">
        <v>99</v>
      </c>
      <c r="R177" s="5" t="s">
        <v>100</v>
      </c>
      <c r="S177" s="4" t="s">
        <v>101</v>
      </c>
      <c r="T177" s="5" t="s">
        <v>102</v>
      </c>
      <c r="U177" s="4" t="s">
        <v>103</v>
      </c>
      <c r="V177" s="5" t="s">
        <v>104</v>
      </c>
      <c r="W177" s="4" t="s">
        <v>105</v>
      </c>
      <c r="X177" s="4" t="s">
        <v>106</v>
      </c>
      <c r="Y177" s="5"/>
      <c r="Z177" s="4" t="s">
        <v>107</v>
      </c>
      <c r="AA177" s="6" t="n">
        <v>100000</v>
      </c>
      <c r="AB177" s="6" t="n">
        <v>100000</v>
      </c>
      <c r="AC177" s="6" t="n">
        <v>100000</v>
      </c>
      <c r="AD177" s="6" t="n">
        <v>100000</v>
      </c>
      <c r="AE177" s="4" t="s">
        <v>1263</v>
      </c>
      <c r="AF177" s="5" t="s">
        <v>1264</v>
      </c>
      <c r="AG177" s="4" t="s">
        <v>110</v>
      </c>
      <c r="AH177" s="4" t="s">
        <v>110</v>
      </c>
      <c r="AI177" s="5"/>
      <c r="AJ177" s="1" t="n">
        <v>0</v>
      </c>
      <c r="AK177" s="11" t="n">
        <v>0</v>
      </c>
      <c r="AL177" s="12" t="s">
        <v>111</v>
      </c>
      <c r="AM177" s="13" t="str">
        <f>IF(AL177="","",AL177&amp;" - "&amp;IFERROR(VLOOKUP(AL177,CODEBOOK_CAP!$C$2:$D$212,2,FALSE),""))</f>
        <v>1300 - GERAL</v>
      </c>
      <c r="AN177" s="13" t="str">
        <f>IF(AL177="","",IFERROR(VLOOKUP(AL177,CODEBOOK_CAP!$C$2:$E$212,3,FALSE),""))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177" s="11" t="n">
        <v>0</v>
      </c>
      <c r="AP177" s="11"/>
      <c r="AQ177" s="11" t="n">
        <v>0</v>
      </c>
      <c r="AR177" s="11" t="n">
        <v>0</v>
      </c>
      <c r="AS177" s="11"/>
      <c r="AT177" s="11" t="n">
        <v>0</v>
      </c>
      <c r="AU177" s="11"/>
      <c r="AV177" s="11"/>
      <c r="AW177" s="11"/>
      <c r="AX177" s="7" t="s">
        <v>84</v>
      </c>
      <c r="AY177" s="7"/>
      <c r="AZ177" s="7"/>
      <c r="BA177" s="7"/>
    </row>
    <row r="178" ht="85.5" customHeight="1">
      <c r="A178" s="4" t="s">
        <v>1272</v>
      </c>
      <c r="B178" s="4" t="n">
        <v>2022</v>
      </c>
      <c r="C178" s="4" t="n">
        <v>4779</v>
      </c>
      <c r="D178" s="4" t="s">
        <v>54</v>
      </c>
      <c r="E178" s="4" t="s">
        <v>1211</v>
      </c>
      <c r="F178" s="5" t="s">
        <v>1273</v>
      </c>
      <c r="G178" s="4" t="s">
        <v>57</v>
      </c>
      <c r="H178" s="4" t="s">
        <v>1213</v>
      </c>
      <c r="I178" s="4" t="s">
        <v>1214</v>
      </c>
      <c r="J178" s="4" t="s">
        <v>1274</v>
      </c>
      <c r="K178" s="4" t="s">
        <v>428</v>
      </c>
      <c r="L178" s="5" t="s">
        <v>62</v>
      </c>
      <c r="M178" s="4" t="s">
        <v>63</v>
      </c>
      <c r="N178" s="5" t="s">
        <v>64</v>
      </c>
      <c r="O178" s="4" t="s">
        <v>65</v>
      </c>
      <c r="P178" s="5" t="s">
        <v>193</v>
      </c>
      <c r="Q178" s="4" t="s">
        <v>194</v>
      </c>
      <c r="R178" s="5" t="s">
        <v>195</v>
      </c>
      <c r="S178" s="4" t="s">
        <v>196</v>
      </c>
      <c r="T178" s="5" t="s">
        <v>429</v>
      </c>
      <c r="U178" s="4" t="s">
        <v>430</v>
      </c>
      <c r="V178" s="5" t="s">
        <v>104</v>
      </c>
      <c r="W178" s="4" t="s">
        <v>105</v>
      </c>
      <c r="X178" s="4" t="s">
        <v>106</v>
      </c>
      <c r="Y178" s="5"/>
      <c r="Z178" s="4" t="s">
        <v>75</v>
      </c>
      <c r="AA178" s="6" t="n">
        <v>300000</v>
      </c>
      <c r="AB178" s="6" t="n">
        <v>300000</v>
      </c>
      <c r="AC178" s="6" t="n">
        <v>300000</v>
      </c>
      <c r="AD178" s="6" t="n">
        <v>300000</v>
      </c>
      <c r="AE178" s="4" t="s">
        <v>464</v>
      </c>
      <c r="AF178" s="5" t="s">
        <v>465</v>
      </c>
      <c r="AG178" s="4" t="s">
        <v>78</v>
      </c>
      <c r="AH178" s="4" t="s">
        <v>79</v>
      </c>
      <c r="AI178" s="5" t="s">
        <v>80</v>
      </c>
      <c r="AJ178" s="1" t="n">
        <v>1</v>
      </c>
      <c r="AK178" s="11" t="n">
        <v>1</v>
      </c>
      <c r="AL178" s="12" t="s">
        <v>1275</v>
      </c>
      <c r="AM178" s="13" t="str">
        <f>IF(AL178="","",AL178&amp;" - "&amp;IFERROR(VLOOKUP(AL178,CODEBOOK_CAP!$C$2:$D$212,2,FALSE),""))</f>
        <v>0334 - TRATAMENTOS, CIRUGIAS, ATENDIMENTOS, DOENÇAS E REABILITAÇÃO</v>
      </c>
      <c r="AN178" s="13" t="str">
        <f>IF(AL178="","",IFERROR(VLOOKUP(AL178,CODEBOOK_CAP!$C$2:$E$212,3,FALSE),""))</f>
        <v>Questões gerais sobre atendimentos emergenciais, cirurgias, Tratamento de pessoas com doenças terminais, tratamentos longos que necessitam internação e atendimento assistido, home- care, reabilitação, concultas, fisioterapia, tratamentos de dialose, tratamentos contra cancer, doenças degenerativas, ELA, Alzhaimer. Tratamentos continuados de doencas cronicas, HIV.</v>
      </c>
      <c r="AO178" s="11" t="n">
        <v>0</v>
      </c>
      <c r="AP178" s="11"/>
      <c r="AQ178" s="11" t="n">
        <v>1</v>
      </c>
      <c r="AR178" s="11" t="n">
        <v>1</v>
      </c>
      <c r="AS178" s="11" t="s">
        <v>1276</v>
      </c>
      <c r="AT178" s="11" t="n">
        <v>0</v>
      </c>
      <c r="AU178" s="11"/>
      <c r="AV178" s="11"/>
      <c r="AW178" s="11"/>
      <c r="AX178" s="7" t="s">
        <v>84</v>
      </c>
      <c r="AY178" s="7"/>
      <c r="AZ178" s="7"/>
      <c r="BA178" s="7"/>
    </row>
    <row r="179" ht="114" customHeight="1">
      <c r="A179" s="4" t="s">
        <v>1277</v>
      </c>
      <c r="B179" s="4" t="n">
        <v>2022</v>
      </c>
      <c r="C179" s="4" t="n">
        <v>4365</v>
      </c>
      <c r="D179" s="4" t="s">
        <v>54</v>
      </c>
      <c r="E179" s="4" t="s">
        <v>1278</v>
      </c>
      <c r="F179" s="5" t="s">
        <v>1279</v>
      </c>
      <c r="G179" s="4" t="s">
        <v>57</v>
      </c>
      <c r="H179" s="4" t="s">
        <v>1280</v>
      </c>
      <c r="I179" s="4" t="s">
        <v>1281</v>
      </c>
      <c r="J179" s="4" t="s">
        <v>1282</v>
      </c>
      <c r="K179" s="4" t="s">
        <v>1283</v>
      </c>
      <c r="L179" s="5" t="s">
        <v>62</v>
      </c>
      <c r="M179" s="4" t="s">
        <v>63</v>
      </c>
      <c r="N179" s="5" t="s">
        <v>64</v>
      </c>
      <c r="O179" s="4" t="s">
        <v>65</v>
      </c>
      <c r="P179" s="5" t="s">
        <v>344</v>
      </c>
      <c r="Q179" s="4" t="s">
        <v>345</v>
      </c>
      <c r="R179" s="5" t="s">
        <v>346</v>
      </c>
      <c r="S179" s="4" t="s">
        <v>347</v>
      </c>
      <c r="T179" s="5" t="s">
        <v>555</v>
      </c>
      <c r="U179" s="4" t="s">
        <v>347</v>
      </c>
      <c r="V179" s="5" t="s">
        <v>706</v>
      </c>
      <c r="W179" s="4" t="s">
        <v>105</v>
      </c>
      <c r="X179" s="4" t="s">
        <v>106</v>
      </c>
      <c r="Y179" s="5"/>
      <c r="Z179" s="4" t="s">
        <v>75</v>
      </c>
      <c r="AA179" s="6" t="n">
        <v>250000</v>
      </c>
      <c r="AB179" s="6" t="n">
        <v>70212</v>
      </c>
      <c r="AC179" s="6" t="n">
        <v>70212</v>
      </c>
      <c r="AD179" s="6" t="n">
        <v>70212</v>
      </c>
      <c r="AE179" s="4" t="s">
        <v>1284</v>
      </c>
      <c r="AF179" s="5" t="s">
        <v>1285</v>
      </c>
      <c r="AG179" s="4" t="s">
        <v>78</v>
      </c>
      <c r="AH179" s="4" t="s">
        <v>79</v>
      </c>
      <c r="AI179" s="5" t="s">
        <v>80</v>
      </c>
      <c r="AJ179" s="1" t="n">
        <v>1</v>
      </c>
      <c r="AK179" s="11" t="n">
        <v>1</v>
      </c>
      <c r="AL179" s="12" t="s">
        <v>81</v>
      </c>
      <c r="AM179" s="13" t="str">
        <f>IF(AL179="","",AL179&amp;" - "&amp;IFERROR(VLOOKUP(AL179,CODEBOOK_CAP!$C$2:$D$212,2,FALSE),""))</f>
        <v>0322 - ESTRUTURAS, HOSPITAIS, CLÍNICAS</v>
      </c>
      <c r="AN179" s="13" t="str">
        <f>IF(AL179="","",IFERROR(VLOOKUP(AL179,CODEBOOK_CAP!$C$2:$E$212,3,FALSE),""))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179" s="11" t="n">
        <v>0</v>
      </c>
      <c r="AP179" s="11"/>
      <c r="AQ179" s="11" t="n">
        <v>1</v>
      </c>
      <c r="AR179" s="11" t="n">
        <v>1</v>
      </c>
      <c r="AS179" s="11" t="s">
        <v>1286</v>
      </c>
      <c r="AT179" s="11" t="n">
        <v>0</v>
      </c>
      <c r="AU179" s="11"/>
      <c r="AV179" s="11"/>
      <c r="AW179" s="11"/>
      <c r="AX179" s="7" t="s">
        <v>84</v>
      </c>
      <c r="AY179" s="7"/>
      <c r="AZ179" s="7"/>
      <c r="BA179" s="7"/>
    </row>
    <row r="180" ht="85.5" customHeight="1">
      <c r="A180" s="4" t="s">
        <v>1287</v>
      </c>
      <c r="B180" s="4" t="n">
        <v>2022</v>
      </c>
      <c r="C180" s="4" t="n">
        <v>4367</v>
      </c>
      <c r="D180" s="4" t="s">
        <v>54</v>
      </c>
      <c r="E180" s="4" t="s">
        <v>1278</v>
      </c>
      <c r="F180" s="5" t="s">
        <v>1288</v>
      </c>
      <c r="G180" s="4" t="s">
        <v>57</v>
      </c>
      <c r="H180" s="4" t="s">
        <v>1280</v>
      </c>
      <c r="I180" s="4" t="s">
        <v>1281</v>
      </c>
      <c r="J180" s="4" t="s">
        <v>1289</v>
      </c>
      <c r="K180" s="4" t="s">
        <v>1290</v>
      </c>
      <c r="L180" s="5" t="s">
        <v>62</v>
      </c>
      <c r="M180" s="4" t="s">
        <v>63</v>
      </c>
      <c r="N180" s="5" t="s">
        <v>64</v>
      </c>
      <c r="O180" s="4" t="s">
        <v>65</v>
      </c>
      <c r="P180" s="5" t="s">
        <v>66</v>
      </c>
      <c r="Q180" s="4" t="s">
        <v>67</v>
      </c>
      <c r="R180" s="5" t="s">
        <v>68</v>
      </c>
      <c r="S180" s="4" t="s">
        <v>69</v>
      </c>
      <c r="T180" s="5" t="s">
        <v>70</v>
      </c>
      <c r="U180" s="4" t="s">
        <v>71</v>
      </c>
      <c r="V180" s="5" t="s">
        <v>72</v>
      </c>
      <c r="W180" s="4" t="s">
        <v>73</v>
      </c>
      <c r="X180" s="4" t="s">
        <v>74</v>
      </c>
      <c r="Y180" s="5"/>
      <c r="Z180" s="4" t="s">
        <v>75</v>
      </c>
      <c r="AA180" s="6" t="n">
        <v>289220</v>
      </c>
      <c r="AB180" s="6" t="n">
        <v>216098</v>
      </c>
      <c r="AC180" s="6" t="n">
        <v>216098</v>
      </c>
      <c r="AD180" s="6" t="n">
        <v>216098</v>
      </c>
      <c r="AE180" s="4" t="s">
        <v>1291</v>
      </c>
      <c r="AF180" s="5" t="s">
        <v>1292</v>
      </c>
      <c r="AG180" s="4" t="s">
        <v>78</v>
      </c>
      <c r="AH180" s="4" t="s">
        <v>79</v>
      </c>
      <c r="AI180" s="5" t="s">
        <v>80</v>
      </c>
      <c r="AJ180" s="1" t="n">
        <v>1</v>
      </c>
      <c r="AK180" s="11" t="n">
        <v>1</v>
      </c>
      <c r="AL180" s="12" t="s">
        <v>81</v>
      </c>
      <c r="AM180" s="13" t="str">
        <f>IF(AL180="","",AL180&amp;" - "&amp;IFERROR(VLOOKUP(AL180,CODEBOOK_CAP!$C$2:$D$212,2,FALSE),""))</f>
        <v>0322 - ESTRUTURAS, HOSPITAIS, CLÍNICAS</v>
      </c>
      <c r="AN180" s="13" t="str">
        <f>IF(AL180="","",IFERROR(VLOOKUP(AL180,CODEBOOK_CAP!$C$2:$E$212,3,FALSE),""))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180" s="11" t="n">
        <v>1</v>
      </c>
      <c r="AP180" s="11" t="s">
        <v>1293</v>
      </c>
      <c r="AQ180" s="11" t="n">
        <v>1</v>
      </c>
      <c r="AR180" s="11" t="n">
        <v>1</v>
      </c>
      <c r="AS180" s="11" t="s">
        <v>1294</v>
      </c>
      <c r="AT180" s="11" t="n">
        <v>1</v>
      </c>
      <c r="AU180" s="11" t="s">
        <v>1055</v>
      </c>
      <c r="AV180" s="11"/>
      <c r="AW180" s="11"/>
      <c r="AX180" s="7" t="s">
        <v>84</v>
      </c>
      <c r="AY180" s="7"/>
      <c r="AZ180" s="7"/>
      <c r="BA180" s="7"/>
    </row>
    <row r="181" ht="85.5" customHeight="1">
      <c r="A181" s="4" t="s">
        <v>1295</v>
      </c>
      <c r="B181" s="4" t="n">
        <v>2022</v>
      </c>
      <c r="C181" s="4" t="n">
        <v>4381</v>
      </c>
      <c r="D181" s="4" t="s">
        <v>54</v>
      </c>
      <c r="E181" s="4" t="s">
        <v>1278</v>
      </c>
      <c r="F181" s="5" t="s">
        <v>1296</v>
      </c>
      <c r="G181" s="4" t="s">
        <v>57</v>
      </c>
      <c r="H181" s="4" t="s">
        <v>1280</v>
      </c>
      <c r="I181" s="4" t="s">
        <v>1281</v>
      </c>
      <c r="J181" s="4" t="s">
        <v>1297</v>
      </c>
      <c r="K181" s="4" t="s">
        <v>1298</v>
      </c>
      <c r="L181" s="5" t="s">
        <v>62</v>
      </c>
      <c r="M181" s="4" t="s">
        <v>63</v>
      </c>
      <c r="N181" s="5" t="s">
        <v>64</v>
      </c>
      <c r="O181" s="4" t="s">
        <v>65</v>
      </c>
      <c r="P181" s="5" t="s">
        <v>193</v>
      </c>
      <c r="Q181" s="4" t="s">
        <v>194</v>
      </c>
      <c r="R181" s="5" t="s">
        <v>195</v>
      </c>
      <c r="S181" s="4" t="s">
        <v>196</v>
      </c>
      <c r="T181" s="5" t="s">
        <v>573</v>
      </c>
      <c r="U181" s="4" t="s">
        <v>574</v>
      </c>
      <c r="V181" s="5" t="s">
        <v>706</v>
      </c>
      <c r="W181" s="4" t="s">
        <v>105</v>
      </c>
      <c r="X181" s="4" t="s">
        <v>106</v>
      </c>
      <c r="Y181" s="5"/>
      <c r="Z181" s="4" t="s">
        <v>75</v>
      </c>
      <c r="AA181" s="6" t="n">
        <v>150000</v>
      </c>
      <c r="AB181" s="6" t="n">
        <v>0</v>
      </c>
      <c r="AC181" s="6" t="n">
        <v>0</v>
      </c>
      <c r="AD181" s="6" t="n">
        <v>0</v>
      </c>
      <c r="AE181" s="4"/>
      <c r="AF181" s="5"/>
      <c r="AG181" s="4" t="s">
        <v>78</v>
      </c>
      <c r="AH181" s="4" t="s">
        <v>79</v>
      </c>
      <c r="AI181" s="5" t="s">
        <v>80</v>
      </c>
      <c r="AJ181" s="1" t="n">
        <v>1</v>
      </c>
      <c r="AK181" s="11" t="n">
        <v>1</v>
      </c>
      <c r="AL181" s="12" t="s">
        <v>81</v>
      </c>
      <c r="AM181" s="13" t="str">
        <f>IF(AL181="","",AL181&amp;" - "&amp;IFERROR(VLOOKUP(AL181,CODEBOOK_CAP!$C$2:$D$212,2,FALSE),""))</f>
        <v>0322 - ESTRUTURAS, HOSPITAIS, CLÍNICAS</v>
      </c>
      <c r="AN181" s="13" t="str">
        <f>IF(AL181="","",IFERROR(VLOOKUP(AL181,CODEBOOK_CAP!$C$2:$E$212,3,FALSE),""))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181" s="11" t="n">
        <v>1</v>
      </c>
      <c r="AP181" s="11" t="s">
        <v>1299</v>
      </c>
      <c r="AQ181" s="11" t="n">
        <v>1</v>
      </c>
      <c r="AR181" s="11" t="n">
        <v>1</v>
      </c>
      <c r="AS181" s="11" t="s">
        <v>1300</v>
      </c>
      <c r="AT181" s="11" t="n">
        <v>0</v>
      </c>
      <c r="AU181" s="11"/>
      <c r="AV181" s="11"/>
      <c r="AW181" s="11"/>
      <c r="AX181" s="7" t="s">
        <v>84</v>
      </c>
      <c r="AY181" s="7"/>
      <c r="AZ181" s="7"/>
      <c r="BA181" s="7"/>
    </row>
    <row r="182" ht="85.5" customHeight="1">
      <c r="A182" s="4" t="s">
        <v>1301</v>
      </c>
      <c r="B182" s="4" t="n">
        <v>2022</v>
      </c>
      <c r="C182" s="4" t="n">
        <v>4420</v>
      </c>
      <c r="D182" s="4" t="s">
        <v>54</v>
      </c>
      <c r="E182" s="4" t="s">
        <v>1278</v>
      </c>
      <c r="F182" s="5" t="s">
        <v>1302</v>
      </c>
      <c r="G182" s="4" t="s">
        <v>289</v>
      </c>
      <c r="H182" s="4" t="s">
        <v>1280</v>
      </c>
      <c r="I182" s="4" t="s">
        <v>1281</v>
      </c>
      <c r="J182" s="4" t="s">
        <v>1303</v>
      </c>
      <c r="K182" s="4" t="s">
        <v>115</v>
      </c>
      <c r="L182" s="5"/>
      <c r="M182" s="4"/>
      <c r="N182" s="5"/>
      <c r="O182" s="4"/>
      <c r="P182" s="5"/>
      <c r="Q182" s="4"/>
      <c r="R182" s="5"/>
      <c r="S182" s="4"/>
      <c r="T182" s="5"/>
      <c r="U182" s="4"/>
      <c r="V182" s="5"/>
      <c r="W182" s="4"/>
      <c r="X182" s="4"/>
      <c r="Y182" s="5"/>
      <c r="Z182" s="4" t="s">
        <v>289</v>
      </c>
      <c r="AA182" s="6" t="n">
        <v>250000</v>
      </c>
      <c r="AB182" s="6"/>
      <c r="AC182" s="6"/>
      <c r="AD182" s="6"/>
      <c r="AE182" s="4" t="s">
        <v>115</v>
      </c>
      <c r="AF182" s="5"/>
      <c r="AG182" s="4" t="s">
        <v>78</v>
      </c>
      <c r="AH182" s="4" t="s">
        <v>79</v>
      </c>
      <c r="AI182" s="5" t="s">
        <v>80</v>
      </c>
      <c r="AJ182" s="1" t="n">
        <v>1</v>
      </c>
      <c r="AK182" s="11" t="n">
        <v>1</v>
      </c>
      <c r="AL182" s="12" t="s">
        <v>81</v>
      </c>
      <c r="AM182" s="13" t="str">
        <f>IF(AL182="","",AL182&amp;" - "&amp;IFERROR(VLOOKUP(AL182,CODEBOOK_CAP!$C$2:$D$212,2,FALSE),""))</f>
        <v>0322 - ESTRUTURAS, HOSPITAIS, CLÍNICAS</v>
      </c>
      <c r="AN182" s="13" t="str">
        <f>IF(AL182="","",IFERROR(VLOOKUP(AL182,CODEBOOK_CAP!$C$2:$E$212,3,FALSE),""))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182" s="11" t="n">
        <v>1</v>
      </c>
      <c r="AP182" s="11" t="s">
        <v>1304</v>
      </c>
      <c r="AQ182" s="11" t="n">
        <v>1</v>
      </c>
      <c r="AR182" s="11" t="n">
        <v>1</v>
      </c>
      <c r="AS182" s="11" t="s">
        <v>1305</v>
      </c>
      <c r="AT182" s="11" t="n">
        <v>0</v>
      </c>
      <c r="AU182" s="11"/>
      <c r="AV182" s="11"/>
      <c r="AW182" s="11"/>
      <c r="AX182" s="7" t="s">
        <v>84</v>
      </c>
      <c r="AY182" s="7"/>
      <c r="AZ182" s="7"/>
      <c r="BA182" s="7"/>
    </row>
    <row r="183" ht="156.75" customHeight="1">
      <c r="A183" s="4" t="s">
        <v>1306</v>
      </c>
      <c r="B183" s="4" t="n">
        <v>2022</v>
      </c>
      <c r="C183" s="4" t="n">
        <v>4438</v>
      </c>
      <c r="D183" s="4" t="s">
        <v>54</v>
      </c>
      <c r="E183" s="4" t="s">
        <v>1278</v>
      </c>
      <c r="F183" s="5" t="s">
        <v>1307</v>
      </c>
      <c r="G183" s="4" t="s">
        <v>57</v>
      </c>
      <c r="H183" s="4" t="s">
        <v>1280</v>
      </c>
      <c r="I183" s="4" t="s">
        <v>1281</v>
      </c>
      <c r="J183" s="4" t="s">
        <v>1308</v>
      </c>
      <c r="K183" s="4" t="s">
        <v>554</v>
      </c>
      <c r="L183" s="5" t="s">
        <v>62</v>
      </c>
      <c r="M183" s="4" t="s">
        <v>63</v>
      </c>
      <c r="N183" s="5" t="s">
        <v>64</v>
      </c>
      <c r="O183" s="4" t="s">
        <v>65</v>
      </c>
      <c r="P183" s="5" t="s">
        <v>344</v>
      </c>
      <c r="Q183" s="4" t="s">
        <v>345</v>
      </c>
      <c r="R183" s="5" t="s">
        <v>346</v>
      </c>
      <c r="S183" s="4" t="s">
        <v>347</v>
      </c>
      <c r="T183" s="5" t="s">
        <v>555</v>
      </c>
      <c r="U183" s="4" t="s">
        <v>347</v>
      </c>
      <c r="V183" s="5" t="s">
        <v>310</v>
      </c>
      <c r="W183" s="4" t="s">
        <v>73</v>
      </c>
      <c r="X183" s="4" t="s">
        <v>74</v>
      </c>
      <c r="Y183" s="5"/>
      <c r="Z183" s="4" t="s">
        <v>75</v>
      </c>
      <c r="AA183" s="6" t="n">
        <v>100000</v>
      </c>
      <c r="AB183" s="6" t="n">
        <v>33283</v>
      </c>
      <c r="AC183" s="6" t="n">
        <v>33283</v>
      </c>
      <c r="AD183" s="6" t="n">
        <v>33283</v>
      </c>
      <c r="AE183" s="4" t="s">
        <v>1309</v>
      </c>
      <c r="AF183" s="5"/>
      <c r="AG183" s="4" t="s">
        <v>78</v>
      </c>
      <c r="AH183" s="4" t="s">
        <v>79</v>
      </c>
      <c r="AI183" s="5" t="s">
        <v>80</v>
      </c>
      <c r="AJ183" s="1" t="n">
        <v>1</v>
      </c>
      <c r="AK183" s="11" t="n">
        <v>1</v>
      </c>
      <c r="AL183" s="12" t="s">
        <v>81</v>
      </c>
      <c r="AM183" s="13" t="str">
        <f>IF(AL183="","",AL183&amp;" - "&amp;IFERROR(VLOOKUP(AL183,CODEBOOK_CAP!$C$2:$D$212,2,FALSE),""))</f>
        <v>0322 - ESTRUTURAS, HOSPITAIS, CLÍNICAS</v>
      </c>
      <c r="AN183" s="13" t="str">
        <f>IF(AL183="","",IFERROR(VLOOKUP(AL183,CODEBOOK_CAP!$C$2:$E$212,3,FALSE),""))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183" s="11" t="n">
        <v>1</v>
      </c>
      <c r="AP183" s="11" t="s">
        <v>1310</v>
      </c>
      <c r="AQ183" s="11" t="n">
        <v>1</v>
      </c>
      <c r="AR183" s="11" t="n">
        <v>1</v>
      </c>
      <c r="AS183" s="11" t="s">
        <v>1311</v>
      </c>
      <c r="AT183" s="11" t="n">
        <v>0</v>
      </c>
      <c r="AU183" s="11"/>
      <c r="AV183" s="11"/>
      <c r="AW183" s="11"/>
      <c r="AX183" s="7" t="s">
        <v>84</v>
      </c>
      <c r="AY183" s="7"/>
      <c r="AZ183" s="7"/>
      <c r="BA183" s="7"/>
    </row>
    <row r="184" ht="85.5" customHeight="1">
      <c r="A184" s="4" t="s">
        <v>1312</v>
      </c>
      <c r="B184" s="4" t="n">
        <v>2022</v>
      </c>
      <c r="C184" s="4" t="n">
        <v>4441</v>
      </c>
      <c r="D184" s="4" t="s">
        <v>54</v>
      </c>
      <c r="E184" s="4" t="s">
        <v>1278</v>
      </c>
      <c r="F184" s="5" t="s">
        <v>1313</v>
      </c>
      <c r="G184" s="4" t="s">
        <v>57</v>
      </c>
      <c r="H184" s="4" t="s">
        <v>1280</v>
      </c>
      <c r="I184" s="4" t="s">
        <v>1281</v>
      </c>
      <c r="J184" s="4" t="s">
        <v>1314</v>
      </c>
      <c r="K184" s="4" t="s">
        <v>554</v>
      </c>
      <c r="L184" s="5" t="s">
        <v>62</v>
      </c>
      <c r="M184" s="4" t="s">
        <v>63</v>
      </c>
      <c r="N184" s="5" t="s">
        <v>64</v>
      </c>
      <c r="O184" s="4" t="s">
        <v>65</v>
      </c>
      <c r="P184" s="5" t="s">
        <v>344</v>
      </c>
      <c r="Q184" s="4" t="s">
        <v>345</v>
      </c>
      <c r="R184" s="5" t="s">
        <v>346</v>
      </c>
      <c r="S184" s="4" t="s">
        <v>347</v>
      </c>
      <c r="T184" s="5" t="s">
        <v>555</v>
      </c>
      <c r="U184" s="4" t="s">
        <v>347</v>
      </c>
      <c r="V184" s="5" t="s">
        <v>310</v>
      </c>
      <c r="W184" s="4" t="s">
        <v>73</v>
      </c>
      <c r="X184" s="4" t="s">
        <v>74</v>
      </c>
      <c r="Y184" s="5"/>
      <c r="Z184" s="4" t="s">
        <v>75</v>
      </c>
      <c r="AA184" s="6" t="n">
        <v>100000</v>
      </c>
      <c r="AB184" s="6" t="n">
        <v>73625</v>
      </c>
      <c r="AC184" s="6" t="n">
        <v>73625</v>
      </c>
      <c r="AD184" s="6" t="n">
        <v>73625</v>
      </c>
      <c r="AE184" s="4" t="s">
        <v>1315</v>
      </c>
      <c r="AF184" s="5"/>
      <c r="AG184" s="4" t="s">
        <v>78</v>
      </c>
      <c r="AH184" s="4" t="s">
        <v>79</v>
      </c>
      <c r="AI184" s="5" t="s">
        <v>80</v>
      </c>
      <c r="AJ184" s="1" t="n">
        <v>1</v>
      </c>
      <c r="AK184" s="11" t="n">
        <v>1</v>
      </c>
      <c r="AL184" s="12" t="s">
        <v>81</v>
      </c>
      <c r="AM184" s="13" t="str">
        <f>IF(AL184="","",AL184&amp;" - "&amp;IFERROR(VLOOKUP(AL184,CODEBOOK_CAP!$C$2:$D$212,2,FALSE),""))</f>
        <v>0322 - ESTRUTURAS, HOSPITAIS, CLÍNICAS</v>
      </c>
      <c r="AN184" s="13" t="str">
        <f>IF(AL184="","",IFERROR(VLOOKUP(AL184,CODEBOOK_CAP!$C$2:$E$212,3,FALSE),""))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184" s="11" t="n">
        <v>1</v>
      </c>
      <c r="AP184" s="11" t="s">
        <v>1316</v>
      </c>
      <c r="AQ184" s="11" t="n">
        <v>1</v>
      </c>
      <c r="AR184" s="11" t="n">
        <v>1</v>
      </c>
      <c r="AS184" s="11" t="s">
        <v>1317</v>
      </c>
      <c r="AT184" s="11" t="n">
        <v>0</v>
      </c>
      <c r="AU184" s="11"/>
      <c r="AV184" s="11"/>
      <c r="AW184" s="11"/>
      <c r="AX184" s="7" t="s">
        <v>84</v>
      </c>
      <c r="AY184" s="7"/>
      <c r="AZ184" s="7"/>
      <c r="BA184" s="7"/>
    </row>
    <row r="185" ht="85.5" customHeight="1">
      <c r="A185" s="4" t="s">
        <v>1318</v>
      </c>
      <c r="B185" s="4" t="n">
        <v>2022</v>
      </c>
      <c r="C185" s="4" t="n">
        <v>4447</v>
      </c>
      <c r="D185" s="4" t="s">
        <v>54</v>
      </c>
      <c r="E185" s="4" t="s">
        <v>1278</v>
      </c>
      <c r="F185" s="5" t="s">
        <v>1319</v>
      </c>
      <c r="G185" s="4" t="s">
        <v>57</v>
      </c>
      <c r="H185" s="4" t="s">
        <v>1280</v>
      </c>
      <c r="I185" s="4" t="s">
        <v>1281</v>
      </c>
      <c r="J185" s="4" t="s">
        <v>1320</v>
      </c>
      <c r="K185" s="4" t="s">
        <v>980</v>
      </c>
      <c r="L185" s="5" t="s">
        <v>62</v>
      </c>
      <c r="M185" s="4" t="s">
        <v>63</v>
      </c>
      <c r="N185" s="5" t="s">
        <v>64</v>
      </c>
      <c r="O185" s="4" t="s">
        <v>65</v>
      </c>
      <c r="P185" s="5" t="s">
        <v>193</v>
      </c>
      <c r="Q185" s="4" t="s">
        <v>194</v>
      </c>
      <c r="R185" s="5" t="s">
        <v>195</v>
      </c>
      <c r="S185" s="4" t="s">
        <v>196</v>
      </c>
      <c r="T185" s="5" t="s">
        <v>197</v>
      </c>
      <c r="U185" s="4" t="s">
        <v>198</v>
      </c>
      <c r="V185" s="5" t="s">
        <v>310</v>
      </c>
      <c r="W185" s="4" t="s">
        <v>73</v>
      </c>
      <c r="X185" s="4" t="s">
        <v>74</v>
      </c>
      <c r="Y185" s="5"/>
      <c r="Z185" s="4" t="s">
        <v>75</v>
      </c>
      <c r="AA185" s="6" t="n">
        <v>150000</v>
      </c>
      <c r="AB185" s="6" t="n">
        <v>71236</v>
      </c>
      <c r="AC185" s="6" t="n">
        <v>71236</v>
      </c>
      <c r="AD185" s="6" t="n">
        <v>71236</v>
      </c>
      <c r="AE185" s="4" t="s">
        <v>1321</v>
      </c>
      <c r="AF185" s="5"/>
      <c r="AG185" s="4" t="s">
        <v>78</v>
      </c>
      <c r="AH185" s="4" t="s">
        <v>79</v>
      </c>
      <c r="AI185" s="5" t="s">
        <v>80</v>
      </c>
      <c r="AJ185" s="1" t="n">
        <v>1</v>
      </c>
      <c r="AK185" s="11" t="n">
        <v>1</v>
      </c>
      <c r="AL185" s="12" t="s">
        <v>81</v>
      </c>
      <c r="AM185" s="13" t="str">
        <f>IF(AL185="","",AL185&amp;" - "&amp;IFERROR(VLOOKUP(AL185,CODEBOOK_CAP!$C$2:$D$212,2,FALSE),""))</f>
        <v>0322 - ESTRUTURAS, HOSPITAIS, CLÍNICAS</v>
      </c>
      <c r="AN185" s="13" t="str">
        <f>IF(AL185="","",IFERROR(VLOOKUP(AL185,CODEBOOK_CAP!$C$2:$E$212,3,FALSE),""))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185" s="11" t="n">
        <v>1</v>
      </c>
      <c r="AP185" s="11" t="s">
        <v>1322</v>
      </c>
      <c r="AQ185" s="11" t="n">
        <v>1</v>
      </c>
      <c r="AR185" s="11" t="n">
        <v>1</v>
      </c>
      <c r="AS185" s="11" t="s">
        <v>1323</v>
      </c>
      <c r="AT185" s="11" t="n">
        <v>0</v>
      </c>
      <c r="AU185" s="11"/>
      <c r="AV185" s="11"/>
      <c r="AW185" s="11"/>
      <c r="AX185" s="7" t="s">
        <v>84</v>
      </c>
      <c r="AY185" s="7"/>
      <c r="AZ185" s="7"/>
      <c r="BA185" s="7"/>
    </row>
    <row r="186" ht="85.5" customHeight="1">
      <c r="A186" s="4" t="s">
        <v>1324</v>
      </c>
      <c r="B186" s="4" t="n">
        <v>2022</v>
      </c>
      <c r="C186" s="4" t="n">
        <v>4486</v>
      </c>
      <c r="D186" s="4" t="s">
        <v>54</v>
      </c>
      <c r="E186" s="4" t="s">
        <v>1278</v>
      </c>
      <c r="F186" s="5" t="s">
        <v>229</v>
      </c>
      <c r="G186" s="4" t="s">
        <v>57</v>
      </c>
      <c r="H186" s="4" t="s">
        <v>1280</v>
      </c>
      <c r="I186" s="4" t="s">
        <v>1281</v>
      </c>
      <c r="J186" s="4" t="s">
        <v>1325</v>
      </c>
      <c r="K186" s="4" t="s">
        <v>428</v>
      </c>
      <c r="L186" s="5" t="s">
        <v>62</v>
      </c>
      <c r="M186" s="4" t="s">
        <v>63</v>
      </c>
      <c r="N186" s="5" t="s">
        <v>64</v>
      </c>
      <c r="O186" s="4" t="s">
        <v>65</v>
      </c>
      <c r="P186" s="5" t="s">
        <v>193</v>
      </c>
      <c r="Q186" s="4" t="s">
        <v>194</v>
      </c>
      <c r="R186" s="5" t="s">
        <v>195</v>
      </c>
      <c r="S186" s="4" t="s">
        <v>196</v>
      </c>
      <c r="T186" s="5" t="s">
        <v>429</v>
      </c>
      <c r="U186" s="4" t="s">
        <v>430</v>
      </c>
      <c r="V186" s="5" t="s">
        <v>104</v>
      </c>
      <c r="W186" s="4" t="s">
        <v>105</v>
      </c>
      <c r="X186" s="4" t="s">
        <v>106</v>
      </c>
      <c r="Y186" s="5"/>
      <c r="Z186" s="4" t="s">
        <v>75</v>
      </c>
      <c r="AA186" s="6" t="n">
        <v>50000</v>
      </c>
      <c r="AB186" s="6" t="n">
        <v>50000</v>
      </c>
      <c r="AC186" s="6" t="n">
        <v>50000</v>
      </c>
      <c r="AD186" s="6" t="n">
        <v>50000</v>
      </c>
      <c r="AE186" s="4" t="s">
        <v>438</v>
      </c>
      <c r="AF186" s="5" t="s">
        <v>439</v>
      </c>
      <c r="AG186" s="4" t="s">
        <v>433</v>
      </c>
      <c r="AH186" s="4" t="s">
        <v>433</v>
      </c>
      <c r="AI186" s="5"/>
      <c r="AJ186" s="1" t="n">
        <v>1</v>
      </c>
      <c r="AK186" s="11" t="n">
        <v>1</v>
      </c>
      <c r="AL186" s="12" t="s">
        <v>81</v>
      </c>
      <c r="AM186" s="13" t="str">
        <f>IF(AL186="","",AL186&amp;" - "&amp;IFERROR(VLOOKUP(AL186,CODEBOOK_CAP!$C$2:$D$212,2,FALSE),""))</f>
        <v>0322 - ESTRUTURAS, HOSPITAIS, CLÍNICAS</v>
      </c>
      <c r="AN186" s="13" t="str">
        <f>IF(AL186="","",IFERROR(VLOOKUP(AL186,CODEBOOK_CAP!$C$2:$E$212,3,FALSE),""))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186" s="11" t="n">
        <v>1</v>
      </c>
      <c r="AP186" s="11" t="s">
        <v>1326</v>
      </c>
      <c r="AQ186" s="11" t="n">
        <v>1</v>
      </c>
      <c r="AR186" s="11" t="n">
        <v>1</v>
      </c>
      <c r="AS186" s="11" t="s">
        <v>1327</v>
      </c>
      <c r="AT186" s="11" t="n">
        <v>0</v>
      </c>
      <c r="AU186" s="11"/>
      <c r="AV186" s="11"/>
      <c r="AW186" s="11"/>
      <c r="AX186" s="7" t="s">
        <v>84</v>
      </c>
      <c r="AY186" s="7"/>
      <c r="AZ186" s="7"/>
      <c r="BA186" s="7"/>
    </row>
    <row r="187" ht="85.5" customHeight="1">
      <c r="A187" s="4" t="s">
        <v>1328</v>
      </c>
      <c r="B187" s="4" t="n">
        <v>2022</v>
      </c>
      <c r="C187" s="4" t="n">
        <v>4487</v>
      </c>
      <c r="D187" s="4" t="s">
        <v>54</v>
      </c>
      <c r="E187" s="4" t="s">
        <v>1278</v>
      </c>
      <c r="F187" s="5" t="s">
        <v>1060</v>
      </c>
      <c r="G187" s="4" t="s">
        <v>57</v>
      </c>
      <c r="H187" s="4" t="s">
        <v>1280</v>
      </c>
      <c r="I187" s="4" t="s">
        <v>1281</v>
      </c>
      <c r="J187" s="4" t="s">
        <v>1329</v>
      </c>
      <c r="K187" s="4" t="s">
        <v>428</v>
      </c>
      <c r="L187" s="5" t="s">
        <v>62</v>
      </c>
      <c r="M187" s="4" t="s">
        <v>63</v>
      </c>
      <c r="N187" s="5" t="s">
        <v>64</v>
      </c>
      <c r="O187" s="4" t="s">
        <v>65</v>
      </c>
      <c r="P187" s="5" t="s">
        <v>193</v>
      </c>
      <c r="Q187" s="4" t="s">
        <v>194</v>
      </c>
      <c r="R187" s="5" t="s">
        <v>195</v>
      </c>
      <c r="S187" s="4" t="s">
        <v>196</v>
      </c>
      <c r="T187" s="5" t="s">
        <v>429</v>
      </c>
      <c r="U187" s="4" t="s">
        <v>430</v>
      </c>
      <c r="V187" s="5" t="s">
        <v>104</v>
      </c>
      <c r="W187" s="4" t="s">
        <v>105</v>
      </c>
      <c r="X187" s="4" t="s">
        <v>106</v>
      </c>
      <c r="Y187" s="5"/>
      <c r="Z187" s="4" t="s">
        <v>75</v>
      </c>
      <c r="AA187" s="6" t="n">
        <v>50000</v>
      </c>
      <c r="AB187" s="6" t="n">
        <v>50000</v>
      </c>
      <c r="AC187" s="6" t="n">
        <v>50000</v>
      </c>
      <c r="AD187" s="6" t="n">
        <v>50000</v>
      </c>
      <c r="AE187" s="4" t="s">
        <v>464</v>
      </c>
      <c r="AF187" s="5" t="s">
        <v>465</v>
      </c>
      <c r="AG187" s="4" t="s">
        <v>433</v>
      </c>
      <c r="AH187" s="4" t="s">
        <v>433</v>
      </c>
      <c r="AI187" s="5"/>
      <c r="AJ187" s="1" t="n">
        <v>1</v>
      </c>
      <c r="AK187" s="11" t="n">
        <v>1</v>
      </c>
      <c r="AL187" s="12" t="s">
        <v>81</v>
      </c>
      <c r="AM187" s="13" t="str">
        <f>IF(AL187="","",AL187&amp;" - "&amp;IFERROR(VLOOKUP(AL187,CODEBOOK_CAP!$C$2:$D$212,2,FALSE),""))</f>
        <v>0322 - ESTRUTURAS, HOSPITAIS, CLÍNICAS</v>
      </c>
      <c r="AN187" s="13" t="str">
        <f>IF(AL187="","",IFERROR(VLOOKUP(AL187,CODEBOOK_CAP!$C$2:$E$212,3,FALSE),""))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187" s="11" t="n">
        <v>1</v>
      </c>
      <c r="AP187" s="11" t="s">
        <v>1330</v>
      </c>
      <c r="AQ187" s="11" t="n">
        <v>1</v>
      </c>
      <c r="AR187" s="11" t="n">
        <v>1</v>
      </c>
      <c r="AS187" s="11" t="s">
        <v>1331</v>
      </c>
      <c r="AT187" s="11" t="n">
        <v>0</v>
      </c>
      <c r="AU187" s="11"/>
      <c r="AV187" s="11"/>
      <c r="AW187" s="11"/>
      <c r="AX187" s="7" t="s">
        <v>84</v>
      </c>
      <c r="AY187" s="7"/>
      <c r="AZ187" s="7"/>
      <c r="BA187" s="7"/>
    </row>
    <row r="188" ht="156.75" customHeight="1">
      <c r="A188" s="4" t="s">
        <v>1332</v>
      </c>
      <c r="B188" s="4" t="n">
        <v>2022</v>
      </c>
      <c r="C188" s="4" t="n">
        <v>4518</v>
      </c>
      <c r="D188" s="4" t="s">
        <v>54</v>
      </c>
      <c r="E188" s="4" t="s">
        <v>1278</v>
      </c>
      <c r="F188" s="5" t="s">
        <v>1333</v>
      </c>
      <c r="G188" s="4" t="s">
        <v>57</v>
      </c>
      <c r="H188" s="4" t="s">
        <v>1280</v>
      </c>
      <c r="I188" s="4" t="s">
        <v>1281</v>
      </c>
      <c r="J188" s="4" t="s">
        <v>1334</v>
      </c>
      <c r="K188" s="4" t="s">
        <v>1203</v>
      </c>
      <c r="L188" s="5" t="s">
        <v>94</v>
      </c>
      <c r="M188" s="4" t="s">
        <v>95</v>
      </c>
      <c r="N188" s="5" t="s">
        <v>96</v>
      </c>
      <c r="O188" s="4" t="s">
        <v>97</v>
      </c>
      <c r="P188" s="5" t="s">
        <v>98</v>
      </c>
      <c r="Q188" s="4" t="s">
        <v>99</v>
      </c>
      <c r="R188" s="5" t="s">
        <v>1204</v>
      </c>
      <c r="S188" s="4" t="s">
        <v>1205</v>
      </c>
      <c r="T188" s="5" t="s">
        <v>1206</v>
      </c>
      <c r="U188" s="4" t="s">
        <v>1207</v>
      </c>
      <c r="V188" s="5" t="s">
        <v>104</v>
      </c>
      <c r="W188" s="4" t="s">
        <v>105</v>
      </c>
      <c r="X188" s="4" t="s">
        <v>106</v>
      </c>
      <c r="Y188" s="5"/>
      <c r="Z188" s="4" t="s">
        <v>107</v>
      </c>
      <c r="AA188" s="6" t="n">
        <v>544610</v>
      </c>
      <c r="AB188" s="6" t="n">
        <v>544610</v>
      </c>
      <c r="AC188" s="6" t="n">
        <v>544610</v>
      </c>
      <c r="AD188" s="6" t="n">
        <v>544610</v>
      </c>
      <c r="AE188" s="4" t="s">
        <v>1335</v>
      </c>
      <c r="AF188" s="5" t="s">
        <v>1336</v>
      </c>
      <c r="AG188" s="4" t="s">
        <v>110</v>
      </c>
      <c r="AH188" s="4" t="s">
        <v>110</v>
      </c>
      <c r="AI188" s="5"/>
      <c r="AJ188" s="1" t="n">
        <v>0</v>
      </c>
      <c r="AK188" s="11" t="n">
        <v>0</v>
      </c>
      <c r="AL188" s="12" t="s">
        <v>111</v>
      </c>
      <c r="AM188" s="13" t="str">
        <f>IF(AL188="","",AL188&amp;" - "&amp;IFERROR(VLOOKUP(AL188,CODEBOOK_CAP!$C$2:$D$212,2,FALSE),""))</f>
        <v>1300 - GERAL</v>
      </c>
      <c r="AN188" s="13" t="str">
        <f>IF(AL188="","",IFERROR(VLOOKUP(AL188,CODEBOOK_CAP!$C$2:$E$212,3,FALSE),""))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188" s="11" t="n">
        <v>0</v>
      </c>
      <c r="AP188" s="11"/>
      <c r="AQ188" s="11" t="n">
        <v>0</v>
      </c>
      <c r="AR188" s="11" t="n">
        <v>0</v>
      </c>
      <c r="AS188" s="11"/>
      <c r="AT188" s="11" t="n">
        <v>0</v>
      </c>
      <c r="AU188" s="11"/>
      <c r="AV188" s="11"/>
      <c r="AW188" s="11"/>
      <c r="AX188" s="7" t="s">
        <v>84</v>
      </c>
      <c r="AY188" s="7"/>
      <c r="AZ188" s="7"/>
      <c r="BA188" s="7"/>
    </row>
    <row r="189" ht="85.5" customHeight="1">
      <c r="A189" s="4" t="s">
        <v>1337</v>
      </c>
      <c r="B189" s="4" t="n">
        <v>2022</v>
      </c>
      <c r="C189" s="4" t="n">
        <v>4571</v>
      </c>
      <c r="D189" s="4" t="s">
        <v>54</v>
      </c>
      <c r="E189" s="4" t="s">
        <v>1278</v>
      </c>
      <c r="F189" s="5" t="s">
        <v>1338</v>
      </c>
      <c r="G189" s="4" t="s">
        <v>57</v>
      </c>
      <c r="H189" s="4" t="s">
        <v>1280</v>
      </c>
      <c r="I189" s="4" t="s">
        <v>1281</v>
      </c>
      <c r="J189" s="4" t="s">
        <v>1339</v>
      </c>
      <c r="K189" s="4" t="s">
        <v>1340</v>
      </c>
      <c r="L189" s="5" t="s">
        <v>595</v>
      </c>
      <c r="M189" s="4" t="s">
        <v>596</v>
      </c>
      <c r="N189" s="5" t="s">
        <v>597</v>
      </c>
      <c r="O189" s="4" t="s">
        <v>598</v>
      </c>
      <c r="P189" s="5" t="s">
        <v>599</v>
      </c>
      <c r="Q189" s="4" t="s">
        <v>600</v>
      </c>
      <c r="R189" s="5" t="s">
        <v>601</v>
      </c>
      <c r="S189" s="4" t="s">
        <v>602</v>
      </c>
      <c r="T189" s="5" t="s">
        <v>1341</v>
      </c>
      <c r="U189" s="4" t="s">
        <v>1342</v>
      </c>
      <c r="V189" s="5" t="s">
        <v>310</v>
      </c>
      <c r="W189" s="4" t="s">
        <v>73</v>
      </c>
      <c r="X189" s="4" t="s">
        <v>74</v>
      </c>
      <c r="Y189" s="5"/>
      <c r="Z189" s="4" t="s">
        <v>606</v>
      </c>
      <c r="AA189" s="6" t="n">
        <v>50000</v>
      </c>
      <c r="AB189" s="6" t="n">
        <v>48005</v>
      </c>
      <c r="AC189" s="6" t="n">
        <v>48005</v>
      </c>
      <c r="AD189" s="6" t="n">
        <v>48005</v>
      </c>
      <c r="AE189" s="4" t="s">
        <v>1343</v>
      </c>
      <c r="AF189" s="5" t="s">
        <v>1344</v>
      </c>
      <c r="AG189" s="4" t="s">
        <v>78</v>
      </c>
      <c r="AH189" s="4" t="s">
        <v>79</v>
      </c>
      <c r="AI189" s="5" t="s">
        <v>80</v>
      </c>
      <c r="AJ189" s="1" t="n">
        <v>0</v>
      </c>
      <c r="AK189" s="11" t="n">
        <v>0</v>
      </c>
      <c r="AL189" s="12" t="s">
        <v>609</v>
      </c>
      <c r="AM189" s="13" t="str">
        <f>IF(AL189="","",AL189&amp;" - "&amp;IFERROR(VLOOKUP(AL189,CODEBOOK_CAP!$C$2:$D$212,2,FALSE),""))</f>
        <v>0607 - PROMOCAO DA QUALIDADE, ESTRUTURA E AÇÕES</v>
      </c>
      <c r="AN189" s="13" t="str">
        <f>IF(AL189="","",IFERROR(VLOOKUP(AL189,CODEBOOK_CAP!$C$2:$E$212,3,FALSE),""))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189" s="11" t="n">
        <v>1</v>
      </c>
      <c r="AP189" s="11" t="s">
        <v>1345</v>
      </c>
      <c r="AQ189" s="11" t="n">
        <v>1</v>
      </c>
      <c r="AR189" s="11" t="n">
        <v>1</v>
      </c>
      <c r="AS189" s="11" t="s">
        <v>1346</v>
      </c>
      <c r="AT189" s="11" t="n">
        <v>1</v>
      </c>
      <c r="AU189" s="11" t="s">
        <v>286</v>
      </c>
      <c r="AV189" s="11"/>
      <c r="AW189" s="11"/>
      <c r="AX189" s="7" t="s">
        <v>84</v>
      </c>
      <c r="AY189" s="7"/>
      <c r="AZ189" s="7"/>
      <c r="BA189" s="7"/>
    </row>
    <row r="190" ht="85.5" customHeight="1">
      <c r="A190" s="4" t="s">
        <v>1347</v>
      </c>
      <c r="B190" s="4" t="n">
        <v>2022</v>
      </c>
      <c r="C190" s="4" t="n">
        <v>4574</v>
      </c>
      <c r="D190" s="4" t="s">
        <v>54</v>
      </c>
      <c r="E190" s="4" t="s">
        <v>1278</v>
      </c>
      <c r="F190" s="5" t="s">
        <v>1348</v>
      </c>
      <c r="G190" s="4" t="s">
        <v>57</v>
      </c>
      <c r="H190" s="4" t="s">
        <v>1280</v>
      </c>
      <c r="I190" s="4" t="s">
        <v>1281</v>
      </c>
      <c r="J190" s="4" t="s">
        <v>1349</v>
      </c>
      <c r="K190" s="4" t="s">
        <v>1340</v>
      </c>
      <c r="L190" s="5" t="s">
        <v>595</v>
      </c>
      <c r="M190" s="4" t="s">
        <v>596</v>
      </c>
      <c r="N190" s="5" t="s">
        <v>597</v>
      </c>
      <c r="O190" s="4" t="s">
        <v>598</v>
      </c>
      <c r="P190" s="5" t="s">
        <v>599</v>
      </c>
      <c r="Q190" s="4" t="s">
        <v>600</v>
      </c>
      <c r="R190" s="5" t="s">
        <v>601</v>
      </c>
      <c r="S190" s="4" t="s">
        <v>602</v>
      </c>
      <c r="T190" s="5" t="s">
        <v>1341</v>
      </c>
      <c r="U190" s="4" t="s">
        <v>1342</v>
      </c>
      <c r="V190" s="5" t="s">
        <v>310</v>
      </c>
      <c r="W190" s="4" t="s">
        <v>73</v>
      </c>
      <c r="X190" s="4" t="s">
        <v>74</v>
      </c>
      <c r="Y190" s="5"/>
      <c r="Z190" s="4" t="s">
        <v>606</v>
      </c>
      <c r="AA190" s="6" t="n">
        <v>50000</v>
      </c>
      <c r="AB190" s="6" t="n">
        <v>48340</v>
      </c>
      <c r="AC190" s="6" t="n">
        <v>48340</v>
      </c>
      <c r="AD190" s="6" t="n">
        <v>48340</v>
      </c>
      <c r="AE190" s="4" t="s">
        <v>1350</v>
      </c>
      <c r="AF190" s="5" t="s">
        <v>1351</v>
      </c>
      <c r="AG190" s="4" t="s">
        <v>78</v>
      </c>
      <c r="AH190" s="4" t="s">
        <v>79</v>
      </c>
      <c r="AI190" s="5" t="s">
        <v>80</v>
      </c>
      <c r="AJ190" s="1" t="n">
        <v>0</v>
      </c>
      <c r="AK190" s="11" t="n">
        <v>0</v>
      </c>
      <c r="AL190" s="12" t="s">
        <v>609</v>
      </c>
      <c r="AM190" s="13" t="str">
        <f>IF(AL190="","",AL190&amp;" - "&amp;IFERROR(VLOOKUP(AL190,CODEBOOK_CAP!$C$2:$D$212,2,FALSE),""))</f>
        <v>0607 - PROMOCAO DA QUALIDADE, ESTRUTURA E AÇÕES</v>
      </c>
      <c r="AN190" s="13" t="str">
        <f>IF(AL190="","",IFERROR(VLOOKUP(AL190,CODEBOOK_CAP!$C$2:$E$212,3,FALSE),""))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190" s="11" t="n">
        <v>1</v>
      </c>
      <c r="AP190" s="11" t="s">
        <v>1352</v>
      </c>
      <c r="AQ190" s="11" t="n">
        <v>1</v>
      </c>
      <c r="AR190" s="11" t="n">
        <v>1</v>
      </c>
      <c r="AS190" s="11" t="s">
        <v>1353</v>
      </c>
      <c r="AT190" s="11" t="n">
        <v>1</v>
      </c>
      <c r="AU190" s="11" t="s">
        <v>286</v>
      </c>
      <c r="AV190" s="11"/>
      <c r="AW190" s="11"/>
      <c r="AX190" s="7" t="s">
        <v>84</v>
      </c>
      <c r="AY190" s="7"/>
      <c r="AZ190" s="7"/>
      <c r="BA190" s="7"/>
    </row>
    <row r="191" ht="85.5" customHeight="1">
      <c r="A191" s="4" t="s">
        <v>1354</v>
      </c>
      <c r="B191" s="4" t="n">
        <v>2022</v>
      </c>
      <c r="C191" s="4" t="n">
        <v>4615</v>
      </c>
      <c r="D191" s="4" t="s">
        <v>54</v>
      </c>
      <c r="E191" s="4" t="s">
        <v>1278</v>
      </c>
      <c r="F191" s="5" t="s">
        <v>1355</v>
      </c>
      <c r="G191" s="4" t="s">
        <v>289</v>
      </c>
      <c r="H191" s="4" t="s">
        <v>1280</v>
      </c>
      <c r="I191" s="4" t="s">
        <v>1281</v>
      </c>
      <c r="J191" s="4" t="s">
        <v>1356</v>
      </c>
      <c r="K191" s="4" t="s">
        <v>115</v>
      </c>
      <c r="L191" s="5"/>
      <c r="M191" s="4"/>
      <c r="N191" s="5"/>
      <c r="O191" s="4"/>
      <c r="P191" s="5"/>
      <c r="Q191" s="4"/>
      <c r="R191" s="5"/>
      <c r="S191" s="4"/>
      <c r="T191" s="5"/>
      <c r="U191" s="4"/>
      <c r="V191" s="5"/>
      <c r="W191" s="4"/>
      <c r="X191" s="4"/>
      <c r="Y191" s="5"/>
      <c r="Z191" s="4" t="s">
        <v>289</v>
      </c>
      <c r="AA191" s="6" t="n">
        <v>50000</v>
      </c>
      <c r="AB191" s="6"/>
      <c r="AC191" s="6"/>
      <c r="AD191" s="6"/>
      <c r="AE191" s="4" t="s">
        <v>1357</v>
      </c>
      <c r="AF191" s="5" t="s">
        <v>1358</v>
      </c>
      <c r="AG191" s="4" t="s">
        <v>115</v>
      </c>
      <c r="AH191" s="4" t="s">
        <v>115</v>
      </c>
      <c r="AI191" s="5" t="s">
        <v>115</v>
      </c>
      <c r="AJ191" s="1" t="n">
        <v>0</v>
      </c>
      <c r="AK191" s="11" t="n">
        <v>0</v>
      </c>
      <c r="AL191" s="12" t="s">
        <v>609</v>
      </c>
      <c r="AM191" s="13" t="str">
        <f>IF(AL191="","",AL191&amp;" - "&amp;IFERROR(VLOOKUP(AL191,CODEBOOK_CAP!$C$2:$D$212,2,FALSE),""))</f>
        <v>0607 - PROMOCAO DA QUALIDADE, ESTRUTURA E AÇÕES</v>
      </c>
      <c r="AN191" s="13" t="str">
        <f>IF(AL191="","",IFERROR(VLOOKUP(AL191,CODEBOOK_CAP!$C$2:$E$212,3,FALSE),""))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191" s="11" t="n">
        <v>1</v>
      </c>
      <c r="AP191" s="11" t="s">
        <v>1359</v>
      </c>
      <c r="AQ191" s="11" t="n">
        <v>1</v>
      </c>
      <c r="AR191" s="11" t="n">
        <v>1</v>
      </c>
      <c r="AS191" s="11" t="s">
        <v>1360</v>
      </c>
      <c r="AT191" s="11" t="n">
        <v>1</v>
      </c>
      <c r="AU191" s="11" t="s">
        <v>286</v>
      </c>
      <c r="AV191" s="11"/>
      <c r="AW191" s="11"/>
      <c r="AX191" s="7" t="s">
        <v>84</v>
      </c>
      <c r="AY191" s="7"/>
      <c r="AZ191" s="7"/>
      <c r="BA191" s="7"/>
    </row>
    <row r="192" ht="85.5" customHeight="1">
      <c r="A192" s="4" t="s">
        <v>1361</v>
      </c>
      <c r="B192" s="4" t="n">
        <v>2022</v>
      </c>
      <c r="C192" s="4" t="n">
        <v>4618</v>
      </c>
      <c r="D192" s="4" t="s">
        <v>54</v>
      </c>
      <c r="E192" s="4" t="s">
        <v>1278</v>
      </c>
      <c r="F192" s="5" t="s">
        <v>1362</v>
      </c>
      <c r="G192" s="4" t="s">
        <v>57</v>
      </c>
      <c r="H192" s="4" t="s">
        <v>1280</v>
      </c>
      <c r="I192" s="4" t="s">
        <v>1281</v>
      </c>
      <c r="J192" s="4" t="s">
        <v>1363</v>
      </c>
      <c r="K192" s="4" t="s">
        <v>1340</v>
      </c>
      <c r="L192" s="5" t="s">
        <v>595</v>
      </c>
      <c r="M192" s="4" t="s">
        <v>596</v>
      </c>
      <c r="N192" s="5" t="s">
        <v>597</v>
      </c>
      <c r="O192" s="4" t="s">
        <v>598</v>
      </c>
      <c r="P192" s="5" t="s">
        <v>599</v>
      </c>
      <c r="Q192" s="4" t="s">
        <v>600</v>
      </c>
      <c r="R192" s="5" t="s">
        <v>601</v>
      </c>
      <c r="S192" s="4" t="s">
        <v>602</v>
      </c>
      <c r="T192" s="5" t="s">
        <v>1341</v>
      </c>
      <c r="U192" s="4" t="s">
        <v>1342</v>
      </c>
      <c r="V192" s="5" t="s">
        <v>310</v>
      </c>
      <c r="W192" s="4" t="s">
        <v>73</v>
      </c>
      <c r="X192" s="4" t="s">
        <v>74</v>
      </c>
      <c r="Y192" s="5"/>
      <c r="Z192" s="4" t="s">
        <v>606</v>
      </c>
      <c r="AA192" s="6" t="n">
        <v>50000</v>
      </c>
      <c r="AB192" s="6" t="n">
        <v>48340</v>
      </c>
      <c r="AC192" s="6" t="n">
        <v>48340</v>
      </c>
      <c r="AD192" s="6" t="n">
        <v>48340</v>
      </c>
      <c r="AE192" s="4" t="s">
        <v>1350</v>
      </c>
      <c r="AF192" s="5" t="s">
        <v>1351</v>
      </c>
      <c r="AG192" s="4" t="s">
        <v>78</v>
      </c>
      <c r="AH192" s="4" t="s">
        <v>79</v>
      </c>
      <c r="AI192" s="5" t="s">
        <v>80</v>
      </c>
      <c r="AJ192" s="1" t="n">
        <v>0</v>
      </c>
      <c r="AK192" s="11" t="n">
        <v>0</v>
      </c>
      <c r="AL192" s="12" t="s">
        <v>609</v>
      </c>
      <c r="AM192" s="13" t="str">
        <f>IF(AL192="","",AL192&amp;" - "&amp;IFERROR(VLOOKUP(AL192,CODEBOOK_CAP!$C$2:$D$212,2,FALSE),""))</f>
        <v>0607 - PROMOCAO DA QUALIDADE, ESTRUTURA E AÇÕES</v>
      </c>
      <c r="AN192" s="13" t="str">
        <f>IF(AL192="","",IFERROR(VLOOKUP(AL192,CODEBOOK_CAP!$C$2:$E$212,3,FALSE),""))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192" s="11" t="n">
        <v>1</v>
      </c>
      <c r="AP192" s="11" t="s">
        <v>1364</v>
      </c>
      <c r="AQ192" s="11" t="n">
        <v>1</v>
      </c>
      <c r="AR192" s="11" t="n">
        <v>1</v>
      </c>
      <c r="AS192" s="11" t="s">
        <v>1365</v>
      </c>
      <c r="AT192" s="11" t="n">
        <v>1</v>
      </c>
      <c r="AU192" s="11" t="s">
        <v>286</v>
      </c>
      <c r="AV192" s="11"/>
      <c r="AW192" s="11"/>
      <c r="AX192" s="7" t="s">
        <v>84</v>
      </c>
      <c r="AY192" s="7"/>
      <c r="AZ192" s="7"/>
      <c r="BA192" s="7"/>
    </row>
    <row r="193" ht="85.5" customHeight="1">
      <c r="A193" s="4" t="s">
        <v>1366</v>
      </c>
      <c r="B193" s="4" t="n">
        <v>2022</v>
      </c>
      <c r="C193" s="4" t="n">
        <v>4639</v>
      </c>
      <c r="D193" s="4" t="s">
        <v>54</v>
      </c>
      <c r="E193" s="4" t="s">
        <v>1278</v>
      </c>
      <c r="F193" s="5" t="s">
        <v>1367</v>
      </c>
      <c r="G193" s="4" t="s">
        <v>57</v>
      </c>
      <c r="H193" s="4" t="s">
        <v>1280</v>
      </c>
      <c r="I193" s="4" t="s">
        <v>1281</v>
      </c>
      <c r="J193" s="4" t="s">
        <v>1368</v>
      </c>
      <c r="K193" s="4" t="s">
        <v>1340</v>
      </c>
      <c r="L193" s="5" t="s">
        <v>595</v>
      </c>
      <c r="M193" s="4" t="s">
        <v>596</v>
      </c>
      <c r="N193" s="5" t="s">
        <v>597</v>
      </c>
      <c r="O193" s="4" t="s">
        <v>598</v>
      </c>
      <c r="P193" s="5" t="s">
        <v>599</v>
      </c>
      <c r="Q193" s="4" t="s">
        <v>600</v>
      </c>
      <c r="R193" s="5" t="s">
        <v>601</v>
      </c>
      <c r="S193" s="4" t="s">
        <v>602</v>
      </c>
      <c r="T193" s="5" t="s">
        <v>1341</v>
      </c>
      <c r="U193" s="4" t="s">
        <v>1342</v>
      </c>
      <c r="V193" s="5" t="s">
        <v>310</v>
      </c>
      <c r="W193" s="4" t="s">
        <v>73</v>
      </c>
      <c r="X193" s="4" t="s">
        <v>74</v>
      </c>
      <c r="Y193" s="5"/>
      <c r="Z193" s="4" t="s">
        <v>606</v>
      </c>
      <c r="AA193" s="6" t="n">
        <v>90000</v>
      </c>
      <c r="AB193" s="6" t="n">
        <v>62760</v>
      </c>
      <c r="AC193" s="6" t="n">
        <v>0</v>
      </c>
      <c r="AD193" s="6" t="n">
        <v>62760</v>
      </c>
      <c r="AE193" s="4" t="s">
        <v>1357</v>
      </c>
      <c r="AF193" s="5" t="s">
        <v>1351</v>
      </c>
      <c r="AG193" s="4" t="s">
        <v>115</v>
      </c>
      <c r="AH193" s="4" t="s">
        <v>115</v>
      </c>
      <c r="AI193" s="5" t="s">
        <v>115</v>
      </c>
      <c r="AJ193" s="1" t="n">
        <v>0</v>
      </c>
      <c r="AK193" s="11" t="n">
        <v>0</v>
      </c>
      <c r="AL193" s="12" t="s">
        <v>609</v>
      </c>
      <c r="AM193" s="13" t="str">
        <f>IF(AL193="","",AL193&amp;" - "&amp;IFERROR(VLOOKUP(AL193,CODEBOOK_CAP!$C$2:$D$212,2,FALSE),""))</f>
        <v>0607 - PROMOCAO DA QUALIDADE, ESTRUTURA E AÇÕES</v>
      </c>
      <c r="AN193" s="13" t="str">
        <f>IF(AL193="","",IFERROR(VLOOKUP(AL193,CODEBOOK_CAP!$C$2:$E$212,3,FALSE),""))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193" s="11" t="n">
        <v>1</v>
      </c>
      <c r="AP193" s="11" t="s">
        <v>1369</v>
      </c>
      <c r="AQ193" s="11" t="n">
        <v>1</v>
      </c>
      <c r="AR193" s="11" t="n">
        <v>1</v>
      </c>
      <c r="AS193" s="11" t="s">
        <v>1370</v>
      </c>
      <c r="AT193" s="11" t="n">
        <v>1</v>
      </c>
      <c r="AU193" s="11" t="s">
        <v>286</v>
      </c>
      <c r="AV193" s="11"/>
      <c r="AW193" s="11"/>
      <c r="AX193" s="7" t="s">
        <v>84</v>
      </c>
      <c r="AY193" s="7"/>
      <c r="AZ193" s="7"/>
      <c r="BA193" s="7"/>
    </row>
    <row r="194" ht="156.75" customHeight="1">
      <c r="A194" s="4" t="s">
        <v>1371</v>
      </c>
      <c r="B194" s="4" t="n">
        <v>2022</v>
      </c>
      <c r="C194" s="4" t="n">
        <v>4669</v>
      </c>
      <c r="D194" s="4" t="s">
        <v>54</v>
      </c>
      <c r="E194" s="4" t="s">
        <v>1278</v>
      </c>
      <c r="F194" s="5" t="s">
        <v>1372</v>
      </c>
      <c r="G194" s="4" t="s">
        <v>57</v>
      </c>
      <c r="H194" s="4" t="s">
        <v>1280</v>
      </c>
      <c r="I194" s="4" t="s">
        <v>1281</v>
      </c>
      <c r="J194" s="4" t="s">
        <v>1373</v>
      </c>
      <c r="K194" s="4" t="s">
        <v>1374</v>
      </c>
      <c r="L194" s="5" t="s">
        <v>94</v>
      </c>
      <c r="M194" s="4" t="s">
        <v>95</v>
      </c>
      <c r="N194" s="5" t="s">
        <v>96</v>
      </c>
      <c r="O194" s="4" t="s">
        <v>97</v>
      </c>
      <c r="P194" s="5" t="s">
        <v>98</v>
      </c>
      <c r="Q194" s="4" t="s">
        <v>99</v>
      </c>
      <c r="R194" s="5" t="s">
        <v>1204</v>
      </c>
      <c r="S194" s="4" t="s">
        <v>1205</v>
      </c>
      <c r="T194" s="5" t="s">
        <v>1206</v>
      </c>
      <c r="U194" s="4" t="s">
        <v>1207</v>
      </c>
      <c r="V194" s="5" t="s">
        <v>310</v>
      </c>
      <c r="W194" s="4" t="s">
        <v>73</v>
      </c>
      <c r="X194" s="4" t="s">
        <v>74</v>
      </c>
      <c r="Y194" s="5"/>
      <c r="Z194" s="4" t="s">
        <v>107</v>
      </c>
      <c r="AA194" s="6" t="n">
        <v>52305</v>
      </c>
      <c r="AB194" s="6" t="n">
        <v>46580</v>
      </c>
      <c r="AC194" s="6" t="n">
        <v>46580</v>
      </c>
      <c r="AD194" s="6" t="n">
        <v>46580</v>
      </c>
      <c r="AE194" s="4" t="s">
        <v>1375</v>
      </c>
      <c r="AF194" s="5" t="s">
        <v>1376</v>
      </c>
      <c r="AG194" s="4" t="s">
        <v>78</v>
      </c>
      <c r="AH194" s="4" t="s">
        <v>79</v>
      </c>
      <c r="AI194" s="5" t="s">
        <v>80</v>
      </c>
      <c r="AJ194" s="1" t="n">
        <v>0</v>
      </c>
      <c r="AK194" s="11" t="n">
        <v>0</v>
      </c>
      <c r="AL194" s="12" t="s">
        <v>111</v>
      </c>
      <c r="AM194" s="13" t="str">
        <f>IF(AL194="","",AL194&amp;" - "&amp;IFERROR(VLOOKUP(AL194,CODEBOOK_CAP!$C$2:$D$212,2,FALSE),""))</f>
        <v>1300 - GERAL</v>
      </c>
      <c r="AN194" s="13" t="str">
        <f>IF(AL194="","",IFERROR(VLOOKUP(AL194,CODEBOOK_CAP!$C$2:$E$212,3,FALSE),""))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194" s="11" t="n">
        <v>1</v>
      </c>
      <c r="AP194" s="11" t="s">
        <v>1377</v>
      </c>
      <c r="AQ194" s="11" t="n">
        <v>1</v>
      </c>
      <c r="AR194" s="11" t="n">
        <v>1</v>
      </c>
      <c r="AS194" s="11" t="s">
        <v>1378</v>
      </c>
      <c r="AT194" s="11" t="n">
        <v>0</v>
      </c>
      <c r="AU194" s="11"/>
      <c r="AV194" s="11"/>
      <c r="AW194" s="11"/>
      <c r="AX194" s="7" t="s">
        <v>84</v>
      </c>
      <c r="AY194" s="7"/>
      <c r="AZ194" s="7"/>
      <c r="BA194" s="7"/>
    </row>
    <row r="195" ht="156.75" customHeight="1">
      <c r="A195" s="4" t="s">
        <v>1379</v>
      </c>
      <c r="B195" s="4" t="n">
        <v>2022</v>
      </c>
      <c r="C195" s="4" t="n">
        <v>4678</v>
      </c>
      <c r="D195" s="4" t="s">
        <v>54</v>
      </c>
      <c r="E195" s="4" t="s">
        <v>1278</v>
      </c>
      <c r="F195" s="5" t="s">
        <v>1380</v>
      </c>
      <c r="G195" s="4" t="s">
        <v>57</v>
      </c>
      <c r="H195" s="4" t="s">
        <v>1280</v>
      </c>
      <c r="I195" s="4" t="s">
        <v>1281</v>
      </c>
      <c r="J195" s="4" t="s">
        <v>1381</v>
      </c>
      <c r="K195" s="4" t="s">
        <v>1374</v>
      </c>
      <c r="L195" s="5" t="s">
        <v>94</v>
      </c>
      <c r="M195" s="4" t="s">
        <v>95</v>
      </c>
      <c r="N195" s="5" t="s">
        <v>96</v>
      </c>
      <c r="O195" s="4" t="s">
        <v>97</v>
      </c>
      <c r="P195" s="5" t="s">
        <v>98</v>
      </c>
      <c r="Q195" s="4" t="s">
        <v>99</v>
      </c>
      <c r="R195" s="5" t="s">
        <v>1204</v>
      </c>
      <c r="S195" s="4" t="s">
        <v>1205</v>
      </c>
      <c r="T195" s="5" t="s">
        <v>1206</v>
      </c>
      <c r="U195" s="4" t="s">
        <v>1207</v>
      </c>
      <c r="V195" s="5" t="s">
        <v>310</v>
      </c>
      <c r="W195" s="4" t="s">
        <v>73</v>
      </c>
      <c r="X195" s="4" t="s">
        <v>74</v>
      </c>
      <c r="Y195" s="5"/>
      <c r="Z195" s="4" t="s">
        <v>107</v>
      </c>
      <c r="AA195" s="6" t="n">
        <v>50000</v>
      </c>
      <c r="AB195" s="6" t="n">
        <v>41800</v>
      </c>
      <c r="AC195" s="6" t="n">
        <v>41800</v>
      </c>
      <c r="AD195" s="6" t="n">
        <v>41800</v>
      </c>
      <c r="AE195" s="4" t="s">
        <v>1382</v>
      </c>
      <c r="AF195" s="5" t="s">
        <v>1383</v>
      </c>
      <c r="AG195" s="4" t="s">
        <v>78</v>
      </c>
      <c r="AH195" s="4" t="s">
        <v>79</v>
      </c>
      <c r="AI195" s="5" t="s">
        <v>80</v>
      </c>
      <c r="AJ195" s="1" t="n">
        <v>0</v>
      </c>
      <c r="AK195" s="11" t="n">
        <v>0</v>
      </c>
      <c r="AL195" s="12" t="s">
        <v>111</v>
      </c>
      <c r="AM195" s="13" t="str">
        <f>IF(AL195="","",AL195&amp;" - "&amp;IFERROR(VLOOKUP(AL195,CODEBOOK_CAP!$C$2:$D$212,2,FALSE),""))</f>
        <v>1300 - GERAL</v>
      </c>
      <c r="AN195" s="13" t="str">
        <f>IF(AL195="","",IFERROR(VLOOKUP(AL195,CODEBOOK_CAP!$C$2:$E$212,3,FALSE),""))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195" s="11" t="n">
        <v>1</v>
      </c>
      <c r="AP195" s="11" t="s">
        <v>1384</v>
      </c>
      <c r="AQ195" s="11" t="n">
        <v>1</v>
      </c>
      <c r="AR195" s="11" t="n">
        <v>1</v>
      </c>
      <c r="AS195" s="11" t="s">
        <v>1385</v>
      </c>
      <c r="AT195" s="11" t="n">
        <v>0</v>
      </c>
      <c r="AU195" s="11"/>
      <c r="AV195" s="11"/>
      <c r="AW195" s="11"/>
      <c r="AX195" s="7" t="s">
        <v>84</v>
      </c>
      <c r="AY195" s="7"/>
      <c r="AZ195" s="7"/>
      <c r="BA195" s="7"/>
    </row>
    <row r="196" ht="85.5" customHeight="1">
      <c r="A196" s="4" t="s">
        <v>1386</v>
      </c>
      <c r="B196" s="4" t="n">
        <v>2022</v>
      </c>
      <c r="C196" s="4" t="n">
        <v>4709</v>
      </c>
      <c r="D196" s="4" t="s">
        <v>54</v>
      </c>
      <c r="E196" s="4" t="s">
        <v>1278</v>
      </c>
      <c r="F196" s="5" t="s">
        <v>1387</v>
      </c>
      <c r="G196" s="4" t="s">
        <v>57</v>
      </c>
      <c r="H196" s="4" t="s">
        <v>1280</v>
      </c>
      <c r="I196" s="4" t="s">
        <v>1281</v>
      </c>
      <c r="J196" s="4" t="s">
        <v>1388</v>
      </c>
      <c r="K196" s="4" t="s">
        <v>1389</v>
      </c>
      <c r="L196" s="5" t="s">
        <v>595</v>
      </c>
      <c r="M196" s="4" t="s">
        <v>596</v>
      </c>
      <c r="N196" s="5" t="s">
        <v>597</v>
      </c>
      <c r="O196" s="4" t="s">
        <v>598</v>
      </c>
      <c r="P196" s="5" t="s">
        <v>599</v>
      </c>
      <c r="Q196" s="4" t="s">
        <v>600</v>
      </c>
      <c r="R196" s="5" t="s">
        <v>601</v>
      </c>
      <c r="S196" s="4" t="s">
        <v>602</v>
      </c>
      <c r="T196" s="5" t="s">
        <v>603</v>
      </c>
      <c r="U196" s="4" t="s">
        <v>604</v>
      </c>
      <c r="V196" s="5" t="s">
        <v>104</v>
      </c>
      <c r="W196" s="4" t="s">
        <v>105</v>
      </c>
      <c r="X196" s="4" t="s">
        <v>106</v>
      </c>
      <c r="Y196" s="5"/>
      <c r="Z196" s="4" t="s">
        <v>606</v>
      </c>
      <c r="AA196" s="6" t="n">
        <v>102305</v>
      </c>
      <c r="AB196" s="6" t="n">
        <v>102305</v>
      </c>
      <c r="AC196" s="6" t="n">
        <v>102305</v>
      </c>
      <c r="AD196" s="6" t="n">
        <v>102305</v>
      </c>
      <c r="AE196" s="4" t="s">
        <v>1390</v>
      </c>
      <c r="AF196" s="5" t="s">
        <v>1391</v>
      </c>
      <c r="AG196" s="4" t="s">
        <v>78</v>
      </c>
      <c r="AH196" s="4" t="s">
        <v>79</v>
      </c>
      <c r="AI196" s="5" t="s">
        <v>80</v>
      </c>
      <c r="AJ196" s="1" t="n">
        <v>0</v>
      </c>
      <c r="AK196" s="11" t="n">
        <v>0</v>
      </c>
      <c r="AL196" s="12" t="s">
        <v>609</v>
      </c>
      <c r="AM196" s="13" t="str">
        <f>IF(AL196="","",AL196&amp;" - "&amp;IFERROR(VLOOKUP(AL196,CODEBOOK_CAP!$C$2:$D$212,2,FALSE),""))</f>
        <v>0607 - PROMOCAO DA QUALIDADE, ESTRUTURA E AÇÕES</v>
      </c>
      <c r="AN196" s="13" t="str">
        <f>IF(AL196="","",IFERROR(VLOOKUP(AL196,CODEBOOK_CAP!$C$2:$E$212,3,FALSE),""))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196" s="11" t="n">
        <v>1</v>
      </c>
      <c r="AP196" s="11" t="s">
        <v>1392</v>
      </c>
      <c r="AQ196" s="11" t="n">
        <v>1</v>
      </c>
      <c r="AR196" s="11" t="n">
        <v>1</v>
      </c>
      <c r="AS196" s="11" t="s">
        <v>1393</v>
      </c>
      <c r="AT196" s="11" t="n">
        <v>1</v>
      </c>
      <c r="AU196" s="11" t="s">
        <v>286</v>
      </c>
      <c r="AV196" s="11"/>
      <c r="AW196" s="11"/>
      <c r="AX196" s="7" t="s">
        <v>84</v>
      </c>
      <c r="AY196" s="7"/>
      <c r="AZ196" s="7"/>
      <c r="BA196" s="7"/>
    </row>
    <row r="197" ht="85.5" customHeight="1">
      <c r="A197" s="4" t="s">
        <v>1394</v>
      </c>
      <c r="B197" s="4" t="n">
        <v>2022</v>
      </c>
      <c r="C197" s="4" t="n">
        <v>4725</v>
      </c>
      <c r="D197" s="4" t="s">
        <v>54</v>
      </c>
      <c r="E197" s="4" t="s">
        <v>1278</v>
      </c>
      <c r="F197" s="5" t="s">
        <v>1395</v>
      </c>
      <c r="G197" s="4" t="s">
        <v>57</v>
      </c>
      <c r="H197" s="4" t="s">
        <v>1280</v>
      </c>
      <c r="I197" s="4" t="s">
        <v>1281</v>
      </c>
      <c r="J197" s="4" t="s">
        <v>1396</v>
      </c>
      <c r="K197" s="4" t="s">
        <v>1389</v>
      </c>
      <c r="L197" s="5" t="s">
        <v>595</v>
      </c>
      <c r="M197" s="4" t="s">
        <v>596</v>
      </c>
      <c r="N197" s="5" t="s">
        <v>597</v>
      </c>
      <c r="O197" s="4" t="s">
        <v>598</v>
      </c>
      <c r="P197" s="5" t="s">
        <v>599</v>
      </c>
      <c r="Q197" s="4" t="s">
        <v>600</v>
      </c>
      <c r="R197" s="5" t="s">
        <v>601</v>
      </c>
      <c r="S197" s="4" t="s">
        <v>602</v>
      </c>
      <c r="T197" s="5" t="s">
        <v>603</v>
      </c>
      <c r="U197" s="4" t="s">
        <v>604</v>
      </c>
      <c r="V197" s="5" t="s">
        <v>104</v>
      </c>
      <c r="W197" s="4" t="s">
        <v>105</v>
      </c>
      <c r="X197" s="4" t="s">
        <v>106</v>
      </c>
      <c r="Y197" s="5"/>
      <c r="Z197" s="4" t="s">
        <v>606</v>
      </c>
      <c r="AA197" s="6" t="n">
        <v>150000</v>
      </c>
      <c r="AB197" s="6" t="n">
        <v>150000</v>
      </c>
      <c r="AC197" s="6" t="n">
        <v>150000</v>
      </c>
      <c r="AD197" s="6" t="n">
        <v>150000</v>
      </c>
      <c r="AE197" s="4" t="s">
        <v>1397</v>
      </c>
      <c r="AF197" s="5" t="s">
        <v>1398</v>
      </c>
      <c r="AG197" s="4" t="s">
        <v>78</v>
      </c>
      <c r="AH197" s="4" t="s">
        <v>79</v>
      </c>
      <c r="AI197" s="5" t="s">
        <v>80</v>
      </c>
      <c r="AJ197" s="1" t="n">
        <v>0</v>
      </c>
      <c r="AK197" s="11" t="n">
        <v>0</v>
      </c>
      <c r="AL197" s="12" t="s">
        <v>609</v>
      </c>
      <c r="AM197" s="13" t="str">
        <f>IF(AL197="","",AL197&amp;" - "&amp;IFERROR(VLOOKUP(AL197,CODEBOOK_CAP!$C$2:$D$212,2,FALSE),""))</f>
        <v>0607 - PROMOCAO DA QUALIDADE, ESTRUTURA E AÇÕES</v>
      </c>
      <c r="AN197" s="13" t="str">
        <f>IF(AL197="","",IFERROR(VLOOKUP(AL197,CODEBOOK_CAP!$C$2:$E$212,3,FALSE),""))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197" s="11" t="n">
        <v>1</v>
      </c>
      <c r="AP197" s="11" t="s">
        <v>1399</v>
      </c>
      <c r="AQ197" s="11" t="n">
        <v>1</v>
      </c>
      <c r="AR197" s="11" t="n">
        <v>1</v>
      </c>
      <c r="AS197" s="11" t="s">
        <v>1400</v>
      </c>
      <c r="AT197" s="11" t="n">
        <v>1</v>
      </c>
      <c r="AU197" s="11" t="s">
        <v>286</v>
      </c>
      <c r="AV197" s="11"/>
      <c r="AW197" s="11"/>
      <c r="AX197" s="7" t="s">
        <v>84</v>
      </c>
      <c r="AY197" s="7"/>
      <c r="AZ197" s="7"/>
      <c r="BA197" s="7"/>
    </row>
    <row r="198" ht="199.5" customHeight="1">
      <c r="A198" s="4" t="s">
        <v>1401</v>
      </c>
      <c r="B198" s="4" t="n">
        <v>2022</v>
      </c>
      <c r="C198" s="4" t="n">
        <v>4422</v>
      </c>
      <c r="D198" s="4" t="s">
        <v>54</v>
      </c>
      <c r="E198" s="4" t="s">
        <v>1402</v>
      </c>
      <c r="F198" s="5" t="s">
        <v>1403</v>
      </c>
      <c r="G198" s="4" t="s">
        <v>289</v>
      </c>
      <c r="H198" s="4" t="s">
        <v>1404</v>
      </c>
      <c r="I198" s="4" t="s">
        <v>281</v>
      </c>
      <c r="J198" s="4" t="s">
        <v>1405</v>
      </c>
      <c r="K198" s="4" t="s">
        <v>115</v>
      </c>
      <c r="L198" s="5"/>
      <c r="M198" s="4"/>
      <c r="N198" s="5"/>
      <c r="O198" s="4"/>
      <c r="P198" s="5"/>
      <c r="Q198" s="4"/>
      <c r="R198" s="5"/>
      <c r="S198" s="4"/>
      <c r="T198" s="5"/>
      <c r="U198" s="4"/>
      <c r="V198" s="5"/>
      <c r="W198" s="4"/>
      <c r="X198" s="4"/>
      <c r="Y198" s="5"/>
      <c r="Z198" s="4" t="s">
        <v>289</v>
      </c>
      <c r="AA198" s="6" t="n">
        <v>100000</v>
      </c>
      <c r="AB198" s="6" t="n">
        <v>120425.82</v>
      </c>
      <c r="AC198" s="6" t="n">
        <v>20619.7</v>
      </c>
      <c r="AD198" s="6" t="n">
        <v>99806.12</v>
      </c>
      <c r="AE198" s="4" t="s">
        <v>1406</v>
      </c>
      <c r="AF198" s="5" t="s">
        <v>115</v>
      </c>
      <c r="AG198" s="4" t="s">
        <v>115</v>
      </c>
      <c r="AH198" s="4" t="s">
        <v>115</v>
      </c>
      <c r="AI198" s="5" t="s">
        <v>115</v>
      </c>
      <c r="AJ198" s="1" t="n">
        <v>1</v>
      </c>
      <c r="AK198" s="11" t="n">
        <v>1</v>
      </c>
      <c r="AL198" s="12" t="s">
        <v>81</v>
      </c>
      <c r="AM198" s="13" t="str">
        <f>IF(AL198="","",AL198&amp;" - "&amp;IFERROR(VLOOKUP(AL198,CODEBOOK_CAP!$C$2:$D$212,2,FALSE),""))</f>
        <v>0322 - ESTRUTURAS, HOSPITAIS, CLÍNICAS</v>
      </c>
      <c r="AN198" s="13" t="str">
        <f>IF(AL198="","",IFERROR(VLOOKUP(AL198,CODEBOOK_CAP!$C$2:$E$212,3,FALSE),""))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198" s="11" t="n">
        <v>0</v>
      </c>
      <c r="AP198" s="11"/>
      <c r="AQ198" s="11" t="n">
        <v>1</v>
      </c>
      <c r="AR198" s="11" t="n">
        <v>1</v>
      </c>
      <c r="AS198" s="11" t="s">
        <v>1407</v>
      </c>
      <c r="AT198" s="11" t="n">
        <v>0</v>
      </c>
      <c r="AU198" s="11"/>
      <c r="AV198" s="11"/>
      <c r="AW198" s="11"/>
      <c r="AX198" s="7" t="s">
        <v>84</v>
      </c>
      <c r="AY198" s="7"/>
      <c r="AZ198" s="7"/>
      <c r="BA198" s="7"/>
    </row>
    <row r="199" ht="213.75" customHeight="1">
      <c r="A199" s="4" t="s">
        <v>1408</v>
      </c>
      <c r="B199" s="4" t="n">
        <v>2022</v>
      </c>
      <c r="C199" s="4" t="n">
        <v>4423</v>
      </c>
      <c r="D199" s="4" t="s">
        <v>54</v>
      </c>
      <c r="E199" s="4" t="s">
        <v>1402</v>
      </c>
      <c r="F199" s="5" t="s">
        <v>1409</v>
      </c>
      <c r="G199" s="4" t="s">
        <v>289</v>
      </c>
      <c r="H199" s="4" t="s">
        <v>1404</v>
      </c>
      <c r="I199" s="4" t="s">
        <v>281</v>
      </c>
      <c r="J199" s="4" t="s">
        <v>1410</v>
      </c>
      <c r="K199" s="4" t="s">
        <v>115</v>
      </c>
      <c r="L199" s="5"/>
      <c r="M199" s="4"/>
      <c r="N199" s="5"/>
      <c r="O199" s="4"/>
      <c r="P199" s="5"/>
      <c r="Q199" s="4"/>
      <c r="R199" s="5"/>
      <c r="S199" s="4"/>
      <c r="T199" s="5"/>
      <c r="U199" s="4"/>
      <c r="V199" s="5"/>
      <c r="W199" s="4"/>
      <c r="X199" s="4"/>
      <c r="Y199" s="5"/>
      <c r="Z199" s="4" t="s">
        <v>289</v>
      </c>
      <c r="AA199" s="6" t="n">
        <v>1089220</v>
      </c>
      <c r="AB199" s="6"/>
      <c r="AC199" s="6"/>
      <c r="AD199" s="6"/>
      <c r="AE199" s="4" t="s">
        <v>1411</v>
      </c>
      <c r="AF199" s="5" t="s">
        <v>115</v>
      </c>
      <c r="AG199" s="4" t="s">
        <v>115</v>
      </c>
      <c r="AH199" s="4" t="s">
        <v>115</v>
      </c>
      <c r="AI199" s="5" t="s">
        <v>115</v>
      </c>
      <c r="AJ199" s="1" t="n">
        <v>1</v>
      </c>
      <c r="AK199" s="11" t="n">
        <v>1</v>
      </c>
      <c r="AL199" s="12" t="s">
        <v>1275</v>
      </c>
      <c r="AM199" s="13" t="str">
        <f>IF(AL199="","",AL199&amp;" - "&amp;IFERROR(VLOOKUP(AL199,CODEBOOK_CAP!$C$2:$D$212,2,FALSE),""))</f>
        <v>0334 - TRATAMENTOS, CIRUGIAS, ATENDIMENTOS, DOENÇAS E REABILITAÇÃO</v>
      </c>
      <c r="AN199" s="13" t="str">
        <f>IF(AL199="","",IFERROR(VLOOKUP(AL199,CODEBOOK_CAP!$C$2:$E$212,3,FALSE),""))</f>
        <v>Questões gerais sobre atendimentos emergenciais, cirurgias, Tratamento de pessoas com doenças terminais, tratamentos longos que necessitam internação e atendimento assistido, home- care, reabilitação, concultas, fisioterapia, tratamentos de dialose, tratamentos contra cancer, doenças degenerativas, ELA, Alzhaimer. Tratamentos continuados de doencas cronicas, HIV.</v>
      </c>
      <c r="AO199" s="11" t="n">
        <v>0</v>
      </c>
      <c r="AP199" s="11"/>
      <c r="AQ199" s="11" t="n">
        <v>0</v>
      </c>
      <c r="AR199" s="11" t="n">
        <v>0</v>
      </c>
      <c r="AS199" s="11"/>
      <c r="AT199" s="11" t="n">
        <v>0</v>
      </c>
      <c r="AU199" s="11"/>
      <c r="AV199" s="11"/>
      <c r="AW199" s="11"/>
      <c r="AX199" s="7" t="s">
        <v>84</v>
      </c>
      <c r="AY199" s="7"/>
      <c r="AZ199" s="7"/>
      <c r="BA199" s="7"/>
    </row>
    <row r="200" ht="85.5" customHeight="1">
      <c r="A200" s="4" t="s">
        <v>1412</v>
      </c>
      <c r="B200" s="4" t="n">
        <v>2022</v>
      </c>
      <c r="C200" s="4" t="n">
        <v>4424</v>
      </c>
      <c r="D200" s="4" t="s">
        <v>54</v>
      </c>
      <c r="E200" s="4" t="s">
        <v>1402</v>
      </c>
      <c r="F200" s="5" t="s">
        <v>1413</v>
      </c>
      <c r="G200" s="4" t="s">
        <v>289</v>
      </c>
      <c r="H200" s="4" t="s">
        <v>1404</v>
      </c>
      <c r="I200" s="4" t="s">
        <v>281</v>
      </c>
      <c r="J200" s="4" t="s">
        <v>1414</v>
      </c>
      <c r="K200" s="4" t="s">
        <v>115</v>
      </c>
      <c r="L200" s="5"/>
      <c r="M200" s="4"/>
      <c r="N200" s="5"/>
      <c r="O200" s="4"/>
      <c r="P200" s="5"/>
      <c r="Q200" s="4"/>
      <c r="R200" s="5"/>
      <c r="S200" s="4"/>
      <c r="T200" s="5"/>
      <c r="U200" s="4"/>
      <c r="V200" s="5"/>
      <c r="W200" s="4"/>
      <c r="X200" s="4"/>
      <c r="Y200" s="5"/>
      <c r="Z200" s="4" t="s">
        <v>289</v>
      </c>
      <c r="AA200" s="6" t="n">
        <v>100000</v>
      </c>
      <c r="AB200" s="6"/>
      <c r="AC200" s="6"/>
      <c r="AD200" s="6"/>
      <c r="AE200" s="4" t="s">
        <v>1415</v>
      </c>
      <c r="AF200" s="5" t="s">
        <v>115</v>
      </c>
      <c r="AG200" s="4" t="s">
        <v>115</v>
      </c>
      <c r="AH200" s="4" t="s">
        <v>115</v>
      </c>
      <c r="AI200" s="5" t="s">
        <v>115</v>
      </c>
      <c r="AJ200" s="1" t="n">
        <v>1</v>
      </c>
      <c r="AK200" s="11" t="n">
        <v>1</v>
      </c>
      <c r="AL200" s="12" t="s">
        <v>81</v>
      </c>
      <c r="AM200" s="13" t="str">
        <f>IF(AL200="","",AL200&amp;" - "&amp;IFERROR(VLOOKUP(AL200,CODEBOOK_CAP!$C$2:$D$212,2,FALSE),""))</f>
        <v>0322 - ESTRUTURAS, HOSPITAIS, CLÍNICAS</v>
      </c>
      <c r="AN200" s="13" t="str">
        <f>IF(AL200="","",IFERROR(VLOOKUP(AL200,CODEBOOK_CAP!$C$2:$E$212,3,FALSE),""))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200" s="11" t="n">
        <v>0</v>
      </c>
      <c r="AP200" s="11"/>
      <c r="AQ200" s="11" t="n">
        <v>1</v>
      </c>
      <c r="AR200" s="11" t="n">
        <v>1</v>
      </c>
      <c r="AS200" s="11" t="s">
        <v>1416</v>
      </c>
      <c r="AT200" s="11" t="n">
        <v>0</v>
      </c>
      <c r="AU200" s="11"/>
      <c r="AV200" s="11"/>
      <c r="AW200" s="11"/>
      <c r="AX200" s="7" t="s">
        <v>84</v>
      </c>
      <c r="AY200" s="7"/>
      <c r="AZ200" s="7"/>
      <c r="BA200" s="7"/>
    </row>
    <row r="201" ht="99.75" customHeight="1">
      <c r="A201" s="4" t="s">
        <v>1417</v>
      </c>
      <c r="B201" s="4" t="n">
        <v>2022</v>
      </c>
      <c r="C201" s="4" t="n">
        <v>4425</v>
      </c>
      <c r="D201" s="4" t="s">
        <v>54</v>
      </c>
      <c r="E201" s="4" t="s">
        <v>1402</v>
      </c>
      <c r="F201" s="5" t="s">
        <v>1418</v>
      </c>
      <c r="G201" s="4" t="s">
        <v>289</v>
      </c>
      <c r="H201" s="4" t="s">
        <v>1404</v>
      </c>
      <c r="I201" s="4" t="s">
        <v>281</v>
      </c>
      <c r="J201" s="4" t="s">
        <v>1419</v>
      </c>
      <c r="K201" s="4" t="s">
        <v>115</v>
      </c>
      <c r="L201" s="5"/>
      <c r="M201" s="4"/>
      <c r="N201" s="5"/>
      <c r="O201" s="4"/>
      <c r="P201" s="5"/>
      <c r="Q201" s="4"/>
      <c r="R201" s="5"/>
      <c r="S201" s="4"/>
      <c r="T201" s="5"/>
      <c r="U201" s="4"/>
      <c r="V201" s="5"/>
      <c r="W201" s="4"/>
      <c r="X201" s="4"/>
      <c r="Y201" s="5"/>
      <c r="Z201" s="4" t="s">
        <v>289</v>
      </c>
      <c r="AA201" s="6" t="n">
        <v>99651</v>
      </c>
      <c r="AB201" s="6"/>
      <c r="AC201" s="6"/>
      <c r="AD201" s="6"/>
      <c r="AE201" s="4" t="s">
        <v>438</v>
      </c>
      <c r="AF201" s="5" t="s">
        <v>115</v>
      </c>
      <c r="AG201" s="4" t="s">
        <v>115</v>
      </c>
      <c r="AH201" s="4" t="s">
        <v>115</v>
      </c>
      <c r="AI201" s="5" t="s">
        <v>115</v>
      </c>
      <c r="AJ201" s="1" t="n">
        <v>0</v>
      </c>
      <c r="AK201" s="11" t="n">
        <v>0</v>
      </c>
      <c r="AL201" s="12" t="s">
        <v>1043</v>
      </c>
      <c r="AM201" s="13" t="str">
        <f>IF(AL201="","",AL201&amp;" - "&amp;IFERROR(VLOOKUP(AL201,CODEBOOK_CAP!$C$2:$D$212,2,FALSE),""))</f>
        <v>0802 - ELETRICIDADE E HIDROELÉTRICAS</v>
      </c>
      <c r="AN201" s="13" t="str">
        <f>IF(AL201="","",IFERROR(VLOOKUP(AL201,CODEBOOK_CAP!$C$2:$E$212,3,FALSE),""))</f>
        <v>Planejamento de rede elétrica, postes, rede elétrica de fiação, distribuição de energia elétrica, privatizações e estataizações de companhias elétricas. Hidroelétricas, construção e manutenção de hidroeletricas, capacidade produtiva de hidroeletricas, licenciamento e normas de funcionamento de hidroeletricas, precos, taxas e tarifas de produção e distribuição de eletricidade, acidentes com producao e distribuicao de rede eletrica e hidroeletricas</v>
      </c>
      <c r="AO201" s="11" t="n">
        <v>1</v>
      </c>
      <c r="AP201" s="11" t="s">
        <v>1420</v>
      </c>
      <c r="AQ201" s="11" t="n">
        <v>1</v>
      </c>
      <c r="AR201" s="11" t="n">
        <v>1</v>
      </c>
      <c r="AS201" s="11" t="s">
        <v>1420</v>
      </c>
      <c r="AT201" s="11" t="n">
        <v>0</v>
      </c>
      <c r="AU201" s="11"/>
      <c r="AV201" s="11"/>
      <c r="AW201" s="11"/>
      <c r="AX201" s="7" t="s">
        <v>84</v>
      </c>
      <c r="AY201" s="7"/>
      <c r="AZ201" s="7"/>
      <c r="BA201" s="7"/>
    </row>
    <row r="202" ht="99.75" customHeight="1">
      <c r="A202" s="4" t="s">
        <v>1421</v>
      </c>
      <c r="B202" s="4" t="n">
        <v>2022</v>
      </c>
      <c r="C202" s="4" t="n">
        <v>4426</v>
      </c>
      <c r="D202" s="4" t="s">
        <v>54</v>
      </c>
      <c r="E202" s="4" t="s">
        <v>1402</v>
      </c>
      <c r="F202" s="5" t="s">
        <v>1422</v>
      </c>
      <c r="G202" s="4" t="s">
        <v>289</v>
      </c>
      <c r="H202" s="4" t="s">
        <v>1404</v>
      </c>
      <c r="I202" s="4" t="s">
        <v>281</v>
      </c>
      <c r="J202" s="4" t="s">
        <v>1423</v>
      </c>
      <c r="K202" s="4" t="s">
        <v>115</v>
      </c>
      <c r="L202" s="5"/>
      <c r="M202" s="4"/>
      <c r="N202" s="5"/>
      <c r="O202" s="4"/>
      <c r="P202" s="5"/>
      <c r="Q202" s="4"/>
      <c r="R202" s="5"/>
      <c r="S202" s="4"/>
      <c r="T202" s="5"/>
      <c r="U202" s="4"/>
      <c r="V202" s="5"/>
      <c r="W202" s="4"/>
      <c r="X202" s="4"/>
      <c r="Y202" s="5"/>
      <c r="Z202" s="4" t="s">
        <v>289</v>
      </c>
      <c r="AA202" s="6" t="n">
        <v>107115</v>
      </c>
      <c r="AB202" s="6"/>
      <c r="AC202" s="6"/>
      <c r="AD202" s="6"/>
      <c r="AE202" s="4" t="s">
        <v>1424</v>
      </c>
      <c r="AF202" s="5"/>
      <c r="AG202" s="4" t="s">
        <v>78</v>
      </c>
      <c r="AH202" s="4" t="s">
        <v>79</v>
      </c>
      <c r="AI202" s="5" t="s">
        <v>80</v>
      </c>
      <c r="AJ202" s="1" t="n">
        <v>0</v>
      </c>
      <c r="AK202" s="11" t="n">
        <v>0</v>
      </c>
      <c r="AL202" s="12" t="s">
        <v>1043</v>
      </c>
      <c r="AM202" s="13" t="str">
        <f>IF(AL202="","",AL202&amp;" - "&amp;IFERROR(VLOOKUP(AL202,CODEBOOK_CAP!$C$2:$D$212,2,FALSE),""))</f>
        <v>0802 - ELETRICIDADE E HIDROELÉTRICAS</v>
      </c>
      <c r="AN202" s="13" t="str">
        <f>IF(AL202="","",IFERROR(VLOOKUP(AL202,CODEBOOK_CAP!$C$2:$E$212,3,FALSE),""))</f>
        <v>Planejamento de rede elétrica, postes, rede elétrica de fiação, distribuição de energia elétrica, privatizações e estataizações de companhias elétricas. Hidroelétricas, construção e manutenção de hidroeletricas, capacidade produtiva de hidroeletricas, licenciamento e normas de funcionamento de hidroeletricas, precos, taxas e tarifas de produção e distribuição de eletricidade, acidentes com producao e distribuicao de rede eletrica e hidroeletricas</v>
      </c>
      <c r="AO202" s="11" t="n">
        <v>1</v>
      </c>
      <c r="AP202" s="11" t="s">
        <v>1425</v>
      </c>
      <c r="AQ202" s="11" t="n">
        <v>1</v>
      </c>
      <c r="AR202" s="11" t="n">
        <v>1</v>
      </c>
      <c r="AS202" s="11" t="s">
        <v>1425</v>
      </c>
      <c r="AT202" s="11" t="n">
        <v>0</v>
      </c>
      <c r="AU202" s="11"/>
      <c r="AV202" s="11"/>
      <c r="AW202" s="11"/>
      <c r="AX202" s="7" t="s">
        <v>84</v>
      </c>
      <c r="AY202" s="7"/>
      <c r="AZ202" s="7"/>
      <c r="BA202" s="7"/>
    </row>
    <row r="203" ht="171" customHeight="1">
      <c r="A203" s="4" t="s">
        <v>1426</v>
      </c>
      <c r="B203" s="4" t="n">
        <v>2022</v>
      </c>
      <c r="C203" s="4" t="n">
        <v>4427</v>
      </c>
      <c r="D203" s="4" t="s">
        <v>54</v>
      </c>
      <c r="E203" s="4" t="s">
        <v>1402</v>
      </c>
      <c r="F203" s="5" t="s">
        <v>1427</v>
      </c>
      <c r="G203" s="4" t="s">
        <v>139</v>
      </c>
      <c r="H203" s="4" t="s">
        <v>1404</v>
      </c>
      <c r="I203" s="4" t="s">
        <v>281</v>
      </c>
      <c r="J203" s="4" t="s">
        <v>1428</v>
      </c>
      <c r="K203" s="4" t="s">
        <v>115</v>
      </c>
      <c r="L203" s="5"/>
      <c r="M203" s="4"/>
      <c r="N203" s="5"/>
      <c r="O203" s="4"/>
      <c r="P203" s="5"/>
      <c r="Q203" s="4"/>
      <c r="R203" s="5"/>
      <c r="S203" s="4"/>
      <c r="T203" s="5"/>
      <c r="U203" s="4"/>
      <c r="V203" s="5"/>
      <c r="W203" s="4"/>
      <c r="X203" s="4"/>
      <c r="Y203" s="5"/>
      <c r="Z203" s="4" t="s">
        <v>139</v>
      </c>
      <c r="AA203" s="6" t="n">
        <v>83562</v>
      </c>
      <c r="AB203" s="6"/>
      <c r="AC203" s="6"/>
      <c r="AD203" s="6"/>
      <c r="AE203" s="4" t="s">
        <v>641</v>
      </c>
      <c r="AF203" s="5" t="s">
        <v>115</v>
      </c>
      <c r="AG203" s="4" t="s">
        <v>115</v>
      </c>
      <c r="AH203" s="4" t="s">
        <v>115</v>
      </c>
      <c r="AI203" s="5" t="s">
        <v>115</v>
      </c>
      <c r="AJ203" s="1" t="n">
        <v>0</v>
      </c>
      <c r="AK203" s="11" t="n">
        <v>0</v>
      </c>
      <c r="AL203" s="12" t="s">
        <v>135</v>
      </c>
      <c r="AM203" s="13" t="str">
        <f>IF(AL203="","",AL203&amp;" - "&amp;IFERROR(VLOOKUP(AL203,CODEBOOK_CAP!$C$2:$D$212,2,FALSE),""))</f>
        <v>1002 - CARROS, TRÂNSITO, CONSTRUÇÃO E MANUTENÇÃO DE RUAS E ESTRADAS</v>
      </c>
      <c r="AN203" s="13" t="str">
        <f>IF(AL203="","",IFERROR(VLOOKUP(AL203,CODEBOOK_CAP!$C$2:$E$212,3,FALSE),""))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203" s="11" t="n">
        <v>1</v>
      </c>
      <c r="AP203" s="11" t="s">
        <v>1429</v>
      </c>
      <c r="AQ203" s="11" t="n">
        <v>1</v>
      </c>
      <c r="AR203" s="11" t="n">
        <v>1</v>
      </c>
      <c r="AS203" s="11" t="s">
        <v>1429</v>
      </c>
      <c r="AT203" s="11" t="n">
        <v>0</v>
      </c>
      <c r="AU203" s="11"/>
      <c r="AV203" s="11"/>
      <c r="AW203" s="11"/>
      <c r="AX203" s="7" t="s">
        <v>84</v>
      </c>
      <c r="AY203" s="7"/>
      <c r="AZ203" s="7"/>
      <c r="BA203" s="7"/>
    </row>
    <row r="204" ht="171" customHeight="1">
      <c r="A204" s="4" t="s">
        <v>1430</v>
      </c>
      <c r="B204" s="4" t="n">
        <v>2022</v>
      </c>
      <c r="C204" s="4" t="n">
        <v>4428</v>
      </c>
      <c r="D204" s="4" t="s">
        <v>54</v>
      </c>
      <c r="E204" s="4" t="s">
        <v>1402</v>
      </c>
      <c r="F204" s="5" t="s">
        <v>1431</v>
      </c>
      <c r="G204" s="4" t="s">
        <v>57</v>
      </c>
      <c r="H204" s="4" t="s">
        <v>1404</v>
      </c>
      <c r="I204" s="4" t="s">
        <v>281</v>
      </c>
      <c r="J204" s="4" t="s">
        <v>1432</v>
      </c>
      <c r="K204" s="4" t="s">
        <v>1189</v>
      </c>
      <c r="L204" s="5" t="s">
        <v>122</v>
      </c>
      <c r="M204" s="4" t="s">
        <v>123</v>
      </c>
      <c r="N204" s="5" t="s">
        <v>124</v>
      </c>
      <c r="O204" s="4" t="s">
        <v>125</v>
      </c>
      <c r="P204" s="5" t="s">
        <v>126</v>
      </c>
      <c r="Q204" s="4" t="s">
        <v>127</v>
      </c>
      <c r="R204" s="5" t="s">
        <v>128</v>
      </c>
      <c r="S204" s="4" t="s">
        <v>129</v>
      </c>
      <c r="T204" s="5" t="s">
        <v>130</v>
      </c>
      <c r="U204" s="4" t="s">
        <v>131</v>
      </c>
      <c r="V204" s="5" t="s">
        <v>72</v>
      </c>
      <c r="W204" s="4" t="s">
        <v>73</v>
      </c>
      <c r="X204" s="4" t="s">
        <v>74</v>
      </c>
      <c r="Y204" s="5"/>
      <c r="Z204" s="4" t="s">
        <v>132</v>
      </c>
      <c r="AA204" s="6" t="n">
        <v>219667</v>
      </c>
      <c r="AB204" s="6"/>
      <c r="AC204" s="6"/>
      <c r="AD204" s="6"/>
      <c r="AE204" s="4" t="s">
        <v>1433</v>
      </c>
      <c r="AF204" s="5" t="s">
        <v>115</v>
      </c>
      <c r="AG204" s="4" t="s">
        <v>115</v>
      </c>
      <c r="AH204" s="4" t="s">
        <v>115</v>
      </c>
      <c r="AI204" s="5" t="s">
        <v>115</v>
      </c>
      <c r="AJ204" s="1" t="n">
        <v>0</v>
      </c>
      <c r="AK204" s="11" t="n">
        <v>0</v>
      </c>
      <c r="AL204" s="12" t="s">
        <v>135</v>
      </c>
      <c r="AM204" s="13" t="str">
        <f>IF(AL204="","",AL204&amp;" - "&amp;IFERROR(VLOOKUP(AL204,CODEBOOK_CAP!$C$2:$D$212,2,FALSE),""))</f>
        <v>1002 - CARROS, TRÂNSITO, CONSTRUÇÃO E MANUTENÇÃO DE RUAS E ESTRADAS</v>
      </c>
      <c r="AN204" s="13" t="str">
        <f>IF(AL204="","",IFERROR(VLOOKUP(AL204,CODEBOOK_CAP!$C$2:$E$212,3,FALSE),""))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204" s="11" t="n">
        <v>1</v>
      </c>
      <c r="AP204" s="11" t="s">
        <v>1434</v>
      </c>
      <c r="AQ204" s="11" t="n">
        <v>0</v>
      </c>
      <c r="AR204" s="11" t="n">
        <v>0</v>
      </c>
      <c r="AS204" s="11"/>
      <c r="AT204" s="11" t="n">
        <v>0</v>
      </c>
      <c r="AU204" s="11"/>
      <c r="AV204" s="11"/>
      <c r="AW204" s="11"/>
      <c r="AX204" s="7" t="s">
        <v>84</v>
      </c>
      <c r="AY204" s="7"/>
      <c r="AZ204" s="7"/>
      <c r="BA204" s="7"/>
    </row>
    <row r="205" ht="71.25" customHeight="1">
      <c r="A205" s="4" t="s">
        <v>1435</v>
      </c>
      <c r="B205" s="4" t="n">
        <v>2022</v>
      </c>
      <c r="C205" s="4" t="n">
        <v>4429</v>
      </c>
      <c r="D205" s="4" t="s">
        <v>54</v>
      </c>
      <c r="E205" s="4" t="s">
        <v>1402</v>
      </c>
      <c r="F205" s="5" t="s">
        <v>1436</v>
      </c>
      <c r="G205" s="4" t="s">
        <v>57</v>
      </c>
      <c r="H205" s="4" t="s">
        <v>1404</v>
      </c>
      <c r="I205" s="4" t="s">
        <v>281</v>
      </c>
      <c r="J205" s="4" t="s">
        <v>1437</v>
      </c>
      <c r="K205" s="4" t="s">
        <v>415</v>
      </c>
      <c r="L205" s="5" t="s">
        <v>122</v>
      </c>
      <c r="M205" s="4" t="s">
        <v>123</v>
      </c>
      <c r="N205" s="5" t="s">
        <v>227</v>
      </c>
      <c r="O205" s="4" t="s">
        <v>228</v>
      </c>
      <c r="P205" s="5" t="s">
        <v>229</v>
      </c>
      <c r="Q205" s="4" t="s">
        <v>230</v>
      </c>
      <c r="R205" s="5" t="s">
        <v>322</v>
      </c>
      <c r="S205" s="4" t="s">
        <v>323</v>
      </c>
      <c r="T205" s="5" t="s">
        <v>416</v>
      </c>
      <c r="U205" s="4" t="s">
        <v>417</v>
      </c>
      <c r="V205" s="5" t="s">
        <v>72</v>
      </c>
      <c r="W205" s="4" t="s">
        <v>73</v>
      </c>
      <c r="X205" s="4" t="s">
        <v>74</v>
      </c>
      <c r="Y205" s="5"/>
      <c r="Z205" s="4" t="s">
        <v>132</v>
      </c>
      <c r="AA205" s="6" t="n">
        <v>122700</v>
      </c>
      <c r="AB205" s="6" t="n">
        <v>113175</v>
      </c>
      <c r="AC205" s="6" t="n">
        <v>113175</v>
      </c>
      <c r="AD205" s="6" t="n">
        <v>113175</v>
      </c>
      <c r="AE205" s="4" t="s">
        <v>1438</v>
      </c>
      <c r="AF205" s="5"/>
      <c r="AG205" s="4" t="s">
        <v>78</v>
      </c>
      <c r="AH205" s="4" t="s">
        <v>79</v>
      </c>
      <c r="AI205" s="5" t="s">
        <v>80</v>
      </c>
      <c r="AJ205" s="1" t="n">
        <v>0</v>
      </c>
      <c r="AK205" s="11" t="n">
        <v>0</v>
      </c>
      <c r="AL205" s="12" t="s">
        <v>328</v>
      </c>
      <c r="AM205" s="13" t="str">
        <f>IF(AL205="","",AL205&amp;" - "&amp;IFERROR(VLOOKUP(AL205,CODEBOOK_CAP!$C$2:$D$212,2,FALSE),""))</f>
        <v>1403 - REABILITAÇÃO URBANA, ECONOMIA URBANA</v>
      </c>
      <c r="AN205" s="13" t="str">
        <f>IF(AL205="","",IFERROR(VLOOKUP(AL205,CODEBOOK_CAP!$C$2:$E$212,3,FALSE),""))</f>
        <v>Reabilitação de áreas urbanas, revitalização urbana, modernização de áreas, mercados públicos, revitalização de praças, política urbana nacional, desenvolvimento urbano , desenvolvimento econômico de estados e cidades, modernização de espaços urbanos</v>
      </c>
      <c r="AO205" s="11" t="n">
        <v>1</v>
      </c>
      <c r="AP205" s="11" t="s">
        <v>1439</v>
      </c>
      <c r="AQ205" s="11" t="n">
        <v>2</v>
      </c>
      <c r="AR205" s="11" t="n">
        <v>1</v>
      </c>
      <c r="AS205" s="11" t="s">
        <v>1439</v>
      </c>
      <c r="AT205" s="11" t="n">
        <v>0</v>
      </c>
      <c r="AU205" s="11"/>
      <c r="AV205" s="11"/>
      <c r="AW205" s="11"/>
      <c r="AX205" s="7" t="s">
        <v>84</v>
      </c>
      <c r="AY205" s="7"/>
      <c r="AZ205" s="7"/>
      <c r="BA205" s="7"/>
    </row>
    <row r="206" ht="99.75" customHeight="1">
      <c r="A206" s="4" t="s">
        <v>1440</v>
      </c>
      <c r="B206" s="4" t="n">
        <v>2022</v>
      </c>
      <c r="C206" s="4" t="n">
        <v>4430</v>
      </c>
      <c r="D206" s="4" t="s">
        <v>54</v>
      </c>
      <c r="E206" s="4" t="s">
        <v>1402</v>
      </c>
      <c r="F206" s="5" t="s">
        <v>1441</v>
      </c>
      <c r="G206" s="4" t="s">
        <v>139</v>
      </c>
      <c r="H206" s="4" t="s">
        <v>1404</v>
      </c>
      <c r="I206" s="4" t="s">
        <v>281</v>
      </c>
      <c r="J206" s="4" t="s">
        <v>1442</v>
      </c>
      <c r="K206" s="4" t="s">
        <v>115</v>
      </c>
      <c r="L206" s="5"/>
      <c r="M206" s="4"/>
      <c r="N206" s="5"/>
      <c r="O206" s="4"/>
      <c r="P206" s="5"/>
      <c r="Q206" s="4"/>
      <c r="R206" s="5"/>
      <c r="S206" s="4"/>
      <c r="T206" s="5"/>
      <c r="U206" s="4"/>
      <c r="V206" s="5"/>
      <c r="W206" s="4"/>
      <c r="X206" s="4"/>
      <c r="Y206" s="5"/>
      <c r="Z206" s="4" t="s">
        <v>139</v>
      </c>
      <c r="AA206" s="6" t="n">
        <v>50000</v>
      </c>
      <c r="AB206" s="6"/>
      <c r="AC206" s="6"/>
      <c r="AD206" s="6"/>
      <c r="AE206" s="4" t="s">
        <v>115</v>
      </c>
      <c r="AF206" s="5" t="s">
        <v>115</v>
      </c>
      <c r="AG206" s="4" t="s">
        <v>115</v>
      </c>
      <c r="AH206" s="4" t="s">
        <v>115</v>
      </c>
      <c r="AI206" s="5" t="s">
        <v>115</v>
      </c>
      <c r="AJ206" s="1" t="n">
        <v>0</v>
      </c>
      <c r="AK206" s="11" t="n">
        <v>0</v>
      </c>
      <c r="AL206" s="12" t="s">
        <v>1043</v>
      </c>
      <c r="AM206" s="13" t="str">
        <f>IF(AL206="","",AL206&amp;" - "&amp;IFERROR(VLOOKUP(AL206,CODEBOOK_CAP!$C$2:$D$212,2,FALSE),""))</f>
        <v>0802 - ELETRICIDADE E HIDROELÉTRICAS</v>
      </c>
      <c r="AN206" s="13" t="str">
        <f>IF(AL206="","",IFERROR(VLOOKUP(AL206,CODEBOOK_CAP!$C$2:$E$212,3,FALSE),""))</f>
        <v>Planejamento de rede elétrica, postes, rede elétrica de fiação, distribuição de energia elétrica, privatizações e estataizações de companhias elétricas. Hidroelétricas, construção e manutenção de hidroeletricas, capacidade produtiva de hidroeletricas, licenciamento e normas de funcionamento de hidroeletricas, precos, taxas e tarifas de produção e distribuição de eletricidade, acidentes com producao e distribuicao de rede eletrica e hidroeletricas</v>
      </c>
      <c r="AO206" s="11" t="n">
        <v>1</v>
      </c>
      <c r="AP206" s="11" t="s">
        <v>1443</v>
      </c>
      <c r="AQ206" s="11" t="n">
        <v>1</v>
      </c>
      <c r="AR206" s="11" t="n">
        <v>1</v>
      </c>
      <c r="AS206" s="11" t="s">
        <v>1443</v>
      </c>
      <c r="AT206" s="11" t="n">
        <v>0</v>
      </c>
      <c r="AU206" s="11"/>
      <c r="AV206" s="11"/>
      <c r="AW206" s="11"/>
      <c r="AX206" s="7" t="s">
        <v>84</v>
      </c>
      <c r="AY206" s="7"/>
      <c r="AZ206" s="7"/>
      <c r="BA206" s="7"/>
    </row>
    <row r="207" ht="142.5" customHeight="1">
      <c r="A207" s="4" t="s">
        <v>1444</v>
      </c>
      <c r="B207" s="4" t="n">
        <v>2022</v>
      </c>
      <c r="C207" s="4" t="n">
        <v>4431</v>
      </c>
      <c r="D207" s="4" t="s">
        <v>54</v>
      </c>
      <c r="E207" s="4" t="s">
        <v>1402</v>
      </c>
      <c r="F207" s="5" t="s">
        <v>1445</v>
      </c>
      <c r="G207" s="4" t="s">
        <v>57</v>
      </c>
      <c r="H207" s="4" t="s">
        <v>1404</v>
      </c>
      <c r="I207" s="4" t="s">
        <v>281</v>
      </c>
      <c r="J207" s="4" t="s">
        <v>1446</v>
      </c>
      <c r="K207" s="4" t="s">
        <v>1447</v>
      </c>
      <c r="L207" s="5" t="s">
        <v>1448</v>
      </c>
      <c r="M207" s="4" t="s">
        <v>1449</v>
      </c>
      <c r="N207" s="5" t="s">
        <v>1450</v>
      </c>
      <c r="O207" s="4" t="s">
        <v>1451</v>
      </c>
      <c r="P207" s="5" t="s">
        <v>1452</v>
      </c>
      <c r="Q207" s="4" t="s">
        <v>1453</v>
      </c>
      <c r="R207" s="5" t="s">
        <v>1454</v>
      </c>
      <c r="S207" s="4" t="s">
        <v>1455</v>
      </c>
      <c r="T207" s="5" t="s">
        <v>1456</v>
      </c>
      <c r="U207" s="4" t="s">
        <v>1457</v>
      </c>
      <c r="V207" s="5" t="s">
        <v>72</v>
      </c>
      <c r="W207" s="4" t="s">
        <v>73</v>
      </c>
      <c r="X207" s="4" t="s">
        <v>74</v>
      </c>
      <c r="Y207" s="5"/>
      <c r="Z207" s="4" t="s">
        <v>1458</v>
      </c>
      <c r="AA207" s="6" t="n">
        <v>100000</v>
      </c>
      <c r="AB207" s="6"/>
      <c r="AC207" s="6"/>
      <c r="AD207" s="6"/>
      <c r="AE207" s="4" t="s">
        <v>1459</v>
      </c>
      <c r="AF207" s="5" t="s">
        <v>115</v>
      </c>
      <c r="AG207" s="4" t="s">
        <v>115</v>
      </c>
      <c r="AH207" s="4" t="s">
        <v>115</v>
      </c>
      <c r="AI207" s="5" t="s">
        <v>115</v>
      </c>
      <c r="AJ207" s="1" t="n">
        <v>0</v>
      </c>
      <c r="AK207" s="11" t="n">
        <v>0</v>
      </c>
      <c r="AL207" s="12" t="s">
        <v>871</v>
      </c>
      <c r="AM207" s="13" t="str">
        <f>IF(AL207="","",AL207&amp;" - "&amp;IFERROR(VLOOKUP(AL207,CODEBOOK_CAP!$C$2:$D$212,2,FALSE),""))</f>
        <v>0711 - CONSERVAÇÃO DO SOLO, MAR, RIOS, PRAIAS E COSTAS</v>
      </c>
      <c r="AN207" s="13" t="str">
        <f>IF(AL207="","",IFERROR(VLOOKUP(AL207,CODEBOOK_CAP!$C$2:$E$212,3,FALSE),""))</f>
        <v>Poluição de oceanos, regulamentação de acesso e conservação da costa, ilhas, praias, mangues, e assuntos relacionados ao mar, oceanos e litoral. Erosão de terrenos, morros, promoção da qualidade do solo, conservação de rios, lagos e afluentes, questões vinculadas a enchentes, poluição urbana, margens, encostas de rios, chuvas, temporais, tempestades, terrenos contaminados, rios contamidados e poluidos, fertilizantes. Quando assunto for uso dos recursos naturais usar codigo 21. 2104 para recursos hídricos, 2103 para recursos naturais como minerais. Quando o assunto for tratamento de água potável, distribuição de água potável para residencias, 701.</v>
      </c>
      <c r="AO207" s="11" t="n">
        <v>1</v>
      </c>
      <c r="AP207" s="11" t="s">
        <v>9316</v>
      </c>
      <c r="AQ207" s="11" t="n">
        <v>1</v>
      </c>
      <c r="AR207" s="11" t="n">
        <v>1</v>
      </c>
      <c r="AS207" s="11" t="s">
        <v>9317</v>
      </c>
      <c r="AT207" s="11" t="n">
        <v>0</v>
      </c>
      <c r="AU207" s="11"/>
      <c r="AV207" s="11"/>
      <c r="AW207" s="11"/>
      <c r="AX207" s="7" t="s">
        <v>84</v>
      </c>
      <c r="AY207" s="7"/>
      <c r="AZ207" s="7"/>
      <c r="BA207" s="7"/>
    </row>
    <row r="208" ht="142.5" customHeight="1">
      <c r="A208" s="4" t="s">
        <v>1461</v>
      </c>
      <c r="B208" s="4" t="n">
        <v>2022</v>
      </c>
      <c r="C208" s="4" t="n">
        <v>4432</v>
      </c>
      <c r="D208" s="4" t="s">
        <v>54</v>
      </c>
      <c r="E208" s="4" t="s">
        <v>1402</v>
      </c>
      <c r="F208" s="5" t="s">
        <v>1452</v>
      </c>
      <c r="G208" s="4" t="s">
        <v>57</v>
      </c>
      <c r="H208" s="4" t="s">
        <v>1404</v>
      </c>
      <c r="I208" s="4" t="s">
        <v>281</v>
      </c>
      <c r="J208" s="4" t="s">
        <v>1462</v>
      </c>
      <c r="K208" s="4" t="s">
        <v>1184</v>
      </c>
      <c r="L208" s="5" t="s">
        <v>122</v>
      </c>
      <c r="M208" s="4" t="s">
        <v>123</v>
      </c>
      <c r="N208" s="5" t="s">
        <v>124</v>
      </c>
      <c r="O208" s="4" t="s">
        <v>125</v>
      </c>
      <c r="P208" s="5" t="s">
        <v>126</v>
      </c>
      <c r="Q208" s="4" t="s">
        <v>127</v>
      </c>
      <c r="R208" s="5" t="s">
        <v>322</v>
      </c>
      <c r="S208" s="4" t="s">
        <v>323</v>
      </c>
      <c r="T208" s="5" t="s">
        <v>774</v>
      </c>
      <c r="U208" s="4" t="s">
        <v>775</v>
      </c>
      <c r="V208" s="5" t="s">
        <v>72</v>
      </c>
      <c r="W208" s="4" t="s">
        <v>73</v>
      </c>
      <c r="X208" s="4" t="s">
        <v>74</v>
      </c>
      <c r="Y208" s="5"/>
      <c r="Z208" s="4" t="s">
        <v>132</v>
      </c>
      <c r="AA208" s="6" t="n">
        <v>100000</v>
      </c>
      <c r="AB208" s="6" t="n">
        <v>10173</v>
      </c>
      <c r="AC208" s="6" t="n">
        <v>10173</v>
      </c>
      <c r="AD208" s="6" t="n">
        <v>10173</v>
      </c>
      <c r="AE208" s="4" t="s">
        <v>1463</v>
      </c>
      <c r="AF208" s="5"/>
      <c r="AG208" s="4" t="s">
        <v>78</v>
      </c>
      <c r="AH208" s="4" t="s">
        <v>79</v>
      </c>
      <c r="AI208" s="5" t="s">
        <v>80</v>
      </c>
      <c r="AJ208" s="1" t="n">
        <v>0</v>
      </c>
      <c r="AK208" s="11" t="n">
        <v>0</v>
      </c>
      <c r="AL208" s="12" t="s">
        <v>871</v>
      </c>
      <c r="AM208" s="13" t="str">
        <f>IF(AL208="","",AL208&amp;" - "&amp;IFERROR(VLOOKUP(AL208,CODEBOOK_CAP!$C$2:$D$212,2,FALSE),""))</f>
        <v>0711 - CONSERVAÇÃO DO SOLO, MAR, RIOS, PRAIAS E COSTAS</v>
      </c>
      <c r="AN208" s="13" t="str">
        <f>IF(AL208="","",IFERROR(VLOOKUP(AL208,CODEBOOK_CAP!$C$2:$E$212,3,FALSE),""))</f>
        <v>Poluição de oceanos, regulamentação de acesso e conservação da costa, ilhas, praias, mangues, e assuntos relacionados ao mar, oceanos e litoral. Erosão de terrenos, morros, promoção da qualidade do solo, conservação de rios, lagos e afluentes, questões vinculadas a enchentes, poluição urbana, margens, encostas de rios, chuvas, temporais, tempestades, terrenos contaminados, rios contamidados e poluidos, fertilizantes. Quando assunto for uso dos recursos naturais usar codigo 21. 2104 para recursos hídricos, 2103 para recursos naturais como minerais. Quando o assunto for tratamento de água potável, distribuição de água potável para residencias, 701.</v>
      </c>
      <c r="AO208" s="11" t="n">
        <v>1</v>
      </c>
      <c r="AP208" s="11" t="s">
        <v>9320</v>
      </c>
      <c r="AQ208" s="11" t="n">
        <v>1</v>
      </c>
      <c r="AR208" s="11" t="n">
        <v>1</v>
      </c>
      <c r="AS208" s="11" t="s">
        <v>9321</v>
      </c>
      <c r="AT208" s="11" t="n">
        <v>0</v>
      </c>
      <c r="AU208" s="11"/>
      <c r="AV208" s="11"/>
      <c r="AW208" s="11"/>
      <c r="AX208" s="7" t="s">
        <v>84</v>
      </c>
      <c r="AY208" s="7"/>
      <c r="AZ208" s="7"/>
      <c r="BA208" s="7"/>
    </row>
    <row r="209" ht="228" customHeight="1">
      <c r="A209" s="4" t="s">
        <v>1465</v>
      </c>
      <c r="B209" s="4" t="n">
        <v>2022</v>
      </c>
      <c r="C209" s="4" t="n">
        <v>4433</v>
      </c>
      <c r="D209" s="4" t="s">
        <v>54</v>
      </c>
      <c r="E209" s="4" t="s">
        <v>1402</v>
      </c>
      <c r="F209" s="5" t="s">
        <v>1466</v>
      </c>
      <c r="G209" s="4" t="s">
        <v>139</v>
      </c>
      <c r="H209" s="4" t="s">
        <v>1404</v>
      </c>
      <c r="I209" s="4" t="s">
        <v>281</v>
      </c>
      <c r="J209" s="4" t="s">
        <v>1467</v>
      </c>
      <c r="K209" s="4" t="s">
        <v>115</v>
      </c>
      <c r="L209" s="5"/>
      <c r="M209" s="4"/>
      <c r="N209" s="5"/>
      <c r="O209" s="4"/>
      <c r="P209" s="5"/>
      <c r="Q209" s="4"/>
      <c r="R209" s="5"/>
      <c r="S209" s="4"/>
      <c r="T209" s="5"/>
      <c r="U209" s="4"/>
      <c r="V209" s="5"/>
      <c r="W209" s="4"/>
      <c r="X209" s="4"/>
      <c r="Y209" s="5"/>
      <c r="Z209" s="4" t="s">
        <v>139</v>
      </c>
      <c r="AA209" s="6" t="n">
        <v>42700</v>
      </c>
      <c r="AB209" s="6"/>
      <c r="AC209" s="6"/>
      <c r="AD209" s="6"/>
      <c r="AE209" s="4" t="s">
        <v>1468</v>
      </c>
      <c r="AF209" s="5" t="s">
        <v>115</v>
      </c>
      <c r="AG209" s="4" t="s">
        <v>115</v>
      </c>
      <c r="AH209" s="4" t="s">
        <v>115</v>
      </c>
      <c r="AI209" s="5" t="s">
        <v>115</v>
      </c>
      <c r="AJ209" s="1" t="n">
        <v>0</v>
      </c>
      <c r="AK209" s="11" t="n">
        <v>0</v>
      </c>
      <c r="AL209" s="12" t="s">
        <v>328</v>
      </c>
      <c r="AM209" s="13" t="str">
        <f>IF(AL209="","",AL209&amp;" - "&amp;IFERROR(VLOOKUP(AL209,CODEBOOK_CAP!$C$2:$D$212,2,FALSE),""))</f>
        <v>1403 - REABILITAÇÃO URBANA, ECONOMIA URBANA</v>
      </c>
      <c r="AN209" s="13" t="str">
        <f>IF(AL209="","",IFERROR(VLOOKUP(AL209,CODEBOOK_CAP!$C$2:$E$212,3,FALSE),""))</f>
        <v>Reabilitação de áreas urbanas, revitalização urbana, modernização de áreas, mercados públicos, revitalização de praças, política urbana nacional, desenvolvimento urbano , desenvolvimento econômico de estados e cidades, modernização de espaços urbanos</v>
      </c>
      <c r="AO209" s="11" t="n">
        <v>1</v>
      </c>
      <c r="AP209" s="11" t="s">
        <v>1469</v>
      </c>
      <c r="AQ209" s="11" t="n">
        <v>1</v>
      </c>
      <c r="AR209" s="11" t="n">
        <v>1</v>
      </c>
      <c r="AS209" s="11" t="s">
        <v>1469</v>
      </c>
      <c r="AT209" s="11" t="n">
        <v>0</v>
      </c>
      <c r="AU209" s="11"/>
      <c r="AV209" s="11"/>
      <c r="AW209" s="11"/>
      <c r="AX209" s="7" t="s">
        <v>84</v>
      </c>
      <c r="AY209" s="7"/>
      <c r="AZ209" s="7"/>
      <c r="BA209" s="7"/>
    </row>
    <row r="210" ht="57" customHeight="1">
      <c r="A210" s="4" t="s">
        <v>1470</v>
      </c>
      <c r="B210" s="4" t="n">
        <v>2022</v>
      </c>
      <c r="C210" s="4" t="n">
        <v>4434</v>
      </c>
      <c r="D210" s="4" t="s">
        <v>54</v>
      </c>
      <c r="E210" s="4" t="s">
        <v>1402</v>
      </c>
      <c r="F210" s="5" t="s">
        <v>1471</v>
      </c>
      <c r="G210" s="4" t="s">
        <v>57</v>
      </c>
      <c r="H210" s="4" t="s">
        <v>1404</v>
      </c>
      <c r="I210" s="4" t="s">
        <v>281</v>
      </c>
      <c r="J210" s="4" t="s">
        <v>1472</v>
      </c>
      <c r="K210" s="4" t="s">
        <v>415</v>
      </c>
      <c r="L210" s="5" t="s">
        <v>122</v>
      </c>
      <c r="M210" s="4" t="s">
        <v>123</v>
      </c>
      <c r="N210" s="5" t="s">
        <v>227</v>
      </c>
      <c r="O210" s="4" t="s">
        <v>228</v>
      </c>
      <c r="P210" s="5" t="s">
        <v>229</v>
      </c>
      <c r="Q210" s="4" t="s">
        <v>230</v>
      </c>
      <c r="R210" s="5" t="s">
        <v>322</v>
      </c>
      <c r="S210" s="4" t="s">
        <v>323</v>
      </c>
      <c r="T210" s="5" t="s">
        <v>416</v>
      </c>
      <c r="U210" s="4" t="s">
        <v>417</v>
      </c>
      <c r="V210" s="5" t="s">
        <v>72</v>
      </c>
      <c r="W210" s="4" t="s">
        <v>73</v>
      </c>
      <c r="X210" s="4" t="s">
        <v>74</v>
      </c>
      <c r="Y210" s="5"/>
      <c r="Z210" s="4" t="s">
        <v>132</v>
      </c>
      <c r="AA210" s="6" t="n">
        <v>80000</v>
      </c>
      <c r="AB210" s="6" t="n">
        <v>48858</v>
      </c>
      <c r="AC210" s="6" t="n">
        <v>48858</v>
      </c>
      <c r="AD210" s="6" t="n">
        <v>48858</v>
      </c>
      <c r="AE210" s="4" t="s">
        <v>1473</v>
      </c>
      <c r="AF210" s="5"/>
      <c r="AG210" s="4" t="s">
        <v>78</v>
      </c>
      <c r="AH210" s="4" t="s">
        <v>79</v>
      </c>
      <c r="AI210" s="5" t="s">
        <v>80</v>
      </c>
      <c r="AJ210" s="1" t="n">
        <v>0</v>
      </c>
      <c r="AK210" s="11" t="n">
        <v>0</v>
      </c>
      <c r="AL210" s="12" t="s">
        <v>328</v>
      </c>
      <c r="AM210" s="13" t="str">
        <f>IF(AL210="","",AL210&amp;" - "&amp;IFERROR(VLOOKUP(AL210,CODEBOOK_CAP!$C$2:$D$212,2,FALSE),""))</f>
        <v>1403 - REABILITAÇÃO URBANA, ECONOMIA URBANA</v>
      </c>
      <c r="AN210" s="13" t="str">
        <f>IF(AL210="","",IFERROR(VLOOKUP(AL210,CODEBOOK_CAP!$C$2:$E$212,3,FALSE),""))</f>
        <v>Reabilitação de áreas urbanas, revitalização urbana, modernização de áreas, mercados públicos, revitalização de praças, política urbana nacional, desenvolvimento urbano , desenvolvimento econômico de estados e cidades, modernização de espaços urbanos</v>
      </c>
      <c r="AO210" s="11" t="n">
        <v>1</v>
      </c>
      <c r="AP210" s="11" t="s">
        <v>1474</v>
      </c>
      <c r="AQ210" s="11" t="n">
        <v>1</v>
      </c>
      <c r="AR210" s="11" t="n">
        <v>1</v>
      </c>
      <c r="AS210" s="11" t="s">
        <v>1474</v>
      </c>
      <c r="AT210" s="11" t="n">
        <v>0</v>
      </c>
      <c r="AU210" s="11"/>
      <c r="AV210" s="11"/>
      <c r="AW210" s="11"/>
      <c r="AX210" s="7" t="s">
        <v>84</v>
      </c>
      <c r="AY210" s="7"/>
      <c r="AZ210" s="7"/>
      <c r="BA210" s="7"/>
    </row>
    <row r="211" ht="85.5" customHeight="1">
      <c r="A211" s="4" t="s">
        <v>1475</v>
      </c>
      <c r="B211" s="4" t="n">
        <v>2022</v>
      </c>
      <c r="C211" s="4" t="n">
        <v>4382</v>
      </c>
      <c r="D211" s="4" t="s">
        <v>54</v>
      </c>
      <c r="E211" s="4" t="s">
        <v>1476</v>
      </c>
      <c r="F211" s="5" t="s">
        <v>1477</v>
      </c>
      <c r="G211" s="4" t="s">
        <v>57</v>
      </c>
      <c r="H211" s="4" t="s">
        <v>1478</v>
      </c>
      <c r="I211" s="4" t="s">
        <v>1479</v>
      </c>
      <c r="J211" s="4" t="s">
        <v>1480</v>
      </c>
      <c r="K211" s="4" t="s">
        <v>1481</v>
      </c>
      <c r="L211" s="5" t="s">
        <v>62</v>
      </c>
      <c r="M211" s="4" t="s">
        <v>63</v>
      </c>
      <c r="N211" s="5" t="s">
        <v>64</v>
      </c>
      <c r="O211" s="4" t="s">
        <v>65</v>
      </c>
      <c r="P211" s="5" t="s">
        <v>66</v>
      </c>
      <c r="Q211" s="4" t="s">
        <v>67</v>
      </c>
      <c r="R211" s="5" t="s">
        <v>68</v>
      </c>
      <c r="S211" s="4" t="s">
        <v>69</v>
      </c>
      <c r="T211" s="5" t="s">
        <v>70</v>
      </c>
      <c r="U211" s="4" t="s">
        <v>71</v>
      </c>
      <c r="V211" s="5" t="s">
        <v>72</v>
      </c>
      <c r="W211" s="4" t="s">
        <v>73</v>
      </c>
      <c r="X211" s="4" t="s">
        <v>74</v>
      </c>
      <c r="Y211" s="5"/>
      <c r="Z211" s="4" t="s">
        <v>75</v>
      </c>
      <c r="AA211" s="6" t="n">
        <v>322305</v>
      </c>
      <c r="AB211" s="6" t="n">
        <v>277817</v>
      </c>
      <c r="AC211" s="6" t="n">
        <v>277817</v>
      </c>
      <c r="AD211" s="6" t="n">
        <v>277817</v>
      </c>
      <c r="AE211" s="4" t="s">
        <v>1482</v>
      </c>
      <c r="AF211" s="5" t="s">
        <v>1483</v>
      </c>
      <c r="AG211" s="4" t="s">
        <v>78</v>
      </c>
      <c r="AH211" s="4" t="s">
        <v>79</v>
      </c>
      <c r="AI211" s="5" t="s">
        <v>80</v>
      </c>
      <c r="AJ211" s="1" t="n">
        <v>1</v>
      </c>
      <c r="AK211" s="11" t="n">
        <v>1</v>
      </c>
      <c r="AL211" s="12" t="s">
        <v>81</v>
      </c>
      <c r="AM211" s="13" t="str">
        <f>IF(AL211="","",AL211&amp;" - "&amp;IFERROR(VLOOKUP(AL211,CODEBOOK_CAP!$C$2:$D$212,2,FALSE),""))</f>
        <v>0322 - ESTRUTURAS, HOSPITAIS, CLÍNICAS</v>
      </c>
      <c r="AN211" s="13" t="str">
        <f>IF(AL211="","",IFERROR(VLOOKUP(AL211,CODEBOOK_CAP!$C$2:$E$212,3,FALSE),""))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211" s="11" t="n">
        <v>1</v>
      </c>
      <c r="AP211" s="11" t="s">
        <v>1484</v>
      </c>
      <c r="AQ211" s="11" t="n">
        <v>1</v>
      </c>
      <c r="AR211" s="11" t="n">
        <v>1</v>
      </c>
      <c r="AS211" s="11" t="s">
        <v>1485</v>
      </c>
      <c r="AT211" s="11" t="n">
        <v>0</v>
      </c>
      <c r="AU211" s="11"/>
      <c r="AV211" s="11"/>
      <c r="AW211" s="11"/>
      <c r="AX211" s="7" t="s">
        <v>84</v>
      </c>
      <c r="AY211" s="7"/>
      <c r="AZ211" s="7"/>
      <c r="BA211" s="7"/>
    </row>
    <row r="212" ht="85.5" customHeight="1">
      <c r="A212" s="4" t="s">
        <v>1486</v>
      </c>
      <c r="B212" s="4" t="n">
        <v>2022</v>
      </c>
      <c r="C212" s="4" t="n">
        <v>4384</v>
      </c>
      <c r="D212" s="4" t="s">
        <v>54</v>
      </c>
      <c r="E212" s="4" t="s">
        <v>1476</v>
      </c>
      <c r="F212" s="5" t="s">
        <v>1487</v>
      </c>
      <c r="G212" s="4" t="s">
        <v>57</v>
      </c>
      <c r="H212" s="4" t="s">
        <v>1478</v>
      </c>
      <c r="I212" s="4" t="s">
        <v>1479</v>
      </c>
      <c r="J212" s="4" t="s">
        <v>1488</v>
      </c>
      <c r="K212" s="4" t="s">
        <v>549</v>
      </c>
      <c r="L212" s="5" t="s">
        <v>62</v>
      </c>
      <c r="M212" s="4" t="s">
        <v>63</v>
      </c>
      <c r="N212" s="5" t="s">
        <v>64</v>
      </c>
      <c r="O212" s="4" t="s">
        <v>65</v>
      </c>
      <c r="P212" s="5" t="s">
        <v>193</v>
      </c>
      <c r="Q212" s="4" t="s">
        <v>194</v>
      </c>
      <c r="R212" s="5" t="s">
        <v>195</v>
      </c>
      <c r="S212" s="4" t="s">
        <v>196</v>
      </c>
      <c r="T212" s="5" t="s">
        <v>429</v>
      </c>
      <c r="U212" s="4" t="s">
        <v>430</v>
      </c>
      <c r="V212" s="5" t="s">
        <v>104</v>
      </c>
      <c r="W212" s="4" t="s">
        <v>105</v>
      </c>
      <c r="X212" s="4" t="s">
        <v>106</v>
      </c>
      <c r="Y212" s="5"/>
      <c r="Z212" s="4" t="s">
        <v>75</v>
      </c>
      <c r="AA212" s="6" t="n">
        <v>322305</v>
      </c>
      <c r="AB212" s="6" t="n">
        <v>322305</v>
      </c>
      <c r="AC212" s="6" t="n">
        <v>322305</v>
      </c>
      <c r="AD212" s="6" t="n">
        <v>322305</v>
      </c>
      <c r="AE212" s="4" t="s">
        <v>444</v>
      </c>
      <c r="AF212" s="5" t="s">
        <v>445</v>
      </c>
      <c r="AG212" s="4" t="s">
        <v>78</v>
      </c>
      <c r="AH212" s="4" t="s">
        <v>79</v>
      </c>
      <c r="AI212" s="5" t="s">
        <v>80</v>
      </c>
      <c r="AJ212" s="1" t="n">
        <v>1</v>
      </c>
      <c r="AK212" s="11" t="n">
        <v>1</v>
      </c>
      <c r="AL212" s="12" t="s">
        <v>81</v>
      </c>
      <c r="AM212" s="13" t="str">
        <f>IF(AL212="","",AL212&amp;" - "&amp;IFERROR(VLOOKUP(AL212,CODEBOOK_CAP!$C$2:$D$212,2,FALSE),""))</f>
        <v>0322 - ESTRUTURAS, HOSPITAIS, CLÍNICAS</v>
      </c>
      <c r="AN212" s="13" t="str">
        <f>IF(AL212="","",IFERROR(VLOOKUP(AL212,CODEBOOK_CAP!$C$2:$E$212,3,FALSE),""))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212" s="11" t="n">
        <v>0</v>
      </c>
      <c r="AP212" s="11"/>
      <c r="AQ212" s="11" t="n">
        <v>1</v>
      </c>
      <c r="AR212" s="11" t="n">
        <v>1</v>
      </c>
      <c r="AS212" s="11" t="s">
        <v>1489</v>
      </c>
      <c r="AT212" s="11" t="n">
        <v>0</v>
      </c>
      <c r="AU212" s="11"/>
      <c r="AV212" s="11"/>
      <c r="AW212" s="11"/>
      <c r="AX212" s="7" t="s">
        <v>84</v>
      </c>
      <c r="AY212" s="7"/>
      <c r="AZ212" s="7"/>
      <c r="BA212" s="7"/>
    </row>
    <row r="213" ht="114" customHeight="1">
      <c r="A213" s="4" t="s">
        <v>1490</v>
      </c>
      <c r="B213" s="4" t="n">
        <v>2022</v>
      </c>
      <c r="C213" s="4" t="n">
        <v>4437</v>
      </c>
      <c r="D213" s="4" t="s">
        <v>54</v>
      </c>
      <c r="E213" s="4" t="s">
        <v>1476</v>
      </c>
      <c r="F213" s="5" t="s">
        <v>1491</v>
      </c>
      <c r="G213" s="4" t="s">
        <v>57</v>
      </c>
      <c r="H213" s="4" t="s">
        <v>1478</v>
      </c>
      <c r="I213" s="4" t="s">
        <v>1479</v>
      </c>
      <c r="J213" s="4" t="s">
        <v>1492</v>
      </c>
      <c r="K213" s="4" t="s">
        <v>428</v>
      </c>
      <c r="L213" s="5" t="s">
        <v>62</v>
      </c>
      <c r="M213" s="4" t="s">
        <v>63</v>
      </c>
      <c r="N213" s="5" t="s">
        <v>64</v>
      </c>
      <c r="O213" s="4" t="s">
        <v>65</v>
      </c>
      <c r="P213" s="5" t="s">
        <v>193</v>
      </c>
      <c r="Q213" s="4" t="s">
        <v>194</v>
      </c>
      <c r="R213" s="5" t="s">
        <v>195</v>
      </c>
      <c r="S213" s="4" t="s">
        <v>196</v>
      </c>
      <c r="T213" s="5" t="s">
        <v>429</v>
      </c>
      <c r="U213" s="4" t="s">
        <v>430</v>
      </c>
      <c r="V213" s="5" t="s">
        <v>104</v>
      </c>
      <c r="W213" s="4" t="s">
        <v>105</v>
      </c>
      <c r="X213" s="4" t="s">
        <v>106</v>
      </c>
      <c r="Y213" s="5"/>
      <c r="Z213" s="4" t="s">
        <v>75</v>
      </c>
      <c r="AA213" s="6" t="n">
        <v>322305</v>
      </c>
      <c r="AB213" s="6" t="n">
        <v>322305</v>
      </c>
      <c r="AC213" s="6" t="n">
        <v>322305</v>
      </c>
      <c r="AD213" s="6" t="n">
        <v>322305</v>
      </c>
      <c r="AE213" s="4" t="s">
        <v>450</v>
      </c>
      <c r="AF213" s="5"/>
      <c r="AG213" s="4" t="s">
        <v>433</v>
      </c>
      <c r="AH213" s="4" t="s">
        <v>433</v>
      </c>
      <c r="AI213" s="5"/>
      <c r="AJ213" s="1" t="n">
        <v>1</v>
      </c>
      <c r="AK213" s="11" t="n">
        <v>1</v>
      </c>
      <c r="AL213" s="12" t="s">
        <v>452</v>
      </c>
      <c r="AM213" s="13" t="str">
        <f>IF(AL213="","",AL213&amp;" - "&amp;IFERROR(VLOOKUP(AL213,CODEBOOK_CAP!$C$2:$D$212,2,FALSE),""))</f>
        <v>0332 - SAÚDE INFANTIL, GRAVIDEZ E PRÉ-NATAL</v>
      </c>
      <c r="AN213" s="13" t="str">
        <f>IF(AL213="","",IFERROR(VLOOKUP(AL213,CODEBOOK_CAP!$C$2:$E$212,3,FALSE),""))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213" s="11" t="n">
        <v>0</v>
      </c>
      <c r="AP213" s="11"/>
      <c r="AQ213" s="11" t="n">
        <v>1</v>
      </c>
      <c r="AR213" s="11" t="n">
        <v>1</v>
      </c>
      <c r="AS213" s="11" t="s">
        <v>453</v>
      </c>
      <c r="AT213" s="11" t="n">
        <v>1</v>
      </c>
      <c r="AU213" s="11" t="s">
        <v>454</v>
      </c>
      <c r="AV213" s="11"/>
      <c r="AW213" s="11"/>
      <c r="AX213" s="7" t="s">
        <v>84</v>
      </c>
      <c r="AY213" s="7"/>
      <c r="AZ213" s="7"/>
      <c r="BA213" s="7"/>
    </row>
    <row r="214" ht="85.5" customHeight="1">
      <c r="A214" s="4" t="s">
        <v>1493</v>
      </c>
      <c r="B214" s="4" t="n">
        <v>2022</v>
      </c>
      <c r="C214" s="4" t="n">
        <v>4516</v>
      </c>
      <c r="D214" s="4" t="s">
        <v>54</v>
      </c>
      <c r="E214" s="4" t="s">
        <v>1476</v>
      </c>
      <c r="F214" s="5" t="s">
        <v>1494</v>
      </c>
      <c r="G214" s="4" t="s">
        <v>57</v>
      </c>
      <c r="H214" s="4" t="s">
        <v>1478</v>
      </c>
      <c r="I214" s="4" t="s">
        <v>1479</v>
      </c>
      <c r="J214" s="4" t="s">
        <v>1495</v>
      </c>
      <c r="K214" s="4" t="s">
        <v>428</v>
      </c>
      <c r="L214" s="5" t="s">
        <v>62</v>
      </c>
      <c r="M214" s="4" t="s">
        <v>63</v>
      </c>
      <c r="N214" s="5" t="s">
        <v>64</v>
      </c>
      <c r="O214" s="4" t="s">
        <v>65</v>
      </c>
      <c r="P214" s="5" t="s">
        <v>193</v>
      </c>
      <c r="Q214" s="4" t="s">
        <v>194</v>
      </c>
      <c r="R214" s="5" t="s">
        <v>195</v>
      </c>
      <c r="S214" s="4" t="s">
        <v>196</v>
      </c>
      <c r="T214" s="5" t="s">
        <v>429</v>
      </c>
      <c r="U214" s="4" t="s">
        <v>430</v>
      </c>
      <c r="V214" s="5" t="s">
        <v>104</v>
      </c>
      <c r="W214" s="4" t="s">
        <v>105</v>
      </c>
      <c r="X214" s="4" t="s">
        <v>106</v>
      </c>
      <c r="Y214" s="5"/>
      <c r="Z214" s="4" t="s">
        <v>75</v>
      </c>
      <c r="AA214" s="6" t="n">
        <v>322305</v>
      </c>
      <c r="AB214" s="6" t="n">
        <v>322305</v>
      </c>
      <c r="AC214" s="6" t="n">
        <v>322305</v>
      </c>
      <c r="AD214" s="6" t="n">
        <v>322305</v>
      </c>
      <c r="AE214" s="4" t="s">
        <v>458</v>
      </c>
      <c r="AF214" s="5" t="s">
        <v>459</v>
      </c>
      <c r="AG214" s="4" t="s">
        <v>78</v>
      </c>
      <c r="AH214" s="4" t="s">
        <v>79</v>
      </c>
      <c r="AI214" s="5" t="s">
        <v>80</v>
      </c>
      <c r="AJ214" s="1" t="n">
        <v>1</v>
      </c>
      <c r="AK214" s="11" t="n">
        <v>1</v>
      </c>
      <c r="AL214" s="12" t="s">
        <v>81</v>
      </c>
      <c r="AM214" s="13" t="str">
        <f>IF(AL214="","",AL214&amp;" - "&amp;IFERROR(VLOOKUP(AL214,CODEBOOK_CAP!$C$2:$D$212,2,FALSE),""))</f>
        <v>0322 - ESTRUTURAS, HOSPITAIS, CLÍNICAS</v>
      </c>
      <c r="AN214" s="13" t="str">
        <f>IF(AL214="","",IFERROR(VLOOKUP(AL214,CODEBOOK_CAP!$C$2:$E$212,3,FALSE),""))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214" s="11" t="n">
        <v>0</v>
      </c>
      <c r="AP214" s="11"/>
      <c r="AQ214" s="11" t="n">
        <v>1</v>
      </c>
      <c r="AR214" s="11" t="n">
        <v>1</v>
      </c>
      <c r="AS214" s="11" t="s">
        <v>460</v>
      </c>
      <c r="AT214" s="11" t="n">
        <v>0</v>
      </c>
      <c r="AU214" s="11"/>
      <c r="AV214" s="11"/>
      <c r="AW214" s="11"/>
      <c r="AX214" s="7" t="s">
        <v>84</v>
      </c>
      <c r="AY214" s="7"/>
      <c r="AZ214" s="7"/>
      <c r="BA214" s="7"/>
    </row>
    <row r="215" ht="171" customHeight="1">
      <c r="A215" s="4" t="s">
        <v>1496</v>
      </c>
      <c r="B215" s="4" t="n">
        <v>2022</v>
      </c>
      <c r="C215" s="4" t="n">
        <v>4528</v>
      </c>
      <c r="D215" s="4" t="s">
        <v>54</v>
      </c>
      <c r="E215" s="4" t="s">
        <v>1476</v>
      </c>
      <c r="F215" s="5" t="s">
        <v>1497</v>
      </c>
      <c r="G215" s="4" t="s">
        <v>57</v>
      </c>
      <c r="H215" s="4" t="s">
        <v>1478</v>
      </c>
      <c r="I215" s="4" t="s">
        <v>1479</v>
      </c>
      <c r="J215" s="4" t="s">
        <v>1498</v>
      </c>
      <c r="K215" s="4" t="s">
        <v>1189</v>
      </c>
      <c r="L215" s="5" t="s">
        <v>122</v>
      </c>
      <c r="M215" s="4" t="s">
        <v>123</v>
      </c>
      <c r="N215" s="5" t="s">
        <v>124</v>
      </c>
      <c r="O215" s="4" t="s">
        <v>125</v>
      </c>
      <c r="P215" s="5" t="s">
        <v>126</v>
      </c>
      <c r="Q215" s="4" t="s">
        <v>127</v>
      </c>
      <c r="R215" s="5" t="s">
        <v>128</v>
      </c>
      <c r="S215" s="4" t="s">
        <v>129</v>
      </c>
      <c r="T215" s="5" t="s">
        <v>130</v>
      </c>
      <c r="U215" s="4" t="s">
        <v>131</v>
      </c>
      <c r="V215" s="5" t="s">
        <v>72</v>
      </c>
      <c r="W215" s="4" t="s">
        <v>73</v>
      </c>
      <c r="X215" s="4" t="s">
        <v>74</v>
      </c>
      <c r="Y215" s="5"/>
      <c r="Z215" s="4" t="s">
        <v>132</v>
      </c>
      <c r="AA215" s="6" t="n">
        <v>970020</v>
      </c>
      <c r="AB215" s="6" t="n">
        <v>478538</v>
      </c>
      <c r="AC215" s="6" t="n">
        <v>478538</v>
      </c>
      <c r="AD215" s="6" t="n">
        <v>478538</v>
      </c>
      <c r="AE215" s="4" t="s">
        <v>1499</v>
      </c>
      <c r="AF215" s="5" t="s">
        <v>1500</v>
      </c>
      <c r="AG215" s="4" t="s">
        <v>78</v>
      </c>
      <c r="AH215" s="4" t="s">
        <v>79</v>
      </c>
      <c r="AI215" s="5" t="s">
        <v>80</v>
      </c>
      <c r="AJ215" s="1" t="n">
        <v>0</v>
      </c>
      <c r="AK215" s="11" t="n">
        <v>0</v>
      </c>
      <c r="AL215" s="12" t="s">
        <v>135</v>
      </c>
      <c r="AM215" s="13" t="str">
        <f>IF(AL215="","",AL215&amp;" - "&amp;IFERROR(VLOOKUP(AL215,CODEBOOK_CAP!$C$2:$D$212,2,FALSE),""))</f>
        <v>1002 - CARROS, TRÂNSITO, CONSTRUÇÃO E MANUTENÇÃO DE RUAS E ESTRADAS</v>
      </c>
      <c r="AN215" s="13" t="str">
        <f>IF(AL215="","",IFERROR(VLOOKUP(AL215,CODEBOOK_CAP!$C$2:$E$212,3,FALSE),""))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215" s="11" t="n">
        <v>0</v>
      </c>
      <c r="AP215" s="11"/>
      <c r="AQ215" s="11" t="n">
        <v>0</v>
      </c>
      <c r="AR215" s="11" t="n">
        <v>0</v>
      </c>
      <c r="AS215" s="11"/>
      <c r="AT215" s="11" t="n">
        <v>0</v>
      </c>
      <c r="AU215" s="11"/>
      <c r="AV215" s="11"/>
      <c r="AW215" s="11"/>
      <c r="AX215" s="7" t="s">
        <v>84</v>
      </c>
      <c r="AY215" s="7"/>
      <c r="AZ215" s="7"/>
      <c r="BA215" s="7"/>
    </row>
    <row r="216" ht="171" customHeight="1">
      <c r="A216" s="4" t="s">
        <v>1501</v>
      </c>
      <c r="B216" s="4" t="n">
        <v>2022</v>
      </c>
      <c r="C216" s="4" t="n">
        <v>4636</v>
      </c>
      <c r="D216" s="4" t="s">
        <v>54</v>
      </c>
      <c r="E216" s="4" t="s">
        <v>1476</v>
      </c>
      <c r="F216" s="5" t="s">
        <v>1502</v>
      </c>
      <c r="G216" s="4" t="s">
        <v>139</v>
      </c>
      <c r="H216" s="4" t="s">
        <v>1478</v>
      </c>
      <c r="I216" s="4" t="s">
        <v>1479</v>
      </c>
      <c r="J216" s="4" t="s">
        <v>1503</v>
      </c>
      <c r="K216" s="4" t="s">
        <v>115</v>
      </c>
      <c r="L216" s="5"/>
      <c r="M216" s="4"/>
      <c r="N216" s="5"/>
      <c r="O216" s="4"/>
      <c r="P216" s="5"/>
      <c r="Q216" s="4"/>
      <c r="R216" s="5"/>
      <c r="S216" s="4"/>
      <c r="T216" s="5"/>
      <c r="U216" s="4"/>
      <c r="V216" s="5"/>
      <c r="W216" s="4"/>
      <c r="X216" s="4"/>
      <c r="Y216" s="5"/>
      <c r="Z216" s="4" t="s">
        <v>132</v>
      </c>
      <c r="AA216" s="6" t="n">
        <v>70000</v>
      </c>
      <c r="AB216" s="6"/>
      <c r="AC216" s="6"/>
      <c r="AD216" s="6"/>
      <c r="AE216" s="4"/>
      <c r="AF216" s="5"/>
      <c r="AG216" s="4" t="s">
        <v>78</v>
      </c>
      <c r="AH216" s="4" t="s">
        <v>79</v>
      </c>
      <c r="AI216" s="5" t="s">
        <v>80</v>
      </c>
      <c r="AJ216" s="1" t="n">
        <v>0</v>
      </c>
      <c r="AK216" s="11" t="n">
        <v>0</v>
      </c>
      <c r="AL216" s="12" t="s">
        <v>135</v>
      </c>
      <c r="AM216" s="13" t="str">
        <f>IF(AL216="","",AL216&amp;" - "&amp;IFERROR(VLOOKUP(AL216,CODEBOOK_CAP!$C$2:$D$212,2,FALSE),""))</f>
        <v>1002 - CARROS, TRÂNSITO, CONSTRUÇÃO E MANUTENÇÃO DE RUAS E ESTRADAS</v>
      </c>
      <c r="AN216" s="13" t="str">
        <f>IF(AL216="","",IFERROR(VLOOKUP(AL216,CODEBOOK_CAP!$C$2:$E$212,3,FALSE),""))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216" s="11" t="n">
        <v>1</v>
      </c>
      <c r="AP216" s="11" t="s">
        <v>1504</v>
      </c>
      <c r="AQ216" s="11" t="n">
        <v>1</v>
      </c>
      <c r="AR216" s="11" t="n">
        <v>1</v>
      </c>
      <c r="AS216" s="11" t="s">
        <v>1504</v>
      </c>
      <c r="AT216" s="11" t="n">
        <v>0</v>
      </c>
      <c r="AU216" s="11"/>
      <c r="AV216" s="11"/>
      <c r="AW216" s="11"/>
      <c r="AX216" s="7" t="s">
        <v>84</v>
      </c>
      <c r="AY216" s="7"/>
      <c r="AZ216" s="7"/>
      <c r="BA216" s="7"/>
    </row>
    <row r="217" ht="171" customHeight="1">
      <c r="A217" s="4" t="s">
        <v>1505</v>
      </c>
      <c r="B217" s="4" t="n">
        <v>2022</v>
      </c>
      <c r="C217" s="4" t="n">
        <v>4685</v>
      </c>
      <c r="D217" s="4" t="s">
        <v>54</v>
      </c>
      <c r="E217" s="4" t="s">
        <v>1476</v>
      </c>
      <c r="F217" s="5" t="s">
        <v>1506</v>
      </c>
      <c r="G217" s="4" t="s">
        <v>139</v>
      </c>
      <c r="H217" s="4" t="s">
        <v>1478</v>
      </c>
      <c r="I217" s="4" t="s">
        <v>1479</v>
      </c>
      <c r="J217" s="4" t="s">
        <v>1507</v>
      </c>
      <c r="K217" s="4" t="s">
        <v>115</v>
      </c>
      <c r="L217" s="5"/>
      <c r="M217" s="4"/>
      <c r="N217" s="5"/>
      <c r="O217" s="4"/>
      <c r="P217" s="5"/>
      <c r="Q217" s="4"/>
      <c r="R217" s="5"/>
      <c r="S217" s="4"/>
      <c r="T217" s="5"/>
      <c r="U217" s="4"/>
      <c r="V217" s="5"/>
      <c r="W217" s="4"/>
      <c r="X217" s="4"/>
      <c r="Y217" s="5"/>
      <c r="Z217" s="4" t="s">
        <v>139</v>
      </c>
      <c r="AA217" s="6" t="n">
        <v>315000</v>
      </c>
      <c r="AB217" s="6"/>
      <c r="AC217" s="6"/>
      <c r="AD217" s="6"/>
      <c r="AE217" s="4" t="s">
        <v>115</v>
      </c>
      <c r="AF217" s="5" t="s">
        <v>115</v>
      </c>
      <c r="AG217" s="4" t="s">
        <v>115</v>
      </c>
      <c r="AH217" s="4" t="s">
        <v>115</v>
      </c>
      <c r="AI217" s="5" t="s">
        <v>115</v>
      </c>
      <c r="AJ217" s="1" t="n">
        <v>0</v>
      </c>
      <c r="AK217" s="11" t="n">
        <v>0</v>
      </c>
      <c r="AL217" s="12" t="s">
        <v>135</v>
      </c>
      <c r="AM217" s="13" t="str">
        <f>IF(AL217="","",AL217&amp;" - "&amp;IFERROR(VLOOKUP(AL217,CODEBOOK_CAP!$C$2:$D$212,2,FALSE),""))</f>
        <v>1002 - CARROS, TRÂNSITO, CONSTRUÇÃO E MANUTENÇÃO DE RUAS E ESTRADAS</v>
      </c>
      <c r="AN217" s="13" t="str">
        <f>IF(AL217="","",IFERROR(VLOOKUP(AL217,CODEBOOK_CAP!$C$2:$E$212,3,FALSE),""))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217" s="11" t="n">
        <v>1</v>
      </c>
      <c r="AP217" s="11" t="s">
        <v>1508</v>
      </c>
      <c r="AQ217" s="11" t="n">
        <v>1</v>
      </c>
      <c r="AR217" s="11" t="n">
        <v>1</v>
      </c>
      <c r="AS217" s="11" t="s">
        <v>1508</v>
      </c>
      <c r="AT217" s="11" t="n">
        <v>0</v>
      </c>
      <c r="AU217" s="11"/>
      <c r="AV217" s="11"/>
      <c r="AW217" s="11"/>
      <c r="AX217" s="7" t="s">
        <v>84</v>
      </c>
      <c r="AY217" s="7"/>
      <c r="AZ217" s="7"/>
      <c r="BA217" s="7"/>
    </row>
    <row r="218" ht="171" customHeight="1">
      <c r="A218" s="4" t="s">
        <v>1509</v>
      </c>
      <c r="B218" s="4" t="n">
        <v>2022</v>
      </c>
      <c r="C218" s="4" t="n">
        <v>4702</v>
      </c>
      <c r="D218" s="4" t="s">
        <v>54</v>
      </c>
      <c r="E218" s="4" t="s">
        <v>1476</v>
      </c>
      <c r="F218" s="5" t="s">
        <v>1510</v>
      </c>
      <c r="G218" s="4" t="s">
        <v>139</v>
      </c>
      <c r="H218" s="4" t="s">
        <v>1478</v>
      </c>
      <c r="I218" s="4" t="s">
        <v>1479</v>
      </c>
      <c r="J218" s="4" t="s">
        <v>1511</v>
      </c>
      <c r="K218" s="4" t="s">
        <v>115</v>
      </c>
      <c r="L218" s="5"/>
      <c r="M218" s="4"/>
      <c r="N218" s="5"/>
      <c r="O218" s="4"/>
      <c r="P218" s="5"/>
      <c r="Q218" s="4"/>
      <c r="R218" s="5"/>
      <c r="S218" s="4"/>
      <c r="T218" s="5"/>
      <c r="U218" s="4"/>
      <c r="V218" s="5"/>
      <c r="W218" s="4"/>
      <c r="X218" s="4"/>
      <c r="Y218" s="5"/>
      <c r="Z218" s="4" t="s">
        <v>139</v>
      </c>
      <c r="AA218" s="6" t="n">
        <v>350000</v>
      </c>
      <c r="AB218" s="6"/>
      <c r="AC218" s="6"/>
      <c r="AD218" s="6"/>
      <c r="AE218" s="4" t="s">
        <v>115</v>
      </c>
      <c r="AF218" s="5" t="s">
        <v>115</v>
      </c>
      <c r="AG218" s="4" t="s">
        <v>115</v>
      </c>
      <c r="AH218" s="4" t="s">
        <v>115</v>
      </c>
      <c r="AI218" s="5" t="s">
        <v>115</v>
      </c>
      <c r="AJ218" s="1" t="n">
        <v>0</v>
      </c>
      <c r="AK218" s="11" t="n">
        <v>0</v>
      </c>
      <c r="AL218" s="12" t="s">
        <v>135</v>
      </c>
      <c r="AM218" s="13" t="str">
        <f>IF(AL218="","",AL218&amp;" - "&amp;IFERROR(VLOOKUP(AL218,CODEBOOK_CAP!$C$2:$D$212,2,FALSE),""))</f>
        <v>1002 - CARROS, TRÂNSITO, CONSTRUÇÃO E MANUTENÇÃO DE RUAS E ESTRADAS</v>
      </c>
      <c r="AN218" s="13" t="str">
        <f>IF(AL218="","",IFERROR(VLOOKUP(AL218,CODEBOOK_CAP!$C$2:$E$212,3,FALSE),""))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218" s="11" t="n">
        <v>1</v>
      </c>
      <c r="AP218" s="11" t="s">
        <v>1512</v>
      </c>
      <c r="AQ218" s="11" t="n">
        <v>1</v>
      </c>
      <c r="AR218" s="11" t="n">
        <v>1</v>
      </c>
      <c r="AS218" s="11" t="s">
        <v>1512</v>
      </c>
      <c r="AT218" s="11" t="n">
        <v>0</v>
      </c>
      <c r="AU218" s="11"/>
      <c r="AV218" s="11"/>
      <c r="AW218" s="11"/>
      <c r="AX218" s="7" t="s">
        <v>84</v>
      </c>
      <c r="AY218" s="7"/>
      <c r="AZ218" s="7"/>
      <c r="BA218" s="7"/>
    </row>
    <row r="219" ht="171" customHeight="1">
      <c r="A219" s="4" t="s">
        <v>1513</v>
      </c>
      <c r="B219" s="4" t="n">
        <v>2022</v>
      </c>
      <c r="C219" s="4" t="n">
        <v>4722</v>
      </c>
      <c r="D219" s="4" t="s">
        <v>54</v>
      </c>
      <c r="E219" s="4" t="s">
        <v>1476</v>
      </c>
      <c r="F219" s="5" t="s">
        <v>1514</v>
      </c>
      <c r="G219" s="4" t="s">
        <v>139</v>
      </c>
      <c r="H219" s="4" t="s">
        <v>1478</v>
      </c>
      <c r="I219" s="4" t="s">
        <v>1479</v>
      </c>
      <c r="J219" s="4" t="s">
        <v>1515</v>
      </c>
      <c r="K219" s="4" t="s">
        <v>115</v>
      </c>
      <c r="L219" s="5"/>
      <c r="M219" s="4"/>
      <c r="N219" s="5"/>
      <c r="O219" s="4"/>
      <c r="P219" s="5"/>
      <c r="Q219" s="4"/>
      <c r="R219" s="5"/>
      <c r="S219" s="4"/>
      <c r="T219" s="5"/>
      <c r="U219" s="4"/>
      <c r="V219" s="5"/>
      <c r="W219" s="4"/>
      <c r="X219" s="4"/>
      <c r="Y219" s="5"/>
      <c r="Z219" s="4" t="s">
        <v>139</v>
      </c>
      <c r="AA219" s="6" t="n">
        <v>100000</v>
      </c>
      <c r="AB219" s="6"/>
      <c r="AC219" s="6"/>
      <c r="AD219" s="6"/>
      <c r="AE219" s="4" t="s">
        <v>115</v>
      </c>
      <c r="AF219" s="5" t="s">
        <v>115</v>
      </c>
      <c r="AG219" s="4" t="s">
        <v>115</v>
      </c>
      <c r="AH219" s="4" t="s">
        <v>115</v>
      </c>
      <c r="AI219" s="5" t="s">
        <v>115</v>
      </c>
      <c r="AJ219" s="1" t="n">
        <v>0</v>
      </c>
      <c r="AK219" s="11" t="n">
        <v>0</v>
      </c>
      <c r="AL219" s="12" t="s">
        <v>135</v>
      </c>
      <c r="AM219" s="13" t="str">
        <f>IF(AL219="","",AL219&amp;" - "&amp;IFERROR(VLOOKUP(AL219,CODEBOOK_CAP!$C$2:$D$212,2,FALSE),""))</f>
        <v>1002 - CARROS, TRÂNSITO, CONSTRUÇÃO E MANUTENÇÃO DE RUAS E ESTRADAS</v>
      </c>
      <c r="AN219" s="13" t="str">
        <f>IF(AL219="","",IFERROR(VLOOKUP(AL219,CODEBOOK_CAP!$C$2:$E$212,3,FALSE),""))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219" s="11" t="n">
        <v>1</v>
      </c>
      <c r="AP219" s="11" t="s">
        <v>1516</v>
      </c>
      <c r="AQ219" s="11" t="n">
        <v>1</v>
      </c>
      <c r="AR219" s="11" t="n">
        <v>1</v>
      </c>
      <c r="AS219" s="11" t="s">
        <v>1516</v>
      </c>
      <c r="AT219" s="11" t="n">
        <v>0</v>
      </c>
      <c r="AU219" s="11"/>
      <c r="AV219" s="11"/>
      <c r="AW219" s="11"/>
      <c r="AX219" s="7" t="s">
        <v>84</v>
      </c>
      <c r="AY219" s="7"/>
      <c r="AZ219" s="7"/>
      <c r="BA219" s="7"/>
    </row>
    <row r="220">
      <c r="A220" s="14" t="s">
        <v>1517</v>
      </c>
      <c r="B220" s="14" t="n">
        <v>2022</v>
      </c>
      <c r="C220" s="14" t="n">
        <v>4766</v>
      </c>
      <c r="D220" s="14" t="s">
        <v>54</v>
      </c>
      <c r="E220" s="14" t="s">
        <v>1476</v>
      </c>
      <c r="F220" s="15" t="s">
        <v>1518</v>
      </c>
      <c r="G220" s="14" t="s">
        <v>139</v>
      </c>
      <c r="H220" s="14" t="s">
        <v>1478</v>
      </c>
      <c r="I220" s="14" t="s">
        <v>1479</v>
      </c>
      <c r="J220" s="14" t="s">
        <v>115</v>
      </c>
      <c r="K220" s="14" t="s">
        <v>115</v>
      </c>
      <c r="L220" s="15"/>
      <c r="M220" s="14"/>
      <c r="N220" s="15"/>
      <c r="O220" s="14"/>
      <c r="P220" s="15"/>
      <c r="Q220" s="14"/>
      <c r="R220" s="15"/>
      <c r="S220" s="14"/>
      <c r="T220" s="15"/>
      <c r="U220" s="14"/>
      <c r="V220" s="15"/>
      <c r="W220" s="14"/>
      <c r="X220" s="14"/>
      <c r="Y220" s="15"/>
      <c r="Z220" s="14" t="s">
        <v>139</v>
      </c>
      <c r="AA220" s="16" t="n">
        <v>55020</v>
      </c>
      <c r="AB220" s="16"/>
      <c r="AC220" s="16"/>
      <c r="AD220" s="16"/>
      <c r="AE220" s="14" t="s">
        <v>115</v>
      </c>
      <c r="AF220" s="15" t="s">
        <v>115</v>
      </c>
      <c r="AG220" s="14" t="s">
        <v>115</v>
      </c>
      <c r="AH220" s="14" t="s">
        <v>115</v>
      </c>
      <c r="AI220" s="15" t="s">
        <v>115</v>
      </c>
      <c r="AJ220" s="17"/>
      <c r="AK220" s="17"/>
      <c r="AL220" s="18"/>
      <c r="AM220" s="17" t="str">
        <f>IF(AL220="","",AL220&amp;" - "&amp;IFERROR(VLOOKUP(AL220,CODEBOOK_CAP!$C$2:$D$212,2,FALSE),""))</f>
      </c>
      <c r="AN220" s="17" t="str">
        <f>IF(AL220="","",IFERROR(VLOOKUP(AL220,CODEBOOK_CAP!$C$2:$E$212,3,FALSE),""))</f>
      </c>
      <c r="AO220" s="17"/>
      <c r="AP220" s="17"/>
      <c r="AQ220" s="17"/>
      <c r="AR220" s="17"/>
      <c r="AS220" s="17"/>
      <c r="AT220" s="17"/>
      <c r="AU220" s="17"/>
      <c r="AV220" s="17"/>
      <c r="AW220" s="17"/>
      <c r="AX220" s="14" t="s">
        <v>84</v>
      </c>
      <c r="AY220" s="14"/>
      <c r="AZ220" s="14"/>
      <c r="BA220" s="14"/>
    </row>
    <row r="221" ht="85.5" customHeight="1">
      <c r="A221" s="4" t="s">
        <v>1519</v>
      </c>
      <c r="B221" s="4" t="n">
        <v>2022</v>
      </c>
      <c r="C221" s="4" t="n">
        <v>4555</v>
      </c>
      <c r="D221" s="4" t="s">
        <v>54</v>
      </c>
      <c r="E221" s="4" t="s">
        <v>1520</v>
      </c>
      <c r="F221" s="5" t="s">
        <v>1521</v>
      </c>
      <c r="G221" s="4" t="s">
        <v>57</v>
      </c>
      <c r="H221" s="4" t="s">
        <v>1522</v>
      </c>
      <c r="I221" s="4" t="s">
        <v>281</v>
      </c>
      <c r="J221" s="4" t="s">
        <v>1523</v>
      </c>
      <c r="K221" s="4" t="s">
        <v>428</v>
      </c>
      <c r="L221" s="5" t="s">
        <v>62</v>
      </c>
      <c r="M221" s="4" t="s">
        <v>63</v>
      </c>
      <c r="N221" s="5" t="s">
        <v>64</v>
      </c>
      <c r="O221" s="4" t="s">
        <v>65</v>
      </c>
      <c r="P221" s="5" t="s">
        <v>193</v>
      </c>
      <c r="Q221" s="4" t="s">
        <v>194</v>
      </c>
      <c r="R221" s="5" t="s">
        <v>195</v>
      </c>
      <c r="S221" s="4" t="s">
        <v>196</v>
      </c>
      <c r="T221" s="5" t="s">
        <v>429</v>
      </c>
      <c r="U221" s="4" t="s">
        <v>430</v>
      </c>
      <c r="V221" s="5" t="s">
        <v>104</v>
      </c>
      <c r="W221" s="4" t="s">
        <v>105</v>
      </c>
      <c r="X221" s="4" t="s">
        <v>106</v>
      </c>
      <c r="Y221" s="5"/>
      <c r="Z221" s="4" t="s">
        <v>75</v>
      </c>
      <c r="AA221" s="6" t="n">
        <v>200000</v>
      </c>
      <c r="AB221" s="6" t="n">
        <v>0</v>
      </c>
      <c r="AC221" s="6" t="n">
        <v>0</v>
      </c>
      <c r="AD221" s="6" t="n">
        <v>0</v>
      </c>
      <c r="AE221" s="4" t="s">
        <v>458</v>
      </c>
      <c r="AF221" s="5" t="s">
        <v>459</v>
      </c>
      <c r="AG221" s="4" t="s">
        <v>115</v>
      </c>
      <c r="AH221" s="4" t="s">
        <v>115</v>
      </c>
      <c r="AI221" s="5" t="s">
        <v>115</v>
      </c>
      <c r="AJ221" s="1" t="n">
        <v>1</v>
      </c>
      <c r="AK221" s="11" t="n">
        <v>1</v>
      </c>
      <c r="AL221" s="12" t="s">
        <v>81</v>
      </c>
      <c r="AM221" s="13" t="str">
        <f>IF(AL221="","",AL221&amp;" - "&amp;IFERROR(VLOOKUP(AL221,CODEBOOK_CAP!$C$2:$D$212,2,FALSE),""))</f>
        <v>0322 - ESTRUTURAS, HOSPITAIS, CLÍNICAS</v>
      </c>
      <c r="AN221" s="13" t="str">
        <f>IF(AL221="","",IFERROR(VLOOKUP(AL221,CODEBOOK_CAP!$C$2:$E$212,3,FALSE),""))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221" s="11" t="n">
        <v>0</v>
      </c>
      <c r="AP221" s="11"/>
      <c r="AQ221" s="11" t="n">
        <v>1</v>
      </c>
      <c r="AR221" s="11" t="n">
        <v>1</v>
      </c>
      <c r="AS221" s="11" t="s">
        <v>460</v>
      </c>
      <c r="AT221" s="11" t="n">
        <v>0</v>
      </c>
      <c r="AU221" s="11"/>
      <c r="AV221" s="11"/>
      <c r="AW221" s="11"/>
      <c r="AX221" s="7" t="s">
        <v>84</v>
      </c>
      <c r="AY221" s="7"/>
      <c r="AZ221" s="7"/>
      <c r="BA221" s="7"/>
    </row>
    <row r="222" ht="85.5" customHeight="1">
      <c r="A222" s="4" t="s">
        <v>1524</v>
      </c>
      <c r="B222" s="4" t="n">
        <v>2022</v>
      </c>
      <c r="C222" s="4" t="n">
        <v>4637</v>
      </c>
      <c r="D222" s="4" t="s">
        <v>54</v>
      </c>
      <c r="E222" s="4" t="s">
        <v>1520</v>
      </c>
      <c r="F222" s="5" t="s">
        <v>1525</v>
      </c>
      <c r="G222" s="4" t="s">
        <v>57</v>
      </c>
      <c r="H222" s="4" t="s">
        <v>1522</v>
      </c>
      <c r="I222" s="4" t="s">
        <v>281</v>
      </c>
      <c r="J222" s="4" t="s">
        <v>1526</v>
      </c>
      <c r="K222" s="4" t="s">
        <v>428</v>
      </c>
      <c r="L222" s="5" t="s">
        <v>62</v>
      </c>
      <c r="M222" s="4" t="s">
        <v>63</v>
      </c>
      <c r="N222" s="5" t="s">
        <v>64</v>
      </c>
      <c r="O222" s="4" t="s">
        <v>65</v>
      </c>
      <c r="P222" s="5" t="s">
        <v>193</v>
      </c>
      <c r="Q222" s="4" t="s">
        <v>194</v>
      </c>
      <c r="R222" s="5" t="s">
        <v>195</v>
      </c>
      <c r="S222" s="4" t="s">
        <v>196</v>
      </c>
      <c r="T222" s="5" t="s">
        <v>429</v>
      </c>
      <c r="U222" s="4" t="s">
        <v>430</v>
      </c>
      <c r="V222" s="5" t="s">
        <v>104</v>
      </c>
      <c r="W222" s="4" t="s">
        <v>105</v>
      </c>
      <c r="X222" s="4" t="s">
        <v>106</v>
      </c>
      <c r="Y222" s="5"/>
      <c r="Z222" s="4" t="s">
        <v>75</v>
      </c>
      <c r="AA222" s="6" t="n">
        <v>150000</v>
      </c>
      <c r="AB222" s="6" t="n">
        <v>150000</v>
      </c>
      <c r="AC222" s="6" t="n">
        <v>150000</v>
      </c>
      <c r="AD222" s="6" t="n">
        <v>150000</v>
      </c>
      <c r="AE222" s="4" t="s">
        <v>1527</v>
      </c>
      <c r="AF222" s="5" t="s">
        <v>1528</v>
      </c>
      <c r="AG222" s="4" t="s">
        <v>433</v>
      </c>
      <c r="AH222" s="4" t="s">
        <v>433</v>
      </c>
      <c r="AI222" s="5"/>
      <c r="AJ222" s="1" t="n">
        <v>1</v>
      </c>
      <c r="AK222" s="11" t="n">
        <v>1</v>
      </c>
      <c r="AL222" s="12" t="s">
        <v>81</v>
      </c>
      <c r="AM222" s="13" t="str">
        <f>IF(AL222="","",AL222&amp;" - "&amp;IFERROR(VLOOKUP(AL222,CODEBOOK_CAP!$C$2:$D$212,2,FALSE),""))</f>
        <v>0322 - ESTRUTURAS, HOSPITAIS, CLÍNICAS</v>
      </c>
      <c r="AN222" s="13" t="str">
        <f>IF(AL222="","",IFERROR(VLOOKUP(AL222,CODEBOOK_CAP!$C$2:$E$212,3,FALSE),""))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222" s="11" t="n">
        <v>0</v>
      </c>
      <c r="AP222" s="11"/>
      <c r="AQ222" s="11" t="n">
        <v>1</v>
      </c>
      <c r="AR222" s="11" t="n">
        <v>1</v>
      </c>
      <c r="AS222" s="11" t="s">
        <v>460</v>
      </c>
      <c r="AT222" s="11" t="n">
        <v>0</v>
      </c>
      <c r="AU222" s="11"/>
      <c r="AV222" s="11"/>
      <c r="AW222" s="11"/>
      <c r="AX222" s="7" t="s">
        <v>84</v>
      </c>
      <c r="AY222" s="7"/>
      <c r="AZ222" s="7"/>
      <c r="BA222" s="7"/>
    </row>
    <row r="223" ht="85.5" customHeight="1">
      <c r="A223" s="4" t="s">
        <v>1529</v>
      </c>
      <c r="B223" s="4" t="n">
        <v>2022</v>
      </c>
      <c r="C223" s="4" t="n">
        <v>4638</v>
      </c>
      <c r="D223" s="4" t="s">
        <v>54</v>
      </c>
      <c r="E223" s="4" t="s">
        <v>1520</v>
      </c>
      <c r="F223" s="5" t="s">
        <v>1530</v>
      </c>
      <c r="G223" s="4" t="s">
        <v>57</v>
      </c>
      <c r="H223" s="4" t="s">
        <v>1522</v>
      </c>
      <c r="I223" s="4" t="s">
        <v>281</v>
      </c>
      <c r="J223" s="4" t="s">
        <v>1531</v>
      </c>
      <c r="K223" s="4" t="s">
        <v>975</v>
      </c>
      <c r="L223" s="5" t="s">
        <v>62</v>
      </c>
      <c r="M223" s="4" t="s">
        <v>63</v>
      </c>
      <c r="N223" s="5" t="s">
        <v>64</v>
      </c>
      <c r="O223" s="4" t="s">
        <v>65</v>
      </c>
      <c r="P223" s="5" t="s">
        <v>193</v>
      </c>
      <c r="Q223" s="4" t="s">
        <v>194</v>
      </c>
      <c r="R223" s="5" t="s">
        <v>195</v>
      </c>
      <c r="S223" s="4" t="s">
        <v>196</v>
      </c>
      <c r="T223" s="5" t="s">
        <v>429</v>
      </c>
      <c r="U223" s="4" t="s">
        <v>430</v>
      </c>
      <c r="V223" s="5" t="s">
        <v>757</v>
      </c>
      <c r="W223" s="4" t="s">
        <v>105</v>
      </c>
      <c r="X223" s="4" t="s">
        <v>106</v>
      </c>
      <c r="Y223" s="5"/>
      <c r="Z223" s="4" t="s">
        <v>75</v>
      </c>
      <c r="AA223" s="6" t="n">
        <v>150000</v>
      </c>
      <c r="AB223" s="6" t="n">
        <v>150000</v>
      </c>
      <c r="AC223" s="6" t="n">
        <v>0</v>
      </c>
      <c r="AD223" s="6" t="n">
        <v>150000</v>
      </c>
      <c r="AE223" s="4" t="s">
        <v>976</v>
      </c>
      <c r="AF223" s="5" t="s">
        <v>759</v>
      </c>
      <c r="AG223" s="4" t="s">
        <v>115</v>
      </c>
      <c r="AH223" s="4" t="s">
        <v>115</v>
      </c>
      <c r="AI223" s="5" t="s">
        <v>115</v>
      </c>
      <c r="AJ223" s="1" t="n">
        <v>1</v>
      </c>
      <c r="AK223" s="11" t="n">
        <v>1</v>
      </c>
      <c r="AL223" s="12" t="s">
        <v>81</v>
      </c>
      <c r="AM223" s="13" t="str">
        <f>IF(AL223="","",AL223&amp;" - "&amp;IFERROR(VLOOKUP(AL223,CODEBOOK_CAP!$C$2:$D$212,2,FALSE),""))</f>
        <v>0322 - ESTRUTURAS, HOSPITAIS, CLÍNICAS</v>
      </c>
      <c r="AN223" s="13" t="str">
        <f>IF(AL223="","",IFERROR(VLOOKUP(AL223,CODEBOOK_CAP!$C$2:$E$212,3,FALSE),""))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223" s="11" t="n">
        <v>0</v>
      </c>
      <c r="AP223" s="11"/>
      <c r="AQ223" s="11" t="n">
        <v>1</v>
      </c>
      <c r="AR223" s="11" t="n">
        <v>1</v>
      </c>
      <c r="AS223" s="11" t="s">
        <v>760</v>
      </c>
      <c r="AT223" s="11" t="n">
        <v>0</v>
      </c>
      <c r="AU223" s="11"/>
      <c r="AV223" s="11"/>
      <c r="AW223" s="11"/>
      <c r="AX223" s="7" t="s">
        <v>84</v>
      </c>
      <c r="AY223" s="7"/>
      <c r="AZ223" s="7"/>
      <c r="BA223" s="7"/>
    </row>
    <row r="224" ht="85.5" customHeight="1">
      <c r="A224" s="4" t="s">
        <v>1532</v>
      </c>
      <c r="B224" s="4" t="n">
        <v>2022</v>
      </c>
      <c r="C224" s="4" t="n">
        <v>4662</v>
      </c>
      <c r="D224" s="4" t="s">
        <v>54</v>
      </c>
      <c r="E224" s="4" t="s">
        <v>1520</v>
      </c>
      <c r="F224" s="5" t="s">
        <v>1533</v>
      </c>
      <c r="G224" s="4" t="s">
        <v>57</v>
      </c>
      <c r="H224" s="4" t="s">
        <v>1522</v>
      </c>
      <c r="I224" s="4" t="s">
        <v>281</v>
      </c>
      <c r="J224" s="4" t="s">
        <v>1534</v>
      </c>
      <c r="K224" s="4" t="s">
        <v>428</v>
      </c>
      <c r="L224" s="5" t="s">
        <v>62</v>
      </c>
      <c r="M224" s="4" t="s">
        <v>63</v>
      </c>
      <c r="N224" s="5" t="s">
        <v>64</v>
      </c>
      <c r="O224" s="4" t="s">
        <v>65</v>
      </c>
      <c r="P224" s="5" t="s">
        <v>193</v>
      </c>
      <c r="Q224" s="4" t="s">
        <v>194</v>
      </c>
      <c r="R224" s="5" t="s">
        <v>195</v>
      </c>
      <c r="S224" s="4" t="s">
        <v>196</v>
      </c>
      <c r="T224" s="5" t="s">
        <v>429</v>
      </c>
      <c r="U224" s="4" t="s">
        <v>430</v>
      </c>
      <c r="V224" s="5" t="s">
        <v>104</v>
      </c>
      <c r="W224" s="4" t="s">
        <v>105</v>
      </c>
      <c r="X224" s="4" t="s">
        <v>106</v>
      </c>
      <c r="Y224" s="5"/>
      <c r="Z224" s="4" t="s">
        <v>75</v>
      </c>
      <c r="AA224" s="6" t="n">
        <v>150000</v>
      </c>
      <c r="AB224" s="6" t="n">
        <v>150000</v>
      </c>
      <c r="AC224" s="6" t="n">
        <v>150000</v>
      </c>
      <c r="AD224" s="6" t="n">
        <v>150000</v>
      </c>
      <c r="AE224" s="4" t="s">
        <v>464</v>
      </c>
      <c r="AF224" s="5" t="s">
        <v>465</v>
      </c>
      <c r="AG224" s="4" t="s">
        <v>433</v>
      </c>
      <c r="AH224" s="4" t="s">
        <v>433</v>
      </c>
      <c r="AI224" s="5"/>
      <c r="AJ224" s="1" t="n">
        <v>1</v>
      </c>
      <c r="AK224" s="11" t="n">
        <v>1</v>
      </c>
      <c r="AL224" s="12" t="s">
        <v>81</v>
      </c>
      <c r="AM224" s="13" t="str">
        <f>IF(AL224="","",AL224&amp;" - "&amp;IFERROR(VLOOKUP(AL224,CODEBOOK_CAP!$C$2:$D$212,2,FALSE),""))</f>
        <v>0322 - ESTRUTURAS, HOSPITAIS, CLÍNICAS</v>
      </c>
      <c r="AN224" s="13" t="str">
        <f>IF(AL224="","",IFERROR(VLOOKUP(AL224,CODEBOOK_CAP!$C$2:$E$212,3,FALSE),""))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224" s="11" t="n">
        <v>0</v>
      </c>
      <c r="AP224" s="11"/>
      <c r="AQ224" s="11" t="n">
        <v>1</v>
      </c>
      <c r="AR224" s="11" t="n">
        <v>1</v>
      </c>
      <c r="AS224" s="11" t="s">
        <v>1195</v>
      </c>
      <c r="AT224" s="11" t="n">
        <v>0</v>
      </c>
      <c r="AU224" s="11"/>
      <c r="AV224" s="11"/>
      <c r="AW224" s="11"/>
      <c r="AX224" s="7" t="s">
        <v>84</v>
      </c>
      <c r="AY224" s="7"/>
      <c r="AZ224" s="7"/>
      <c r="BA224" s="7"/>
    </row>
    <row r="225" ht="85.5" customHeight="1">
      <c r="A225" s="4" t="s">
        <v>1535</v>
      </c>
      <c r="B225" s="4" t="n">
        <v>2022</v>
      </c>
      <c r="C225" s="4" t="n">
        <v>4665</v>
      </c>
      <c r="D225" s="4" t="s">
        <v>54</v>
      </c>
      <c r="E225" s="4" t="s">
        <v>1520</v>
      </c>
      <c r="F225" s="5" t="s">
        <v>1536</v>
      </c>
      <c r="G225" s="4" t="s">
        <v>57</v>
      </c>
      <c r="H225" s="4" t="s">
        <v>1522</v>
      </c>
      <c r="I225" s="4" t="s">
        <v>281</v>
      </c>
      <c r="J225" s="4" t="s">
        <v>1537</v>
      </c>
      <c r="K225" s="4" t="s">
        <v>428</v>
      </c>
      <c r="L225" s="5" t="s">
        <v>62</v>
      </c>
      <c r="M225" s="4" t="s">
        <v>63</v>
      </c>
      <c r="N225" s="5" t="s">
        <v>64</v>
      </c>
      <c r="O225" s="4" t="s">
        <v>65</v>
      </c>
      <c r="P225" s="5" t="s">
        <v>193</v>
      </c>
      <c r="Q225" s="4" t="s">
        <v>194</v>
      </c>
      <c r="R225" s="5" t="s">
        <v>195</v>
      </c>
      <c r="S225" s="4" t="s">
        <v>196</v>
      </c>
      <c r="T225" s="5" t="s">
        <v>429</v>
      </c>
      <c r="U225" s="4" t="s">
        <v>430</v>
      </c>
      <c r="V225" s="5" t="s">
        <v>104</v>
      </c>
      <c r="W225" s="4" t="s">
        <v>105</v>
      </c>
      <c r="X225" s="4" t="s">
        <v>106</v>
      </c>
      <c r="Y225" s="5"/>
      <c r="Z225" s="4" t="s">
        <v>75</v>
      </c>
      <c r="AA225" s="6" t="n">
        <v>150000</v>
      </c>
      <c r="AB225" s="6" t="n">
        <v>150000</v>
      </c>
      <c r="AC225" s="6" t="n">
        <v>150000</v>
      </c>
      <c r="AD225" s="6" t="n">
        <v>150000</v>
      </c>
      <c r="AE225" s="4" t="s">
        <v>438</v>
      </c>
      <c r="AF225" s="5" t="s">
        <v>439</v>
      </c>
      <c r="AG225" s="4" t="s">
        <v>433</v>
      </c>
      <c r="AH225" s="4" t="s">
        <v>433</v>
      </c>
      <c r="AI225" s="5"/>
      <c r="AJ225" s="1" t="n">
        <v>1</v>
      </c>
      <c r="AK225" s="11" t="n">
        <v>1</v>
      </c>
      <c r="AL225" s="12" t="s">
        <v>81</v>
      </c>
      <c r="AM225" s="13" t="str">
        <f>IF(AL225="","",AL225&amp;" - "&amp;IFERROR(VLOOKUP(AL225,CODEBOOK_CAP!$C$2:$D$212,2,FALSE),""))</f>
        <v>0322 - ESTRUTURAS, HOSPITAIS, CLÍNICAS</v>
      </c>
      <c r="AN225" s="13" t="str">
        <f>IF(AL225="","",IFERROR(VLOOKUP(AL225,CODEBOOK_CAP!$C$2:$E$212,3,FALSE),""))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225" s="11" t="n">
        <v>0</v>
      </c>
      <c r="AP225" s="11"/>
      <c r="AQ225" s="11" t="n">
        <v>1</v>
      </c>
      <c r="AR225" s="11" t="n">
        <v>1</v>
      </c>
      <c r="AS225" s="11" t="s">
        <v>1538</v>
      </c>
      <c r="AT225" s="11" t="n">
        <v>0</v>
      </c>
      <c r="AU225" s="11"/>
      <c r="AV225" s="11"/>
      <c r="AW225" s="11"/>
      <c r="AX225" s="7" t="s">
        <v>84</v>
      </c>
      <c r="AY225" s="7"/>
      <c r="AZ225" s="7"/>
      <c r="BA225" s="7"/>
    </row>
    <row r="226" ht="85.5" customHeight="1">
      <c r="A226" s="4" t="s">
        <v>1539</v>
      </c>
      <c r="B226" s="4" t="n">
        <v>2022</v>
      </c>
      <c r="C226" s="4" t="n">
        <v>4667</v>
      </c>
      <c r="D226" s="4" t="s">
        <v>54</v>
      </c>
      <c r="E226" s="4" t="s">
        <v>1520</v>
      </c>
      <c r="F226" s="5" t="s">
        <v>1540</v>
      </c>
      <c r="G226" s="4" t="s">
        <v>57</v>
      </c>
      <c r="H226" s="4" t="s">
        <v>1522</v>
      </c>
      <c r="I226" s="4" t="s">
        <v>281</v>
      </c>
      <c r="J226" s="4" t="s">
        <v>1541</v>
      </c>
      <c r="K226" s="4" t="s">
        <v>428</v>
      </c>
      <c r="L226" s="5" t="s">
        <v>62</v>
      </c>
      <c r="M226" s="4" t="s">
        <v>63</v>
      </c>
      <c r="N226" s="5" t="s">
        <v>64</v>
      </c>
      <c r="O226" s="4" t="s">
        <v>65</v>
      </c>
      <c r="P226" s="5" t="s">
        <v>193</v>
      </c>
      <c r="Q226" s="4" t="s">
        <v>194</v>
      </c>
      <c r="R226" s="5" t="s">
        <v>195</v>
      </c>
      <c r="S226" s="4" t="s">
        <v>196</v>
      </c>
      <c r="T226" s="5" t="s">
        <v>429</v>
      </c>
      <c r="U226" s="4" t="s">
        <v>430</v>
      </c>
      <c r="V226" s="5" t="s">
        <v>104</v>
      </c>
      <c r="W226" s="4" t="s">
        <v>105</v>
      </c>
      <c r="X226" s="4" t="s">
        <v>106</v>
      </c>
      <c r="Y226" s="5"/>
      <c r="Z226" s="4" t="s">
        <v>75</v>
      </c>
      <c r="AA226" s="6" t="n">
        <v>150000</v>
      </c>
      <c r="AB226" s="6" t="n">
        <v>150000</v>
      </c>
      <c r="AC226" s="6" t="n">
        <v>150000</v>
      </c>
      <c r="AD226" s="6" t="n">
        <v>150000</v>
      </c>
      <c r="AE226" s="4" t="s">
        <v>444</v>
      </c>
      <c r="AF226" s="5" t="s">
        <v>445</v>
      </c>
      <c r="AG226" s="4" t="s">
        <v>433</v>
      </c>
      <c r="AH226" s="4" t="s">
        <v>433</v>
      </c>
      <c r="AI226" s="5"/>
      <c r="AJ226" s="1" t="n">
        <v>1</v>
      </c>
      <c r="AK226" s="11" t="n">
        <v>1</v>
      </c>
      <c r="AL226" s="12" t="s">
        <v>81</v>
      </c>
      <c r="AM226" s="13" t="str">
        <f>IF(AL226="","",AL226&amp;" - "&amp;IFERROR(VLOOKUP(AL226,CODEBOOK_CAP!$C$2:$D$212,2,FALSE),""))</f>
        <v>0322 - ESTRUTURAS, HOSPITAIS, CLÍNICAS</v>
      </c>
      <c r="AN226" s="13" t="str">
        <f>IF(AL226="","",IFERROR(VLOOKUP(AL226,CODEBOOK_CAP!$C$2:$E$212,3,FALSE),""))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226" s="11" t="n">
        <v>0</v>
      </c>
      <c r="AP226" s="11"/>
      <c r="AQ226" s="11" t="n">
        <v>1</v>
      </c>
      <c r="AR226" s="11" t="n">
        <v>1</v>
      </c>
      <c r="AS226" s="11" t="s">
        <v>446</v>
      </c>
      <c r="AT226" s="11" t="n">
        <v>0</v>
      </c>
      <c r="AU226" s="11"/>
      <c r="AV226" s="11"/>
      <c r="AW226" s="11"/>
      <c r="AX226" s="7" t="s">
        <v>84</v>
      </c>
      <c r="AY226" s="7"/>
      <c r="AZ226" s="7"/>
      <c r="BA226" s="7"/>
    </row>
    <row r="227" ht="85.5" customHeight="1">
      <c r="A227" s="4" t="s">
        <v>1542</v>
      </c>
      <c r="B227" s="4" t="n">
        <v>2022</v>
      </c>
      <c r="C227" s="4" t="n">
        <v>4682</v>
      </c>
      <c r="D227" s="4" t="s">
        <v>54</v>
      </c>
      <c r="E227" s="4" t="s">
        <v>1520</v>
      </c>
      <c r="F227" s="5" t="s">
        <v>1543</v>
      </c>
      <c r="G227" s="4" t="s">
        <v>57</v>
      </c>
      <c r="H227" s="4" t="s">
        <v>1522</v>
      </c>
      <c r="I227" s="4" t="s">
        <v>281</v>
      </c>
      <c r="J227" s="4" t="s">
        <v>1544</v>
      </c>
      <c r="K227" s="4" t="s">
        <v>554</v>
      </c>
      <c r="L227" s="5" t="s">
        <v>62</v>
      </c>
      <c r="M227" s="4" t="s">
        <v>63</v>
      </c>
      <c r="N227" s="5" t="s">
        <v>64</v>
      </c>
      <c r="O227" s="4" t="s">
        <v>65</v>
      </c>
      <c r="P227" s="5" t="s">
        <v>344</v>
      </c>
      <c r="Q227" s="4" t="s">
        <v>345</v>
      </c>
      <c r="R227" s="5" t="s">
        <v>346</v>
      </c>
      <c r="S227" s="4" t="s">
        <v>347</v>
      </c>
      <c r="T227" s="5" t="s">
        <v>555</v>
      </c>
      <c r="U227" s="4" t="s">
        <v>347</v>
      </c>
      <c r="V227" s="5" t="s">
        <v>310</v>
      </c>
      <c r="W227" s="4" t="s">
        <v>73</v>
      </c>
      <c r="X227" s="4" t="s">
        <v>74</v>
      </c>
      <c r="Y227" s="5"/>
      <c r="Z227" s="4" t="s">
        <v>75</v>
      </c>
      <c r="AA227" s="6" t="n">
        <v>339220</v>
      </c>
      <c r="AB227" s="6" t="n">
        <v>339119</v>
      </c>
      <c r="AC227" s="6" t="n">
        <v>339119</v>
      </c>
      <c r="AD227" s="6" t="n">
        <v>339119</v>
      </c>
      <c r="AE227" s="4" t="s">
        <v>1545</v>
      </c>
      <c r="AF227" s="5" t="s">
        <v>1546</v>
      </c>
      <c r="AG227" s="4" t="s">
        <v>78</v>
      </c>
      <c r="AH227" s="4" t="s">
        <v>79</v>
      </c>
      <c r="AI227" s="5" t="s">
        <v>80</v>
      </c>
      <c r="AJ227" s="1" t="n">
        <v>1</v>
      </c>
      <c r="AK227" s="11" t="n">
        <v>1</v>
      </c>
      <c r="AL227" s="12" t="s">
        <v>81</v>
      </c>
      <c r="AM227" s="13" t="str">
        <f>IF(AL227="","",AL227&amp;" - "&amp;IFERROR(VLOOKUP(AL227,CODEBOOK_CAP!$C$2:$D$212,2,FALSE),""))</f>
        <v>0322 - ESTRUTURAS, HOSPITAIS, CLÍNICAS</v>
      </c>
      <c r="AN227" s="13" t="str">
        <f>IF(AL227="","",IFERROR(VLOOKUP(AL227,CODEBOOK_CAP!$C$2:$E$212,3,FALSE),""))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227" s="11" t="n">
        <v>0</v>
      </c>
      <c r="AP227" s="11"/>
      <c r="AQ227" s="11" t="n">
        <v>0</v>
      </c>
      <c r="AR227" s="11" t="n">
        <v>0</v>
      </c>
      <c r="AS227" s="11"/>
      <c r="AT227" s="11" t="n">
        <v>0</v>
      </c>
      <c r="AU227" s="11"/>
      <c r="AV227" s="11"/>
      <c r="AW227" s="11"/>
      <c r="AX227" s="7" t="s">
        <v>84</v>
      </c>
      <c r="AY227" s="7"/>
      <c r="AZ227" s="7"/>
      <c r="BA227" s="7"/>
    </row>
    <row r="228" ht="71.25" customHeight="1">
      <c r="A228" s="4" t="s">
        <v>1547</v>
      </c>
      <c r="B228" s="4" t="n">
        <v>2022</v>
      </c>
      <c r="C228" s="4" t="n">
        <v>4686</v>
      </c>
      <c r="D228" s="4" t="s">
        <v>54</v>
      </c>
      <c r="E228" s="4" t="s">
        <v>1520</v>
      </c>
      <c r="F228" s="5" t="s">
        <v>1548</v>
      </c>
      <c r="G228" s="4" t="s">
        <v>57</v>
      </c>
      <c r="H228" s="4" t="s">
        <v>1522</v>
      </c>
      <c r="I228" s="4" t="s">
        <v>281</v>
      </c>
      <c r="J228" s="4" t="s">
        <v>1549</v>
      </c>
      <c r="K228" s="4" t="s">
        <v>415</v>
      </c>
      <c r="L228" s="5" t="s">
        <v>122</v>
      </c>
      <c r="M228" s="4" t="s">
        <v>123</v>
      </c>
      <c r="N228" s="5" t="s">
        <v>227</v>
      </c>
      <c r="O228" s="4" t="s">
        <v>228</v>
      </c>
      <c r="P228" s="5" t="s">
        <v>229</v>
      </c>
      <c r="Q228" s="4" t="s">
        <v>230</v>
      </c>
      <c r="R228" s="5" t="s">
        <v>322</v>
      </c>
      <c r="S228" s="4" t="s">
        <v>323</v>
      </c>
      <c r="T228" s="5" t="s">
        <v>416</v>
      </c>
      <c r="U228" s="4" t="s">
        <v>417</v>
      </c>
      <c r="V228" s="5" t="s">
        <v>72</v>
      </c>
      <c r="W228" s="4" t="s">
        <v>73</v>
      </c>
      <c r="X228" s="4" t="s">
        <v>74</v>
      </c>
      <c r="Y228" s="5"/>
      <c r="Z228" s="4" t="s">
        <v>132</v>
      </c>
      <c r="AA228" s="6" t="n">
        <v>300000</v>
      </c>
      <c r="AB228" s="6" t="n">
        <v>160678</v>
      </c>
      <c r="AC228" s="6" t="n">
        <v>160678</v>
      </c>
      <c r="AD228" s="6" t="n">
        <v>160678</v>
      </c>
      <c r="AE228" s="4" t="s">
        <v>1550</v>
      </c>
      <c r="AF228" s="5" t="s">
        <v>1551</v>
      </c>
      <c r="AG228" s="4" t="s">
        <v>78</v>
      </c>
      <c r="AH228" s="4" t="s">
        <v>79</v>
      </c>
      <c r="AI228" s="5" t="s">
        <v>80</v>
      </c>
      <c r="AJ228" s="1" t="n">
        <v>0</v>
      </c>
      <c r="AK228" s="11" t="n">
        <v>0</v>
      </c>
      <c r="AL228" s="12" t="s">
        <v>188</v>
      </c>
      <c r="AM228" s="13" t="str">
        <f>IF(AL228="","",AL228&amp;" - "&amp;IFERROR(VLOOKUP(AL228,CODEBOOK_CAP!$C$2:$D$212,2,FALSE),""))</f>
        <v>2300 - GERAL</v>
      </c>
      <c r="AN228" s="13" t="str">
        <f>IF(AL228="","",IFERROR(VLOOKUP(AL228,CODEBOOK_CAP!$C$2:$E$212,3,FALSE),""))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228" s="11" t="n">
        <v>0</v>
      </c>
      <c r="AP228" s="11"/>
      <c r="AQ228" s="11" t="n">
        <v>0</v>
      </c>
      <c r="AR228" s="11" t="n">
        <v>0</v>
      </c>
      <c r="AS228" s="11"/>
      <c r="AT228" s="11" t="n">
        <v>0</v>
      </c>
      <c r="AU228" s="11"/>
      <c r="AV228" s="11"/>
      <c r="AW228" s="11"/>
      <c r="AX228" s="7" t="s">
        <v>84</v>
      </c>
      <c r="AY228" s="7"/>
      <c r="AZ228" s="7"/>
      <c r="BA228" s="7"/>
      <c r="BB228" s="3" t="s">
        <v>6564</v>
      </c>
    </row>
    <row r="229" ht="57" customHeight="1">
      <c r="A229" s="4" t="s">
        <v>1552</v>
      </c>
      <c r="B229" s="4" t="n">
        <v>2022</v>
      </c>
      <c r="C229" s="4" t="n">
        <v>4693</v>
      </c>
      <c r="D229" s="4" t="s">
        <v>54</v>
      </c>
      <c r="E229" s="4" t="s">
        <v>1520</v>
      </c>
      <c r="F229" s="5" t="s">
        <v>1553</v>
      </c>
      <c r="G229" s="4" t="s">
        <v>57</v>
      </c>
      <c r="H229" s="4" t="s">
        <v>1522</v>
      </c>
      <c r="I229" s="4" t="s">
        <v>281</v>
      </c>
      <c r="J229" s="4" t="s">
        <v>1554</v>
      </c>
      <c r="K229" s="4" t="s">
        <v>507</v>
      </c>
      <c r="L229" s="5" t="s">
        <v>508</v>
      </c>
      <c r="M229" s="4" t="s">
        <v>509</v>
      </c>
      <c r="N229" s="5" t="s">
        <v>510</v>
      </c>
      <c r="O229" s="4" t="s">
        <v>511</v>
      </c>
      <c r="P229" s="5" t="s">
        <v>512</v>
      </c>
      <c r="Q229" s="4" t="s">
        <v>513</v>
      </c>
      <c r="R229" s="5" t="s">
        <v>514</v>
      </c>
      <c r="S229" s="4" t="s">
        <v>515</v>
      </c>
      <c r="T229" s="5" t="s">
        <v>516</v>
      </c>
      <c r="U229" s="4" t="s">
        <v>517</v>
      </c>
      <c r="V229" s="5" t="s">
        <v>104</v>
      </c>
      <c r="W229" s="4" t="s">
        <v>105</v>
      </c>
      <c r="X229" s="4" t="s">
        <v>106</v>
      </c>
      <c r="Y229" s="5"/>
      <c r="Z229" s="4" t="s">
        <v>518</v>
      </c>
      <c r="AA229" s="6" t="n">
        <v>150000</v>
      </c>
      <c r="AB229" s="6" t="n">
        <v>150000</v>
      </c>
      <c r="AC229" s="6" t="n">
        <v>150000</v>
      </c>
      <c r="AD229" s="6" t="n">
        <v>150000</v>
      </c>
      <c r="AE229" s="4" t="s">
        <v>1024</v>
      </c>
      <c r="AF229" s="5" t="s">
        <v>1025</v>
      </c>
      <c r="AG229" s="4" t="s">
        <v>78</v>
      </c>
      <c r="AH229" s="4" t="s">
        <v>79</v>
      </c>
      <c r="AI229" s="5" t="s">
        <v>80</v>
      </c>
      <c r="AJ229" s="1" t="n">
        <v>0</v>
      </c>
      <c r="AK229" s="11" t="n">
        <v>0</v>
      </c>
      <c r="AL229" s="12" t="s">
        <v>520</v>
      </c>
      <c r="AM229" s="13" t="str">
        <f>IF(AL229="","",AL229&amp;" - "&amp;IFERROR(VLOOKUP(AL229,CODEBOOK_CAP!$C$2:$D$212,2,FALSE),""))</f>
        <v>0502 - FORMAÇÃO E DESENVOLVIMENTO PROFISSIONAL</v>
      </c>
      <c r="AN229" s="13" t="str">
        <f>IF(AL229="","",IFERROR(VLOOKUP(AL229,CODEBOOK_CAP!$C$2:$E$212,3,FALSE),""))</f>
        <v>Programas de capacitação profissional, programas de incentivo ao emprego geral, reciclagem, realocação profissional em outra área, acordos e parcerias do estado com empresas privadas na capacitação, formação e treinamento profissional.</v>
      </c>
      <c r="AO229" s="11" t="n">
        <v>0</v>
      </c>
      <c r="AP229" s="11"/>
      <c r="AQ229" s="11" t="n">
        <v>0</v>
      </c>
      <c r="AR229" s="11" t="n">
        <v>0</v>
      </c>
      <c r="AS229" s="11"/>
      <c r="AT229" s="11" t="n">
        <v>0</v>
      </c>
      <c r="AU229" s="11"/>
      <c r="AV229" s="11"/>
      <c r="AW229" s="11"/>
      <c r="AX229" s="7" t="s">
        <v>84</v>
      </c>
      <c r="AY229" s="7"/>
      <c r="AZ229" s="7"/>
      <c r="BA229" s="7"/>
    </row>
    <row r="230" ht="57" customHeight="1">
      <c r="A230" s="4" t="s">
        <v>1555</v>
      </c>
      <c r="B230" s="4" t="n">
        <v>2022</v>
      </c>
      <c r="C230" s="4" t="n">
        <v>4703</v>
      </c>
      <c r="D230" s="4" t="s">
        <v>54</v>
      </c>
      <c r="E230" s="4" t="s">
        <v>1520</v>
      </c>
      <c r="F230" s="5" t="s">
        <v>1556</v>
      </c>
      <c r="G230" s="4" t="s">
        <v>57</v>
      </c>
      <c r="H230" s="4" t="s">
        <v>1522</v>
      </c>
      <c r="I230" s="4" t="s">
        <v>281</v>
      </c>
      <c r="J230" s="4" t="s">
        <v>1557</v>
      </c>
      <c r="K230" s="4" t="s">
        <v>1558</v>
      </c>
      <c r="L230" s="5" t="s">
        <v>508</v>
      </c>
      <c r="M230" s="4" t="s">
        <v>509</v>
      </c>
      <c r="N230" s="5" t="s">
        <v>510</v>
      </c>
      <c r="O230" s="4" t="s">
        <v>511</v>
      </c>
      <c r="P230" s="5" t="s">
        <v>512</v>
      </c>
      <c r="Q230" s="4" t="s">
        <v>513</v>
      </c>
      <c r="R230" s="5" t="s">
        <v>514</v>
      </c>
      <c r="S230" s="4" t="s">
        <v>515</v>
      </c>
      <c r="T230" s="5" t="s">
        <v>516</v>
      </c>
      <c r="U230" s="4" t="s">
        <v>517</v>
      </c>
      <c r="V230" s="5" t="s">
        <v>310</v>
      </c>
      <c r="W230" s="4" t="s">
        <v>73</v>
      </c>
      <c r="X230" s="4" t="s">
        <v>74</v>
      </c>
      <c r="Y230" s="5"/>
      <c r="Z230" s="4" t="s">
        <v>518</v>
      </c>
      <c r="AA230" s="6" t="n">
        <v>150000</v>
      </c>
      <c r="AB230" s="6" t="n">
        <v>68746</v>
      </c>
      <c r="AC230" s="6" t="n">
        <v>68746</v>
      </c>
      <c r="AD230" s="6" t="n">
        <v>68746</v>
      </c>
      <c r="AE230" s="4" t="s">
        <v>1559</v>
      </c>
      <c r="AF230" s="5" t="s">
        <v>1560</v>
      </c>
      <c r="AG230" s="4" t="s">
        <v>78</v>
      </c>
      <c r="AH230" s="4" t="s">
        <v>79</v>
      </c>
      <c r="AI230" s="5" t="s">
        <v>80</v>
      </c>
      <c r="AJ230" s="1" t="n">
        <v>0</v>
      </c>
      <c r="AK230" s="11" t="n">
        <v>0</v>
      </c>
      <c r="AL230" s="12" t="s">
        <v>520</v>
      </c>
      <c r="AM230" s="13" t="str">
        <f>IF(AL230="","",AL230&amp;" - "&amp;IFERROR(VLOOKUP(AL230,CODEBOOK_CAP!$C$2:$D$212,2,FALSE),""))</f>
        <v>0502 - FORMAÇÃO E DESENVOLVIMENTO PROFISSIONAL</v>
      </c>
      <c r="AN230" s="13" t="str">
        <f>IF(AL230="","",IFERROR(VLOOKUP(AL230,CODEBOOK_CAP!$C$2:$E$212,3,FALSE),""))</f>
        <v>Programas de capacitação profissional, programas de incentivo ao emprego geral, reciclagem, realocação profissional em outra área, acordos e parcerias do estado com empresas privadas na capacitação, formação e treinamento profissional.</v>
      </c>
      <c r="AO230" s="11" t="n">
        <v>0</v>
      </c>
      <c r="AP230" s="11"/>
      <c r="AQ230" s="11" t="n">
        <v>0</v>
      </c>
      <c r="AR230" s="11" t="n">
        <v>0</v>
      </c>
      <c r="AS230" s="11"/>
      <c r="AT230" s="11" t="n">
        <v>0</v>
      </c>
      <c r="AU230" s="11"/>
      <c r="AV230" s="11"/>
      <c r="AW230" s="11"/>
      <c r="AX230" s="7" t="s">
        <v>84</v>
      </c>
      <c r="AY230" s="7"/>
      <c r="AZ230" s="7"/>
      <c r="BA230" s="7"/>
    </row>
    <row r="231" ht="85.5" customHeight="1">
      <c r="A231" s="4" t="s">
        <v>1561</v>
      </c>
      <c r="B231" s="4" t="n">
        <v>2022</v>
      </c>
      <c r="C231" s="4" t="n">
        <v>4739</v>
      </c>
      <c r="D231" s="4" t="s">
        <v>54</v>
      </c>
      <c r="E231" s="4" t="s">
        <v>1520</v>
      </c>
      <c r="F231" s="5" t="s">
        <v>1562</v>
      </c>
      <c r="G231" s="4" t="s">
        <v>139</v>
      </c>
      <c r="H231" s="4" t="s">
        <v>1522</v>
      </c>
      <c r="I231" s="4" t="s">
        <v>281</v>
      </c>
      <c r="J231" s="4" t="s">
        <v>1563</v>
      </c>
      <c r="K231" s="4" t="s">
        <v>115</v>
      </c>
      <c r="L231" s="5"/>
      <c r="M231" s="4"/>
      <c r="N231" s="5"/>
      <c r="O231" s="4"/>
      <c r="P231" s="5"/>
      <c r="Q231" s="4"/>
      <c r="R231" s="5"/>
      <c r="S231" s="4"/>
      <c r="T231" s="5"/>
      <c r="U231" s="4"/>
      <c r="V231" s="5"/>
      <c r="W231" s="4"/>
      <c r="X231" s="4"/>
      <c r="Y231" s="5"/>
      <c r="Z231" s="4" t="s">
        <v>139</v>
      </c>
      <c r="AA231" s="6" t="n">
        <v>50000</v>
      </c>
      <c r="AB231" s="6"/>
      <c r="AC231" s="6"/>
      <c r="AD231" s="6"/>
      <c r="AE231" s="4" t="s">
        <v>115</v>
      </c>
      <c r="AF231" s="5" t="s">
        <v>115</v>
      </c>
      <c r="AG231" s="4" t="s">
        <v>115</v>
      </c>
      <c r="AH231" s="4" t="s">
        <v>115</v>
      </c>
      <c r="AI231" s="5" t="s">
        <v>115</v>
      </c>
      <c r="AJ231" s="1" t="n">
        <v>0</v>
      </c>
      <c r="AK231" s="11" t="n">
        <v>0</v>
      </c>
      <c r="AL231" s="12" t="s">
        <v>1145</v>
      </c>
      <c r="AM231" s="13" t="str">
        <f>IF(AL231="","",AL231&amp;" - "&amp;IFERROR(VLOOKUP(AL231,CODEBOOK_CAP!$C$2:$D$212,2,FALSE),""))</f>
        <v>1304 - POLÍTICAS SOCIAIS DE ASSISTÊNCIA PARA PESSOAS COM DEFICIÊNCIAS</v>
      </c>
      <c r="AN231" s="13" t="str">
        <f>IF(AL231="","",IFERROR(VLOOKUP(AL231,CODEBOOK_CAP!$C$2:$E$212,3,FALSE),""))</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O231" s="11" t="n">
        <v>0</v>
      </c>
      <c r="AP231" s="11"/>
      <c r="AQ231" s="11" t="n">
        <v>0</v>
      </c>
      <c r="AR231" s="11" t="n">
        <v>0</v>
      </c>
      <c r="AS231" s="11"/>
      <c r="AT231" s="11" t="n">
        <v>1</v>
      </c>
      <c r="AU231" s="11" t="s">
        <v>1564</v>
      </c>
      <c r="AV231" s="11"/>
      <c r="AW231" s="11"/>
      <c r="AX231" s="7" t="s">
        <v>84</v>
      </c>
      <c r="AY231" s="7"/>
      <c r="AZ231" s="7"/>
      <c r="BA231" s="7"/>
    </row>
    <row r="232" ht="156.75" customHeight="1">
      <c r="A232" s="4" t="s">
        <v>1565</v>
      </c>
      <c r="B232" s="4" t="n">
        <v>2022</v>
      </c>
      <c r="C232" s="4" t="n">
        <v>4763</v>
      </c>
      <c r="D232" s="4" t="s">
        <v>54</v>
      </c>
      <c r="E232" s="4" t="s">
        <v>1520</v>
      </c>
      <c r="F232" s="5" t="s">
        <v>1566</v>
      </c>
      <c r="G232" s="4" t="s">
        <v>139</v>
      </c>
      <c r="H232" s="4" t="s">
        <v>1522</v>
      </c>
      <c r="I232" s="4" t="s">
        <v>281</v>
      </c>
      <c r="J232" s="4" t="s">
        <v>1567</v>
      </c>
      <c r="K232" s="4" t="s">
        <v>115</v>
      </c>
      <c r="L232" s="5"/>
      <c r="M232" s="4"/>
      <c r="N232" s="5"/>
      <c r="O232" s="4"/>
      <c r="P232" s="5"/>
      <c r="Q232" s="4"/>
      <c r="R232" s="5"/>
      <c r="S232" s="4"/>
      <c r="T232" s="5"/>
      <c r="U232" s="4"/>
      <c r="V232" s="5"/>
      <c r="W232" s="4"/>
      <c r="X232" s="4"/>
      <c r="Y232" s="5"/>
      <c r="Z232" s="4" t="s">
        <v>139</v>
      </c>
      <c r="AA232" s="6" t="n">
        <v>50000</v>
      </c>
      <c r="AB232" s="6"/>
      <c r="AC232" s="6"/>
      <c r="AD232" s="6"/>
      <c r="AE232" s="4" t="s">
        <v>115</v>
      </c>
      <c r="AF232" s="5" t="s">
        <v>115</v>
      </c>
      <c r="AG232" s="4" t="s">
        <v>115</v>
      </c>
      <c r="AH232" s="4" t="s">
        <v>115</v>
      </c>
      <c r="AI232" s="5" t="s">
        <v>115</v>
      </c>
      <c r="AJ232" s="1" t="n">
        <v>0</v>
      </c>
      <c r="AK232" s="11" t="n">
        <v>0</v>
      </c>
      <c r="AL232" s="12" t="s">
        <v>111</v>
      </c>
      <c r="AM232" s="13" t="str">
        <f>IF(AL232="","",AL232&amp;" - "&amp;IFERROR(VLOOKUP(AL232,CODEBOOK_CAP!$C$2:$D$212,2,FALSE),""))</f>
        <v>1300 - GERAL</v>
      </c>
      <c r="AN232" s="13" t="str">
        <f>IF(AL232="","",IFERROR(VLOOKUP(AL232,CODEBOOK_CAP!$C$2:$E$212,3,FALSE),""))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232" s="11" t="n">
        <v>0</v>
      </c>
      <c r="AP232" s="11"/>
      <c r="AQ232" s="11" t="n">
        <v>0</v>
      </c>
      <c r="AR232" s="11" t="n">
        <v>0</v>
      </c>
      <c r="AS232" s="11"/>
      <c r="AT232" s="11" t="n">
        <v>0</v>
      </c>
      <c r="AU232" s="11"/>
      <c r="AV232" s="11"/>
      <c r="AW232" s="11"/>
      <c r="AX232" s="7" t="s">
        <v>84</v>
      </c>
      <c r="AY232" s="7"/>
      <c r="AZ232" s="7"/>
      <c r="BA232" s="7"/>
    </row>
    <row r="233" ht="156.75" customHeight="1">
      <c r="A233" s="4" t="s">
        <v>1568</v>
      </c>
      <c r="B233" s="4" t="n">
        <v>2022</v>
      </c>
      <c r="C233" s="4" t="n">
        <v>4767</v>
      </c>
      <c r="D233" s="4" t="s">
        <v>54</v>
      </c>
      <c r="E233" s="4" t="s">
        <v>1520</v>
      </c>
      <c r="F233" s="5" t="s">
        <v>1569</v>
      </c>
      <c r="G233" s="4" t="s">
        <v>289</v>
      </c>
      <c r="H233" s="4" t="s">
        <v>1522</v>
      </c>
      <c r="I233" s="4" t="s">
        <v>281</v>
      </c>
      <c r="J233" s="4" t="s">
        <v>1570</v>
      </c>
      <c r="K233" s="4" t="s">
        <v>115</v>
      </c>
      <c r="L233" s="5"/>
      <c r="M233" s="4"/>
      <c r="N233" s="5"/>
      <c r="O233" s="4"/>
      <c r="P233" s="5"/>
      <c r="Q233" s="4"/>
      <c r="R233" s="5"/>
      <c r="S233" s="4"/>
      <c r="T233" s="5"/>
      <c r="U233" s="4"/>
      <c r="V233" s="5"/>
      <c r="W233" s="4"/>
      <c r="X233" s="4"/>
      <c r="Y233" s="5"/>
      <c r="Z233" s="4" t="s">
        <v>289</v>
      </c>
      <c r="AA233" s="6" t="n">
        <v>100000</v>
      </c>
      <c r="AB233" s="6"/>
      <c r="AC233" s="6"/>
      <c r="AD233" s="6"/>
      <c r="AE233" s="4" t="s">
        <v>115</v>
      </c>
      <c r="AF233" s="5" t="s">
        <v>115</v>
      </c>
      <c r="AG233" s="4" t="s">
        <v>115</v>
      </c>
      <c r="AH233" s="4" t="s">
        <v>115</v>
      </c>
      <c r="AI233" s="5" t="s">
        <v>115</v>
      </c>
      <c r="AJ233" s="1" t="n">
        <v>0</v>
      </c>
      <c r="AK233" s="11" t="n">
        <v>0</v>
      </c>
      <c r="AL233" s="12" t="s">
        <v>111</v>
      </c>
      <c r="AM233" s="13" t="str">
        <f>IF(AL233="","",AL233&amp;" - "&amp;IFERROR(VLOOKUP(AL233,CODEBOOK_CAP!$C$2:$D$212,2,FALSE),""))</f>
        <v>1300 - GERAL</v>
      </c>
      <c r="AN233" s="13" t="str">
        <f>IF(AL233="","",IFERROR(VLOOKUP(AL233,CODEBOOK_CAP!$C$2:$E$212,3,FALSE),""))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233" s="11" t="n">
        <v>0</v>
      </c>
      <c r="AP233" s="11"/>
      <c r="AQ233" s="11" t="n">
        <v>0</v>
      </c>
      <c r="AR233" s="11" t="n">
        <v>0</v>
      </c>
      <c r="AS233" s="11"/>
      <c r="AT233" s="11" t="n">
        <v>0</v>
      </c>
      <c r="AU233" s="11"/>
      <c r="AV233" s="11"/>
      <c r="AW233" s="11"/>
      <c r="AX233" s="7" t="s">
        <v>84</v>
      </c>
      <c r="AY233" s="7"/>
      <c r="AZ233" s="7"/>
      <c r="BA233" s="7"/>
    </row>
    <row r="234" ht="156.75" customHeight="1">
      <c r="A234" s="4" t="s">
        <v>1571</v>
      </c>
      <c r="B234" s="4" t="n">
        <v>2022</v>
      </c>
      <c r="C234" s="4" t="n">
        <v>4777</v>
      </c>
      <c r="D234" s="4" t="s">
        <v>54</v>
      </c>
      <c r="E234" s="4" t="s">
        <v>1520</v>
      </c>
      <c r="F234" s="5" t="s">
        <v>1572</v>
      </c>
      <c r="G234" s="4" t="s">
        <v>139</v>
      </c>
      <c r="H234" s="4" t="s">
        <v>1522</v>
      </c>
      <c r="I234" s="4" t="s">
        <v>281</v>
      </c>
      <c r="J234" s="4" t="s">
        <v>1573</v>
      </c>
      <c r="K234" s="4" t="s">
        <v>115</v>
      </c>
      <c r="L234" s="5"/>
      <c r="M234" s="4"/>
      <c r="N234" s="5"/>
      <c r="O234" s="4"/>
      <c r="P234" s="5"/>
      <c r="Q234" s="4"/>
      <c r="R234" s="5"/>
      <c r="S234" s="4"/>
      <c r="T234" s="5"/>
      <c r="U234" s="4"/>
      <c r="V234" s="5"/>
      <c r="W234" s="4"/>
      <c r="X234" s="4"/>
      <c r="Y234" s="5"/>
      <c r="Z234" s="4" t="s">
        <v>139</v>
      </c>
      <c r="AA234" s="6" t="n">
        <v>50000</v>
      </c>
      <c r="AB234" s="6"/>
      <c r="AC234" s="6"/>
      <c r="AD234" s="6"/>
      <c r="AE234" s="4" t="s">
        <v>115</v>
      </c>
      <c r="AF234" s="5" t="s">
        <v>115</v>
      </c>
      <c r="AG234" s="4" t="s">
        <v>115</v>
      </c>
      <c r="AH234" s="4" t="s">
        <v>115</v>
      </c>
      <c r="AI234" s="5" t="s">
        <v>115</v>
      </c>
      <c r="AJ234" s="1" t="n">
        <v>0</v>
      </c>
      <c r="AK234" s="11" t="n">
        <v>0</v>
      </c>
      <c r="AL234" s="12" t="s">
        <v>111</v>
      </c>
      <c r="AM234" s="13" t="str">
        <f>IF(AL234="","",AL234&amp;" - "&amp;IFERROR(VLOOKUP(AL234,CODEBOOK_CAP!$C$2:$D$212,2,FALSE),""))</f>
        <v>1300 - GERAL</v>
      </c>
      <c r="AN234" s="13" t="str">
        <f>IF(AL234="","",IFERROR(VLOOKUP(AL234,CODEBOOK_CAP!$C$2:$E$212,3,FALSE),""))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234" s="11" t="n">
        <v>0</v>
      </c>
      <c r="AP234" s="11"/>
      <c r="AQ234" s="11" t="n">
        <v>0</v>
      </c>
      <c r="AR234" s="11" t="n">
        <v>0</v>
      </c>
      <c r="AS234" s="11"/>
      <c r="AT234" s="11" t="n">
        <v>0</v>
      </c>
      <c r="AU234" s="11"/>
      <c r="AV234" s="11"/>
      <c r="AW234" s="11"/>
      <c r="AX234" s="7" t="s">
        <v>84</v>
      </c>
      <c r="AY234" s="7"/>
      <c r="AZ234" s="7"/>
      <c r="BA234" s="7"/>
    </row>
    <row r="235" ht="71.25" customHeight="1">
      <c r="A235" s="4" t="s">
        <v>1574</v>
      </c>
      <c r="B235" s="4" t="n">
        <v>2022</v>
      </c>
      <c r="C235" s="4" t="n">
        <v>4787</v>
      </c>
      <c r="D235" s="4" t="s">
        <v>54</v>
      </c>
      <c r="E235" s="4" t="s">
        <v>1520</v>
      </c>
      <c r="F235" s="5" t="s">
        <v>1575</v>
      </c>
      <c r="G235" s="4" t="s">
        <v>57</v>
      </c>
      <c r="H235" s="4" t="s">
        <v>1522</v>
      </c>
      <c r="I235" s="4" t="s">
        <v>281</v>
      </c>
      <c r="J235" s="4" t="s">
        <v>1576</v>
      </c>
      <c r="K235" s="4" t="s">
        <v>283</v>
      </c>
      <c r="L235" s="5" t="s">
        <v>94</v>
      </c>
      <c r="M235" s="4" t="s">
        <v>95</v>
      </c>
      <c r="N235" s="5" t="s">
        <v>96</v>
      </c>
      <c r="O235" s="4" t="s">
        <v>97</v>
      </c>
      <c r="P235" s="5" t="s">
        <v>98</v>
      </c>
      <c r="Q235" s="4" t="s">
        <v>99</v>
      </c>
      <c r="R235" s="5" t="s">
        <v>100</v>
      </c>
      <c r="S235" s="4" t="s">
        <v>101</v>
      </c>
      <c r="T235" s="5" t="s">
        <v>102</v>
      </c>
      <c r="U235" s="4" t="s">
        <v>103</v>
      </c>
      <c r="V235" s="5" t="s">
        <v>104</v>
      </c>
      <c r="W235" s="4" t="s">
        <v>105</v>
      </c>
      <c r="X235" s="4" t="s">
        <v>106</v>
      </c>
      <c r="Y235" s="5"/>
      <c r="Z235" s="4" t="s">
        <v>107</v>
      </c>
      <c r="AA235" s="6" t="n">
        <v>200000</v>
      </c>
      <c r="AB235" s="6" t="n">
        <v>200000</v>
      </c>
      <c r="AC235" s="6" t="n">
        <v>200000</v>
      </c>
      <c r="AD235" s="6" t="n">
        <v>200000</v>
      </c>
      <c r="AE235" s="4" t="s">
        <v>1577</v>
      </c>
      <c r="AF235" s="5" t="s">
        <v>1578</v>
      </c>
      <c r="AG235" s="4" t="s">
        <v>110</v>
      </c>
      <c r="AH235" s="4" t="s">
        <v>110</v>
      </c>
      <c r="AI235" s="5"/>
      <c r="AJ235" s="1" t="n">
        <v>0</v>
      </c>
      <c r="AK235" s="11" t="n">
        <v>0</v>
      </c>
      <c r="AL235" s="12" t="s">
        <v>712</v>
      </c>
      <c r="AM235" s="13" t="str">
        <f>IF(AL235="","",AL235&amp;" - "&amp;IFERROR(VLOOKUP(AL235,CODEBOOK_CAP!$C$2:$D$212,2,FALSE),""))</f>
        <v>1308 - POLÍTICAS SOCIAIS PARA FAMÍLIAS E INFÂNCIA</v>
      </c>
      <c r="AN235" s="13" t="str">
        <f>IF(AL235="","",IFERROR(VLOOKUP(AL235,CODEBOOK_CAP!$C$2:$E$212,3,FALSE),""))</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O235" s="11" t="n">
        <v>0</v>
      </c>
      <c r="AP235" s="11"/>
      <c r="AQ235" s="11" t="n">
        <v>0</v>
      </c>
      <c r="AR235" s="11" t="n">
        <v>0</v>
      </c>
      <c r="AS235" s="11"/>
      <c r="AT235" s="11" t="n">
        <v>1</v>
      </c>
      <c r="AU235" s="11" t="s">
        <v>503</v>
      </c>
      <c r="AV235" s="11"/>
      <c r="AW235" s="11"/>
      <c r="AX235" s="7" t="s">
        <v>84</v>
      </c>
      <c r="AY235" s="7"/>
      <c r="AZ235" s="7"/>
      <c r="BA235" s="7"/>
    </row>
    <row r="236" ht="71.25" customHeight="1">
      <c r="A236" s="4" t="s">
        <v>1579</v>
      </c>
      <c r="B236" s="4" t="n">
        <v>2022</v>
      </c>
      <c r="C236" s="4" t="n">
        <v>4788</v>
      </c>
      <c r="D236" s="4" t="s">
        <v>54</v>
      </c>
      <c r="E236" s="4" t="s">
        <v>1520</v>
      </c>
      <c r="F236" s="5" t="s">
        <v>1580</v>
      </c>
      <c r="G236" s="4" t="s">
        <v>139</v>
      </c>
      <c r="H236" s="4" t="s">
        <v>1522</v>
      </c>
      <c r="I236" s="4" t="s">
        <v>281</v>
      </c>
      <c r="J236" s="4" t="s">
        <v>1581</v>
      </c>
      <c r="K236" s="4" t="s">
        <v>115</v>
      </c>
      <c r="L236" s="5"/>
      <c r="M236" s="4"/>
      <c r="N236" s="5"/>
      <c r="O236" s="4"/>
      <c r="P236" s="5"/>
      <c r="Q236" s="4"/>
      <c r="R236" s="5"/>
      <c r="S236" s="4"/>
      <c r="T236" s="5"/>
      <c r="U236" s="4"/>
      <c r="V236" s="5"/>
      <c r="W236" s="4"/>
      <c r="X236" s="4"/>
      <c r="Y236" s="5"/>
      <c r="Z236" s="4" t="s">
        <v>139</v>
      </c>
      <c r="AA236" s="6" t="n">
        <v>50000</v>
      </c>
      <c r="AB236" s="6"/>
      <c r="AC236" s="6"/>
      <c r="AD236" s="6"/>
      <c r="AE236" s="4" t="s">
        <v>115</v>
      </c>
      <c r="AF236" s="5" t="s">
        <v>115</v>
      </c>
      <c r="AG236" s="4" t="s">
        <v>115</v>
      </c>
      <c r="AH236" s="4" t="s">
        <v>115</v>
      </c>
      <c r="AI236" s="5" t="s">
        <v>115</v>
      </c>
      <c r="AJ236" s="1" t="n">
        <v>0</v>
      </c>
      <c r="AK236" s="11" t="n">
        <v>0</v>
      </c>
      <c r="AL236" s="12" t="s">
        <v>188</v>
      </c>
      <c r="AM236" s="13" t="str">
        <f>IF(AL236="","",AL236&amp;" - "&amp;IFERROR(VLOOKUP(AL236,CODEBOOK_CAP!$C$2:$D$212,2,FALSE),""))</f>
        <v>2300 - GERAL</v>
      </c>
      <c r="AN236" s="13" t="str">
        <f>IF(AL236="","",IFERROR(VLOOKUP(AL236,CODEBOOK_CAP!$C$2:$E$212,3,FALSE),""))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236" s="11" t="n">
        <v>0</v>
      </c>
      <c r="AP236" s="11"/>
      <c r="AQ236" s="11" t="n">
        <v>0</v>
      </c>
      <c r="AR236" s="11" t="n">
        <v>0</v>
      </c>
      <c r="AS236" s="11"/>
      <c r="AT236" s="11" t="n">
        <v>0</v>
      </c>
      <c r="AU236" s="11"/>
      <c r="AV236" s="11"/>
      <c r="AW236" s="11"/>
      <c r="AX236" s="7" t="s">
        <v>84</v>
      </c>
      <c r="AY236" s="7"/>
      <c r="AZ236" s="7"/>
      <c r="BA236" s="7"/>
      <c r="BB236" s="3" t="s">
        <v>6563</v>
      </c>
    </row>
    <row r="237" ht="114" customHeight="1">
      <c r="A237" s="4" t="s">
        <v>1582</v>
      </c>
      <c r="B237" s="4" t="n">
        <v>2022</v>
      </c>
      <c r="C237" s="4" t="n">
        <v>4668</v>
      </c>
      <c r="D237" s="4" t="s">
        <v>54</v>
      </c>
      <c r="E237" s="4" t="s">
        <v>1583</v>
      </c>
      <c r="F237" s="5" t="s">
        <v>1584</v>
      </c>
      <c r="G237" s="4" t="s">
        <v>57</v>
      </c>
      <c r="H237" s="4" t="s">
        <v>1585</v>
      </c>
      <c r="I237" s="4" t="s">
        <v>172</v>
      </c>
      <c r="J237" s="4" t="s">
        <v>1586</v>
      </c>
      <c r="K237" s="4" t="s">
        <v>428</v>
      </c>
      <c r="L237" s="5" t="s">
        <v>62</v>
      </c>
      <c r="M237" s="4" t="s">
        <v>63</v>
      </c>
      <c r="N237" s="5" t="s">
        <v>64</v>
      </c>
      <c r="O237" s="4" t="s">
        <v>65</v>
      </c>
      <c r="P237" s="5" t="s">
        <v>193</v>
      </c>
      <c r="Q237" s="4" t="s">
        <v>194</v>
      </c>
      <c r="R237" s="5" t="s">
        <v>195</v>
      </c>
      <c r="S237" s="4" t="s">
        <v>196</v>
      </c>
      <c r="T237" s="5" t="s">
        <v>429</v>
      </c>
      <c r="U237" s="4" t="s">
        <v>430</v>
      </c>
      <c r="V237" s="5" t="s">
        <v>104</v>
      </c>
      <c r="W237" s="4" t="s">
        <v>105</v>
      </c>
      <c r="X237" s="4" t="s">
        <v>106</v>
      </c>
      <c r="Y237" s="5"/>
      <c r="Z237" s="4" t="s">
        <v>75</v>
      </c>
      <c r="AA237" s="6" t="n">
        <v>644610</v>
      </c>
      <c r="AB237" s="6" t="n">
        <v>644610</v>
      </c>
      <c r="AC237" s="6" t="n">
        <v>0</v>
      </c>
      <c r="AD237" s="6" t="n">
        <v>644610</v>
      </c>
      <c r="AE237" s="4" t="s">
        <v>450</v>
      </c>
      <c r="AF237" s="5" t="s">
        <v>451</v>
      </c>
      <c r="AG237" s="4" t="s">
        <v>115</v>
      </c>
      <c r="AH237" s="4" t="s">
        <v>115</v>
      </c>
      <c r="AI237" s="5" t="s">
        <v>115</v>
      </c>
      <c r="AJ237" s="1" t="n">
        <v>1</v>
      </c>
      <c r="AK237" s="11" t="n">
        <v>1</v>
      </c>
      <c r="AL237" s="12" t="s">
        <v>452</v>
      </c>
      <c r="AM237" s="13" t="str">
        <f>IF(AL237="","",AL237&amp;" - "&amp;IFERROR(VLOOKUP(AL237,CODEBOOK_CAP!$C$2:$D$212,2,FALSE),""))</f>
        <v>0332 - SAÚDE INFANTIL, GRAVIDEZ E PRÉ-NATAL</v>
      </c>
      <c r="AN237" s="13" t="str">
        <f>IF(AL237="","",IFERROR(VLOOKUP(AL237,CODEBOOK_CAP!$C$2:$E$212,3,FALSE),""))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237" s="11" t="n">
        <v>0</v>
      </c>
      <c r="AP237" s="11" t="s">
        <v>1587</v>
      </c>
      <c r="AQ237" s="11" t="n">
        <v>1</v>
      </c>
      <c r="AR237" s="11" t="n">
        <v>1</v>
      </c>
      <c r="AS237" s="11" t="s">
        <v>1588</v>
      </c>
      <c r="AT237" s="11" t="n">
        <v>1</v>
      </c>
      <c r="AU237" s="11" t="s">
        <v>454</v>
      </c>
      <c r="AV237" s="11"/>
      <c r="AW237" s="11"/>
      <c r="AX237" s="7" t="s">
        <v>84</v>
      </c>
      <c r="AY237" s="7"/>
      <c r="AZ237" s="7"/>
      <c r="BA237" s="7"/>
    </row>
    <row r="238" ht="85.5" customHeight="1">
      <c r="A238" s="4" t="s">
        <v>1589</v>
      </c>
      <c r="B238" s="4" t="n">
        <v>2022</v>
      </c>
      <c r="C238" s="4" t="n">
        <v>4674</v>
      </c>
      <c r="D238" s="4" t="s">
        <v>54</v>
      </c>
      <c r="E238" s="4" t="s">
        <v>1583</v>
      </c>
      <c r="F238" s="5" t="s">
        <v>1590</v>
      </c>
      <c r="G238" s="4" t="s">
        <v>57</v>
      </c>
      <c r="H238" s="4" t="s">
        <v>1585</v>
      </c>
      <c r="I238" s="4" t="s">
        <v>172</v>
      </c>
      <c r="J238" s="4" t="s">
        <v>1591</v>
      </c>
      <c r="K238" s="4" t="s">
        <v>428</v>
      </c>
      <c r="L238" s="5" t="s">
        <v>62</v>
      </c>
      <c r="M238" s="4" t="s">
        <v>63</v>
      </c>
      <c r="N238" s="5" t="s">
        <v>64</v>
      </c>
      <c r="O238" s="4" t="s">
        <v>65</v>
      </c>
      <c r="P238" s="5" t="s">
        <v>193</v>
      </c>
      <c r="Q238" s="4" t="s">
        <v>194</v>
      </c>
      <c r="R238" s="5" t="s">
        <v>195</v>
      </c>
      <c r="S238" s="4" t="s">
        <v>196</v>
      </c>
      <c r="T238" s="5" t="s">
        <v>429</v>
      </c>
      <c r="U238" s="4" t="s">
        <v>430</v>
      </c>
      <c r="V238" s="5" t="s">
        <v>104</v>
      </c>
      <c r="W238" s="4" t="s">
        <v>105</v>
      </c>
      <c r="X238" s="4" t="s">
        <v>106</v>
      </c>
      <c r="Y238" s="5"/>
      <c r="Z238" s="4" t="s">
        <v>75</v>
      </c>
      <c r="AA238" s="6" t="n">
        <v>644610</v>
      </c>
      <c r="AB238" s="6" t="n">
        <v>644610</v>
      </c>
      <c r="AC238" s="6" t="n">
        <v>644610</v>
      </c>
      <c r="AD238" s="6" t="n">
        <v>644610</v>
      </c>
      <c r="AE238" s="4" t="s">
        <v>526</v>
      </c>
      <c r="AF238" s="5" t="s">
        <v>527</v>
      </c>
      <c r="AG238" s="4" t="s">
        <v>433</v>
      </c>
      <c r="AH238" s="4" t="s">
        <v>433</v>
      </c>
      <c r="AI238" s="5"/>
      <c r="AJ238" s="1" t="n">
        <v>1</v>
      </c>
      <c r="AK238" s="11" t="n">
        <v>1</v>
      </c>
      <c r="AL238" s="12" t="s">
        <v>81</v>
      </c>
      <c r="AM238" s="13" t="str">
        <f>IF(AL238="","",AL238&amp;" - "&amp;IFERROR(VLOOKUP(AL238,CODEBOOK_CAP!$C$2:$D$212,2,FALSE),""))</f>
        <v>0322 - ESTRUTURAS, HOSPITAIS, CLÍNICAS</v>
      </c>
      <c r="AN238" s="13" t="str">
        <f>IF(AL238="","",IFERROR(VLOOKUP(AL238,CODEBOOK_CAP!$C$2:$E$212,3,FALSE),""))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238" s="11" t="n">
        <v>0</v>
      </c>
      <c r="AP238" s="11"/>
      <c r="AQ238" s="11" t="n">
        <v>1</v>
      </c>
      <c r="AR238" s="11" t="n">
        <v>1</v>
      </c>
      <c r="AS238" s="11" t="s">
        <v>1592</v>
      </c>
      <c r="AT238" s="11" t="n">
        <v>0</v>
      </c>
      <c r="AU238" s="11"/>
      <c r="AV238" s="11"/>
      <c r="AW238" s="11"/>
      <c r="AX238" s="7" t="s">
        <v>84</v>
      </c>
      <c r="AY238" s="7"/>
      <c r="AZ238" s="7"/>
      <c r="BA238" s="7"/>
    </row>
    <row r="239" ht="99.75" customHeight="1">
      <c r="A239" s="4" t="s">
        <v>1593</v>
      </c>
      <c r="B239" s="4" t="n">
        <v>2022</v>
      </c>
      <c r="C239" s="4" t="n">
        <v>4681</v>
      </c>
      <c r="D239" s="4" t="s">
        <v>54</v>
      </c>
      <c r="E239" s="4" t="s">
        <v>1583</v>
      </c>
      <c r="F239" s="5" t="s">
        <v>1594</v>
      </c>
      <c r="G239" s="4" t="s">
        <v>57</v>
      </c>
      <c r="H239" s="4" t="s">
        <v>1585</v>
      </c>
      <c r="I239" s="4" t="s">
        <v>172</v>
      </c>
      <c r="J239" s="4" t="s">
        <v>1595</v>
      </c>
      <c r="K239" s="4" t="s">
        <v>239</v>
      </c>
      <c r="L239" s="5" t="s">
        <v>240</v>
      </c>
      <c r="M239" s="4" t="s">
        <v>241</v>
      </c>
      <c r="N239" s="5" t="s">
        <v>242</v>
      </c>
      <c r="O239" s="4" t="s">
        <v>243</v>
      </c>
      <c r="P239" s="5" t="s">
        <v>244</v>
      </c>
      <c r="Q239" s="4" t="s">
        <v>245</v>
      </c>
      <c r="R239" s="5" t="s">
        <v>246</v>
      </c>
      <c r="S239" s="4" t="s">
        <v>247</v>
      </c>
      <c r="T239" s="5" t="s">
        <v>248</v>
      </c>
      <c r="U239" s="4" t="s">
        <v>249</v>
      </c>
      <c r="V239" s="5" t="s">
        <v>104</v>
      </c>
      <c r="W239" s="4" t="s">
        <v>105</v>
      </c>
      <c r="X239" s="4" t="s">
        <v>106</v>
      </c>
      <c r="Y239" s="5"/>
      <c r="Z239" s="4" t="s">
        <v>107</v>
      </c>
      <c r="AA239" s="6" t="n">
        <v>100000</v>
      </c>
      <c r="AB239" s="6" t="n">
        <v>40000</v>
      </c>
      <c r="AC239" s="6" t="n">
        <v>40000</v>
      </c>
      <c r="AD239" s="6" t="n">
        <v>40000</v>
      </c>
      <c r="AE239" s="4" t="s">
        <v>250</v>
      </c>
      <c r="AF239" s="5" t="s">
        <v>251</v>
      </c>
      <c r="AG239" s="4" t="s">
        <v>78</v>
      </c>
      <c r="AH239" s="4" t="s">
        <v>79</v>
      </c>
      <c r="AI239" s="5" t="s">
        <v>80</v>
      </c>
      <c r="AJ239" s="1" t="n">
        <v>0</v>
      </c>
      <c r="AK239" s="11" t="n">
        <v>0</v>
      </c>
      <c r="AL239" s="12" t="s">
        <v>252</v>
      </c>
      <c r="AM239" s="13" t="str">
        <f>IF(AL239="","",AL239&amp;" - "&amp;IFERROR(VLOOKUP(AL239,CODEBOOK_CAP!$C$2:$D$212,2,FALSE),""))</f>
        <v>0202 - DISCRIMINAÇÃO POR GÊNERO OU ORIENTAÇÃO SEXUAL (MISOGINIA E HOMOFOBIA)</v>
      </c>
      <c r="AN239" s="13" t="str">
        <f>IF(AL239="","",IFERROR(VLOOKUP(AL239,CODEBOOK_CAP!$C$2:$E$212,3,FALSE),""))</f>
        <v>Políticas de promoção de igualdade de gênero e de igualdade de relações sociais relacionadas a gênero e orientação sexual. Misoginia, Homofobia, ataques homofóbicos, casamento homoafetivo, igualdade salarial para mulheres, igualdade de trabalho para mulheres, feminismo, Parada LGBT, LGBTQI, transexuais, homossexuais, bissexuais, travestis, relações de gênero com emprego ( tipos de posições, renda, promoção , salário) . VIOLÊNCIA DOMESTICA contra mulheres deve ser codificado em 1208</v>
      </c>
      <c r="AO239" s="11" t="n">
        <v>0</v>
      </c>
      <c r="AP239" s="11"/>
      <c r="AQ239" s="11" t="n">
        <v>0</v>
      </c>
      <c r="AR239" s="11" t="n">
        <v>0</v>
      </c>
      <c r="AS239" s="11"/>
      <c r="AT239" s="11" t="n">
        <v>1</v>
      </c>
      <c r="AU239" s="11" t="s">
        <v>1596</v>
      </c>
      <c r="AV239" s="11"/>
      <c r="AW239" s="11"/>
      <c r="AX239" s="7" t="s">
        <v>84</v>
      </c>
      <c r="AY239" s="7"/>
      <c r="AZ239" s="7"/>
      <c r="BA239" s="7"/>
    </row>
    <row r="240" ht="128.25" customHeight="1">
      <c r="A240" s="4" t="s">
        <v>1597</v>
      </c>
      <c r="B240" s="4" t="n">
        <v>2022</v>
      </c>
      <c r="C240" s="4" t="n">
        <v>4683</v>
      </c>
      <c r="D240" s="4" t="s">
        <v>54</v>
      </c>
      <c r="E240" s="4" t="s">
        <v>1583</v>
      </c>
      <c r="F240" s="5" t="s">
        <v>1598</v>
      </c>
      <c r="G240" s="4" t="s">
        <v>57</v>
      </c>
      <c r="H240" s="4" t="s">
        <v>1585</v>
      </c>
      <c r="I240" s="4" t="s">
        <v>172</v>
      </c>
      <c r="J240" s="4" t="s">
        <v>1599</v>
      </c>
      <c r="K240" s="4" t="s">
        <v>174</v>
      </c>
      <c r="L240" s="5" t="s">
        <v>175</v>
      </c>
      <c r="M240" s="4" t="s">
        <v>176</v>
      </c>
      <c r="N240" s="5" t="s">
        <v>177</v>
      </c>
      <c r="O240" s="4" t="s">
        <v>178</v>
      </c>
      <c r="P240" s="5" t="s">
        <v>179</v>
      </c>
      <c r="Q240" s="4" t="s">
        <v>180</v>
      </c>
      <c r="R240" s="5" t="s">
        <v>181</v>
      </c>
      <c r="S240" s="4" t="s">
        <v>182</v>
      </c>
      <c r="T240" s="5" t="s">
        <v>183</v>
      </c>
      <c r="U240" s="4" t="s">
        <v>184</v>
      </c>
      <c r="V240" s="5" t="s">
        <v>104</v>
      </c>
      <c r="W240" s="4" t="s">
        <v>105</v>
      </c>
      <c r="X240" s="4" t="s">
        <v>106</v>
      </c>
      <c r="Y240" s="5"/>
      <c r="Z240" s="4" t="s">
        <v>185</v>
      </c>
      <c r="AA240" s="6" t="n">
        <v>300000</v>
      </c>
      <c r="AB240" s="6"/>
      <c r="AC240" s="6"/>
      <c r="AD240" s="6"/>
      <c r="AE240" s="4" t="s">
        <v>1600</v>
      </c>
      <c r="AF240" s="5" t="s">
        <v>1601</v>
      </c>
      <c r="AG240" s="4" t="s">
        <v>115</v>
      </c>
      <c r="AH240" s="4" t="s">
        <v>115</v>
      </c>
      <c r="AI240" s="5" t="s">
        <v>115</v>
      </c>
      <c r="AJ240" s="1" t="n">
        <v>0</v>
      </c>
      <c r="AK240" s="11" t="n">
        <v>0</v>
      </c>
      <c r="AL240" s="12" t="s">
        <v>188</v>
      </c>
      <c r="AM240" s="13" t="str">
        <f>IF(AL240="","",AL240&amp;" - "&amp;IFERROR(VLOOKUP(AL240,CODEBOOK_CAP!$C$2:$D$212,2,FALSE),""))</f>
        <v>2300 - GERAL</v>
      </c>
      <c r="AN240" s="13" t="str">
        <f>IF(AL240="","",IFERROR(VLOOKUP(AL240,CODEBOOK_CAP!$C$2:$E$212,3,FALSE),""))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240" s="11" t="n">
        <v>0</v>
      </c>
      <c r="AP240" s="11"/>
      <c r="AQ240" s="11" t="n">
        <v>0</v>
      </c>
      <c r="AR240" s="11" t="n">
        <v>0</v>
      </c>
      <c r="AS240" s="11"/>
      <c r="AT240" s="11" t="n">
        <v>0</v>
      </c>
      <c r="AU240" s="11"/>
      <c r="AV240" s="11"/>
      <c r="AW240" s="11"/>
      <c r="AX240" s="7" t="s">
        <v>84</v>
      </c>
      <c r="AY240" s="7"/>
      <c r="AZ240" s="7"/>
      <c r="BA240" s="7"/>
      <c r="BB240" s="3" t="s">
        <v>6563</v>
      </c>
    </row>
    <row r="241" ht="71.25" customHeight="1">
      <c r="A241" s="4" t="s">
        <v>1602</v>
      </c>
      <c r="B241" s="4" t="n">
        <v>2022</v>
      </c>
      <c r="C241" s="4" t="n">
        <v>4687</v>
      </c>
      <c r="D241" s="4" t="s">
        <v>54</v>
      </c>
      <c r="E241" s="4" t="s">
        <v>1583</v>
      </c>
      <c r="F241" s="5" t="s">
        <v>1603</v>
      </c>
      <c r="G241" s="4" t="s">
        <v>57</v>
      </c>
      <c r="H241" s="4" t="s">
        <v>1585</v>
      </c>
      <c r="I241" s="4" t="s">
        <v>172</v>
      </c>
      <c r="J241" s="4" t="s">
        <v>1604</v>
      </c>
      <c r="K241" s="4" t="s">
        <v>1605</v>
      </c>
      <c r="L241" s="5" t="s">
        <v>1606</v>
      </c>
      <c r="M241" s="4" t="s">
        <v>1607</v>
      </c>
      <c r="N241" s="5" t="s">
        <v>177</v>
      </c>
      <c r="O241" s="4" t="s">
        <v>178</v>
      </c>
      <c r="P241" s="5" t="s">
        <v>66</v>
      </c>
      <c r="Q241" s="4" t="s">
        <v>67</v>
      </c>
      <c r="R241" s="5" t="s">
        <v>1608</v>
      </c>
      <c r="S241" s="4" t="s">
        <v>1609</v>
      </c>
      <c r="T241" s="5" t="s">
        <v>1610</v>
      </c>
      <c r="U241" s="4" t="s">
        <v>1611</v>
      </c>
      <c r="V241" s="5" t="s">
        <v>104</v>
      </c>
      <c r="W241" s="4" t="s">
        <v>105</v>
      </c>
      <c r="X241" s="4" t="s">
        <v>106</v>
      </c>
      <c r="Y241" s="5"/>
      <c r="Z241" s="4" t="s">
        <v>132</v>
      </c>
      <c r="AA241" s="6" t="n">
        <v>139000</v>
      </c>
      <c r="AB241" s="6" t="n">
        <v>0</v>
      </c>
      <c r="AC241" s="6" t="n">
        <v>0</v>
      </c>
      <c r="AD241" s="6" t="n">
        <v>0</v>
      </c>
      <c r="AE241" s="4" t="s">
        <v>1612</v>
      </c>
      <c r="AF241" s="5" t="s">
        <v>1613</v>
      </c>
      <c r="AG241" s="4" t="s">
        <v>115</v>
      </c>
      <c r="AH241" s="4" t="s">
        <v>115</v>
      </c>
      <c r="AI241" s="5" t="s">
        <v>115</v>
      </c>
      <c r="AJ241" s="1" t="n">
        <v>0</v>
      </c>
      <c r="AK241" s="11" t="n">
        <v>0</v>
      </c>
      <c r="AL241" s="12" t="s">
        <v>188</v>
      </c>
      <c r="AM241" s="13" t="str">
        <f>IF(AL241="","",AL241&amp;" - "&amp;IFERROR(VLOOKUP(AL241,CODEBOOK_CAP!$C$2:$D$212,2,FALSE),""))</f>
        <v>2300 - GERAL</v>
      </c>
      <c r="AN241" s="13" t="str">
        <f>IF(AL241="","",IFERROR(VLOOKUP(AL241,CODEBOOK_CAP!$C$2:$E$212,3,FALSE),""))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241" s="11" t="n">
        <v>0</v>
      </c>
      <c r="AP241" s="11"/>
      <c r="AQ241" s="11" t="n">
        <v>1</v>
      </c>
      <c r="AR241" s="11" t="n">
        <v>1</v>
      </c>
      <c r="AS241" s="11" t="s">
        <v>1614</v>
      </c>
      <c r="AT241" s="11" t="n">
        <v>0</v>
      </c>
      <c r="AU241" s="11"/>
      <c r="AV241" s="11"/>
      <c r="AW241" s="11"/>
      <c r="AX241" s="7" t="s">
        <v>84</v>
      </c>
      <c r="AY241" s="7"/>
      <c r="AZ241" s="7"/>
      <c r="BA241" s="7"/>
      <c r="BB241" s="3" t="s">
        <v>6563</v>
      </c>
    </row>
    <row r="242" ht="114" customHeight="1">
      <c r="A242" s="4" t="s">
        <v>1615</v>
      </c>
      <c r="B242" s="4" t="n">
        <v>2022</v>
      </c>
      <c r="C242" s="4" t="n">
        <v>4738</v>
      </c>
      <c r="D242" s="4" t="s">
        <v>54</v>
      </c>
      <c r="E242" s="4" t="s">
        <v>1583</v>
      </c>
      <c r="F242" s="5" t="s">
        <v>1616</v>
      </c>
      <c r="G242" s="4" t="s">
        <v>57</v>
      </c>
      <c r="H242" s="4" t="s">
        <v>1585</v>
      </c>
      <c r="I242" s="4" t="s">
        <v>172</v>
      </c>
      <c r="J242" s="4" t="s">
        <v>1617</v>
      </c>
      <c r="K242" s="4" t="s">
        <v>1618</v>
      </c>
      <c r="L242" s="5" t="s">
        <v>1606</v>
      </c>
      <c r="M242" s="4" t="s">
        <v>1607</v>
      </c>
      <c r="N242" s="5" t="s">
        <v>177</v>
      </c>
      <c r="O242" s="4" t="s">
        <v>178</v>
      </c>
      <c r="P242" s="5" t="s">
        <v>179</v>
      </c>
      <c r="Q242" s="4" t="s">
        <v>180</v>
      </c>
      <c r="R242" s="5" t="s">
        <v>181</v>
      </c>
      <c r="S242" s="4" t="s">
        <v>182</v>
      </c>
      <c r="T242" s="5" t="s">
        <v>1619</v>
      </c>
      <c r="U242" s="4" t="s">
        <v>1620</v>
      </c>
      <c r="V242" s="5" t="s">
        <v>104</v>
      </c>
      <c r="W242" s="4" t="s">
        <v>105</v>
      </c>
      <c r="X242" s="4" t="s">
        <v>106</v>
      </c>
      <c r="Y242" s="5"/>
      <c r="Z242" s="4" t="s">
        <v>185</v>
      </c>
      <c r="AA242" s="6" t="n">
        <v>400000</v>
      </c>
      <c r="AB242" s="6" t="n">
        <v>400000</v>
      </c>
      <c r="AC242" s="6" t="n">
        <v>400000</v>
      </c>
      <c r="AD242" s="6" t="n">
        <v>400000</v>
      </c>
      <c r="AE242" s="4" t="s">
        <v>1621</v>
      </c>
      <c r="AF242" s="5" t="s">
        <v>1622</v>
      </c>
      <c r="AG242" s="4" t="s">
        <v>78</v>
      </c>
      <c r="AH242" s="4" t="s">
        <v>79</v>
      </c>
      <c r="AI242" s="5" t="s">
        <v>80</v>
      </c>
      <c r="AJ242" s="1" t="n">
        <v>0</v>
      </c>
      <c r="AK242" s="11" t="n">
        <v>0</v>
      </c>
      <c r="AL242" s="12" t="s">
        <v>188</v>
      </c>
      <c r="AM242" s="13" t="str">
        <f>IF(AL242="","",AL242&amp;" - "&amp;IFERROR(VLOOKUP(AL242,CODEBOOK_CAP!$C$2:$D$212,2,FALSE),""))</f>
        <v>2300 - GERAL</v>
      </c>
      <c r="AN242" s="13" t="str">
        <f>IF(AL242="","",IFERROR(VLOOKUP(AL242,CODEBOOK_CAP!$C$2:$E$212,3,FALSE),""))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242" s="11" t="n">
        <v>0</v>
      </c>
      <c r="AP242" s="11"/>
      <c r="AQ242" s="11" t="n">
        <v>0</v>
      </c>
      <c r="AR242" s="11" t="n">
        <v>0</v>
      </c>
      <c r="AS242" s="11"/>
      <c r="AT242" s="11" t="n">
        <v>1</v>
      </c>
      <c r="AU242" s="11" t="s">
        <v>1623</v>
      </c>
      <c r="AV242" s="11"/>
      <c r="AW242" s="11"/>
      <c r="AX242" s="7" t="s">
        <v>84</v>
      </c>
      <c r="AY242" s="7"/>
      <c r="AZ242" s="7"/>
      <c r="BA242" s="7"/>
      <c r="BB242" s="3" t="s">
        <v>6563</v>
      </c>
    </row>
    <row r="243" ht="171" customHeight="1">
      <c r="A243" s="4" t="s">
        <v>1624</v>
      </c>
      <c r="B243" s="4" t="n">
        <v>2022</v>
      </c>
      <c r="C243" s="4" t="n">
        <v>4768</v>
      </c>
      <c r="D243" s="4" t="s">
        <v>54</v>
      </c>
      <c r="E243" s="4" t="s">
        <v>1625</v>
      </c>
      <c r="F243" s="5" t="s">
        <v>1626</v>
      </c>
      <c r="G243" s="4" t="s">
        <v>139</v>
      </c>
      <c r="H243" s="4" t="s">
        <v>1627</v>
      </c>
      <c r="I243" s="4" t="s">
        <v>1628</v>
      </c>
      <c r="J243" s="4" t="s">
        <v>1629</v>
      </c>
      <c r="K243" s="4" t="s">
        <v>115</v>
      </c>
      <c r="L243" s="5"/>
      <c r="M243" s="4"/>
      <c r="N243" s="5"/>
      <c r="O243" s="4"/>
      <c r="P243" s="5"/>
      <c r="Q243" s="4"/>
      <c r="R243" s="5"/>
      <c r="S243" s="4"/>
      <c r="T243" s="5"/>
      <c r="U243" s="4"/>
      <c r="V243" s="5"/>
      <c r="W243" s="4"/>
      <c r="X243" s="4"/>
      <c r="Y243" s="5"/>
      <c r="Z243" s="4" t="s">
        <v>139</v>
      </c>
      <c r="AA243" s="6" t="n">
        <v>200000</v>
      </c>
      <c r="AB243" s="6"/>
      <c r="AC243" s="6"/>
      <c r="AD243" s="6"/>
      <c r="AE243" s="4" t="s">
        <v>115</v>
      </c>
      <c r="AF243" s="5" t="s">
        <v>115</v>
      </c>
      <c r="AG243" s="4" t="s">
        <v>115</v>
      </c>
      <c r="AH243" s="4" t="s">
        <v>115</v>
      </c>
      <c r="AI243" s="5" t="s">
        <v>115</v>
      </c>
      <c r="AJ243" s="1" t="n">
        <v>0</v>
      </c>
      <c r="AK243" s="11" t="n">
        <v>0</v>
      </c>
      <c r="AL243" s="12" t="s">
        <v>135</v>
      </c>
      <c r="AM243" s="13" t="str">
        <f>IF(AL243="","",AL243&amp;" - "&amp;IFERROR(VLOOKUP(AL243,CODEBOOK_CAP!$C$2:$D$212,2,FALSE),""))</f>
        <v>1002 - CARROS, TRÂNSITO, CONSTRUÇÃO E MANUTENÇÃO DE RUAS E ESTRADAS</v>
      </c>
      <c r="AN243" s="13" t="str">
        <f>IF(AL243="","",IFERROR(VLOOKUP(AL243,CODEBOOK_CAP!$C$2:$E$212,3,FALSE),""))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243" s="11" t="n">
        <v>1</v>
      </c>
      <c r="AP243" s="11" t="s">
        <v>1630</v>
      </c>
      <c r="AQ243" s="11" t="n">
        <v>1</v>
      </c>
      <c r="AR243" s="11" t="n">
        <v>1</v>
      </c>
      <c r="AS243" s="11" t="s">
        <v>1630</v>
      </c>
      <c r="AT243" s="11" t="n">
        <v>0</v>
      </c>
      <c r="AU243" s="11"/>
      <c r="AV243" s="11"/>
      <c r="AW243" s="11"/>
      <c r="AX243" s="7" t="s">
        <v>84</v>
      </c>
      <c r="AY243" s="7"/>
      <c r="AZ243" s="7"/>
      <c r="BA243" s="7"/>
    </row>
    <row r="244" ht="142.5" customHeight="1">
      <c r="A244" s="4" t="s">
        <v>1631</v>
      </c>
      <c r="B244" s="4" t="n">
        <v>2022</v>
      </c>
      <c r="C244" s="4" t="n">
        <v>4769</v>
      </c>
      <c r="D244" s="4" t="s">
        <v>54</v>
      </c>
      <c r="E244" s="4" t="s">
        <v>1625</v>
      </c>
      <c r="F244" s="5" t="s">
        <v>1632</v>
      </c>
      <c r="G244" s="4" t="s">
        <v>139</v>
      </c>
      <c r="H244" s="4" t="s">
        <v>1627</v>
      </c>
      <c r="I244" s="4" t="s">
        <v>1628</v>
      </c>
      <c r="J244" s="4" t="s">
        <v>1633</v>
      </c>
      <c r="K244" s="4" t="s">
        <v>115</v>
      </c>
      <c r="L244" s="5"/>
      <c r="M244" s="4"/>
      <c r="N244" s="5"/>
      <c r="O244" s="4"/>
      <c r="P244" s="5"/>
      <c r="Q244" s="4"/>
      <c r="R244" s="5"/>
      <c r="S244" s="4"/>
      <c r="T244" s="5"/>
      <c r="U244" s="4"/>
      <c r="V244" s="5"/>
      <c r="W244" s="4"/>
      <c r="X244" s="4"/>
      <c r="Y244" s="5"/>
      <c r="Z244" s="4" t="s">
        <v>139</v>
      </c>
      <c r="AA244" s="6" t="n">
        <v>30000</v>
      </c>
      <c r="AB244" s="6"/>
      <c r="AC244" s="6"/>
      <c r="AD244" s="6"/>
      <c r="AE244" s="4" t="s">
        <v>115</v>
      </c>
      <c r="AF244" s="5" t="s">
        <v>115</v>
      </c>
      <c r="AG244" s="4" t="s">
        <v>115</v>
      </c>
      <c r="AH244" s="4" t="s">
        <v>115</v>
      </c>
      <c r="AI244" s="5" t="s">
        <v>115</v>
      </c>
      <c r="AJ244" s="1" t="n">
        <v>0</v>
      </c>
      <c r="AK244" s="11" t="n">
        <v>0</v>
      </c>
      <c r="AL244" s="12" t="s">
        <v>1634</v>
      </c>
      <c r="AM244" s="13" t="str">
        <f>IF(AL244="","",AL244&amp;" - "&amp;IFERROR(VLOOKUP(AL244,CODEBOOK_CAP!$C$2:$D$212,2,FALSE),""))</f>
        <v>0806 - ETANOL, ENERGIAS RENOVÁVEIS E ALTERNATIVAS</v>
      </c>
      <c r="AN244" s="13" t="str">
        <f>IF(AL244="","",IFERROR(VLOOKUP(AL244,CODEBOOK_CAP!$C$2:$E$212,3,FALSE),""))</f>
        <v>Obrservações relacionadas a políticas e projetos de produção, regulação e consumo de energias renováveis e alternativas as mencionadas acima (elétrica, hidroelétricas, térmica, gás, petróleo, carvão). Políticas de energia de hidrogênio, Biodiesel, energia eólica, instalação de pontos de energia eólica, energia solar, energia de biomassa, energias renováveis, energia de ondas, biogás, energias alternativas, energia proveniente de lixo, energia geotérmica, combustíveis alternativos. produção de etanol, desempenho de etanol, subsideos para producao do etanol, preço, regulação de etanol. Outras ernegias provenienetes de restos, bagaços, de plantas e compostos animais e vegetais</v>
      </c>
      <c r="AO244" s="11" t="n">
        <v>1</v>
      </c>
      <c r="AP244" s="11" t="s">
        <v>1635</v>
      </c>
      <c r="AQ244" s="11" t="n">
        <v>1</v>
      </c>
      <c r="AR244" s="11" t="n">
        <v>1</v>
      </c>
      <c r="AS244" s="11" t="s">
        <v>1636</v>
      </c>
      <c r="AT244" s="11" t="n">
        <v>1</v>
      </c>
      <c r="AU244" s="11" t="s">
        <v>503</v>
      </c>
      <c r="AV244" s="11"/>
      <c r="AW244" s="11"/>
      <c r="AX244" s="7" t="s">
        <v>84</v>
      </c>
      <c r="AY244" s="7"/>
      <c r="AZ244" s="7"/>
      <c r="BA244" s="7"/>
    </row>
    <row r="245" ht="171" customHeight="1">
      <c r="A245" s="4" t="s">
        <v>1637</v>
      </c>
      <c r="B245" s="4" t="n">
        <v>2022</v>
      </c>
      <c r="C245" s="4" t="n">
        <v>4770</v>
      </c>
      <c r="D245" s="4" t="s">
        <v>54</v>
      </c>
      <c r="E245" s="4" t="s">
        <v>1625</v>
      </c>
      <c r="F245" s="5" t="s">
        <v>1638</v>
      </c>
      <c r="G245" s="4" t="s">
        <v>139</v>
      </c>
      <c r="H245" s="4" t="s">
        <v>1627</v>
      </c>
      <c r="I245" s="4" t="s">
        <v>1628</v>
      </c>
      <c r="J245" s="4" t="s">
        <v>1639</v>
      </c>
      <c r="K245" s="4" t="s">
        <v>115</v>
      </c>
      <c r="L245" s="5"/>
      <c r="M245" s="4"/>
      <c r="N245" s="5"/>
      <c r="O245" s="4"/>
      <c r="P245" s="5"/>
      <c r="Q245" s="4"/>
      <c r="R245" s="5"/>
      <c r="S245" s="4"/>
      <c r="T245" s="5"/>
      <c r="U245" s="4"/>
      <c r="V245" s="5"/>
      <c r="W245" s="4"/>
      <c r="X245" s="4"/>
      <c r="Y245" s="5"/>
      <c r="Z245" s="4" t="s">
        <v>139</v>
      </c>
      <c r="AA245" s="6" t="n">
        <v>165000</v>
      </c>
      <c r="AB245" s="6"/>
      <c r="AC245" s="6"/>
      <c r="AD245" s="6"/>
      <c r="AE245" s="4" t="s">
        <v>115</v>
      </c>
      <c r="AF245" s="5" t="s">
        <v>115</v>
      </c>
      <c r="AG245" s="4" t="s">
        <v>115</v>
      </c>
      <c r="AH245" s="4" t="s">
        <v>115</v>
      </c>
      <c r="AI245" s="5" t="s">
        <v>115</v>
      </c>
      <c r="AJ245" s="1" t="n">
        <v>0</v>
      </c>
      <c r="AK245" s="11" t="n">
        <v>0</v>
      </c>
      <c r="AL245" s="12" t="s">
        <v>135</v>
      </c>
      <c r="AM245" s="13" t="str">
        <f>IF(AL245="","",AL245&amp;" - "&amp;IFERROR(VLOOKUP(AL245,CODEBOOK_CAP!$C$2:$D$212,2,FALSE),""))</f>
        <v>1002 - CARROS, TRÂNSITO, CONSTRUÇÃO E MANUTENÇÃO DE RUAS E ESTRADAS</v>
      </c>
      <c r="AN245" s="13" t="str">
        <f>IF(AL245="","",IFERROR(VLOOKUP(AL245,CODEBOOK_CAP!$C$2:$E$212,3,FALSE),""))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245" s="11" t="n">
        <v>1</v>
      </c>
      <c r="AP245" s="11" t="s">
        <v>1640</v>
      </c>
      <c r="AQ245" s="11" t="n">
        <v>1</v>
      </c>
      <c r="AR245" s="11" t="n">
        <v>1</v>
      </c>
      <c r="AS245" s="11" t="s">
        <v>1640</v>
      </c>
      <c r="AT245" s="11" t="n">
        <v>0</v>
      </c>
      <c r="AU245" s="11"/>
      <c r="AV245" s="11"/>
      <c r="AW245" s="11"/>
      <c r="AX245" s="7" t="s">
        <v>84</v>
      </c>
      <c r="AY245" s="7"/>
      <c r="AZ245" s="7"/>
      <c r="BA245" s="7"/>
    </row>
    <row r="246" ht="171" customHeight="1">
      <c r="A246" s="4" t="s">
        <v>1641</v>
      </c>
      <c r="B246" s="4" t="n">
        <v>2022</v>
      </c>
      <c r="C246" s="4" t="n">
        <v>4771</v>
      </c>
      <c r="D246" s="4" t="s">
        <v>54</v>
      </c>
      <c r="E246" s="4" t="s">
        <v>1625</v>
      </c>
      <c r="F246" s="5" t="s">
        <v>1642</v>
      </c>
      <c r="G246" s="4" t="s">
        <v>57</v>
      </c>
      <c r="H246" s="4" t="s">
        <v>1627</v>
      </c>
      <c r="I246" s="4" t="s">
        <v>1643</v>
      </c>
      <c r="J246" s="4" t="s">
        <v>1644</v>
      </c>
      <c r="K246" s="4" t="s">
        <v>1189</v>
      </c>
      <c r="L246" s="5" t="s">
        <v>122</v>
      </c>
      <c r="M246" s="4" t="s">
        <v>123</v>
      </c>
      <c r="N246" s="5" t="s">
        <v>124</v>
      </c>
      <c r="O246" s="4" t="s">
        <v>125</v>
      </c>
      <c r="P246" s="5" t="s">
        <v>126</v>
      </c>
      <c r="Q246" s="4" t="s">
        <v>127</v>
      </c>
      <c r="R246" s="5" t="s">
        <v>128</v>
      </c>
      <c r="S246" s="4" t="s">
        <v>129</v>
      </c>
      <c r="T246" s="5" t="s">
        <v>130</v>
      </c>
      <c r="U246" s="4" t="s">
        <v>131</v>
      </c>
      <c r="V246" s="5" t="s">
        <v>72</v>
      </c>
      <c r="W246" s="4" t="s">
        <v>73</v>
      </c>
      <c r="X246" s="4" t="s">
        <v>74</v>
      </c>
      <c r="Y246" s="5"/>
      <c r="Z246" s="4" t="s">
        <v>132</v>
      </c>
      <c r="AA246" s="6" t="n">
        <v>462000</v>
      </c>
      <c r="AB246" s="6" t="n">
        <v>288842.23999999999</v>
      </c>
      <c r="AC246" s="6" t="n">
        <v>288842.23999999999</v>
      </c>
      <c r="AD246" s="6" t="n">
        <v>288842.23999999999</v>
      </c>
      <c r="AE246" s="4" t="s">
        <v>1645</v>
      </c>
      <c r="AF246" s="5" t="s">
        <v>1646</v>
      </c>
      <c r="AG246" s="4" t="s">
        <v>115</v>
      </c>
      <c r="AH246" s="4" t="s">
        <v>115</v>
      </c>
      <c r="AI246" s="5" t="s">
        <v>115</v>
      </c>
      <c r="AJ246" s="1" t="n">
        <v>0</v>
      </c>
      <c r="AK246" s="11" t="n">
        <v>0</v>
      </c>
      <c r="AL246" s="12" t="s">
        <v>135</v>
      </c>
      <c r="AM246" s="13" t="str">
        <f>IF(AL246="","",AL246&amp;" - "&amp;IFERROR(VLOOKUP(AL246,CODEBOOK_CAP!$C$2:$D$212,2,FALSE),""))</f>
        <v>1002 - CARROS, TRÂNSITO, CONSTRUÇÃO E MANUTENÇÃO DE RUAS E ESTRADAS</v>
      </c>
      <c r="AN246" s="13" t="str">
        <f>IF(AL246="","",IFERROR(VLOOKUP(AL246,CODEBOOK_CAP!$C$2:$E$212,3,FALSE),""))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246" s="11" t="n">
        <v>1</v>
      </c>
      <c r="AP246" s="11" t="s">
        <v>1647</v>
      </c>
      <c r="AQ246" s="11" t="n">
        <v>1</v>
      </c>
      <c r="AR246" s="11" t="n">
        <v>1</v>
      </c>
      <c r="AS246" s="11" t="s">
        <v>1647</v>
      </c>
      <c r="AT246" s="11" t="n">
        <v>0</v>
      </c>
      <c r="AU246" s="11"/>
      <c r="AV246" s="11"/>
      <c r="AW246" s="11"/>
      <c r="AX246" s="7" t="s">
        <v>84</v>
      </c>
      <c r="AY246" s="7"/>
      <c r="AZ246" s="7"/>
      <c r="BA246" s="7"/>
    </row>
    <row r="247" ht="171" customHeight="1">
      <c r="A247" s="4" t="s">
        <v>1648</v>
      </c>
      <c r="B247" s="4" t="n">
        <v>2022</v>
      </c>
      <c r="C247" s="4" t="n">
        <v>4772</v>
      </c>
      <c r="D247" s="4" t="s">
        <v>54</v>
      </c>
      <c r="E247" s="4" t="s">
        <v>1625</v>
      </c>
      <c r="F247" s="5" t="s">
        <v>1649</v>
      </c>
      <c r="G247" s="4" t="s">
        <v>57</v>
      </c>
      <c r="H247" s="4" t="s">
        <v>1627</v>
      </c>
      <c r="I247" s="4" t="s">
        <v>1643</v>
      </c>
      <c r="J247" s="4" t="s">
        <v>1650</v>
      </c>
      <c r="K247" s="4" t="s">
        <v>1189</v>
      </c>
      <c r="L247" s="5" t="s">
        <v>122</v>
      </c>
      <c r="M247" s="4" t="s">
        <v>123</v>
      </c>
      <c r="N247" s="5" t="s">
        <v>124</v>
      </c>
      <c r="O247" s="4" t="s">
        <v>125</v>
      </c>
      <c r="P247" s="5" t="s">
        <v>126</v>
      </c>
      <c r="Q247" s="4" t="s">
        <v>127</v>
      </c>
      <c r="R247" s="5" t="s">
        <v>128</v>
      </c>
      <c r="S247" s="4" t="s">
        <v>129</v>
      </c>
      <c r="T247" s="5" t="s">
        <v>130</v>
      </c>
      <c r="U247" s="4" t="s">
        <v>131</v>
      </c>
      <c r="V247" s="5" t="s">
        <v>72</v>
      </c>
      <c r="W247" s="4" t="s">
        <v>73</v>
      </c>
      <c r="X247" s="4" t="s">
        <v>74</v>
      </c>
      <c r="Y247" s="5"/>
      <c r="Z247" s="4" t="s">
        <v>132</v>
      </c>
      <c r="AA247" s="6" t="n">
        <v>807000</v>
      </c>
      <c r="AB247" s="6" t="n">
        <v>807000</v>
      </c>
      <c r="AC247" s="6" t="n">
        <v>364975.11</v>
      </c>
      <c r="AD247" s="6" t="n">
        <v>442024.89</v>
      </c>
      <c r="AE247" s="4" t="s">
        <v>1651</v>
      </c>
      <c r="AF247" s="5" t="s">
        <v>1652</v>
      </c>
      <c r="AG247" s="4" t="s">
        <v>115</v>
      </c>
      <c r="AH247" s="4" t="s">
        <v>115</v>
      </c>
      <c r="AI247" s="5" t="s">
        <v>115</v>
      </c>
      <c r="AJ247" s="1" t="n">
        <v>0</v>
      </c>
      <c r="AK247" s="11" t="n">
        <v>0</v>
      </c>
      <c r="AL247" s="12" t="s">
        <v>135</v>
      </c>
      <c r="AM247" s="13" t="str">
        <f>IF(AL247="","",AL247&amp;" - "&amp;IFERROR(VLOOKUP(AL247,CODEBOOK_CAP!$C$2:$D$212,2,FALSE),""))</f>
        <v>1002 - CARROS, TRÂNSITO, CONSTRUÇÃO E MANUTENÇÃO DE RUAS E ESTRADAS</v>
      </c>
      <c r="AN247" s="13" t="str">
        <f>IF(AL247="","",IFERROR(VLOOKUP(AL247,CODEBOOK_CAP!$C$2:$E$212,3,FALSE),""))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247" s="11" t="n">
        <v>1</v>
      </c>
      <c r="AP247" s="11" t="s">
        <v>1653</v>
      </c>
      <c r="AQ247" s="11" t="n">
        <v>1</v>
      </c>
      <c r="AR247" s="11" t="n">
        <v>1</v>
      </c>
      <c r="AS247" s="11" t="s">
        <v>1653</v>
      </c>
      <c r="AT247" s="11" t="n">
        <v>0</v>
      </c>
      <c r="AU247" s="11"/>
      <c r="AV247" s="11"/>
      <c r="AW247" s="11"/>
      <c r="AX247" s="7" t="s">
        <v>84</v>
      </c>
      <c r="AY247" s="7"/>
      <c r="AZ247" s="7"/>
      <c r="BA247" s="7"/>
    </row>
    <row r="248" ht="171" customHeight="1">
      <c r="A248" s="4" t="s">
        <v>1654</v>
      </c>
      <c r="B248" s="4" t="n">
        <v>2022</v>
      </c>
      <c r="C248" s="4" t="n">
        <v>4773</v>
      </c>
      <c r="D248" s="4" t="s">
        <v>54</v>
      </c>
      <c r="E248" s="4" t="s">
        <v>1625</v>
      </c>
      <c r="F248" s="5" t="s">
        <v>1655</v>
      </c>
      <c r="G248" s="4" t="s">
        <v>139</v>
      </c>
      <c r="H248" s="4" t="s">
        <v>1627</v>
      </c>
      <c r="I248" s="4" t="s">
        <v>1628</v>
      </c>
      <c r="J248" s="4" t="s">
        <v>1656</v>
      </c>
      <c r="K248" s="4" t="s">
        <v>115</v>
      </c>
      <c r="L248" s="5"/>
      <c r="M248" s="4"/>
      <c r="N248" s="5"/>
      <c r="O248" s="4"/>
      <c r="P248" s="5"/>
      <c r="Q248" s="4"/>
      <c r="R248" s="5"/>
      <c r="S248" s="4"/>
      <c r="T248" s="5"/>
      <c r="U248" s="4"/>
      <c r="V248" s="5"/>
      <c r="W248" s="4"/>
      <c r="X248" s="4"/>
      <c r="Y248" s="5"/>
      <c r="Z248" s="4" t="s">
        <v>139</v>
      </c>
      <c r="AA248" s="6" t="n">
        <v>97000</v>
      </c>
      <c r="AB248" s="6"/>
      <c r="AC248" s="6"/>
      <c r="AD248" s="6"/>
      <c r="AE248" s="4" t="s">
        <v>115</v>
      </c>
      <c r="AF248" s="5" t="s">
        <v>115</v>
      </c>
      <c r="AG248" s="4" t="s">
        <v>115</v>
      </c>
      <c r="AH248" s="4" t="s">
        <v>115</v>
      </c>
      <c r="AI248" s="5" t="s">
        <v>115</v>
      </c>
      <c r="AJ248" s="1" t="n">
        <v>0</v>
      </c>
      <c r="AK248" s="11" t="n">
        <v>0</v>
      </c>
      <c r="AL248" s="12" t="s">
        <v>135</v>
      </c>
      <c r="AM248" s="13" t="str">
        <f>IF(AL248="","",AL248&amp;" - "&amp;IFERROR(VLOOKUP(AL248,CODEBOOK_CAP!$C$2:$D$212,2,FALSE),""))</f>
        <v>1002 - CARROS, TRÂNSITO, CONSTRUÇÃO E MANUTENÇÃO DE RUAS E ESTRADAS</v>
      </c>
      <c r="AN248" s="13" t="str">
        <f>IF(AL248="","",IFERROR(VLOOKUP(AL248,CODEBOOK_CAP!$C$2:$E$212,3,FALSE),""))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248" s="11" t="n">
        <v>1</v>
      </c>
      <c r="AP248" s="11" t="s">
        <v>1657</v>
      </c>
      <c r="AQ248" s="11" t="n">
        <v>1</v>
      </c>
      <c r="AR248" s="11" t="n">
        <v>1</v>
      </c>
      <c r="AS248" s="11" t="s">
        <v>1657</v>
      </c>
      <c r="AT248" s="11" t="n">
        <v>0</v>
      </c>
      <c r="AU248" s="11"/>
      <c r="AV248" s="11"/>
      <c r="AW248" s="11"/>
      <c r="AX248" s="7" t="s">
        <v>84</v>
      </c>
      <c r="AY248" s="7"/>
      <c r="AZ248" s="7"/>
      <c r="BA248" s="7"/>
    </row>
    <row r="249" ht="171" customHeight="1">
      <c r="A249" s="4" t="s">
        <v>1658</v>
      </c>
      <c r="B249" s="4" t="n">
        <v>2022</v>
      </c>
      <c r="C249" s="4" t="n">
        <v>4774</v>
      </c>
      <c r="D249" s="4" t="s">
        <v>54</v>
      </c>
      <c r="E249" s="4" t="s">
        <v>1625</v>
      </c>
      <c r="F249" s="5" t="s">
        <v>1659</v>
      </c>
      <c r="G249" s="4" t="s">
        <v>139</v>
      </c>
      <c r="H249" s="4" t="s">
        <v>1627</v>
      </c>
      <c r="I249" s="4" t="s">
        <v>1628</v>
      </c>
      <c r="J249" s="4" t="s">
        <v>1660</v>
      </c>
      <c r="K249" s="4" t="s">
        <v>115</v>
      </c>
      <c r="L249" s="5"/>
      <c r="M249" s="4"/>
      <c r="N249" s="5"/>
      <c r="O249" s="4"/>
      <c r="P249" s="5"/>
      <c r="Q249" s="4"/>
      <c r="R249" s="5"/>
      <c r="S249" s="4"/>
      <c r="T249" s="5"/>
      <c r="U249" s="4"/>
      <c r="V249" s="5"/>
      <c r="W249" s="4"/>
      <c r="X249" s="4"/>
      <c r="Y249" s="5"/>
      <c r="Z249" s="4" t="s">
        <v>139</v>
      </c>
      <c r="AA249" s="6" t="n">
        <v>265000</v>
      </c>
      <c r="AB249" s="6"/>
      <c r="AC249" s="6"/>
      <c r="AD249" s="6"/>
      <c r="AE249" s="4" t="s">
        <v>115</v>
      </c>
      <c r="AF249" s="5" t="s">
        <v>115</v>
      </c>
      <c r="AG249" s="4" t="s">
        <v>115</v>
      </c>
      <c r="AH249" s="4" t="s">
        <v>115</v>
      </c>
      <c r="AI249" s="5" t="s">
        <v>115</v>
      </c>
      <c r="AJ249" s="1" t="n">
        <v>0</v>
      </c>
      <c r="AK249" s="11" t="n">
        <v>0</v>
      </c>
      <c r="AL249" s="12" t="s">
        <v>135</v>
      </c>
      <c r="AM249" s="13" t="str">
        <f>IF(AL249="","",AL249&amp;" - "&amp;IFERROR(VLOOKUP(AL249,CODEBOOK_CAP!$C$2:$D$212,2,FALSE),""))</f>
        <v>1002 - CARROS, TRÂNSITO, CONSTRUÇÃO E MANUTENÇÃO DE RUAS E ESTRADAS</v>
      </c>
      <c r="AN249" s="13" t="str">
        <f>IF(AL249="","",IFERROR(VLOOKUP(AL249,CODEBOOK_CAP!$C$2:$E$212,3,FALSE),""))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249" s="11" t="n">
        <v>1</v>
      </c>
      <c r="AP249" s="11" t="s">
        <v>1661</v>
      </c>
      <c r="AQ249" s="11" t="n">
        <v>1</v>
      </c>
      <c r="AR249" s="11" t="n">
        <v>1</v>
      </c>
      <c r="AS249" s="11" t="s">
        <v>1661</v>
      </c>
      <c r="AT249" s="11" t="n">
        <v>0</v>
      </c>
      <c r="AU249" s="11"/>
      <c r="AV249" s="11"/>
      <c r="AW249" s="11"/>
      <c r="AX249" s="7" t="s">
        <v>84</v>
      </c>
      <c r="AY249" s="7"/>
      <c r="AZ249" s="7"/>
      <c r="BA249" s="7"/>
    </row>
    <row r="250" ht="171" customHeight="1">
      <c r="A250" s="4" t="s">
        <v>1662</v>
      </c>
      <c r="B250" s="4" t="n">
        <v>2022</v>
      </c>
      <c r="C250" s="4" t="n">
        <v>4619</v>
      </c>
      <c r="D250" s="4" t="s">
        <v>54</v>
      </c>
      <c r="E250" s="4" t="s">
        <v>1663</v>
      </c>
      <c r="F250" s="5" t="s">
        <v>1664</v>
      </c>
      <c r="G250" s="4" t="s">
        <v>57</v>
      </c>
      <c r="H250" s="4" t="s">
        <v>1665</v>
      </c>
      <c r="I250" s="4" t="s">
        <v>1666</v>
      </c>
      <c r="J250" s="4" t="s">
        <v>1667</v>
      </c>
      <c r="K250" s="4" t="s">
        <v>1189</v>
      </c>
      <c r="L250" s="5" t="s">
        <v>122</v>
      </c>
      <c r="M250" s="4" t="s">
        <v>123</v>
      </c>
      <c r="N250" s="5" t="s">
        <v>124</v>
      </c>
      <c r="O250" s="4" t="s">
        <v>125</v>
      </c>
      <c r="P250" s="5" t="s">
        <v>126</v>
      </c>
      <c r="Q250" s="4" t="s">
        <v>127</v>
      </c>
      <c r="R250" s="5" t="s">
        <v>128</v>
      </c>
      <c r="S250" s="4" t="s">
        <v>129</v>
      </c>
      <c r="T250" s="5" t="s">
        <v>130</v>
      </c>
      <c r="U250" s="4" t="s">
        <v>131</v>
      </c>
      <c r="V250" s="5" t="s">
        <v>72</v>
      </c>
      <c r="W250" s="4" t="s">
        <v>73</v>
      </c>
      <c r="X250" s="4" t="s">
        <v>74</v>
      </c>
      <c r="Y250" s="5"/>
      <c r="Z250" s="4" t="s">
        <v>132</v>
      </c>
      <c r="AA250" s="6" t="n">
        <v>98000</v>
      </c>
      <c r="AB250" s="6" t="n">
        <v>18745</v>
      </c>
      <c r="AC250" s="6" t="n">
        <v>18745</v>
      </c>
      <c r="AD250" s="6" t="n">
        <v>18745</v>
      </c>
      <c r="AE250" s="4" t="s">
        <v>1668</v>
      </c>
      <c r="AF250" s="5" t="s">
        <v>1669</v>
      </c>
      <c r="AG250" s="4" t="s">
        <v>78</v>
      </c>
      <c r="AH250" s="4" t="s">
        <v>79</v>
      </c>
      <c r="AI250" s="5" t="s">
        <v>80</v>
      </c>
      <c r="AJ250" s="1" t="n">
        <v>0</v>
      </c>
      <c r="AK250" s="11" t="n">
        <v>0</v>
      </c>
      <c r="AL250" s="12" t="s">
        <v>135</v>
      </c>
      <c r="AM250" s="13" t="str">
        <f>IF(AL250="","",AL250&amp;" - "&amp;IFERROR(VLOOKUP(AL250,CODEBOOK_CAP!$C$2:$D$212,2,FALSE),""))</f>
        <v>1002 - CARROS, TRÂNSITO, CONSTRUÇÃO E MANUTENÇÃO DE RUAS E ESTRADAS</v>
      </c>
      <c r="AN250" s="13" t="str">
        <f>IF(AL250="","",IFERROR(VLOOKUP(AL250,CODEBOOK_CAP!$C$2:$E$212,3,FALSE),""))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250" s="11" t="n">
        <v>1</v>
      </c>
      <c r="AP250" s="11" t="s">
        <v>1670</v>
      </c>
      <c r="AQ250" s="11" t="n">
        <v>1</v>
      </c>
      <c r="AR250" s="11" t="n">
        <v>1</v>
      </c>
      <c r="AS250" s="11" t="s">
        <v>1670</v>
      </c>
      <c r="AT250" s="11" t="n">
        <v>0</v>
      </c>
      <c r="AU250" s="11"/>
      <c r="AV250" s="11"/>
      <c r="AW250" s="11"/>
      <c r="AX250" s="7" t="s">
        <v>84</v>
      </c>
      <c r="AY250" s="7"/>
      <c r="AZ250" s="7"/>
      <c r="BA250" s="7"/>
    </row>
    <row r="251" ht="57" customHeight="1">
      <c r="A251" s="4" t="s">
        <v>1671</v>
      </c>
      <c r="B251" s="4" t="n">
        <v>2022</v>
      </c>
      <c r="C251" s="4" t="n">
        <v>4620</v>
      </c>
      <c r="D251" s="4" t="s">
        <v>54</v>
      </c>
      <c r="E251" s="4" t="s">
        <v>1663</v>
      </c>
      <c r="F251" s="5" t="s">
        <v>1672</v>
      </c>
      <c r="G251" s="4" t="s">
        <v>57</v>
      </c>
      <c r="H251" s="4" t="s">
        <v>1665</v>
      </c>
      <c r="I251" s="4" t="s">
        <v>1666</v>
      </c>
      <c r="J251" s="4" t="s">
        <v>1673</v>
      </c>
      <c r="K251" s="4" t="s">
        <v>1189</v>
      </c>
      <c r="L251" s="5" t="s">
        <v>122</v>
      </c>
      <c r="M251" s="4" t="s">
        <v>123</v>
      </c>
      <c r="N251" s="5" t="s">
        <v>124</v>
      </c>
      <c r="O251" s="4" t="s">
        <v>125</v>
      </c>
      <c r="P251" s="5" t="s">
        <v>126</v>
      </c>
      <c r="Q251" s="4" t="s">
        <v>127</v>
      </c>
      <c r="R251" s="5" t="s">
        <v>128</v>
      </c>
      <c r="S251" s="4" t="s">
        <v>129</v>
      </c>
      <c r="T251" s="5" t="s">
        <v>130</v>
      </c>
      <c r="U251" s="4" t="s">
        <v>131</v>
      </c>
      <c r="V251" s="5" t="s">
        <v>72</v>
      </c>
      <c r="W251" s="4" t="s">
        <v>73</v>
      </c>
      <c r="X251" s="4" t="s">
        <v>74</v>
      </c>
      <c r="Y251" s="5"/>
      <c r="Z251" s="4" t="s">
        <v>132</v>
      </c>
      <c r="AA251" s="6" t="n">
        <v>98000</v>
      </c>
      <c r="AB251" s="6"/>
      <c r="AC251" s="6"/>
      <c r="AD251" s="6"/>
      <c r="AE251" s="4" t="s">
        <v>1668</v>
      </c>
      <c r="AF251" s="5" t="s">
        <v>1669</v>
      </c>
      <c r="AG251" s="4" t="s">
        <v>115</v>
      </c>
      <c r="AH251" s="4" t="s">
        <v>115</v>
      </c>
      <c r="AI251" s="5" t="s">
        <v>115</v>
      </c>
      <c r="AJ251" s="1" t="n">
        <v>0</v>
      </c>
      <c r="AK251" s="11" t="n">
        <v>0</v>
      </c>
      <c r="AL251" s="12" t="s">
        <v>328</v>
      </c>
      <c r="AM251" s="13" t="str">
        <f>IF(AL251="","",AL251&amp;" - "&amp;IFERROR(VLOOKUP(AL251,CODEBOOK_CAP!$C$2:$D$212,2,FALSE),""))</f>
        <v>1403 - REABILITAÇÃO URBANA, ECONOMIA URBANA</v>
      </c>
      <c r="AN251" s="13" t="str">
        <f>IF(AL251="","",IFERROR(VLOOKUP(AL251,CODEBOOK_CAP!$C$2:$E$212,3,FALSE),""))</f>
        <v>Reabilitação de áreas urbanas, revitalização urbana, modernização de áreas, mercados públicos, revitalização de praças, política urbana nacional, desenvolvimento urbano , desenvolvimento econômico de estados e cidades, modernização de espaços urbanos</v>
      </c>
      <c r="AO251" s="11" t="n">
        <v>1</v>
      </c>
      <c r="AP251" s="11" t="s">
        <v>1674</v>
      </c>
      <c r="AQ251" s="11" t="n">
        <v>1</v>
      </c>
      <c r="AR251" s="11" t="n">
        <v>1</v>
      </c>
      <c r="AS251" s="11" t="s">
        <v>1674</v>
      </c>
      <c r="AT251" s="11" t="n">
        <v>0</v>
      </c>
      <c r="AU251" s="11"/>
      <c r="AV251" s="11"/>
      <c r="AW251" s="11"/>
      <c r="AX251" s="7" t="s">
        <v>84</v>
      </c>
      <c r="AY251" s="7"/>
      <c r="AZ251" s="7"/>
      <c r="BA251" s="7"/>
    </row>
    <row r="252" ht="171" customHeight="1">
      <c r="A252" s="4" t="s">
        <v>1675</v>
      </c>
      <c r="B252" s="4" t="n">
        <v>2022</v>
      </c>
      <c r="C252" s="4" t="n">
        <v>4621</v>
      </c>
      <c r="D252" s="4" t="s">
        <v>54</v>
      </c>
      <c r="E252" s="4" t="s">
        <v>1663</v>
      </c>
      <c r="F252" s="5" t="s">
        <v>1676</v>
      </c>
      <c r="G252" s="4" t="s">
        <v>57</v>
      </c>
      <c r="H252" s="4" t="s">
        <v>1665</v>
      </c>
      <c r="I252" s="4" t="s">
        <v>1666</v>
      </c>
      <c r="J252" s="4" t="s">
        <v>1677</v>
      </c>
      <c r="K252" s="4" t="s">
        <v>1189</v>
      </c>
      <c r="L252" s="5" t="s">
        <v>122</v>
      </c>
      <c r="M252" s="4" t="s">
        <v>123</v>
      </c>
      <c r="N252" s="5" t="s">
        <v>124</v>
      </c>
      <c r="O252" s="4" t="s">
        <v>125</v>
      </c>
      <c r="P252" s="5" t="s">
        <v>126</v>
      </c>
      <c r="Q252" s="4" t="s">
        <v>127</v>
      </c>
      <c r="R252" s="5" t="s">
        <v>128</v>
      </c>
      <c r="S252" s="4" t="s">
        <v>129</v>
      </c>
      <c r="T252" s="5" t="s">
        <v>130</v>
      </c>
      <c r="U252" s="4" t="s">
        <v>131</v>
      </c>
      <c r="V252" s="5" t="s">
        <v>72</v>
      </c>
      <c r="W252" s="4" t="s">
        <v>73</v>
      </c>
      <c r="X252" s="4" t="s">
        <v>74</v>
      </c>
      <c r="Y252" s="5"/>
      <c r="Z252" s="4" t="s">
        <v>132</v>
      </c>
      <c r="AA252" s="6" t="n">
        <v>520000</v>
      </c>
      <c r="AB252" s="6" t="n">
        <v>0</v>
      </c>
      <c r="AC252" s="6" t="n">
        <v>0</v>
      </c>
      <c r="AD252" s="6" t="n">
        <v>0</v>
      </c>
      <c r="AE252" s="4" t="s">
        <v>1678</v>
      </c>
      <c r="AF252" s="5" t="s">
        <v>1679</v>
      </c>
      <c r="AG252" s="4" t="s">
        <v>115</v>
      </c>
      <c r="AH252" s="4" t="s">
        <v>115</v>
      </c>
      <c r="AI252" s="5" t="s">
        <v>115</v>
      </c>
      <c r="AJ252" s="1" t="n">
        <v>0</v>
      </c>
      <c r="AK252" s="11" t="n">
        <v>0</v>
      </c>
      <c r="AL252" s="12" t="s">
        <v>135</v>
      </c>
      <c r="AM252" s="13" t="str">
        <f>IF(AL252="","",AL252&amp;" - "&amp;IFERROR(VLOOKUP(AL252,CODEBOOK_CAP!$C$2:$D$212,2,FALSE),""))</f>
        <v>1002 - CARROS, TRÂNSITO, CONSTRUÇÃO E MANUTENÇÃO DE RUAS E ESTRADAS</v>
      </c>
      <c r="AN252" s="13" t="str">
        <f>IF(AL252="","",IFERROR(VLOOKUP(AL252,CODEBOOK_CAP!$C$2:$E$212,3,FALSE),""))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252" s="11" t="n">
        <v>1</v>
      </c>
      <c r="AP252" s="11" t="s">
        <v>1680</v>
      </c>
      <c r="AQ252" s="11" t="n">
        <v>2</v>
      </c>
      <c r="AR252" s="11" t="n">
        <v>1</v>
      </c>
      <c r="AS252" s="11" t="s">
        <v>1680</v>
      </c>
      <c r="AT252" s="11" t="n">
        <v>0</v>
      </c>
      <c r="AU252" s="11"/>
      <c r="AV252" s="11"/>
      <c r="AW252" s="11"/>
      <c r="AX252" s="7" t="s">
        <v>84</v>
      </c>
      <c r="AY252" s="7"/>
      <c r="AZ252" s="7"/>
      <c r="BA252" s="7"/>
    </row>
    <row r="253" ht="171" customHeight="1">
      <c r="A253" s="4" t="s">
        <v>1681</v>
      </c>
      <c r="B253" s="4" t="n">
        <v>2022</v>
      </c>
      <c r="C253" s="4" t="n">
        <v>4622</v>
      </c>
      <c r="D253" s="4" t="s">
        <v>54</v>
      </c>
      <c r="E253" s="4" t="s">
        <v>1663</v>
      </c>
      <c r="F253" s="5" t="s">
        <v>1682</v>
      </c>
      <c r="G253" s="4" t="s">
        <v>139</v>
      </c>
      <c r="H253" s="4" t="s">
        <v>1665</v>
      </c>
      <c r="I253" s="4" t="s">
        <v>1666</v>
      </c>
      <c r="J253" s="4" t="s">
        <v>1683</v>
      </c>
      <c r="K253" s="4" t="s">
        <v>115</v>
      </c>
      <c r="L253" s="5"/>
      <c r="M253" s="4"/>
      <c r="N253" s="5"/>
      <c r="O253" s="4"/>
      <c r="P253" s="5"/>
      <c r="Q253" s="4"/>
      <c r="R253" s="5"/>
      <c r="S253" s="4"/>
      <c r="T253" s="5"/>
      <c r="U253" s="4"/>
      <c r="V253" s="5"/>
      <c r="W253" s="4"/>
      <c r="X253" s="4"/>
      <c r="Y253" s="5"/>
      <c r="Z253" s="4" t="s">
        <v>139</v>
      </c>
      <c r="AA253" s="6" t="n">
        <v>260000</v>
      </c>
      <c r="AB253" s="6"/>
      <c r="AC253" s="6"/>
      <c r="AD253" s="6"/>
      <c r="AE253" s="4" t="s">
        <v>115</v>
      </c>
      <c r="AF253" s="5" t="s">
        <v>115</v>
      </c>
      <c r="AG253" s="4" t="s">
        <v>115</v>
      </c>
      <c r="AH253" s="4" t="s">
        <v>115</v>
      </c>
      <c r="AI253" s="5" t="s">
        <v>115</v>
      </c>
      <c r="AJ253" s="1" t="n">
        <v>0</v>
      </c>
      <c r="AK253" s="11" t="n">
        <v>0</v>
      </c>
      <c r="AL253" s="12" t="s">
        <v>135</v>
      </c>
      <c r="AM253" s="13" t="str">
        <f>IF(AL253="","",AL253&amp;" - "&amp;IFERROR(VLOOKUP(AL253,CODEBOOK_CAP!$C$2:$D$212,2,FALSE),""))</f>
        <v>1002 - CARROS, TRÂNSITO, CONSTRUÇÃO E MANUTENÇÃO DE RUAS E ESTRADAS</v>
      </c>
      <c r="AN253" s="13" t="str">
        <f>IF(AL253="","",IFERROR(VLOOKUP(AL253,CODEBOOK_CAP!$C$2:$E$212,3,FALSE),""))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253" s="11" t="n">
        <v>1</v>
      </c>
      <c r="AP253" s="11" t="s">
        <v>1684</v>
      </c>
      <c r="AQ253" s="11" t="n">
        <v>1</v>
      </c>
      <c r="AR253" s="11" t="n">
        <v>1</v>
      </c>
      <c r="AS253" s="11" t="s">
        <v>1684</v>
      </c>
      <c r="AT253" s="11" t="n">
        <v>0</v>
      </c>
      <c r="AU253" s="11"/>
      <c r="AV253" s="11"/>
      <c r="AW253" s="11"/>
      <c r="AX253" s="7" t="s">
        <v>84</v>
      </c>
      <c r="AY253" s="7"/>
      <c r="AZ253" s="7"/>
      <c r="BA253" s="7"/>
    </row>
    <row r="254" ht="156.75" customHeight="1">
      <c r="A254" s="4" t="s">
        <v>1685</v>
      </c>
      <c r="B254" s="4" t="n">
        <v>2022</v>
      </c>
      <c r="C254" s="4" t="n">
        <v>4623</v>
      </c>
      <c r="D254" s="4" t="s">
        <v>54</v>
      </c>
      <c r="E254" s="4" t="s">
        <v>1663</v>
      </c>
      <c r="F254" s="5" t="s">
        <v>1686</v>
      </c>
      <c r="G254" s="4" t="s">
        <v>289</v>
      </c>
      <c r="H254" s="4" t="s">
        <v>1665</v>
      </c>
      <c r="I254" s="4" t="s">
        <v>1666</v>
      </c>
      <c r="J254" s="4" t="s">
        <v>1687</v>
      </c>
      <c r="K254" s="4" t="s">
        <v>115</v>
      </c>
      <c r="L254" s="5"/>
      <c r="M254" s="4"/>
      <c r="N254" s="5"/>
      <c r="O254" s="4"/>
      <c r="P254" s="5"/>
      <c r="Q254" s="4"/>
      <c r="R254" s="5"/>
      <c r="S254" s="4"/>
      <c r="T254" s="5"/>
      <c r="U254" s="4"/>
      <c r="V254" s="5"/>
      <c r="W254" s="4"/>
      <c r="X254" s="4"/>
      <c r="Y254" s="5"/>
      <c r="Z254" s="4" t="s">
        <v>289</v>
      </c>
      <c r="AA254" s="6" t="n">
        <v>285000</v>
      </c>
      <c r="AB254" s="6"/>
      <c r="AC254" s="6"/>
      <c r="AD254" s="6"/>
      <c r="AE254" s="4" t="s">
        <v>115</v>
      </c>
      <c r="AF254" s="5" t="s">
        <v>115</v>
      </c>
      <c r="AG254" s="4" t="s">
        <v>115</v>
      </c>
      <c r="AH254" s="4" t="s">
        <v>115</v>
      </c>
      <c r="AI254" s="5" t="s">
        <v>115</v>
      </c>
      <c r="AJ254" s="1" t="n">
        <v>0</v>
      </c>
      <c r="AK254" s="11" t="n">
        <v>0</v>
      </c>
      <c r="AL254" s="12" t="s">
        <v>111</v>
      </c>
      <c r="AM254" s="13" t="str">
        <f>IF(AL254="","",AL254&amp;" - "&amp;IFERROR(VLOOKUP(AL254,CODEBOOK_CAP!$C$2:$D$212,2,FALSE),""))</f>
        <v>1300 - GERAL</v>
      </c>
      <c r="AN254" s="13" t="str">
        <f>IF(AL254="","",IFERROR(VLOOKUP(AL254,CODEBOOK_CAP!$C$2:$E$212,3,FALSE),""))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254" s="11" t="n">
        <v>0</v>
      </c>
      <c r="AP254" s="11"/>
      <c r="AQ254" s="11" t="n">
        <v>0</v>
      </c>
      <c r="AR254" s="11" t="n">
        <v>0</v>
      </c>
      <c r="AS254" s="11"/>
      <c r="AT254" s="11" t="n">
        <v>0</v>
      </c>
      <c r="AU254" s="11"/>
      <c r="AV254" s="11"/>
      <c r="AW254" s="11"/>
      <c r="AX254" s="7" t="s">
        <v>84</v>
      </c>
      <c r="AY254" s="7"/>
      <c r="AZ254" s="7"/>
      <c r="BA254" s="7"/>
    </row>
    <row r="255" ht="71.25" customHeight="1">
      <c r="A255" s="4" t="s">
        <v>1688</v>
      </c>
      <c r="B255" s="4" t="n">
        <v>2022</v>
      </c>
      <c r="C255" s="4" t="n">
        <v>4624</v>
      </c>
      <c r="D255" s="4" t="s">
        <v>54</v>
      </c>
      <c r="E255" s="4" t="s">
        <v>1663</v>
      </c>
      <c r="F255" s="5" t="s">
        <v>1689</v>
      </c>
      <c r="G255" s="4" t="s">
        <v>57</v>
      </c>
      <c r="H255" s="4" t="s">
        <v>1665</v>
      </c>
      <c r="I255" s="4" t="s">
        <v>1666</v>
      </c>
      <c r="J255" s="4" t="s">
        <v>1690</v>
      </c>
      <c r="K255" s="4" t="s">
        <v>415</v>
      </c>
      <c r="L255" s="5" t="s">
        <v>122</v>
      </c>
      <c r="M255" s="4" t="s">
        <v>123</v>
      </c>
      <c r="N255" s="5" t="s">
        <v>227</v>
      </c>
      <c r="O255" s="4" t="s">
        <v>228</v>
      </c>
      <c r="P255" s="5" t="s">
        <v>229</v>
      </c>
      <c r="Q255" s="4" t="s">
        <v>230</v>
      </c>
      <c r="R255" s="5" t="s">
        <v>322</v>
      </c>
      <c r="S255" s="4" t="s">
        <v>323</v>
      </c>
      <c r="T255" s="5" t="s">
        <v>416</v>
      </c>
      <c r="U255" s="4" t="s">
        <v>417</v>
      </c>
      <c r="V255" s="5" t="s">
        <v>72</v>
      </c>
      <c r="W255" s="4" t="s">
        <v>73</v>
      </c>
      <c r="X255" s="4" t="s">
        <v>74</v>
      </c>
      <c r="Y255" s="5"/>
      <c r="Z255" s="4" t="s">
        <v>132</v>
      </c>
      <c r="AA255" s="6" t="n">
        <v>150000</v>
      </c>
      <c r="AB255" s="6" t="n">
        <v>28521</v>
      </c>
      <c r="AC255" s="6" t="n">
        <v>28521</v>
      </c>
      <c r="AD255" s="6" t="n">
        <v>28521</v>
      </c>
      <c r="AE255" s="4" t="s">
        <v>363</v>
      </c>
      <c r="AF255" s="5" t="s">
        <v>364</v>
      </c>
      <c r="AG255" s="4" t="s">
        <v>78</v>
      </c>
      <c r="AH255" s="4" t="s">
        <v>79</v>
      </c>
      <c r="AI255" s="5" t="s">
        <v>80</v>
      </c>
      <c r="AJ255" s="1" t="n">
        <v>0</v>
      </c>
      <c r="AK255" s="11" t="n">
        <v>0</v>
      </c>
      <c r="AL255" s="12" t="s">
        <v>188</v>
      </c>
      <c r="AM255" s="13" t="str">
        <f>IF(AL255="","",AL255&amp;" - "&amp;IFERROR(VLOOKUP(AL255,CODEBOOK_CAP!$C$2:$D$212,2,FALSE),""))</f>
        <v>2300 - GERAL</v>
      </c>
      <c r="AN255" s="13" t="str">
        <f>IF(AL255="","",IFERROR(VLOOKUP(AL255,CODEBOOK_CAP!$C$2:$E$212,3,FALSE),""))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255" s="11" t="n">
        <v>1</v>
      </c>
      <c r="AP255" s="11" t="s">
        <v>1691</v>
      </c>
      <c r="AQ255" s="11" t="n">
        <v>1</v>
      </c>
      <c r="AR255" s="11" t="n">
        <v>1</v>
      </c>
      <c r="AS255" s="11" t="s">
        <v>1692</v>
      </c>
      <c r="AT255" s="11" t="n">
        <v>0</v>
      </c>
      <c r="AU255" s="11"/>
      <c r="AV255" s="11"/>
      <c r="AW255" s="11"/>
      <c r="AX255" s="7" t="s">
        <v>84</v>
      </c>
      <c r="AY255" s="7"/>
      <c r="AZ255" s="7"/>
      <c r="BA255" s="7"/>
      <c r="BB255" s="3" t="s">
        <v>6564</v>
      </c>
    </row>
    <row r="256" ht="71.25" customHeight="1">
      <c r="A256" s="4" t="s">
        <v>1693</v>
      </c>
      <c r="B256" s="4" t="n">
        <v>2022</v>
      </c>
      <c r="C256" s="4" t="n">
        <v>4625</v>
      </c>
      <c r="D256" s="4" t="s">
        <v>54</v>
      </c>
      <c r="E256" s="4" t="s">
        <v>1663</v>
      </c>
      <c r="F256" s="5" t="s">
        <v>1694</v>
      </c>
      <c r="G256" s="4" t="s">
        <v>139</v>
      </c>
      <c r="H256" s="4" t="s">
        <v>1665</v>
      </c>
      <c r="I256" s="4" t="s">
        <v>1666</v>
      </c>
      <c r="J256" s="4" t="s">
        <v>1695</v>
      </c>
      <c r="K256" s="4" t="s">
        <v>115</v>
      </c>
      <c r="L256" s="5"/>
      <c r="M256" s="4"/>
      <c r="N256" s="5"/>
      <c r="O256" s="4"/>
      <c r="P256" s="5"/>
      <c r="Q256" s="4"/>
      <c r="R256" s="5"/>
      <c r="S256" s="4"/>
      <c r="T256" s="5"/>
      <c r="U256" s="4"/>
      <c r="V256" s="5"/>
      <c r="W256" s="4"/>
      <c r="X256" s="4"/>
      <c r="Y256" s="5"/>
      <c r="Z256" s="4" t="s">
        <v>139</v>
      </c>
      <c r="AA256" s="6" t="n">
        <v>50000</v>
      </c>
      <c r="AB256" s="6"/>
      <c r="AC256" s="6"/>
      <c r="AD256" s="6"/>
      <c r="AE256" s="4" t="s">
        <v>115</v>
      </c>
      <c r="AF256" s="5" t="s">
        <v>115</v>
      </c>
      <c r="AG256" s="4" t="s">
        <v>115</v>
      </c>
      <c r="AH256" s="4" t="s">
        <v>115</v>
      </c>
      <c r="AI256" s="5" t="s">
        <v>115</v>
      </c>
      <c r="AJ256" s="1" t="n">
        <v>0</v>
      </c>
      <c r="AK256" s="11" t="n">
        <v>0</v>
      </c>
      <c r="AL256" s="12" t="s">
        <v>1696</v>
      </c>
      <c r="AM256" s="13" t="str">
        <f>IF(AL256="","",AL256&amp;" - "&amp;IFERROR(VLOOKUP(AL256,CODEBOOK_CAP!$C$2:$D$212,2,FALSE),""))</f>
        <v>1303 - POLÍTICAS SOCIAIS DE ASSISTÊNCIA PARA IDOSOS</v>
      </c>
      <c r="AN256" s="13" t="str">
        <f>IF(AL256="","",IFERROR(VLOOKUP(AL256,CODEBOOK_CAP!$C$2:$E$212,3,FALSE),""))</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O256" s="11" t="n">
        <v>0</v>
      </c>
      <c r="AP256" s="11"/>
      <c r="AQ256" s="11" t="n">
        <v>0</v>
      </c>
      <c r="AR256" s="11" t="n">
        <v>0</v>
      </c>
      <c r="AS256" s="11"/>
      <c r="AT256" s="11" t="n">
        <v>1</v>
      </c>
      <c r="AU256" s="11" t="s">
        <v>1697</v>
      </c>
      <c r="AV256" s="11"/>
      <c r="AW256" s="11"/>
      <c r="AX256" s="7" t="s">
        <v>84</v>
      </c>
      <c r="AY256" s="7"/>
      <c r="AZ256" s="7"/>
      <c r="BA256" s="7"/>
    </row>
    <row r="257" ht="85.5" customHeight="1">
      <c r="A257" s="4" t="s">
        <v>1698</v>
      </c>
      <c r="B257" s="4" t="n">
        <v>2022</v>
      </c>
      <c r="C257" s="4" t="n">
        <v>4626</v>
      </c>
      <c r="D257" s="4" t="s">
        <v>54</v>
      </c>
      <c r="E257" s="4" t="s">
        <v>1663</v>
      </c>
      <c r="F257" s="5" t="s">
        <v>1699</v>
      </c>
      <c r="G257" s="4" t="s">
        <v>57</v>
      </c>
      <c r="H257" s="4" t="s">
        <v>1665</v>
      </c>
      <c r="I257" s="4" t="s">
        <v>1666</v>
      </c>
      <c r="J257" s="4" t="s">
        <v>1700</v>
      </c>
      <c r="K257" s="4" t="s">
        <v>1701</v>
      </c>
      <c r="L257" s="5" t="s">
        <v>62</v>
      </c>
      <c r="M257" s="4" t="s">
        <v>63</v>
      </c>
      <c r="N257" s="5" t="s">
        <v>64</v>
      </c>
      <c r="O257" s="4" t="s">
        <v>65</v>
      </c>
      <c r="P257" s="5" t="s">
        <v>344</v>
      </c>
      <c r="Q257" s="4" t="s">
        <v>345</v>
      </c>
      <c r="R257" s="5" t="s">
        <v>346</v>
      </c>
      <c r="S257" s="4" t="s">
        <v>347</v>
      </c>
      <c r="T257" s="5" t="s">
        <v>555</v>
      </c>
      <c r="U257" s="4" t="s">
        <v>347</v>
      </c>
      <c r="V257" s="5" t="s">
        <v>104</v>
      </c>
      <c r="W257" s="4" t="s">
        <v>105</v>
      </c>
      <c r="X257" s="4" t="s">
        <v>106</v>
      </c>
      <c r="Y257" s="5"/>
      <c r="Z257" s="4" t="s">
        <v>75</v>
      </c>
      <c r="AA257" s="6" t="n">
        <v>400000</v>
      </c>
      <c r="AB257" s="6" t="n">
        <v>62744.160000000003</v>
      </c>
      <c r="AC257" s="6" t="n">
        <v>0</v>
      </c>
      <c r="AD257" s="6" t="n">
        <v>62744.160000000003</v>
      </c>
      <c r="AE257" s="4" t="s">
        <v>1702</v>
      </c>
      <c r="AF257" s="5" t="s">
        <v>1703</v>
      </c>
      <c r="AG257" s="4" t="s">
        <v>115</v>
      </c>
      <c r="AH257" s="4" t="s">
        <v>115</v>
      </c>
      <c r="AI257" s="5" t="s">
        <v>115</v>
      </c>
      <c r="AJ257" s="1" t="n">
        <v>1</v>
      </c>
      <c r="AK257" s="11" t="n">
        <v>1</v>
      </c>
      <c r="AL257" s="12" t="s">
        <v>81</v>
      </c>
      <c r="AM257" s="13" t="str">
        <f>IF(AL257="","",AL257&amp;" - "&amp;IFERROR(VLOOKUP(AL257,CODEBOOK_CAP!$C$2:$D$212,2,FALSE),""))</f>
        <v>0322 - ESTRUTURAS, HOSPITAIS, CLÍNICAS</v>
      </c>
      <c r="AN257" s="13" t="str">
        <f>IF(AL257="","",IFERROR(VLOOKUP(AL257,CODEBOOK_CAP!$C$2:$E$212,3,FALSE),""))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257" s="11" t="n">
        <v>1</v>
      </c>
      <c r="AP257" s="11" t="s">
        <v>1704</v>
      </c>
      <c r="AQ257" s="11" t="n">
        <v>1</v>
      </c>
      <c r="AR257" s="11" t="n">
        <v>1</v>
      </c>
      <c r="AS257" s="11" t="s">
        <v>1705</v>
      </c>
      <c r="AT257" s="11" t="n">
        <v>0</v>
      </c>
      <c r="AU257" s="11"/>
      <c r="AV257" s="11"/>
      <c r="AW257" s="11"/>
      <c r="AX257" s="7" t="s">
        <v>84</v>
      </c>
      <c r="AY257" s="7"/>
      <c r="AZ257" s="7"/>
      <c r="BA257" s="7"/>
    </row>
    <row r="258" ht="85.5" customHeight="1">
      <c r="A258" s="4" t="s">
        <v>1706</v>
      </c>
      <c r="B258" s="4" t="n">
        <v>2022</v>
      </c>
      <c r="C258" s="4" t="n">
        <v>4627</v>
      </c>
      <c r="D258" s="4" t="s">
        <v>54</v>
      </c>
      <c r="E258" s="4" t="s">
        <v>1663</v>
      </c>
      <c r="F258" s="5" t="s">
        <v>1707</v>
      </c>
      <c r="G258" s="4" t="s">
        <v>57</v>
      </c>
      <c r="H258" s="4" t="s">
        <v>1665</v>
      </c>
      <c r="I258" s="4" t="s">
        <v>1666</v>
      </c>
      <c r="J258" s="4" t="s">
        <v>1708</v>
      </c>
      <c r="K258" s="4" t="s">
        <v>357</v>
      </c>
      <c r="L258" s="5" t="s">
        <v>62</v>
      </c>
      <c r="M258" s="4" t="s">
        <v>63</v>
      </c>
      <c r="N258" s="5" t="s">
        <v>64</v>
      </c>
      <c r="O258" s="4" t="s">
        <v>65</v>
      </c>
      <c r="P258" s="5" t="s">
        <v>66</v>
      </c>
      <c r="Q258" s="4" t="s">
        <v>67</v>
      </c>
      <c r="R258" s="5" t="s">
        <v>68</v>
      </c>
      <c r="S258" s="4" t="s">
        <v>69</v>
      </c>
      <c r="T258" s="5" t="s">
        <v>70</v>
      </c>
      <c r="U258" s="4" t="s">
        <v>71</v>
      </c>
      <c r="V258" s="5" t="s">
        <v>72</v>
      </c>
      <c r="W258" s="4" t="s">
        <v>73</v>
      </c>
      <c r="X258" s="4" t="s">
        <v>74</v>
      </c>
      <c r="Y258" s="5"/>
      <c r="Z258" s="4" t="s">
        <v>75</v>
      </c>
      <c r="AA258" s="6" t="n">
        <v>350000</v>
      </c>
      <c r="AB258" s="6" t="n">
        <v>229070</v>
      </c>
      <c r="AC258" s="6" t="n">
        <v>229070</v>
      </c>
      <c r="AD258" s="6" t="n">
        <v>229070</v>
      </c>
      <c r="AE258" s="4" t="s">
        <v>1709</v>
      </c>
      <c r="AF258" s="5" t="s">
        <v>1710</v>
      </c>
      <c r="AG258" s="4" t="s">
        <v>78</v>
      </c>
      <c r="AH258" s="4" t="s">
        <v>79</v>
      </c>
      <c r="AI258" s="5" t="s">
        <v>80</v>
      </c>
      <c r="AJ258" s="1" t="n">
        <v>1</v>
      </c>
      <c r="AK258" s="11" t="n">
        <v>1</v>
      </c>
      <c r="AL258" s="12" t="s">
        <v>81</v>
      </c>
      <c r="AM258" s="13" t="str">
        <f>IF(AL258="","",AL258&amp;" - "&amp;IFERROR(VLOOKUP(AL258,CODEBOOK_CAP!$C$2:$D$212,2,FALSE),""))</f>
        <v>0322 - ESTRUTURAS, HOSPITAIS, CLÍNICAS</v>
      </c>
      <c r="AN258" s="13" t="str">
        <f>IF(AL258="","",IFERROR(VLOOKUP(AL258,CODEBOOK_CAP!$C$2:$E$212,3,FALSE),""))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258" s="11" t="n">
        <v>1</v>
      </c>
      <c r="AP258" s="11" t="s">
        <v>1711</v>
      </c>
      <c r="AQ258" s="11" t="n">
        <v>1</v>
      </c>
      <c r="AR258" s="11" t="n">
        <v>1</v>
      </c>
      <c r="AS258" s="11" t="s">
        <v>1712</v>
      </c>
      <c r="AT258" s="11" t="n">
        <v>0</v>
      </c>
      <c r="AU258" s="11"/>
      <c r="AV258" s="11"/>
      <c r="AW258" s="11"/>
      <c r="AX258" s="7" t="s">
        <v>84</v>
      </c>
      <c r="AY258" s="7"/>
      <c r="AZ258" s="7"/>
      <c r="BA258" s="7"/>
    </row>
    <row r="259" ht="128.25" customHeight="1">
      <c r="A259" s="4" t="s">
        <v>1713</v>
      </c>
      <c r="B259" s="4" t="n">
        <v>2022</v>
      </c>
      <c r="C259" s="4" t="n">
        <v>4628</v>
      </c>
      <c r="D259" s="4" t="s">
        <v>54</v>
      </c>
      <c r="E259" s="4" t="s">
        <v>1663</v>
      </c>
      <c r="F259" s="5" t="s">
        <v>158</v>
      </c>
      <c r="G259" s="4" t="s">
        <v>139</v>
      </c>
      <c r="H259" s="4" t="s">
        <v>1665</v>
      </c>
      <c r="I259" s="4" t="s">
        <v>1666</v>
      </c>
      <c r="J259" s="4" t="s">
        <v>1714</v>
      </c>
      <c r="K259" s="4" t="s">
        <v>115</v>
      </c>
      <c r="L259" s="5"/>
      <c r="M259" s="4"/>
      <c r="N259" s="5"/>
      <c r="O259" s="4"/>
      <c r="P259" s="5"/>
      <c r="Q259" s="4"/>
      <c r="R259" s="5"/>
      <c r="S259" s="4"/>
      <c r="T259" s="5"/>
      <c r="U259" s="4"/>
      <c r="V259" s="5"/>
      <c r="W259" s="4"/>
      <c r="X259" s="4"/>
      <c r="Y259" s="5"/>
      <c r="Z259" s="4" t="s">
        <v>139</v>
      </c>
      <c r="AA259" s="6" t="n">
        <v>35000</v>
      </c>
      <c r="AB259" s="6" t="n">
        <v>230895</v>
      </c>
      <c r="AC259" s="6" t="n">
        <v>0</v>
      </c>
      <c r="AD259" s="6" t="n">
        <v>230895</v>
      </c>
      <c r="AE259" s="4" t="s">
        <v>438</v>
      </c>
      <c r="AF259" s="5" t="s">
        <v>439</v>
      </c>
      <c r="AG259" s="4" t="s">
        <v>115</v>
      </c>
      <c r="AH259" s="4" t="s">
        <v>115</v>
      </c>
      <c r="AI259" s="5" t="s">
        <v>115</v>
      </c>
      <c r="AJ259" s="1" t="n">
        <v>1</v>
      </c>
      <c r="AK259" s="11" t="n">
        <v>1</v>
      </c>
      <c r="AL259" s="12" t="s">
        <v>1715</v>
      </c>
      <c r="AM259" s="13" t="str">
        <f>IF(AL259="","",AL259&amp;" - "&amp;IFERROR(VLOOKUP(AL259,CODEBOOK_CAP!$C$2:$D$212,2,FALSE),""))</f>
        <v>0335 - REGULAMENTAÇÃO DE FARMÁCIAS , COMPRA E CONSUMO DE MEDICAMENTOS</v>
      </c>
      <c r="AN259" s="13" t="str">
        <f>IF(AL259="","",IFERROR(VLOOKUP(AL259,CODEBOOK_CAP!$C$2:$E$212,3,FALSE),""))</f>
        <v>Assuntos relacionados a compra e venda de medicamentos em farmácias. Regulamentação de horário de funcionamento de farmácias, farmácia popular, farmácias de manipulação, organização e regras para funcionamento de farmácias, proibição de atendimento médico em farmácias, controle de receitas, acesso a compra de medicamentos de tarja vermelha e tarja preta. Preço de medicamentos e remedios. Distribuição de medicamentos gratuitos. Questões relacionadas sobre patentes de medicamentos no 1522. Não confundir com assuntos relacionados a Industria Farmaceutica (321)</v>
      </c>
      <c r="AO259" s="11" t="n">
        <v>1</v>
      </c>
      <c r="AP259" s="11" t="s">
        <v>1716</v>
      </c>
      <c r="AQ259" s="11" t="n">
        <v>1</v>
      </c>
      <c r="AR259" s="11" t="n">
        <v>1</v>
      </c>
      <c r="AS259" s="11" t="s">
        <v>1717</v>
      </c>
      <c r="AT259" s="11" t="n">
        <v>0</v>
      </c>
      <c r="AU259" s="11"/>
      <c r="AV259" s="11"/>
      <c r="AW259" s="11"/>
      <c r="AX259" s="7" t="s">
        <v>84</v>
      </c>
      <c r="AY259" s="7"/>
      <c r="AZ259" s="7"/>
      <c r="BA259" s="7"/>
    </row>
    <row r="260" ht="71.25" customHeight="1">
      <c r="A260" s="4" t="s">
        <v>1718</v>
      </c>
      <c r="B260" s="4" t="n">
        <v>2022</v>
      </c>
      <c r="C260" s="4" t="n">
        <v>4629</v>
      </c>
      <c r="D260" s="4" t="s">
        <v>54</v>
      </c>
      <c r="E260" s="4" t="s">
        <v>1663</v>
      </c>
      <c r="F260" s="5" t="s">
        <v>1719</v>
      </c>
      <c r="G260" s="4" t="s">
        <v>57</v>
      </c>
      <c r="H260" s="4" t="s">
        <v>1665</v>
      </c>
      <c r="I260" s="4" t="s">
        <v>1666</v>
      </c>
      <c r="J260" s="4" t="s">
        <v>1720</v>
      </c>
      <c r="K260" s="4" t="s">
        <v>415</v>
      </c>
      <c r="L260" s="5" t="s">
        <v>122</v>
      </c>
      <c r="M260" s="4" t="s">
        <v>123</v>
      </c>
      <c r="N260" s="5" t="s">
        <v>227</v>
      </c>
      <c r="O260" s="4" t="s">
        <v>228</v>
      </c>
      <c r="P260" s="5" t="s">
        <v>229</v>
      </c>
      <c r="Q260" s="4" t="s">
        <v>230</v>
      </c>
      <c r="R260" s="5" t="s">
        <v>322</v>
      </c>
      <c r="S260" s="4" t="s">
        <v>323</v>
      </c>
      <c r="T260" s="5" t="s">
        <v>416</v>
      </c>
      <c r="U260" s="4" t="s">
        <v>417</v>
      </c>
      <c r="V260" s="5" t="s">
        <v>72</v>
      </c>
      <c r="W260" s="4" t="s">
        <v>73</v>
      </c>
      <c r="X260" s="4" t="s">
        <v>74</v>
      </c>
      <c r="Y260" s="5"/>
      <c r="Z260" s="4" t="s">
        <v>132</v>
      </c>
      <c r="AA260" s="6" t="n">
        <v>50000</v>
      </c>
      <c r="AB260" s="6" t="n">
        <v>0</v>
      </c>
      <c r="AC260" s="6" t="n">
        <v>0</v>
      </c>
      <c r="AD260" s="6" t="n">
        <v>0</v>
      </c>
      <c r="AE260" s="4" t="s">
        <v>1721</v>
      </c>
      <c r="AF260" s="5" t="s">
        <v>1722</v>
      </c>
      <c r="AG260" s="4" t="s">
        <v>78</v>
      </c>
      <c r="AH260" s="4" t="s">
        <v>79</v>
      </c>
      <c r="AI260" s="5" t="s">
        <v>80</v>
      </c>
      <c r="AJ260" s="1" t="n">
        <v>0</v>
      </c>
      <c r="AK260" s="11" t="n">
        <v>0</v>
      </c>
      <c r="AL260" s="12" t="s">
        <v>188</v>
      </c>
      <c r="AM260" s="13" t="str">
        <f>IF(AL260="","",AL260&amp;" - "&amp;IFERROR(VLOOKUP(AL260,CODEBOOK_CAP!$C$2:$D$212,2,FALSE),""))</f>
        <v>2300 - GERAL</v>
      </c>
      <c r="AN260" s="13" t="str">
        <f>IF(AL260="","",IFERROR(VLOOKUP(AL260,CODEBOOK_CAP!$C$2:$E$212,3,FALSE),""))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260" s="11" t="n">
        <v>1</v>
      </c>
      <c r="AP260" s="11" t="s">
        <v>1723</v>
      </c>
      <c r="AQ260" s="11" t="n">
        <v>1</v>
      </c>
      <c r="AR260" s="11" t="n">
        <v>1</v>
      </c>
      <c r="AS260" s="11" t="s">
        <v>1724</v>
      </c>
      <c r="AT260" s="11" t="n">
        <v>0</v>
      </c>
      <c r="AU260" s="11"/>
      <c r="AV260" s="11"/>
      <c r="AW260" s="11"/>
      <c r="AX260" s="7" t="s">
        <v>84</v>
      </c>
      <c r="AY260" s="7"/>
      <c r="AZ260" s="7"/>
      <c r="BA260" s="7"/>
      <c r="BB260" s="3" t="s">
        <v>6564</v>
      </c>
    </row>
    <row r="261" ht="85.5" customHeight="1">
      <c r="A261" s="4" t="s">
        <v>1725</v>
      </c>
      <c r="B261" s="4" t="n">
        <v>2022</v>
      </c>
      <c r="C261" s="4" t="n">
        <v>4630</v>
      </c>
      <c r="D261" s="4" t="s">
        <v>54</v>
      </c>
      <c r="E261" s="4" t="s">
        <v>1663</v>
      </c>
      <c r="F261" s="5" t="s">
        <v>1726</v>
      </c>
      <c r="G261" s="4" t="s">
        <v>57</v>
      </c>
      <c r="H261" s="4" t="s">
        <v>1665</v>
      </c>
      <c r="I261" s="4" t="s">
        <v>1666</v>
      </c>
      <c r="J261" s="4" t="s">
        <v>1727</v>
      </c>
      <c r="K261" s="4" t="s">
        <v>357</v>
      </c>
      <c r="L261" s="5" t="s">
        <v>62</v>
      </c>
      <c r="M261" s="4" t="s">
        <v>63</v>
      </c>
      <c r="N261" s="5" t="s">
        <v>64</v>
      </c>
      <c r="O261" s="4" t="s">
        <v>65</v>
      </c>
      <c r="P261" s="5" t="s">
        <v>66</v>
      </c>
      <c r="Q261" s="4" t="s">
        <v>67</v>
      </c>
      <c r="R261" s="5" t="s">
        <v>68</v>
      </c>
      <c r="S261" s="4" t="s">
        <v>69</v>
      </c>
      <c r="T261" s="5" t="s">
        <v>70</v>
      </c>
      <c r="U261" s="4" t="s">
        <v>71</v>
      </c>
      <c r="V261" s="5" t="s">
        <v>72</v>
      </c>
      <c r="W261" s="4" t="s">
        <v>73</v>
      </c>
      <c r="X261" s="4" t="s">
        <v>74</v>
      </c>
      <c r="Y261" s="5"/>
      <c r="Z261" s="4" t="s">
        <v>75</v>
      </c>
      <c r="AA261" s="6" t="n">
        <v>350000</v>
      </c>
      <c r="AB261" s="6" t="n">
        <v>0</v>
      </c>
      <c r="AC261" s="6" t="n">
        <v>0</v>
      </c>
      <c r="AD261" s="6" t="n">
        <v>0</v>
      </c>
      <c r="AE261" s="4" t="s">
        <v>1728</v>
      </c>
      <c r="AF261" s="5" t="s">
        <v>1729</v>
      </c>
      <c r="AG261" s="4" t="s">
        <v>115</v>
      </c>
      <c r="AH261" s="4" t="s">
        <v>115</v>
      </c>
      <c r="AI261" s="5" t="s">
        <v>115</v>
      </c>
      <c r="AJ261" s="1" t="n">
        <v>1</v>
      </c>
      <c r="AK261" s="11" t="n">
        <v>1</v>
      </c>
      <c r="AL261" s="12" t="s">
        <v>81</v>
      </c>
      <c r="AM261" s="13" t="str">
        <f>IF(AL261="","",AL261&amp;" - "&amp;IFERROR(VLOOKUP(AL261,CODEBOOK_CAP!$C$2:$D$212,2,FALSE),""))</f>
        <v>0322 - ESTRUTURAS, HOSPITAIS, CLÍNICAS</v>
      </c>
      <c r="AN261" s="13" t="str">
        <f>IF(AL261="","",IFERROR(VLOOKUP(AL261,CODEBOOK_CAP!$C$2:$E$212,3,FALSE),""))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261" s="11" t="n">
        <v>1</v>
      </c>
      <c r="AP261" s="11" t="s">
        <v>1730</v>
      </c>
      <c r="AQ261" s="11" t="n">
        <v>1</v>
      </c>
      <c r="AR261" s="11" t="n">
        <v>1</v>
      </c>
      <c r="AS261" s="11" t="s">
        <v>1730</v>
      </c>
      <c r="AT261" s="11" t="n">
        <v>0</v>
      </c>
      <c r="AU261" s="11"/>
      <c r="AV261" s="11"/>
      <c r="AW261" s="11"/>
      <c r="AX261" s="7" t="s">
        <v>84</v>
      </c>
      <c r="AY261" s="7"/>
      <c r="AZ261" s="7"/>
      <c r="BA261" s="7"/>
    </row>
    <row r="262" ht="85.5" customHeight="1">
      <c r="A262" s="4" t="s">
        <v>1731</v>
      </c>
      <c r="B262" s="4" t="n">
        <v>2022</v>
      </c>
      <c r="C262" s="4" t="n">
        <v>4631</v>
      </c>
      <c r="D262" s="4" t="s">
        <v>54</v>
      </c>
      <c r="E262" s="4" t="s">
        <v>1663</v>
      </c>
      <c r="F262" s="5" t="s">
        <v>1732</v>
      </c>
      <c r="G262" s="4" t="s">
        <v>57</v>
      </c>
      <c r="H262" s="4" t="s">
        <v>1665</v>
      </c>
      <c r="I262" s="4" t="s">
        <v>1666</v>
      </c>
      <c r="J262" s="4" t="s">
        <v>1733</v>
      </c>
      <c r="K262" s="4" t="s">
        <v>283</v>
      </c>
      <c r="L262" s="5" t="s">
        <v>94</v>
      </c>
      <c r="M262" s="4" t="s">
        <v>95</v>
      </c>
      <c r="N262" s="5" t="s">
        <v>96</v>
      </c>
      <c r="O262" s="4" t="s">
        <v>97</v>
      </c>
      <c r="P262" s="5" t="s">
        <v>98</v>
      </c>
      <c r="Q262" s="4" t="s">
        <v>99</v>
      </c>
      <c r="R262" s="5" t="s">
        <v>100</v>
      </c>
      <c r="S262" s="4" t="s">
        <v>101</v>
      </c>
      <c r="T262" s="5" t="s">
        <v>102</v>
      </c>
      <c r="U262" s="4" t="s">
        <v>103</v>
      </c>
      <c r="V262" s="5" t="s">
        <v>104</v>
      </c>
      <c r="W262" s="4" t="s">
        <v>105</v>
      </c>
      <c r="X262" s="4" t="s">
        <v>106</v>
      </c>
      <c r="Y262" s="5"/>
      <c r="Z262" s="4" t="s">
        <v>107</v>
      </c>
      <c r="AA262" s="6" t="n">
        <v>123220</v>
      </c>
      <c r="AB262" s="6" t="n">
        <v>123220</v>
      </c>
      <c r="AC262" s="6" t="n">
        <v>123220</v>
      </c>
      <c r="AD262" s="6" t="n">
        <v>123220</v>
      </c>
      <c r="AE262" s="4" t="s">
        <v>1734</v>
      </c>
      <c r="AF262" s="5" t="s">
        <v>1735</v>
      </c>
      <c r="AG262" s="4" t="s">
        <v>110</v>
      </c>
      <c r="AH262" s="4" t="s">
        <v>110</v>
      </c>
      <c r="AI262" s="5"/>
      <c r="AJ262" s="1" t="n">
        <v>0</v>
      </c>
      <c r="AK262" s="11" t="n">
        <v>0</v>
      </c>
      <c r="AL262" s="12" t="s">
        <v>712</v>
      </c>
      <c r="AM262" s="13" t="str">
        <f>IF(AL262="","",AL262&amp;" - "&amp;IFERROR(VLOOKUP(AL262,CODEBOOK_CAP!$C$2:$D$212,2,FALSE),""))</f>
        <v>1308 - POLÍTICAS SOCIAIS PARA FAMÍLIAS E INFÂNCIA</v>
      </c>
      <c r="AN262" s="13" t="str">
        <f>IF(AL262="","",IFERROR(VLOOKUP(AL262,CODEBOOK_CAP!$C$2:$E$212,3,FALSE),""))</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O262" s="11" t="n">
        <v>0</v>
      </c>
      <c r="AP262" s="11"/>
      <c r="AQ262" s="11" t="n">
        <v>0</v>
      </c>
      <c r="AR262" s="11" t="n">
        <v>0</v>
      </c>
      <c r="AS262" s="11"/>
      <c r="AT262" s="11" t="n">
        <v>1</v>
      </c>
      <c r="AU262" s="11" t="s">
        <v>503</v>
      </c>
      <c r="AV262" s="11"/>
      <c r="AW262" s="11"/>
      <c r="AX262" s="7" t="s">
        <v>84</v>
      </c>
      <c r="AY262" s="7"/>
      <c r="AZ262" s="7"/>
      <c r="BA262" s="7"/>
    </row>
    <row r="263" ht="85.5" customHeight="1">
      <c r="A263" s="4" t="s">
        <v>1736</v>
      </c>
      <c r="B263" s="4" t="n">
        <v>2022</v>
      </c>
      <c r="C263" s="4" t="n">
        <v>4632</v>
      </c>
      <c r="D263" s="4" t="s">
        <v>54</v>
      </c>
      <c r="E263" s="4" t="s">
        <v>1663</v>
      </c>
      <c r="F263" s="5" t="s">
        <v>1737</v>
      </c>
      <c r="G263" s="4" t="s">
        <v>139</v>
      </c>
      <c r="H263" s="4" t="s">
        <v>1665</v>
      </c>
      <c r="I263" s="4" t="s">
        <v>1666</v>
      </c>
      <c r="J263" s="4" t="s">
        <v>1738</v>
      </c>
      <c r="K263" s="4" t="s">
        <v>115</v>
      </c>
      <c r="L263" s="5"/>
      <c r="M263" s="4"/>
      <c r="N263" s="5"/>
      <c r="O263" s="4"/>
      <c r="P263" s="5"/>
      <c r="Q263" s="4"/>
      <c r="R263" s="5"/>
      <c r="S263" s="4"/>
      <c r="T263" s="5"/>
      <c r="U263" s="4"/>
      <c r="V263" s="5"/>
      <c r="W263" s="4"/>
      <c r="X263" s="4"/>
      <c r="Y263" s="5"/>
      <c r="Z263" s="4" t="s">
        <v>139</v>
      </c>
      <c r="AA263" s="6" t="n">
        <v>300000</v>
      </c>
      <c r="AB263" s="6"/>
      <c r="AC263" s="6"/>
      <c r="AD263" s="6"/>
      <c r="AE263" s="4" t="s">
        <v>115</v>
      </c>
      <c r="AF263" s="5" t="s">
        <v>115</v>
      </c>
      <c r="AG263" s="4" t="s">
        <v>115</v>
      </c>
      <c r="AH263" s="4" t="s">
        <v>115</v>
      </c>
      <c r="AI263" s="5" t="s">
        <v>115</v>
      </c>
      <c r="AJ263" s="1" t="n">
        <v>1</v>
      </c>
      <c r="AK263" s="11" t="n">
        <v>1</v>
      </c>
      <c r="AL263" s="12" t="s">
        <v>81</v>
      </c>
      <c r="AM263" s="13" t="str">
        <f>IF(AL263="","",AL263&amp;" - "&amp;IFERROR(VLOOKUP(AL263,CODEBOOK_CAP!$C$2:$D$212,2,FALSE),""))</f>
        <v>0322 - ESTRUTURAS, HOSPITAIS, CLÍNICAS</v>
      </c>
      <c r="AN263" s="13" t="str">
        <f>IF(AL263="","",IFERROR(VLOOKUP(AL263,CODEBOOK_CAP!$C$2:$E$212,3,FALSE),""))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263" s="11" t="n">
        <v>0</v>
      </c>
      <c r="AP263" s="11"/>
      <c r="AQ263" s="11" t="n">
        <v>0</v>
      </c>
      <c r="AR263" s="11" t="n">
        <v>0</v>
      </c>
      <c r="AS263" s="11"/>
      <c r="AT263" s="11" t="n">
        <v>0</v>
      </c>
      <c r="AU263" s="11"/>
      <c r="AV263" s="11"/>
      <c r="AW263" s="11"/>
      <c r="AX263" s="7" t="s">
        <v>84</v>
      </c>
      <c r="AY263" s="7"/>
      <c r="AZ263" s="7"/>
      <c r="BA263" s="7"/>
    </row>
    <row r="264" ht="114" customHeight="1">
      <c r="A264" s="4" t="s">
        <v>1739</v>
      </c>
      <c r="B264" s="4" t="n">
        <v>2022</v>
      </c>
      <c r="C264" s="4" t="n">
        <v>4633</v>
      </c>
      <c r="D264" s="4" t="s">
        <v>54</v>
      </c>
      <c r="E264" s="4" t="s">
        <v>1663</v>
      </c>
      <c r="F264" s="5" t="s">
        <v>1740</v>
      </c>
      <c r="G264" s="4" t="s">
        <v>57</v>
      </c>
      <c r="H264" s="4" t="s">
        <v>1665</v>
      </c>
      <c r="I264" s="4" t="s">
        <v>1666</v>
      </c>
      <c r="J264" s="4" t="s">
        <v>1741</v>
      </c>
      <c r="K264" s="4" t="s">
        <v>428</v>
      </c>
      <c r="L264" s="5" t="s">
        <v>62</v>
      </c>
      <c r="M264" s="4" t="s">
        <v>63</v>
      </c>
      <c r="N264" s="5" t="s">
        <v>64</v>
      </c>
      <c r="O264" s="4" t="s">
        <v>65</v>
      </c>
      <c r="P264" s="5" t="s">
        <v>193</v>
      </c>
      <c r="Q264" s="4" t="s">
        <v>194</v>
      </c>
      <c r="R264" s="5" t="s">
        <v>195</v>
      </c>
      <c r="S264" s="4" t="s">
        <v>196</v>
      </c>
      <c r="T264" s="5" t="s">
        <v>429</v>
      </c>
      <c r="U264" s="4" t="s">
        <v>430</v>
      </c>
      <c r="V264" s="5" t="s">
        <v>104</v>
      </c>
      <c r="W264" s="4" t="s">
        <v>105</v>
      </c>
      <c r="X264" s="4" t="s">
        <v>106</v>
      </c>
      <c r="Y264" s="5"/>
      <c r="Z264" s="4" t="s">
        <v>75</v>
      </c>
      <c r="AA264" s="6" t="n">
        <v>154000</v>
      </c>
      <c r="AB264" s="6" t="n">
        <v>154000</v>
      </c>
      <c r="AC264" s="6" t="n">
        <v>0</v>
      </c>
      <c r="AD264" s="6" t="n">
        <v>154000</v>
      </c>
      <c r="AE264" s="4" t="s">
        <v>450</v>
      </c>
      <c r="AF264" s="5" t="s">
        <v>451</v>
      </c>
      <c r="AG264" s="4" t="s">
        <v>115</v>
      </c>
      <c r="AH264" s="4" t="s">
        <v>115</v>
      </c>
      <c r="AI264" s="5" t="s">
        <v>115</v>
      </c>
      <c r="AJ264" s="1" t="n">
        <v>1</v>
      </c>
      <c r="AK264" s="11" t="n">
        <v>1</v>
      </c>
      <c r="AL264" s="12" t="s">
        <v>452</v>
      </c>
      <c r="AM264" s="13" t="str">
        <f>IF(AL264="","",AL264&amp;" - "&amp;IFERROR(VLOOKUP(AL264,CODEBOOK_CAP!$C$2:$D$212,2,FALSE),""))</f>
        <v>0332 - SAÚDE INFANTIL, GRAVIDEZ E PRÉ-NATAL</v>
      </c>
      <c r="AN264" s="13" t="str">
        <f>IF(AL264="","",IFERROR(VLOOKUP(AL264,CODEBOOK_CAP!$C$2:$E$212,3,FALSE),""))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264" s="11" t="n">
        <v>0</v>
      </c>
      <c r="AP264" s="11"/>
      <c r="AQ264" s="11" t="n">
        <v>1</v>
      </c>
      <c r="AR264" s="11" t="n">
        <v>1</v>
      </c>
      <c r="AS264" s="11" t="s">
        <v>1742</v>
      </c>
      <c r="AT264" s="11" t="n">
        <v>1</v>
      </c>
      <c r="AU264" s="11" t="s">
        <v>454</v>
      </c>
      <c r="AV264" s="11"/>
      <c r="AW264" s="11"/>
      <c r="AX264" s="7" t="s">
        <v>84</v>
      </c>
      <c r="AY264" s="7"/>
      <c r="AZ264" s="7"/>
      <c r="BA264" s="7"/>
    </row>
    <row r="265" ht="85.5" customHeight="1">
      <c r="A265" s="4" t="s">
        <v>1743</v>
      </c>
      <c r="B265" s="4" t="n">
        <v>2022</v>
      </c>
      <c r="C265" s="4" t="n">
        <v>4328</v>
      </c>
      <c r="D265" s="4" t="s">
        <v>54</v>
      </c>
      <c r="E265" s="4" t="s">
        <v>1744</v>
      </c>
      <c r="F265" s="5" t="s">
        <v>1745</v>
      </c>
      <c r="G265" s="4" t="s">
        <v>57</v>
      </c>
      <c r="H265" s="4" t="s">
        <v>1746</v>
      </c>
      <c r="I265" s="4" t="s">
        <v>1214</v>
      </c>
      <c r="J265" s="4" t="s">
        <v>1747</v>
      </c>
      <c r="K265" s="4" t="s">
        <v>1748</v>
      </c>
      <c r="L265" s="5" t="s">
        <v>62</v>
      </c>
      <c r="M265" s="4" t="s">
        <v>63</v>
      </c>
      <c r="N265" s="5" t="s">
        <v>64</v>
      </c>
      <c r="O265" s="4" t="s">
        <v>65</v>
      </c>
      <c r="P265" s="5" t="s">
        <v>344</v>
      </c>
      <c r="Q265" s="4" t="s">
        <v>345</v>
      </c>
      <c r="R265" s="5" t="s">
        <v>346</v>
      </c>
      <c r="S265" s="4" t="s">
        <v>347</v>
      </c>
      <c r="T265" s="5" t="s">
        <v>348</v>
      </c>
      <c r="U265" s="4" t="s">
        <v>349</v>
      </c>
      <c r="V265" s="5" t="s">
        <v>350</v>
      </c>
      <c r="W265" s="4" t="s">
        <v>105</v>
      </c>
      <c r="X265" s="4" t="s">
        <v>106</v>
      </c>
      <c r="Y265" s="5"/>
      <c r="Z265" s="4" t="s">
        <v>75</v>
      </c>
      <c r="AA265" s="6" t="n">
        <v>70000</v>
      </c>
      <c r="AB265" s="6" t="n">
        <v>70000</v>
      </c>
      <c r="AC265" s="6" t="n">
        <v>70000</v>
      </c>
      <c r="AD265" s="6" t="n">
        <v>70000</v>
      </c>
      <c r="AE265" s="4" t="s">
        <v>351</v>
      </c>
      <c r="AF265" s="5" t="s">
        <v>352</v>
      </c>
      <c r="AG265" s="4" t="s">
        <v>78</v>
      </c>
      <c r="AH265" s="4" t="s">
        <v>79</v>
      </c>
      <c r="AI265" s="5" t="s">
        <v>80</v>
      </c>
      <c r="AJ265" s="1" t="n">
        <v>1</v>
      </c>
      <c r="AK265" s="11" t="n">
        <v>1</v>
      </c>
      <c r="AL265" s="12" t="s">
        <v>81</v>
      </c>
      <c r="AM265" s="13" t="str">
        <f>IF(AL265="","",AL265&amp;" - "&amp;IFERROR(VLOOKUP(AL265,CODEBOOK_CAP!$C$2:$D$212,2,FALSE),""))</f>
        <v>0322 - ESTRUTURAS, HOSPITAIS, CLÍNICAS</v>
      </c>
      <c r="AN265" s="13" t="str">
        <f>IF(AL265="","",IFERROR(VLOOKUP(AL265,CODEBOOK_CAP!$C$2:$E$212,3,FALSE),""))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265" s="11" t="n">
        <v>1</v>
      </c>
      <c r="AP265" s="11" t="s">
        <v>1749</v>
      </c>
      <c r="AQ265" s="11" t="n">
        <v>1</v>
      </c>
      <c r="AR265" s="11" t="n">
        <v>1</v>
      </c>
      <c r="AS265" s="11" t="s">
        <v>1750</v>
      </c>
      <c r="AT265" s="11" t="n">
        <v>0</v>
      </c>
      <c r="AU265" s="11"/>
      <c r="AV265" s="11"/>
      <c r="AW265" s="11"/>
      <c r="AX265" s="7" t="s">
        <v>84</v>
      </c>
      <c r="AY265" s="7"/>
      <c r="AZ265" s="7"/>
      <c r="BA265" s="7"/>
    </row>
    <row r="266" ht="114" customHeight="1">
      <c r="A266" s="4" t="s">
        <v>1751</v>
      </c>
      <c r="B266" s="4" t="n">
        <v>2022</v>
      </c>
      <c r="C266" s="4" t="n">
        <v>4329</v>
      </c>
      <c r="D266" s="4" t="s">
        <v>54</v>
      </c>
      <c r="E266" s="4" t="s">
        <v>1744</v>
      </c>
      <c r="F266" s="5" t="s">
        <v>1752</v>
      </c>
      <c r="G266" s="4" t="s">
        <v>57</v>
      </c>
      <c r="H266" s="4" t="s">
        <v>1746</v>
      </c>
      <c r="I266" s="4" t="s">
        <v>1214</v>
      </c>
      <c r="J266" s="4" t="s">
        <v>1753</v>
      </c>
      <c r="K266" s="4" t="s">
        <v>1754</v>
      </c>
      <c r="L266" s="5" t="s">
        <v>62</v>
      </c>
      <c r="M266" s="4" t="s">
        <v>63</v>
      </c>
      <c r="N266" s="5" t="s">
        <v>64</v>
      </c>
      <c r="O266" s="4" t="s">
        <v>65</v>
      </c>
      <c r="P266" s="5" t="s">
        <v>344</v>
      </c>
      <c r="Q266" s="4" t="s">
        <v>345</v>
      </c>
      <c r="R266" s="5" t="s">
        <v>346</v>
      </c>
      <c r="S266" s="4" t="s">
        <v>347</v>
      </c>
      <c r="T266" s="5" t="s">
        <v>555</v>
      </c>
      <c r="U266" s="4" t="s">
        <v>347</v>
      </c>
      <c r="V266" s="5" t="s">
        <v>706</v>
      </c>
      <c r="W266" s="4" t="s">
        <v>105</v>
      </c>
      <c r="X266" s="4" t="s">
        <v>106</v>
      </c>
      <c r="Y266" s="5"/>
      <c r="Z266" s="4" t="s">
        <v>75</v>
      </c>
      <c r="AA266" s="6" t="n">
        <v>70000</v>
      </c>
      <c r="AB266" s="6" t="n">
        <v>69973</v>
      </c>
      <c r="AC266" s="6" t="n">
        <v>69973</v>
      </c>
      <c r="AD266" s="6" t="n">
        <v>69973</v>
      </c>
      <c r="AE266" s="4" t="s">
        <v>1755</v>
      </c>
      <c r="AF266" s="5" t="s">
        <v>1756</v>
      </c>
      <c r="AG266" s="4" t="s">
        <v>78</v>
      </c>
      <c r="AH266" s="4" t="s">
        <v>79</v>
      </c>
      <c r="AI266" s="5" t="s">
        <v>80</v>
      </c>
      <c r="AJ266" s="1" t="n">
        <v>1</v>
      </c>
      <c r="AK266" s="11" t="n">
        <v>1</v>
      </c>
      <c r="AL266" s="12" t="s">
        <v>81</v>
      </c>
      <c r="AM266" s="13" t="str">
        <f>IF(AL266="","",AL266&amp;" - "&amp;IFERROR(VLOOKUP(AL266,CODEBOOK_CAP!$C$2:$D$212,2,FALSE),""))</f>
        <v>0322 - ESTRUTURAS, HOSPITAIS, CLÍNICAS</v>
      </c>
      <c r="AN266" s="13" t="str">
        <f>IF(AL266="","",IFERROR(VLOOKUP(AL266,CODEBOOK_CAP!$C$2:$E$212,3,FALSE),""))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266" s="11" t="n">
        <v>1</v>
      </c>
      <c r="AP266" s="11" t="s">
        <v>1757</v>
      </c>
      <c r="AQ266" s="11" t="n">
        <v>1</v>
      </c>
      <c r="AR266" s="11" t="n">
        <v>1</v>
      </c>
      <c r="AS266" s="11" t="s">
        <v>1758</v>
      </c>
      <c r="AT266" s="11" t="n">
        <v>0</v>
      </c>
      <c r="AU266" s="11"/>
      <c r="AV266" s="11"/>
      <c r="AW266" s="11"/>
      <c r="AX266" s="7" t="s">
        <v>84</v>
      </c>
      <c r="AY266" s="7"/>
      <c r="AZ266" s="7"/>
      <c r="BA266" s="7"/>
    </row>
    <row r="267" ht="85.5" customHeight="1">
      <c r="A267" s="4" t="s">
        <v>1759</v>
      </c>
      <c r="B267" s="4" t="n">
        <v>2022</v>
      </c>
      <c r="C267" s="4" t="n">
        <v>4330</v>
      </c>
      <c r="D267" s="4" t="s">
        <v>54</v>
      </c>
      <c r="E267" s="4" t="s">
        <v>1744</v>
      </c>
      <c r="F267" s="5" t="s">
        <v>1760</v>
      </c>
      <c r="G267" s="4" t="s">
        <v>57</v>
      </c>
      <c r="H267" s="4" t="s">
        <v>1746</v>
      </c>
      <c r="I267" s="4" t="s">
        <v>1214</v>
      </c>
      <c r="J267" s="4" t="s">
        <v>1761</v>
      </c>
      <c r="K267" s="4" t="s">
        <v>1754</v>
      </c>
      <c r="L267" s="5" t="s">
        <v>62</v>
      </c>
      <c r="M267" s="4" t="s">
        <v>63</v>
      </c>
      <c r="N267" s="5" t="s">
        <v>64</v>
      </c>
      <c r="O267" s="4" t="s">
        <v>65</v>
      </c>
      <c r="P267" s="5" t="s">
        <v>344</v>
      </c>
      <c r="Q267" s="4" t="s">
        <v>345</v>
      </c>
      <c r="R267" s="5" t="s">
        <v>346</v>
      </c>
      <c r="S267" s="4" t="s">
        <v>347</v>
      </c>
      <c r="T267" s="5" t="s">
        <v>555</v>
      </c>
      <c r="U267" s="4" t="s">
        <v>347</v>
      </c>
      <c r="V267" s="5" t="s">
        <v>706</v>
      </c>
      <c r="W267" s="4" t="s">
        <v>105</v>
      </c>
      <c r="X267" s="4" t="s">
        <v>106</v>
      </c>
      <c r="Y267" s="5"/>
      <c r="Z267" s="4" t="s">
        <v>75</v>
      </c>
      <c r="AA267" s="6" t="n">
        <v>70000</v>
      </c>
      <c r="AB267" s="6" t="n">
        <v>69887</v>
      </c>
      <c r="AC267" s="6" t="n">
        <v>69887</v>
      </c>
      <c r="AD267" s="6" t="n">
        <v>69887</v>
      </c>
      <c r="AE267" s="4" t="s">
        <v>1762</v>
      </c>
      <c r="AF267" s="5" t="s">
        <v>1763</v>
      </c>
      <c r="AG267" s="4" t="s">
        <v>78</v>
      </c>
      <c r="AH267" s="4" t="s">
        <v>79</v>
      </c>
      <c r="AI267" s="5" t="s">
        <v>80</v>
      </c>
      <c r="AJ267" s="1" t="n">
        <v>1</v>
      </c>
      <c r="AK267" s="11" t="n">
        <v>1</v>
      </c>
      <c r="AL267" s="12" t="s">
        <v>81</v>
      </c>
      <c r="AM267" s="13" t="str">
        <f>IF(AL267="","",AL267&amp;" - "&amp;IFERROR(VLOOKUP(AL267,CODEBOOK_CAP!$C$2:$D$212,2,FALSE),""))</f>
        <v>0322 - ESTRUTURAS, HOSPITAIS, CLÍNICAS</v>
      </c>
      <c r="AN267" s="13" t="str">
        <f>IF(AL267="","",IFERROR(VLOOKUP(AL267,CODEBOOK_CAP!$C$2:$E$212,3,FALSE),""))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267" s="11" t="n">
        <v>1</v>
      </c>
      <c r="AP267" s="11" t="s">
        <v>1764</v>
      </c>
      <c r="AQ267" s="11" t="n">
        <v>1</v>
      </c>
      <c r="AR267" s="11" t="n">
        <v>1</v>
      </c>
      <c r="AS267" s="11" t="s">
        <v>1765</v>
      </c>
      <c r="AT267" s="11" t="n">
        <v>0</v>
      </c>
      <c r="AU267" s="11"/>
      <c r="AV267" s="11"/>
      <c r="AW267" s="11"/>
      <c r="AX267" s="7" t="s">
        <v>84</v>
      </c>
      <c r="AY267" s="7"/>
      <c r="AZ267" s="7"/>
      <c r="BA267" s="7"/>
    </row>
    <row r="268" ht="142.5" customHeight="1">
      <c r="A268" s="4" t="s">
        <v>1766</v>
      </c>
      <c r="B268" s="4" t="n">
        <v>2022</v>
      </c>
      <c r="C268" s="4" t="n">
        <v>4331</v>
      </c>
      <c r="D268" s="4" t="s">
        <v>54</v>
      </c>
      <c r="E268" s="4" t="s">
        <v>1744</v>
      </c>
      <c r="F268" s="5" t="s">
        <v>1767</v>
      </c>
      <c r="G268" s="4" t="s">
        <v>57</v>
      </c>
      <c r="H268" s="4" t="s">
        <v>1746</v>
      </c>
      <c r="I268" s="4" t="s">
        <v>1214</v>
      </c>
      <c r="J268" s="4" t="s">
        <v>1768</v>
      </c>
      <c r="K268" s="4" t="s">
        <v>1754</v>
      </c>
      <c r="L268" s="5" t="s">
        <v>62</v>
      </c>
      <c r="M268" s="4" t="s">
        <v>63</v>
      </c>
      <c r="N268" s="5" t="s">
        <v>64</v>
      </c>
      <c r="O268" s="4" t="s">
        <v>65</v>
      </c>
      <c r="P268" s="5" t="s">
        <v>344</v>
      </c>
      <c r="Q268" s="4" t="s">
        <v>345</v>
      </c>
      <c r="R268" s="5" t="s">
        <v>346</v>
      </c>
      <c r="S268" s="4" t="s">
        <v>347</v>
      </c>
      <c r="T268" s="5" t="s">
        <v>555</v>
      </c>
      <c r="U268" s="4" t="s">
        <v>347</v>
      </c>
      <c r="V268" s="5" t="s">
        <v>706</v>
      </c>
      <c r="W268" s="4" t="s">
        <v>105</v>
      </c>
      <c r="X268" s="4" t="s">
        <v>106</v>
      </c>
      <c r="Y268" s="5"/>
      <c r="Z268" s="4" t="s">
        <v>75</v>
      </c>
      <c r="AA268" s="6" t="n">
        <v>70000</v>
      </c>
      <c r="AB268" s="6" t="n">
        <v>53616</v>
      </c>
      <c r="AC268" s="6" t="n">
        <v>53616</v>
      </c>
      <c r="AD268" s="6" t="n">
        <v>53616</v>
      </c>
      <c r="AE268" s="4" t="s">
        <v>1769</v>
      </c>
      <c r="AF268" s="5" t="s">
        <v>1770</v>
      </c>
      <c r="AG268" s="4" t="s">
        <v>78</v>
      </c>
      <c r="AH268" s="4" t="s">
        <v>79</v>
      </c>
      <c r="AI268" s="5" t="s">
        <v>80</v>
      </c>
      <c r="AJ268" s="1" t="n">
        <v>1</v>
      </c>
      <c r="AK268" s="11" t="n">
        <v>1</v>
      </c>
      <c r="AL268" s="12" t="s">
        <v>81</v>
      </c>
      <c r="AM268" s="13" t="str">
        <f>IF(AL268="","",AL268&amp;" - "&amp;IFERROR(VLOOKUP(AL268,CODEBOOK_CAP!$C$2:$D$212,2,FALSE),""))</f>
        <v>0322 - ESTRUTURAS, HOSPITAIS, CLÍNICAS</v>
      </c>
      <c r="AN268" s="13" t="str">
        <f>IF(AL268="","",IFERROR(VLOOKUP(AL268,CODEBOOK_CAP!$C$2:$E$212,3,FALSE),""))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268" s="11" t="n">
        <v>1</v>
      </c>
      <c r="AP268" s="11" t="s">
        <v>1771</v>
      </c>
      <c r="AQ268" s="11" t="n">
        <v>1</v>
      </c>
      <c r="AR268" s="11" t="n">
        <v>1</v>
      </c>
      <c r="AS268" s="11" t="s">
        <v>1772</v>
      </c>
      <c r="AT268" s="11" t="n">
        <v>0</v>
      </c>
      <c r="AU268" s="11"/>
      <c r="AV268" s="11"/>
      <c r="AW268" s="11"/>
      <c r="AX268" s="7" t="s">
        <v>84</v>
      </c>
      <c r="AY268" s="7"/>
      <c r="AZ268" s="7"/>
      <c r="BA268" s="7"/>
    </row>
    <row r="269" ht="142.5" customHeight="1">
      <c r="A269" s="4" t="s">
        <v>1773</v>
      </c>
      <c r="B269" s="4" t="n">
        <v>2022</v>
      </c>
      <c r="C269" s="4" t="n">
        <v>4332</v>
      </c>
      <c r="D269" s="4" t="s">
        <v>54</v>
      </c>
      <c r="E269" s="4" t="s">
        <v>1744</v>
      </c>
      <c r="F269" s="5" t="s">
        <v>1774</v>
      </c>
      <c r="G269" s="4" t="s">
        <v>57</v>
      </c>
      <c r="H269" s="4" t="s">
        <v>1746</v>
      </c>
      <c r="I269" s="4" t="s">
        <v>1214</v>
      </c>
      <c r="J269" s="4" t="s">
        <v>1775</v>
      </c>
      <c r="K269" s="4" t="s">
        <v>1754</v>
      </c>
      <c r="L269" s="5" t="s">
        <v>62</v>
      </c>
      <c r="M269" s="4" t="s">
        <v>63</v>
      </c>
      <c r="N269" s="5" t="s">
        <v>64</v>
      </c>
      <c r="O269" s="4" t="s">
        <v>65</v>
      </c>
      <c r="P269" s="5" t="s">
        <v>344</v>
      </c>
      <c r="Q269" s="4" t="s">
        <v>345</v>
      </c>
      <c r="R269" s="5" t="s">
        <v>346</v>
      </c>
      <c r="S269" s="4" t="s">
        <v>347</v>
      </c>
      <c r="T269" s="5" t="s">
        <v>555</v>
      </c>
      <c r="U269" s="4" t="s">
        <v>347</v>
      </c>
      <c r="V269" s="5" t="s">
        <v>706</v>
      </c>
      <c r="W269" s="4" t="s">
        <v>105</v>
      </c>
      <c r="X269" s="4" t="s">
        <v>106</v>
      </c>
      <c r="Y269" s="5"/>
      <c r="Z269" s="4" t="s">
        <v>75</v>
      </c>
      <c r="AA269" s="6" t="n">
        <v>70000</v>
      </c>
      <c r="AB269" s="6" t="n">
        <v>69945</v>
      </c>
      <c r="AC269" s="6" t="n">
        <v>69945</v>
      </c>
      <c r="AD269" s="6" t="n">
        <v>69945</v>
      </c>
      <c r="AE269" s="4" t="s">
        <v>1776</v>
      </c>
      <c r="AF269" s="5" t="s">
        <v>1777</v>
      </c>
      <c r="AG269" s="4" t="s">
        <v>78</v>
      </c>
      <c r="AH269" s="4" t="s">
        <v>79</v>
      </c>
      <c r="AI269" s="5" t="s">
        <v>80</v>
      </c>
      <c r="AJ269" s="1" t="n">
        <v>1</v>
      </c>
      <c r="AK269" s="11" t="n">
        <v>1</v>
      </c>
      <c r="AL269" s="12" t="s">
        <v>81</v>
      </c>
      <c r="AM269" s="13" t="str">
        <f>IF(AL269="","",AL269&amp;" - "&amp;IFERROR(VLOOKUP(AL269,CODEBOOK_CAP!$C$2:$D$212,2,FALSE),""))</f>
        <v>0322 - ESTRUTURAS, HOSPITAIS, CLÍNICAS</v>
      </c>
      <c r="AN269" s="13" t="str">
        <f>IF(AL269="","",IFERROR(VLOOKUP(AL269,CODEBOOK_CAP!$C$2:$E$212,3,FALSE),""))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269" s="11" t="n">
        <v>1</v>
      </c>
      <c r="AP269" s="11" t="s">
        <v>1778</v>
      </c>
      <c r="AQ269" s="11" t="n">
        <v>1</v>
      </c>
      <c r="AR269" s="11" t="n">
        <v>1</v>
      </c>
      <c r="AS269" s="11" t="s">
        <v>1779</v>
      </c>
      <c r="AT269" s="11" t="n">
        <v>0</v>
      </c>
      <c r="AU269" s="11"/>
      <c r="AV269" s="11"/>
      <c r="AW269" s="11"/>
      <c r="AX269" s="7" t="s">
        <v>84</v>
      </c>
      <c r="AY269" s="7"/>
      <c r="AZ269" s="7"/>
      <c r="BA269" s="7"/>
    </row>
    <row r="270" ht="85.5" customHeight="1">
      <c r="A270" s="4" t="s">
        <v>1780</v>
      </c>
      <c r="B270" s="4" t="n">
        <v>2022</v>
      </c>
      <c r="C270" s="4" t="n">
        <v>4333</v>
      </c>
      <c r="D270" s="4" t="s">
        <v>54</v>
      </c>
      <c r="E270" s="4" t="s">
        <v>1744</v>
      </c>
      <c r="F270" s="5" t="s">
        <v>1781</v>
      </c>
      <c r="G270" s="4" t="s">
        <v>57</v>
      </c>
      <c r="H270" s="4" t="s">
        <v>1746</v>
      </c>
      <c r="I270" s="4" t="s">
        <v>1214</v>
      </c>
      <c r="J270" s="4" t="s">
        <v>1782</v>
      </c>
      <c r="K270" s="4" t="s">
        <v>1754</v>
      </c>
      <c r="L270" s="5" t="s">
        <v>62</v>
      </c>
      <c r="M270" s="4" t="s">
        <v>63</v>
      </c>
      <c r="N270" s="5" t="s">
        <v>64</v>
      </c>
      <c r="O270" s="4" t="s">
        <v>65</v>
      </c>
      <c r="P270" s="5" t="s">
        <v>344</v>
      </c>
      <c r="Q270" s="4" t="s">
        <v>345</v>
      </c>
      <c r="R270" s="5" t="s">
        <v>346</v>
      </c>
      <c r="S270" s="4" t="s">
        <v>347</v>
      </c>
      <c r="T270" s="5" t="s">
        <v>555</v>
      </c>
      <c r="U270" s="4" t="s">
        <v>347</v>
      </c>
      <c r="V270" s="5" t="s">
        <v>706</v>
      </c>
      <c r="W270" s="4" t="s">
        <v>105</v>
      </c>
      <c r="X270" s="4" t="s">
        <v>106</v>
      </c>
      <c r="Y270" s="5"/>
      <c r="Z270" s="4" t="s">
        <v>75</v>
      </c>
      <c r="AA270" s="6" t="n">
        <v>70000</v>
      </c>
      <c r="AB270" s="6" t="n">
        <v>69804</v>
      </c>
      <c r="AC270" s="6" t="n">
        <v>69804</v>
      </c>
      <c r="AD270" s="6" t="n">
        <v>69804</v>
      </c>
      <c r="AE270" s="4" t="s">
        <v>1783</v>
      </c>
      <c r="AF270" s="5" t="s">
        <v>1763</v>
      </c>
      <c r="AG270" s="4" t="s">
        <v>78</v>
      </c>
      <c r="AH270" s="4" t="s">
        <v>79</v>
      </c>
      <c r="AI270" s="5" t="s">
        <v>80</v>
      </c>
      <c r="AJ270" s="1" t="n">
        <v>1</v>
      </c>
      <c r="AK270" s="11" t="n">
        <v>1</v>
      </c>
      <c r="AL270" s="12" t="s">
        <v>81</v>
      </c>
      <c r="AM270" s="13" t="str">
        <f>IF(AL270="","",AL270&amp;" - "&amp;IFERROR(VLOOKUP(AL270,CODEBOOK_CAP!$C$2:$D$212,2,FALSE),""))</f>
        <v>0322 - ESTRUTURAS, HOSPITAIS, CLÍNICAS</v>
      </c>
      <c r="AN270" s="13" t="str">
        <f>IF(AL270="","",IFERROR(VLOOKUP(AL270,CODEBOOK_CAP!$C$2:$E$212,3,FALSE),""))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270" s="11" t="n">
        <v>1</v>
      </c>
      <c r="AP270" s="11" t="s">
        <v>1784</v>
      </c>
      <c r="AQ270" s="11" t="n">
        <v>1</v>
      </c>
      <c r="AR270" s="11" t="n">
        <v>1</v>
      </c>
      <c r="AS270" s="11" t="s">
        <v>1785</v>
      </c>
      <c r="AT270" s="11" t="n">
        <v>0</v>
      </c>
      <c r="AU270" s="11"/>
      <c r="AV270" s="11"/>
      <c r="AW270" s="11"/>
      <c r="AX270" s="7" t="s">
        <v>84</v>
      </c>
      <c r="AY270" s="7"/>
      <c r="AZ270" s="7"/>
      <c r="BA270" s="7"/>
    </row>
    <row r="271" ht="85.5" customHeight="1">
      <c r="A271" s="4" t="s">
        <v>1786</v>
      </c>
      <c r="B271" s="4" t="n">
        <v>2022</v>
      </c>
      <c r="C271" s="4" t="n">
        <v>4334</v>
      </c>
      <c r="D271" s="4" t="s">
        <v>54</v>
      </c>
      <c r="E271" s="4" t="s">
        <v>1744</v>
      </c>
      <c r="F271" s="5" t="s">
        <v>1787</v>
      </c>
      <c r="G271" s="4" t="s">
        <v>57</v>
      </c>
      <c r="H271" s="4" t="s">
        <v>1746</v>
      </c>
      <c r="I271" s="4" t="s">
        <v>1214</v>
      </c>
      <c r="J271" s="4" t="s">
        <v>1788</v>
      </c>
      <c r="K271" s="4" t="s">
        <v>1748</v>
      </c>
      <c r="L271" s="5" t="s">
        <v>62</v>
      </c>
      <c r="M271" s="4" t="s">
        <v>63</v>
      </c>
      <c r="N271" s="5" t="s">
        <v>64</v>
      </c>
      <c r="O271" s="4" t="s">
        <v>65</v>
      </c>
      <c r="P271" s="5" t="s">
        <v>344</v>
      </c>
      <c r="Q271" s="4" t="s">
        <v>345</v>
      </c>
      <c r="R271" s="5" t="s">
        <v>346</v>
      </c>
      <c r="S271" s="4" t="s">
        <v>347</v>
      </c>
      <c r="T271" s="5" t="s">
        <v>348</v>
      </c>
      <c r="U271" s="4" t="s">
        <v>349</v>
      </c>
      <c r="V271" s="5" t="s">
        <v>350</v>
      </c>
      <c r="W271" s="4" t="s">
        <v>105</v>
      </c>
      <c r="X271" s="4" t="s">
        <v>106</v>
      </c>
      <c r="Y271" s="5"/>
      <c r="Z271" s="4" t="s">
        <v>75</v>
      </c>
      <c r="AA271" s="6" t="n">
        <v>70000</v>
      </c>
      <c r="AB271" s="6" t="n">
        <v>70000</v>
      </c>
      <c r="AC271" s="6" t="n">
        <v>70000</v>
      </c>
      <c r="AD271" s="6" t="n">
        <v>70000</v>
      </c>
      <c r="AE271" s="4" t="s">
        <v>351</v>
      </c>
      <c r="AF271" s="5" t="s">
        <v>352</v>
      </c>
      <c r="AG271" s="4" t="s">
        <v>78</v>
      </c>
      <c r="AH271" s="4" t="s">
        <v>79</v>
      </c>
      <c r="AI271" s="5" t="s">
        <v>80</v>
      </c>
      <c r="AJ271" s="1" t="n">
        <v>1</v>
      </c>
      <c r="AK271" s="11" t="n">
        <v>1</v>
      </c>
      <c r="AL271" s="12" t="s">
        <v>81</v>
      </c>
      <c r="AM271" s="13" t="str">
        <f>IF(AL271="","",AL271&amp;" - "&amp;IFERROR(VLOOKUP(AL271,CODEBOOK_CAP!$C$2:$D$212,2,FALSE),""))</f>
        <v>0322 - ESTRUTURAS, HOSPITAIS, CLÍNICAS</v>
      </c>
      <c r="AN271" s="13" t="str">
        <f>IF(AL271="","",IFERROR(VLOOKUP(AL271,CODEBOOK_CAP!$C$2:$E$212,3,FALSE),""))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271" s="11" t="n">
        <v>1</v>
      </c>
      <c r="AP271" s="11" t="s">
        <v>1789</v>
      </c>
      <c r="AQ271" s="11" t="n">
        <v>1</v>
      </c>
      <c r="AR271" s="11" t="n">
        <v>1</v>
      </c>
      <c r="AS271" s="11" t="s">
        <v>1790</v>
      </c>
      <c r="AT271" s="11" t="n">
        <v>0</v>
      </c>
      <c r="AU271" s="11"/>
      <c r="AV271" s="11"/>
      <c r="AW271" s="11"/>
      <c r="AX271" s="7" t="s">
        <v>84</v>
      </c>
      <c r="AY271" s="7"/>
      <c r="AZ271" s="7"/>
      <c r="BA271" s="7"/>
    </row>
    <row r="272" ht="114" customHeight="1">
      <c r="A272" s="4" t="s">
        <v>1791</v>
      </c>
      <c r="B272" s="4" t="n">
        <v>2022</v>
      </c>
      <c r="C272" s="4" t="n">
        <v>4335</v>
      </c>
      <c r="D272" s="4" t="s">
        <v>54</v>
      </c>
      <c r="E272" s="4" t="s">
        <v>1744</v>
      </c>
      <c r="F272" s="5" t="s">
        <v>1792</v>
      </c>
      <c r="G272" s="4" t="s">
        <v>57</v>
      </c>
      <c r="H272" s="4" t="s">
        <v>1746</v>
      </c>
      <c r="I272" s="4" t="s">
        <v>1214</v>
      </c>
      <c r="J272" s="4" t="s">
        <v>1793</v>
      </c>
      <c r="K272" s="4" t="s">
        <v>1754</v>
      </c>
      <c r="L272" s="5" t="s">
        <v>62</v>
      </c>
      <c r="M272" s="4" t="s">
        <v>63</v>
      </c>
      <c r="N272" s="5" t="s">
        <v>64</v>
      </c>
      <c r="O272" s="4" t="s">
        <v>65</v>
      </c>
      <c r="P272" s="5" t="s">
        <v>344</v>
      </c>
      <c r="Q272" s="4" t="s">
        <v>345</v>
      </c>
      <c r="R272" s="5" t="s">
        <v>346</v>
      </c>
      <c r="S272" s="4" t="s">
        <v>347</v>
      </c>
      <c r="T272" s="5" t="s">
        <v>555</v>
      </c>
      <c r="U272" s="4" t="s">
        <v>347</v>
      </c>
      <c r="V272" s="5" t="s">
        <v>706</v>
      </c>
      <c r="W272" s="4" t="s">
        <v>105</v>
      </c>
      <c r="X272" s="4" t="s">
        <v>106</v>
      </c>
      <c r="Y272" s="5"/>
      <c r="Z272" s="4" t="s">
        <v>75</v>
      </c>
      <c r="AA272" s="6" t="n">
        <v>70000</v>
      </c>
      <c r="AB272" s="6" t="n">
        <v>69975</v>
      </c>
      <c r="AC272" s="6" t="n">
        <v>69975</v>
      </c>
      <c r="AD272" s="6" t="n">
        <v>69975</v>
      </c>
      <c r="AE272" s="4" t="s">
        <v>1794</v>
      </c>
      <c r="AF272" s="5" t="s">
        <v>1795</v>
      </c>
      <c r="AG272" s="4" t="s">
        <v>78</v>
      </c>
      <c r="AH272" s="4" t="s">
        <v>79</v>
      </c>
      <c r="AI272" s="5" t="s">
        <v>80</v>
      </c>
      <c r="AJ272" s="1" t="n">
        <v>1</v>
      </c>
      <c r="AK272" s="11" t="n">
        <v>1</v>
      </c>
      <c r="AL272" s="12" t="s">
        <v>81</v>
      </c>
      <c r="AM272" s="13" t="str">
        <f>IF(AL272="","",AL272&amp;" - "&amp;IFERROR(VLOOKUP(AL272,CODEBOOK_CAP!$C$2:$D$212,2,FALSE),""))</f>
        <v>0322 - ESTRUTURAS, HOSPITAIS, CLÍNICAS</v>
      </c>
      <c r="AN272" s="13" t="str">
        <f>IF(AL272="","",IFERROR(VLOOKUP(AL272,CODEBOOK_CAP!$C$2:$E$212,3,FALSE),""))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272" s="11" t="n">
        <v>1</v>
      </c>
      <c r="AP272" s="11" t="s">
        <v>1796</v>
      </c>
      <c r="AQ272" s="11" t="n">
        <v>1</v>
      </c>
      <c r="AR272" s="11" t="n">
        <v>1</v>
      </c>
      <c r="AS272" s="11" t="s">
        <v>1797</v>
      </c>
      <c r="AT272" s="11" t="n">
        <v>0</v>
      </c>
      <c r="AU272" s="11"/>
      <c r="AV272" s="11"/>
      <c r="AW272" s="11"/>
      <c r="AX272" s="7" t="s">
        <v>84</v>
      </c>
      <c r="AY272" s="7"/>
      <c r="AZ272" s="7"/>
      <c r="BA272" s="7"/>
    </row>
    <row r="273" ht="85.5" customHeight="1">
      <c r="A273" s="4" t="s">
        <v>1798</v>
      </c>
      <c r="B273" s="4" t="n">
        <v>2022</v>
      </c>
      <c r="C273" s="4" t="n">
        <v>4336</v>
      </c>
      <c r="D273" s="4" t="s">
        <v>54</v>
      </c>
      <c r="E273" s="4" t="s">
        <v>1744</v>
      </c>
      <c r="F273" s="5" t="s">
        <v>599</v>
      </c>
      <c r="G273" s="4" t="s">
        <v>57</v>
      </c>
      <c r="H273" s="4" t="s">
        <v>1746</v>
      </c>
      <c r="I273" s="4" t="s">
        <v>1214</v>
      </c>
      <c r="J273" s="4" t="s">
        <v>1799</v>
      </c>
      <c r="K273" s="4" t="s">
        <v>1754</v>
      </c>
      <c r="L273" s="5" t="s">
        <v>62</v>
      </c>
      <c r="M273" s="4" t="s">
        <v>63</v>
      </c>
      <c r="N273" s="5" t="s">
        <v>64</v>
      </c>
      <c r="O273" s="4" t="s">
        <v>65</v>
      </c>
      <c r="P273" s="5" t="s">
        <v>344</v>
      </c>
      <c r="Q273" s="4" t="s">
        <v>345</v>
      </c>
      <c r="R273" s="5" t="s">
        <v>346</v>
      </c>
      <c r="S273" s="4" t="s">
        <v>347</v>
      </c>
      <c r="T273" s="5" t="s">
        <v>555</v>
      </c>
      <c r="U273" s="4" t="s">
        <v>347</v>
      </c>
      <c r="V273" s="5" t="s">
        <v>706</v>
      </c>
      <c r="W273" s="4" t="s">
        <v>105</v>
      </c>
      <c r="X273" s="4" t="s">
        <v>106</v>
      </c>
      <c r="Y273" s="5"/>
      <c r="Z273" s="4" t="s">
        <v>75</v>
      </c>
      <c r="AA273" s="6" t="n">
        <v>70000</v>
      </c>
      <c r="AB273" s="6" t="n">
        <v>69893</v>
      </c>
      <c r="AC273" s="6" t="n">
        <v>69893</v>
      </c>
      <c r="AD273" s="6" t="n">
        <v>69893</v>
      </c>
      <c r="AE273" s="4"/>
      <c r="AF273" s="5"/>
      <c r="AG273" s="4" t="s">
        <v>78</v>
      </c>
      <c r="AH273" s="4" t="s">
        <v>79</v>
      </c>
      <c r="AI273" s="5" t="s">
        <v>80</v>
      </c>
      <c r="AJ273" s="1" t="n">
        <v>1</v>
      </c>
      <c r="AK273" s="11" t="n">
        <v>1</v>
      </c>
      <c r="AL273" s="12" t="s">
        <v>81</v>
      </c>
      <c r="AM273" s="13" t="str">
        <f>IF(AL273="","",AL273&amp;" - "&amp;IFERROR(VLOOKUP(AL273,CODEBOOK_CAP!$C$2:$D$212,2,FALSE),""))</f>
        <v>0322 - ESTRUTURAS, HOSPITAIS, CLÍNICAS</v>
      </c>
      <c r="AN273" s="13" t="str">
        <f>IF(AL273="","",IFERROR(VLOOKUP(AL273,CODEBOOK_CAP!$C$2:$E$212,3,FALSE),""))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273" s="11" t="n">
        <v>1</v>
      </c>
      <c r="AP273" s="11" t="s">
        <v>1800</v>
      </c>
      <c r="AQ273" s="11" t="n">
        <v>1</v>
      </c>
      <c r="AR273" s="11" t="n">
        <v>1</v>
      </c>
      <c r="AS273" s="11" t="s">
        <v>1801</v>
      </c>
      <c r="AT273" s="11" t="n">
        <v>0</v>
      </c>
      <c r="AU273" s="11"/>
      <c r="AV273" s="11"/>
      <c r="AW273" s="11"/>
      <c r="AX273" s="7" t="s">
        <v>84</v>
      </c>
      <c r="AY273" s="7"/>
      <c r="AZ273" s="7"/>
      <c r="BA273" s="7"/>
    </row>
    <row r="274" ht="128.25" customHeight="1">
      <c r="A274" s="4" t="s">
        <v>1802</v>
      </c>
      <c r="B274" s="4" t="n">
        <v>2022</v>
      </c>
      <c r="C274" s="4" t="n">
        <v>4337</v>
      </c>
      <c r="D274" s="4" t="s">
        <v>54</v>
      </c>
      <c r="E274" s="4" t="s">
        <v>1744</v>
      </c>
      <c r="F274" s="5" t="s">
        <v>1803</v>
      </c>
      <c r="G274" s="4" t="s">
        <v>57</v>
      </c>
      <c r="H274" s="4" t="s">
        <v>1746</v>
      </c>
      <c r="I274" s="4" t="s">
        <v>1214</v>
      </c>
      <c r="J274" s="4" t="s">
        <v>1804</v>
      </c>
      <c r="K274" s="4" t="s">
        <v>1754</v>
      </c>
      <c r="L274" s="5" t="s">
        <v>62</v>
      </c>
      <c r="M274" s="4" t="s">
        <v>63</v>
      </c>
      <c r="N274" s="5" t="s">
        <v>64</v>
      </c>
      <c r="O274" s="4" t="s">
        <v>65</v>
      </c>
      <c r="P274" s="5" t="s">
        <v>344</v>
      </c>
      <c r="Q274" s="4" t="s">
        <v>345</v>
      </c>
      <c r="R274" s="5" t="s">
        <v>346</v>
      </c>
      <c r="S274" s="4" t="s">
        <v>347</v>
      </c>
      <c r="T274" s="5" t="s">
        <v>555</v>
      </c>
      <c r="U274" s="4" t="s">
        <v>347</v>
      </c>
      <c r="V274" s="5" t="s">
        <v>706</v>
      </c>
      <c r="W274" s="4" t="s">
        <v>105</v>
      </c>
      <c r="X274" s="4" t="s">
        <v>106</v>
      </c>
      <c r="Y274" s="5"/>
      <c r="Z274" s="4" t="s">
        <v>75</v>
      </c>
      <c r="AA274" s="6" t="n">
        <v>150000</v>
      </c>
      <c r="AB274" s="6" t="n">
        <v>149866</v>
      </c>
      <c r="AC274" s="6" t="n">
        <v>149866</v>
      </c>
      <c r="AD274" s="6" t="n">
        <v>149866</v>
      </c>
      <c r="AE274" s="4" t="s">
        <v>1805</v>
      </c>
      <c r="AF274" s="5" t="s">
        <v>1806</v>
      </c>
      <c r="AG274" s="4" t="s">
        <v>78</v>
      </c>
      <c r="AH274" s="4" t="s">
        <v>79</v>
      </c>
      <c r="AI274" s="5" t="s">
        <v>80</v>
      </c>
      <c r="AJ274" s="1" t="n">
        <v>1</v>
      </c>
      <c r="AK274" s="11" t="n">
        <v>1</v>
      </c>
      <c r="AL274" s="12" t="s">
        <v>81</v>
      </c>
      <c r="AM274" s="13" t="str">
        <f>IF(AL274="","",AL274&amp;" - "&amp;IFERROR(VLOOKUP(AL274,CODEBOOK_CAP!$C$2:$D$212,2,FALSE),""))</f>
        <v>0322 - ESTRUTURAS, HOSPITAIS, CLÍNICAS</v>
      </c>
      <c r="AN274" s="13" t="str">
        <f>IF(AL274="","",IFERROR(VLOOKUP(AL274,CODEBOOK_CAP!$C$2:$E$212,3,FALSE),""))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274" s="11" t="n">
        <v>1</v>
      </c>
      <c r="AP274" s="11" t="s">
        <v>1807</v>
      </c>
      <c r="AQ274" s="11" t="n">
        <v>1</v>
      </c>
      <c r="AR274" s="11" t="n">
        <v>1</v>
      </c>
      <c r="AS274" s="11" t="s">
        <v>1808</v>
      </c>
      <c r="AT274" s="11" t="n">
        <v>0</v>
      </c>
      <c r="AU274" s="11"/>
      <c r="AV274" s="11"/>
      <c r="AW274" s="11"/>
      <c r="AX274" s="7" t="s">
        <v>84</v>
      </c>
      <c r="AY274" s="7"/>
      <c r="AZ274" s="7"/>
      <c r="BA274" s="7"/>
    </row>
    <row r="275" ht="85.5" customHeight="1">
      <c r="A275" s="4" t="s">
        <v>1809</v>
      </c>
      <c r="B275" s="4" t="n">
        <v>2022</v>
      </c>
      <c r="C275" s="4" t="n">
        <v>4338</v>
      </c>
      <c r="D275" s="4" t="s">
        <v>54</v>
      </c>
      <c r="E275" s="4" t="s">
        <v>1744</v>
      </c>
      <c r="F275" s="5" t="s">
        <v>669</v>
      </c>
      <c r="G275" s="4" t="s">
        <v>57</v>
      </c>
      <c r="H275" s="4" t="s">
        <v>1746</v>
      </c>
      <c r="I275" s="4" t="s">
        <v>1214</v>
      </c>
      <c r="J275" s="4" t="s">
        <v>1810</v>
      </c>
      <c r="K275" s="4" t="s">
        <v>1748</v>
      </c>
      <c r="L275" s="5" t="s">
        <v>62</v>
      </c>
      <c r="M275" s="4" t="s">
        <v>63</v>
      </c>
      <c r="N275" s="5" t="s">
        <v>64</v>
      </c>
      <c r="O275" s="4" t="s">
        <v>65</v>
      </c>
      <c r="P275" s="5" t="s">
        <v>344</v>
      </c>
      <c r="Q275" s="4" t="s">
        <v>345</v>
      </c>
      <c r="R275" s="5" t="s">
        <v>346</v>
      </c>
      <c r="S275" s="4" t="s">
        <v>347</v>
      </c>
      <c r="T275" s="5" t="s">
        <v>348</v>
      </c>
      <c r="U275" s="4" t="s">
        <v>349</v>
      </c>
      <c r="V275" s="5" t="s">
        <v>350</v>
      </c>
      <c r="W275" s="4" t="s">
        <v>105</v>
      </c>
      <c r="X275" s="4" t="s">
        <v>106</v>
      </c>
      <c r="Y275" s="5"/>
      <c r="Z275" s="4" t="s">
        <v>75</v>
      </c>
      <c r="AA275" s="6" t="n">
        <v>70000</v>
      </c>
      <c r="AB275" s="6" t="n">
        <v>70000</v>
      </c>
      <c r="AC275" s="6" t="n">
        <v>70000</v>
      </c>
      <c r="AD275" s="6" t="n">
        <v>70000</v>
      </c>
      <c r="AE275" s="4" t="s">
        <v>351</v>
      </c>
      <c r="AF275" s="5" t="s">
        <v>352</v>
      </c>
      <c r="AG275" s="4" t="s">
        <v>78</v>
      </c>
      <c r="AH275" s="4" t="s">
        <v>79</v>
      </c>
      <c r="AI275" s="5" t="s">
        <v>80</v>
      </c>
      <c r="AJ275" s="1" t="n">
        <v>1</v>
      </c>
      <c r="AK275" s="11" t="n">
        <v>1</v>
      </c>
      <c r="AL275" s="12" t="s">
        <v>81</v>
      </c>
      <c r="AM275" s="13" t="str">
        <f>IF(AL275="","",AL275&amp;" - "&amp;IFERROR(VLOOKUP(AL275,CODEBOOK_CAP!$C$2:$D$212,2,FALSE),""))</f>
        <v>0322 - ESTRUTURAS, HOSPITAIS, CLÍNICAS</v>
      </c>
      <c r="AN275" s="13" t="str">
        <f>IF(AL275="","",IFERROR(VLOOKUP(AL275,CODEBOOK_CAP!$C$2:$E$212,3,FALSE),""))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275" s="11" t="n">
        <v>1</v>
      </c>
      <c r="AP275" s="11" t="s">
        <v>1811</v>
      </c>
      <c r="AQ275" s="11" t="n">
        <v>1</v>
      </c>
      <c r="AR275" s="11" t="n">
        <v>1</v>
      </c>
      <c r="AS275" s="11" t="s">
        <v>1812</v>
      </c>
      <c r="AT275" s="11" t="n">
        <v>0</v>
      </c>
      <c r="AU275" s="11"/>
      <c r="AV275" s="11"/>
      <c r="AW275" s="11"/>
      <c r="AX275" s="7" t="s">
        <v>84</v>
      </c>
      <c r="AY275" s="7"/>
      <c r="AZ275" s="7"/>
      <c r="BA275" s="7"/>
    </row>
    <row r="276" ht="142.5" customHeight="1">
      <c r="A276" s="4" t="s">
        <v>1813</v>
      </c>
      <c r="B276" s="4" t="n">
        <v>2022</v>
      </c>
      <c r="C276" s="4" t="n">
        <v>4339</v>
      </c>
      <c r="D276" s="4" t="s">
        <v>54</v>
      </c>
      <c r="E276" s="4" t="s">
        <v>1744</v>
      </c>
      <c r="F276" s="5" t="s">
        <v>1814</v>
      </c>
      <c r="G276" s="4" t="s">
        <v>57</v>
      </c>
      <c r="H276" s="4" t="s">
        <v>1746</v>
      </c>
      <c r="I276" s="4" t="s">
        <v>1214</v>
      </c>
      <c r="J276" s="4" t="s">
        <v>1815</v>
      </c>
      <c r="K276" s="4" t="s">
        <v>1754</v>
      </c>
      <c r="L276" s="5" t="s">
        <v>62</v>
      </c>
      <c r="M276" s="4" t="s">
        <v>63</v>
      </c>
      <c r="N276" s="5" t="s">
        <v>64</v>
      </c>
      <c r="O276" s="4" t="s">
        <v>65</v>
      </c>
      <c r="P276" s="5" t="s">
        <v>344</v>
      </c>
      <c r="Q276" s="4" t="s">
        <v>345</v>
      </c>
      <c r="R276" s="5" t="s">
        <v>346</v>
      </c>
      <c r="S276" s="4" t="s">
        <v>347</v>
      </c>
      <c r="T276" s="5" t="s">
        <v>555</v>
      </c>
      <c r="U276" s="4" t="s">
        <v>347</v>
      </c>
      <c r="V276" s="5" t="s">
        <v>706</v>
      </c>
      <c r="W276" s="4" t="s">
        <v>105</v>
      </c>
      <c r="X276" s="4" t="s">
        <v>106</v>
      </c>
      <c r="Y276" s="5"/>
      <c r="Z276" s="4" t="s">
        <v>75</v>
      </c>
      <c r="AA276" s="6" t="n">
        <v>70000</v>
      </c>
      <c r="AB276" s="6" t="n">
        <v>69897</v>
      </c>
      <c r="AC276" s="6" t="n">
        <v>69897</v>
      </c>
      <c r="AD276" s="6" t="n">
        <v>69897</v>
      </c>
      <c r="AE276" s="4" t="s">
        <v>1816</v>
      </c>
      <c r="AF276" s="5" t="s">
        <v>1817</v>
      </c>
      <c r="AG276" s="4" t="s">
        <v>78</v>
      </c>
      <c r="AH276" s="4" t="s">
        <v>79</v>
      </c>
      <c r="AI276" s="5" t="s">
        <v>80</v>
      </c>
      <c r="AJ276" s="1" t="n">
        <v>1</v>
      </c>
      <c r="AK276" s="11" t="n">
        <v>1</v>
      </c>
      <c r="AL276" s="12" t="s">
        <v>81</v>
      </c>
      <c r="AM276" s="13" t="str">
        <f>IF(AL276="","",AL276&amp;" - "&amp;IFERROR(VLOOKUP(AL276,CODEBOOK_CAP!$C$2:$D$212,2,FALSE),""))</f>
        <v>0322 - ESTRUTURAS, HOSPITAIS, CLÍNICAS</v>
      </c>
      <c r="AN276" s="13" t="str">
        <f>IF(AL276="","",IFERROR(VLOOKUP(AL276,CODEBOOK_CAP!$C$2:$E$212,3,FALSE),""))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276" s="11" t="n">
        <v>1</v>
      </c>
      <c r="AP276" s="11" t="s">
        <v>1818</v>
      </c>
      <c r="AQ276" s="11" t="n">
        <v>1</v>
      </c>
      <c r="AR276" s="11" t="n">
        <v>1</v>
      </c>
      <c r="AS276" s="11" t="s">
        <v>1819</v>
      </c>
      <c r="AT276" s="11" t="n">
        <v>0</v>
      </c>
      <c r="AU276" s="11"/>
      <c r="AV276" s="11"/>
      <c r="AW276" s="11"/>
      <c r="AX276" s="7" t="s">
        <v>84</v>
      </c>
      <c r="AY276" s="7"/>
      <c r="AZ276" s="7"/>
      <c r="BA276" s="7"/>
    </row>
    <row r="277" ht="114" customHeight="1">
      <c r="A277" s="4" t="s">
        <v>1820</v>
      </c>
      <c r="B277" s="4" t="n">
        <v>2022</v>
      </c>
      <c r="C277" s="4" t="n">
        <v>4341</v>
      </c>
      <c r="D277" s="4" t="s">
        <v>54</v>
      </c>
      <c r="E277" s="4" t="s">
        <v>1744</v>
      </c>
      <c r="F277" s="5" t="s">
        <v>1821</v>
      </c>
      <c r="G277" s="4" t="s">
        <v>57</v>
      </c>
      <c r="H277" s="4" t="s">
        <v>1746</v>
      </c>
      <c r="I277" s="4" t="s">
        <v>1214</v>
      </c>
      <c r="J277" s="4" t="s">
        <v>1822</v>
      </c>
      <c r="K277" s="4" t="s">
        <v>1754</v>
      </c>
      <c r="L277" s="5" t="s">
        <v>62</v>
      </c>
      <c r="M277" s="4" t="s">
        <v>63</v>
      </c>
      <c r="N277" s="5" t="s">
        <v>64</v>
      </c>
      <c r="O277" s="4" t="s">
        <v>65</v>
      </c>
      <c r="P277" s="5" t="s">
        <v>344</v>
      </c>
      <c r="Q277" s="4" t="s">
        <v>345</v>
      </c>
      <c r="R277" s="5" t="s">
        <v>346</v>
      </c>
      <c r="S277" s="4" t="s">
        <v>347</v>
      </c>
      <c r="T277" s="5" t="s">
        <v>555</v>
      </c>
      <c r="U277" s="4" t="s">
        <v>347</v>
      </c>
      <c r="V277" s="5" t="s">
        <v>706</v>
      </c>
      <c r="W277" s="4" t="s">
        <v>105</v>
      </c>
      <c r="X277" s="4" t="s">
        <v>106</v>
      </c>
      <c r="Y277" s="5"/>
      <c r="Z277" s="4" t="s">
        <v>75</v>
      </c>
      <c r="AA277" s="6" t="n">
        <v>70000</v>
      </c>
      <c r="AB277" s="6" t="n">
        <v>69987</v>
      </c>
      <c r="AC277" s="6" t="n">
        <v>69987</v>
      </c>
      <c r="AD277" s="6" t="n">
        <v>69987</v>
      </c>
      <c r="AE277" s="4" t="s">
        <v>1823</v>
      </c>
      <c r="AF277" s="5" t="s">
        <v>1824</v>
      </c>
      <c r="AG277" s="4" t="s">
        <v>78</v>
      </c>
      <c r="AH277" s="4" t="s">
        <v>79</v>
      </c>
      <c r="AI277" s="5" t="s">
        <v>80</v>
      </c>
      <c r="AJ277" s="1" t="n">
        <v>1</v>
      </c>
      <c r="AK277" s="11" t="n">
        <v>1</v>
      </c>
      <c r="AL277" s="12" t="s">
        <v>81</v>
      </c>
      <c r="AM277" s="13" t="str">
        <f>IF(AL277="","",AL277&amp;" - "&amp;IFERROR(VLOOKUP(AL277,CODEBOOK_CAP!$C$2:$D$212,2,FALSE),""))</f>
        <v>0322 - ESTRUTURAS, HOSPITAIS, CLÍNICAS</v>
      </c>
      <c r="AN277" s="13" t="str">
        <f>IF(AL277="","",IFERROR(VLOOKUP(AL277,CODEBOOK_CAP!$C$2:$E$212,3,FALSE),""))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277" s="11" t="n">
        <v>1</v>
      </c>
      <c r="AP277" s="11" t="s">
        <v>1825</v>
      </c>
      <c r="AQ277" s="11" t="n">
        <v>1</v>
      </c>
      <c r="AR277" s="11" t="n">
        <v>1</v>
      </c>
      <c r="AS277" s="11" t="s">
        <v>1826</v>
      </c>
      <c r="AT277" s="11" t="n">
        <v>0</v>
      </c>
      <c r="AU277" s="11"/>
      <c r="AV277" s="11"/>
      <c r="AW277" s="11"/>
      <c r="AX277" s="7" t="s">
        <v>84</v>
      </c>
      <c r="AY277" s="7"/>
      <c r="AZ277" s="7"/>
      <c r="BA277" s="7"/>
    </row>
    <row r="278" ht="85.5" customHeight="1">
      <c r="A278" s="4" t="s">
        <v>1827</v>
      </c>
      <c r="B278" s="4" t="n">
        <v>2022</v>
      </c>
      <c r="C278" s="4" t="n">
        <v>4374</v>
      </c>
      <c r="D278" s="4" t="s">
        <v>54</v>
      </c>
      <c r="E278" s="4" t="s">
        <v>1744</v>
      </c>
      <c r="F278" s="5" t="s">
        <v>1828</v>
      </c>
      <c r="G278" s="4" t="s">
        <v>289</v>
      </c>
      <c r="H278" s="4" t="s">
        <v>1746</v>
      </c>
      <c r="I278" s="4" t="s">
        <v>1214</v>
      </c>
      <c r="J278" s="4" t="s">
        <v>1829</v>
      </c>
      <c r="K278" s="4" t="s">
        <v>93</v>
      </c>
      <c r="L278" s="5" t="s">
        <v>94</v>
      </c>
      <c r="M278" s="4" t="s">
        <v>95</v>
      </c>
      <c r="N278" s="5" t="s">
        <v>96</v>
      </c>
      <c r="O278" s="4" t="s">
        <v>97</v>
      </c>
      <c r="P278" s="5" t="s">
        <v>98</v>
      </c>
      <c r="Q278" s="4" t="s">
        <v>99</v>
      </c>
      <c r="R278" s="5" t="s">
        <v>100</v>
      </c>
      <c r="S278" s="4" t="s">
        <v>101</v>
      </c>
      <c r="T278" s="5" t="s">
        <v>102</v>
      </c>
      <c r="U278" s="4" t="s">
        <v>103</v>
      </c>
      <c r="V278" s="5" t="s">
        <v>104</v>
      </c>
      <c r="W278" s="4" t="s">
        <v>105</v>
      </c>
      <c r="X278" s="4" t="s">
        <v>106</v>
      </c>
      <c r="Y278" s="5"/>
      <c r="Z278" s="4" t="s">
        <v>289</v>
      </c>
      <c r="AA278" s="6" t="n">
        <v>5000</v>
      </c>
      <c r="AB278" s="6" t="n">
        <v>5000</v>
      </c>
      <c r="AC278" s="6" t="n">
        <v>5000</v>
      </c>
      <c r="AD278" s="6" t="n">
        <v>5000</v>
      </c>
      <c r="AE278" s="4" t="s">
        <v>1830</v>
      </c>
      <c r="AF278" s="5" t="s">
        <v>1831</v>
      </c>
      <c r="AG278" s="4" t="s">
        <v>115</v>
      </c>
      <c r="AH278" s="4" t="s">
        <v>115</v>
      </c>
      <c r="AI278" s="5" t="s">
        <v>115</v>
      </c>
      <c r="AJ278" s="1" t="n">
        <v>0</v>
      </c>
      <c r="AK278" s="11" t="n">
        <v>0</v>
      </c>
      <c r="AL278" s="12" t="s">
        <v>712</v>
      </c>
      <c r="AM278" s="13" t="str">
        <f>IF(AL278="","",AL278&amp;" - "&amp;IFERROR(VLOOKUP(AL278,CODEBOOK_CAP!$C$2:$D$212,2,FALSE),""))</f>
        <v>1308 - POLÍTICAS SOCIAIS PARA FAMÍLIAS E INFÂNCIA</v>
      </c>
      <c r="AN278" s="13" t="str">
        <f>IF(AL278="","",IFERROR(VLOOKUP(AL278,CODEBOOK_CAP!$C$2:$E$212,3,FALSE),""))</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O278" s="11" t="n">
        <v>1</v>
      </c>
      <c r="AP278" s="11" t="s">
        <v>1832</v>
      </c>
      <c r="AQ278" s="11" t="n">
        <v>1</v>
      </c>
      <c r="AR278" s="11" t="n">
        <v>1</v>
      </c>
      <c r="AS278" s="11" t="s">
        <v>1833</v>
      </c>
      <c r="AT278" s="11" t="n">
        <v>1</v>
      </c>
      <c r="AU278" s="11" t="s">
        <v>503</v>
      </c>
      <c r="AV278" s="11"/>
      <c r="AW278" s="11"/>
      <c r="AX278" s="7" t="s">
        <v>84</v>
      </c>
      <c r="AY278" s="7"/>
      <c r="AZ278" s="7"/>
      <c r="BA278" s="7"/>
    </row>
    <row r="279" ht="156.75" customHeight="1">
      <c r="A279" s="4" t="s">
        <v>1834</v>
      </c>
      <c r="B279" s="4" t="n">
        <v>2022</v>
      </c>
      <c r="C279" s="4" t="n">
        <v>4375</v>
      </c>
      <c r="D279" s="4" t="s">
        <v>54</v>
      </c>
      <c r="E279" s="4" t="s">
        <v>1744</v>
      </c>
      <c r="F279" s="5" t="s">
        <v>1835</v>
      </c>
      <c r="G279" s="4" t="s">
        <v>289</v>
      </c>
      <c r="H279" s="4" t="s">
        <v>1746</v>
      </c>
      <c r="I279" s="4" t="s">
        <v>1214</v>
      </c>
      <c r="J279" s="4" t="s">
        <v>1836</v>
      </c>
      <c r="K279" s="4" t="s">
        <v>115</v>
      </c>
      <c r="L279" s="5"/>
      <c r="M279" s="4"/>
      <c r="N279" s="5"/>
      <c r="O279" s="4"/>
      <c r="P279" s="5"/>
      <c r="Q279" s="4"/>
      <c r="R279" s="5"/>
      <c r="S279" s="4"/>
      <c r="T279" s="5"/>
      <c r="U279" s="4"/>
      <c r="V279" s="5"/>
      <c r="W279" s="4"/>
      <c r="X279" s="4"/>
      <c r="Y279" s="5"/>
      <c r="Z279" s="4" t="s">
        <v>289</v>
      </c>
      <c r="AA279" s="6" t="n">
        <v>5000</v>
      </c>
      <c r="AB279" s="6"/>
      <c r="AC279" s="6"/>
      <c r="AD279" s="6"/>
      <c r="AE279" s="4" t="s">
        <v>115</v>
      </c>
      <c r="AF279" s="5" t="s">
        <v>115</v>
      </c>
      <c r="AG279" s="4" t="s">
        <v>115</v>
      </c>
      <c r="AH279" s="4" t="s">
        <v>115</v>
      </c>
      <c r="AI279" s="5" t="s">
        <v>115</v>
      </c>
      <c r="AJ279" s="1" t="n">
        <v>1</v>
      </c>
      <c r="AK279" s="11" t="n">
        <v>1</v>
      </c>
      <c r="AL279" s="12" t="s">
        <v>1837</v>
      </c>
      <c r="AM279" s="13" t="str">
        <f>IF(AL279="","",AL279&amp;" - "&amp;IFERROR(VLOOKUP(AL279,CODEBOOK_CAP!$C$2:$D$212,2,FALSE),""))</f>
        <v>0331 - PREVENÇÃO, CAMPANHAS E PROMOÇÃO</v>
      </c>
      <c r="AN279" s="13" t="str">
        <f>IF(AL279="","",IFERROR(VLOOKUP(AL279,CODEBOOK_CAP!$C$2:$E$212,3,FALSE),""))</f>
        <v>Observações relacionadas a campanhas de promoção e de prevenção de saúde em adultos. Campanhas de vacinação de adultos, campanhas de prevenção de DSTs em adultos, campanhas para exames de câncer de mama, outubro rosa, Novembro azul, campanhas de valorização da vida, campanhas contra suicídio, Políticas de prevenção a diabetes, campanhas e politicas em pro de atividades esportivas para evitar problemas de pressão, publicacao de cartilhas, guias, informativos, educação sexual, campanhas e atuação de higiene bucal, higiene básica, prevenção contra anemia. Não confundir com acesso a alimentos (1302), pre-natal (332) ou tratamentos de doenças já existentes. Todas campanhas de prevenção que estejam relacionadas com gravidez, bebê e criança (332),</v>
      </c>
      <c r="AO279" s="11" t="n">
        <v>1</v>
      </c>
      <c r="AP279" s="11" t="s">
        <v>1838</v>
      </c>
      <c r="AQ279" s="11" t="n">
        <v>1</v>
      </c>
      <c r="AR279" s="11" t="n">
        <v>1</v>
      </c>
      <c r="AS279" s="11" t="s">
        <v>1839</v>
      </c>
      <c r="AT279" s="11" t="n">
        <v>0</v>
      </c>
      <c r="AU279" s="11"/>
      <c r="AV279" s="11"/>
      <c r="AW279" s="11"/>
      <c r="AX279" s="7" t="s">
        <v>84</v>
      </c>
      <c r="AY279" s="7"/>
      <c r="AZ279" s="7"/>
      <c r="BA279" s="7"/>
    </row>
    <row r="280" ht="156.75" customHeight="1">
      <c r="A280" s="4" t="s">
        <v>1840</v>
      </c>
      <c r="B280" s="4" t="n">
        <v>2022</v>
      </c>
      <c r="C280" s="4" t="n">
        <v>4376</v>
      </c>
      <c r="D280" s="4" t="s">
        <v>54</v>
      </c>
      <c r="E280" s="4" t="s">
        <v>1744</v>
      </c>
      <c r="F280" s="5" t="s">
        <v>1841</v>
      </c>
      <c r="G280" s="4" t="s">
        <v>289</v>
      </c>
      <c r="H280" s="4" t="s">
        <v>1746</v>
      </c>
      <c r="I280" s="4" t="s">
        <v>1214</v>
      </c>
      <c r="J280" s="4" t="s">
        <v>1842</v>
      </c>
      <c r="K280" s="4" t="s">
        <v>115</v>
      </c>
      <c r="L280" s="5"/>
      <c r="M280" s="4"/>
      <c r="N280" s="5"/>
      <c r="O280" s="4"/>
      <c r="P280" s="5"/>
      <c r="Q280" s="4"/>
      <c r="R280" s="5"/>
      <c r="S280" s="4"/>
      <c r="T280" s="5"/>
      <c r="U280" s="4"/>
      <c r="V280" s="5"/>
      <c r="W280" s="4"/>
      <c r="X280" s="4"/>
      <c r="Y280" s="5"/>
      <c r="Z280" s="4" t="s">
        <v>289</v>
      </c>
      <c r="AA280" s="6" t="n">
        <v>5000</v>
      </c>
      <c r="AB280" s="6"/>
      <c r="AC280" s="6"/>
      <c r="AD280" s="6"/>
      <c r="AE280" s="4" t="s">
        <v>115</v>
      </c>
      <c r="AF280" s="5" t="s">
        <v>115</v>
      </c>
      <c r="AG280" s="4" t="s">
        <v>115</v>
      </c>
      <c r="AH280" s="4" t="s">
        <v>115</v>
      </c>
      <c r="AI280" s="5" t="s">
        <v>115</v>
      </c>
      <c r="AJ280" s="1" t="n">
        <v>1</v>
      </c>
      <c r="AK280" s="11" t="n">
        <v>1</v>
      </c>
      <c r="AL280" s="12" t="s">
        <v>1837</v>
      </c>
      <c r="AM280" s="13" t="str">
        <f>IF(AL280="","",AL280&amp;" - "&amp;IFERROR(VLOOKUP(AL280,CODEBOOK_CAP!$C$2:$D$212,2,FALSE),""))</f>
        <v>0331 - PREVENÇÃO, CAMPANHAS E PROMOÇÃO</v>
      </c>
      <c r="AN280" s="13" t="str">
        <f>IF(AL280="","",IFERROR(VLOOKUP(AL280,CODEBOOK_CAP!$C$2:$E$212,3,FALSE),""))</f>
        <v>Observações relacionadas a campanhas de promoção e de prevenção de saúde em adultos. Campanhas de vacinação de adultos, campanhas de prevenção de DSTs em adultos, campanhas para exames de câncer de mama, outubro rosa, Novembro azul, campanhas de valorização da vida, campanhas contra suicídio, Políticas de prevenção a diabetes, campanhas e politicas em pro de atividades esportivas para evitar problemas de pressão, publicacao de cartilhas, guias, informativos, educação sexual, campanhas e atuação de higiene bucal, higiene básica, prevenção contra anemia. Não confundir com acesso a alimentos (1302), pre-natal (332) ou tratamentos de doenças já existentes. Todas campanhas de prevenção que estejam relacionadas com gravidez, bebê e criança (332),</v>
      </c>
      <c r="AO280" s="11" t="n">
        <v>1</v>
      </c>
      <c r="AP280" s="11" t="s">
        <v>1843</v>
      </c>
      <c r="AQ280" s="11" t="n">
        <v>1</v>
      </c>
      <c r="AR280" s="11" t="n">
        <v>1</v>
      </c>
      <c r="AS280" s="11" t="s">
        <v>1844</v>
      </c>
      <c r="AT280" s="11" t="n">
        <v>0</v>
      </c>
      <c r="AU280" s="11"/>
      <c r="AV280" s="11"/>
      <c r="AW280" s="11"/>
      <c r="AX280" s="7" t="s">
        <v>84</v>
      </c>
      <c r="AY280" s="7"/>
      <c r="AZ280" s="7"/>
      <c r="BA280" s="7"/>
    </row>
    <row r="281" ht="156.75" customHeight="1">
      <c r="A281" s="4" t="s">
        <v>1845</v>
      </c>
      <c r="B281" s="4" t="n">
        <v>2022</v>
      </c>
      <c r="C281" s="4" t="n">
        <v>4377</v>
      </c>
      <c r="D281" s="4" t="s">
        <v>54</v>
      </c>
      <c r="E281" s="4" t="s">
        <v>1744</v>
      </c>
      <c r="F281" s="5" t="s">
        <v>244</v>
      </c>
      <c r="G281" s="4" t="s">
        <v>289</v>
      </c>
      <c r="H281" s="4" t="s">
        <v>1746</v>
      </c>
      <c r="I281" s="4" t="s">
        <v>1214</v>
      </c>
      <c r="J281" s="4" t="s">
        <v>1846</v>
      </c>
      <c r="K281" s="4" t="s">
        <v>115</v>
      </c>
      <c r="L281" s="5"/>
      <c r="M281" s="4"/>
      <c r="N281" s="5"/>
      <c r="O281" s="4"/>
      <c r="P281" s="5"/>
      <c r="Q281" s="4"/>
      <c r="R281" s="5"/>
      <c r="S281" s="4"/>
      <c r="T281" s="5"/>
      <c r="U281" s="4"/>
      <c r="V281" s="5"/>
      <c r="W281" s="4"/>
      <c r="X281" s="4"/>
      <c r="Y281" s="5"/>
      <c r="Z281" s="4" t="s">
        <v>289</v>
      </c>
      <c r="AA281" s="6" t="n">
        <v>5000</v>
      </c>
      <c r="AB281" s="6"/>
      <c r="AC281" s="6"/>
      <c r="AD281" s="6"/>
      <c r="AE281" s="4" t="s">
        <v>115</v>
      </c>
      <c r="AF281" s="5" t="s">
        <v>115</v>
      </c>
      <c r="AG281" s="4" t="s">
        <v>115</v>
      </c>
      <c r="AH281" s="4" t="s">
        <v>115</v>
      </c>
      <c r="AI281" s="5" t="s">
        <v>115</v>
      </c>
      <c r="AJ281" s="1" t="n">
        <v>1</v>
      </c>
      <c r="AK281" s="11" t="n">
        <v>1</v>
      </c>
      <c r="AL281" s="12" t="s">
        <v>1837</v>
      </c>
      <c r="AM281" s="13" t="str">
        <f>IF(AL281="","",AL281&amp;" - "&amp;IFERROR(VLOOKUP(AL281,CODEBOOK_CAP!$C$2:$D$212,2,FALSE),""))</f>
        <v>0331 - PREVENÇÃO, CAMPANHAS E PROMOÇÃO</v>
      </c>
      <c r="AN281" s="13" t="str">
        <f>IF(AL281="","",IFERROR(VLOOKUP(AL281,CODEBOOK_CAP!$C$2:$E$212,3,FALSE),""))</f>
        <v>Observações relacionadas a campanhas de promoção e de prevenção de saúde em adultos. Campanhas de vacinação de adultos, campanhas de prevenção de DSTs em adultos, campanhas para exames de câncer de mama, outubro rosa, Novembro azul, campanhas de valorização da vida, campanhas contra suicídio, Políticas de prevenção a diabetes, campanhas e politicas em pro de atividades esportivas para evitar problemas de pressão, publicacao de cartilhas, guias, informativos, educação sexual, campanhas e atuação de higiene bucal, higiene básica, prevenção contra anemia. Não confundir com acesso a alimentos (1302), pre-natal (332) ou tratamentos de doenças já existentes. Todas campanhas de prevenção que estejam relacionadas com gravidez, bebê e criança (332),</v>
      </c>
      <c r="AO281" s="11" t="n">
        <v>1</v>
      </c>
      <c r="AP281" s="11" t="s">
        <v>1847</v>
      </c>
      <c r="AQ281" s="11" t="n">
        <v>1</v>
      </c>
      <c r="AR281" s="11" t="n">
        <v>1</v>
      </c>
      <c r="AS281" s="11" t="s">
        <v>1848</v>
      </c>
      <c r="AT281" s="11" t="n">
        <v>0</v>
      </c>
      <c r="AU281" s="11"/>
      <c r="AV281" s="11"/>
      <c r="AW281" s="11"/>
      <c r="AX281" s="7" t="s">
        <v>84</v>
      </c>
      <c r="AY281" s="7"/>
      <c r="AZ281" s="7"/>
      <c r="BA281" s="7"/>
    </row>
    <row r="282" ht="156.75" customHeight="1">
      <c r="A282" s="4" t="s">
        <v>1849</v>
      </c>
      <c r="B282" s="4" t="n">
        <v>2022</v>
      </c>
      <c r="C282" s="4" t="n">
        <v>4378</v>
      </c>
      <c r="D282" s="4" t="s">
        <v>54</v>
      </c>
      <c r="E282" s="4" t="s">
        <v>1744</v>
      </c>
      <c r="F282" s="5" t="s">
        <v>1850</v>
      </c>
      <c r="G282" s="4" t="s">
        <v>289</v>
      </c>
      <c r="H282" s="4" t="s">
        <v>1746</v>
      </c>
      <c r="I282" s="4" t="s">
        <v>1214</v>
      </c>
      <c r="J282" s="4" t="s">
        <v>1851</v>
      </c>
      <c r="K282" s="4" t="s">
        <v>115</v>
      </c>
      <c r="L282" s="5"/>
      <c r="M282" s="4"/>
      <c r="N282" s="5"/>
      <c r="O282" s="4"/>
      <c r="P282" s="5"/>
      <c r="Q282" s="4"/>
      <c r="R282" s="5"/>
      <c r="S282" s="4"/>
      <c r="T282" s="5"/>
      <c r="U282" s="4"/>
      <c r="V282" s="5"/>
      <c r="W282" s="4"/>
      <c r="X282" s="4"/>
      <c r="Y282" s="5"/>
      <c r="Z282" s="4" t="s">
        <v>289</v>
      </c>
      <c r="AA282" s="6" t="n">
        <v>5000</v>
      </c>
      <c r="AB282" s="6"/>
      <c r="AC282" s="6"/>
      <c r="AD282" s="6"/>
      <c r="AE282" s="4" t="s">
        <v>115</v>
      </c>
      <c r="AF282" s="5"/>
      <c r="AG282" s="4" t="s">
        <v>78</v>
      </c>
      <c r="AH282" s="4" t="s">
        <v>79</v>
      </c>
      <c r="AI282" s="5" t="s">
        <v>80</v>
      </c>
      <c r="AJ282" s="1" t="n">
        <v>1</v>
      </c>
      <c r="AK282" s="11" t="n">
        <v>1</v>
      </c>
      <c r="AL282" s="12" t="s">
        <v>1837</v>
      </c>
      <c r="AM282" s="13" t="str">
        <f>IF(AL282="","",AL282&amp;" - "&amp;IFERROR(VLOOKUP(AL282,CODEBOOK_CAP!$C$2:$D$212,2,FALSE),""))</f>
        <v>0331 - PREVENÇÃO, CAMPANHAS E PROMOÇÃO</v>
      </c>
      <c r="AN282" s="13" t="str">
        <f>IF(AL282="","",IFERROR(VLOOKUP(AL282,CODEBOOK_CAP!$C$2:$E$212,3,FALSE),""))</f>
        <v>Observações relacionadas a campanhas de promoção e de prevenção de saúde em adultos. Campanhas de vacinação de adultos, campanhas de prevenção de DSTs em adultos, campanhas para exames de câncer de mama, outubro rosa, Novembro azul, campanhas de valorização da vida, campanhas contra suicídio, Políticas de prevenção a diabetes, campanhas e politicas em pro de atividades esportivas para evitar problemas de pressão, publicacao de cartilhas, guias, informativos, educação sexual, campanhas e atuação de higiene bucal, higiene básica, prevenção contra anemia. Não confundir com acesso a alimentos (1302), pre-natal (332) ou tratamentos de doenças já existentes. Todas campanhas de prevenção que estejam relacionadas com gravidez, bebê e criança (332),</v>
      </c>
      <c r="AO282" s="11" t="n">
        <v>1</v>
      </c>
      <c r="AP282" s="11" t="s">
        <v>1852</v>
      </c>
      <c r="AQ282" s="11" t="n">
        <v>1</v>
      </c>
      <c r="AR282" s="11" t="n">
        <v>1</v>
      </c>
      <c r="AS282" s="11" t="s">
        <v>1853</v>
      </c>
      <c r="AT282" s="11" t="n">
        <v>0</v>
      </c>
      <c r="AU282" s="11"/>
      <c r="AV282" s="11"/>
      <c r="AW282" s="11"/>
      <c r="AX282" s="7" t="s">
        <v>84</v>
      </c>
      <c r="AY282" s="7"/>
      <c r="AZ282" s="7"/>
      <c r="BA282" s="7"/>
    </row>
    <row r="283" ht="71.25" customHeight="1">
      <c r="A283" s="4" t="s">
        <v>1854</v>
      </c>
      <c r="B283" s="4" t="n">
        <v>2022</v>
      </c>
      <c r="C283" s="4" t="n">
        <v>4379</v>
      </c>
      <c r="D283" s="4" t="s">
        <v>54</v>
      </c>
      <c r="E283" s="4" t="s">
        <v>1744</v>
      </c>
      <c r="F283" s="5" t="s">
        <v>1855</v>
      </c>
      <c r="G283" s="4" t="s">
        <v>289</v>
      </c>
      <c r="H283" s="4" t="s">
        <v>1746</v>
      </c>
      <c r="I283" s="4" t="s">
        <v>1214</v>
      </c>
      <c r="J283" s="4" t="s">
        <v>1856</v>
      </c>
      <c r="K283" s="4" t="s">
        <v>115</v>
      </c>
      <c r="L283" s="5"/>
      <c r="M283" s="4"/>
      <c r="N283" s="5"/>
      <c r="O283" s="4"/>
      <c r="P283" s="5"/>
      <c r="Q283" s="4"/>
      <c r="R283" s="5"/>
      <c r="S283" s="4"/>
      <c r="T283" s="5"/>
      <c r="U283" s="4"/>
      <c r="V283" s="5"/>
      <c r="W283" s="4"/>
      <c r="X283" s="4"/>
      <c r="Y283" s="5"/>
      <c r="Z283" s="4" t="s">
        <v>289</v>
      </c>
      <c r="AA283" s="6" t="n">
        <v>5000</v>
      </c>
      <c r="AB283" s="6"/>
      <c r="AC283" s="6"/>
      <c r="AD283" s="6"/>
      <c r="AE283" s="4" t="s">
        <v>115</v>
      </c>
      <c r="AF283" s="5" t="s">
        <v>115</v>
      </c>
      <c r="AG283" s="4" t="s">
        <v>115</v>
      </c>
      <c r="AH283" s="4" t="s">
        <v>115</v>
      </c>
      <c r="AI283" s="5" t="s">
        <v>115</v>
      </c>
      <c r="AJ283" s="1" t="n">
        <v>0</v>
      </c>
      <c r="AK283" s="11" t="n">
        <v>0</v>
      </c>
      <c r="AL283" s="12" t="s">
        <v>1696</v>
      </c>
      <c r="AM283" s="13" t="str">
        <f>IF(AL283="","",AL283&amp;" - "&amp;IFERROR(VLOOKUP(AL283,CODEBOOK_CAP!$C$2:$D$212,2,FALSE),""))</f>
        <v>1303 - POLÍTICAS SOCIAIS DE ASSISTÊNCIA PARA IDOSOS</v>
      </c>
      <c r="AN283" s="13" t="str">
        <f>IF(AL283="","",IFERROR(VLOOKUP(AL283,CODEBOOK_CAP!$C$2:$E$212,3,FALSE),""))</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O283" s="11" t="n">
        <v>1</v>
      </c>
      <c r="AP283" s="11" t="s">
        <v>1857</v>
      </c>
      <c r="AQ283" s="11" t="n">
        <v>1</v>
      </c>
      <c r="AR283" s="11" t="n">
        <v>1</v>
      </c>
      <c r="AS283" s="11" t="s">
        <v>1858</v>
      </c>
      <c r="AT283" s="11" t="n">
        <v>1</v>
      </c>
      <c r="AU283" s="11" t="s">
        <v>1697</v>
      </c>
      <c r="AV283" s="11"/>
      <c r="AW283" s="11"/>
      <c r="AX283" s="7" t="s">
        <v>84</v>
      </c>
      <c r="AY283" s="7"/>
      <c r="AZ283" s="7"/>
      <c r="BA283" s="7"/>
    </row>
    <row r="284" ht="156.75" customHeight="1">
      <c r="A284" s="4" t="s">
        <v>1859</v>
      </c>
      <c r="B284" s="4" t="n">
        <v>2022</v>
      </c>
      <c r="C284" s="4" t="n">
        <v>4392</v>
      </c>
      <c r="D284" s="4" t="s">
        <v>54</v>
      </c>
      <c r="E284" s="4" t="s">
        <v>1744</v>
      </c>
      <c r="F284" s="5" t="s">
        <v>1860</v>
      </c>
      <c r="G284" s="4" t="s">
        <v>57</v>
      </c>
      <c r="H284" s="4" t="s">
        <v>1746</v>
      </c>
      <c r="I284" s="4" t="s">
        <v>1214</v>
      </c>
      <c r="J284" s="4" t="s">
        <v>1861</v>
      </c>
      <c r="K284" s="4" t="s">
        <v>1862</v>
      </c>
      <c r="L284" s="5" t="s">
        <v>62</v>
      </c>
      <c r="M284" s="4" t="s">
        <v>63</v>
      </c>
      <c r="N284" s="5" t="s">
        <v>64</v>
      </c>
      <c r="O284" s="4" t="s">
        <v>65</v>
      </c>
      <c r="P284" s="5" t="s">
        <v>344</v>
      </c>
      <c r="Q284" s="4" t="s">
        <v>345</v>
      </c>
      <c r="R284" s="5" t="s">
        <v>346</v>
      </c>
      <c r="S284" s="4" t="s">
        <v>347</v>
      </c>
      <c r="T284" s="5" t="s">
        <v>555</v>
      </c>
      <c r="U284" s="4" t="s">
        <v>347</v>
      </c>
      <c r="V284" s="5" t="s">
        <v>310</v>
      </c>
      <c r="W284" s="4" t="s">
        <v>73</v>
      </c>
      <c r="X284" s="4" t="s">
        <v>74</v>
      </c>
      <c r="Y284" s="5"/>
      <c r="Z284" s="4" t="s">
        <v>75</v>
      </c>
      <c r="AA284" s="6" t="n">
        <v>10000</v>
      </c>
      <c r="AB284" s="6" t="n">
        <v>6850</v>
      </c>
      <c r="AC284" s="6" t="n">
        <v>6850</v>
      </c>
      <c r="AD284" s="6" t="n">
        <v>6850</v>
      </c>
      <c r="AE284" s="4" t="s">
        <v>1382</v>
      </c>
      <c r="AF284" s="5" t="s">
        <v>1863</v>
      </c>
      <c r="AG284" s="4" t="s">
        <v>78</v>
      </c>
      <c r="AH284" s="4" t="s">
        <v>79</v>
      </c>
      <c r="AI284" s="5" t="s">
        <v>80</v>
      </c>
      <c r="AJ284" s="1" t="n">
        <v>1</v>
      </c>
      <c r="AK284" s="11" t="n">
        <v>1</v>
      </c>
      <c r="AL284" s="12" t="s">
        <v>1837</v>
      </c>
      <c r="AM284" s="13" t="str">
        <f>IF(AL284="","",AL284&amp;" - "&amp;IFERROR(VLOOKUP(AL284,CODEBOOK_CAP!$C$2:$D$212,2,FALSE),""))</f>
        <v>0331 - PREVENÇÃO, CAMPANHAS E PROMOÇÃO</v>
      </c>
      <c r="AN284" s="13" t="str">
        <f>IF(AL284="","",IFERROR(VLOOKUP(AL284,CODEBOOK_CAP!$C$2:$E$212,3,FALSE),""))</f>
        <v>Observações relacionadas a campanhas de promoção e de prevenção de saúde em adultos. Campanhas de vacinação de adultos, campanhas de prevenção de DSTs em adultos, campanhas para exames de câncer de mama, outubro rosa, Novembro azul, campanhas de valorização da vida, campanhas contra suicídio, Políticas de prevenção a diabetes, campanhas e politicas em pro de atividades esportivas para evitar problemas de pressão, publicacao de cartilhas, guias, informativos, educação sexual, campanhas e atuação de higiene bucal, higiene básica, prevenção contra anemia. Não confundir com acesso a alimentos (1302), pre-natal (332) ou tratamentos de doenças já existentes. Todas campanhas de prevenção que estejam relacionadas com gravidez, bebê e criança (332),</v>
      </c>
      <c r="AO284" s="11" t="n">
        <v>1</v>
      </c>
      <c r="AP284" s="11" t="s">
        <v>1864</v>
      </c>
      <c r="AQ284" s="11" t="n">
        <v>1</v>
      </c>
      <c r="AR284" s="11" t="n">
        <v>1</v>
      </c>
      <c r="AS284" s="11" t="s">
        <v>1865</v>
      </c>
      <c r="AT284" s="11" t="n">
        <v>0</v>
      </c>
      <c r="AU284" s="11"/>
      <c r="AV284" s="11"/>
      <c r="AW284" s="11"/>
      <c r="AX284" s="7" t="s">
        <v>84</v>
      </c>
      <c r="AY284" s="7"/>
      <c r="AZ284" s="7"/>
      <c r="BA284" s="7"/>
    </row>
    <row r="285" ht="114" customHeight="1">
      <c r="A285" s="4" t="s">
        <v>1866</v>
      </c>
      <c r="B285" s="4" t="n">
        <v>2022</v>
      </c>
      <c r="C285" s="4" t="n">
        <v>4393</v>
      </c>
      <c r="D285" s="4" t="s">
        <v>54</v>
      </c>
      <c r="E285" s="4" t="s">
        <v>1744</v>
      </c>
      <c r="F285" s="5" t="s">
        <v>1867</v>
      </c>
      <c r="G285" s="4" t="s">
        <v>289</v>
      </c>
      <c r="H285" s="4" t="s">
        <v>1746</v>
      </c>
      <c r="I285" s="4" t="s">
        <v>1214</v>
      </c>
      <c r="J285" s="4" t="s">
        <v>1868</v>
      </c>
      <c r="K285" s="4" t="s">
        <v>115</v>
      </c>
      <c r="L285" s="5"/>
      <c r="M285" s="4"/>
      <c r="N285" s="5"/>
      <c r="O285" s="4"/>
      <c r="P285" s="5"/>
      <c r="Q285" s="4"/>
      <c r="R285" s="5"/>
      <c r="S285" s="4"/>
      <c r="T285" s="5"/>
      <c r="U285" s="4"/>
      <c r="V285" s="5"/>
      <c r="W285" s="4"/>
      <c r="X285" s="4"/>
      <c r="Y285" s="5"/>
      <c r="Z285" s="4" t="s">
        <v>289</v>
      </c>
      <c r="AA285" s="6" t="n">
        <v>40000</v>
      </c>
      <c r="AB285" s="6"/>
      <c r="AC285" s="6"/>
      <c r="AD285" s="6"/>
      <c r="AE285" s="4" t="s">
        <v>115</v>
      </c>
      <c r="AF285" s="5"/>
      <c r="AG285" s="4" t="s">
        <v>78</v>
      </c>
      <c r="AH285" s="4" t="s">
        <v>79</v>
      </c>
      <c r="AI285" s="5" t="s">
        <v>80</v>
      </c>
      <c r="AJ285" s="1" t="n">
        <v>0</v>
      </c>
      <c r="AK285" s="11" t="n">
        <v>0</v>
      </c>
      <c r="AL285" s="12" t="s">
        <v>1068</v>
      </c>
      <c r="AM285" s="13" t="str">
        <f>IF(AL285="","",AL285&amp;" - "&amp;IFERROR(VLOOKUP(AL285,CODEBOOK_CAP!$C$2:$D$212,2,FALSE),""))</f>
        <v>0405 - CONTROLE DE DOENÇAS ANIMAIS</v>
      </c>
      <c r="AN285" s="13" t="str">
        <f>IF(AL285="","",IFERROR(VLOOKUP(AL285,CODEBOOK_CAP!$C$2:$E$212,3,FALSE),""))</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O285" s="11" t="n">
        <v>1</v>
      </c>
      <c r="AP285" s="11" t="s">
        <v>1869</v>
      </c>
      <c r="AQ285" s="11" t="n">
        <v>1</v>
      </c>
      <c r="AR285" s="11" t="n">
        <v>1</v>
      </c>
      <c r="AS285" s="11" t="s">
        <v>1870</v>
      </c>
      <c r="AT285" s="11" t="n">
        <v>1</v>
      </c>
      <c r="AU285" s="11" t="s">
        <v>1871</v>
      </c>
      <c r="AV285" s="11"/>
      <c r="AW285" s="11"/>
      <c r="AX285" s="7" t="s">
        <v>84</v>
      </c>
      <c r="AY285" s="7"/>
      <c r="AZ285" s="7"/>
      <c r="BA285" s="7"/>
    </row>
    <row r="286" ht="114" customHeight="1">
      <c r="A286" s="4" t="s">
        <v>1872</v>
      </c>
      <c r="B286" s="4" t="n">
        <v>2022</v>
      </c>
      <c r="C286" s="4" t="n">
        <v>4394</v>
      </c>
      <c r="D286" s="4" t="s">
        <v>54</v>
      </c>
      <c r="E286" s="4" t="s">
        <v>1744</v>
      </c>
      <c r="F286" s="5" t="s">
        <v>1873</v>
      </c>
      <c r="G286" s="4" t="s">
        <v>57</v>
      </c>
      <c r="H286" s="4" t="s">
        <v>1746</v>
      </c>
      <c r="I286" s="4" t="s">
        <v>1214</v>
      </c>
      <c r="J286" s="4" t="s">
        <v>1874</v>
      </c>
      <c r="K286" s="4" t="s">
        <v>1875</v>
      </c>
      <c r="L286" s="5" t="s">
        <v>62</v>
      </c>
      <c r="M286" s="4" t="s">
        <v>63</v>
      </c>
      <c r="N286" s="5" t="s">
        <v>64</v>
      </c>
      <c r="O286" s="4" t="s">
        <v>65</v>
      </c>
      <c r="P286" s="5" t="s">
        <v>1876</v>
      </c>
      <c r="Q286" s="4" t="s">
        <v>1877</v>
      </c>
      <c r="R286" s="5" t="s">
        <v>1878</v>
      </c>
      <c r="S286" s="4" t="s">
        <v>1879</v>
      </c>
      <c r="T286" s="5" t="s">
        <v>1880</v>
      </c>
      <c r="U286" s="4" t="s">
        <v>1879</v>
      </c>
      <c r="V286" s="5" t="s">
        <v>706</v>
      </c>
      <c r="W286" s="4" t="s">
        <v>105</v>
      </c>
      <c r="X286" s="4" t="s">
        <v>106</v>
      </c>
      <c r="Y286" s="5"/>
      <c r="Z286" s="4" t="s">
        <v>75</v>
      </c>
      <c r="AA286" s="6" t="n">
        <v>40000</v>
      </c>
      <c r="AB286" s="6" t="n">
        <v>19997</v>
      </c>
      <c r="AC286" s="6" t="n">
        <v>19997</v>
      </c>
      <c r="AD286" s="6" t="n">
        <v>19997</v>
      </c>
      <c r="AE286" s="4" t="s">
        <v>1881</v>
      </c>
      <c r="AF286" s="5" t="s">
        <v>1882</v>
      </c>
      <c r="AG286" s="4" t="s">
        <v>78</v>
      </c>
      <c r="AH286" s="4" t="s">
        <v>79</v>
      </c>
      <c r="AI286" s="5" t="s">
        <v>80</v>
      </c>
      <c r="AJ286" s="1" t="n">
        <v>1</v>
      </c>
      <c r="AK286" s="11" t="n">
        <v>0</v>
      </c>
      <c r="AL286" s="12" t="s">
        <v>1068</v>
      </c>
      <c r="AM286" s="13" t="str">
        <f>IF(AL286="","",AL286&amp;" - "&amp;IFERROR(VLOOKUP(AL286,CODEBOOK_CAP!$C$2:$D$212,2,FALSE),""))</f>
        <v>0405 - CONTROLE DE DOENÇAS ANIMAIS</v>
      </c>
      <c r="AN286" s="13" t="str">
        <f>IF(AL286="","",IFERROR(VLOOKUP(AL286,CODEBOOK_CAP!$C$2:$E$212,3,FALSE),""))</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O286" s="11" t="n">
        <v>1</v>
      </c>
      <c r="AP286" s="11" t="s">
        <v>1883</v>
      </c>
      <c r="AQ286" s="11" t="n">
        <v>1</v>
      </c>
      <c r="AR286" s="11" t="n">
        <v>1</v>
      </c>
      <c r="AS286" s="11" t="s">
        <v>1884</v>
      </c>
      <c r="AT286" s="11" t="n">
        <v>1</v>
      </c>
      <c r="AU286" s="11" t="s">
        <v>1069</v>
      </c>
      <c r="AV286" s="11"/>
      <c r="AW286" s="11"/>
      <c r="AX286" s="7" t="s">
        <v>84</v>
      </c>
      <c r="AY286" s="7"/>
      <c r="AZ286" s="7"/>
      <c r="BA286" s="7"/>
    </row>
    <row r="287" ht="85.5" customHeight="1">
      <c r="A287" s="4" t="s">
        <v>1885</v>
      </c>
      <c r="B287" s="4" t="n">
        <v>2022</v>
      </c>
      <c r="C287" s="4" t="n">
        <v>4395</v>
      </c>
      <c r="D287" s="4" t="s">
        <v>54</v>
      </c>
      <c r="E287" s="4" t="s">
        <v>1744</v>
      </c>
      <c r="F287" s="5" t="s">
        <v>1886</v>
      </c>
      <c r="G287" s="4" t="s">
        <v>57</v>
      </c>
      <c r="H287" s="4" t="s">
        <v>1746</v>
      </c>
      <c r="I287" s="4" t="s">
        <v>1214</v>
      </c>
      <c r="J287" s="4" t="s">
        <v>1887</v>
      </c>
      <c r="K287" s="4" t="s">
        <v>1888</v>
      </c>
      <c r="L287" s="5" t="s">
        <v>62</v>
      </c>
      <c r="M287" s="4" t="s">
        <v>63</v>
      </c>
      <c r="N287" s="5" t="s">
        <v>64</v>
      </c>
      <c r="O287" s="4" t="s">
        <v>65</v>
      </c>
      <c r="P287" s="5" t="s">
        <v>193</v>
      </c>
      <c r="Q287" s="4" t="s">
        <v>194</v>
      </c>
      <c r="R287" s="5" t="s">
        <v>195</v>
      </c>
      <c r="S287" s="4" t="s">
        <v>196</v>
      </c>
      <c r="T287" s="5" t="s">
        <v>429</v>
      </c>
      <c r="U287" s="4" t="s">
        <v>430</v>
      </c>
      <c r="V287" s="5" t="s">
        <v>104</v>
      </c>
      <c r="W287" s="4" t="s">
        <v>105</v>
      </c>
      <c r="X287" s="4" t="s">
        <v>106</v>
      </c>
      <c r="Y287" s="5"/>
      <c r="Z287" s="4" t="s">
        <v>75</v>
      </c>
      <c r="AA287" s="6" t="n">
        <v>30000</v>
      </c>
      <c r="AB287" s="6" t="n">
        <v>30000</v>
      </c>
      <c r="AC287" s="6" t="n">
        <v>30000</v>
      </c>
      <c r="AD287" s="6" t="n">
        <v>30000</v>
      </c>
      <c r="AE287" s="4" t="s">
        <v>464</v>
      </c>
      <c r="AF287" s="5" t="s">
        <v>465</v>
      </c>
      <c r="AG287" s="4" t="s">
        <v>78</v>
      </c>
      <c r="AH287" s="4" t="s">
        <v>79</v>
      </c>
      <c r="AI287" s="5" t="s">
        <v>80</v>
      </c>
      <c r="AJ287" s="1" t="n">
        <v>1</v>
      </c>
      <c r="AK287" s="11" t="n">
        <v>1</v>
      </c>
      <c r="AL287" s="12" t="s">
        <v>81</v>
      </c>
      <c r="AM287" s="13" t="str">
        <f>IF(AL287="","",AL287&amp;" - "&amp;IFERROR(VLOOKUP(AL287,CODEBOOK_CAP!$C$2:$D$212,2,FALSE),""))</f>
        <v>0322 - ESTRUTURAS, HOSPITAIS, CLÍNICAS</v>
      </c>
      <c r="AN287" s="13" t="str">
        <f>IF(AL287="","",IFERROR(VLOOKUP(AL287,CODEBOOK_CAP!$C$2:$E$212,3,FALSE),""))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287" s="11" t="n">
        <v>1</v>
      </c>
      <c r="AP287" s="11" t="s">
        <v>1889</v>
      </c>
      <c r="AQ287" s="11" t="n">
        <v>1</v>
      </c>
      <c r="AR287" s="11" t="n">
        <v>1</v>
      </c>
      <c r="AS287" s="11" t="s">
        <v>1890</v>
      </c>
      <c r="AT287" s="11" t="n">
        <v>0</v>
      </c>
      <c r="AU287" s="11"/>
      <c r="AV287" s="11"/>
      <c r="AW287" s="11"/>
      <c r="AX287" s="7" t="s">
        <v>84</v>
      </c>
      <c r="AY287" s="7"/>
      <c r="AZ287" s="7"/>
      <c r="BA287" s="7"/>
    </row>
    <row r="288" ht="85.5" customHeight="1">
      <c r="A288" s="4" t="s">
        <v>1891</v>
      </c>
      <c r="B288" s="4" t="n">
        <v>2022</v>
      </c>
      <c r="C288" s="4" t="n">
        <v>4396</v>
      </c>
      <c r="D288" s="4" t="s">
        <v>54</v>
      </c>
      <c r="E288" s="4" t="s">
        <v>1744</v>
      </c>
      <c r="F288" s="5" t="s">
        <v>1892</v>
      </c>
      <c r="G288" s="4" t="s">
        <v>57</v>
      </c>
      <c r="H288" s="4" t="s">
        <v>1746</v>
      </c>
      <c r="I288" s="4" t="s">
        <v>1214</v>
      </c>
      <c r="J288" s="4" t="s">
        <v>1893</v>
      </c>
      <c r="K288" s="4" t="s">
        <v>1894</v>
      </c>
      <c r="L288" s="5" t="s">
        <v>62</v>
      </c>
      <c r="M288" s="4" t="s">
        <v>63</v>
      </c>
      <c r="N288" s="5" t="s">
        <v>64</v>
      </c>
      <c r="O288" s="4" t="s">
        <v>65</v>
      </c>
      <c r="P288" s="5" t="s">
        <v>193</v>
      </c>
      <c r="Q288" s="4" t="s">
        <v>194</v>
      </c>
      <c r="R288" s="5" t="s">
        <v>195</v>
      </c>
      <c r="S288" s="4" t="s">
        <v>196</v>
      </c>
      <c r="T288" s="5" t="s">
        <v>429</v>
      </c>
      <c r="U288" s="4" t="s">
        <v>430</v>
      </c>
      <c r="V288" s="5" t="s">
        <v>104</v>
      </c>
      <c r="W288" s="4" t="s">
        <v>105</v>
      </c>
      <c r="X288" s="4" t="s">
        <v>106</v>
      </c>
      <c r="Y288" s="5"/>
      <c r="Z288" s="4" t="s">
        <v>75</v>
      </c>
      <c r="AA288" s="6" t="n">
        <v>149000</v>
      </c>
      <c r="AB288" s="6" t="n">
        <v>149000</v>
      </c>
      <c r="AC288" s="6" t="n">
        <v>149000</v>
      </c>
      <c r="AD288" s="6" t="n">
        <v>149000</v>
      </c>
      <c r="AE288" s="4" t="s">
        <v>743</v>
      </c>
      <c r="AF288" s="5" t="s">
        <v>1895</v>
      </c>
      <c r="AG288" s="4" t="s">
        <v>78</v>
      </c>
      <c r="AH288" s="4" t="s">
        <v>79</v>
      </c>
      <c r="AI288" s="5" t="s">
        <v>80</v>
      </c>
      <c r="AJ288" s="1" t="n">
        <v>1</v>
      </c>
      <c r="AK288" s="11" t="n">
        <v>1</v>
      </c>
      <c r="AL288" s="12" t="s">
        <v>81</v>
      </c>
      <c r="AM288" s="13" t="str">
        <f>IF(AL288="","",AL288&amp;" - "&amp;IFERROR(VLOOKUP(AL288,CODEBOOK_CAP!$C$2:$D$212,2,FALSE),""))</f>
        <v>0322 - ESTRUTURAS, HOSPITAIS, CLÍNICAS</v>
      </c>
      <c r="AN288" s="13" t="str">
        <f>IF(AL288="","",IFERROR(VLOOKUP(AL288,CODEBOOK_CAP!$C$2:$E$212,3,FALSE),""))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288" s="11" t="n">
        <v>1</v>
      </c>
      <c r="AP288" s="11" t="s">
        <v>1896</v>
      </c>
      <c r="AQ288" s="11" t="n">
        <v>1</v>
      </c>
      <c r="AR288" s="11" t="n">
        <v>1</v>
      </c>
      <c r="AS288" s="11" t="s">
        <v>1897</v>
      </c>
      <c r="AT288" s="11" t="n">
        <v>0</v>
      </c>
      <c r="AU288" s="11"/>
      <c r="AV288" s="11"/>
      <c r="AW288" s="11"/>
      <c r="AX288" s="7" t="s">
        <v>84</v>
      </c>
      <c r="AY288" s="7"/>
      <c r="AZ288" s="7"/>
      <c r="BA288" s="7"/>
    </row>
    <row r="289" ht="71.25" customHeight="1">
      <c r="A289" s="4" t="s">
        <v>1898</v>
      </c>
      <c r="B289" s="4" t="n">
        <v>2022</v>
      </c>
      <c r="C289" s="4" t="n">
        <v>4449</v>
      </c>
      <c r="D289" s="4" t="s">
        <v>54</v>
      </c>
      <c r="E289" s="4" t="s">
        <v>1744</v>
      </c>
      <c r="F289" s="5" t="s">
        <v>1899</v>
      </c>
      <c r="G289" s="4" t="s">
        <v>57</v>
      </c>
      <c r="H289" s="4" t="s">
        <v>1746</v>
      </c>
      <c r="I289" s="4" t="s">
        <v>1214</v>
      </c>
      <c r="J289" s="4" t="s">
        <v>1900</v>
      </c>
      <c r="K289" s="4" t="s">
        <v>415</v>
      </c>
      <c r="L289" s="5" t="s">
        <v>122</v>
      </c>
      <c r="M289" s="4" t="s">
        <v>123</v>
      </c>
      <c r="N289" s="5" t="s">
        <v>227</v>
      </c>
      <c r="O289" s="4" t="s">
        <v>228</v>
      </c>
      <c r="P289" s="5" t="s">
        <v>229</v>
      </c>
      <c r="Q289" s="4" t="s">
        <v>230</v>
      </c>
      <c r="R289" s="5" t="s">
        <v>322</v>
      </c>
      <c r="S289" s="4" t="s">
        <v>323</v>
      </c>
      <c r="T289" s="5" t="s">
        <v>416</v>
      </c>
      <c r="U289" s="4" t="s">
        <v>417</v>
      </c>
      <c r="V289" s="5" t="s">
        <v>72</v>
      </c>
      <c r="W289" s="4" t="s">
        <v>73</v>
      </c>
      <c r="X289" s="4" t="s">
        <v>74</v>
      </c>
      <c r="Y289" s="5"/>
      <c r="Z289" s="4" t="s">
        <v>132</v>
      </c>
      <c r="AA289" s="6" t="n">
        <v>157000</v>
      </c>
      <c r="AB289" s="6" t="n">
        <v>131858</v>
      </c>
      <c r="AC289" s="6" t="n">
        <v>131858</v>
      </c>
      <c r="AD289" s="6" t="n">
        <v>131858</v>
      </c>
      <c r="AE289" s="4" t="s">
        <v>1901</v>
      </c>
      <c r="AF289" s="5"/>
      <c r="AG289" s="4" t="s">
        <v>78</v>
      </c>
      <c r="AH289" s="4" t="s">
        <v>79</v>
      </c>
      <c r="AI289" s="5" t="s">
        <v>80</v>
      </c>
      <c r="AJ289" s="1" t="n">
        <v>0</v>
      </c>
      <c r="AK289" s="11" t="n">
        <v>0</v>
      </c>
      <c r="AL289" s="12" t="s">
        <v>188</v>
      </c>
      <c r="AM289" s="13" t="str">
        <f>IF(AL289="","",AL289&amp;" - "&amp;IFERROR(VLOOKUP(AL289,CODEBOOK_CAP!$C$2:$D$212,2,FALSE),""))</f>
        <v>2300 - GERAL</v>
      </c>
      <c r="AN289" s="13" t="str">
        <f>IF(AL289="","",IFERROR(VLOOKUP(AL289,CODEBOOK_CAP!$C$2:$E$212,3,FALSE),""))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289" s="11" t="n">
        <v>1</v>
      </c>
      <c r="AP289" s="11" t="s">
        <v>1902</v>
      </c>
      <c r="AQ289" s="11" t="n">
        <v>1</v>
      </c>
      <c r="AR289" s="11" t="n">
        <v>1</v>
      </c>
      <c r="AS289" s="11" t="s">
        <v>1902</v>
      </c>
      <c r="AT289" s="11" t="n">
        <v>0</v>
      </c>
      <c r="AU289" s="11"/>
      <c r="AV289" s="11"/>
      <c r="AW289" s="11"/>
      <c r="AX289" s="7" t="s">
        <v>84</v>
      </c>
      <c r="AY289" s="7"/>
      <c r="AZ289" s="7"/>
      <c r="BA289" s="7"/>
      <c r="BB289" s="3" t="s">
        <v>6564</v>
      </c>
    </row>
    <row r="290" ht="171" customHeight="1">
      <c r="A290" s="4" t="s">
        <v>1903</v>
      </c>
      <c r="B290" s="4" t="n">
        <v>2022</v>
      </c>
      <c r="C290" s="4" t="n">
        <v>4450</v>
      </c>
      <c r="D290" s="4" t="s">
        <v>54</v>
      </c>
      <c r="E290" s="4" t="s">
        <v>1744</v>
      </c>
      <c r="F290" s="5" t="s">
        <v>1904</v>
      </c>
      <c r="G290" s="4" t="s">
        <v>57</v>
      </c>
      <c r="H290" s="4" t="s">
        <v>1746</v>
      </c>
      <c r="I290" s="4" t="s">
        <v>1214</v>
      </c>
      <c r="J290" s="4" t="s">
        <v>1905</v>
      </c>
      <c r="K290" s="4" t="s">
        <v>1189</v>
      </c>
      <c r="L290" s="5" t="s">
        <v>122</v>
      </c>
      <c r="M290" s="4" t="s">
        <v>123</v>
      </c>
      <c r="N290" s="5" t="s">
        <v>124</v>
      </c>
      <c r="O290" s="4" t="s">
        <v>125</v>
      </c>
      <c r="P290" s="5" t="s">
        <v>126</v>
      </c>
      <c r="Q290" s="4" t="s">
        <v>127</v>
      </c>
      <c r="R290" s="5" t="s">
        <v>128</v>
      </c>
      <c r="S290" s="4" t="s">
        <v>129</v>
      </c>
      <c r="T290" s="5" t="s">
        <v>130</v>
      </c>
      <c r="U290" s="4" t="s">
        <v>131</v>
      </c>
      <c r="V290" s="5" t="s">
        <v>72</v>
      </c>
      <c r="W290" s="4" t="s">
        <v>73</v>
      </c>
      <c r="X290" s="4" t="s">
        <v>74</v>
      </c>
      <c r="Y290" s="5"/>
      <c r="Z290" s="4" t="s">
        <v>132</v>
      </c>
      <c r="AA290" s="6" t="n">
        <v>250000</v>
      </c>
      <c r="AB290" s="6" t="n">
        <v>227433</v>
      </c>
      <c r="AC290" s="6" t="n">
        <v>227433</v>
      </c>
      <c r="AD290" s="6" t="n">
        <v>227433</v>
      </c>
      <c r="AE290" s="4" t="s">
        <v>1906</v>
      </c>
      <c r="AF290" s="5"/>
      <c r="AG290" s="4" t="s">
        <v>78</v>
      </c>
      <c r="AH290" s="4" t="s">
        <v>79</v>
      </c>
      <c r="AI290" s="5" t="s">
        <v>80</v>
      </c>
      <c r="AJ290" s="1" t="n">
        <v>0</v>
      </c>
      <c r="AK290" s="11" t="n">
        <v>0</v>
      </c>
      <c r="AL290" s="12" t="s">
        <v>135</v>
      </c>
      <c r="AM290" s="13" t="str">
        <f>IF(AL290="","",AL290&amp;" - "&amp;IFERROR(VLOOKUP(AL290,CODEBOOK_CAP!$C$2:$D$212,2,FALSE),""))</f>
        <v>1002 - CARROS, TRÂNSITO, CONSTRUÇÃO E MANUTENÇÃO DE RUAS E ESTRADAS</v>
      </c>
      <c r="AN290" s="13" t="str">
        <f>IF(AL290="","",IFERROR(VLOOKUP(AL290,CODEBOOK_CAP!$C$2:$E$212,3,FALSE),""))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290" s="11" t="n">
        <v>1</v>
      </c>
      <c r="AP290" s="11" t="s">
        <v>1907</v>
      </c>
      <c r="AQ290" s="11" t="n">
        <v>1</v>
      </c>
      <c r="AR290" s="11" t="n">
        <v>1</v>
      </c>
      <c r="AS290" s="11" t="s">
        <v>1907</v>
      </c>
      <c r="AT290" s="11" t="n">
        <v>0</v>
      </c>
      <c r="AU290" s="11"/>
      <c r="AV290" s="11"/>
      <c r="AW290" s="11"/>
      <c r="AX290" s="7" t="s">
        <v>84</v>
      </c>
      <c r="AY290" s="7"/>
      <c r="AZ290" s="7"/>
      <c r="BA290" s="7"/>
    </row>
    <row r="291" ht="85.5" customHeight="1">
      <c r="A291" s="4" t="s">
        <v>1908</v>
      </c>
      <c r="B291" s="4" t="n">
        <v>2022</v>
      </c>
      <c r="C291" s="4" t="n">
        <v>4535</v>
      </c>
      <c r="D291" s="4" t="s">
        <v>54</v>
      </c>
      <c r="E291" s="4" t="s">
        <v>1744</v>
      </c>
      <c r="F291" s="5" t="s">
        <v>1909</v>
      </c>
      <c r="G291" s="4" t="s">
        <v>57</v>
      </c>
      <c r="H291" s="4" t="s">
        <v>1746</v>
      </c>
      <c r="I291" s="4" t="s">
        <v>1214</v>
      </c>
      <c r="J291" s="4" t="s">
        <v>1910</v>
      </c>
      <c r="K291" s="4" t="s">
        <v>1911</v>
      </c>
      <c r="L291" s="5" t="s">
        <v>595</v>
      </c>
      <c r="M291" s="4" t="s">
        <v>596</v>
      </c>
      <c r="N291" s="5" t="s">
        <v>597</v>
      </c>
      <c r="O291" s="4" t="s">
        <v>598</v>
      </c>
      <c r="P291" s="5" t="s">
        <v>599</v>
      </c>
      <c r="Q291" s="4" t="s">
        <v>600</v>
      </c>
      <c r="R291" s="5" t="s">
        <v>601</v>
      </c>
      <c r="S291" s="4" t="s">
        <v>602</v>
      </c>
      <c r="T291" s="5" t="s">
        <v>1341</v>
      </c>
      <c r="U291" s="4" t="s">
        <v>1342</v>
      </c>
      <c r="V291" s="5" t="s">
        <v>706</v>
      </c>
      <c r="W291" s="4" t="s">
        <v>105</v>
      </c>
      <c r="X291" s="4" t="s">
        <v>106</v>
      </c>
      <c r="Y291" s="5"/>
      <c r="Z291" s="4" t="s">
        <v>606</v>
      </c>
      <c r="AA291" s="6" t="n">
        <v>22000</v>
      </c>
      <c r="AB291" s="6" t="n">
        <v>21190</v>
      </c>
      <c r="AC291" s="6" t="n">
        <v>21190</v>
      </c>
      <c r="AD291" s="6" t="n">
        <v>21190</v>
      </c>
      <c r="AE291" s="4" t="s">
        <v>1912</v>
      </c>
      <c r="AF291" s="5" t="s">
        <v>1913</v>
      </c>
      <c r="AG291" s="4" t="s">
        <v>78</v>
      </c>
      <c r="AH291" s="4" t="s">
        <v>79</v>
      </c>
      <c r="AI291" s="5" t="s">
        <v>80</v>
      </c>
      <c r="AJ291" s="1" t="n">
        <v>0</v>
      </c>
      <c r="AK291" s="11" t="n">
        <v>0</v>
      </c>
      <c r="AL291" s="12" t="s">
        <v>609</v>
      </c>
      <c r="AM291" s="13" t="str">
        <f>IF(AL291="","",AL291&amp;" - "&amp;IFERROR(VLOOKUP(AL291,CODEBOOK_CAP!$C$2:$D$212,2,FALSE),""))</f>
        <v>0607 - PROMOCAO DA QUALIDADE, ESTRUTURA E AÇÕES</v>
      </c>
      <c r="AN291" s="13" t="str">
        <f>IF(AL291="","",IFERROR(VLOOKUP(AL291,CODEBOOK_CAP!$C$2:$E$212,3,FALSE),""))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291" s="11" t="n">
        <v>1</v>
      </c>
      <c r="AP291" s="11" t="s">
        <v>1914</v>
      </c>
      <c r="AQ291" s="11" t="n">
        <v>1</v>
      </c>
      <c r="AR291" s="11" t="n">
        <v>1</v>
      </c>
      <c r="AS291" s="11" t="s">
        <v>1915</v>
      </c>
      <c r="AT291" s="11" t="n">
        <v>1</v>
      </c>
      <c r="AU291" s="11" t="s">
        <v>286</v>
      </c>
      <c r="AV291" s="11"/>
      <c r="AW291" s="11"/>
      <c r="AX291" s="7" t="s">
        <v>84</v>
      </c>
      <c r="AY291" s="7"/>
      <c r="AZ291" s="7"/>
      <c r="BA291" s="7"/>
    </row>
    <row r="292" ht="85.5" customHeight="1">
      <c r="A292" s="4" t="s">
        <v>1916</v>
      </c>
      <c r="B292" s="4" t="n">
        <v>2022</v>
      </c>
      <c r="C292" s="4" t="n">
        <v>4536</v>
      </c>
      <c r="D292" s="4" t="s">
        <v>54</v>
      </c>
      <c r="E292" s="4" t="s">
        <v>1744</v>
      </c>
      <c r="F292" s="5" t="s">
        <v>1917</v>
      </c>
      <c r="G292" s="4" t="s">
        <v>57</v>
      </c>
      <c r="H292" s="4" t="s">
        <v>1746</v>
      </c>
      <c r="I292" s="4" t="s">
        <v>1214</v>
      </c>
      <c r="J292" s="4" t="s">
        <v>1918</v>
      </c>
      <c r="K292" s="4" t="s">
        <v>1911</v>
      </c>
      <c r="L292" s="5" t="s">
        <v>595</v>
      </c>
      <c r="M292" s="4" t="s">
        <v>596</v>
      </c>
      <c r="N292" s="5" t="s">
        <v>597</v>
      </c>
      <c r="O292" s="4" t="s">
        <v>598</v>
      </c>
      <c r="P292" s="5" t="s">
        <v>599</v>
      </c>
      <c r="Q292" s="4" t="s">
        <v>600</v>
      </c>
      <c r="R292" s="5" t="s">
        <v>601</v>
      </c>
      <c r="S292" s="4" t="s">
        <v>602</v>
      </c>
      <c r="T292" s="5" t="s">
        <v>1341</v>
      </c>
      <c r="U292" s="4" t="s">
        <v>1342</v>
      </c>
      <c r="V292" s="5" t="s">
        <v>706</v>
      </c>
      <c r="W292" s="4" t="s">
        <v>105</v>
      </c>
      <c r="X292" s="4" t="s">
        <v>106</v>
      </c>
      <c r="Y292" s="5"/>
      <c r="Z292" s="4" t="s">
        <v>606</v>
      </c>
      <c r="AA292" s="6" t="n">
        <v>22000</v>
      </c>
      <c r="AB292" s="6" t="n">
        <v>21190</v>
      </c>
      <c r="AC292" s="6" t="n">
        <v>21190</v>
      </c>
      <c r="AD292" s="6" t="n">
        <v>21190</v>
      </c>
      <c r="AE292" s="4" t="s">
        <v>1912</v>
      </c>
      <c r="AF292" s="5" t="s">
        <v>1913</v>
      </c>
      <c r="AG292" s="4" t="s">
        <v>78</v>
      </c>
      <c r="AH292" s="4" t="s">
        <v>79</v>
      </c>
      <c r="AI292" s="5" t="s">
        <v>80</v>
      </c>
      <c r="AJ292" s="1" t="n">
        <v>0</v>
      </c>
      <c r="AK292" s="11" t="n">
        <v>0</v>
      </c>
      <c r="AL292" s="12" t="s">
        <v>609</v>
      </c>
      <c r="AM292" s="13" t="str">
        <f>IF(AL292="","",AL292&amp;" - "&amp;IFERROR(VLOOKUP(AL292,CODEBOOK_CAP!$C$2:$D$212,2,FALSE),""))</f>
        <v>0607 - PROMOCAO DA QUALIDADE, ESTRUTURA E AÇÕES</v>
      </c>
      <c r="AN292" s="13" t="str">
        <f>IF(AL292="","",IFERROR(VLOOKUP(AL292,CODEBOOK_CAP!$C$2:$E$212,3,FALSE),""))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292" s="11" t="n">
        <v>1</v>
      </c>
      <c r="AP292" s="11" t="s">
        <v>1919</v>
      </c>
      <c r="AQ292" s="11" t="n">
        <v>1</v>
      </c>
      <c r="AR292" s="11" t="n">
        <v>1</v>
      </c>
      <c r="AS292" s="11" t="s">
        <v>1920</v>
      </c>
      <c r="AT292" s="11" t="n">
        <v>1</v>
      </c>
      <c r="AU292" s="11" t="s">
        <v>286</v>
      </c>
      <c r="AV292" s="11"/>
      <c r="AW292" s="11"/>
      <c r="AX292" s="7" t="s">
        <v>84</v>
      </c>
      <c r="AY292" s="7"/>
      <c r="AZ292" s="7"/>
      <c r="BA292" s="7"/>
    </row>
    <row r="293" ht="85.5" customHeight="1">
      <c r="A293" s="4" t="s">
        <v>1921</v>
      </c>
      <c r="B293" s="4" t="n">
        <v>2022</v>
      </c>
      <c r="C293" s="4" t="n">
        <v>4537</v>
      </c>
      <c r="D293" s="4" t="s">
        <v>54</v>
      </c>
      <c r="E293" s="4" t="s">
        <v>1744</v>
      </c>
      <c r="F293" s="5" t="s">
        <v>1922</v>
      </c>
      <c r="G293" s="4" t="s">
        <v>57</v>
      </c>
      <c r="H293" s="4" t="s">
        <v>1746</v>
      </c>
      <c r="I293" s="4" t="s">
        <v>1214</v>
      </c>
      <c r="J293" s="4" t="s">
        <v>1923</v>
      </c>
      <c r="K293" s="4" t="s">
        <v>1911</v>
      </c>
      <c r="L293" s="5" t="s">
        <v>595</v>
      </c>
      <c r="M293" s="4" t="s">
        <v>596</v>
      </c>
      <c r="N293" s="5" t="s">
        <v>597</v>
      </c>
      <c r="O293" s="4" t="s">
        <v>598</v>
      </c>
      <c r="P293" s="5" t="s">
        <v>599</v>
      </c>
      <c r="Q293" s="4" t="s">
        <v>600</v>
      </c>
      <c r="R293" s="5" t="s">
        <v>601</v>
      </c>
      <c r="S293" s="4" t="s">
        <v>602</v>
      </c>
      <c r="T293" s="5" t="s">
        <v>1341</v>
      </c>
      <c r="U293" s="4" t="s">
        <v>1342</v>
      </c>
      <c r="V293" s="5" t="s">
        <v>706</v>
      </c>
      <c r="W293" s="4" t="s">
        <v>105</v>
      </c>
      <c r="X293" s="4" t="s">
        <v>106</v>
      </c>
      <c r="Y293" s="5"/>
      <c r="Z293" s="4" t="s">
        <v>606</v>
      </c>
      <c r="AA293" s="6" t="n">
        <v>22000</v>
      </c>
      <c r="AB293" s="6" t="n">
        <v>21190</v>
      </c>
      <c r="AC293" s="6" t="n">
        <v>21190</v>
      </c>
      <c r="AD293" s="6" t="n">
        <v>21190</v>
      </c>
      <c r="AE293" s="4" t="s">
        <v>1912</v>
      </c>
      <c r="AF293" s="5" t="s">
        <v>1913</v>
      </c>
      <c r="AG293" s="4" t="s">
        <v>78</v>
      </c>
      <c r="AH293" s="4" t="s">
        <v>79</v>
      </c>
      <c r="AI293" s="5" t="s">
        <v>80</v>
      </c>
      <c r="AJ293" s="1" t="n">
        <v>0</v>
      </c>
      <c r="AK293" s="11" t="n">
        <v>0</v>
      </c>
      <c r="AL293" s="12" t="s">
        <v>609</v>
      </c>
      <c r="AM293" s="13" t="str">
        <f>IF(AL293="","",AL293&amp;" - "&amp;IFERROR(VLOOKUP(AL293,CODEBOOK_CAP!$C$2:$D$212,2,FALSE),""))</f>
        <v>0607 - PROMOCAO DA QUALIDADE, ESTRUTURA E AÇÕES</v>
      </c>
      <c r="AN293" s="13" t="str">
        <f>IF(AL293="","",IFERROR(VLOOKUP(AL293,CODEBOOK_CAP!$C$2:$E$212,3,FALSE),""))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293" s="11" t="n">
        <v>1</v>
      </c>
      <c r="AP293" s="11" t="s">
        <v>1924</v>
      </c>
      <c r="AQ293" s="11" t="n">
        <v>1</v>
      </c>
      <c r="AR293" s="11" t="n">
        <v>1</v>
      </c>
      <c r="AS293" s="11" t="s">
        <v>1925</v>
      </c>
      <c r="AT293" s="11" t="n">
        <v>1</v>
      </c>
      <c r="AU293" s="11" t="s">
        <v>286</v>
      </c>
      <c r="AV293" s="11"/>
      <c r="AW293" s="11"/>
      <c r="AX293" s="7" t="s">
        <v>84</v>
      </c>
      <c r="AY293" s="7"/>
      <c r="AZ293" s="7"/>
      <c r="BA293" s="7"/>
    </row>
    <row r="294" ht="85.5" customHeight="1">
      <c r="A294" s="4" t="s">
        <v>1926</v>
      </c>
      <c r="B294" s="4" t="n">
        <v>2022</v>
      </c>
      <c r="C294" s="4" t="n">
        <v>4538</v>
      </c>
      <c r="D294" s="4" t="s">
        <v>54</v>
      </c>
      <c r="E294" s="4" t="s">
        <v>1744</v>
      </c>
      <c r="F294" s="5" t="s">
        <v>1927</v>
      </c>
      <c r="G294" s="4" t="s">
        <v>57</v>
      </c>
      <c r="H294" s="4" t="s">
        <v>1746</v>
      </c>
      <c r="I294" s="4" t="s">
        <v>1214</v>
      </c>
      <c r="J294" s="4" t="s">
        <v>1928</v>
      </c>
      <c r="K294" s="4" t="s">
        <v>1911</v>
      </c>
      <c r="L294" s="5" t="s">
        <v>595</v>
      </c>
      <c r="M294" s="4" t="s">
        <v>596</v>
      </c>
      <c r="N294" s="5" t="s">
        <v>597</v>
      </c>
      <c r="O294" s="4" t="s">
        <v>598</v>
      </c>
      <c r="P294" s="5" t="s">
        <v>599</v>
      </c>
      <c r="Q294" s="4" t="s">
        <v>600</v>
      </c>
      <c r="R294" s="5" t="s">
        <v>601</v>
      </c>
      <c r="S294" s="4" t="s">
        <v>602</v>
      </c>
      <c r="T294" s="5" t="s">
        <v>1341</v>
      </c>
      <c r="U294" s="4" t="s">
        <v>1342</v>
      </c>
      <c r="V294" s="5" t="s">
        <v>706</v>
      </c>
      <c r="W294" s="4" t="s">
        <v>105</v>
      </c>
      <c r="X294" s="4" t="s">
        <v>106</v>
      </c>
      <c r="Y294" s="5"/>
      <c r="Z294" s="4" t="s">
        <v>606</v>
      </c>
      <c r="AA294" s="6" t="n">
        <v>22000</v>
      </c>
      <c r="AB294" s="6" t="n">
        <v>21190</v>
      </c>
      <c r="AC294" s="6" t="n">
        <v>21190</v>
      </c>
      <c r="AD294" s="6" t="n">
        <v>21190</v>
      </c>
      <c r="AE294" s="4" t="s">
        <v>1912</v>
      </c>
      <c r="AF294" s="5" t="s">
        <v>1913</v>
      </c>
      <c r="AG294" s="4" t="s">
        <v>78</v>
      </c>
      <c r="AH294" s="4" t="s">
        <v>79</v>
      </c>
      <c r="AI294" s="5" t="s">
        <v>80</v>
      </c>
      <c r="AJ294" s="1" t="n">
        <v>0</v>
      </c>
      <c r="AK294" s="11" t="n">
        <v>0</v>
      </c>
      <c r="AL294" s="12" t="s">
        <v>609</v>
      </c>
      <c r="AM294" s="13" t="str">
        <f>IF(AL294="","",AL294&amp;" - "&amp;IFERROR(VLOOKUP(AL294,CODEBOOK_CAP!$C$2:$D$212,2,FALSE),""))</f>
        <v>0607 - PROMOCAO DA QUALIDADE, ESTRUTURA E AÇÕES</v>
      </c>
      <c r="AN294" s="13" t="str">
        <f>IF(AL294="","",IFERROR(VLOOKUP(AL294,CODEBOOK_CAP!$C$2:$E$212,3,FALSE),""))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294" s="11" t="n">
        <v>1</v>
      </c>
      <c r="AP294" s="11" t="s">
        <v>1929</v>
      </c>
      <c r="AQ294" s="11" t="n">
        <v>1</v>
      </c>
      <c r="AR294" s="11" t="n">
        <v>1</v>
      </c>
      <c r="AS294" s="11" t="s">
        <v>1930</v>
      </c>
      <c r="AT294" s="11" t="n">
        <v>1</v>
      </c>
      <c r="AU294" s="11" t="s">
        <v>286</v>
      </c>
      <c r="AV294" s="11"/>
      <c r="AW294" s="11"/>
      <c r="AX294" s="7" t="s">
        <v>84</v>
      </c>
      <c r="AY294" s="7"/>
      <c r="AZ294" s="7"/>
      <c r="BA294" s="7"/>
    </row>
    <row r="295" ht="85.5" customHeight="1">
      <c r="A295" s="4" t="s">
        <v>1931</v>
      </c>
      <c r="B295" s="4" t="n">
        <v>2022</v>
      </c>
      <c r="C295" s="4" t="n">
        <v>4539</v>
      </c>
      <c r="D295" s="4" t="s">
        <v>54</v>
      </c>
      <c r="E295" s="4" t="s">
        <v>1744</v>
      </c>
      <c r="F295" s="5" t="s">
        <v>1932</v>
      </c>
      <c r="G295" s="4" t="s">
        <v>57</v>
      </c>
      <c r="H295" s="4" t="s">
        <v>1746</v>
      </c>
      <c r="I295" s="4" t="s">
        <v>1214</v>
      </c>
      <c r="J295" s="4" t="s">
        <v>1933</v>
      </c>
      <c r="K295" s="4" t="s">
        <v>1911</v>
      </c>
      <c r="L295" s="5" t="s">
        <v>595</v>
      </c>
      <c r="M295" s="4" t="s">
        <v>596</v>
      </c>
      <c r="N295" s="5" t="s">
        <v>597</v>
      </c>
      <c r="O295" s="4" t="s">
        <v>598</v>
      </c>
      <c r="P295" s="5" t="s">
        <v>599</v>
      </c>
      <c r="Q295" s="4" t="s">
        <v>600</v>
      </c>
      <c r="R295" s="5" t="s">
        <v>601</v>
      </c>
      <c r="S295" s="4" t="s">
        <v>602</v>
      </c>
      <c r="T295" s="5" t="s">
        <v>1341</v>
      </c>
      <c r="U295" s="4" t="s">
        <v>1342</v>
      </c>
      <c r="V295" s="5" t="s">
        <v>706</v>
      </c>
      <c r="W295" s="4" t="s">
        <v>105</v>
      </c>
      <c r="X295" s="4" t="s">
        <v>106</v>
      </c>
      <c r="Y295" s="5"/>
      <c r="Z295" s="4" t="s">
        <v>606</v>
      </c>
      <c r="AA295" s="6" t="n">
        <v>22000</v>
      </c>
      <c r="AB295" s="6" t="n">
        <v>21190</v>
      </c>
      <c r="AC295" s="6" t="n">
        <v>21190</v>
      </c>
      <c r="AD295" s="6" t="n">
        <v>21190</v>
      </c>
      <c r="AE295" s="4" t="s">
        <v>1912</v>
      </c>
      <c r="AF295" s="5" t="s">
        <v>1913</v>
      </c>
      <c r="AG295" s="4" t="s">
        <v>78</v>
      </c>
      <c r="AH295" s="4" t="s">
        <v>79</v>
      </c>
      <c r="AI295" s="5" t="s">
        <v>80</v>
      </c>
      <c r="AJ295" s="1" t="n">
        <v>0</v>
      </c>
      <c r="AK295" s="11" t="n">
        <v>0</v>
      </c>
      <c r="AL295" s="12" t="s">
        <v>609</v>
      </c>
      <c r="AM295" s="13" t="str">
        <f>IF(AL295="","",AL295&amp;" - "&amp;IFERROR(VLOOKUP(AL295,CODEBOOK_CAP!$C$2:$D$212,2,FALSE),""))</f>
        <v>0607 - PROMOCAO DA QUALIDADE, ESTRUTURA E AÇÕES</v>
      </c>
      <c r="AN295" s="13" t="str">
        <f>IF(AL295="","",IFERROR(VLOOKUP(AL295,CODEBOOK_CAP!$C$2:$E$212,3,FALSE),""))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295" s="11" t="n">
        <v>1</v>
      </c>
      <c r="AP295" s="11" t="s">
        <v>1934</v>
      </c>
      <c r="AQ295" s="11" t="n">
        <v>1</v>
      </c>
      <c r="AR295" s="11" t="n">
        <v>1</v>
      </c>
      <c r="AS295" s="11" t="s">
        <v>1935</v>
      </c>
      <c r="AT295" s="11" t="n">
        <v>1</v>
      </c>
      <c r="AU295" s="11" t="s">
        <v>286</v>
      </c>
      <c r="AV295" s="11"/>
      <c r="AW295" s="11"/>
      <c r="AX295" s="7" t="s">
        <v>84</v>
      </c>
      <c r="AY295" s="7"/>
      <c r="AZ295" s="7"/>
      <c r="BA295" s="7"/>
    </row>
    <row r="296" ht="85.5" customHeight="1">
      <c r="A296" s="4" t="s">
        <v>1936</v>
      </c>
      <c r="B296" s="4" t="n">
        <v>2022</v>
      </c>
      <c r="C296" s="4" t="n">
        <v>4540</v>
      </c>
      <c r="D296" s="4" t="s">
        <v>54</v>
      </c>
      <c r="E296" s="4" t="s">
        <v>1744</v>
      </c>
      <c r="F296" s="5" t="s">
        <v>1937</v>
      </c>
      <c r="G296" s="4" t="s">
        <v>57</v>
      </c>
      <c r="H296" s="4" t="s">
        <v>1746</v>
      </c>
      <c r="I296" s="4" t="s">
        <v>1214</v>
      </c>
      <c r="J296" s="4" t="s">
        <v>1938</v>
      </c>
      <c r="K296" s="4" t="s">
        <v>1911</v>
      </c>
      <c r="L296" s="5" t="s">
        <v>595</v>
      </c>
      <c r="M296" s="4" t="s">
        <v>596</v>
      </c>
      <c r="N296" s="5" t="s">
        <v>597</v>
      </c>
      <c r="O296" s="4" t="s">
        <v>598</v>
      </c>
      <c r="P296" s="5" t="s">
        <v>599</v>
      </c>
      <c r="Q296" s="4" t="s">
        <v>600</v>
      </c>
      <c r="R296" s="5" t="s">
        <v>601</v>
      </c>
      <c r="S296" s="4" t="s">
        <v>602</v>
      </c>
      <c r="T296" s="5" t="s">
        <v>1341</v>
      </c>
      <c r="U296" s="4" t="s">
        <v>1342</v>
      </c>
      <c r="V296" s="5" t="s">
        <v>706</v>
      </c>
      <c r="W296" s="4" t="s">
        <v>105</v>
      </c>
      <c r="X296" s="4" t="s">
        <v>106</v>
      </c>
      <c r="Y296" s="5"/>
      <c r="Z296" s="4" t="s">
        <v>606</v>
      </c>
      <c r="AA296" s="6" t="n">
        <v>22000</v>
      </c>
      <c r="AB296" s="6" t="n">
        <v>21190</v>
      </c>
      <c r="AC296" s="6" t="n">
        <v>21190</v>
      </c>
      <c r="AD296" s="6" t="n">
        <v>21190</v>
      </c>
      <c r="AE296" s="4" t="s">
        <v>1912</v>
      </c>
      <c r="AF296" s="5" t="s">
        <v>1913</v>
      </c>
      <c r="AG296" s="4" t="s">
        <v>78</v>
      </c>
      <c r="AH296" s="4" t="s">
        <v>79</v>
      </c>
      <c r="AI296" s="5" t="s">
        <v>80</v>
      </c>
      <c r="AJ296" s="1" t="n">
        <v>0</v>
      </c>
      <c r="AK296" s="11" t="n">
        <v>0</v>
      </c>
      <c r="AL296" s="12" t="s">
        <v>609</v>
      </c>
      <c r="AM296" s="13" t="str">
        <f>IF(AL296="","",AL296&amp;" - "&amp;IFERROR(VLOOKUP(AL296,CODEBOOK_CAP!$C$2:$D$212,2,FALSE),""))</f>
        <v>0607 - PROMOCAO DA QUALIDADE, ESTRUTURA E AÇÕES</v>
      </c>
      <c r="AN296" s="13" t="str">
        <f>IF(AL296="","",IFERROR(VLOOKUP(AL296,CODEBOOK_CAP!$C$2:$E$212,3,FALSE),""))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296" s="11" t="n">
        <v>1</v>
      </c>
      <c r="AP296" s="11" t="s">
        <v>1939</v>
      </c>
      <c r="AQ296" s="11" t="n">
        <v>1</v>
      </c>
      <c r="AR296" s="11" t="n">
        <v>1</v>
      </c>
      <c r="AS296" s="11" t="s">
        <v>1940</v>
      </c>
      <c r="AT296" s="11" t="n">
        <v>1</v>
      </c>
      <c r="AU296" s="11" t="s">
        <v>286</v>
      </c>
      <c r="AV296" s="11"/>
      <c r="AW296" s="11"/>
      <c r="AX296" s="7" t="s">
        <v>84</v>
      </c>
      <c r="AY296" s="7"/>
      <c r="AZ296" s="7"/>
      <c r="BA296" s="7"/>
    </row>
    <row r="297" ht="85.5" customHeight="1">
      <c r="A297" s="4" t="s">
        <v>1941</v>
      </c>
      <c r="B297" s="4" t="n">
        <v>2022</v>
      </c>
      <c r="C297" s="4" t="n">
        <v>4541</v>
      </c>
      <c r="D297" s="4" t="s">
        <v>54</v>
      </c>
      <c r="E297" s="4" t="s">
        <v>1744</v>
      </c>
      <c r="F297" s="5" t="s">
        <v>1942</v>
      </c>
      <c r="G297" s="4" t="s">
        <v>57</v>
      </c>
      <c r="H297" s="4" t="s">
        <v>1746</v>
      </c>
      <c r="I297" s="4" t="s">
        <v>1214</v>
      </c>
      <c r="J297" s="4" t="s">
        <v>1943</v>
      </c>
      <c r="K297" s="4" t="s">
        <v>1911</v>
      </c>
      <c r="L297" s="5" t="s">
        <v>595</v>
      </c>
      <c r="M297" s="4" t="s">
        <v>596</v>
      </c>
      <c r="N297" s="5" t="s">
        <v>597</v>
      </c>
      <c r="O297" s="4" t="s">
        <v>598</v>
      </c>
      <c r="P297" s="5" t="s">
        <v>599</v>
      </c>
      <c r="Q297" s="4" t="s">
        <v>600</v>
      </c>
      <c r="R297" s="5" t="s">
        <v>601</v>
      </c>
      <c r="S297" s="4" t="s">
        <v>602</v>
      </c>
      <c r="T297" s="5" t="s">
        <v>1341</v>
      </c>
      <c r="U297" s="4" t="s">
        <v>1342</v>
      </c>
      <c r="V297" s="5" t="s">
        <v>706</v>
      </c>
      <c r="W297" s="4" t="s">
        <v>105</v>
      </c>
      <c r="X297" s="4" t="s">
        <v>106</v>
      </c>
      <c r="Y297" s="5"/>
      <c r="Z297" s="4" t="s">
        <v>606</v>
      </c>
      <c r="AA297" s="6" t="n">
        <v>22000</v>
      </c>
      <c r="AB297" s="6" t="n">
        <v>21190</v>
      </c>
      <c r="AC297" s="6" t="n">
        <v>21190</v>
      </c>
      <c r="AD297" s="6" t="n">
        <v>21190</v>
      </c>
      <c r="AE297" s="4" t="s">
        <v>1912</v>
      </c>
      <c r="AF297" s="5" t="s">
        <v>1913</v>
      </c>
      <c r="AG297" s="4" t="s">
        <v>78</v>
      </c>
      <c r="AH297" s="4" t="s">
        <v>79</v>
      </c>
      <c r="AI297" s="5" t="s">
        <v>80</v>
      </c>
      <c r="AJ297" s="1" t="n">
        <v>0</v>
      </c>
      <c r="AK297" s="11" t="n">
        <v>0</v>
      </c>
      <c r="AL297" s="12" t="s">
        <v>609</v>
      </c>
      <c r="AM297" s="13" t="str">
        <f>IF(AL297="","",AL297&amp;" - "&amp;IFERROR(VLOOKUP(AL297,CODEBOOK_CAP!$C$2:$D$212,2,FALSE),""))</f>
        <v>0607 - PROMOCAO DA QUALIDADE, ESTRUTURA E AÇÕES</v>
      </c>
      <c r="AN297" s="13" t="str">
        <f>IF(AL297="","",IFERROR(VLOOKUP(AL297,CODEBOOK_CAP!$C$2:$E$212,3,FALSE),""))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297" s="11" t="n">
        <v>1</v>
      </c>
      <c r="AP297" s="11" t="s">
        <v>1944</v>
      </c>
      <c r="AQ297" s="11" t="n">
        <v>1</v>
      </c>
      <c r="AR297" s="11" t="n">
        <v>1</v>
      </c>
      <c r="AS297" s="11" t="s">
        <v>1945</v>
      </c>
      <c r="AT297" s="11" t="n">
        <v>1</v>
      </c>
      <c r="AU297" s="11" t="s">
        <v>286</v>
      </c>
      <c r="AV297" s="11"/>
      <c r="AW297" s="11"/>
      <c r="AX297" s="7" t="s">
        <v>84</v>
      </c>
      <c r="AY297" s="7"/>
      <c r="AZ297" s="7"/>
      <c r="BA297" s="7"/>
    </row>
    <row r="298" ht="85.5" customHeight="1">
      <c r="A298" s="4" t="s">
        <v>1946</v>
      </c>
      <c r="B298" s="4" t="n">
        <v>2022</v>
      </c>
      <c r="C298" s="4" t="n">
        <v>4542</v>
      </c>
      <c r="D298" s="4" t="s">
        <v>54</v>
      </c>
      <c r="E298" s="4" t="s">
        <v>1744</v>
      </c>
      <c r="F298" s="5" t="s">
        <v>1947</v>
      </c>
      <c r="G298" s="4" t="s">
        <v>57</v>
      </c>
      <c r="H298" s="4" t="s">
        <v>1746</v>
      </c>
      <c r="I298" s="4" t="s">
        <v>1214</v>
      </c>
      <c r="J298" s="4" t="s">
        <v>1948</v>
      </c>
      <c r="K298" s="4" t="s">
        <v>1911</v>
      </c>
      <c r="L298" s="5" t="s">
        <v>595</v>
      </c>
      <c r="M298" s="4" t="s">
        <v>596</v>
      </c>
      <c r="N298" s="5" t="s">
        <v>597</v>
      </c>
      <c r="O298" s="4" t="s">
        <v>598</v>
      </c>
      <c r="P298" s="5" t="s">
        <v>599</v>
      </c>
      <c r="Q298" s="4" t="s">
        <v>600</v>
      </c>
      <c r="R298" s="5" t="s">
        <v>601</v>
      </c>
      <c r="S298" s="4" t="s">
        <v>602</v>
      </c>
      <c r="T298" s="5" t="s">
        <v>1341</v>
      </c>
      <c r="U298" s="4" t="s">
        <v>1342</v>
      </c>
      <c r="V298" s="5" t="s">
        <v>706</v>
      </c>
      <c r="W298" s="4" t="s">
        <v>105</v>
      </c>
      <c r="X298" s="4" t="s">
        <v>106</v>
      </c>
      <c r="Y298" s="5"/>
      <c r="Z298" s="4" t="s">
        <v>606</v>
      </c>
      <c r="AA298" s="6" t="n">
        <v>22000</v>
      </c>
      <c r="AB298" s="6" t="n">
        <v>21190</v>
      </c>
      <c r="AC298" s="6" t="n">
        <v>21190</v>
      </c>
      <c r="AD298" s="6" t="n">
        <v>21190</v>
      </c>
      <c r="AE298" s="4" t="s">
        <v>1912</v>
      </c>
      <c r="AF298" s="5" t="s">
        <v>1913</v>
      </c>
      <c r="AG298" s="4" t="s">
        <v>78</v>
      </c>
      <c r="AH298" s="4" t="s">
        <v>79</v>
      </c>
      <c r="AI298" s="5" t="s">
        <v>80</v>
      </c>
      <c r="AJ298" s="1" t="n">
        <v>0</v>
      </c>
      <c r="AK298" s="11" t="n">
        <v>0</v>
      </c>
      <c r="AL298" s="12" t="s">
        <v>609</v>
      </c>
      <c r="AM298" s="13" t="str">
        <f>IF(AL298="","",AL298&amp;" - "&amp;IFERROR(VLOOKUP(AL298,CODEBOOK_CAP!$C$2:$D$212,2,FALSE),""))</f>
        <v>0607 - PROMOCAO DA QUALIDADE, ESTRUTURA E AÇÕES</v>
      </c>
      <c r="AN298" s="13" t="str">
        <f>IF(AL298="","",IFERROR(VLOOKUP(AL298,CODEBOOK_CAP!$C$2:$E$212,3,FALSE),""))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298" s="11" t="n">
        <v>1</v>
      </c>
      <c r="AP298" s="11" t="s">
        <v>1949</v>
      </c>
      <c r="AQ298" s="11" t="n">
        <v>1</v>
      </c>
      <c r="AR298" s="11" t="n">
        <v>1</v>
      </c>
      <c r="AS298" s="11" t="s">
        <v>1950</v>
      </c>
      <c r="AT298" s="11" t="n">
        <v>1</v>
      </c>
      <c r="AU298" s="11" t="s">
        <v>286</v>
      </c>
      <c r="AV298" s="11"/>
      <c r="AW298" s="11"/>
      <c r="AX298" s="7" t="s">
        <v>84</v>
      </c>
      <c r="AY298" s="7"/>
      <c r="AZ298" s="7"/>
      <c r="BA298" s="7"/>
    </row>
    <row r="299" ht="85.5" customHeight="1">
      <c r="A299" s="4" t="s">
        <v>1951</v>
      </c>
      <c r="B299" s="4" t="n">
        <v>2022</v>
      </c>
      <c r="C299" s="4" t="n">
        <v>4543</v>
      </c>
      <c r="D299" s="4" t="s">
        <v>54</v>
      </c>
      <c r="E299" s="4" t="s">
        <v>1744</v>
      </c>
      <c r="F299" s="5" t="s">
        <v>1952</v>
      </c>
      <c r="G299" s="4" t="s">
        <v>57</v>
      </c>
      <c r="H299" s="4" t="s">
        <v>1746</v>
      </c>
      <c r="I299" s="4" t="s">
        <v>1214</v>
      </c>
      <c r="J299" s="4" t="s">
        <v>1953</v>
      </c>
      <c r="K299" s="4" t="s">
        <v>1911</v>
      </c>
      <c r="L299" s="5" t="s">
        <v>595</v>
      </c>
      <c r="M299" s="4" t="s">
        <v>596</v>
      </c>
      <c r="N299" s="5" t="s">
        <v>597</v>
      </c>
      <c r="O299" s="4" t="s">
        <v>598</v>
      </c>
      <c r="P299" s="5" t="s">
        <v>599</v>
      </c>
      <c r="Q299" s="4" t="s">
        <v>600</v>
      </c>
      <c r="R299" s="5" t="s">
        <v>601</v>
      </c>
      <c r="S299" s="4" t="s">
        <v>602</v>
      </c>
      <c r="T299" s="5" t="s">
        <v>1341</v>
      </c>
      <c r="U299" s="4" t="s">
        <v>1342</v>
      </c>
      <c r="V299" s="5" t="s">
        <v>706</v>
      </c>
      <c r="W299" s="4" t="s">
        <v>105</v>
      </c>
      <c r="X299" s="4" t="s">
        <v>106</v>
      </c>
      <c r="Y299" s="5"/>
      <c r="Z299" s="4" t="s">
        <v>606</v>
      </c>
      <c r="AA299" s="6" t="n">
        <v>22000</v>
      </c>
      <c r="AB299" s="6" t="n">
        <v>21190</v>
      </c>
      <c r="AC299" s="6" t="n">
        <v>21190</v>
      </c>
      <c r="AD299" s="6" t="n">
        <v>21190</v>
      </c>
      <c r="AE299" s="4" t="s">
        <v>1912</v>
      </c>
      <c r="AF299" s="5" t="s">
        <v>1913</v>
      </c>
      <c r="AG299" s="4" t="s">
        <v>78</v>
      </c>
      <c r="AH299" s="4" t="s">
        <v>79</v>
      </c>
      <c r="AI299" s="5" t="s">
        <v>80</v>
      </c>
      <c r="AJ299" s="1" t="n">
        <v>0</v>
      </c>
      <c r="AK299" s="11" t="n">
        <v>0</v>
      </c>
      <c r="AL299" s="12" t="s">
        <v>609</v>
      </c>
      <c r="AM299" s="13" t="str">
        <f>IF(AL299="","",AL299&amp;" - "&amp;IFERROR(VLOOKUP(AL299,CODEBOOK_CAP!$C$2:$D$212,2,FALSE),""))</f>
        <v>0607 - PROMOCAO DA QUALIDADE, ESTRUTURA E AÇÕES</v>
      </c>
      <c r="AN299" s="13" t="str">
        <f>IF(AL299="","",IFERROR(VLOOKUP(AL299,CODEBOOK_CAP!$C$2:$E$212,3,FALSE),""))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299" s="11" t="n">
        <v>1</v>
      </c>
      <c r="AP299" s="11" t="s">
        <v>1954</v>
      </c>
      <c r="AQ299" s="11" t="n">
        <v>1</v>
      </c>
      <c r="AR299" s="11" t="n">
        <v>1</v>
      </c>
      <c r="AS299" s="11" t="s">
        <v>1955</v>
      </c>
      <c r="AT299" s="11" t="n">
        <v>1</v>
      </c>
      <c r="AU299" s="11" t="s">
        <v>286</v>
      </c>
      <c r="AV299" s="11"/>
      <c r="AW299" s="11"/>
      <c r="AX299" s="7" t="s">
        <v>84</v>
      </c>
      <c r="AY299" s="7"/>
      <c r="AZ299" s="7"/>
      <c r="BA299" s="7"/>
    </row>
    <row r="300" ht="85.5" customHeight="1">
      <c r="A300" s="4" t="s">
        <v>1956</v>
      </c>
      <c r="B300" s="4" t="n">
        <v>2022</v>
      </c>
      <c r="C300" s="4" t="n">
        <v>4544</v>
      </c>
      <c r="D300" s="4" t="s">
        <v>54</v>
      </c>
      <c r="E300" s="4" t="s">
        <v>1744</v>
      </c>
      <c r="F300" s="5" t="s">
        <v>1957</v>
      </c>
      <c r="G300" s="4" t="s">
        <v>57</v>
      </c>
      <c r="H300" s="4" t="s">
        <v>1746</v>
      </c>
      <c r="I300" s="4" t="s">
        <v>1214</v>
      </c>
      <c r="J300" s="4" t="s">
        <v>1958</v>
      </c>
      <c r="K300" s="4" t="s">
        <v>1911</v>
      </c>
      <c r="L300" s="5" t="s">
        <v>595</v>
      </c>
      <c r="M300" s="4" t="s">
        <v>596</v>
      </c>
      <c r="N300" s="5" t="s">
        <v>597</v>
      </c>
      <c r="O300" s="4" t="s">
        <v>598</v>
      </c>
      <c r="P300" s="5" t="s">
        <v>599</v>
      </c>
      <c r="Q300" s="4" t="s">
        <v>600</v>
      </c>
      <c r="R300" s="5" t="s">
        <v>601</v>
      </c>
      <c r="S300" s="4" t="s">
        <v>602</v>
      </c>
      <c r="T300" s="5" t="s">
        <v>1341</v>
      </c>
      <c r="U300" s="4" t="s">
        <v>1342</v>
      </c>
      <c r="V300" s="5" t="s">
        <v>706</v>
      </c>
      <c r="W300" s="4" t="s">
        <v>105</v>
      </c>
      <c r="X300" s="4" t="s">
        <v>106</v>
      </c>
      <c r="Y300" s="5"/>
      <c r="Z300" s="4" t="s">
        <v>606</v>
      </c>
      <c r="AA300" s="6" t="n">
        <v>22000</v>
      </c>
      <c r="AB300" s="6" t="n">
        <v>21190</v>
      </c>
      <c r="AC300" s="6" t="n">
        <v>21190</v>
      </c>
      <c r="AD300" s="6" t="n">
        <v>21190</v>
      </c>
      <c r="AE300" s="4" t="s">
        <v>1912</v>
      </c>
      <c r="AF300" s="5" t="s">
        <v>1913</v>
      </c>
      <c r="AG300" s="4" t="s">
        <v>78</v>
      </c>
      <c r="AH300" s="4" t="s">
        <v>79</v>
      </c>
      <c r="AI300" s="5" t="s">
        <v>80</v>
      </c>
      <c r="AJ300" s="1" t="n">
        <v>0</v>
      </c>
      <c r="AK300" s="11" t="n">
        <v>0</v>
      </c>
      <c r="AL300" s="12" t="s">
        <v>609</v>
      </c>
      <c r="AM300" s="13" t="str">
        <f>IF(AL300="","",AL300&amp;" - "&amp;IFERROR(VLOOKUP(AL300,CODEBOOK_CAP!$C$2:$D$212,2,FALSE),""))</f>
        <v>0607 - PROMOCAO DA QUALIDADE, ESTRUTURA E AÇÕES</v>
      </c>
      <c r="AN300" s="13" t="str">
        <f>IF(AL300="","",IFERROR(VLOOKUP(AL300,CODEBOOK_CAP!$C$2:$E$212,3,FALSE),""))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300" s="11" t="n">
        <v>1</v>
      </c>
      <c r="AP300" s="11" t="s">
        <v>1959</v>
      </c>
      <c r="AQ300" s="11" t="n">
        <v>1</v>
      </c>
      <c r="AR300" s="11" t="n">
        <v>1</v>
      </c>
      <c r="AS300" s="11" t="s">
        <v>1960</v>
      </c>
      <c r="AT300" s="11" t="n">
        <v>1</v>
      </c>
      <c r="AU300" s="11" t="s">
        <v>286</v>
      </c>
      <c r="AV300" s="11"/>
      <c r="AW300" s="11"/>
      <c r="AX300" s="7" t="s">
        <v>84</v>
      </c>
      <c r="AY300" s="7"/>
      <c r="AZ300" s="7"/>
      <c r="BA300" s="7"/>
    </row>
    <row r="301" ht="85.5" customHeight="1">
      <c r="A301" s="4" t="s">
        <v>1961</v>
      </c>
      <c r="B301" s="4" t="n">
        <v>2022</v>
      </c>
      <c r="C301" s="4" t="n">
        <v>4545</v>
      </c>
      <c r="D301" s="4" t="s">
        <v>54</v>
      </c>
      <c r="E301" s="4" t="s">
        <v>1744</v>
      </c>
      <c r="F301" s="5" t="s">
        <v>1962</v>
      </c>
      <c r="G301" s="4" t="s">
        <v>57</v>
      </c>
      <c r="H301" s="4" t="s">
        <v>1746</v>
      </c>
      <c r="I301" s="4" t="s">
        <v>1214</v>
      </c>
      <c r="J301" s="4" t="s">
        <v>1963</v>
      </c>
      <c r="K301" s="4" t="s">
        <v>1911</v>
      </c>
      <c r="L301" s="5" t="s">
        <v>595</v>
      </c>
      <c r="M301" s="4" t="s">
        <v>596</v>
      </c>
      <c r="N301" s="5" t="s">
        <v>597</v>
      </c>
      <c r="O301" s="4" t="s">
        <v>598</v>
      </c>
      <c r="P301" s="5" t="s">
        <v>599</v>
      </c>
      <c r="Q301" s="4" t="s">
        <v>600</v>
      </c>
      <c r="R301" s="5" t="s">
        <v>601</v>
      </c>
      <c r="S301" s="4" t="s">
        <v>602</v>
      </c>
      <c r="T301" s="5" t="s">
        <v>1341</v>
      </c>
      <c r="U301" s="4" t="s">
        <v>1342</v>
      </c>
      <c r="V301" s="5" t="s">
        <v>706</v>
      </c>
      <c r="W301" s="4" t="s">
        <v>105</v>
      </c>
      <c r="X301" s="4" t="s">
        <v>106</v>
      </c>
      <c r="Y301" s="5"/>
      <c r="Z301" s="4" t="s">
        <v>606</v>
      </c>
      <c r="AA301" s="6" t="n">
        <v>22000</v>
      </c>
      <c r="AB301" s="6" t="n">
        <v>21190</v>
      </c>
      <c r="AC301" s="6" t="n">
        <v>21190</v>
      </c>
      <c r="AD301" s="6" t="n">
        <v>21190</v>
      </c>
      <c r="AE301" s="4" t="s">
        <v>1912</v>
      </c>
      <c r="AF301" s="5" t="s">
        <v>1913</v>
      </c>
      <c r="AG301" s="4" t="s">
        <v>78</v>
      </c>
      <c r="AH301" s="4" t="s">
        <v>79</v>
      </c>
      <c r="AI301" s="5" t="s">
        <v>80</v>
      </c>
      <c r="AJ301" s="1" t="n">
        <v>0</v>
      </c>
      <c r="AK301" s="11" t="n">
        <v>0</v>
      </c>
      <c r="AL301" s="12" t="s">
        <v>609</v>
      </c>
      <c r="AM301" s="13" t="str">
        <f>IF(AL301="","",AL301&amp;" - "&amp;IFERROR(VLOOKUP(AL301,CODEBOOK_CAP!$C$2:$D$212,2,FALSE),""))</f>
        <v>0607 - PROMOCAO DA QUALIDADE, ESTRUTURA E AÇÕES</v>
      </c>
      <c r="AN301" s="13" t="str">
        <f>IF(AL301="","",IFERROR(VLOOKUP(AL301,CODEBOOK_CAP!$C$2:$E$212,3,FALSE),""))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301" s="11" t="n">
        <v>1</v>
      </c>
      <c r="AP301" s="11" t="s">
        <v>1964</v>
      </c>
      <c r="AQ301" s="11" t="n">
        <v>1</v>
      </c>
      <c r="AR301" s="11" t="n">
        <v>1</v>
      </c>
      <c r="AS301" s="11" t="s">
        <v>1965</v>
      </c>
      <c r="AT301" s="11" t="n">
        <v>1</v>
      </c>
      <c r="AU301" s="11" t="s">
        <v>286</v>
      </c>
      <c r="AV301" s="11"/>
      <c r="AW301" s="11"/>
      <c r="AX301" s="7" t="s">
        <v>84</v>
      </c>
      <c r="AY301" s="7"/>
      <c r="AZ301" s="7"/>
      <c r="BA301" s="7"/>
    </row>
    <row r="302" ht="85.5" customHeight="1">
      <c r="A302" s="4" t="s">
        <v>1966</v>
      </c>
      <c r="B302" s="4" t="n">
        <v>2022</v>
      </c>
      <c r="C302" s="4" t="n">
        <v>4546</v>
      </c>
      <c r="D302" s="4" t="s">
        <v>54</v>
      </c>
      <c r="E302" s="4" t="s">
        <v>1744</v>
      </c>
      <c r="F302" s="5" t="s">
        <v>1967</v>
      </c>
      <c r="G302" s="4" t="s">
        <v>57</v>
      </c>
      <c r="H302" s="4" t="s">
        <v>1746</v>
      </c>
      <c r="I302" s="4" t="s">
        <v>1214</v>
      </c>
      <c r="J302" s="4" t="s">
        <v>1968</v>
      </c>
      <c r="K302" s="4" t="s">
        <v>1911</v>
      </c>
      <c r="L302" s="5" t="s">
        <v>595</v>
      </c>
      <c r="M302" s="4" t="s">
        <v>596</v>
      </c>
      <c r="N302" s="5" t="s">
        <v>597</v>
      </c>
      <c r="O302" s="4" t="s">
        <v>598</v>
      </c>
      <c r="P302" s="5" t="s">
        <v>599</v>
      </c>
      <c r="Q302" s="4" t="s">
        <v>600</v>
      </c>
      <c r="R302" s="5" t="s">
        <v>601</v>
      </c>
      <c r="S302" s="4" t="s">
        <v>602</v>
      </c>
      <c r="T302" s="5" t="s">
        <v>1341</v>
      </c>
      <c r="U302" s="4" t="s">
        <v>1342</v>
      </c>
      <c r="V302" s="5" t="s">
        <v>706</v>
      </c>
      <c r="W302" s="4" t="s">
        <v>105</v>
      </c>
      <c r="X302" s="4" t="s">
        <v>106</v>
      </c>
      <c r="Y302" s="5"/>
      <c r="Z302" s="4" t="s">
        <v>606</v>
      </c>
      <c r="AA302" s="6" t="n">
        <v>22000</v>
      </c>
      <c r="AB302" s="6" t="n">
        <v>21190</v>
      </c>
      <c r="AC302" s="6" t="n">
        <v>21190</v>
      </c>
      <c r="AD302" s="6" t="n">
        <v>21190</v>
      </c>
      <c r="AE302" s="4" t="s">
        <v>1912</v>
      </c>
      <c r="AF302" s="5" t="s">
        <v>1913</v>
      </c>
      <c r="AG302" s="4" t="s">
        <v>78</v>
      </c>
      <c r="AH302" s="4" t="s">
        <v>79</v>
      </c>
      <c r="AI302" s="5" t="s">
        <v>80</v>
      </c>
      <c r="AJ302" s="1" t="n">
        <v>0</v>
      </c>
      <c r="AK302" s="11" t="n">
        <v>0</v>
      </c>
      <c r="AL302" s="12" t="s">
        <v>609</v>
      </c>
      <c r="AM302" s="13" t="str">
        <f>IF(AL302="","",AL302&amp;" - "&amp;IFERROR(VLOOKUP(AL302,CODEBOOK_CAP!$C$2:$D$212,2,FALSE),""))</f>
        <v>0607 - PROMOCAO DA QUALIDADE, ESTRUTURA E AÇÕES</v>
      </c>
      <c r="AN302" s="13" t="str">
        <f>IF(AL302="","",IFERROR(VLOOKUP(AL302,CODEBOOK_CAP!$C$2:$E$212,3,FALSE),""))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302" s="11" t="n">
        <v>1</v>
      </c>
      <c r="AP302" s="11" t="s">
        <v>1969</v>
      </c>
      <c r="AQ302" s="11" t="n">
        <v>1</v>
      </c>
      <c r="AR302" s="11" t="n">
        <v>1</v>
      </c>
      <c r="AS302" s="11" t="s">
        <v>1970</v>
      </c>
      <c r="AT302" s="11" t="n">
        <v>1</v>
      </c>
      <c r="AU302" s="11" t="s">
        <v>286</v>
      </c>
      <c r="AV302" s="11"/>
      <c r="AW302" s="11"/>
      <c r="AX302" s="7" t="s">
        <v>84</v>
      </c>
      <c r="AY302" s="7"/>
      <c r="AZ302" s="7"/>
      <c r="BA302" s="7"/>
    </row>
    <row r="303" ht="85.5" customHeight="1">
      <c r="A303" s="4" t="s">
        <v>1971</v>
      </c>
      <c r="B303" s="4" t="n">
        <v>2022</v>
      </c>
      <c r="C303" s="4" t="n">
        <v>4547</v>
      </c>
      <c r="D303" s="4" t="s">
        <v>54</v>
      </c>
      <c r="E303" s="4" t="s">
        <v>1744</v>
      </c>
      <c r="F303" s="5" t="s">
        <v>1972</v>
      </c>
      <c r="G303" s="4" t="s">
        <v>57</v>
      </c>
      <c r="H303" s="4" t="s">
        <v>1746</v>
      </c>
      <c r="I303" s="4" t="s">
        <v>1214</v>
      </c>
      <c r="J303" s="4" t="s">
        <v>1973</v>
      </c>
      <c r="K303" s="4" t="s">
        <v>1911</v>
      </c>
      <c r="L303" s="5" t="s">
        <v>595</v>
      </c>
      <c r="M303" s="4" t="s">
        <v>596</v>
      </c>
      <c r="N303" s="5" t="s">
        <v>597</v>
      </c>
      <c r="O303" s="4" t="s">
        <v>598</v>
      </c>
      <c r="P303" s="5" t="s">
        <v>599</v>
      </c>
      <c r="Q303" s="4" t="s">
        <v>600</v>
      </c>
      <c r="R303" s="5" t="s">
        <v>601</v>
      </c>
      <c r="S303" s="4" t="s">
        <v>602</v>
      </c>
      <c r="T303" s="5" t="s">
        <v>1341</v>
      </c>
      <c r="U303" s="4" t="s">
        <v>1342</v>
      </c>
      <c r="V303" s="5" t="s">
        <v>706</v>
      </c>
      <c r="W303" s="4" t="s">
        <v>105</v>
      </c>
      <c r="X303" s="4" t="s">
        <v>106</v>
      </c>
      <c r="Y303" s="5"/>
      <c r="Z303" s="4" t="s">
        <v>606</v>
      </c>
      <c r="AA303" s="6" t="n">
        <v>22000</v>
      </c>
      <c r="AB303" s="6" t="n">
        <v>21190</v>
      </c>
      <c r="AC303" s="6" t="n">
        <v>21190</v>
      </c>
      <c r="AD303" s="6" t="n">
        <v>21190</v>
      </c>
      <c r="AE303" s="4" t="s">
        <v>1912</v>
      </c>
      <c r="AF303" s="5" t="s">
        <v>1913</v>
      </c>
      <c r="AG303" s="4" t="s">
        <v>78</v>
      </c>
      <c r="AH303" s="4" t="s">
        <v>79</v>
      </c>
      <c r="AI303" s="5" t="s">
        <v>80</v>
      </c>
      <c r="AJ303" s="1" t="n">
        <v>0</v>
      </c>
      <c r="AK303" s="11" t="n">
        <v>0</v>
      </c>
      <c r="AL303" s="12" t="s">
        <v>609</v>
      </c>
      <c r="AM303" s="13" t="str">
        <f>IF(AL303="","",AL303&amp;" - "&amp;IFERROR(VLOOKUP(AL303,CODEBOOK_CAP!$C$2:$D$212,2,FALSE),""))</f>
        <v>0607 - PROMOCAO DA QUALIDADE, ESTRUTURA E AÇÕES</v>
      </c>
      <c r="AN303" s="13" t="str">
        <f>IF(AL303="","",IFERROR(VLOOKUP(AL303,CODEBOOK_CAP!$C$2:$E$212,3,FALSE),""))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303" s="11" t="n">
        <v>1</v>
      </c>
      <c r="AP303" s="11" t="s">
        <v>1974</v>
      </c>
      <c r="AQ303" s="11" t="n">
        <v>1</v>
      </c>
      <c r="AR303" s="11" t="n">
        <v>1</v>
      </c>
      <c r="AS303" s="11" t="s">
        <v>1975</v>
      </c>
      <c r="AT303" s="11" t="n">
        <v>1</v>
      </c>
      <c r="AU303" s="11" t="s">
        <v>286</v>
      </c>
      <c r="AV303" s="11"/>
      <c r="AW303" s="11"/>
      <c r="AX303" s="7" t="s">
        <v>84</v>
      </c>
      <c r="AY303" s="7"/>
      <c r="AZ303" s="7"/>
      <c r="BA303" s="7"/>
    </row>
    <row r="304" ht="85.5" customHeight="1">
      <c r="A304" s="4" t="s">
        <v>1976</v>
      </c>
      <c r="B304" s="4" t="n">
        <v>2022</v>
      </c>
      <c r="C304" s="4" t="n">
        <v>4642</v>
      </c>
      <c r="D304" s="4" t="s">
        <v>54</v>
      </c>
      <c r="E304" s="4" t="s">
        <v>1744</v>
      </c>
      <c r="F304" s="5" t="s">
        <v>1977</v>
      </c>
      <c r="G304" s="4" t="s">
        <v>57</v>
      </c>
      <c r="H304" s="4" t="s">
        <v>1746</v>
      </c>
      <c r="I304" s="4" t="s">
        <v>1214</v>
      </c>
      <c r="J304" s="4" t="s">
        <v>1978</v>
      </c>
      <c r="K304" s="4" t="s">
        <v>1911</v>
      </c>
      <c r="L304" s="5" t="s">
        <v>595</v>
      </c>
      <c r="M304" s="4" t="s">
        <v>596</v>
      </c>
      <c r="N304" s="5" t="s">
        <v>597</v>
      </c>
      <c r="O304" s="4" t="s">
        <v>598</v>
      </c>
      <c r="P304" s="5" t="s">
        <v>599</v>
      </c>
      <c r="Q304" s="4" t="s">
        <v>600</v>
      </c>
      <c r="R304" s="5" t="s">
        <v>601</v>
      </c>
      <c r="S304" s="4" t="s">
        <v>602</v>
      </c>
      <c r="T304" s="5" t="s">
        <v>1341</v>
      </c>
      <c r="U304" s="4" t="s">
        <v>1342</v>
      </c>
      <c r="V304" s="5" t="s">
        <v>706</v>
      </c>
      <c r="W304" s="4" t="s">
        <v>105</v>
      </c>
      <c r="X304" s="4" t="s">
        <v>106</v>
      </c>
      <c r="Y304" s="5"/>
      <c r="Z304" s="4" t="s">
        <v>606</v>
      </c>
      <c r="AA304" s="6" t="n">
        <v>22000</v>
      </c>
      <c r="AB304" s="6" t="n">
        <v>21190</v>
      </c>
      <c r="AC304" s="6" t="n">
        <v>21190</v>
      </c>
      <c r="AD304" s="6" t="n">
        <v>21190</v>
      </c>
      <c r="AE304" s="4" t="s">
        <v>1912</v>
      </c>
      <c r="AF304" s="5" t="s">
        <v>1913</v>
      </c>
      <c r="AG304" s="4" t="s">
        <v>78</v>
      </c>
      <c r="AH304" s="4" t="s">
        <v>79</v>
      </c>
      <c r="AI304" s="5" t="s">
        <v>80</v>
      </c>
      <c r="AJ304" s="1" t="n">
        <v>0</v>
      </c>
      <c r="AK304" s="11" t="n">
        <v>0</v>
      </c>
      <c r="AL304" s="12" t="s">
        <v>609</v>
      </c>
      <c r="AM304" s="13" t="str">
        <f>IF(AL304="","",AL304&amp;" - "&amp;IFERROR(VLOOKUP(AL304,CODEBOOK_CAP!$C$2:$D$212,2,FALSE),""))</f>
        <v>0607 - PROMOCAO DA QUALIDADE, ESTRUTURA E AÇÕES</v>
      </c>
      <c r="AN304" s="13" t="str">
        <f>IF(AL304="","",IFERROR(VLOOKUP(AL304,CODEBOOK_CAP!$C$2:$E$212,3,FALSE),""))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304" s="11" t="n">
        <v>1</v>
      </c>
      <c r="AP304" s="11" t="s">
        <v>1979</v>
      </c>
      <c r="AQ304" s="11" t="n">
        <v>1</v>
      </c>
      <c r="AR304" s="11" t="n">
        <v>1</v>
      </c>
      <c r="AS304" s="11" t="s">
        <v>1980</v>
      </c>
      <c r="AT304" s="11" t="n">
        <v>1</v>
      </c>
      <c r="AU304" s="11" t="s">
        <v>286</v>
      </c>
      <c r="AV304" s="11"/>
      <c r="AW304" s="11"/>
      <c r="AX304" s="7" t="s">
        <v>84</v>
      </c>
      <c r="AY304" s="7"/>
      <c r="AZ304" s="7"/>
      <c r="BA304" s="7"/>
    </row>
    <row r="305" ht="85.5" customHeight="1">
      <c r="A305" s="4" t="s">
        <v>1981</v>
      </c>
      <c r="B305" s="4" t="n">
        <v>2022</v>
      </c>
      <c r="C305" s="4" t="n">
        <v>4643</v>
      </c>
      <c r="D305" s="4" t="s">
        <v>54</v>
      </c>
      <c r="E305" s="4" t="s">
        <v>1744</v>
      </c>
      <c r="F305" s="5" t="s">
        <v>1982</v>
      </c>
      <c r="G305" s="4" t="s">
        <v>57</v>
      </c>
      <c r="H305" s="4" t="s">
        <v>1746</v>
      </c>
      <c r="I305" s="4" t="s">
        <v>1214</v>
      </c>
      <c r="J305" s="4" t="s">
        <v>1983</v>
      </c>
      <c r="K305" s="4" t="s">
        <v>1911</v>
      </c>
      <c r="L305" s="5" t="s">
        <v>595</v>
      </c>
      <c r="M305" s="4" t="s">
        <v>596</v>
      </c>
      <c r="N305" s="5" t="s">
        <v>597</v>
      </c>
      <c r="O305" s="4" t="s">
        <v>598</v>
      </c>
      <c r="P305" s="5" t="s">
        <v>599</v>
      </c>
      <c r="Q305" s="4" t="s">
        <v>600</v>
      </c>
      <c r="R305" s="5" t="s">
        <v>601</v>
      </c>
      <c r="S305" s="4" t="s">
        <v>602</v>
      </c>
      <c r="T305" s="5" t="s">
        <v>1341</v>
      </c>
      <c r="U305" s="4" t="s">
        <v>1342</v>
      </c>
      <c r="V305" s="5" t="s">
        <v>706</v>
      </c>
      <c r="W305" s="4" t="s">
        <v>105</v>
      </c>
      <c r="X305" s="4" t="s">
        <v>106</v>
      </c>
      <c r="Y305" s="5"/>
      <c r="Z305" s="4" t="s">
        <v>606</v>
      </c>
      <c r="AA305" s="6" t="n">
        <v>22000</v>
      </c>
      <c r="AB305" s="6" t="n">
        <v>21190</v>
      </c>
      <c r="AC305" s="6" t="n">
        <v>21190</v>
      </c>
      <c r="AD305" s="6" t="n">
        <v>21190</v>
      </c>
      <c r="AE305" s="4" t="s">
        <v>1912</v>
      </c>
      <c r="AF305" s="5" t="s">
        <v>1913</v>
      </c>
      <c r="AG305" s="4" t="s">
        <v>78</v>
      </c>
      <c r="AH305" s="4" t="s">
        <v>79</v>
      </c>
      <c r="AI305" s="5" t="s">
        <v>80</v>
      </c>
      <c r="AJ305" s="1" t="n">
        <v>0</v>
      </c>
      <c r="AK305" s="11" t="n">
        <v>0</v>
      </c>
      <c r="AL305" s="12" t="s">
        <v>609</v>
      </c>
      <c r="AM305" s="13" t="str">
        <f>IF(AL305="","",AL305&amp;" - "&amp;IFERROR(VLOOKUP(AL305,CODEBOOK_CAP!$C$2:$D$212,2,FALSE),""))</f>
        <v>0607 - PROMOCAO DA QUALIDADE, ESTRUTURA E AÇÕES</v>
      </c>
      <c r="AN305" s="13" t="str">
        <f>IF(AL305="","",IFERROR(VLOOKUP(AL305,CODEBOOK_CAP!$C$2:$E$212,3,FALSE),""))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305" s="11" t="n">
        <v>1</v>
      </c>
      <c r="AP305" s="11" t="s">
        <v>1864</v>
      </c>
      <c r="AQ305" s="11" t="n">
        <v>1</v>
      </c>
      <c r="AR305" s="11" t="n">
        <v>1</v>
      </c>
      <c r="AS305" s="11" t="s">
        <v>1984</v>
      </c>
      <c r="AT305" s="11" t="n">
        <v>1</v>
      </c>
      <c r="AU305" s="11" t="s">
        <v>286</v>
      </c>
      <c r="AV305" s="11"/>
      <c r="AW305" s="11"/>
      <c r="AX305" s="7" t="s">
        <v>84</v>
      </c>
      <c r="AY305" s="7"/>
      <c r="AZ305" s="7"/>
      <c r="BA305" s="7"/>
    </row>
    <row r="306" ht="85.5" customHeight="1">
      <c r="A306" s="4" t="s">
        <v>1985</v>
      </c>
      <c r="B306" s="4" t="n">
        <v>2022</v>
      </c>
      <c r="C306" s="4" t="n">
        <v>4644</v>
      </c>
      <c r="D306" s="4" t="s">
        <v>54</v>
      </c>
      <c r="E306" s="4" t="s">
        <v>1744</v>
      </c>
      <c r="F306" s="5" t="s">
        <v>1986</v>
      </c>
      <c r="G306" s="4" t="s">
        <v>57</v>
      </c>
      <c r="H306" s="4" t="s">
        <v>1746</v>
      </c>
      <c r="I306" s="4" t="s">
        <v>1214</v>
      </c>
      <c r="J306" s="4" t="s">
        <v>1987</v>
      </c>
      <c r="K306" s="4" t="s">
        <v>1911</v>
      </c>
      <c r="L306" s="5" t="s">
        <v>595</v>
      </c>
      <c r="M306" s="4" t="s">
        <v>596</v>
      </c>
      <c r="N306" s="5" t="s">
        <v>597</v>
      </c>
      <c r="O306" s="4" t="s">
        <v>598</v>
      </c>
      <c r="P306" s="5" t="s">
        <v>599</v>
      </c>
      <c r="Q306" s="4" t="s">
        <v>600</v>
      </c>
      <c r="R306" s="5" t="s">
        <v>601</v>
      </c>
      <c r="S306" s="4" t="s">
        <v>602</v>
      </c>
      <c r="T306" s="5" t="s">
        <v>1341</v>
      </c>
      <c r="U306" s="4" t="s">
        <v>1342</v>
      </c>
      <c r="V306" s="5" t="s">
        <v>706</v>
      </c>
      <c r="W306" s="4" t="s">
        <v>105</v>
      </c>
      <c r="X306" s="4" t="s">
        <v>106</v>
      </c>
      <c r="Y306" s="5"/>
      <c r="Z306" s="4" t="s">
        <v>606</v>
      </c>
      <c r="AA306" s="6" t="n">
        <v>22000</v>
      </c>
      <c r="AB306" s="6" t="n">
        <v>21190</v>
      </c>
      <c r="AC306" s="6" t="n">
        <v>21190</v>
      </c>
      <c r="AD306" s="6" t="n">
        <v>21190</v>
      </c>
      <c r="AE306" s="4" t="s">
        <v>1988</v>
      </c>
      <c r="AF306" s="5" t="s">
        <v>1989</v>
      </c>
      <c r="AG306" s="4" t="s">
        <v>78</v>
      </c>
      <c r="AH306" s="4" t="s">
        <v>79</v>
      </c>
      <c r="AI306" s="5" t="s">
        <v>80</v>
      </c>
      <c r="AJ306" s="1" t="n">
        <v>0</v>
      </c>
      <c r="AK306" s="11" t="n">
        <v>0</v>
      </c>
      <c r="AL306" s="12" t="s">
        <v>609</v>
      </c>
      <c r="AM306" s="13" t="str">
        <f>IF(AL306="","",AL306&amp;" - "&amp;IFERROR(VLOOKUP(AL306,CODEBOOK_CAP!$C$2:$D$212,2,FALSE),""))</f>
        <v>0607 - PROMOCAO DA QUALIDADE, ESTRUTURA E AÇÕES</v>
      </c>
      <c r="AN306" s="13" t="str">
        <f>IF(AL306="","",IFERROR(VLOOKUP(AL306,CODEBOOK_CAP!$C$2:$E$212,3,FALSE),""))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306" s="11" t="n">
        <v>1</v>
      </c>
      <c r="AP306" s="11" t="s">
        <v>1990</v>
      </c>
      <c r="AQ306" s="11" t="n">
        <v>1</v>
      </c>
      <c r="AR306" s="11" t="n">
        <v>1</v>
      </c>
      <c r="AS306" s="11" t="s">
        <v>1991</v>
      </c>
      <c r="AT306" s="11" t="n">
        <v>1</v>
      </c>
      <c r="AU306" s="11" t="s">
        <v>286</v>
      </c>
      <c r="AV306" s="11"/>
      <c r="AW306" s="11"/>
      <c r="AX306" s="7" t="s">
        <v>84</v>
      </c>
      <c r="AY306" s="7"/>
      <c r="AZ306" s="7"/>
      <c r="BA306" s="7"/>
    </row>
    <row r="307" ht="85.5" customHeight="1">
      <c r="A307" s="4" t="s">
        <v>1992</v>
      </c>
      <c r="B307" s="4" t="n">
        <v>2022</v>
      </c>
      <c r="C307" s="4" t="n">
        <v>4645</v>
      </c>
      <c r="D307" s="4" t="s">
        <v>54</v>
      </c>
      <c r="E307" s="4" t="s">
        <v>1744</v>
      </c>
      <c r="F307" s="5" t="s">
        <v>1993</v>
      </c>
      <c r="G307" s="4" t="s">
        <v>57</v>
      </c>
      <c r="H307" s="4" t="s">
        <v>1746</v>
      </c>
      <c r="I307" s="4" t="s">
        <v>1214</v>
      </c>
      <c r="J307" s="4" t="s">
        <v>1994</v>
      </c>
      <c r="K307" s="4" t="s">
        <v>1995</v>
      </c>
      <c r="L307" s="5" t="s">
        <v>595</v>
      </c>
      <c r="M307" s="4" t="s">
        <v>596</v>
      </c>
      <c r="N307" s="5" t="s">
        <v>597</v>
      </c>
      <c r="O307" s="4" t="s">
        <v>598</v>
      </c>
      <c r="P307" s="5" t="s">
        <v>669</v>
      </c>
      <c r="Q307" s="4" t="s">
        <v>670</v>
      </c>
      <c r="R307" s="5" t="s">
        <v>671</v>
      </c>
      <c r="S307" s="4" t="s">
        <v>672</v>
      </c>
      <c r="T307" s="5" t="s">
        <v>1996</v>
      </c>
      <c r="U307" s="4" t="s">
        <v>1997</v>
      </c>
      <c r="V307" s="5" t="s">
        <v>706</v>
      </c>
      <c r="W307" s="4" t="s">
        <v>105</v>
      </c>
      <c r="X307" s="4" t="s">
        <v>106</v>
      </c>
      <c r="Y307" s="5"/>
      <c r="Z307" s="4" t="s">
        <v>606</v>
      </c>
      <c r="AA307" s="6" t="n">
        <v>22000</v>
      </c>
      <c r="AB307" s="6" t="n">
        <v>21190</v>
      </c>
      <c r="AC307" s="6" t="n">
        <v>21190</v>
      </c>
      <c r="AD307" s="6" t="n">
        <v>21190</v>
      </c>
      <c r="AE307" s="4" t="s">
        <v>1912</v>
      </c>
      <c r="AF307" s="5" t="s">
        <v>1913</v>
      </c>
      <c r="AG307" s="4" t="s">
        <v>78</v>
      </c>
      <c r="AH307" s="4" t="s">
        <v>79</v>
      </c>
      <c r="AI307" s="5" t="s">
        <v>80</v>
      </c>
      <c r="AJ307" s="1" t="n">
        <v>0</v>
      </c>
      <c r="AK307" s="11" t="n">
        <v>0</v>
      </c>
      <c r="AL307" s="12" t="s">
        <v>609</v>
      </c>
      <c r="AM307" s="13" t="str">
        <f>IF(AL307="","",AL307&amp;" - "&amp;IFERROR(VLOOKUP(AL307,CODEBOOK_CAP!$C$2:$D$212,2,FALSE),""))</f>
        <v>0607 - PROMOCAO DA QUALIDADE, ESTRUTURA E AÇÕES</v>
      </c>
      <c r="AN307" s="13" t="str">
        <f>IF(AL307="","",IFERROR(VLOOKUP(AL307,CODEBOOK_CAP!$C$2:$E$212,3,FALSE),""))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307" s="11" t="n">
        <v>1</v>
      </c>
      <c r="AP307" s="11" t="s">
        <v>1998</v>
      </c>
      <c r="AQ307" s="11" t="n">
        <v>1</v>
      </c>
      <c r="AR307" s="11" t="n">
        <v>1</v>
      </c>
      <c r="AS307" s="11" t="s">
        <v>1999</v>
      </c>
      <c r="AT307" s="11" t="n">
        <v>1</v>
      </c>
      <c r="AU307" s="11" t="s">
        <v>503</v>
      </c>
      <c r="AV307" s="11"/>
      <c r="AW307" s="11"/>
      <c r="AX307" s="7" t="s">
        <v>84</v>
      </c>
      <c r="AY307" s="7"/>
      <c r="AZ307" s="7"/>
      <c r="BA307" s="7"/>
    </row>
    <row r="308" ht="85.5" customHeight="1">
      <c r="A308" s="4" t="s">
        <v>2000</v>
      </c>
      <c r="B308" s="4" t="n">
        <v>2022</v>
      </c>
      <c r="C308" s="4" t="n">
        <v>4646</v>
      </c>
      <c r="D308" s="4" t="s">
        <v>54</v>
      </c>
      <c r="E308" s="4" t="s">
        <v>1744</v>
      </c>
      <c r="F308" s="5" t="s">
        <v>2001</v>
      </c>
      <c r="G308" s="4" t="s">
        <v>57</v>
      </c>
      <c r="H308" s="4" t="s">
        <v>1746</v>
      </c>
      <c r="I308" s="4" t="s">
        <v>1214</v>
      </c>
      <c r="J308" s="4" t="s">
        <v>2002</v>
      </c>
      <c r="K308" s="4" t="s">
        <v>1995</v>
      </c>
      <c r="L308" s="5" t="s">
        <v>595</v>
      </c>
      <c r="M308" s="4" t="s">
        <v>596</v>
      </c>
      <c r="N308" s="5" t="s">
        <v>597</v>
      </c>
      <c r="O308" s="4" t="s">
        <v>598</v>
      </c>
      <c r="P308" s="5" t="s">
        <v>669</v>
      </c>
      <c r="Q308" s="4" t="s">
        <v>670</v>
      </c>
      <c r="R308" s="5" t="s">
        <v>671</v>
      </c>
      <c r="S308" s="4" t="s">
        <v>672</v>
      </c>
      <c r="T308" s="5" t="s">
        <v>1996</v>
      </c>
      <c r="U308" s="4" t="s">
        <v>1997</v>
      </c>
      <c r="V308" s="5" t="s">
        <v>706</v>
      </c>
      <c r="W308" s="4" t="s">
        <v>105</v>
      </c>
      <c r="X308" s="4" t="s">
        <v>106</v>
      </c>
      <c r="Y308" s="5"/>
      <c r="Z308" s="4" t="s">
        <v>606</v>
      </c>
      <c r="AA308" s="6" t="n">
        <v>22000</v>
      </c>
      <c r="AB308" s="6" t="n">
        <v>21190</v>
      </c>
      <c r="AC308" s="6" t="n">
        <v>21190</v>
      </c>
      <c r="AD308" s="6" t="n">
        <v>21190</v>
      </c>
      <c r="AE308" s="4" t="s">
        <v>1912</v>
      </c>
      <c r="AF308" s="5" t="s">
        <v>1913</v>
      </c>
      <c r="AG308" s="4" t="s">
        <v>78</v>
      </c>
      <c r="AH308" s="4" t="s">
        <v>79</v>
      </c>
      <c r="AI308" s="5" t="s">
        <v>80</v>
      </c>
      <c r="AJ308" s="1" t="n">
        <v>0</v>
      </c>
      <c r="AK308" s="11" t="n">
        <v>0</v>
      </c>
      <c r="AL308" s="12" t="s">
        <v>609</v>
      </c>
      <c r="AM308" s="13" t="str">
        <f>IF(AL308="","",AL308&amp;" - "&amp;IFERROR(VLOOKUP(AL308,CODEBOOK_CAP!$C$2:$D$212,2,FALSE),""))</f>
        <v>0607 - PROMOCAO DA QUALIDADE, ESTRUTURA E AÇÕES</v>
      </c>
      <c r="AN308" s="13" t="str">
        <f>IF(AL308="","",IFERROR(VLOOKUP(AL308,CODEBOOK_CAP!$C$2:$E$212,3,FALSE),""))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308" s="11" t="n">
        <v>1</v>
      </c>
      <c r="AP308" s="11" t="s">
        <v>2003</v>
      </c>
      <c r="AQ308" s="11" t="n">
        <v>1</v>
      </c>
      <c r="AR308" s="11" t="n">
        <v>1</v>
      </c>
      <c r="AS308" s="11" t="s">
        <v>2004</v>
      </c>
      <c r="AT308" s="11" t="n">
        <v>1</v>
      </c>
      <c r="AU308" s="11" t="s">
        <v>503</v>
      </c>
      <c r="AV308" s="11"/>
      <c r="AW308" s="11"/>
      <c r="AX308" s="7" t="s">
        <v>84</v>
      </c>
      <c r="AY308" s="7"/>
      <c r="AZ308" s="7"/>
      <c r="BA308" s="7"/>
    </row>
    <row r="309" ht="85.5" customHeight="1">
      <c r="A309" s="4" t="s">
        <v>2005</v>
      </c>
      <c r="B309" s="4" t="n">
        <v>2022</v>
      </c>
      <c r="C309" s="4" t="n">
        <v>4647</v>
      </c>
      <c r="D309" s="4" t="s">
        <v>54</v>
      </c>
      <c r="E309" s="4" t="s">
        <v>1744</v>
      </c>
      <c r="F309" s="5" t="s">
        <v>2006</v>
      </c>
      <c r="G309" s="4" t="s">
        <v>57</v>
      </c>
      <c r="H309" s="4" t="s">
        <v>1746</v>
      </c>
      <c r="I309" s="4" t="s">
        <v>1214</v>
      </c>
      <c r="J309" s="4" t="s">
        <v>2007</v>
      </c>
      <c r="K309" s="4" t="s">
        <v>1995</v>
      </c>
      <c r="L309" s="5" t="s">
        <v>595</v>
      </c>
      <c r="M309" s="4" t="s">
        <v>596</v>
      </c>
      <c r="N309" s="5" t="s">
        <v>597</v>
      </c>
      <c r="O309" s="4" t="s">
        <v>598</v>
      </c>
      <c r="P309" s="5" t="s">
        <v>669</v>
      </c>
      <c r="Q309" s="4" t="s">
        <v>670</v>
      </c>
      <c r="R309" s="5" t="s">
        <v>671</v>
      </c>
      <c r="S309" s="4" t="s">
        <v>672</v>
      </c>
      <c r="T309" s="5" t="s">
        <v>1996</v>
      </c>
      <c r="U309" s="4" t="s">
        <v>1997</v>
      </c>
      <c r="V309" s="5" t="s">
        <v>706</v>
      </c>
      <c r="W309" s="4" t="s">
        <v>105</v>
      </c>
      <c r="X309" s="4" t="s">
        <v>106</v>
      </c>
      <c r="Y309" s="5"/>
      <c r="Z309" s="4" t="s">
        <v>606</v>
      </c>
      <c r="AA309" s="6" t="n">
        <v>22000</v>
      </c>
      <c r="AB309" s="6" t="n">
        <v>21190</v>
      </c>
      <c r="AC309" s="6" t="n">
        <v>21190</v>
      </c>
      <c r="AD309" s="6" t="n">
        <v>21190</v>
      </c>
      <c r="AE309" s="4" t="s">
        <v>1912</v>
      </c>
      <c r="AF309" s="5" t="s">
        <v>1913</v>
      </c>
      <c r="AG309" s="4" t="s">
        <v>78</v>
      </c>
      <c r="AH309" s="4" t="s">
        <v>79</v>
      </c>
      <c r="AI309" s="5" t="s">
        <v>80</v>
      </c>
      <c r="AJ309" s="1" t="n">
        <v>0</v>
      </c>
      <c r="AK309" s="11" t="n">
        <v>0</v>
      </c>
      <c r="AL309" s="12" t="s">
        <v>609</v>
      </c>
      <c r="AM309" s="13" t="str">
        <f>IF(AL309="","",AL309&amp;" - "&amp;IFERROR(VLOOKUP(AL309,CODEBOOK_CAP!$C$2:$D$212,2,FALSE),""))</f>
        <v>0607 - PROMOCAO DA QUALIDADE, ESTRUTURA E AÇÕES</v>
      </c>
      <c r="AN309" s="13" t="str">
        <f>IF(AL309="","",IFERROR(VLOOKUP(AL309,CODEBOOK_CAP!$C$2:$E$212,3,FALSE),""))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309" s="11" t="n">
        <v>1</v>
      </c>
      <c r="AP309" s="11" t="s">
        <v>1864</v>
      </c>
      <c r="AQ309" s="11" t="n">
        <v>1</v>
      </c>
      <c r="AR309" s="11" t="n">
        <v>1</v>
      </c>
      <c r="AS309" s="11" t="s">
        <v>2008</v>
      </c>
      <c r="AT309" s="11" t="n">
        <v>1</v>
      </c>
      <c r="AU309" s="11" t="s">
        <v>503</v>
      </c>
      <c r="AV309" s="11"/>
      <c r="AW309" s="11"/>
      <c r="AX309" s="7" t="s">
        <v>84</v>
      </c>
      <c r="AY309" s="7"/>
      <c r="AZ309" s="7"/>
      <c r="BA309" s="7"/>
    </row>
    <row r="310" ht="85.5" customHeight="1">
      <c r="A310" s="4" t="s">
        <v>2009</v>
      </c>
      <c r="B310" s="4" t="n">
        <v>2022</v>
      </c>
      <c r="C310" s="4" t="n">
        <v>4648</v>
      </c>
      <c r="D310" s="4" t="s">
        <v>54</v>
      </c>
      <c r="E310" s="4" t="s">
        <v>1744</v>
      </c>
      <c r="F310" s="5" t="s">
        <v>2010</v>
      </c>
      <c r="G310" s="4" t="s">
        <v>57</v>
      </c>
      <c r="H310" s="4" t="s">
        <v>1746</v>
      </c>
      <c r="I310" s="4" t="s">
        <v>1214</v>
      </c>
      <c r="J310" s="4" t="s">
        <v>2011</v>
      </c>
      <c r="K310" s="4" t="s">
        <v>1995</v>
      </c>
      <c r="L310" s="5" t="s">
        <v>595</v>
      </c>
      <c r="M310" s="4" t="s">
        <v>596</v>
      </c>
      <c r="N310" s="5" t="s">
        <v>597</v>
      </c>
      <c r="O310" s="4" t="s">
        <v>598</v>
      </c>
      <c r="P310" s="5" t="s">
        <v>669</v>
      </c>
      <c r="Q310" s="4" t="s">
        <v>670</v>
      </c>
      <c r="R310" s="5" t="s">
        <v>671</v>
      </c>
      <c r="S310" s="4" t="s">
        <v>672</v>
      </c>
      <c r="T310" s="5" t="s">
        <v>1996</v>
      </c>
      <c r="U310" s="4" t="s">
        <v>1997</v>
      </c>
      <c r="V310" s="5" t="s">
        <v>706</v>
      </c>
      <c r="W310" s="4" t="s">
        <v>105</v>
      </c>
      <c r="X310" s="4" t="s">
        <v>106</v>
      </c>
      <c r="Y310" s="5"/>
      <c r="Z310" s="4" t="s">
        <v>606</v>
      </c>
      <c r="AA310" s="6" t="n">
        <v>22000</v>
      </c>
      <c r="AB310" s="6" t="n">
        <v>21190</v>
      </c>
      <c r="AC310" s="6" t="n">
        <v>21190</v>
      </c>
      <c r="AD310" s="6" t="n">
        <v>21190</v>
      </c>
      <c r="AE310" s="4" t="s">
        <v>1912</v>
      </c>
      <c r="AF310" s="5" t="s">
        <v>1913</v>
      </c>
      <c r="AG310" s="4" t="s">
        <v>78</v>
      </c>
      <c r="AH310" s="4" t="s">
        <v>79</v>
      </c>
      <c r="AI310" s="5" t="s">
        <v>80</v>
      </c>
      <c r="AJ310" s="1" t="n">
        <v>0</v>
      </c>
      <c r="AK310" s="11" t="n">
        <v>0</v>
      </c>
      <c r="AL310" s="12" t="s">
        <v>609</v>
      </c>
      <c r="AM310" s="13" t="str">
        <f>IF(AL310="","",AL310&amp;" - "&amp;IFERROR(VLOOKUP(AL310,CODEBOOK_CAP!$C$2:$D$212,2,FALSE),""))</f>
        <v>0607 - PROMOCAO DA QUALIDADE, ESTRUTURA E AÇÕES</v>
      </c>
      <c r="AN310" s="13" t="str">
        <f>IF(AL310="","",IFERROR(VLOOKUP(AL310,CODEBOOK_CAP!$C$2:$E$212,3,FALSE),""))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310" s="11" t="n">
        <v>1</v>
      </c>
      <c r="AP310" s="11" t="s">
        <v>2012</v>
      </c>
      <c r="AQ310" s="11" t="n">
        <v>1</v>
      </c>
      <c r="AR310" s="11" t="n">
        <v>1</v>
      </c>
      <c r="AS310" s="11" t="s">
        <v>2013</v>
      </c>
      <c r="AT310" s="11" t="n">
        <v>1</v>
      </c>
      <c r="AU310" s="11" t="s">
        <v>503</v>
      </c>
      <c r="AV310" s="11"/>
      <c r="AW310" s="11"/>
      <c r="AX310" s="7" t="s">
        <v>84</v>
      </c>
      <c r="AY310" s="7"/>
      <c r="AZ310" s="7"/>
      <c r="BA310" s="7"/>
    </row>
    <row r="311" ht="85.5" customHeight="1">
      <c r="A311" s="4" t="s">
        <v>2014</v>
      </c>
      <c r="B311" s="4" t="n">
        <v>2022</v>
      </c>
      <c r="C311" s="4" t="n">
        <v>4649</v>
      </c>
      <c r="D311" s="4" t="s">
        <v>54</v>
      </c>
      <c r="E311" s="4" t="s">
        <v>1744</v>
      </c>
      <c r="F311" s="5" t="s">
        <v>2015</v>
      </c>
      <c r="G311" s="4" t="s">
        <v>57</v>
      </c>
      <c r="H311" s="4" t="s">
        <v>1746</v>
      </c>
      <c r="I311" s="4" t="s">
        <v>1214</v>
      </c>
      <c r="J311" s="4" t="s">
        <v>2016</v>
      </c>
      <c r="K311" s="4" t="s">
        <v>1995</v>
      </c>
      <c r="L311" s="5" t="s">
        <v>595</v>
      </c>
      <c r="M311" s="4" t="s">
        <v>596</v>
      </c>
      <c r="N311" s="5" t="s">
        <v>597</v>
      </c>
      <c r="O311" s="4" t="s">
        <v>598</v>
      </c>
      <c r="P311" s="5" t="s">
        <v>669</v>
      </c>
      <c r="Q311" s="4" t="s">
        <v>670</v>
      </c>
      <c r="R311" s="5" t="s">
        <v>671</v>
      </c>
      <c r="S311" s="4" t="s">
        <v>672</v>
      </c>
      <c r="T311" s="5" t="s">
        <v>1996</v>
      </c>
      <c r="U311" s="4" t="s">
        <v>1997</v>
      </c>
      <c r="V311" s="5" t="s">
        <v>706</v>
      </c>
      <c r="W311" s="4" t="s">
        <v>105</v>
      </c>
      <c r="X311" s="4" t="s">
        <v>106</v>
      </c>
      <c r="Y311" s="5"/>
      <c r="Z311" s="4" t="s">
        <v>606</v>
      </c>
      <c r="AA311" s="6" t="n">
        <v>22000</v>
      </c>
      <c r="AB311" s="6" t="n">
        <v>21190</v>
      </c>
      <c r="AC311" s="6" t="n">
        <v>21190</v>
      </c>
      <c r="AD311" s="6" t="n">
        <v>21190</v>
      </c>
      <c r="AE311" s="4" t="s">
        <v>1912</v>
      </c>
      <c r="AF311" s="5" t="s">
        <v>1913</v>
      </c>
      <c r="AG311" s="4" t="s">
        <v>78</v>
      </c>
      <c r="AH311" s="4" t="s">
        <v>79</v>
      </c>
      <c r="AI311" s="5" t="s">
        <v>80</v>
      </c>
      <c r="AJ311" s="1" t="n">
        <v>0</v>
      </c>
      <c r="AK311" s="11" t="n">
        <v>0</v>
      </c>
      <c r="AL311" s="12" t="s">
        <v>609</v>
      </c>
      <c r="AM311" s="13" t="str">
        <f>IF(AL311="","",AL311&amp;" - "&amp;IFERROR(VLOOKUP(AL311,CODEBOOK_CAP!$C$2:$D$212,2,FALSE),""))</f>
        <v>0607 - PROMOCAO DA QUALIDADE, ESTRUTURA E AÇÕES</v>
      </c>
      <c r="AN311" s="13" t="str">
        <f>IF(AL311="","",IFERROR(VLOOKUP(AL311,CODEBOOK_CAP!$C$2:$E$212,3,FALSE),""))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311" s="11" t="n">
        <v>1</v>
      </c>
      <c r="AP311" s="11" t="s">
        <v>2017</v>
      </c>
      <c r="AQ311" s="11" t="n">
        <v>1</v>
      </c>
      <c r="AR311" s="11" t="n">
        <v>1</v>
      </c>
      <c r="AS311" s="11" t="s">
        <v>2018</v>
      </c>
      <c r="AT311" s="11" t="n">
        <v>1</v>
      </c>
      <c r="AU311" s="11" t="s">
        <v>503</v>
      </c>
      <c r="AV311" s="11"/>
      <c r="AW311" s="11"/>
      <c r="AX311" s="7" t="s">
        <v>84</v>
      </c>
      <c r="AY311" s="7"/>
      <c r="AZ311" s="7"/>
      <c r="BA311" s="7"/>
    </row>
    <row r="312" ht="85.5" customHeight="1">
      <c r="A312" s="4" t="s">
        <v>2019</v>
      </c>
      <c r="B312" s="4" t="n">
        <v>2022</v>
      </c>
      <c r="C312" s="4" t="n">
        <v>4650</v>
      </c>
      <c r="D312" s="4" t="s">
        <v>54</v>
      </c>
      <c r="E312" s="4" t="s">
        <v>1744</v>
      </c>
      <c r="F312" s="5" t="s">
        <v>2020</v>
      </c>
      <c r="G312" s="4" t="s">
        <v>57</v>
      </c>
      <c r="H312" s="4" t="s">
        <v>1746</v>
      </c>
      <c r="I312" s="4" t="s">
        <v>1214</v>
      </c>
      <c r="J312" s="4" t="s">
        <v>2021</v>
      </c>
      <c r="K312" s="4" t="s">
        <v>1995</v>
      </c>
      <c r="L312" s="5" t="s">
        <v>595</v>
      </c>
      <c r="M312" s="4" t="s">
        <v>596</v>
      </c>
      <c r="N312" s="5" t="s">
        <v>597</v>
      </c>
      <c r="O312" s="4" t="s">
        <v>598</v>
      </c>
      <c r="P312" s="5" t="s">
        <v>669</v>
      </c>
      <c r="Q312" s="4" t="s">
        <v>670</v>
      </c>
      <c r="R312" s="5" t="s">
        <v>671</v>
      </c>
      <c r="S312" s="4" t="s">
        <v>672</v>
      </c>
      <c r="T312" s="5" t="s">
        <v>1996</v>
      </c>
      <c r="U312" s="4" t="s">
        <v>1997</v>
      </c>
      <c r="V312" s="5" t="s">
        <v>706</v>
      </c>
      <c r="W312" s="4" t="s">
        <v>105</v>
      </c>
      <c r="X312" s="4" t="s">
        <v>106</v>
      </c>
      <c r="Y312" s="5"/>
      <c r="Z312" s="4" t="s">
        <v>606</v>
      </c>
      <c r="AA312" s="6" t="n">
        <v>22000</v>
      </c>
      <c r="AB312" s="6" t="n">
        <v>21190</v>
      </c>
      <c r="AC312" s="6" t="n">
        <v>21190</v>
      </c>
      <c r="AD312" s="6" t="n">
        <v>21190</v>
      </c>
      <c r="AE312" s="4" t="s">
        <v>1912</v>
      </c>
      <c r="AF312" s="5" t="s">
        <v>1913</v>
      </c>
      <c r="AG312" s="4" t="s">
        <v>78</v>
      </c>
      <c r="AH312" s="4" t="s">
        <v>79</v>
      </c>
      <c r="AI312" s="5" t="s">
        <v>80</v>
      </c>
      <c r="AJ312" s="1" t="n">
        <v>0</v>
      </c>
      <c r="AK312" s="11" t="n">
        <v>0</v>
      </c>
      <c r="AL312" s="12" t="s">
        <v>609</v>
      </c>
      <c r="AM312" s="13" t="str">
        <f>IF(AL312="","",AL312&amp;" - "&amp;IFERROR(VLOOKUP(AL312,CODEBOOK_CAP!$C$2:$D$212,2,FALSE),""))</f>
        <v>0607 - PROMOCAO DA QUALIDADE, ESTRUTURA E AÇÕES</v>
      </c>
      <c r="AN312" s="13" t="str">
        <f>IF(AL312="","",IFERROR(VLOOKUP(AL312,CODEBOOK_CAP!$C$2:$E$212,3,FALSE),""))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312" s="11" t="n">
        <v>1</v>
      </c>
      <c r="AP312" s="11" t="s">
        <v>2022</v>
      </c>
      <c r="AQ312" s="11" t="n">
        <v>1</v>
      </c>
      <c r="AR312" s="11" t="n">
        <v>1</v>
      </c>
      <c r="AS312" s="11" t="s">
        <v>2023</v>
      </c>
      <c r="AT312" s="11" t="n">
        <v>1</v>
      </c>
      <c r="AU312" s="11" t="s">
        <v>503</v>
      </c>
      <c r="AV312" s="11"/>
      <c r="AW312" s="11"/>
      <c r="AX312" s="7" t="s">
        <v>84</v>
      </c>
      <c r="AY312" s="7"/>
      <c r="AZ312" s="7"/>
      <c r="BA312" s="7"/>
    </row>
    <row r="313" ht="85.5" customHeight="1">
      <c r="A313" s="4" t="s">
        <v>2024</v>
      </c>
      <c r="B313" s="4" t="n">
        <v>2022</v>
      </c>
      <c r="C313" s="4" t="n">
        <v>4651</v>
      </c>
      <c r="D313" s="4" t="s">
        <v>54</v>
      </c>
      <c r="E313" s="4" t="s">
        <v>1744</v>
      </c>
      <c r="F313" s="5" t="s">
        <v>2025</v>
      </c>
      <c r="G313" s="4" t="s">
        <v>57</v>
      </c>
      <c r="H313" s="4" t="s">
        <v>1746</v>
      </c>
      <c r="I313" s="4" t="s">
        <v>1214</v>
      </c>
      <c r="J313" s="4" t="s">
        <v>2026</v>
      </c>
      <c r="K313" s="4" t="s">
        <v>1995</v>
      </c>
      <c r="L313" s="5" t="s">
        <v>595</v>
      </c>
      <c r="M313" s="4" t="s">
        <v>596</v>
      </c>
      <c r="N313" s="5" t="s">
        <v>597</v>
      </c>
      <c r="O313" s="4" t="s">
        <v>598</v>
      </c>
      <c r="P313" s="5" t="s">
        <v>669</v>
      </c>
      <c r="Q313" s="4" t="s">
        <v>670</v>
      </c>
      <c r="R313" s="5" t="s">
        <v>671</v>
      </c>
      <c r="S313" s="4" t="s">
        <v>672</v>
      </c>
      <c r="T313" s="5" t="s">
        <v>1996</v>
      </c>
      <c r="U313" s="4" t="s">
        <v>1997</v>
      </c>
      <c r="V313" s="5" t="s">
        <v>706</v>
      </c>
      <c r="W313" s="4" t="s">
        <v>105</v>
      </c>
      <c r="X313" s="4" t="s">
        <v>106</v>
      </c>
      <c r="Y313" s="5"/>
      <c r="Z313" s="4" t="s">
        <v>606</v>
      </c>
      <c r="AA313" s="6" t="n">
        <v>22000</v>
      </c>
      <c r="AB313" s="6" t="n">
        <v>21190</v>
      </c>
      <c r="AC313" s="6" t="n">
        <v>21190</v>
      </c>
      <c r="AD313" s="6" t="n">
        <v>21190</v>
      </c>
      <c r="AE313" s="4" t="s">
        <v>1912</v>
      </c>
      <c r="AF313" s="5" t="s">
        <v>1913</v>
      </c>
      <c r="AG313" s="4" t="s">
        <v>78</v>
      </c>
      <c r="AH313" s="4" t="s">
        <v>79</v>
      </c>
      <c r="AI313" s="5" t="s">
        <v>80</v>
      </c>
      <c r="AJ313" s="1" t="n">
        <v>0</v>
      </c>
      <c r="AK313" s="11" t="n">
        <v>0</v>
      </c>
      <c r="AL313" s="12" t="s">
        <v>609</v>
      </c>
      <c r="AM313" s="13" t="str">
        <f>IF(AL313="","",AL313&amp;" - "&amp;IFERROR(VLOOKUP(AL313,CODEBOOK_CAP!$C$2:$D$212,2,FALSE),""))</f>
        <v>0607 - PROMOCAO DA QUALIDADE, ESTRUTURA E AÇÕES</v>
      </c>
      <c r="AN313" s="13" t="str">
        <f>IF(AL313="","",IFERROR(VLOOKUP(AL313,CODEBOOK_CAP!$C$2:$E$212,3,FALSE),""))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313" s="11" t="n">
        <v>1</v>
      </c>
      <c r="AP313" s="11" t="s">
        <v>2027</v>
      </c>
      <c r="AQ313" s="11" t="n">
        <v>1</v>
      </c>
      <c r="AR313" s="11" t="n">
        <v>1</v>
      </c>
      <c r="AS313" s="11" t="s">
        <v>2028</v>
      </c>
      <c r="AT313" s="11" t="n">
        <v>1</v>
      </c>
      <c r="AU313" s="11" t="s">
        <v>503</v>
      </c>
      <c r="AV313" s="11"/>
      <c r="AW313" s="11"/>
      <c r="AX313" s="7" t="s">
        <v>84</v>
      </c>
      <c r="AY313" s="7"/>
      <c r="AZ313" s="7"/>
      <c r="BA313" s="7"/>
    </row>
    <row r="314" ht="85.5" customHeight="1">
      <c r="A314" s="4" t="s">
        <v>2029</v>
      </c>
      <c r="B314" s="4" t="n">
        <v>2022</v>
      </c>
      <c r="C314" s="4" t="n">
        <v>4652</v>
      </c>
      <c r="D314" s="4" t="s">
        <v>54</v>
      </c>
      <c r="E314" s="4" t="s">
        <v>1744</v>
      </c>
      <c r="F314" s="5" t="s">
        <v>2030</v>
      </c>
      <c r="G314" s="4" t="s">
        <v>57</v>
      </c>
      <c r="H314" s="4" t="s">
        <v>1746</v>
      </c>
      <c r="I314" s="4" t="s">
        <v>1214</v>
      </c>
      <c r="J314" s="4" t="s">
        <v>2031</v>
      </c>
      <c r="K314" s="4" t="s">
        <v>1995</v>
      </c>
      <c r="L314" s="5" t="s">
        <v>595</v>
      </c>
      <c r="M314" s="4" t="s">
        <v>596</v>
      </c>
      <c r="N314" s="5" t="s">
        <v>597</v>
      </c>
      <c r="O314" s="4" t="s">
        <v>598</v>
      </c>
      <c r="P314" s="5" t="s">
        <v>669</v>
      </c>
      <c r="Q314" s="4" t="s">
        <v>670</v>
      </c>
      <c r="R314" s="5" t="s">
        <v>671</v>
      </c>
      <c r="S314" s="4" t="s">
        <v>672</v>
      </c>
      <c r="T314" s="5" t="s">
        <v>1996</v>
      </c>
      <c r="U314" s="4" t="s">
        <v>1997</v>
      </c>
      <c r="V314" s="5" t="s">
        <v>706</v>
      </c>
      <c r="W314" s="4" t="s">
        <v>105</v>
      </c>
      <c r="X314" s="4" t="s">
        <v>106</v>
      </c>
      <c r="Y314" s="5"/>
      <c r="Z314" s="4" t="s">
        <v>606</v>
      </c>
      <c r="AA314" s="6" t="n">
        <v>22000</v>
      </c>
      <c r="AB314" s="6" t="n">
        <v>21190</v>
      </c>
      <c r="AC314" s="6" t="n">
        <v>21190</v>
      </c>
      <c r="AD314" s="6" t="n">
        <v>21190</v>
      </c>
      <c r="AE314" s="4" t="s">
        <v>1912</v>
      </c>
      <c r="AF314" s="5" t="s">
        <v>1913</v>
      </c>
      <c r="AG314" s="4" t="s">
        <v>78</v>
      </c>
      <c r="AH314" s="4" t="s">
        <v>79</v>
      </c>
      <c r="AI314" s="5" t="s">
        <v>80</v>
      </c>
      <c r="AJ314" s="1" t="n">
        <v>0</v>
      </c>
      <c r="AK314" s="11" t="n">
        <v>0</v>
      </c>
      <c r="AL314" s="12" t="s">
        <v>609</v>
      </c>
      <c r="AM314" s="13" t="str">
        <f>IF(AL314="","",AL314&amp;" - "&amp;IFERROR(VLOOKUP(AL314,CODEBOOK_CAP!$C$2:$D$212,2,FALSE),""))</f>
        <v>0607 - PROMOCAO DA QUALIDADE, ESTRUTURA E AÇÕES</v>
      </c>
      <c r="AN314" s="13" t="str">
        <f>IF(AL314="","",IFERROR(VLOOKUP(AL314,CODEBOOK_CAP!$C$2:$E$212,3,FALSE),""))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314" s="11" t="n">
        <v>1</v>
      </c>
      <c r="AP314" s="11" t="s">
        <v>2032</v>
      </c>
      <c r="AQ314" s="11" t="n">
        <v>1</v>
      </c>
      <c r="AR314" s="11" t="n">
        <v>1</v>
      </c>
      <c r="AS314" s="11" t="s">
        <v>2033</v>
      </c>
      <c r="AT314" s="11" t="n">
        <v>1</v>
      </c>
      <c r="AU314" s="11" t="s">
        <v>503</v>
      </c>
      <c r="AV314" s="11"/>
      <c r="AW314" s="11"/>
      <c r="AX314" s="7" t="s">
        <v>84</v>
      </c>
      <c r="AY314" s="7"/>
      <c r="AZ314" s="7"/>
      <c r="BA314" s="7"/>
    </row>
    <row r="315" ht="85.5" customHeight="1">
      <c r="A315" s="4" t="s">
        <v>2034</v>
      </c>
      <c r="B315" s="4" t="n">
        <v>2022</v>
      </c>
      <c r="C315" s="4" t="n">
        <v>4653</v>
      </c>
      <c r="D315" s="4" t="s">
        <v>54</v>
      </c>
      <c r="E315" s="4" t="s">
        <v>1744</v>
      </c>
      <c r="F315" s="5" t="s">
        <v>2035</v>
      </c>
      <c r="G315" s="4" t="s">
        <v>57</v>
      </c>
      <c r="H315" s="4" t="s">
        <v>1746</v>
      </c>
      <c r="I315" s="4" t="s">
        <v>1214</v>
      </c>
      <c r="J315" s="4" t="s">
        <v>2036</v>
      </c>
      <c r="K315" s="4" t="s">
        <v>1995</v>
      </c>
      <c r="L315" s="5" t="s">
        <v>595</v>
      </c>
      <c r="M315" s="4" t="s">
        <v>596</v>
      </c>
      <c r="N315" s="5" t="s">
        <v>597</v>
      </c>
      <c r="O315" s="4" t="s">
        <v>598</v>
      </c>
      <c r="P315" s="5" t="s">
        <v>669</v>
      </c>
      <c r="Q315" s="4" t="s">
        <v>670</v>
      </c>
      <c r="R315" s="5" t="s">
        <v>671</v>
      </c>
      <c r="S315" s="4" t="s">
        <v>672</v>
      </c>
      <c r="T315" s="5" t="s">
        <v>1996</v>
      </c>
      <c r="U315" s="4" t="s">
        <v>1997</v>
      </c>
      <c r="V315" s="5" t="s">
        <v>706</v>
      </c>
      <c r="W315" s="4" t="s">
        <v>105</v>
      </c>
      <c r="X315" s="4" t="s">
        <v>106</v>
      </c>
      <c r="Y315" s="5"/>
      <c r="Z315" s="4" t="s">
        <v>606</v>
      </c>
      <c r="AA315" s="6" t="n">
        <v>22000</v>
      </c>
      <c r="AB315" s="6" t="n">
        <v>21190</v>
      </c>
      <c r="AC315" s="6" t="n">
        <v>21190</v>
      </c>
      <c r="AD315" s="6" t="n">
        <v>21190</v>
      </c>
      <c r="AE315" s="4" t="s">
        <v>1912</v>
      </c>
      <c r="AF315" s="5" t="s">
        <v>1913</v>
      </c>
      <c r="AG315" s="4" t="s">
        <v>78</v>
      </c>
      <c r="AH315" s="4" t="s">
        <v>79</v>
      </c>
      <c r="AI315" s="5" t="s">
        <v>80</v>
      </c>
      <c r="AJ315" s="1" t="n">
        <v>0</v>
      </c>
      <c r="AK315" s="11" t="n">
        <v>0</v>
      </c>
      <c r="AL315" s="12" t="s">
        <v>609</v>
      </c>
      <c r="AM315" s="13" t="str">
        <f>IF(AL315="","",AL315&amp;" - "&amp;IFERROR(VLOOKUP(AL315,CODEBOOK_CAP!$C$2:$D$212,2,FALSE),""))</f>
        <v>0607 - PROMOCAO DA QUALIDADE, ESTRUTURA E AÇÕES</v>
      </c>
      <c r="AN315" s="13" t="str">
        <f>IF(AL315="","",IFERROR(VLOOKUP(AL315,CODEBOOK_CAP!$C$2:$E$212,3,FALSE),""))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315" s="11" t="n">
        <v>1</v>
      </c>
      <c r="AP315" s="11" t="s">
        <v>2037</v>
      </c>
      <c r="AQ315" s="11" t="n">
        <v>1</v>
      </c>
      <c r="AR315" s="11" t="n">
        <v>1</v>
      </c>
      <c r="AS315" s="11" t="s">
        <v>2038</v>
      </c>
      <c r="AT315" s="11" t="n">
        <v>1</v>
      </c>
      <c r="AU315" s="11" t="s">
        <v>503</v>
      </c>
      <c r="AV315" s="11"/>
      <c r="AW315" s="11"/>
      <c r="AX315" s="7" t="s">
        <v>84</v>
      </c>
      <c r="AY315" s="7"/>
      <c r="AZ315" s="7"/>
      <c r="BA315" s="7"/>
    </row>
    <row r="316" ht="85.5" customHeight="1">
      <c r="A316" s="4" t="s">
        <v>2039</v>
      </c>
      <c r="B316" s="4" t="n">
        <v>2022</v>
      </c>
      <c r="C316" s="4" t="n">
        <v>4654</v>
      </c>
      <c r="D316" s="4" t="s">
        <v>54</v>
      </c>
      <c r="E316" s="4" t="s">
        <v>1744</v>
      </c>
      <c r="F316" s="5" t="s">
        <v>2040</v>
      </c>
      <c r="G316" s="4" t="s">
        <v>57</v>
      </c>
      <c r="H316" s="4" t="s">
        <v>1746</v>
      </c>
      <c r="I316" s="4" t="s">
        <v>1214</v>
      </c>
      <c r="J316" s="4" t="s">
        <v>2041</v>
      </c>
      <c r="K316" s="4" t="s">
        <v>1995</v>
      </c>
      <c r="L316" s="5" t="s">
        <v>595</v>
      </c>
      <c r="M316" s="4" t="s">
        <v>596</v>
      </c>
      <c r="N316" s="5" t="s">
        <v>597</v>
      </c>
      <c r="O316" s="4" t="s">
        <v>598</v>
      </c>
      <c r="P316" s="5" t="s">
        <v>669</v>
      </c>
      <c r="Q316" s="4" t="s">
        <v>670</v>
      </c>
      <c r="R316" s="5" t="s">
        <v>671</v>
      </c>
      <c r="S316" s="4" t="s">
        <v>672</v>
      </c>
      <c r="T316" s="5" t="s">
        <v>1996</v>
      </c>
      <c r="U316" s="4" t="s">
        <v>1997</v>
      </c>
      <c r="V316" s="5" t="s">
        <v>706</v>
      </c>
      <c r="W316" s="4" t="s">
        <v>105</v>
      </c>
      <c r="X316" s="4" t="s">
        <v>106</v>
      </c>
      <c r="Y316" s="5"/>
      <c r="Z316" s="4" t="s">
        <v>606</v>
      </c>
      <c r="AA316" s="6" t="n">
        <v>22000</v>
      </c>
      <c r="AB316" s="6" t="n">
        <v>21190</v>
      </c>
      <c r="AC316" s="6" t="n">
        <v>21190</v>
      </c>
      <c r="AD316" s="6" t="n">
        <v>21190</v>
      </c>
      <c r="AE316" s="4" t="s">
        <v>1912</v>
      </c>
      <c r="AF316" s="5" t="s">
        <v>1913</v>
      </c>
      <c r="AG316" s="4" t="s">
        <v>78</v>
      </c>
      <c r="AH316" s="4" t="s">
        <v>79</v>
      </c>
      <c r="AI316" s="5" t="s">
        <v>80</v>
      </c>
      <c r="AJ316" s="1" t="n">
        <v>0</v>
      </c>
      <c r="AK316" s="11" t="n">
        <v>0</v>
      </c>
      <c r="AL316" s="12" t="s">
        <v>609</v>
      </c>
      <c r="AM316" s="13" t="str">
        <f>IF(AL316="","",AL316&amp;" - "&amp;IFERROR(VLOOKUP(AL316,CODEBOOK_CAP!$C$2:$D$212,2,FALSE),""))</f>
        <v>0607 - PROMOCAO DA QUALIDADE, ESTRUTURA E AÇÕES</v>
      </c>
      <c r="AN316" s="13" t="str">
        <f>IF(AL316="","",IFERROR(VLOOKUP(AL316,CODEBOOK_CAP!$C$2:$E$212,3,FALSE),""))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316" s="11" t="n">
        <v>1</v>
      </c>
      <c r="AP316" s="11" t="s">
        <v>2042</v>
      </c>
      <c r="AQ316" s="11" t="n">
        <v>1</v>
      </c>
      <c r="AR316" s="11" t="n">
        <v>1</v>
      </c>
      <c r="AS316" s="11" t="s">
        <v>2043</v>
      </c>
      <c r="AT316" s="11" t="n">
        <v>1</v>
      </c>
      <c r="AU316" s="11" t="s">
        <v>503</v>
      </c>
      <c r="AV316" s="11"/>
      <c r="AW316" s="11"/>
      <c r="AX316" s="7" t="s">
        <v>84</v>
      </c>
      <c r="AY316" s="7"/>
      <c r="AZ316" s="7"/>
      <c r="BA316" s="7"/>
    </row>
    <row r="317" ht="85.5" customHeight="1">
      <c r="A317" s="4" t="s">
        <v>2044</v>
      </c>
      <c r="B317" s="4" t="n">
        <v>2022</v>
      </c>
      <c r="C317" s="4" t="n">
        <v>4655</v>
      </c>
      <c r="D317" s="4" t="s">
        <v>54</v>
      </c>
      <c r="E317" s="4" t="s">
        <v>1744</v>
      </c>
      <c r="F317" s="5" t="s">
        <v>2045</v>
      </c>
      <c r="G317" s="4" t="s">
        <v>57</v>
      </c>
      <c r="H317" s="4" t="s">
        <v>1746</v>
      </c>
      <c r="I317" s="4" t="s">
        <v>1214</v>
      </c>
      <c r="J317" s="4" t="s">
        <v>2046</v>
      </c>
      <c r="K317" s="4" t="s">
        <v>1995</v>
      </c>
      <c r="L317" s="5" t="s">
        <v>595</v>
      </c>
      <c r="M317" s="4" t="s">
        <v>596</v>
      </c>
      <c r="N317" s="5" t="s">
        <v>597</v>
      </c>
      <c r="O317" s="4" t="s">
        <v>598</v>
      </c>
      <c r="P317" s="5" t="s">
        <v>669</v>
      </c>
      <c r="Q317" s="4" t="s">
        <v>670</v>
      </c>
      <c r="R317" s="5" t="s">
        <v>671</v>
      </c>
      <c r="S317" s="4" t="s">
        <v>672</v>
      </c>
      <c r="T317" s="5" t="s">
        <v>1996</v>
      </c>
      <c r="U317" s="4" t="s">
        <v>1997</v>
      </c>
      <c r="V317" s="5" t="s">
        <v>706</v>
      </c>
      <c r="W317" s="4" t="s">
        <v>105</v>
      </c>
      <c r="X317" s="4" t="s">
        <v>106</v>
      </c>
      <c r="Y317" s="5"/>
      <c r="Z317" s="4" t="s">
        <v>606</v>
      </c>
      <c r="AA317" s="6" t="n">
        <v>22000</v>
      </c>
      <c r="AB317" s="6" t="n">
        <v>21190</v>
      </c>
      <c r="AC317" s="6" t="n">
        <v>21190</v>
      </c>
      <c r="AD317" s="6" t="n">
        <v>21190</v>
      </c>
      <c r="AE317" s="4" t="s">
        <v>1912</v>
      </c>
      <c r="AF317" s="5" t="s">
        <v>1913</v>
      </c>
      <c r="AG317" s="4" t="s">
        <v>78</v>
      </c>
      <c r="AH317" s="4" t="s">
        <v>79</v>
      </c>
      <c r="AI317" s="5" t="s">
        <v>80</v>
      </c>
      <c r="AJ317" s="1" t="n">
        <v>0</v>
      </c>
      <c r="AK317" s="11" t="n">
        <v>0</v>
      </c>
      <c r="AL317" s="12" t="s">
        <v>609</v>
      </c>
      <c r="AM317" s="13" t="str">
        <f>IF(AL317="","",AL317&amp;" - "&amp;IFERROR(VLOOKUP(AL317,CODEBOOK_CAP!$C$2:$D$212,2,FALSE),""))</f>
        <v>0607 - PROMOCAO DA QUALIDADE, ESTRUTURA E AÇÕES</v>
      </c>
      <c r="AN317" s="13" t="str">
        <f>IF(AL317="","",IFERROR(VLOOKUP(AL317,CODEBOOK_CAP!$C$2:$E$212,3,FALSE),""))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317" s="11" t="n">
        <v>1</v>
      </c>
      <c r="AP317" s="11" t="s">
        <v>2047</v>
      </c>
      <c r="AQ317" s="11" t="n">
        <v>1</v>
      </c>
      <c r="AR317" s="11" t="n">
        <v>1</v>
      </c>
      <c r="AS317" s="11" t="s">
        <v>2048</v>
      </c>
      <c r="AT317" s="11" t="n">
        <v>1</v>
      </c>
      <c r="AU317" s="11" t="s">
        <v>503</v>
      </c>
      <c r="AV317" s="11"/>
      <c r="AW317" s="11"/>
      <c r="AX317" s="7" t="s">
        <v>84</v>
      </c>
      <c r="AY317" s="7"/>
      <c r="AZ317" s="7"/>
      <c r="BA317" s="7"/>
    </row>
    <row r="318" ht="85.5" customHeight="1">
      <c r="A318" s="4" t="s">
        <v>2049</v>
      </c>
      <c r="B318" s="4" t="n">
        <v>2022</v>
      </c>
      <c r="C318" s="4" t="n">
        <v>4656</v>
      </c>
      <c r="D318" s="4" t="s">
        <v>54</v>
      </c>
      <c r="E318" s="4" t="s">
        <v>1744</v>
      </c>
      <c r="F318" s="5" t="s">
        <v>2050</v>
      </c>
      <c r="G318" s="4" t="s">
        <v>57</v>
      </c>
      <c r="H318" s="4" t="s">
        <v>1746</v>
      </c>
      <c r="I318" s="4" t="s">
        <v>1214</v>
      </c>
      <c r="J318" s="4" t="s">
        <v>2051</v>
      </c>
      <c r="K318" s="4" t="s">
        <v>1995</v>
      </c>
      <c r="L318" s="5" t="s">
        <v>595</v>
      </c>
      <c r="M318" s="4" t="s">
        <v>596</v>
      </c>
      <c r="N318" s="5" t="s">
        <v>597</v>
      </c>
      <c r="O318" s="4" t="s">
        <v>598</v>
      </c>
      <c r="P318" s="5" t="s">
        <v>669</v>
      </c>
      <c r="Q318" s="4" t="s">
        <v>670</v>
      </c>
      <c r="R318" s="5" t="s">
        <v>671</v>
      </c>
      <c r="S318" s="4" t="s">
        <v>672</v>
      </c>
      <c r="T318" s="5" t="s">
        <v>1996</v>
      </c>
      <c r="U318" s="4" t="s">
        <v>1997</v>
      </c>
      <c r="V318" s="5" t="s">
        <v>706</v>
      </c>
      <c r="W318" s="4" t="s">
        <v>105</v>
      </c>
      <c r="X318" s="4" t="s">
        <v>106</v>
      </c>
      <c r="Y318" s="5"/>
      <c r="Z318" s="4" t="s">
        <v>606</v>
      </c>
      <c r="AA318" s="6" t="n">
        <v>22000</v>
      </c>
      <c r="AB318" s="6" t="n">
        <v>21190</v>
      </c>
      <c r="AC318" s="6" t="n">
        <v>21190</v>
      </c>
      <c r="AD318" s="6" t="n">
        <v>21190</v>
      </c>
      <c r="AE318" s="4" t="s">
        <v>1912</v>
      </c>
      <c r="AF318" s="5" t="s">
        <v>1913</v>
      </c>
      <c r="AG318" s="4" t="s">
        <v>78</v>
      </c>
      <c r="AH318" s="4" t="s">
        <v>79</v>
      </c>
      <c r="AI318" s="5" t="s">
        <v>80</v>
      </c>
      <c r="AJ318" s="1" t="n">
        <v>0</v>
      </c>
      <c r="AK318" s="11" t="n">
        <v>0</v>
      </c>
      <c r="AL318" s="12" t="s">
        <v>609</v>
      </c>
      <c r="AM318" s="13" t="str">
        <f>IF(AL318="","",AL318&amp;" - "&amp;IFERROR(VLOOKUP(AL318,CODEBOOK_CAP!$C$2:$D$212,2,FALSE),""))</f>
        <v>0607 - PROMOCAO DA QUALIDADE, ESTRUTURA E AÇÕES</v>
      </c>
      <c r="AN318" s="13" t="str">
        <f>IF(AL318="","",IFERROR(VLOOKUP(AL318,CODEBOOK_CAP!$C$2:$E$212,3,FALSE),""))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318" s="11" t="n">
        <v>1</v>
      </c>
      <c r="AP318" s="11" t="s">
        <v>2052</v>
      </c>
      <c r="AQ318" s="11" t="n">
        <v>1</v>
      </c>
      <c r="AR318" s="11" t="n">
        <v>1</v>
      </c>
      <c r="AS318" s="11" t="s">
        <v>2053</v>
      </c>
      <c r="AT318" s="11" t="n">
        <v>1</v>
      </c>
      <c r="AU318" s="11" t="s">
        <v>503</v>
      </c>
      <c r="AV318" s="11"/>
      <c r="AW318" s="11"/>
      <c r="AX318" s="7" t="s">
        <v>84</v>
      </c>
      <c r="AY318" s="7"/>
      <c r="AZ318" s="7"/>
      <c r="BA318" s="7"/>
    </row>
    <row r="319" ht="85.5" customHeight="1">
      <c r="A319" s="4" t="s">
        <v>2054</v>
      </c>
      <c r="B319" s="4" t="n">
        <v>2022</v>
      </c>
      <c r="C319" s="4" t="n">
        <v>4657</v>
      </c>
      <c r="D319" s="4" t="s">
        <v>54</v>
      </c>
      <c r="E319" s="4" t="s">
        <v>1744</v>
      </c>
      <c r="F319" s="5" t="s">
        <v>2055</v>
      </c>
      <c r="G319" s="4" t="s">
        <v>57</v>
      </c>
      <c r="H319" s="4" t="s">
        <v>1746</v>
      </c>
      <c r="I319" s="4" t="s">
        <v>1214</v>
      </c>
      <c r="J319" s="4" t="s">
        <v>2056</v>
      </c>
      <c r="K319" s="4" t="s">
        <v>1995</v>
      </c>
      <c r="L319" s="5" t="s">
        <v>595</v>
      </c>
      <c r="M319" s="4" t="s">
        <v>596</v>
      </c>
      <c r="N319" s="5" t="s">
        <v>597</v>
      </c>
      <c r="O319" s="4" t="s">
        <v>598</v>
      </c>
      <c r="P319" s="5" t="s">
        <v>669</v>
      </c>
      <c r="Q319" s="4" t="s">
        <v>670</v>
      </c>
      <c r="R319" s="5" t="s">
        <v>671</v>
      </c>
      <c r="S319" s="4" t="s">
        <v>672</v>
      </c>
      <c r="T319" s="5" t="s">
        <v>1996</v>
      </c>
      <c r="U319" s="4" t="s">
        <v>1997</v>
      </c>
      <c r="V319" s="5" t="s">
        <v>706</v>
      </c>
      <c r="W319" s="4" t="s">
        <v>105</v>
      </c>
      <c r="X319" s="4" t="s">
        <v>106</v>
      </c>
      <c r="Y319" s="5"/>
      <c r="Z319" s="4" t="s">
        <v>606</v>
      </c>
      <c r="AA319" s="6" t="n">
        <v>22000</v>
      </c>
      <c r="AB319" s="6" t="n">
        <v>21190</v>
      </c>
      <c r="AC319" s="6" t="n">
        <v>21190</v>
      </c>
      <c r="AD319" s="6" t="n">
        <v>21190</v>
      </c>
      <c r="AE319" s="4" t="s">
        <v>1912</v>
      </c>
      <c r="AF319" s="5" t="s">
        <v>1913</v>
      </c>
      <c r="AG319" s="4" t="s">
        <v>78</v>
      </c>
      <c r="AH319" s="4" t="s">
        <v>79</v>
      </c>
      <c r="AI319" s="5" t="s">
        <v>80</v>
      </c>
      <c r="AJ319" s="1" t="n">
        <v>0</v>
      </c>
      <c r="AK319" s="11" t="n">
        <v>0</v>
      </c>
      <c r="AL319" s="12" t="s">
        <v>609</v>
      </c>
      <c r="AM319" s="13" t="str">
        <f>IF(AL319="","",AL319&amp;" - "&amp;IFERROR(VLOOKUP(AL319,CODEBOOK_CAP!$C$2:$D$212,2,FALSE),""))</f>
        <v>0607 - PROMOCAO DA QUALIDADE, ESTRUTURA E AÇÕES</v>
      </c>
      <c r="AN319" s="13" t="str">
        <f>IF(AL319="","",IFERROR(VLOOKUP(AL319,CODEBOOK_CAP!$C$2:$E$212,3,FALSE),""))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319" s="11" t="n">
        <v>1</v>
      </c>
      <c r="AP319" s="11" t="s">
        <v>2057</v>
      </c>
      <c r="AQ319" s="11" t="n">
        <v>1</v>
      </c>
      <c r="AR319" s="11" t="n">
        <v>1</v>
      </c>
      <c r="AS319" s="11" t="s">
        <v>2058</v>
      </c>
      <c r="AT319" s="11" t="n">
        <v>1</v>
      </c>
      <c r="AU319" s="11" t="s">
        <v>503</v>
      </c>
      <c r="AV319" s="11"/>
      <c r="AW319" s="11"/>
      <c r="AX319" s="7" t="s">
        <v>84</v>
      </c>
      <c r="AY319" s="7"/>
      <c r="AZ319" s="7"/>
      <c r="BA319" s="7"/>
    </row>
    <row r="320" ht="85.5" customHeight="1">
      <c r="A320" s="4" t="s">
        <v>2059</v>
      </c>
      <c r="B320" s="4" t="n">
        <v>2022</v>
      </c>
      <c r="C320" s="4" t="n">
        <v>4658</v>
      </c>
      <c r="D320" s="4" t="s">
        <v>54</v>
      </c>
      <c r="E320" s="4" t="s">
        <v>1744</v>
      </c>
      <c r="F320" s="5" t="s">
        <v>2060</v>
      </c>
      <c r="G320" s="4" t="s">
        <v>57</v>
      </c>
      <c r="H320" s="4" t="s">
        <v>1746</v>
      </c>
      <c r="I320" s="4" t="s">
        <v>1214</v>
      </c>
      <c r="J320" s="4" t="s">
        <v>2061</v>
      </c>
      <c r="K320" s="4" t="s">
        <v>1995</v>
      </c>
      <c r="L320" s="5" t="s">
        <v>595</v>
      </c>
      <c r="M320" s="4" t="s">
        <v>596</v>
      </c>
      <c r="N320" s="5" t="s">
        <v>597</v>
      </c>
      <c r="O320" s="4" t="s">
        <v>598</v>
      </c>
      <c r="P320" s="5" t="s">
        <v>669</v>
      </c>
      <c r="Q320" s="4" t="s">
        <v>670</v>
      </c>
      <c r="R320" s="5" t="s">
        <v>671</v>
      </c>
      <c r="S320" s="4" t="s">
        <v>672</v>
      </c>
      <c r="T320" s="5" t="s">
        <v>1996</v>
      </c>
      <c r="U320" s="4" t="s">
        <v>1997</v>
      </c>
      <c r="V320" s="5" t="s">
        <v>706</v>
      </c>
      <c r="W320" s="4" t="s">
        <v>105</v>
      </c>
      <c r="X320" s="4" t="s">
        <v>106</v>
      </c>
      <c r="Y320" s="5"/>
      <c r="Z320" s="4" t="s">
        <v>606</v>
      </c>
      <c r="AA320" s="6" t="n">
        <v>22000</v>
      </c>
      <c r="AB320" s="6" t="n">
        <v>21190</v>
      </c>
      <c r="AC320" s="6" t="n">
        <v>21190</v>
      </c>
      <c r="AD320" s="6" t="n">
        <v>21190</v>
      </c>
      <c r="AE320" s="4" t="s">
        <v>1912</v>
      </c>
      <c r="AF320" s="5" t="s">
        <v>1913</v>
      </c>
      <c r="AG320" s="4" t="s">
        <v>78</v>
      </c>
      <c r="AH320" s="4" t="s">
        <v>79</v>
      </c>
      <c r="AI320" s="5" t="s">
        <v>80</v>
      </c>
      <c r="AJ320" s="1" t="n">
        <v>0</v>
      </c>
      <c r="AK320" s="11" t="n">
        <v>0</v>
      </c>
      <c r="AL320" s="12" t="s">
        <v>609</v>
      </c>
      <c r="AM320" s="13" t="str">
        <f>IF(AL320="","",AL320&amp;" - "&amp;IFERROR(VLOOKUP(AL320,CODEBOOK_CAP!$C$2:$D$212,2,FALSE),""))</f>
        <v>0607 - PROMOCAO DA QUALIDADE, ESTRUTURA E AÇÕES</v>
      </c>
      <c r="AN320" s="13" t="str">
        <f>IF(AL320="","",IFERROR(VLOOKUP(AL320,CODEBOOK_CAP!$C$2:$E$212,3,FALSE),""))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320" s="11" t="n">
        <v>1</v>
      </c>
      <c r="AP320" s="11" t="s">
        <v>2062</v>
      </c>
      <c r="AQ320" s="11" t="n">
        <v>1</v>
      </c>
      <c r="AR320" s="11" t="n">
        <v>1</v>
      </c>
      <c r="AS320" s="11" t="s">
        <v>2063</v>
      </c>
      <c r="AT320" s="11" t="n">
        <v>1</v>
      </c>
      <c r="AU320" s="11" t="s">
        <v>503</v>
      </c>
      <c r="AV320" s="11"/>
      <c r="AW320" s="11"/>
      <c r="AX320" s="7" t="s">
        <v>84</v>
      </c>
      <c r="AY320" s="7"/>
      <c r="AZ320" s="7"/>
      <c r="BA320" s="7"/>
    </row>
    <row r="321" ht="85.5" customHeight="1">
      <c r="A321" s="4" t="s">
        <v>2064</v>
      </c>
      <c r="B321" s="4" t="n">
        <v>2022</v>
      </c>
      <c r="C321" s="4" t="n">
        <v>4659</v>
      </c>
      <c r="D321" s="4" t="s">
        <v>54</v>
      </c>
      <c r="E321" s="4" t="s">
        <v>1744</v>
      </c>
      <c r="F321" s="5" t="s">
        <v>2065</v>
      </c>
      <c r="G321" s="4" t="s">
        <v>57</v>
      </c>
      <c r="H321" s="4" t="s">
        <v>1746</v>
      </c>
      <c r="I321" s="4" t="s">
        <v>1214</v>
      </c>
      <c r="J321" s="4" t="s">
        <v>2066</v>
      </c>
      <c r="K321" s="4" t="s">
        <v>1995</v>
      </c>
      <c r="L321" s="5" t="s">
        <v>595</v>
      </c>
      <c r="M321" s="4" t="s">
        <v>596</v>
      </c>
      <c r="N321" s="5" t="s">
        <v>597</v>
      </c>
      <c r="O321" s="4" t="s">
        <v>598</v>
      </c>
      <c r="P321" s="5" t="s">
        <v>669</v>
      </c>
      <c r="Q321" s="4" t="s">
        <v>670</v>
      </c>
      <c r="R321" s="5" t="s">
        <v>671</v>
      </c>
      <c r="S321" s="4" t="s">
        <v>672</v>
      </c>
      <c r="T321" s="5" t="s">
        <v>1996</v>
      </c>
      <c r="U321" s="4" t="s">
        <v>1997</v>
      </c>
      <c r="V321" s="5" t="s">
        <v>706</v>
      </c>
      <c r="W321" s="4" t="s">
        <v>105</v>
      </c>
      <c r="X321" s="4" t="s">
        <v>106</v>
      </c>
      <c r="Y321" s="5"/>
      <c r="Z321" s="4" t="s">
        <v>606</v>
      </c>
      <c r="AA321" s="6" t="n">
        <v>22000</v>
      </c>
      <c r="AB321" s="6" t="n">
        <v>0</v>
      </c>
      <c r="AC321" s="6" t="n">
        <v>0</v>
      </c>
      <c r="AD321" s="6" t="n">
        <v>0</v>
      </c>
      <c r="AE321" s="4" t="s">
        <v>1912</v>
      </c>
      <c r="AF321" s="5" t="s">
        <v>1913</v>
      </c>
      <c r="AG321" s="4" t="s">
        <v>115</v>
      </c>
      <c r="AH321" s="4" t="s">
        <v>115</v>
      </c>
      <c r="AI321" s="5" t="s">
        <v>115</v>
      </c>
      <c r="AJ321" s="1" t="n">
        <v>0</v>
      </c>
      <c r="AK321" s="11" t="n">
        <v>0</v>
      </c>
      <c r="AL321" s="12" t="s">
        <v>609</v>
      </c>
      <c r="AM321" s="13" t="str">
        <f>IF(AL321="","",AL321&amp;" - "&amp;IFERROR(VLOOKUP(AL321,CODEBOOK_CAP!$C$2:$D$212,2,FALSE),""))</f>
        <v>0607 - PROMOCAO DA QUALIDADE, ESTRUTURA E AÇÕES</v>
      </c>
      <c r="AN321" s="13" t="str">
        <f>IF(AL321="","",IFERROR(VLOOKUP(AL321,CODEBOOK_CAP!$C$2:$E$212,3,FALSE),""))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321" s="11" t="n">
        <v>1</v>
      </c>
      <c r="AP321" s="11" t="s">
        <v>2067</v>
      </c>
      <c r="AQ321" s="11" t="n">
        <v>1</v>
      </c>
      <c r="AR321" s="11" t="n">
        <v>1</v>
      </c>
      <c r="AS321" s="11" t="s">
        <v>2068</v>
      </c>
      <c r="AT321" s="11" t="n">
        <v>1</v>
      </c>
      <c r="AU321" s="11" t="s">
        <v>503</v>
      </c>
      <c r="AV321" s="11"/>
      <c r="AW321" s="11"/>
      <c r="AX321" s="7" t="s">
        <v>84</v>
      </c>
      <c r="AY321" s="7"/>
      <c r="AZ321" s="7"/>
      <c r="BA321" s="7"/>
    </row>
    <row r="322" ht="85.5" customHeight="1">
      <c r="A322" s="4" t="s">
        <v>2069</v>
      </c>
      <c r="B322" s="4" t="n">
        <v>2022</v>
      </c>
      <c r="C322" s="4" t="n">
        <v>4556</v>
      </c>
      <c r="D322" s="4" t="s">
        <v>54</v>
      </c>
      <c r="E322" s="4" t="s">
        <v>2070</v>
      </c>
      <c r="F322" s="5" t="s">
        <v>2071</v>
      </c>
      <c r="G322" s="4" t="s">
        <v>57</v>
      </c>
      <c r="H322" s="4" t="s">
        <v>2072</v>
      </c>
      <c r="I322" s="4" t="s">
        <v>2073</v>
      </c>
      <c r="J322" s="4" t="s">
        <v>2074</v>
      </c>
      <c r="K322" s="4" t="s">
        <v>343</v>
      </c>
      <c r="L322" s="5" t="s">
        <v>62</v>
      </c>
      <c r="M322" s="4" t="s">
        <v>63</v>
      </c>
      <c r="N322" s="5" t="s">
        <v>64</v>
      </c>
      <c r="O322" s="4" t="s">
        <v>65</v>
      </c>
      <c r="P322" s="5" t="s">
        <v>344</v>
      </c>
      <c r="Q322" s="4" t="s">
        <v>345</v>
      </c>
      <c r="R322" s="5" t="s">
        <v>346</v>
      </c>
      <c r="S322" s="4" t="s">
        <v>347</v>
      </c>
      <c r="T322" s="5" t="s">
        <v>348</v>
      </c>
      <c r="U322" s="4" t="s">
        <v>349</v>
      </c>
      <c r="V322" s="5" t="s">
        <v>350</v>
      </c>
      <c r="W322" s="4" t="s">
        <v>105</v>
      </c>
      <c r="X322" s="4" t="s">
        <v>106</v>
      </c>
      <c r="Y322" s="5"/>
      <c r="Z322" s="4" t="s">
        <v>75</v>
      </c>
      <c r="AA322" s="6" t="n">
        <v>250000</v>
      </c>
      <c r="AB322" s="6" t="n">
        <v>0</v>
      </c>
      <c r="AC322" s="6" t="n">
        <v>0</v>
      </c>
      <c r="AD322" s="6" t="n">
        <v>0</v>
      </c>
      <c r="AE322" s="4" t="s">
        <v>351</v>
      </c>
      <c r="AF322" s="5" t="s">
        <v>352</v>
      </c>
      <c r="AG322" s="4" t="s">
        <v>115</v>
      </c>
      <c r="AH322" s="4" t="s">
        <v>115</v>
      </c>
      <c r="AI322" s="5" t="s">
        <v>115</v>
      </c>
      <c r="AJ322" s="1" t="n">
        <v>1</v>
      </c>
      <c r="AK322" s="11" t="n">
        <v>1</v>
      </c>
      <c r="AL322" s="12" t="s">
        <v>81</v>
      </c>
      <c r="AM322" s="13" t="str">
        <f>IF(AL322="","",AL322&amp;" - "&amp;IFERROR(VLOOKUP(AL322,CODEBOOK_CAP!$C$2:$D$212,2,FALSE),""))</f>
        <v>0322 - ESTRUTURAS, HOSPITAIS, CLÍNICAS</v>
      </c>
      <c r="AN322" s="13" t="str">
        <f>IF(AL322="","",IFERROR(VLOOKUP(AL322,CODEBOOK_CAP!$C$2:$E$212,3,FALSE),""))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322" s="11" t="n">
        <v>0</v>
      </c>
      <c r="AP322" s="11"/>
      <c r="AQ322" s="11" t="n">
        <v>3</v>
      </c>
      <c r="AR322" s="11" t="n">
        <v>1</v>
      </c>
      <c r="AS322" s="11" t="s">
        <v>2075</v>
      </c>
      <c r="AT322" s="11" t="n">
        <v>0</v>
      </c>
      <c r="AU322" s="11"/>
      <c r="AV322" s="11"/>
      <c r="AW322" s="11"/>
      <c r="AX322" s="7" t="s">
        <v>84</v>
      </c>
      <c r="AY322" s="7"/>
      <c r="AZ322" s="7"/>
      <c r="BA322" s="7"/>
    </row>
    <row r="323" ht="85.5" customHeight="1">
      <c r="A323" s="4" t="s">
        <v>2076</v>
      </c>
      <c r="B323" s="4" t="n">
        <v>2022</v>
      </c>
      <c r="C323" s="4" t="n">
        <v>4557</v>
      </c>
      <c r="D323" s="4" t="s">
        <v>54</v>
      </c>
      <c r="E323" s="4" t="s">
        <v>2070</v>
      </c>
      <c r="F323" s="5" t="s">
        <v>2077</v>
      </c>
      <c r="G323" s="4" t="s">
        <v>57</v>
      </c>
      <c r="H323" s="4" t="s">
        <v>2072</v>
      </c>
      <c r="I323" s="4" t="s">
        <v>2073</v>
      </c>
      <c r="J323" s="4" t="s">
        <v>2078</v>
      </c>
      <c r="K323" s="4" t="s">
        <v>357</v>
      </c>
      <c r="L323" s="5" t="s">
        <v>62</v>
      </c>
      <c r="M323" s="4" t="s">
        <v>63</v>
      </c>
      <c r="N323" s="5" t="s">
        <v>64</v>
      </c>
      <c r="O323" s="4" t="s">
        <v>65</v>
      </c>
      <c r="P323" s="5" t="s">
        <v>66</v>
      </c>
      <c r="Q323" s="4" t="s">
        <v>67</v>
      </c>
      <c r="R323" s="5" t="s">
        <v>68</v>
      </c>
      <c r="S323" s="4" t="s">
        <v>69</v>
      </c>
      <c r="T323" s="5" t="s">
        <v>70</v>
      </c>
      <c r="U323" s="4" t="s">
        <v>71</v>
      </c>
      <c r="V323" s="5" t="s">
        <v>72</v>
      </c>
      <c r="W323" s="4" t="s">
        <v>73</v>
      </c>
      <c r="X323" s="4" t="s">
        <v>74</v>
      </c>
      <c r="Y323" s="5"/>
      <c r="Z323" s="4" t="s">
        <v>75</v>
      </c>
      <c r="AA323" s="6" t="n">
        <v>200000</v>
      </c>
      <c r="AB323" s="6" t="n">
        <v>0</v>
      </c>
      <c r="AC323" s="6" t="n">
        <v>0</v>
      </c>
      <c r="AD323" s="6" t="n">
        <v>0</v>
      </c>
      <c r="AE323" s="4"/>
      <c r="AF323" s="5"/>
      <c r="AG323" s="4" t="s">
        <v>78</v>
      </c>
      <c r="AH323" s="4" t="s">
        <v>79</v>
      </c>
      <c r="AI323" s="5" t="s">
        <v>80</v>
      </c>
      <c r="AJ323" s="1" t="n">
        <v>1</v>
      </c>
      <c r="AK323" s="11" t="n">
        <v>1</v>
      </c>
      <c r="AL323" s="12" t="s">
        <v>81</v>
      </c>
      <c r="AM323" s="13" t="str">
        <f>IF(AL323="","",AL323&amp;" - "&amp;IFERROR(VLOOKUP(AL323,CODEBOOK_CAP!$C$2:$D$212,2,FALSE),""))</f>
        <v>0322 - ESTRUTURAS, HOSPITAIS, CLÍNICAS</v>
      </c>
      <c r="AN323" s="13" t="str">
        <f>IF(AL323="","",IFERROR(VLOOKUP(AL323,CODEBOOK_CAP!$C$2:$E$212,3,FALSE),""))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323" s="11" t="n">
        <v>0</v>
      </c>
      <c r="AP323" s="11"/>
      <c r="AQ323" s="11" t="n">
        <v>4</v>
      </c>
      <c r="AR323" s="11" t="n">
        <v>1</v>
      </c>
      <c r="AS323" s="11" t="s">
        <v>2079</v>
      </c>
      <c r="AT323" s="11" t="n">
        <v>0</v>
      </c>
      <c r="AU323" s="11"/>
      <c r="AV323" s="11"/>
      <c r="AW323" s="11"/>
      <c r="AX323" s="7" t="s">
        <v>84</v>
      </c>
      <c r="AY323" s="7"/>
      <c r="AZ323" s="7"/>
      <c r="BA323" s="7"/>
    </row>
    <row r="324" ht="85.5" customHeight="1">
      <c r="A324" s="4" t="s">
        <v>2080</v>
      </c>
      <c r="B324" s="4" t="n">
        <v>2022</v>
      </c>
      <c r="C324" s="4" t="n">
        <v>4558</v>
      </c>
      <c r="D324" s="4" t="s">
        <v>54</v>
      </c>
      <c r="E324" s="4" t="s">
        <v>2070</v>
      </c>
      <c r="F324" s="5" t="s">
        <v>2081</v>
      </c>
      <c r="G324" s="4" t="s">
        <v>289</v>
      </c>
      <c r="H324" s="4" t="s">
        <v>2072</v>
      </c>
      <c r="I324" s="4" t="s">
        <v>2073</v>
      </c>
      <c r="J324" s="4" t="s">
        <v>2082</v>
      </c>
      <c r="K324" s="4" t="s">
        <v>357</v>
      </c>
      <c r="L324" s="5" t="s">
        <v>62</v>
      </c>
      <c r="M324" s="4" t="s">
        <v>63</v>
      </c>
      <c r="N324" s="5" t="s">
        <v>64</v>
      </c>
      <c r="O324" s="4" t="s">
        <v>65</v>
      </c>
      <c r="P324" s="5" t="s">
        <v>66</v>
      </c>
      <c r="Q324" s="4" t="s">
        <v>67</v>
      </c>
      <c r="R324" s="5" t="s">
        <v>68</v>
      </c>
      <c r="S324" s="4" t="s">
        <v>69</v>
      </c>
      <c r="T324" s="5" t="s">
        <v>70</v>
      </c>
      <c r="U324" s="4" t="s">
        <v>71</v>
      </c>
      <c r="V324" s="5" t="s">
        <v>72</v>
      </c>
      <c r="W324" s="4" t="s">
        <v>73</v>
      </c>
      <c r="X324" s="4" t="s">
        <v>74</v>
      </c>
      <c r="Y324" s="5"/>
      <c r="Z324" s="4" t="s">
        <v>75</v>
      </c>
      <c r="AA324" s="6" t="n">
        <v>150000</v>
      </c>
      <c r="AB324" s="6" t="n">
        <v>0</v>
      </c>
      <c r="AC324" s="6" t="n">
        <v>0</v>
      </c>
      <c r="AD324" s="6" t="n">
        <v>0</v>
      </c>
      <c r="AE324" s="4" t="s">
        <v>115</v>
      </c>
      <c r="AF324" s="5" t="s">
        <v>115</v>
      </c>
      <c r="AG324" s="4" t="s">
        <v>115</v>
      </c>
      <c r="AH324" s="4" t="s">
        <v>115</v>
      </c>
      <c r="AI324" s="5" t="s">
        <v>115</v>
      </c>
      <c r="AJ324" s="1" t="n">
        <v>1</v>
      </c>
      <c r="AK324" s="11" t="n">
        <v>1</v>
      </c>
      <c r="AL324" s="12" t="s">
        <v>81</v>
      </c>
      <c r="AM324" s="13" t="str">
        <f>IF(AL324="","",AL324&amp;" - "&amp;IFERROR(VLOOKUP(AL324,CODEBOOK_CAP!$C$2:$D$212,2,FALSE),""))</f>
        <v>0322 - ESTRUTURAS, HOSPITAIS, CLÍNICAS</v>
      </c>
      <c r="AN324" s="13" t="str">
        <f>IF(AL324="","",IFERROR(VLOOKUP(AL324,CODEBOOK_CAP!$C$2:$E$212,3,FALSE),""))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324" s="11" t="n">
        <v>0</v>
      </c>
      <c r="AP324" s="11"/>
      <c r="AQ324" s="11" t="n">
        <v>3</v>
      </c>
      <c r="AR324" s="11" t="n">
        <v>1</v>
      </c>
      <c r="AS324" s="11" t="s">
        <v>2083</v>
      </c>
      <c r="AT324" s="11" t="n">
        <v>0</v>
      </c>
      <c r="AU324" s="11"/>
      <c r="AV324" s="11"/>
      <c r="AW324" s="11"/>
      <c r="AX324" s="7" t="s">
        <v>84</v>
      </c>
      <c r="AY324" s="7"/>
      <c r="AZ324" s="7"/>
      <c r="BA324" s="7"/>
    </row>
    <row r="325" ht="85.5" customHeight="1">
      <c r="A325" s="4" t="s">
        <v>2084</v>
      </c>
      <c r="B325" s="4" t="n">
        <v>2022</v>
      </c>
      <c r="C325" s="4" t="n">
        <v>4616</v>
      </c>
      <c r="D325" s="4" t="s">
        <v>54</v>
      </c>
      <c r="E325" s="4" t="s">
        <v>2070</v>
      </c>
      <c r="F325" s="5" t="s">
        <v>2085</v>
      </c>
      <c r="G325" s="4" t="s">
        <v>57</v>
      </c>
      <c r="H325" s="4" t="s">
        <v>2072</v>
      </c>
      <c r="I325" s="4" t="s">
        <v>2073</v>
      </c>
      <c r="J325" s="4" t="s">
        <v>2086</v>
      </c>
      <c r="K325" s="4" t="s">
        <v>2087</v>
      </c>
      <c r="L325" s="5" t="s">
        <v>2088</v>
      </c>
      <c r="M325" s="4" t="s">
        <v>2089</v>
      </c>
      <c r="N325" s="5" t="s">
        <v>2090</v>
      </c>
      <c r="O325" s="4" t="s">
        <v>2091</v>
      </c>
      <c r="P325" s="5" t="s">
        <v>2092</v>
      </c>
      <c r="Q325" s="4" t="s">
        <v>2093</v>
      </c>
      <c r="R325" s="5" t="s">
        <v>2094</v>
      </c>
      <c r="S325" s="4" t="s">
        <v>2095</v>
      </c>
      <c r="T325" s="5" t="s">
        <v>516</v>
      </c>
      <c r="U325" s="4" t="s">
        <v>517</v>
      </c>
      <c r="V325" s="5" t="s">
        <v>104</v>
      </c>
      <c r="W325" s="4" t="s">
        <v>105</v>
      </c>
      <c r="X325" s="4" t="s">
        <v>106</v>
      </c>
      <c r="Y325" s="5"/>
      <c r="Z325" s="4" t="s">
        <v>2096</v>
      </c>
      <c r="AA325" s="6" t="n">
        <v>490000</v>
      </c>
      <c r="AB325" s="6" t="n">
        <v>487500</v>
      </c>
      <c r="AC325" s="6" t="n">
        <v>487500</v>
      </c>
      <c r="AD325" s="6" t="n">
        <v>487500</v>
      </c>
      <c r="AE325" s="4" t="s">
        <v>2097</v>
      </c>
      <c r="AF325" s="5" t="s">
        <v>2098</v>
      </c>
      <c r="AG325" s="4" t="s">
        <v>78</v>
      </c>
      <c r="AH325" s="4" t="s">
        <v>79</v>
      </c>
      <c r="AI325" s="5" t="s">
        <v>80</v>
      </c>
      <c r="AJ325" s="1" t="n">
        <v>0</v>
      </c>
      <c r="AK325" s="11" t="n">
        <v>0</v>
      </c>
      <c r="AL325" s="12" t="s">
        <v>2099</v>
      </c>
      <c r="AM325" s="13" t="str">
        <f>IF(AL325="","",AL325&amp;" - "&amp;IFERROR(VLOOKUP(AL325,CODEBOOK_CAP!$C$2:$D$212,2,FALSE),""))</f>
        <v>1706 - TELEFONIA E INTERNET</v>
      </c>
      <c r="AN325" s="13" t="str">
        <f>IF(AL325="","",IFERROR(VLOOKUP(AL325,CODEBOOK_CAP!$C$2:$E$212,3,FALSE),""))</f>
        <v>Questões relacionadas ao sistema de comunicação telefonico. Privatizações, estatizações, competição de telefonia móvel e fixa, DDD, DDI, Serviços telefônico, Alocação de empresas nacionais e internacionais na oferta de serviõs de telefonia fixa e móvel. oferta de internet, internet discada, internet radio, internet a cabo, internet fibra,</v>
      </c>
      <c r="AO325" s="11" t="n">
        <v>0</v>
      </c>
      <c r="AP325" s="11"/>
      <c r="AQ325" s="11" t="n">
        <v>0</v>
      </c>
      <c r="AR325" s="11" t="n">
        <v>0</v>
      </c>
      <c r="AS325" s="11"/>
      <c r="AT325" s="11" t="n">
        <v>0</v>
      </c>
      <c r="AU325" s="11"/>
      <c r="AV325" s="11"/>
      <c r="AW325" s="11"/>
      <c r="AX325" s="7" t="s">
        <v>84</v>
      </c>
      <c r="AY325" s="7"/>
      <c r="AZ325" s="7"/>
      <c r="BA325" s="7"/>
    </row>
    <row r="326" ht="85.5" customHeight="1">
      <c r="A326" s="4" t="s">
        <v>2100</v>
      </c>
      <c r="B326" s="4" t="n">
        <v>2022</v>
      </c>
      <c r="C326" s="4" t="n">
        <v>4641</v>
      </c>
      <c r="D326" s="4" t="s">
        <v>54</v>
      </c>
      <c r="E326" s="4" t="s">
        <v>2070</v>
      </c>
      <c r="F326" s="5" t="s">
        <v>2101</v>
      </c>
      <c r="G326" s="4" t="s">
        <v>289</v>
      </c>
      <c r="H326" s="4" t="s">
        <v>2072</v>
      </c>
      <c r="I326" s="4" t="s">
        <v>2073</v>
      </c>
      <c r="J326" s="4" t="s">
        <v>2102</v>
      </c>
      <c r="K326" s="4" t="s">
        <v>115</v>
      </c>
      <c r="L326" s="5"/>
      <c r="M326" s="4"/>
      <c r="N326" s="5"/>
      <c r="O326" s="4"/>
      <c r="P326" s="5"/>
      <c r="Q326" s="4"/>
      <c r="R326" s="5"/>
      <c r="S326" s="4"/>
      <c r="T326" s="5"/>
      <c r="U326" s="4"/>
      <c r="V326" s="5"/>
      <c r="W326" s="4"/>
      <c r="X326" s="4"/>
      <c r="Y326" s="5"/>
      <c r="Z326" s="4" t="s">
        <v>289</v>
      </c>
      <c r="AA326" s="6" t="n">
        <v>100000</v>
      </c>
      <c r="AB326" s="6"/>
      <c r="AC326" s="6"/>
      <c r="AD326" s="6"/>
      <c r="AE326" s="4" t="s">
        <v>115</v>
      </c>
      <c r="AF326" s="5"/>
      <c r="AG326" s="4" t="s">
        <v>78</v>
      </c>
      <c r="AH326" s="4" t="s">
        <v>79</v>
      </c>
      <c r="AI326" s="5" t="s">
        <v>80</v>
      </c>
      <c r="AJ326" s="1" t="n">
        <v>1</v>
      </c>
      <c r="AK326" s="11" t="n">
        <v>1</v>
      </c>
      <c r="AL326" s="12" t="s">
        <v>81</v>
      </c>
      <c r="AM326" s="13" t="str">
        <f>IF(AL326="","",AL326&amp;" - "&amp;IFERROR(VLOOKUP(AL326,CODEBOOK_CAP!$C$2:$D$212,2,FALSE),""))</f>
        <v>0322 - ESTRUTURAS, HOSPITAIS, CLÍNICAS</v>
      </c>
      <c r="AN326" s="13" t="str">
        <f>IF(AL326="","",IFERROR(VLOOKUP(AL326,CODEBOOK_CAP!$C$2:$E$212,3,FALSE),""))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326" s="11" t="n">
        <v>0</v>
      </c>
      <c r="AP326" s="11"/>
      <c r="AQ326" s="11" t="n">
        <v>2</v>
      </c>
      <c r="AR326" s="11" t="n">
        <v>1</v>
      </c>
      <c r="AS326" s="11" t="s">
        <v>2103</v>
      </c>
      <c r="AT326" s="11" t="n">
        <v>0</v>
      </c>
      <c r="AU326" s="11"/>
      <c r="AV326" s="11"/>
      <c r="AW326" s="11"/>
      <c r="AX326" s="7" t="s">
        <v>84</v>
      </c>
      <c r="AY326" s="7"/>
      <c r="AZ326" s="7"/>
      <c r="BA326" s="7"/>
    </row>
    <row r="327" ht="156.75" customHeight="1">
      <c r="A327" s="4" t="s">
        <v>2104</v>
      </c>
      <c r="B327" s="4" t="n">
        <v>2022</v>
      </c>
      <c r="C327" s="4" t="n">
        <v>4680</v>
      </c>
      <c r="D327" s="4" t="s">
        <v>54</v>
      </c>
      <c r="E327" s="4" t="s">
        <v>2070</v>
      </c>
      <c r="F327" s="5" t="s">
        <v>2105</v>
      </c>
      <c r="G327" s="4" t="s">
        <v>57</v>
      </c>
      <c r="H327" s="4" t="s">
        <v>2072</v>
      </c>
      <c r="I327" s="4" t="s">
        <v>2073</v>
      </c>
      <c r="J327" s="4" t="s">
        <v>2106</v>
      </c>
      <c r="K327" s="4" t="s">
        <v>283</v>
      </c>
      <c r="L327" s="5" t="s">
        <v>94</v>
      </c>
      <c r="M327" s="4" t="s">
        <v>95</v>
      </c>
      <c r="N327" s="5" t="s">
        <v>96</v>
      </c>
      <c r="O327" s="4" t="s">
        <v>97</v>
      </c>
      <c r="P327" s="5" t="s">
        <v>98</v>
      </c>
      <c r="Q327" s="4" t="s">
        <v>99</v>
      </c>
      <c r="R327" s="5" t="s">
        <v>100</v>
      </c>
      <c r="S327" s="4" t="s">
        <v>101</v>
      </c>
      <c r="T327" s="5" t="s">
        <v>102</v>
      </c>
      <c r="U327" s="4" t="s">
        <v>103</v>
      </c>
      <c r="V327" s="5" t="s">
        <v>104</v>
      </c>
      <c r="W327" s="4" t="s">
        <v>105</v>
      </c>
      <c r="X327" s="4" t="s">
        <v>106</v>
      </c>
      <c r="Y327" s="5"/>
      <c r="Z327" s="4" t="s">
        <v>107</v>
      </c>
      <c r="AA327" s="6" t="n">
        <v>644000</v>
      </c>
      <c r="AB327" s="6" t="n">
        <v>644000</v>
      </c>
      <c r="AC327" s="6" t="n">
        <v>644000</v>
      </c>
      <c r="AD327" s="6" t="n">
        <v>644000</v>
      </c>
      <c r="AE327" s="4" t="s">
        <v>2107</v>
      </c>
      <c r="AF327" s="5" t="s">
        <v>2108</v>
      </c>
      <c r="AG327" s="4" t="s">
        <v>110</v>
      </c>
      <c r="AH327" s="4" t="s">
        <v>110</v>
      </c>
      <c r="AI327" s="5"/>
      <c r="AJ327" s="1" t="n">
        <v>0</v>
      </c>
      <c r="AK327" s="11" t="n">
        <v>0</v>
      </c>
      <c r="AL327" s="12" t="s">
        <v>111</v>
      </c>
      <c r="AM327" s="13" t="str">
        <f>IF(AL327="","",AL327&amp;" - "&amp;IFERROR(VLOOKUP(AL327,CODEBOOK_CAP!$C$2:$D$212,2,FALSE),""))</f>
        <v>1300 - GERAL</v>
      </c>
      <c r="AN327" s="13" t="str">
        <f>IF(AL327="","",IFERROR(VLOOKUP(AL327,CODEBOOK_CAP!$C$2:$E$212,3,FALSE),""))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327" s="11" t="n">
        <v>0</v>
      </c>
      <c r="AP327" s="11"/>
      <c r="AQ327" s="11" t="n">
        <v>0</v>
      </c>
      <c r="AR327" s="11" t="n">
        <v>0</v>
      </c>
      <c r="AS327" s="11"/>
      <c r="AT327" s="11" t="n">
        <v>0</v>
      </c>
      <c r="AU327" s="11"/>
      <c r="AV327" s="11"/>
      <c r="AW327" s="11"/>
      <c r="AX327" s="7" t="s">
        <v>84</v>
      </c>
      <c r="AY327" s="7"/>
      <c r="AZ327" s="7"/>
      <c r="BA327" s="7"/>
    </row>
    <row r="328" ht="114" customHeight="1">
      <c r="A328" s="4" t="s">
        <v>2109</v>
      </c>
      <c r="B328" s="4" t="n">
        <v>2022</v>
      </c>
      <c r="C328" s="4" t="n">
        <v>4723</v>
      </c>
      <c r="D328" s="4" t="s">
        <v>54</v>
      </c>
      <c r="E328" s="4" t="s">
        <v>2070</v>
      </c>
      <c r="F328" s="5" t="s">
        <v>2110</v>
      </c>
      <c r="G328" s="4" t="s">
        <v>289</v>
      </c>
      <c r="H328" s="4" t="s">
        <v>2072</v>
      </c>
      <c r="I328" s="4" t="s">
        <v>2073</v>
      </c>
      <c r="J328" s="4" t="s">
        <v>2111</v>
      </c>
      <c r="K328" s="4" t="s">
        <v>115</v>
      </c>
      <c r="L328" s="5"/>
      <c r="M328" s="4"/>
      <c r="N328" s="5"/>
      <c r="O328" s="4"/>
      <c r="P328" s="5"/>
      <c r="Q328" s="4"/>
      <c r="R328" s="5"/>
      <c r="S328" s="4"/>
      <c r="T328" s="5"/>
      <c r="U328" s="4"/>
      <c r="V328" s="5"/>
      <c r="W328" s="4"/>
      <c r="X328" s="4"/>
      <c r="Y328" s="5"/>
      <c r="Z328" s="4" t="s">
        <v>289</v>
      </c>
      <c r="AA328" s="6" t="n">
        <v>588000</v>
      </c>
      <c r="AB328" s="6"/>
      <c r="AC328" s="6"/>
      <c r="AD328" s="6"/>
      <c r="AE328" s="4" t="s">
        <v>115</v>
      </c>
      <c r="AF328" s="5"/>
      <c r="AG328" s="4" t="s">
        <v>78</v>
      </c>
      <c r="AH328" s="4" t="s">
        <v>79</v>
      </c>
      <c r="AI328" s="5" t="s">
        <v>80</v>
      </c>
      <c r="AJ328" s="1" t="n">
        <v>1</v>
      </c>
      <c r="AK328" s="11" t="n">
        <v>1</v>
      </c>
      <c r="AL328" s="12" t="s">
        <v>81</v>
      </c>
      <c r="AM328" s="13" t="str">
        <f>IF(AL328="","",AL328&amp;" - "&amp;IFERROR(VLOOKUP(AL328,CODEBOOK_CAP!$C$2:$D$212,2,FALSE),""))</f>
        <v>0322 - ESTRUTURAS, HOSPITAIS, CLÍNICAS</v>
      </c>
      <c r="AN328" s="13" t="str">
        <f>IF(AL328="","",IFERROR(VLOOKUP(AL328,CODEBOOK_CAP!$C$2:$E$212,3,FALSE),""))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328" s="11" t="n">
        <v>0</v>
      </c>
      <c r="AP328" s="11"/>
      <c r="AQ328" s="11" t="n">
        <v>10</v>
      </c>
      <c r="AR328" s="11" t="n">
        <v>1</v>
      </c>
      <c r="AS328" s="11" t="s">
        <v>2112</v>
      </c>
      <c r="AT328" s="11" t="n">
        <v>0</v>
      </c>
      <c r="AU328" s="11"/>
      <c r="AV328" s="11"/>
      <c r="AW328" s="11"/>
      <c r="AX328" s="7" t="s">
        <v>84</v>
      </c>
      <c r="AY328" s="7"/>
      <c r="AZ328" s="7"/>
      <c r="BA328" s="7"/>
    </row>
    <row r="329" ht="85.5" customHeight="1">
      <c r="A329" s="4" t="s">
        <v>2113</v>
      </c>
      <c r="B329" s="4" t="n">
        <v>2022</v>
      </c>
      <c r="C329" s="4" t="n">
        <v>4795</v>
      </c>
      <c r="D329" s="4" t="s">
        <v>54</v>
      </c>
      <c r="E329" s="4" t="s">
        <v>2070</v>
      </c>
      <c r="F329" s="5" t="s">
        <v>2114</v>
      </c>
      <c r="G329" s="4" t="s">
        <v>289</v>
      </c>
      <c r="H329" s="4" t="s">
        <v>2072</v>
      </c>
      <c r="I329" s="4" t="s">
        <v>2073</v>
      </c>
      <c r="J329" s="4" t="s">
        <v>2115</v>
      </c>
      <c r="K329" s="4" t="s">
        <v>115</v>
      </c>
      <c r="L329" s="5"/>
      <c r="M329" s="4"/>
      <c r="N329" s="5"/>
      <c r="O329" s="4"/>
      <c r="P329" s="5"/>
      <c r="Q329" s="4"/>
      <c r="R329" s="5"/>
      <c r="S329" s="4"/>
      <c r="T329" s="5"/>
      <c r="U329" s="4"/>
      <c r="V329" s="5"/>
      <c r="W329" s="4"/>
      <c r="X329" s="4"/>
      <c r="Y329" s="5"/>
      <c r="Z329" s="4" t="s">
        <v>289</v>
      </c>
      <c r="AA329" s="6" t="n">
        <v>100000</v>
      </c>
      <c r="AB329" s="6"/>
      <c r="AC329" s="6"/>
      <c r="AD329" s="6"/>
      <c r="AE329" s="4" t="s">
        <v>115</v>
      </c>
      <c r="AF329" s="5"/>
      <c r="AG329" s="4" t="s">
        <v>78</v>
      </c>
      <c r="AH329" s="4" t="s">
        <v>79</v>
      </c>
      <c r="AI329" s="5" t="s">
        <v>80</v>
      </c>
      <c r="AJ329" s="1" t="n">
        <v>1</v>
      </c>
      <c r="AK329" s="11" t="n">
        <v>1</v>
      </c>
      <c r="AL329" s="12" t="s">
        <v>81</v>
      </c>
      <c r="AM329" s="13" t="str">
        <f>IF(AL329="","",AL329&amp;" - "&amp;IFERROR(VLOOKUP(AL329,CODEBOOK_CAP!$C$2:$D$212,2,FALSE),""))</f>
        <v>0322 - ESTRUTURAS, HOSPITAIS, CLÍNICAS</v>
      </c>
      <c r="AN329" s="13" t="str">
        <f>IF(AL329="","",IFERROR(VLOOKUP(AL329,CODEBOOK_CAP!$C$2:$E$212,3,FALSE),""))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329" s="11" t="n">
        <v>0</v>
      </c>
      <c r="AP329" s="11"/>
      <c r="AQ329" s="11" t="n">
        <v>2</v>
      </c>
      <c r="AR329" s="11" t="n">
        <v>1</v>
      </c>
      <c r="AS329" s="11" t="s">
        <v>2116</v>
      </c>
      <c r="AT329" s="11" t="n">
        <v>0</v>
      </c>
      <c r="AU329" s="11"/>
      <c r="AV329" s="11"/>
      <c r="AW329" s="11"/>
      <c r="AX329" s="7" t="s">
        <v>84</v>
      </c>
      <c r="AY329" s="7"/>
      <c r="AZ329" s="7"/>
      <c r="BA329" s="7"/>
    </row>
    <row r="330" ht="71.25" customHeight="1">
      <c r="A330" s="4" t="s">
        <v>2117</v>
      </c>
      <c r="B330" s="4" t="n">
        <v>2022</v>
      </c>
      <c r="C330" s="4" t="n">
        <v>4342</v>
      </c>
      <c r="D330" s="4" t="s">
        <v>54</v>
      </c>
      <c r="E330" s="4" t="s">
        <v>2118</v>
      </c>
      <c r="F330" s="5" t="s">
        <v>2119</v>
      </c>
      <c r="G330" s="4" t="s">
        <v>57</v>
      </c>
      <c r="H330" s="4" t="s">
        <v>2120</v>
      </c>
      <c r="I330" s="4" t="s">
        <v>2121</v>
      </c>
      <c r="J330" s="4" t="s">
        <v>2122</v>
      </c>
      <c r="K330" s="4" t="s">
        <v>2123</v>
      </c>
      <c r="L330" s="5" t="s">
        <v>1606</v>
      </c>
      <c r="M330" s="4" t="s">
        <v>1607</v>
      </c>
      <c r="N330" s="5" t="s">
        <v>177</v>
      </c>
      <c r="O330" s="4" t="s">
        <v>178</v>
      </c>
      <c r="P330" s="5" t="s">
        <v>179</v>
      </c>
      <c r="Q330" s="4" t="s">
        <v>180</v>
      </c>
      <c r="R330" s="5" t="s">
        <v>2124</v>
      </c>
      <c r="S330" s="4" t="s">
        <v>2125</v>
      </c>
      <c r="T330" s="5" t="s">
        <v>2126</v>
      </c>
      <c r="U330" s="4" t="s">
        <v>2127</v>
      </c>
      <c r="V330" s="5" t="s">
        <v>310</v>
      </c>
      <c r="W330" s="4" t="s">
        <v>73</v>
      </c>
      <c r="X330" s="4" t="s">
        <v>74</v>
      </c>
      <c r="Y330" s="5"/>
      <c r="Z330" s="4" t="s">
        <v>185</v>
      </c>
      <c r="AA330" s="6" t="n">
        <v>30000</v>
      </c>
      <c r="AB330" s="6" t="n">
        <v>34980</v>
      </c>
      <c r="AC330" s="6" t="n">
        <v>34980</v>
      </c>
      <c r="AD330" s="6" t="n">
        <v>34980</v>
      </c>
      <c r="AE330" s="4" t="s">
        <v>2128</v>
      </c>
      <c r="AF330" s="5" t="s">
        <v>2129</v>
      </c>
      <c r="AG330" s="4" t="s">
        <v>78</v>
      </c>
      <c r="AH330" s="4" t="s">
        <v>79</v>
      </c>
      <c r="AI330" s="5" t="s">
        <v>80</v>
      </c>
      <c r="AJ330" s="1" t="n">
        <v>0</v>
      </c>
      <c r="AK330" s="11" t="n">
        <v>0</v>
      </c>
      <c r="AL330" s="12" t="s">
        <v>188</v>
      </c>
      <c r="AM330" s="13" t="str">
        <f>IF(AL330="","",AL330&amp;" - "&amp;IFERROR(VLOOKUP(AL330,CODEBOOK_CAP!$C$2:$D$212,2,FALSE),""))</f>
        <v>2300 - GERAL</v>
      </c>
      <c r="AN330" s="13" t="str">
        <f>IF(AL330="","",IFERROR(VLOOKUP(AL330,CODEBOOK_CAP!$C$2:$E$212,3,FALSE),""))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330" s="11" t="n">
        <v>0</v>
      </c>
      <c r="AP330" s="11"/>
      <c r="AQ330" s="11" t="n">
        <v>1</v>
      </c>
      <c r="AR330" s="11" t="n">
        <v>1</v>
      </c>
      <c r="AS330" s="11" t="s">
        <v>2130</v>
      </c>
      <c r="AT330" s="11" t="n">
        <v>0</v>
      </c>
      <c r="AU330" s="11"/>
      <c r="AV330" s="11"/>
      <c r="AW330" s="11"/>
      <c r="AX330" s="7" t="s">
        <v>84</v>
      </c>
      <c r="AY330" s="7"/>
      <c r="AZ330" s="7"/>
      <c r="BA330" s="7"/>
      <c r="BB330" s="3" t="s">
        <v>6563</v>
      </c>
    </row>
    <row r="331" ht="71.25" customHeight="1">
      <c r="A331" s="4" t="s">
        <v>2131</v>
      </c>
      <c r="B331" s="4" t="n">
        <v>2022</v>
      </c>
      <c r="C331" s="4" t="n">
        <v>4343</v>
      </c>
      <c r="D331" s="4" t="s">
        <v>54</v>
      </c>
      <c r="E331" s="4" t="s">
        <v>2118</v>
      </c>
      <c r="F331" s="5" t="s">
        <v>2132</v>
      </c>
      <c r="G331" s="4" t="s">
        <v>57</v>
      </c>
      <c r="H331" s="4" t="s">
        <v>2120</v>
      </c>
      <c r="I331" s="4" t="s">
        <v>2121</v>
      </c>
      <c r="J331" s="4" t="s">
        <v>2133</v>
      </c>
      <c r="K331" s="4" t="s">
        <v>2134</v>
      </c>
      <c r="L331" s="5" t="s">
        <v>1606</v>
      </c>
      <c r="M331" s="4" t="s">
        <v>1607</v>
      </c>
      <c r="N331" s="5" t="s">
        <v>177</v>
      </c>
      <c r="O331" s="4" t="s">
        <v>178</v>
      </c>
      <c r="P331" s="5" t="s">
        <v>66</v>
      </c>
      <c r="Q331" s="4" t="s">
        <v>67</v>
      </c>
      <c r="R331" s="5" t="s">
        <v>1608</v>
      </c>
      <c r="S331" s="4" t="s">
        <v>1609</v>
      </c>
      <c r="T331" s="5" t="s">
        <v>2135</v>
      </c>
      <c r="U331" s="4" t="s">
        <v>2136</v>
      </c>
      <c r="V331" s="5" t="s">
        <v>310</v>
      </c>
      <c r="W331" s="4" t="s">
        <v>73</v>
      </c>
      <c r="X331" s="4" t="s">
        <v>74</v>
      </c>
      <c r="Y331" s="5"/>
      <c r="Z331" s="4" t="s">
        <v>185</v>
      </c>
      <c r="AA331" s="6" t="n">
        <v>30000</v>
      </c>
      <c r="AB331" s="6" t="n">
        <v>34981</v>
      </c>
      <c r="AC331" s="6" t="n">
        <v>34981</v>
      </c>
      <c r="AD331" s="6" t="n">
        <v>34981</v>
      </c>
      <c r="AE331" s="4" t="s">
        <v>2128</v>
      </c>
      <c r="AF331" s="5" t="s">
        <v>2129</v>
      </c>
      <c r="AG331" s="4" t="s">
        <v>78</v>
      </c>
      <c r="AH331" s="4" t="s">
        <v>79</v>
      </c>
      <c r="AI331" s="5" t="s">
        <v>80</v>
      </c>
      <c r="AJ331" s="1" t="n">
        <v>0</v>
      </c>
      <c r="AK331" s="11" t="n">
        <v>0</v>
      </c>
      <c r="AL331" s="12" t="s">
        <v>188</v>
      </c>
      <c r="AM331" s="13" t="str">
        <f>IF(AL331="","",AL331&amp;" - "&amp;IFERROR(VLOOKUP(AL331,CODEBOOK_CAP!$C$2:$D$212,2,FALSE),""))</f>
        <v>2300 - GERAL</v>
      </c>
      <c r="AN331" s="13" t="str">
        <f>IF(AL331="","",IFERROR(VLOOKUP(AL331,CODEBOOK_CAP!$C$2:$E$212,3,FALSE),""))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331" s="11" t="n">
        <v>0</v>
      </c>
      <c r="AP331" s="11"/>
      <c r="AQ331" s="11" t="n">
        <v>1</v>
      </c>
      <c r="AR331" s="11" t="n">
        <v>1</v>
      </c>
      <c r="AS331" s="11" t="s">
        <v>2137</v>
      </c>
      <c r="AT331" s="11" t="n">
        <v>0</v>
      </c>
      <c r="AU331" s="11"/>
      <c r="AV331" s="11"/>
      <c r="AW331" s="11"/>
      <c r="AX331" s="7" t="s">
        <v>84</v>
      </c>
      <c r="AY331" s="7"/>
      <c r="AZ331" s="7"/>
      <c r="BA331" s="7"/>
      <c r="BB331" s="3" t="s">
        <v>6563</v>
      </c>
    </row>
    <row r="332" ht="71.25" customHeight="1">
      <c r="A332" s="4" t="s">
        <v>2138</v>
      </c>
      <c r="B332" s="4" t="n">
        <v>2022</v>
      </c>
      <c r="C332" s="4" t="n">
        <v>4344</v>
      </c>
      <c r="D332" s="4" t="s">
        <v>54</v>
      </c>
      <c r="E332" s="4" t="s">
        <v>2118</v>
      </c>
      <c r="F332" s="5" t="s">
        <v>2139</v>
      </c>
      <c r="G332" s="4" t="s">
        <v>57</v>
      </c>
      <c r="H332" s="4" t="s">
        <v>2120</v>
      </c>
      <c r="I332" s="4" t="s">
        <v>2121</v>
      </c>
      <c r="J332" s="4" t="s">
        <v>2140</v>
      </c>
      <c r="K332" s="4" t="s">
        <v>2141</v>
      </c>
      <c r="L332" s="5" t="s">
        <v>1606</v>
      </c>
      <c r="M332" s="4" t="s">
        <v>1607</v>
      </c>
      <c r="N332" s="5" t="s">
        <v>177</v>
      </c>
      <c r="O332" s="4" t="s">
        <v>178</v>
      </c>
      <c r="P332" s="5" t="s">
        <v>179</v>
      </c>
      <c r="Q332" s="4" t="s">
        <v>180</v>
      </c>
      <c r="R332" s="5" t="s">
        <v>2124</v>
      </c>
      <c r="S332" s="4" t="s">
        <v>2125</v>
      </c>
      <c r="T332" s="5" t="s">
        <v>2126</v>
      </c>
      <c r="U332" s="4" t="s">
        <v>2127</v>
      </c>
      <c r="V332" s="5" t="s">
        <v>310</v>
      </c>
      <c r="W332" s="4" t="s">
        <v>73</v>
      </c>
      <c r="X332" s="4" t="s">
        <v>74</v>
      </c>
      <c r="Y332" s="5"/>
      <c r="Z332" s="4" t="s">
        <v>185</v>
      </c>
      <c r="AA332" s="6" t="n">
        <v>30000</v>
      </c>
      <c r="AB332" s="6" t="n">
        <v>18325</v>
      </c>
      <c r="AC332" s="6" t="n">
        <v>18325</v>
      </c>
      <c r="AD332" s="6" t="n">
        <v>18325</v>
      </c>
      <c r="AE332" s="4" t="s">
        <v>2142</v>
      </c>
      <c r="AF332" s="5" t="s">
        <v>2143</v>
      </c>
      <c r="AG332" s="4" t="s">
        <v>78</v>
      </c>
      <c r="AH332" s="4" t="s">
        <v>79</v>
      </c>
      <c r="AI332" s="5" t="s">
        <v>80</v>
      </c>
      <c r="AJ332" s="1" t="n">
        <v>0</v>
      </c>
      <c r="AK332" s="11" t="n">
        <v>0</v>
      </c>
      <c r="AL332" s="12" t="s">
        <v>188</v>
      </c>
      <c r="AM332" s="13" t="str">
        <f>IF(AL332="","",AL332&amp;" - "&amp;IFERROR(VLOOKUP(AL332,CODEBOOK_CAP!$C$2:$D$212,2,FALSE),""))</f>
        <v>2300 - GERAL</v>
      </c>
      <c r="AN332" s="13" t="str">
        <f>IF(AL332="","",IFERROR(VLOOKUP(AL332,CODEBOOK_CAP!$C$2:$E$212,3,FALSE),""))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332" s="11" t="n">
        <v>0</v>
      </c>
      <c r="AP332" s="11"/>
      <c r="AQ332" s="11" t="n">
        <v>1</v>
      </c>
      <c r="AR332" s="11" t="n">
        <v>1</v>
      </c>
      <c r="AS332" s="11" t="s">
        <v>2144</v>
      </c>
      <c r="AT332" s="11" t="n">
        <v>0</v>
      </c>
      <c r="AU332" s="11"/>
      <c r="AV332" s="11"/>
      <c r="AW332" s="11"/>
      <c r="AX332" s="7" t="s">
        <v>84</v>
      </c>
      <c r="AY332" s="7"/>
      <c r="AZ332" s="7"/>
      <c r="BA332" s="7"/>
      <c r="BB332" s="3" t="s">
        <v>6563</v>
      </c>
    </row>
    <row r="333" ht="71.25" customHeight="1">
      <c r="A333" s="4" t="s">
        <v>2145</v>
      </c>
      <c r="B333" s="4" t="n">
        <v>2022</v>
      </c>
      <c r="C333" s="4" t="n">
        <v>4345</v>
      </c>
      <c r="D333" s="4" t="s">
        <v>54</v>
      </c>
      <c r="E333" s="4" t="s">
        <v>2118</v>
      </c>
      <c r="F333" s="5" t="s">
        <v>2146</v>
      </c>
      <c r="G333" s="4" t="s">
        <v>57</v>
      </c>
      <c r="H333" s="4" t="s">
        <v>2120</v>
      </c>
      <c r="I333" s="4" t="s">
        <v>2121</v>
      </c>
      <c r="J333" s="4" t="s">
        <v>2147</v>
      </c>
      <c r="K333" s="4" t="s">
        <v>2148</v>
      </c>
      <c r="L333" s="5" t="s">
        <v>1606</v>
      </c>
      <c r="M333" s="4" t="s">
        <v>1607</v>
      </c>
      <c r="N333" s="5" t="s">
        <v>177</v>
      </c>
      <c r="O333" s="4" t="s">
        <v>178</v>
      </c>
      <c r="P333" s="5" t="s">
        <v>179</v>
      </c>
      <c r="Q333" s="4" t="s">
        <v>180</v>
      </c>
      <c r="R333" s="5" t="s">
        <v>2124</v>
      </c>
      <c r="S333" s="4" t="s">
        <v>2125</v>
      </c>
      <c r="T333" s="5" t="s">
        <v>2126</v>
      </c>
      <c r="U333" s="4" t="s">
        <v>2127</v>
      </c>
      <c r="V333" s="5" t="s">
        <v>104</v>
      </c>
      <c r="W333" s="4" t="s">
        <v>105</v>
      </c>
      <c r="X333" s="4" t="s">
        <v>106</v>
      </c>
      <c r="Y333" s="5"/>
      <c r="Z333" s="4" t="s">
        <v>185</v>
      </c>
      <c r="AA333" s="6" t="n">
        <v>21500</v>
      </c>
      <c r="AB333" s="6" t="n">
        <v>21250</v>
      </c>
      <c r="AC333" s="6" t="n">
        <v>21250</v>
      </c>
      <c r="AD333" s="6" t="n">
        <v>21250</v>
      </c>
      <c r="AE333" s="4" t="s">
        <v>2149</v>
      </c>
      <c r="AF333" s="5" t="s">
        <v>2150</v>
      </c>
      <c r="AG333" s="4" t="s">
        <v>78</v>
      </c>
      <c r="AH333" s="4" t="s">
        <v>79</v>
      </c>
      <c r="AI333" s="5" t="s">
        <v>80</v>
      </c>
      <c r="AJ333" s="1" t="n">
        <v>0</v>
      </c>
      <c r="AK333" s="11" t="n">
        <v>0</v>
      </c>
      <c r="AL333" s="12" t="s">
        <v>188</v>
      </c>
      <c r="AM333" s="13" t="str">
        <f>IF(AL333="","",AL333&amp;" - "&amp;IFERROR(VLOOKUP(AL333,CODEBOOK_CAP!$C$2:$D$212,2,FALSE),""))</f>
        <v>2300 - GERAL</v>
      </c>
      <c r="AN333" s="13" t="str">
        <f>IF(AL333="","",IFERROR(VLOOKUP(AL333,CODEBOOK_CAP!$C$2:$E$212,3,FALSE),""))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333" s="11" t="n">
        <v>0</v>
      </c>
      <c r="AP333" s="11"/>
      <c r="AQ333" s="11" t="n">
        <v>1</v>
      </c>
      <c r="AR333" s="11" t="n">
        <v>1</v>
      </c>
      <c r="AS333" s="11" t="s">
        <v>2151</v>
      </c>
      <c r="AT333" s="11" t="n">
        <v>0</v>
      </c>
      <c r="AU333" s="11"/>
      <c r="AV333" s="11"/>
      <c r="AW333" s="11"/>
      <c r="AX333" s="7" t="s">
        <v>84</v>
      </c>
      <c r="AY333" s="7"/>
      <c r="AZ333" s="7"/>
      <c r="BA333" s="7"/>
      <c r="BB333" s="3" t="s">
        <v>6563</v>
      </c>
    </row>
    <row r="334" ht="71.25" customHeight="1">
      <c r="A334" s="4" t="s">
        <v>2152</v>
      </c>
      <c r="B334" s="4" t="n">
        <v>2022</v>
      </c>
      <c r="C334" s="4" t="n">
        <v>4346</v>
      </c>
      <c r="D334" s="4" t="s">
        <v>54</v>
      </c>
      <c r="E334" s="4" t="s">
        <v>2118</v>
      </c>
      <c r="F334" s="5" t="s">
        <v>2153</v>
      </c>
      <c r="G334" s="4" t="s">
        <v>57</v>
      </c>
      <c r="H334" s="4" t="s">
        <v>2120</v>
      </c>
      <c r="I334" s="4" t="s">
        <v>2121</v>
      </c>
      <c r="J334" s="4" t="s">
        <v>2154</v>
      </c>
      <c r="K334" s="4" t="s">
        <v>2155</v>
      </c>
      <c r="L334" s="5" t="s">
        <v>1606</v>
      </c>
      <c r="M334" s="4" t="s">
        <v>1607</v>
      </c>
      <c r="N334" s="5" t="s">
        <v>177</v>
      </c>
      <c r="O334" s="4" t="s">
        <v>178</v>
      </c>
      <c r="P334" s="5" t="s">
        <v>179</v>
      </c>
      <c r="Q334" s="4" t="s">
        <v>180</v>
      </c>
      <c r="R334" s="5" t="s">
        <v>2124</v>
      </c>
      <c r="S334" s="4" t="s">
        <v>2125</v>
      </c>
      <c r="T334" s="5" t="s">
        <v>2126</v>
      </c>
      <c r="U334" s="4" t="s">
        <v>2127</v>
      </c>
      <c r="V334" s="5" t="s">
        <v>104</v>
      </c>
      <c r="W334" s="4" t="s">
        <v>105</v>
      </c>
      <c r="X334" s="4" t="s">
        <v>106</v>
      </c>
      <c r="Y334" s="5"/>
      <c r="Z334" s="4" t="s">
        <v>185</v>
      </c>
      <c r="AA334" s="6" t="n">
        <v>21500</v>
      </c>
      <c r="AB334" s="6" t="n">
        <v>21483</v>
      </c>
      <c r="AC334" s="6" t="n">
        <v>21483</v>
      </c>
      <c r="AD334" s="6" t="n">
        <v>21483</v>
      </c>
      <c r="AE334" s="4" t="s">
        <v>2149</v>
      </c>
      <c r="AF334" s="5" t="s">
        <v>2150</v>
      </c>
      <c r="AG334" s="4" t="s">
        <v>78</v>
      </c>
      <c r="AH334" s="4" t="s">
        <v>79</v>
      </c>
      <c r="AI334" s="5" t="s">
        <v>80</v>
      </c>
      <c r="AJ334" s="1" t="n">
        <v>0</v>
      </c>
      <c r="AK334" s="11" t="n">
        <v>0</v>
      </c>
      <c r="AL334" s="12" t="s">
        <v>188</v>
      </c>
      <c r="AM334" s="13" t="str">
        <f>IF(AL334="","",AL334&amp;" - "&amp;IFERROR(VLOOKUP(AL334,CODEBOOK_CAP!$C$2:$D$212,2,FALSE),""))</f>
        <v>2300 - GERAL</v>
      </c>
      <c r="AN334" s="13" t="str">
        <f>IF(AL334="","",IFERROR(VLOOKUP(AL334,CODEBOOK_CAP!$C$2:$E$212,3,FALSE),""))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334" s="11" t="n">
        <v>0</v>
      </c>
      <c r="AP334" s="11"/>
      <c r="AQ334" s="11" t="n">
        <v>1</v>
      </c>
      <c r="AR334" s="11" t="n">
        <v>1</v>
      </c>
      <c r="AS334" s="11" t="s">
        <v>2156</v>
      </c>
      <c r="AT334" s="11" t="n">
        <v>0</v>
      </c>
      <c r="AU334" s="11"/>
      <c r="AV334" s="11"/>
      <c r="AW334" s="11"/>
      <c r="AX334" s="7" t="s">
        <v>84</v>
      </c>
      <c r="AY334" s="7"/>
      <c r="AZ334" s="7"/>
      <c r="BA334" s="7"/>
      <c r="BB334" s="3" t="s">
        <v>6563</v>
      </c>
    </row>
    <row r="335" ht="71.25" customHeight="1">
      <c r="A335" s="4" t="s">
        <v>2157</v>
      </c>
      <c r="B335" s="4" t="n">
        <v>2022</v>
      </c>
      <c r="C335" s="4" t="n">
        <v>4347</v>
      </c>
      <c r="D335" s="4" t="s">
        <v>54</v>
      </c>
      <c r="E335" s="4" t="s">
        <v>2118</v>
      </c>
      <c r="F335" s="5" t="s">
        <v>2158</v>
      </c>
      <c r="G335" s="4" t="s">
        <v>57</v>
      </c>
      <c r="H335" s="4" t="s">
        <v>2120</v>
      </c>
      <c r="I335" s="4" t="s">
        <v>2121</v>
      </c>
      <c r="J335" s="4" t="s">
        <v>2159</v>
      </c>
      <c r="K335" s="4" t="s">
        <v>2160</v>
      </c>
      <c r="L335" s="5" t="s">
        <v>1606</v>
      </c>
      <c r="M335" s="4" t="s">
        <v>1607</v>
      </c>
      <c r="N335" s="5" t="s">
        <v>177</v>
      </c>
      <c r="O335" s="4" t="s">
        <v>178</v>
      </c>
      <c r="P335" s="5" t="s">
        <v>179</v>
      </c>
      <c r="Q335" s="4" t="s">
        <v>180</v>
      </c>
      <c r="R335" s="5" t="s">
        <v>2124</v>
      </c>
      <c r="S335" s="4" t="s">
        <v>2125</v>
      </c>
      <c r="T335" s="5" t="s">
        <v>2126</v>
      </c>
      <c r="U335" s="4" t="s">
        <v>2127</v>
      </c>
      <c r="V335" s="5" t="s">
        <v>104</v>
      </c>
      <c r="W335" s="4" t="s">
        <v>105</v>
      </c>
      <c r="X335" s="4" t="s">
        <v>106</v>
      </c>
      <c r="Y335" s="5"/>
      <c r="Z335" s="4" t="s">
        <v>185</v>
      </c>
      <c r="AA335" s="6" t="n">
        <v>21500</v>
      </c>
      <c r="AB335" s="6" t="n">
        <v>21467</v>
      </c>
      <c r="AC335" s="6" t="n">
        <v>21467</v>
      </c>
      <c r="AD335" s="6" t="n">
        <v>21467</v>
      </c>
      <c r="AE335" s="4" t="s">
        <v>2149</v>
      </c>
      <c r="AF335" s="5" t="s">
        <v>2150</v>
      </c>
      <c r="AG335" s="4" t="s">
        <v>78</v>
      </c>
      <c r="AH335" s="4" t="s">
        <v>79</v>
      </c>
      <c r="AI335" s="5" t="s">
        <v>80</v>
      </c>
      <c r="AJ335" s="1" t="n">
        <v>0</v>
      </c>
      <c r="AK335" s="11" t="n">
        <v>0</v>
      </c>
      <c r="AL335" s="12" t="s">
        <v>188</v>
      </c>
      <c r="AM335" s="13" t="str">
        <f>IF(AL335="","",AL335&amp;" - "&amp;IFERROR(VLOOKUP(AL335,CODEBOOK_CAP!$C$2:$D$212,2,FALSE),""))</f>
        <v>2300 - GERAL</v>
      </c>
      <c r="AN335" s="13" t="str">
        <f>IF(AL335="","",IFERROR(VLOOKUP(AL335,CODEBOOK_CAP!$C$2:$E$212,3,FALSE),""))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335" s="11" t="n">
        <v>0</v>
      </c>
      <c r="AP335" s="11"/>
      <c r="AQ335" s="11" t="n">
        <v>1</v>
      </c>
      <c r="AR335" s="11" t="n">
        <v>1</v>
      </c>
      <c r="AS335" s="11" t="s">
        <v>2161</v>
      </c>
      <c r="AT335" s="11" t="n">
        <v>0</v>
      </c>
      <c r="AU335" s="11"/>
      <c r="AV335" s="11"/>
      <c r="AW335" s="11"/>
      <c r="AX335" s="7" t="s">
        <v>84</v>
      </c>
      <c r="AY335" s="7"/>
      <c r="AZ335" s="7"/>
      <c r="BA335" s="7"/>
      <c r="BB335" s="3" t="s">
        <v>6563</v>
      </c>
    </row>
    <row r="336" ht="71.25" customHeight="1">
      <c r="A336" s="4" t="s">
        <v>2162</v>
      </c>
      <c r="B336" s="4" t="n">
        <v>2022</v>
      </c>
      <c r="C336" s="4" t="n">
        <v>4348</v>
      </c>
      <c r="D336" s="4" t="s">
        <v>54</v>
      </c>
      <c r="E336" s="4" t="s">
        <v>2118</v>
      </c>
      <c r="F336" s="5" t="s">
        <v>2163</v>
      </c>
      <c r="G336" s="4" t="s">
        <v>57</v>
      </c>
      <c r="H336" s="4" t="s">
        <v>2120</v>
      </c>
      <c r="I336" s="4" t="s">
        <v>2121</v>
      </c>
      <c r="J336" s="4" t="s">
        <v>2164</v>
      </c>
      <c r="K336" s="4" t="s">
        <v>2165</v>
      </c>
      <c r="L336" s="5" t="s">
        <v>1606</v>
      </c>
      <c r="M336" s="4" t="s">
        <v>1607</v>
      </c>
      <c r="N336" s="5" t="s">
        <v>177</v>
      </c>
      <c r="O336" s="4" t="s">
        <v>178</v>
      </c>
      <c r="P336" s="5" t="s">
        <v>179</v>
      </c>
      <c r="Q336" s="4" t="s">
        <v>180</v>
      </c>
      <c r="R336" s="5" t="s">
        <v>2124</v>
      </c>
      <c r="S336" s="4" t="s">
        <v>2125</v>
      </c>
      <c r="T336" s="5" t="s">
        <v>2126</v>
      </c>
      <c r="U336" s="4" t="s">
        <v>2127</v>
      </c>
      <c r="V336" s="5" t="s">
        <v>104</v>
      </c>
      <c r="W336" s="4" t="s">
        <v>105</v>
      </c>
      <c r="X336" s="4" t="s">
        <v>106</v>
      </c>
      <c r="Y336" s="5"/>
      <c r="Z336" s="4" t="s">
        <v>132</v>
      </c>
      <c r="AA336" s="6" t="n">
        <v>21500</v>
      </c>
      <c r="AB336" s="6" t="n">
        <v>21400</v>
      </c>
      <c r="AC336" s="6" t="n">
        <v>21400</v>
      </c>
      <c r="AD336" s="6" t="n">
        <v>21400</v>
      </c>
      <c r="AE336" s="4" t="s">
        <v>2149</v>
      </c>
      <c r="AF336" s="5" t="s">
        <v>2150</v>
      </c>
      <c r="AG336" s="4" t="s">
        <v>78</v>
      </c>
      <c r="AH336" s="4" t="s">
        <v>79</v>
      </c>
      <c r="AI336" s="5" t="s">
        <v>80</v>
      </c>
      <c r="AJ336" s="1" t="n">
        <v>0</v>
      </c>
      <c r="AK336" s="11" t="n">
        <v>0</v>
      </c>
      <c r="AL336" s="12" t="s">
        <v>188</v>
      </c>
      <c r="AM336" s="13" t="str">
        <f>IF(AL336="","",AL336&amp;" - "&amp;IFERROR(VLOOKUP(AL336,CODEBOOK_CAP!$C$2:$D$212,2,FALSE),""))</f>
        <v>2300 - GERAL</v>
      </c>
      <c r="AN336" s="13" t="str">
        <f>IF(AL336="","",IFERROR(VLOOKUP(AL336,CODEBOOK_CAP!$C$2:$E$212,3,FALSE),""))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336" s="11" t="n">
        <v>0</v>
      </c>
      <c r="AP336" s="11"/>
      <c r="AQ336" s="11" t="n">
        <v>1</v>
      </c>
      <c r="AR336" s="11" t="n">
        <v>1</v>
      </c>
      <c r="AS336" s="11" t="s">
        <v>2166</v>
      </c>
      <c r="AT336" s="11" t="n">
        <v>0</v>
      </c>
      <c r="AU336" s="11"/>
      <c r="AV336" s="11"/>
      <c r="AW336" s="11"/>
      <c r="AX336" s="7" t="s">
        <v>84</v>
      </c>
      <c r="AY336" s="7"/>
      <c r="AZ336" s="7"/>
      <c r="BA336" s="7"/>
      <c r="BB336" s="3" t="s">
        <v>6563</v>
      </c>
    </row>
    <row r="337" ht="71.25" customHeight="1">
      <c r="A337" s="4" t="s">
        <v>2167</v>
      </c>
      <c r="B337" s="4" t="n">
        <v>2022</v>
      </c>
      <c r="C337" s="4" t="n">
        <v>4349</v>
      </c>
      <c r="D337" s="4" t="s">
        <v>54</v>
      </c>
      <c r="E337" s="4" t="s">
        <v>2118</v>
      </c>
      <c r="F337" s="5" t="s">
        <v>2168</v>
      </c>
      <c r="G337" s="4" t="s">
        <v>57</v>
      </c>
      <c r="H337" s="4" t="s">
        <v>2120</v>
      </c>
      <c r="I337" s="4" t="s">
        <v>2121</v>
      </c>
      <c r="J337" s="4" t="s">
        <v>2169</v>
      </c>
      <c r="K337" s="4" t="s">
        <v>2170</v>
      </c>
      <c r="L337" s="5" t="s">
        <v>1606</v>
      </c>
      <c r="M337" s="4" t="s">
        <v>1607</v>
      </c>
      <c r="N337" s="5" t="s">
        <v>177</v>
      </c>
      <c r="O337" s="4" t="s">
        <v>178</v>
      </c>
      <c r="P337" s="5" t="s">
        <v>66</v>
      </c>
      <c r="Q337" s="4" t="s">
        <v>67</v>
      </c>
      <c r="R337" s="5" t="s">
        <v>1608</v>
      </c>
      <c r="S337" s="4" t="s">
        <v>1609</v>
      </c>
      <c r="T337" s="5" t="s">
        <v>2135</v>
      </c>
      <c r="U337" s="4" t="s">
        <v>2136</v>
      </c>
      <c r="V337" s="5" t="s">
        <v>104</v>
      </c>
      <c r="W337" s="4" t="s">
        <v>105</v>
      </c>
      <c r="X337" s="4" t="s">
        <v>106</v>
      </c>
      <c r="Y337" s="5"/>
      <c r="Z337" s="4" t="s">
        <v>185</v>
      </c>
      <c r="AA337" s="6" t="n">
        <v>21500</v>
      </c>
      <c r="AB337" s="6" t="n">
        <v>21450</v>
      </c>
      <c r="AC337" s="6" t="n">
        <v>21450</v>
      </c>
      <c r="AD337" s="6" t="n">
        <v>21450</v>
      </c>
      <c r="AE337" s="4" t="s">
        <v>2149</v>
      </c>
      <c r="AF337" s="5" t="s">
        <v>2150</v>
      </c>
      <c r="AG337" s="4" t="s">
        <v>78</v>
      </c>
      <c r="AH337" s="4" t="s">
        <v>79</v>
      </c>
      <c r="AI337" s="5" t="s">
        <v>80</v>
      </c>
      <c r="AJ337" s="1" t="n">
        <v>0</v>
      </c>
      <c r="AK337" s="11" t="n">
        <v>0</v>
      </c>
      <c r="AL337" s="12" t="s">
        <v>188</v>
      </c>
      <c r="AM337" s="13" t="str">
        <f>IF(AL337="","",AL337&amp;" - "&amp;IFERROR(VLOOKUP(AL337,CODEBOOK_CAP!$C$2:$D$212,2,FALSE),""))</f>
        <v>2300 - GERAL</v>
      </c>
      <c r="AN337" s="13" t="str">
        <f>IF(AL337="","",IFERROR(VLOOKUP(AL337,CODEBOOK_CAP!$C$2:$E$212,3,FALSE),""))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337" s="11" t="n">
        <v>0</v>
      </c>
      <c r="AP337" s="11"/>
      <c r="AQ337" s="11" t="n">
        <v>1</v>
      </c>
      <c r="AR337" s="11" t="n">
        <v>1</v>
      </c>
      <c r="AS337" s="11" t="s">
        <v>2171</v>
      </c>
      <c r="AT337" s="11" t="n">
        <v>0</v>
      </c>
      <c r="AU337" s="11"/>
      <c r="AV337" s="11"/>
      <c r="AW337" s="11"/>
      <c r="AX337" s="7" t="s">
        <v>84</v>
      </c>
      <c r="AY337" s="7"/>
      <c r="AZ337" s="7"/>
      <c r="BA337" s="7"/>
      <c r="BB337" s="3" t="s">
        <v>6563</v>
      </c>
    </row>
    <row r="338" ht="128.25" customHeight="1">
      <c r="A338" s="4" t="s">
        <v>2172</v>
      </c>
      <c r="B338" s="4" t="n">
        <v>2022</v>
      </c>
      <c r="C338" s="4" t="n">
        <v>4350</v>
      </c>
      <c r="D338" s="4" t="s">
        <v>54</v>
      </c>
      <c r="E338" s="4" t="s">
        <v>2118</v>
      </c>
      <c r="F338" s="5" t="s">
        <v>2173</v>
      </c>
      <c r="G338" s="4" t="s">
        <v>57</v>
      </c>
      <c r="H338" s="4" t="s">
        <v>2120</v>
      </c>
      <c r="I338" s="4" t="s">
        <v>2121</v>
      </c>
      <c r="J338" s="4" t="s">
        <v>2174</v>
      </c>
      <c r="K338" s="4" t="s">
        <v>2175</v>
      </c>
      <c r="L338" s="5" t="s">
        <v>302</v>
      </c>
      <c r="M338" s="4" t="s">
        <v>303</v>
      </c>
      <c r="N338" s="5" t="s">
        <v>304</v>
      </c>
      <c r="O338" s="4" t="s">
        <v>305</v>
      </c>
      <c r="P338" s="5" t="s">
        <v>702</v>
      </c>
      <c r="Q338" s="4" t="s">
        <v>703</v>
      </c>
      <c r="R338" s="5" t="s">
        <v>306</v>
      </c>
      <c r="S338" s="4" t="s">
        <v>307</v>
      </c>
      <c r="T338" s="5" t="s">
        <v>704</v>
      </c>
      <c r="U338" s="4" t="s">
        <v>705</v>
      </c>
      <c r="V338" s="5" t="s">
        <v>104</v>
      </c>
      <c r="W338" s="4" t="s">
        <v>105</v>
      </c>
      <c r="X338" s="4" t="s">
        <v>106</v>
      </c>
      <c r="Y338" s="5"/>
      <c r="Z338" s="4" t="s">
        <v>311</v>
      </c>
      <c r="AA338" s="6" t="n">
        <v>44000</v>
      </c>
      <c r="AB338" s="6" t="n">
        <v>38692</v>
      </c>
      <c r="AC338" s="6" t="n">
        <v>38692</v>
      </c>
      <c r="AD338" s="6" t="n">
        <v>38692</v>
      </c>
      <c r="AE338" s="4" t="s">
        <v>988</v>
      </c>
      <c r="AF338" s="5" t="s">
        <v>2176</v>
      </c>
      <c r="AG338" s="4" t="s">
        <v>78</v>
      </c>
      <c r="AH338" s="4" t="s">
        <v>79</v>
      </c>
      <c r="AI338" s="5" t="s">
        <v>80</v>
      </c>
      <c r="AJ338" s="1" t="n">
        <v>0</v>
      </c>
      <c r="AK338" s="11" t="n">
        <v>0</v>
      </c>
      <c r="AL338" s="12" t="s">
        <v>2177</v>
      </c>
      <c r="AM338" s="13" t="str">
        <f>IF(AL338="","",AL338&amp;" - "&amp;IFERROR(VLOOKUP(AL338,CODEBOOK_CAP!$C$2:$D$212,2,FALSE),""))</f>
        <v>0201 - DISCRIMINAÇÃO POR QUESTÕES ÉTNICO-RACIAIS</v>
      </c>
      <c r="AN338" s="13" t="str">
        <f>IF(AL338="","",IFERROR(VLOOKUP(AL338,CODEBOOK_CAP!$C$2:$E$212,3,FALSE),""))</f>
        <v>Informações relacionadas exclusivamente a discriminação e questões sobre prevenção e proteção de etnia tais como populações indígenas, questões de raça e cor, discriminações relacionadas a raça e cor, racismo, grupos supremacistas raciais, tratamentos diferenciados, privilégios raciais e étnicos. Questões quaisquer de políticas de saude, de educacao, de terras, de assistencia social sobre populações tradicionais brasileiras usar o 2102. Politicas de cotas, usar o local onde elas sao usadas. Se Politicas de cotas nas universidades usar 601. Se política de cotas para acesso a concursos publicos usar 2004.</v>
      </c>
      <c r="AO338" s="11" t="n">
        <v>0</v>
      </c>
      <c r="AP338" s="11"/>
      <c r="AQ338" s="11" t="n">
        <v>0</v>
      </c>
      <c r="AR338" s="11" t="n">
        <v>0</v>
      </c>
      <c r="AS338" s="11"/>
      <c r="AT338" s="11" t="n">
        <v>1</v>
      </c>
      <c r="AU338" s="11" t="s">
        <v>2178</v>
      </c>
      <c r="AV338" s="11"/>
      <c r="AW338" s="11"/>
      <c r="AX338" s="7" t="s">
        <v>84</v>
      </c>
      <c r="AY338" s="7"/>
      <c r="AZ338" s="7"/>
      <c r="BA338" s="7"/>
    </row>
    <row r="339" ht="85.5" customHeight="1">
      <c r="A339" s="4" t="s">
        <v>2179</v>
      </c>
      <c r="B339" s="4" t="n">
        <v>2022</v>
      </c>
      <c r="C339" s="4" t="n">
        <v>4351</v>
      </c>
      <c r="D339" s="4" t="s">
        <v>54</v>
      </c>
      <c r="E339" s="4" t="s">
        <v>2118</v>
      </c>
      <c r="F339" s="5" t="s">
        <v>2180</v>
      </c>
      <c r="G339" s="4" t="s">
        <v>57</v>
      </c>
      <c r="H339" s="4" t="s">
        <v>2120</v>
      </c>
      <c r="I339" s="4" t="s">
        <v>2121</v>
      </c>
      <c r="J339" s="4" t="s">
        <v>2181</v>
      </c>
      <c r="K339" s="4" t="s">
        <v>2182</v>
      </c>
      <c r="L339" s="5" t="s">
        <v>240</v>
      </c>
      <c r="M339" s="4" t="s">
        <v>241</v>
      </c>
      <c r="N339" s="5" t="s">
        <v>242</v>
      </c>
      <c r="O339" s="4" t="s">
        <v>243</v>
      </c>
      <c r="P339" s="5" t="s">
        <v>244</v>
      </c>
      <c r="Q339" s="4" t="s">
        <v>245</v>
      </c>
      <c r="R339" s="5" t="s">
        <v>246</v>
      </c>
      <c r="S339" s="4" t="s">
        <v>247</v>
      </c>
      <c r="T339" s="5" t="s">
        <v>1011</v>
      </c>
      <c r="U339" s="4" t="s">
        <v>1012</v>
      </c>
      <c r="V339" s="5" t="s">
        <v>2183</v>
      </c>
      <c r="W339" s="4" t="s">
        <v>105</v>
      </c>
      <c r="X339" s="4" t="s">
        <v>106</v>
      </c>
      <c r="Y339" s="5"/>
      <c r="Z339" s="4" t="s">
        <v>107</v>
      </c>
      <c r="AA339" s="6" t="n">
        <v>46000</v>
      </c>
      <c r="AB339" s="6" t="n">
        <v>46000</v>
      </c>
      <c r="AC339" s="6" t="n">
        <v>46000</v>
      </c>
      <c r="AD339" s="6" t="n">
        <v>46000</v>
      </c>
      <c r="AE339" s="4" t="s">
        <v>2184</v>
      </c>
      <c r="AF339" s="5" t="s">
        <v>2185</v>
      </c>
      <c r="AG339" s="4" t="s">
        <v>78</v>
      </c>
      <c r="AH339" s="4" t="s">
        <v>79</v>
      </c>
      <c r="AI339" s="5" t="s">
        <v>80</v>
      </c>
      <c r="AJ339" s="1" t="n">
        <v>0</v>
      </c>
      <c r="AK339" s="11" t="n">
        <v>0</v>
      </c>
      <c r="AL339" s="12" t="s">
        <v>324</v>
      </c>
      <c r="AM339" s="13" t="str">
        <f>IF(AL339="","",AL339&amp;" - "&amp;IFERROR(VLOOKUP(AL339,CODEBOOK_CAP!$C$2:$D$212,2,FALSE),""))</f>
        <v>1208 - VIOLÊNCIA DOMÉSTICA E FAMILIAR</v>
      </c>
      <c r="AN339" s="13" t="str">
        <f>IF(AL339="","",IFERROR(VLOOKUP(AL339,CODEBOOK_CAP!$C$2:$E$212,3,FALSE),""))</f>
        <v>Quaisquer assuntos sobre crimes e violências domésticas e familiar que envolvam idosos, mulheres, violencia contra mulher, programas de protecao a vitima de abuso familiar, estupro pelos familiares, todo tipo de violencia fisica ou moral dentro do ambiente familiar. Divórcio, separação, Direito da Familia, Guarda de crianças. Sempre que for exclusivamente contra a criança, codificar no 1207.</v>
      </c>
      <c r="AO339" s="11" t="n">
        <v>0</v>
      </c>
      <c r="AP339" s="11"/>
      <c r="AQ339" s="11" t="n">
        <v>1</v>
      </c>
      <c r="AR339" s="11" t="n">
        <v>1</v>
      </c>
      <c r="AS339" s="11" t="s">
        <v>2186</v>
      </c>
      <c r="AT339" s="11" t="n">
        <v>1</v>
      </c>
      <c r="AU339" s="11" t="s">
        <v>2187</v>
      </c>
      <c r="AV339" s="11"/>
      <c r="AW339" s="11"/>
      <c r="AX339" s="7" t="s">
        <v>84</v>
      </c>
      <c r="AY339" s="7"/>
      <c r="AZ339" s="7"/>
      <c r="BA339" s="7"/>
    </row>
    <row r="340" ht="114" customHeight="1">
      <c r="A340" s="4" t="s">
        <v>2188</v>
      </c>
      <c r="B340" s="4" t="n">
        <v>2022</v>
      </c>
      <c r="C340" s="4" t="n">
        <v>4352</v>
      </c>
      <c r="D340" s="4" t="s">
        <v>54</v>
      </c>
      <c r="E340" s="4" t="s">
        <v>2118</v>
      </c>
      <c r="F340" s="5" t="s">
        <v>2189</v>
      </c>
      <c r="G340" s="4" t="s">
        <v>57</v>
      </c>
      <c r="H340" s="4" t="s">
        <v>2120</v>
      </c>
      <c r="I340" s="4" t="s">
        <v>2121</v>
      </c>
      <c r="J340" s="4" t="s">
        <v>2190</v>
      </c>
      <c r="K340" s="4" t="s">
        <v>2191</v>
      </c>
      <c r="L340" s="5" t="s">
        <v>62</v>
      </c>
      <c r="M340" s="4" t="s">
        <v>63</v>
      </c>
      <c r="N340" s="5" t="s">
        <v>64</v>
      </c>
      <c r="O340" s="4" t="s">
        <v>65</v>
      </c>
      <c r="P340" s="5" t="s">
        <v>193</v>
      </c>
      <c r="Q340" s="4" t="s">
        <v>194</v>
      </c>
      <c r="R340" s="5" t="s">
        <v>195</v>
      </c>
      <c r="S340" s="4" t="s">
        <v>196</v>
      </c>
      <c r="T340" s="5" t="s">
        <v>197</v>
      </c>
      <c r="U340" s="4" t="s">
        <v>198</v>
      </c>
      <c r="V340" s="5" t="s">
        <v>104</v>
      </c>
      <c r="W340" s="4" t="s">
        <v>105</v>
      </c>
      <c r="X340" s="4" t="s">
        <v>106</v>
      </c>
      <c r="Y340" s="5"/>
      <c r="Z340" s="4" t="s">
        <v>75</v>
      </c>
      <c r="AA340" s="6" t="n">
        <v>200000</v>
      </c>
      <c r="AB340" s="6" t="n">
        <v>200000</v>
      </c>
      <c r="AC340" s="6" t="n">
        <v>200000</v>
      </c>
      <c r="AD340" s="6" t="n">
        <v>200000</v>
      </c>
      <c r="AE340" s="4" t="s">
        <v>526</v>
      </c>
      <c r="AF340" s="5" t="s">
        <v>527</v>
      </c>
      <c r="AG340" s="4" t="s">
        <v>528</v>
      </c>
      <c r="AH340" s="4" t="s">
        <v>529</v>
      </c>
      <c r="AI340" s="5" t="s">
        <v>530</v>
      </c>
      <c r="AJ340" s="1" t="n">
        <v>1</v>
      </c>
      <c r="AK340" s="11" t="n">
        <v>1</v>
      </c>
      <c r="AL340" s="12" t="s">
        <v>452</v>
      </c>
      <c r="AM340" s="13" t="str">
        <f>IF(AL340="","",AL340&amp;" - "&amp;IFERROR(VLOOKUP(AL340,CODEBOOK_CAP!$C$2:$D$212,2,FALSE),""))</f>
        <v>0332 - SAÚDE INFANTIL, GRAVIDEZ E PRÉ-NATAL</v>
      </c>
      <c r="AN340" s="13" t="str">
        <f>IF(AL340="","",IFERROR(VLOOKUP(AL340,CODEBOOK_CAP!$C$2:$E$212,3,FALSE),""))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340" s="11" t="n">
        <v>0</v>
      </c>
      <c r="AP340" s="11"/>
      <c r="AQ340" s="11" t="n">
        <v>1</v>
      </c>
      <c r="AR340" s="11" t="n">
        <v>1</v>
      </c>
      <c r="AS340" s="11" t="s">
        <v>2192</v>
      </c>
      <c r="AT340" s="11" t="n">
        <v>1</v>
      </c>
      <c r="AU340" s="11" t="s">
        <v>1122</v>
      </c>
      <c r="AV340" s="11"/>
      <c r="AW340" s="11"/>
      <c r="AX340" s="7" t="s">
        <v>84</v>
      </c>
      <c r="AY340" s="7"/>
      <c r="AZ340" s="7"/>
      <c r="BA340" s="7"/>
    </row>
    <row r="341" ht="85.5" customHeight="1">
      <c r="A341" s="4" t="s">
        <v>2193</v>
      </c>
      <c r="B341" s="4" t="n">
        <v>2022</v>
      </c>
      <c r="C341" s="4" t="n">
        <v>4353</v>
      </c>
      <c r="D341" s="4" t="s">
        <v>54</v>
      </c>
      <c r="E341" s="4" t="s">
        <v>2118</v>
      </c>
      <c r="F341" s="5" t="s">
        <v>2194</v>
      </c>
      <c r="G341" s="4" t="s">
        <v>57</v>
      </c>
      <c r="H341" s="4" t="s">
        <v>2120</v>
      </c>
      <c r="I341" s="4" t="s">
        <v>2121</v>
      </c>
      <c r="J341" s="4" t="s">
        <v>2195</v>
      </c>
      <c r="K341" s="4" t="s">
        <v>1283</v>
      </c>
      <c r="L341" s="5" t="s">
        <v>62</v>
      </c>
      <c r="M341" s="4" t="s">
        <v>63</v>
      </c>
      <c r="N341" s="5" t="s">
        <v>64</v>
      </c>
      <c r="O341" s="4" t="s">
        <v>65</v>
      </c>
      <c r="P341" s="5" t="s">
        <v>344</v>
      </c>
      <c r="Q341" s="4" t="s">
        <v>345</v>
      </c>
      <c r="R341" s="5" t="s">
        <v>346</v>
      </c>
      <c r="S341" s="4" t="s">
        <v>347</v>
      </c>
      <c r="T341" s="5" t="s">
        <v>555</v>
      </c>
      <c r="U341" s="4" t="s">
        <v>347</v>
      </c>
      <c r="V341" s="5" t="s">
        <v>706</v>
      </c>
      <c r="W341" s="4" t="s">
        <v>105</v>
      </c>
      <c r="X341" s="4" t="s">
        <v>106</v>
      </c>
      <c r="Y341" s="5"/>
      <c r="Z341" s="4" t="s">
        <v>75</v>
      </c>
      <c r="AA341" s="6" t="n">
        <v>90000</v>
      </c>
      <c r="AB341" s="6" t="n">
        <v>89850</v>
      </c>
      <c r="AC341" s="6" t="n">
        <v>89850</v>
      </c>
      <c r="AD341" s="6" t="n">
        <v>89850</v>
      </c>
      <c r="AE341" s="4" t="s">
        <v>2196</v>
      </c>
      <c r="AF341" s="5" t="s">
        <v>2197</v>
      </c>
      <c r="AG341" s="4" t="s">
        <v>78</v>
      </c>
      <c r="AH341" s="4" t="s">
        <v>79</v>
      </c>
      <c r="AI341" s="5" t="s">
        <v>80</v>
      </c>
      <c r="AJ341" s="1" t="n">
        <v>1</v>
      </c>
      <c r="AK341" s="11" t="n">
        <v>1</v>
      </c>
      <c r="AL341" s="12" t="s">
        <v>81</v>
      </c>
      <c r="AM341" s="13" t="str">
        <f>IF(AL341="","",AL341&amp;" - "&amp;IFERROR(VLOOKUP(AL341,CODEBOOK_CAP!$C$2:$D$212,2,FALSE),""))</f>
        <v>0322 - ESTRUTURAS, HOSPITAIS, CLÍNICAS</v>
      </c>
      <c r="AN341" s="13" t="str">
        <f>IF(AL341="","",IFERROR(VLOOKUP(AL341,CODEBOOK_CAP!$C$2:$E$212,3,FALSE),""))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341" s="11" t="n">
        <v>0</v>
      </c>
      <c r="AP341" s="11"/>
      <c r="AQ341" s="11" t="n">
        <v>1</v>
      </c>
      <c r="AR341" s="11" t="n">
        <v>1</v>
      </c>
      <c r="AS341" s="11" t="s">
        <v>2198</v>
      </c>
      <c r="AT341" s="11" t="n">
        <v>0</v>
      </c>
      <c r="AU341" s="11"/>
      <c r="AV341" s="11"/>
      <c r="AW341" s="11"/>
      <c r="AX341" s="7" t="s">
        <v>84</v>
      </c>
      <c r="AY341" s="7"/>
      <c r="AZ341" s="7"/>
      <c r="BA341" s="7"/>
    </row>
    <row r="342" ht="71.25" customHeight="1">
      <c r="A342" s="4" t="s">
        <v>2199</v>
      </c>
      <c r="B342" s="4" t="n">
        <v>2022</v>
      </c>
      <c r="C342" s="4" t="n">
        <v>4354</v>
      </c>
      <c r="D342" s="4" t="s">
        <v>54</v>
      </c>
      <c r="E342" s="4" t="s">
        <v>2118</v>
      </c>
      <c r="F342" s="5" t="s">
        <v>2200</v>
      </c>
      <c r="G342" s="4" t="s">
        <v>57</v>
      </c>
      <c r="H342" s="4" t="s">
        <v>2120</v>
      </c>
      <c r="I342" s="4" t="s">
        <v>2121</v>
      </c>
      <c r="J342" s="4" t="s">
        <v>2201</v>
      </c>
      <c r="K342" s="4" t="s">
        <v>1701</v>
      </c>
      <c r="L342" s="5" t="s">
        <v>62</v>
      </c>
      <c r="M342" s="4" t="s">
        <v>63</v>
      </c>
      <c r="N342" s="5" t="s">
        <v>64</v>
      </c>
      <c r="O342" s="4" t="s">
        <v>65</v>
      </c>
      <c r="P342" s="5" t="s">
        <v>344</v>
      </c>
      <c r="Q342" s="4" t="s">
        <v>345</v>
      </c>
      <c r="R342" s="5" t="s">
        <v>346</v>
      </c>
      <c r="S342" s="4" t="s">
        <v>347</v>
      </c>
      <c r="T342" s="5" t="s">
        <v>555</v>
      </c>
      <c r="U342" s="4" t="s">
        <v>347</v>
      </c>
      <c r="V342" s="5" t="s">
        <v>104</v>
      </c>
      <c r="W342" s="4" t="s">
        <v>105</v>
      </c>
      <c r="X342" s="4" t="s">
        <v>106</v>
      </c>
      <c r="Y342" s="5"/>
      <c r="Z342" s="4" t="s">
        <v>75</v>
      </c>
      <c r="AA342" s="6" t="n">
        <v>47000</v>
      </c>
      <c r="AB342" s="6" t="n">
        <v>47000</v>
      </c>
      <c r="AC342" s="6" t="n">
        <v>47000</v>
      </c>
      <c r="AD342" s="6" t="n">
        <v>47000</v>
      </c>
      <c r="AE342" s="4" t="s">
        <v>829</v>
      </c>
      <c r="AF342" s="5" t="s">
        <v>830</v>
      </c>
      <c r="AG342" s="4" t="s">
        <v>78</v>
      </c>
      <c r="AH342" s="4" t="s">
        <v>79</v>
      </c>
      <c r="AI342" s="5" t="s">
        <v>80</v>
      </c>
      <c r="AJ342" s="1" t="n">
        <v>1</v>
      </c>
      <c r="AK342" s="11" t="n">
        <v>1</v>
      </c>
      <c r="AL342" s="12" t="s">
        <v>201</v>
      </c>
      <c r="AM342" s="13" t="str">
        <f>IF(AL342="","",AL342&amp;" - "&amp;IFERROR(VLOOKUP(AL342,CODEBOOK_CAP!$C$2:$D$212,2,FALSE),""))</f>
        <v>0333 - SAÚDE MENTAL</v>
      </c>
      <c r="AN342" s="13" t="str">
        <f>IF(AL342="","",IFERROR(VLOOKUP(AL342,CODEBOOK_CAP!$C$2:$E$212,3,FALSE),""))</f>
        <v>Serviços de atendimento a saúde mental e psico-social. CAPS, Controle de qualidade mental, esquizofrenia, bipolaridade, transtornos mentais, ansiedade, alucinançao, depressão, suicídio, CVV, atendimento psicológico e psiquiátrico, sanatório, manicomio. Não confundir com dependências de alcool (342) e drogas (343)</v>
      </c>
      <c r="AO342" s="11" t="n">
        <v>0</v>
      </c>
      <c r="AP342" s="11"/>
      <c r="AQ342" s="11" t="n">
        <v>1</v>
      </c>
      <c r="AR342" s="11" t="n">
        <v>1</v>
      </c>
      <c r="AS342" s="11" t="s">
        <v>2202</v>
      </c>
      <c r="AT342" s="11" t="n">
        <v>0</v>
      </c>
      <c r="AU342" s="11"/>
      <c r="AV342" s="11"/>
      <c r="AW342" s="11"/>
      <c r="AX342" s="7" t="s">
        <v>84</v>
      </c>
      <c r="AY342" s="7"/>
      <c r="AZ342" s="7"/>
      <c r="BA342" s="7"/>
    </row>
    <row r="343" ht="85.5" customHeight="1">
      <c r="A343" s="4" t="s">
        <v>2203</v>
      </c>
      <c r="B343" s="4" t="n">
        <v>2022</v>
      </c>
      <c r="C343" s="4" t="n">
        <v>4355</v>
      </c>
      <c r="D343" s="4" t="s">
        <v>54</v>
      </c>
      <c r="E343" s="4" t="s">
        <v>2118</v>
      </c>
      <c r="F343" s="5" t="s">
        <v>179</v>
      </c>
      <c r="G343" s="4" t="s">
        <v>57</v>
      </c>
      <c r="H343" s="4" t="s">
        <v>2120</v>
      </c>
      <c r="I343" s="4" t="s">
        <v>2121</v>
      </c>
      <c r="J343" s="4" t="s">
        <v>2204</v>
      </c>
      <c r="K343" s="4" t="s">
        <v>828</v>
      </c>
      <c r="L343" s="5" t="s">
        <v>62</v>
      </c>
      <c r="M343" s="4" t="s">
        <v>63</v>
      </c>
      <c r="N343" s="5" t="s">
        <v>64</v>
      </c>
      <c r="O343" s="4" t="s">
        <v>65</v>
      </c>
      <c r="P343" s="5" t="s">
        <v>193</v>
      </c>
      <c r="Q343" s="4" t="s">
        <v>194</v>
      </c>
      <c r="R343" s="5" t="s">
        <v>195</v>
      </c>
      <c r="S343" s="4" t="s">
        <v>196</v>
      </c>
      <c r="T343" s="5" t="s">
        <v>197</v>
      </c>
      <c r="U343" s="4" t="s">
        <v>198</v>
      </c>
      <c r="V343" s="5" t="s">
        <v>274</v>
      </c>
      <c r="W343" s="4" t="s">
        <v>105</v>
      </c>
      <c r="X343" s="4" t="s">
        <v>106</v>
      </c>
      <c r="Y343" s="5"/>
      <c r="Z343" s="4" t="s">
        <v>75</v>
      </c>
      <c r="AA343" s="6" t="n">
        <v>70000</v>
      </c>
      <c r="AB343" s="6" t="n">
        <v>70000</v>
      </c>
      <c r="AC343" s="6" t="n">
        <v>70000</v>
      </c>
      <c r="AD343" s="6" t="n">
        <v>70000</v>
      </c>
      <c r="AE343" s="4" t="s">
        <v>2205</v>
      </c>
      <c r="AF343" s="5" t="s">
        <v>2206</v>
      </c>
      <c r="AG343" s="4" t="s">
        <v>78</v>
      </c>
      <c r="AH343" s="4" t="s">
        <v>79</v>
      </c>
      <c r="AI343" s="5" t="s">
        <v>80</v>
      </c>
      <c r="AJ343" s="1" t="n">
        <v>1</v>
      </c>
      <c r="AK343" s="11" t="n">
        <v>1</v>
      </c>
      <c r="AL343" s="12" t="s">
        <v>2207</v>
      </c>
      <c r="AM343" s="13" t="str">
        <f>IF(AL343="","",AL343&amp;" - "&amp;IFERROR(VLOOKUP(AL343,CODEBOOK_CAP!$C$2:$D$212,2,FALSE),""))</f>
        <v>0325 - CARREIRAS PROFISSIONAIS E FORMAÇÃO</v>
      </c>
      <c r="AN343" s="13" t="str">
        <f>IF(AL343="","",IFERROR(VLOOKUP(AL343,CODEBOOK_CAP!$C$2:$E$212,3,FALSE),""))</f>
        <v>Aprovação de cursos de medicina, Conselhos de Medicina, Conselho de Farmácia, Conselhos profissionais das áreas da Saude, CRM, CREFITO, CRF, Ordens de médicos, organizações profissionais, cursos de capacitação, formação profissional em saúde, estágios em medicina, internato em saúde, certificações e licensas para exercício da profissão, tipos de contratos e carreira na saúde, profissão, salário.</v>
      </c>
      <c r="AO343" s="11" t="n">
        <v>0</v>
      </c>
      <c r="AP343" s="11"/>
      <c r="AQ343" s="11" t="n">
        <v>0</v>
      </c>
      <c r="AR343" s="11" t="n">
        <v>0</v>
      </c>
      <c r="AS343" s="11"/>
      <c r="AT343" s="11" t="n">
        <v>1</v>
      </c>
      <c r="AU343" s="11" t="s">
        <v>2208</v>
      </c>
      <c r="AV343" s="11"/>
      <c r="AW343" s="11"/>
      <c r="AX343" s="7" t="s">
        <v>84</v>
      </c>
      <c r="AY343" s="7"/>
      <c r="AZ343" s="7"/>
      <c r="BA343" s="7"/>
    </row>
    <row r="344" ht="128.25" customHeight="1">
      <c r="A344" s="4" t="s">
        <v>2209</v>
      </c>
      <c r="B344" s="4" t="n">
        <v>2022</v>
      </c>
      <c r="C344" s="4" t="n">
        <v>4356</v>
      </c>
      <c r="D344" s="4" t="s">
        <v>54</v>
      </c>
      <c r="E344" s="4" t="s">
        <v>2118</v>
      </c>
      <c r="F344" s="5" t="s">
        <v>2210</v>
      </c>
      <c r="G344" s="4" t="s">
        <v>57</v>
      </c>
      <c r="H344" s="4" t="s">
        <v>2120</v>
      </c>
      <c r="I344" s="4" t="s">
        <v>2121</v>
      </c>
      <c r="J344" s="4" t="s">
        <v>2211</v>
      </c>
      <c r="K344" s="4" t="s">
        <v>192</v>
      </c>
      <c r="L344" s="5" t="s">
        <v>62</v>
      </c>
      <c r="M344" s="4" t="s">
        <v>63</v>
      </c>
      <c r="N344" s="5" t="s">
        <v>64</v>
      </c>
      <c r="O344" s="4" t="s">
        <v>65</v>
      </c>
      <c r="P344" s="5" t="s">
        <v>193</v>
      </c>
      <c r="Q344" s="4" t="s">
        <v>194</v>
      </c>
      <c r="R344" s="5" t="s">
        <v>195</v>
      </c>
      <c r="S344" s="4" t="s">
        <v>196</v>
      </c>
      <c r="T344" s="5" t="s">
        <v>197</v>
      </c>
      <c r="U344" s="4" t="s">
        <v>198</v>
      </c>
      <c r="V344" s="5" t="s">
        <v>104</v>
      </c>
      <c r="W344" s="4" t="s">
        <v>105</v>
      </c>
      <c r="X344" s="4" t="s">
        <v>106</v>
      </c>
      <c r="Y344" s="5"/>
      <c r="Z344" s="4" t="s">
        <v>75</v>
      </c>
      <c r="AA344" s="6" t="n">
        <v>80000</v>
      </c>
      <c r="AB344" s="6" t="n">
        <v>80000</v>
      </c>
      <c r="AC344" s="6" t="n">
        <v>80000</v>
      </c>
      <c r="AD344" s="6" t="n">
        <v>80000</v>
      </c>
      <c r="AE344" s="4" t="s">
        <v>743</v>
      </c>
      <c r="AF344" s="5" t="s">
        <v>2212</v>
      </c>
      <c r="AG344" s="4" t="s">
        <v>78</v>
      </c>
      <c r="AH344" s="4" t="s">
        <v>79</v>
      </c>
      <c r="AI344" s="5" t="s">
        <v>80</v>
      </c>
      <c r="AJ344" s="1" t="n">
        <v>1</v>
      </c>
      <c r="AK344" s="11" t="n">
        <v>1</v>
      </c>
      <c r="AL344" s="12" t="s">
        <v>831</v>
      </c>
      <c r="AM344" s="13" t="str">
        <f>IF(AL344="","",AL344&amp;" - "&amp;IFERROR(VLOOKUP(AL344,CODEBOOK_CAP!$C$2:$D$212,2,FALSE),""))</f>
        <v>0342 - ALCOOLISMO e TOXICODEPENDÊNCIA</v>
      </c>
      <c r="AN344" s="13" t="str">
        <f>IF(AL344="","",IFERROR(VLOOKUP(AL344,CODEBOOK_CAP!$C$2:$E$212,3,FALSE),""))</f>
        <v>Regulação da publicidade e propaganda de bebidas alcoolicas, rotulos, venda e comercialização, LEI SECA, campanhas de prevenção específicas sobre alcoolismo, centros de recuperação, tratamentos aprovados, doenças relacionadas ao consumo excessivo e a dependencia de beidas alcoolicas. Programas de prevenção específicas contra drogas ilegais, centros especializados, políticas de proteção e de recuperação de usuários, Cracolândia, sempre relaciobadas com a saúde e drogas. Cocaína, Crack, maconha, LSD. Não confundir com tráfico (1203) ou regulamentação da legalidade de drogas (321)</v>
      </c>
      <c r="AO344" s="11" t="n">
        <v>0</v>
      </c>
      <c r="AP344" s="11"/>
      <c r="AQ344" s="11" t="n">
        <v>1</v>
      </c>
      <c r="AR344" s="11" t="n">
        <v>1</v>
      </c>
      <c r="AS344" s="11" t="s">
        <v>2213</v>
      </c>
      <c r="AT344" s="11" t="n">
        <v>1</v>
      </c>
      <c r="AU344" s="11" t="s">
        <v>834</v>
      </c>
      <c r="AV344" s="11"/>
      <c r="AW344" s="11"/>
      <c r="AX344" s="7" t="s">
        <v>84</v>
      </c>
      <c r="AY344" s="7"/>
      <c r="AZ344" s="7"/>
      <c r="BA344" s="7"/>
    </row>
    <row r="345" ht="85.5" customHeight="1">
      <c r="A345" s="4" t="s">
        <v>2214</v>
      </c>
      <c r="B345" s="4" t="n">
        <v>2022</v>
      </c>
      <c r="C345" s="4" t="n">
        <v>4357</v>
      </c>
      <c r="D345" s="4" t="s">
        <v>54</v>
      </c>
      <c r="E345" s="4" t="s">
        <v>2118</v>
      </c>
      <c r="F345" s="5" t="s">
        <v>2215</v>
      </c>
      <c r="G345" s="4" t="s">
        <v>57</v>
      </c>
      <c r="H345" s="4" t="s">
        <v>2120</v>
      </c>
      <c r="I345" s="4" t="s">
        <v>2121</v>
      </c>
      <c r="J345" s="4" t="s">
        <v>2216</v>
      </c>
      <c r="K345" s="4" t="s">
        <v>428</v>
      </c>
      <c r="L345" s="5" t="s">
        <v>62</v>
      </c>
      <c r="M345" s="4" t="s">
        <v>63</v>
      </c>
      <c r="N345" s="5" t="s">
        <v>64</v>
      </c>
      <c r="O345" s="4" t="s">
        <v>65</v>
      </c>
      <c r="P345" s="5" t="s">
        <v>193</v>
      </c>
      <c r="Q345" s="4" t="s">
        <v>194</v>
      </c>
      <c r="R345" s="5" t="s">
        <v>195</v>
      </c>
      <c r="S345" s="4" t="s">
        <v>196</v>
      </c>
      <c r="T345" s="5" t="s">
        <v>429</v>
      </c>
      <c r="U345" s="4" t="s">
        <v>430</v>
      </c>
      <c r="V345" s="5" t="s">
        <v>104</v>
      </c>
      <c r="W345" s="4" t="s">
        <v>105</v>
      </c>
      <c r="X345" s="4" t="s">
        <v>106</v>
      </c>
      <c r="Y345" s="5"/>
      <c r="Z345" s="4" t="s">
        <v>75</v>
      </c>
      <c r="AA345" s="6" t="n">
        <v>200000</v>
      </c>
      <c r="AB345" s="6" t="n">
        <v>200000</v>
      </c>
      <c r="AC345" s="6" t="n">
        <v>200000</v>
      </c>
      <c r="AD345" s="6" t="n">
        <v>200000</v>
      </c>
      <c r="AE345" s="4" t="s">
        <v>526</v>
      </c>
      <c r="AF345" s="5" t="s">
        <v>527</v>
      </c>
      <c r="AG345" s="4" t="s">
        <v>528</v>
      </c>
      <c r="AH345" s="4" t="s">
        <v>529</v>
      </c>
      <c r="AI345" s="5" t="s">
        <v>530</v>
      </c>
      <c r="AJ345" s="1" t="n">
        <v>1</v>
      </c>
      <c r="AK345" s="11" t="n">
        <v>1</v>
      </c>
      <c r="AL345" s="12" t="s">
        <v>81</v>
      </c>
      <c r="AM345" s="13" t="str">
        <f>IF(AL345="","",AL345&amp;" - "&amp;IFERROR(VLOOKUP(AL345,CODEBOOK_CAP!$C$2:$D$212,2,FALSE),""))</f>
        <v>0322 - ESTRUTURAS, HOSPITAIS, CLÍNICAS</v>
      </c>
      <c r="AN345" s="13" t="str">
        <f>IF(AL345="","",IFERROR(VLOOKUP(AL345,CODEBOOK_CAP!$C$2:$E$212,3,FALSE),""))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345" s="11" t="n">
        <v>0</v>
      </c>
      <c r="AP345" s="11"/>
      <c r="AQ345" s="11" t="n">
        <v>1</v>
      </c>
      <c r="AR345" s="11" t="n">
        <v>1</v>
      </c>
      <c r="AS345" s="11" t="s">
        <v>2217</v>
      </c>
      <c r="AT345" s="11" t="n">
        <v>0</v>
      </c>
      <c r="AU345" s="11"/>
      <c r="AV345" s="11"/>
      <c r="AW345" s="11"/>
      <c r="AX345" s="7" t="s">
        <v>84</v>
      </c>
      <c r="AY345" s="7"/>
      <c r="AZ345" s="7"/>
      <c r="BA345" s="7"/>
    </row>
    <row r="346" ht="85.5" customHeight="1">
      <c r="A346" s="4" t="s">
        <v>2218</v>
      </c>
      <c r="B346" s="4" t="n">
        <v>2022</v>
      </c>
      <c r="C346" s="4" t="n">
        <v>4358</v>
      </c>
      <c r="D346" s="4" t="s">
        <v>54</v>
      </c>
      <c r="E346" s="4" t="s">
        <v>2118</v>
      </c>
      <c r="F346" s="5" t="s">
        <v>2219</v>
      </c>
      <c r="G346" s="4" t="s">
        <v>57</v>
      </c>
      <c r="H346" s="4" t="s">
        <v>2120</v>
      </c>
      <c r="I346" s="4" t="s">
        <v>2121</v>
      </c>
      <c r="J346" s="4" t="s">
        <v>2220</v>
      </c>
      <c r="K346" s="4" t="s">
        <v>549</v>
      </c>
      <c r="L346" s="5" t="s">
        <v>62</v>
      </c>
      <c r="M346" s="4" t="s">
        <v>63</v>
      </c>
      <c r="N346" s="5" t="s">
        <v>64</v>
      </c>
      <c r="O346" s="4" t="s">
        <v>65</v>
      </c>
      <c r="P346" s="5" t="s">
        <v>193</v>
      </c>
      <c r="Q346" s="4" t="s">
        <v>194</v>
      </c>
      <c r="R346" s="5" t="s">
        <v>195</v>
      </c>
      <c r="S346" s="4" t="s">
        <v>196</v>
      </c>
      <c r="T346" s="5" t="s">
        <v>429</v>
      </c>
      <c r="U346" s="4" t="s">
        <v>430</v>
      </c>
      <c r="V346" s="5" t="s">
        <v>104</v>
      </c>
      <c r="W346" s="4" t="s">
        <v>105</v>
      </c>
      <c r="X346" s="4" t="s">
        <v>106</v>
      </c>
      <c r="Y346" s="5"/>
      <c r="Z346" s="4" t="s">
        <v>75</v>
      </c>
      <c r="AA346" s="6" t="n">
        <v>150000</v>
      </c>
      <c r="AB346" s="6" t="n">
        <v>150000</v>
      </c>
      <c r="AC346" s="6" t="n">
        <v>150000</v>
      </c>
      <c r="AD346" s="6" t="n">
        <v>150000</v>
      </c>
      <c r="AE346" s="4" t="s">
        <v>431</v>
      </c>
      <c r="AF346" s="5" t="s">
        <v>432</v>
      </c>
      <c r="AG346" s="4" t="s">
        <v>433</v>
      </c>
      <c r="AH346" s="4" t="s">
        <v>433</v>
      </c>
      <c r="AI346" s="5"/>
      <c r="AJ346" s="1" t="n">
        <v>1</v>
      </c>
      <c r="AK346" s="11" t="n">
        <v>1</v>
      </c>
      <c r="AL346" s="12" t="s">
        <v>81</v>
      </c>
      <c r="AM346" s="13" t="str">
        <f>IF(AL346="","",AL346&amp;" - "&amp;IFERROR(VLOOKUP(AL346,CODEBOOK_CAP!$C$2:$D$212,2,FALSE),""))</f>
        <v>0322 - ESTRUTURAS, HOSPITAIS, CLÍNICAS</v>
      </c>
      <c r="AN346" s="13" t="str">
        <f>IF(AL346="","",IFERROR(VLOOKUP(AL346,CODEBOOK_CAP!$C$2:$E$212,3,FALSE),""))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346" s="11" t="n">
        <v>0</v>
      </c>
      <c r="AP346" s="11"/>
      <c r="AQ346" s="11" t="n">
        <v>1</v>
      </c>
      <c r="AR346" s="11" t="n">
        <v>1</v>
      </c>
      <c r="AS346" s="11" t="s">
        <v>2221</v>
      </c>
      <c r="AT346" s="11" t="n">
        <v>0</v>
      </c>
      <c r="AU346" s="11"/>
      <c r="AV346" s="11"/>
      <c r="AW346" s="11"/>
      <c r="AX346" s="7" t="s">
        <v>84</v>
      </c>
      <c r="AY346" s="7"/>
      <c r="AZ346" s="7"/>
      <c r="BA346" s="7"/>
    </row>
    <row r="347" ht="85.5" customHeight="1">
      <c r="A347" s="4" t="s">
        <v>2222</v>
      </c>
      <c r="B347" s="4" t="n">
        <v>2022</v>
      </c>
      <c r="C347" s="4" t="n">
        <v>4359</v>
      </c>
      <c r="D347" s="4" t="s">
        <v>54</v>
      </c>
      <c r="E347" s="4" t="s">
        <v>2118</v>
      </c>
      <c r="F347" s="5" t="s">
        <v>2223</v>
      </c>
      <c r="G347" s="4" t="s">
        <v>57</v>
      </c>
      <c r="H347" s="4" t="s">
        <v>2120</v>
      </c>
      <c r="I347" s="4" t="s">
        <v>2121</v>
      </c>
      <c r="J347" s="4" t="s">
        <v>2224</v>
      </c>
      <c r="K347" s="4" t="s">
        <v>549</v>
      </c>
      <c r="L347" s="5" t="s">
        <v>62</v>
      </c>
      <c r="M347" s="4" t="s">
        <v>63</v>
      </c>
      <c r="N347" s="5" t="s">
        <v>64</v>
      </c>
      <c r="O347" s="4" t="s">
        <v>65</v>
      </c>
      <c r="P347" s="5" t="s">
        <v>193</v>
      </c>
      <c r="Q347" s="4" t="s">
        <v>194</v>
      </c>
      <c r="R347" s="5" t="s">
        <v>195</v>
      </c>
      <c r="S347" s="4" t="s">
        <v>196</v>
      </c>
      <c r="T347" s="5" t="s">
        <v>429</v>
      </c>
      <c r="U347" s="4" t="s">
        <v>430</v>
      </c>
      <c r="V347" s="5" t="s">
        <v>104</v>
      </c>
      <c r="W347" s="4" t="s">
        <v>105</v>
      </c>
      <c r="X347" s="4" t="s">
        <v>106</v>
      </c>
      <c r="Y347" s="5"/>
      <c r="Z347" s="4" t="s">
        <v>75</v>
      </c>
      <c r="AA347" s="6" t="n">
        <v>150000</v>
      </c>
      <c r="AB347" s="6" t="n">
        <v>150000</v>
      </c>
      <c r="AC347" s="6" t="n">
        <v>150000</v>
      </c>
      <c r="AD347" s="6" t="n">
        <v>150000</v>
      </c>
      <c r="AE347" s="4" t="s">
        <v>438</v>
      </c>
      <c r="AF347" s="5" t="s">
        <v>439</v>
      </c>
      <c r="AG347" s="4" t="s">
        <v>433</v>
      </c>
      <c r="AH347" s="4" t="s">
        <v>433</v>
      </c>
      <c r="AI347" s="5"/>
      <c r="AJ347" s="1" t="n">
        <v>1</v>
      </c>
      <c r="AK347" s="11" t="n">
        <v>1</v>
      </c>
      <c r="AL347" s="12" t="s">
        <v>81</v>
      </c>
      <c r="AM347" s="13" t="str">
        <f>IF(AL347="","",AL347&amp;" - "&amp;IFERROR(VLOOKUP(AL347,CODEBOOK_CAP!$C$2:$D$212,2,FALSE),""))</f>
        <v>0322 - ESTRUTURAS, HOSPITAIS, CLÍNICAS</v>
      </c>
      <c r="AN347" s="13" t="str">
        <f>IF(AL347="","",IFERROR(VLOOKUP(AL347,CODEBOOK_CAP!$C$2:$E$212,3,FALSE),""))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347" s="11" t="n">
        <v>0</v>
      </c>
      <c r="AP347" s="11"/>
      <c r="AQ347" s="11" t="n">
        <v>1</v>
      </c>
      <c r="AR347" s="11" t="n">
        <v>1</v>
      </c>
      <c r="AS347" s="11" t="s">
        <v>2225</v>
      </c>
      <c r="AT347" s="11" t="n">
        <v>0</v>
      </c>
      <c r="AU347" s="11"/>
      <c r="AV347" s="11"/>
      <c r="AW347" s="11"/>
      <c r="AX347" s="7" t="s">
        <v>84</v>
      </c>
      <c r="AY347" s="7"/>
      <c r="AZ347" s="7"/>
      <c r="BA347" s="7"/>
    </row>
    <row r="348" ht="114" customHeight="1">
      <c r="A348" s="4" t="s">
        <v>2226</v>
      </c>
      <c r="B348" s="4" t="n">
        <v>2022</v>
      </c>
      <c r="C348" s="4" t="n">
        <v>4360</v>
      </c>
      <c r="D348" s="4" t="s">
        <v>54</v>
      </c>
      <c r="E348" s="4" t="s">
        <v>2118</v>
      </c>
      <c r="F348" s="5" t="s">
        <v>2227</v>
      </c>
      <c r="G348" s="4" t="s">
        <v>57</v>
      </c>
      <c r="H348" s="4" t="s">
        <v>2120</v>
      </c>
      <c r="I348" s="4" t="s">
        <v>2121</v>
      </c>
      <c r="J348" s="4" t="s">
        <v>2228</v>
      </c>
      <c r="K348" s="4" t="s">
        <v>549</v>
      </c>
      <c r="L348" s="5" t="s">
        <v>62</v>
      </c>
      <c r="M348" s="4" t="s">
        <v>63</v>
      </c>
      <c r="N348" s="5" t="s">
        <v>64</v>
      </c>
      <c r="O348" s="4" t="s">
        <v>65</v>
      </c>
      <c r="P348" s="5" t="s">
        <v>193</v>
      </c>
      <c r="Q348" s="4" t="s">
        <v>194</v>
      </c>
      <c r="R348" s="5" t="s">
        <v>195</v>
      </c>
      <c r="S348" s="4" t="s">
        <v>196</v>
      </c>
      <c r="T348" s="5" t="s">
        <v>429</v>
      </c>
      <c r="U348" s="4" t="s">
        <v>430</v>
      </c>
      <c r="V348" s="5" t="s">
        <v>104</v>
      </c>
      <c r="W348" s="4" t="s">
        <v>105</v>
      </c>
      <c r="X348" s="4" t="s">
        <v>106</v>
      </c>
      <c r="Y348" s="5"/>
      <c r="Z348" s="4" t="s">
        <v>75</v>
      </c>
      <c r="AA348" s="6" t="n">
        <v>200000</v>
      </c>
      <c r="AB348" s="6" t="n">
        <v>200000</v>
      </c>
      <c r="AC348" s="6" t="n">
        <v>200000</v>
      </c>
      <c r="AD348" s="6" t="n">
        <v>200000</v>
      </c>
      <c r="AE348" s="4" t="s">
        <v>690</v>
      </c>
      <c r="AF348" s="5" t="s">
        <v>451</v>
      </c>
      <c r="AG348" s="4" t="s">
        <v>433</v>
      </c>
      <c r="AH348" s="4" t="s">
        <v>433</v>
      </c>
      <c r="AI348" s="5"/>
      <c r="AJ348" s="1" t="n">
        <v>1</v>
      </c>
      <c r="AK348" s="11" t="n">
        <v>1</v>
      </c>
      <c r="AL348" s="12" t="s">
        <v>452</v>
      </c>
      <c r="AM348" s="13" t="str">
        <f>IF(AL348="","",AL348&amp;" - "&amp;IFERROR(VLOOKUP(AL348,CODEBOOK_CAP!$C$2:$D$212,2,FALSE),""))</f>
        <v>0332 - SAÚDE INFANTIL, GRAVIDEZ E PRÉ-NATAL</v>
      </c>
      <c r="AN348" s="13" t="str">
        <f>IF(AL348="","",IFERROR(VLOOKUP(AL348,CODEBOOK_CAP!$C$2:$E$212,3,FALSE),""))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348" s="11" t="n">
        <v>0</v>
      </c>
      <c r="AP348" s="11"/>
      <c r="AQ348" s="11" t="n">
        <v>1</v>
      </c>
      <c r="AR348" s="11" t="n">
        <v>1</v>
      </c>
      <c r="AS348" s="11" t="s">
        <v>453</v>
      </c>
      <c r="AT348" s="11" t="n">
        <v>1</v>
      </c>
      <c r="AU348" s="11" t="s">
        <v>454</v>
      </c>
      <c r="AV348" s="11"/>
      <c r="AW348" s="11"/>
      <c r="AX348" s="7" t="s">
        <v>84</v>
      </c>
      <c r="AY348" s="7"/>
      <c r="AZ348" s="7"/>
      <c r="BA348" s="7"/>
    </row>
    <row r="349" ht="71.25" customHeight="1">
      <c r="A349" s="4" t="s">
        <v>2229</v>
      </c>
      <c r="B349" s="4" t="n">
        <v>2022</v>
      </c>
      <c r="C349" s="4" t="n">
        <v>4361</v>
      </c>
      <c r="D349" s="4" t="s">
        <v>54</v>
      </c>
      <c r="E349" s="4" t="s">
        <v>2118</v>
      </c>
      <c r="F349" s="5" t="s">
        <v>2230</v>
      </c>
      <c r="G349" s="4" t="s">
        <v>57</v>
      </c>
      <c r="H349" s="4" t="s">
        <v>2120</v>
      </c>
      <c r="I349" s="4" t="s">
        <v>2121</v>
      </c>
      <c r="J349" s="4" t="s">
        <v>2231</v>
      </c>
      <c r="K349" s="4" t="s">
        <v>2232</v>
      </c>
      <c r="L349" s="5" t="s">
        <v>1606</v>
      </c>
      <c r="M349" s="4" t="s">
        <v>1607</v>
      </c>
      <c r="N349" s="5" t="s">
        <v>177</v>
      </c>
      <c r="O349" s="4" t="s">
        <v>178</v>
      </c>
      <c r="P349" s="5" t="s">
        <v>2200</v>
      </c>
      <c r="Q349" s="4" t="s">
        <v>2233</v>
      </c>
      <c r="R349" s="5" t="s">
        <v>2234</v>
      </c>
      <c r="S349" s="4" t="s">
        <v>2235</v>
      </c>
      <c r="T349" s="5" t="s">
        <v>2236</v>
      </c>
      <c r="U349" s="4" t="s">
        <v>2237</v>
      </c>
      <c r="V349" s="5" t="s">
        <v>104</v>
      </c>
      <c r="W349" s="4" t="s">
        <v>105</v>
      </c>
      <c r="X349" s="4" t="s">
        <v>106</v>
      </c>
      <c r="Y349" s="5"/>
      <c r="Z349" s="4" t="s">
        <v>185</v>
      </c>
      <c r="AA349" s="6" t="n">
        <v>400000</v>
      </c>
      <c r="AB349" s="6" t="n">
        <v>400000</v>
      </c>
      <c r="AC349" s="6" t="n">
        <v>400000</v>
      </c>
      <c r="AD349" s="6" t="n">
        <v>400000</v>
      </c>
      <c r="AE349" s="4" t="s">
        <v>2238</v>
      </c>
      <c r="AF349" s="5" t="s">
        <v>2239</v>
      </c>
      <c r="AG349" s="4" t="s">
        <v>78</v>
      </c>
      <c r="AH349" s="4" t="s">
        <v>79</v>
      </c>
      <c r="AI349" s="5" t="s">
        <v>80</v>
      </c>
      <c r="AJ349" s="1" t="n">
        <v>0</v>
      </c>
      <c r="AK349" s="11" t="n">
        <v>0</v>
      </c>
      <c r="AL349" s="12" t="s">
        <v>188</v>
      </c>
      <c r="AM349" s="13" t="str">
        <f>IF(AL349="","",AL349&amp;" - "&amp;IFERROR(VLOOKUP(AL349,CODEBOOK_CAP!$C$2:$D$212,2,FALSE),""))</f>
        <v>2300 - GERAL</v>
      </c>
      <c r="AN349" s="13" t="str">
        <f>IF(AL349="","",IFERROR(VLOOKUP(AL349,CODEBOOK_CAP!$C$2:$E$212,3,FALSE),""))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349" s="11" t="n">
        <v>0</v>
      </c>
      <c r="AP349" s="11"/>
      <c r="AQ349" s="11" t="n">
        <v>0</v>
      </c>
      <c r="AR349" s="11" t="n">
        <v>0</v>
      </c>
      <c r="AS349" s="11"/>
      <c r="AT349" s="11" t="n">
        <v>0</v>
      </c>
      <c r="AU349" s="11"/>
      <c r="AV349" s="11"/>
      <c r="AW349" s="11"/>
      <c r="AX349" s="7" t="s">
        <v>84</v>
      </c>
      <c r="AY349" s="7"/>
      <c r="AZ349" s="7"/>
      <c r="BA349" s="7"/>
      <c r="BB349" s="3" t="s">
        <v>6563</v>
      </c>
    </row>
    <row r="350" ht="142.5" customHeight="1">
      <c r="A350" s="4" t="s">
        <v>2240</v>
      </c>
      <c r="B350" s="4" t="n">
        <v>2022</v>
      </c>
      <c r="C350" s="4" t="n">
        <v>4362</v>
      </c>
      <c r="D350" s="4" t="s">
        <v>54</v>
      </c>
      <c r="E350" s="4" t="s">
        <v>2118</v>
      </c>
      <c r="F350" s="5" t="s">
        <v>2241</v>
      </c>
      <c r="G350" s="4" t="s">
        <v>57</v>
      </c>
      <c r="H350" s="4" t="s">
        <v>2120</v>
      </c>
      <c r="I350" s="4" t="s">
        <v>2121</v>
      </c>
      <c r="J350" s="4" t="s">
        <v>2242</v>
      </c>
      <c r="K350" s="4" t="s">
        <v>2243</v>
      </c>
      <c r="L350" s="5" t="s">
        <v>595</v>
      </c>
      <c r="M350" s="4" t="s">
        <v>596</v>
      </c>
      <c r="N350" s="5" t="s">
        <v>597</v>
      </c>
      <c r="O350" s="4" t="s">
        <v>598</v>
      </c>
      <c r="P350" s="5" t="s">
        <v>599</v>
      </c>
      <c r="Q350" s="4" t="s">
        <v>600</v>
      </c>
      <c r="R350" s="5" t="s">
        <v>1050</v>
      </c>
      <c r="S350" s="4" t="s">
        <v>1051</v>
      </c>
      <c r="T350" s="5" t="s">
        <v>2244</v>
      </c>
      <c r="U350" s="4" t="s">
        <v>2245</v>
      </c>
      <c r="V350" s="5" t="s">
        <v>706</v>
      </c>
      <c r="W350" s="4" t="s">
        <v>105</v>
      </c>
      <c r="X350" s="4" t="s">
        <v>106</v>
      </c>
      <c r="Y350" s="5"/>
      <c r="Z350" s="4" t="s">
        <v>606</v>
      </c>
      <c r="AA350" s="6" t="n">
        <v>100000</v>
      </c>
      <c r="AB350" s="6" t="n">
        <v>99057</v>
      </c>
      <c r="AC350" s="6" t="n">
        <v>99057</v>
      </c>
      <c r="AD350" s="6" t="n">
        <v>99057</v>
      </c>
      <c r="AE350" s="4" t="s">
        <v>2246</v>
      </c>
      <c r="AF350" s="5" t="s">
        <v>2247</v>
      </c>
      <c r="AG350" s="4" t="s">
        <v>78</v>
      </c>
      <c r="AH350" s="4" t="s">
        <v>79</v>
      </c>
      <c r="AI350" s="5" t="s">
        <v>80</v>
      </c>
      <c r="AJ350" s="1" t="n">
        <v>0</v>
      </c>
      <c r="AK350" s="11" t="n">
        <v>0</v>
      </c>
      <c r="AL350" s="12" t="s">
        <v>609</v>
      </c>
      <c r="AM350" s="13" t="str">
        <f>IF(AL350="","",AL350&amp;" - "&amp;IFERROR(VLOOKUP(AL350,CODEBOOK_CAP!$C$2:$D$212,2,FALSE),""))</f>
        <v>0607 - PROMOCAO DA QUALIDADE, ESTRUTURA E AÇÕES</v>
      </c>
      <c r="AN350" s="13" t="str">
        <f>IF(AL350="","",IFERROR(VLOOKUP(AL350,CODEBOOK_CAP!$C$2:$E$212,3,FALSE),""))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350" s="11" t="n">
        <v>0</v>
      </c>
      <c r="AP350" s="11"/>
      <c r="AQ350" s="11" t="n">
        <v>0</v>
      </c>
      <c r="AR350" s="11" t="n">
        <v>0</v>
      </c>
      <c r="AS350" s="11"/>
      <c r="AT350" s="11" t="n">
        <v>1</v>
      </c>
      <c r="AU350" s="11" t="s">
        <v>2248</v>
      </c>
      <c r="AV350" s="11"/>
      <c r="AW350" s="11"/>
      <c r="AX350" s="7" t="s">
        <v>84</v>
      </c>
      <c r="AY350" s="7"/>
      <c r="AZ350" s="7"/>
      <c r="BA350" s="7"/>
    </row>
    <row r="351" ht="71.25" customHeight="1">
      <c r="A351" s="4" t="s">
        <v>2249</v>
      </c>
      <c r="B351" s="4" t="n">
        <v>2022</v>
      </c>
      <c r="C351" s="4" t="n">
        <v>4515</v>
      </c>
      <c r="D351" s="4" t="s">
        <v>54</v>
      </c>
      <c r="E351" s="4" t="s">
        <v>2118</v>
      </c>
      <c r="F351" s="5" t="s">
        <v>2250</v>
      </c>
      <c r="G351" s="4" t="s">
        <v>57</v>
      </c>
      <c r="H351" s="4" t="s">
        <v>2120</v>
      </c>
      <c r="I351" s="4" t="s">
        <v>2121</v>
      </c>
      <c r="J351" s="4" t="s">
        <v>2251</v>
      </c>
      <c r="K351" s="4" t="s">
        <v>2252</v>
      </c>
      <c r="L351" s="5" t="s">
        <v>240</v>
      </c>
      <c r="M351" s="4" t="s">
        <v>241</v>
      </c>
      <c r="N351" s="5" t="s">
        <v>242</v>
      </c>
      <c r="O351" s="4" t="s">
        <v>243</v>
      </c>
      <c r="P351" s="5" t="s">
        <v>2253</v>
      </c>
      <c r="Q351" s="4" t="s">
        <v>2254</v>
      </c>
      <c r="R351" s="5" t="s">
        <v>246</v>
      </c>
      <c r="S351" s="4" t="s">
        <v>247</v>
      </c>
      <c r="T351" s="5" t="s">
        <v>2255</v>
      </c>
      <c r="U351" s="4" t="s">
        <v>2256</v>
      </c>
      <c r="V351" s="5" t="s">
        <v>104</v>
      </c>
      <c r="W351" s="4" t="s">
        <v>105</v>
      </c>
      <c r="X351" s="4" t="s">
        <v>106</v>
      </c>
      <c r="Y351" s="5"/>
      <c r="Z351" s="4" t="s">
        <v>107</v>
      </c>
      <c r="AA351" s="6" t="n">
        <v>80000</v>
      </c>
      <c r="AB351" s="6" t="n">
        <v>0</v>
      </c>
      <c r="AC351" s="6" t="n">
        <v>0</v>
      </c>
      <c r="AD351" s="6" t="n">
        <v>0</v>
      </c>
      <c r="AE351" s="4" t="s">
        <v>2257</v>
      </c>
      <c r="AF351" s="5" t="s">
        <v>2258</v>
      </c>
      <c r="AG351" s="4" t="s">
        <v>78</v>
      </c>
      <c r="AH351" s="4" t="s">
        <v>79</v>
      </c>
      <c r="AI351" s="5" t="s">
        <v>80</v>
      </c>
      <c r="AJ351" s="1" t="n">
        <v>0</v>
      </c>
      <c r="AK351" s="11" t="n">
        <v>0</v>
      </c>
      <c r="AL351" s="12" t="s">
        <v>712</v>
      </c>
      <c r="AM351" s="13" t="str">
        <f>IF(AL351="","",AL351&amp;" - "&amp;IFERROR(VLOOKUP(AL351,CODEBOOK_CAP!$C$2:$D$212,2,FALSE),""))</f>
        <v>1308 - POLÍTICAS SOCIAIS PARA FAMÍLIAS E INFÂNCIA</v>
      </c>
      <c r="AN351" s="13" t="str">
        <f>IF(AL351="","",IFERROR(VLOOKUP(AL351,CODEBOOK_CAP!$C$2:$E$212,3,FALSE),""))</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O351" s="11" t="n">
        <v>0</v>
      </c>
      <c r="AP351" s="11"/>
      <c r="AQ351" s="11" t="n">
        <v>0</v>
      </c>
      <c r="AR351" s="11" t="n">
        <v>0</v>
      </c>
      <c r="AS351" s="11"/>
      <c r="AT351" s="11" t="n">
        <v>1</v>
      </c>
      <c r="AU351" s="11" t="s">
        <v>503</v>
      </c>
      <c r="AV351" s="11"/>
      <c r="AW351" s="11"/>
      <c r="AX351" s="7" t="s">
        <v>84</v>
      </c>
      <c r="AY351" s="7"/>
      <c r="AZ351" s="7"/>
      <c r="BA351" s="7"/>
    </row>
    <row r="352" ht="313.5" customHeight="1">
      <c r="A352" s="4" t="s">
        <v>2259</v>
      </c>
      <c r="B352" s="4" t="n">
        <v>2022</v>
      </c>
      <c r="C352" s="4" t="n">
        <v>4718</v>
      </c>
      <c r="D352" s="4" t="s">
        <v>54</v>
      </c>
      <c r="E352" s="4" t="s">
        <v>2118</v>
      </c>
      <c r="F352" s="5" t="s">
        <v>2260</v>
      </c>
      <c r="G352" s="4" t="s">
        <v>57</v>
      </c>
      <c r="H352" s="4" t="s">
        <v>2120</v>
      </c>
      <c r="I352" s="4" t="s">
        <v>2121</v>
      </c>
      <c r="J352" s="4" t="s">
        <v>2261</v>
      </c>
      <c r="K352" s="4" t="s">
        <v>2262</v>
      </c>
      <c r="L352" s="5" t="s">
        <v>240</v>
      </c>
      <c r="M352" s="4" t="s">
        <v>241</v>
      </c>
      <c r="N352" s="5" t="s">
        <v>242</v>
      </c>
      <c r="O352" s="4" t="s">
        <v>243</v>
      </c>
      <c r="P352" s="5" t="s">
        <v>244</v>
      </c>
      <c r="Q352" s="4" t="s">
        <v>245</v>
      </c>
      <c r="R352" s="5" t="s">
        <v>246</v>
      </c>
      <c r="S352" s="4" t="s">
        <v>247</v>
      </c>
      <c r="T352" s="5" t="s">
        <v>2244</v>
      </c>
      <c r="U352" s="4" t="s">
        <v>2245</v>
      </c>
      <c r="V352" s="5" t="s">
        <v>104</v>
      </c>
      <c r="W352" s="4" t="s">
        <v>105</v>
      </c>
      <c r="X352" s="4" t="s">
        <v>106</v>
      </c>
      <c r="Y352" s="5"/>
      <c r="Z352" s="4" t="s">
        <v>107</v>
      </c>
      <c r="AA352" s="6" t="n">
        <v>300000</v>
      </c>
      <c r="AB352" s="6" t="n">
        <v>300000</v>
      </c>
      <c r="AC352" s="6" t="n">
        <v>300000</v>
      </c>
      <c r="AD352" s="6" t="n">
        <v>300000</v>
      </c>
      <c r="AE352" s="4" t="s">
        <v>526</v>
      </c>
      <c r="AF352" s="5" t="s">
        <v>527</v>
      </c>
      <c r="AG352" s="4" t="s">
        <v>528</v>
      </c>
      <c r="AH352" s="4" t="s">
        <v>529</v>
      </c>
      <c r="AI352" s="5" t="s">
        <v>530</v>
      </c>
      <c r="AJ352" s="1" t="n">
        <v>0</v>
      </c>
      <c r="AK352" s="11" t="n">
        <v>0</v>
      </c>
      <c r="AL352" s="12" t="s">
        <v>218</v>
      </c>
      <c r="AM352" s="13" t="str">
        <f>IF(AL352="","",AL352&amp;" - "&amp;IFERROR(VLOOKUP(AL352,CODEBOOK_CAP!$C$2:$D$212,2,FALSE),""))</f>
        <v>2102 - POPULAÇÕES TRADICIONAIS BRASILEIRAS - INDÍGENAS, QUILOMBOLAS, RIBEIRINHOS, SERINGUEIROS, CAIÇARAS</v>
      </c>
      <c r="AN352" s="13" t="str">
        <f>IF(AL352="","",IFERROR(VLOOKUP(AL352,CODEBOOK_CAP!$C$2:$E$212,3,FALSE),""))</f>
        <v>Todos os temas, de todas as políticas setoriais que envolvam populações tradicionais nativas brasileiras. Temas relacionados ao uso da terra por populações nativas como uso de terra por indígenas e reservas indígenas, quilombolas e populações ribeirinhas. Saude, educacao, assistencia, terras. Populações Nativas não se codifica em política setoria, mas sim aqui!</v>
      </c>
      <c r="AO352" s="11" t="n">
        <v>0</v>
      </c>
      <c r="AP352" s="11"/>
      <c r="AQ352" s="11" t="n">
        <v>0</v>
      </c>
      <c r="AR352" s="11" t="n">
        <v>0</v>
      </c>
      <c r="AS352" s="11"/>
      <c r="AT352" s="11" t="n">
        <v>1</v>
      </c>
      <c r="AU352" s="11" t="s">
        <v>2263</v>
      </c>
      <c r="AV352" s="11"/>
      <c r="AW352" s="11"/>
      <c r="AX352" s="7" t="s">
        <v>84</v>
      </c>
      <c r="AY352" s="7"/>
      <c r="AZ352" s="7"/>
      <c r="BA352" s="7"/>
    </row>
    <row r="353" ht="71.25" customHeight="1">
      <c r="A353" s="4" t="s">
        <v>2264</v>
      </c>
      <c r="B353" s="4" t="n">
        <v>2022</v>
      </c>
      <c r="C353" s="4" t="n">
        <v>4719</v>
      </c>
      <c r="D353" s="4" t="s">
        <v>54</v>
      </c>
      <c r="E353" s="4" t="s">
        <v>2118</v>
      </c>
      <c r="F353" s="5" t="s">
        <v>2265</v>
      </c>
      <c r="G353" s="4" t="s">
        <v>289</v>
      </c>
      <c r="H353" s="4" t="s">
        <v>2120</v>
      </c>
      <c r="I353" s="4" t="s">
        <v>2121</v>
      </c>
      <c r="J353" s="4" t="s">
        <v>2266</v>
      </c>
      <c r="K353" s="4" t="s">
        <v>115</v>
      </c>
      <c r="L353" s="5"/>
      <c r="M353" s="4"/>
      <c r="N353" s="5"/>
      <c r="O353" s="4"/>
      <c r="P353" s="5"/>
      <c r="Q353" s="4"/>
      <c r="R353" s="5"/>
      <c r="S353" s="4"/>
      <c r="T353" s="5"/>
      <c r="U353" s="4"/>
      <c r="V353" s="5"/>
      <c r="W353" s="4"/>
      <c r="X353" s="4"/>
      <c r="Y353" s="5"/>
      <c r="Z353" s="4" t="s">
        <v>289</v>
      </c>
      <c r="AA353" s="6" t="n">
        <v>80000</v>
      </c>
      <c r="AB353" s="6" t="n">
        <v>80000</v>
      </c>
      <c r="AC353" s="6" t="n">
        <v>0</v>
      </c>
      <c r="AD353" s="6" t="n">
        <v>80000</v>
      </c>
      <c r="AE353" s="4" t="s">
        <v>2267</v>
      </c>
      <c r="AF353" s="5" t="s">
        <v>2268</v>
      </c>
      <c r="AG353" s="4" t="s">
        <v>115</v>
      </c>
      <c r="AH353" s="4" t="s">
        <v>115</v>
      </c>
      <c r="AI353" s="5" t="s">
        <v>115</v>
      </c>
      <c r="AJ353" s="1" t="n">
        <v>0</v>
      </c>
      <c r="AK353" s="11" t="n">
        <v>0</v>
      </c>
      <c r="AL353" s="12" t="s">
        <v>218</v>
      </c>
      <c r="AM353" s="13" t="str">
        <f>IF(AL353="","",AL353&amp;" - "&amp;IFERROR(VLOOKUP(AL353,CODEBOOK_CAP!$C$2:$D$212,2,FALSE),""))</f>
        <v>2102 - POPULAÇÕES TRADICIONAIS BRASILEIRAS - INDÍGENAS, QUILOMBOLAS, RIBEIRINHOS, SERINGUEIROS, CAIÇARAS</v>
      </c>
      <c r="AN353" s="13" t="str">
        <f>IF(AL353="","",IFERROR(VLOOKUP(AL353,CODEBOOK_CAP!$C$2:$E$212,3,FALSE),""))</f>
        <v>Todos os temas, de todas as políticas setoriais que envolvam populações tradicionais nativas brasileiras. Temas relacionados ao uso da terra por populações nativas como uso de terra por indígenas e reservas indígenas, quilombolas e populações ribeirinhas. Saude, educacao, assistencia, terras. Populações Nativas não se codifica em política setoria, mas sim aqui!</v>
      </c>
      <c r="AO353" s="11" t="n">
        <v>0</v>
      </c>
      <c r="AP353" s="11"/>
      <c r="AQ353" s="11" t="n">
        <v>1</v>
      </c>
      <c r="AR353" s="11" t="n">
        <v>1</v>
      </c>
      <c r="AS353" s="11" t="s">
        <v>2269</v>
      </c>
      <c r="AT353" s="11" t="n">
        <v>1</v>
      </c>
      <c r="AU353" s="11" t="s">
        <v>2270</v>
      </c>
      <c r="AV353" s="11"/>
      <c r="AW353" s="11"/>
      <c r="AX353" s="7" t="s">
        <v>84</v>
      </c>
      <c r="AY353" s="7"/>
      <c r="AZ353" s="7"/>
      <c r="BA353" s="7"/>
    </row>
    <row r="354" ht="114" customHeight="1">
      <c r="A354" s="4" t="s">
        <v>2271</v>
      </c>
      <c r="B354" s="4" t="n">
        <v>2022</v>
      </c>
      <c r="C354" s="4" t="n">
        <v>4720</v>
      </c>
      <c r="D354" s="4" t="s">
        <v>54</v>
      </c>
      <c r="E354" s="4" t="s">
        <v>2118</v>
      </c>
      <c r="F354" s="5" t="s">
        <v>2272</v>
      </c>
      <c r="G354" s="4" t="s">
        <v>57</v>
      </c>
      <c r="H354" s="4" t="s">
        <v>2120</v>
      </c>
      <c r="I354" s="4" t="s">
        <v>2121</v>
      </c>
      <c r="J354" s="4" t="s">
        <v>2273</v>
      </c>
      <c r="K354" s="4" t="s">
        <v>273</v>
      </c>
      <c r="L354" s="5" t="s">
        <v>62</v>
      </c>
      <c r="M354" s="4" t="s">
        <v>63</v>
      </c>
      <c r="N354" s="5" t="s">
        <v>64</v>
      </c>
      <c r="O354" s="4" t="s">
        <v>65</v>
      </c>
      <c r="P354" s="5" t="s">
        <v>193</v>
      </c>
      <c r="Q354" s="4" t="s">
        <v>194</v>
      </c>
      <c r="R354" s="5" t="s">
        <v>195</v>
      </c>
      <c r="S354" s="4" t="s">
        <v>196</v>
      </c>
      <c r="T354" s="5" t="s">
        <v>197</v>
      </c>
      <c r="U354" s="4" t="s">
        <v>198</v>
      </c>
      <c r="V354" s="5" t="s">
        <v>274</v>
      </c>
      <c r="W354" s="4" t="s">
        <v>105</v>
      </c>
      <c r="X354" s="4" t="s">
        <v>106</v>
      </c>
      <c r="Y354" s="5"/>
      <c r="Z354" s="4" t="s">
        <v>75</v>
      </c>
      <c r="AA354" s="6" t="n">
        <v>100000</v>
      </c>
      <c r="AB354" s="6" t="n">
        <v>100000</v>
      </c>
      <c r="AC354" s="6" t="n">
        <v>0</v>
      </c>
      <c r="AD354" s="6" t="n">
        <v>100000</v>
      </c>
      <c r="AE354" s="4" t="s">
        <v>275</v>
      </c>
      <c r="AF354" s="5" t="s">
        <v>276</v>
      </c>
      <c r="AG354" s="4" t="s">
        <v>115</v>
      </c>
      <c r="AH354" s="4" t="s">
        <v>115</v>
      </c>
      <c r="AI354" s="5" t="s">
        <v>115</v>
      </c>
      <c r="AJ354" s="1" t="n">
        <v>1</v>
      </c>
      <c r="AK354" s="11" t="n">
        <v>1</v>
      </c>
      <c r="AL354" s="12" t="s">
        <v>452</v>
      </c>
      <c r="AM354" s="13" t="str">
        <f>IF(AL354="","",AL354&amp;" - "&amp;IFERROR(VLOOKUP(AL354,CODEBOOK_CAP!$C$2:$D$212,2,FALSE),""))</f>
        <v>0332 - SAÚDE INFANTIL, GRAVIDEZ E PRÉ-NATAL</v>
      </c>
      <c r="AN354" s="13" t="str">
        <f>IF(AL354="","",IFERROR(VLOOKUP(AL354,CODEBOOK_CAP!$C$2:$E$212,3,FALSE),""))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354" s="11" t="n">
        <v>0</v>
      </c>
      <c r="AP354" s="11"/>
      <c r="AQ354" s="11" t="n">
        <v>0</v>
      </c>
      <c r="AR354" s="11" t="n">
        <v>0</v>
      </c>
      <c r="AS354" s="11"/>
      <c r="AT354" s="11" t="n">
        <v>1</v>
      </c>
      <c r="AU354" s="11" t="s">
        <v>286</v>
      </c>
      <c r="AV354" s="11"/>
      <c r="AW354" s="11"/>
      <c r="AX354" s="7" t="s">
        <v>84</v>
      </c>
      <c r="AY354" s="7"/>
      <c r="AZ354" s="7"/>
      <c r="BA354" s="7"/>
    </row>
    <row r="355" ht="71.25" customHeight="1">
      <c r="A355" s="4" t="s">
        <v>2274</v>
      </c>
      <c r="B355" s="4" t="n">
        <v>2022</v>
      </c>
      <c r="C355" s="4" t="n">
        <v>4790</v>
      </c>
      <c r="D355" s="4" t="s">
        <v>54</v>
      </c>
      <c r="E355" s="4" t="s">
        <v>2118</v>
      </c>
      <c r="F355" s="5" t="s">
        <v>2275</v>
      </c>
      <c r="G355" s="4" t="s">
        <v>57</v>
      </c>
      <c r="H355" s="4" t="s">
        <v>2120</v>
      </c>
      <c r="I355" s="4" t="s">
        <v>2121</v>
      </c>
      <c r="J355" s="4" t="s">
        <v>2276</v>
      </c>
      <c r="K355" s="4" t="s">
        <v>2134</v>
      </c>
      <c r="L355" s="5" t="s">
        <v>1606</v>
      </c>
      <c r="M355" s="4" t="s">
        <v>1607</v>
      </c>
      <c r="N355" s="5" t="s">
        <v>177</v>
      </c>
      <c r="O355" s="4" t="s">
        <v>178</v>
      </c>
      <c r="P355" s="5" t="s">
        <v>66</v>
      </c>
      <c r="Q355" s="4" t="s">
        <v>67</v>
      </c>
      <c r="R355" s="5" t="s">
        <v>1608</v>
      </c>
      <c r="S355" s="4" t="s">
        <v>1609</v>
      </c>
      <c r="T355" s="5" t="s">
        <v>2135</v>
      </c>
      <c r="U355" s="4" t="s">
        <v>2136</v>
      </c>
      <c r="V355" s="5" t="s">
        <v>310</v>
      </c>
      <c r="W355" s="4" t="s">
        <v>73</v>
      </c>
      <c r="X355" s="4" t="s">
        <v>74</v>
      </c>
      <c r="Y355" s="5"/>
      <c r="Z355" s="4" t="s">
        <v>185</v>
      </c>
      <c r="AA355" s="6" t="n">
        <v>8500</v>
      </c>
      <c r="AB355" s="6" t="n">
        <v>5456</v>
      </c>
      <c r="AC355" s="6" t="n">
        <v>5456</v>
      </c>
      <c r="AD355" s="6" t="n">
        <v>5456</v>
      </c>
      <c r="AE355" s="4" t="s">
        <v>2277</v>
      </c>
      <c r="AF355" s="5" t="s">
        <v>2278</v>
      </c>
      <c r="AG355" s="4" t="s">
        <v>78</v>
      </c>
      <c r="AH355" s="4" t="s">
        <v>79</v>
      </c>
      <c r="AI355" s="5" t="s">
        <v>80</v>
      </c>
      <c r="AJ355" s="1" t="n">
        <v>0</v>
      </c>
      <c r="AK355" s="11" t="n">
        <v>0</v>
      </c>
      <c r="AL355" s="12" t="s">
        <v>188</v>
      </c>
      <c r="AM355" s="13" t="str">
        <f>IF(AL355="","",AL355&amp;" - "&amp;IFERROR(VLOOKUP(AL355,CODEBOOK_CAP!$C$2:$D$212,2,FALSE),""))</f>
        <v>2300 - GERAL</v>
      </c>
      <c r="AN355" s="13" t="str">
        <f>IF(AL355="","",IFERROR(VLOOKUP(AL355,CODEBOOK_CAP!$C$2:$E$212,3,FALSE),""))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355" s="11" t="n">
        <v>0</v>
      </c>
      <c r="AP355" s="11"/>
      <c r="AQ355" s="11" t="n">
        <v>1</v>
      </c>
      <c r="AR355" s="11" t="n">
        <v>1</v>
      </c>
      <c r="AS355" s="11" t="s">
        <v>2151</v>
      </c>
      <c r="AT355" s="11" t="n">
        <v>0</v>
      </c>
      <c r="AU355" s="11"/>
      <c r="AV355" s="11"/>
      <c r="AW355" s="11"/>
      <c r="AX355" s="7" t="s">
        <v>84</v>
      </c>
      <c r="AY355" s="7"/>
      <c r="AZ355" s="7"/>
      <c r="BA355" s="7"/>
      <c r="BB355" s="3" t="s">
        <v>6563</v>
      </c>
    </row>
    <row r="356" ht="71.25" customHeight="1">
      <c r="A356" s="4" t="s">
        <v>2279</v>
      </c>
      <c r="B356" s="4" t="n">
        <v>2022</v>
      </c>
      <c r="C356" s="4" t="n">
        <v>4791</v>
      </c>
      <c r="D356" s="4" t="s">
        <v>54</v>
      </c>
      <c r="E356" s="4" t="s">
        <v>2118</v>
      </c>
      <c r="F356" s="5" t="s">
        <v>2280</v>
      </c>
      <c r="G356" s="4" t="s">
        <v>57</v>
      </c>
      <c r="H356" s="4" t="s">
        <v>2120</v>
      </c>
      <c r="I356" s="4" t="s">
        <v>2121</v>
      </c>
      <c r="J356" s="4" t="s">
        <v>2281</v>
      </c>
      <c r="K356" s="4" t="s">
        <v>2134</v>
      </c>
      <c r="L356" s="5" t="s">
        <v>1606</v>
      </c>
      <c r="M356" s="4" t="s">
        <v>1607</v>
      </c>
      <c r="N356" s="5" t="s">
        <v>177</v>
      </c>
      <c r="O356" s="4" t="s">
        <v>178</v>
      </c>
      <c r="P356" s="5" t="s">
        <v>66</v>
      </c>
      <c r="Q356" s="4" t="s">
        <v>67</v>
      </c>
      <c r="R356" s="5" t="s">
        <v>1608</v>
      </c>
      <c r="S356" s="4" t="s">
        <v>1609</v>
      </c>
      <c r="T356" s="5" t="s">
        <v>2135</v>
      </c>
      <c r="U356" s="4" t="s">
        <v>2136</v>
      </c>
      <c r="V356" s="5" t="s">
        <v>310</v>
      </c>
      <c r="W356" s="4" t="s">
        <v>73</v>
      </c>
      <c r="X356" s="4" t="s">
        <v>74</v>
      </c>
      <c r="Y356" s="5"/>
      <c r="Z356" s="4" t="s">
        <v>185</v>
      </c>
      <c r="AA356" s="6" t="n">
        <v>8500</v>
      </c>
      <c r="AB356" s="6" t="n">
        <v>5456</v>
      </c>
      <c r="AC356" s="6" t="n">
        <v>5456</v>
      </c>
      <c r="AD356" s="6" t="n">
        <v>5456</v>
      </c>
      <c r="AE356" s="4" t="s">
        <v>2282</v>
      </c>
      <c r="AF356" s="5" t="s">
        <v>2283</v>
      </c>
      <c r="AG356" s="4" t="s">
        <v>78</v>
      </c>
      <c r="AH356" s="4" t="s">
        <v>79</v>
      </c>
      <c r="AI356" s="5" t="s">
        <v>80</v>
      </c>
      <c r="AJ356" s="1" t="n">
        <v>0</v>
      </c>
      <c r="AK356" s="11" t="n">
        <v>0</v>
      </c>
      <c r="AL356" s="12" t="s">
        <v>188</v>
      </c>
      <c r="AM356" s="13" t="str">
        <f>IF(AL356="","",AL356&amp;" - "&amp;IFERROR(VLOOKUP(AL356,CODEBOOK_CAP!$C$2:$D$212,2,FALSE),""))</f>
        <v>2300 - GERAL</v>
      </c>
      <c r="AN356" s="13" t="str">
        <f>IF(AL356="","",IFERROR(VLOOKUP(AL356,CODEBOOK_CAP!$C$2:$E$212,3,FALSE),""))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356" s="11" t="n">
        <v>0</v>
      </c>
      <c r="AP356" s="11"/>
      <c r="AQ356" s="11" t="n">
        <v>1</v>
      </c>
      <c r="AR356" s="11" t="n">
        <v>1</v>
      </c>
      <c r="AS356" s="11" t="s">
        <v>2156</v>
      </c>
      <c r="AT356" s="11" t="n">
        <v>0</v>
      </c>
      <c r="AU356" s="11"/>
      <c r="AV356" s="11"/>
      <c r="AW356" s="11"/>
      <c r="AX356" s="7" t="s">
        <v>84</v>
      </c>
      <c r="AY356" s="7"/>
      <c r="AZ356" s="7"/>
      <c r="BA356" s="7"/>
      <c r="BB356" s="3" t="s">
        <v>6563</v>
      </c>
    </row>
    <row r="357" ht="71.25" customHeight="1">
      <c r="A357" s="4" t="s">
        <v>2284</v>
      </c>
      <c r="B357" s="4" t="n">
        <v>2022</v>
      </c>
      <c r="C357" s="4" t="n">
        <v>4792</v>
      </c>
      <c r="D357" s="4" t="s">
        <v>54</v>
      </c>
      <c r="E357" s="4" t="s">
        <v>2118</v>
      </c>
      <c r="F357" s="5" t="s">
        <v>2285</v>
      </c>
      <c r="G357" s="4" t="s">
        <v>57</v>
      </c>
      <c r="H357" s="4" t="s">
        <v>2120</v>
      </c>
      <c r="I357" s="4" t="s">
        <v>2121</v>
      </c>
      <c r="J357" s="4" t="s">
        <v>2286</v>
      </c>
      <c r="K357" s="4" t="s">
        <v>2134</v>
      </c>
      <c r="L357" s="5" t="s">
        <v>1606</v>
      </c>
      <c r="M357" s="4" t="s">
        <v>1607</v>
      </c>
      <c r="N357" s="5" t="s">
        <v>177</v>
      </c>
      <c r="O357" s="4" t="s">
        <v>178</v>
      </c>
      <c r="P357" s="5" t="s">
        <v>66</v>
      </c>
      <c r="Q357" s="4" t="s">
        <v>67</v>
      </c>
      <c r="R357" s="5" t="s">
        <v>1608</v>
      </c>
      <c r="S357" s="4" t="s">
        <v>1609</v>
      </c>
      <c r="T357" s="5" t="s">
        <v>2135</v>
      </c>
      <c r="U357" s="4" t="s">
        <v>2136</v>
      </c>
      <c r="V357" s="5" t="s">
        <v>310</v>
      </c>
      <c r="W357" s="4" t="s">
        <v>73</v>
      </c>
      <c r="X357" s="4" t="s">
        <v>74</v>
      </c>
      <c r="Y357" s="5"/>
      <c r="Z357" s="4" t="s">
        <v>185</v>
      </c>
      <c r="AA357" s="6" t="n">
        <v>8500</v>
      </c>
      <c r="AB357" s="6" t="n">
        <v>5456</v>
      </c>
      <c r="AC357" s="6" t="n">
        <v>5456</v>
      </c>
      <c r="AD357" s="6" t="n">
        <v>5456</v>
      </c>
      <c r="AE357" s="4" t="s">
        <v>2287</v>
      </c>
      <c r="AF357" s="5" t="s">
        <v>2288</v>
      </c>
      <c r="AG357" s="4" t="s">
        <v>78</v>
      </c>
      <c r="AH357" s="4" t="s">
        <v>79</v>
      </c>
      <c r="AI357" s="5" t="s">
        <v>80</v>
      </c>
      <c r="AJ357" s="1" t="n">
        <v>0</v>
      </c>
      <c r="AK357" s="11" t="n">
        <v>0</v>
      </c>
      <c r="AL357" s="12" t="s">
        <v>188</v>
      </c>
      <c r="AM357" s="13" t="str">
        <f>IF(AL357="","",AL357&amp;" - "&amp;IFERROR(VLOOKUP(AL357,CODEBOOK_CAP!$C$2:$D$212,2,FALSE),""))</f>
        <v>2300 - GERAL</v>
      </c>
      <c r="AN357" s="13" t="str">
        <f>IF(AL357="","",IFERROR(VLOOKUP(AL357,CODEBOOK_CAP!$C$2:$E$212,3,FALSE),""))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357" s="11" t="n">
        <v>0</v>
      </c>
      <c r="AP357" s="11"/>
      <c r="AQ357" s="11" t="n">
        <v>1</v>
      </c>
      <c r="AR357" s="11" t="n">
        <v>1</v>
      </c>
      <c r="AS357" s="11" t="s">
        <v>2161</v>
      </c>
      <c r="AT357" s="11" t="n">
        <v>0</v>
      </c>
      <c r="AU357" s="11"/>
      <c r="AV357" s="11"/>
      <c r="AW357" s="11"/>
      <c r="AX357" s="7" t="s">
        <v>84</v>
      </c>
      <c r="AY357" s="7"/>
      <c r="AZ357" s="7"/>
      <c r="BA357" s="7"/>
      <c r="BB357" s="3" t="s">
        <v>6563</v>
      </c>
    </row>
    <row r="358" ht="71.25" customHeight="1">
      <c r="A358" s="4" t="s">
        <v>2289</v>
      </c>
      <c r="B358" s="4" t="n">
        <v>2022</v>
      </c>
      <c r="C358" s="4" t="n">
        <v>4793</v>
      </c>
      <c r="D358" s="4" t="s">
        <v>54</v>
      </c>
      <c r="E358" s="4" t="s">
        <v>2118</v>
      </c>
      <c r="F358" s="5" t="s">
        <v>2290</v>
      </c>
      <c r="G358" s="4" t="s">
        <v>57</v>
      </c>
      <c r="H358" s="4" t="s">
        <v>2120</v>
      </c>
      <c r="I358" s="4" t="s">
        <v>2121</v>
      </c>
      <c r="J358" s="4" t="s">
        <v>2291</v>
      </c>
      <c r="K358" s="4" t="s">
        <v>2134</v>
      </c>
      <c r="L358" s="5" t="s">
        <v>1606</v>
      </c>
      <c r="M358" s="4" t="s">
        <v>1607</v>
      </c>
      <c r="N358" s="5" t="s">
        <v>177</v>
      </c>
      <c r="O358" s="4" t="s">
        <v>178</v>
      </c>
      <c r="P358" s="5" t="s">
        <v>66</v>
      </c>
      <c r="Q358" s="4" t="s">
        <v>67</v>
      </c>
      <c r="R358" s="5" t="s">
        <v>1608</v>
      </c>
      <c r="S358" s="4" t="s">
        <v>1609</v>
      </c>
      <c r="T358" s="5" t="s">
        <v>2135</v>
      </c>
      <c r="U358" s="4" t="s">
        <v>2136</v>
      </c>
      <c r="V358" s="5" t="s">
        <v>310</v>
      </c>
      <c r="W358" s="4" t="s">
        <v>73</v>
      </c>
      <c r="X358" s="4" t="s">
        <v>74</v>
      </c>
      <c r="Y358" s="5"/>
      <c r="Z358" s="4" t="s">
        <v>185</v>
      </c>
      <c r="AA358" s="6" t="n">
        <v>8500</v>
      </c>
      <c r="AB358" s="6" t="n">
        <v>5456</v>
      </c>
      <c r="AC358" s="6" t="n">
        <v>0</v>
      </c>
      <c r="AD358" s="6" t="n">
        <v>5456</v>
      </c>
      <c r="AE358" s="4" t="s">
        <v>2292</v>
      </c>
      <c r="AF358" s="5" t="s">
        <v>2283</v>
      </c>
      <c r="AG358" s="4" t="s">
        <v>115</v>
      </c>
      <c r="AH358" s="4" t="s">
        <v>115</v>
      </c>
      <c r="AI358" s="5" t="s">
        <v>115</v>
      </c>
      <c r="AJ358" s="1" t="n">
        <v>0</v>
      </c>
      <c r="AK358" s="11" t="n">
        <v>0</v>
      </c>
      <c r="AL358" s="12" t="s">
        <v>188</v>
      </c>
      <c r="AM358" s="13" t="str">
        <f>IF(AL358="","",AL358&amp;" - "&amp;IFERROR(VLOOKUP(AL358,CODEBOOK_CAP!$C$2:$D$212,2,FALSE),""))</f>
        <v>2300 - GERAL</v>
      </c>
      <c r="AN358" s="13" t="str">
        <f>IF(AL358="","",IFERROR(VLOOKUP(AL358,CODEBOOK_CAP!$C$2:$E$212,3,FALSE),""))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358" s="11" t="n">
        <v>0</v>
      </c>
      <c r="AP358" s="11"/>
      <c r="AQ358" s="11" t="n">
        <v>1</v>
      </c>
      <c r="AR358" s="11" t="n">
        <v>1</v>
      </c>
      <c r="AS358" s="11" t="s">
        <v>2166</v>
      </c>
      <c r="AT358" s="11" t="n">
        <v>0</v>
      </c>
      <c r="AU358" s="11"/>
      <c r="AV358" s="11"/>
      <c r="AW358" s="11"/>
      <c r="AX358" s="7" t="s">
        <v>84</v>
      </c>
      <c r="AY358" s="7"/>
      <c r="AZ358" s="7"/>
      <c r="BA358" s="7"/>
      <c r="BB358" s="3" t="s">
        <v>6563</v>
      </c>
    </row>
    <row r="359" ht="71.25" customHeight="1">
      <c r="A359" s="4" t="s">
        <v>2293</v>
      </c>
      <c r="B359" s="4" t="n">
        <v>2022</v>
      </c>
      <c r="C359" s="4" t="n">
        <v>4794</v>
      </c>
      <c r="D359" s="4" t="s">
        <v>54</v>
      </c>
      <c r="E359" s="4" t="s">
        <v>2118</v>
      </c>
      <c r="F359" s="5" t="s">
        <v>2294</v>
      </c>
      <c r="G359" s="4" t="s">
        <v>57</v>
      </c>
      <c r="H359" s="4" t="s">
        <v>2120</v>
      </c>
      <c r="I359" s="4" t="s">
        <v>2121</v>
      </c>
      <c r="J359" s="4" t="s">
        <v>2295</v>
      </c>
      <c r="K359" s="4" t="s">
        <v>2134</v>
      </c>
      <c r="L359" s="5" t="s">
        <v>1606</v>
      </c>
      <c r="M359" s="4" t="s">
        <v>1607</v>
      </c>
      <c r="N359" s="5" t="s">
        <v>177</v>
      </c>
      <c r="O359" s="4" t="s">
        <v>178</v>
      </c>
      <c r="P359" s="5" t="s">
        <v>66</v>
      </c>
      <c r="Q359" s="4" t="s">
        <v>67</v>
      </c>
      <c r="R359" s="5" t="s">
        <v>1608</v>
      </c>
      <c r="S359" s="4" t="s">
        <v>1609</v>
      </c>
      <c r="T359" s="5" t="s">
        <v>2135</v>
      </c>
      <c r="U359" s="4" t="s">
        <v>2136</v>
      </c>
      <c r="V359" s="5" t="s">
        <v>310</v>
      </c>
      <c r="W359" s="4" t="s">
        <v>73</v>
      </c>
      <c r="X359" s="4" t="s">
        <v>74</v>
      </c>
      <c r="Y359" s="5"/>
      <c r="Z359" s="4" t="s">
        <v>185</v>
      </c>
      <c r="AA359" s="6" t="n">
        <v>8500</v>
      </c>
      <c r="AB359" s="6" t="n">
        <v>5456</v>
      </c>
      <c r="AC359" s="6" t="n">
        <v>5456</v>
      </c>
      <c r="AD359" s="6" t="n">
        <v>5456</v>
      </c>
      <c r="AE359" s="4" t="s">
        <v>2282</v>
      </c>
      <c r="AF359" s="5" t="s">
        <v>2283</v>
      </c>
      <c r="AG359" s="4" t="s">
        <v>78</v>
      </c>
      <c r="AH359" s="4" t="s">
        <v>79</v>
      </c>
      <c r="AI359" s="5" t="s">
        <v>80</v>
      </c>
      <c r="AJ359" s="1" t="n">
        <v>0</v>
      </c>
      <c r="AK359" s="11" t="n">
        <v>0</v>
      </c>
      <c r="AL359" s="12" t="s">
        <v>188</v>
      </c>
      <c r="AM359" s="13" t="str">
        <f>IF(AL359="","",AL359&amp;" - "&amp;IFERROR(VLOOKUP(AL359,CODEBOOK_CAP!$C$2:$D$212,2,FALSE),""))</f>
        <v>2300 - GERAL</v>
      </c>
      <c r="AN359" s="13" t="str">
        <f>IF(AL359="","",IFERROR(VLOOKUP(AL359,CODEBOOK_CAP!$C$2:$E$212,3,FALSE),""))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359" s="11" t="n">
        <v>0</v>
      </c>
      <c r="AP359" s="11"/>
      <c r="AQ359" s="11" t="n">
        <v>1</v>
      </c>
      <c r="AR359" s="11" t="n">
        <v>1</v>
      </c>
      <c r="AS359" s="11" t="s">
        <v>2171</v>
      </c>
      <c r="AT359" s="11" t="n">
        <v>0</v>
      </c>
      <c r="AU359" s="11"/>
      <c r="AV359" s="11"/>
      <c r="AW359" s="11"/>
      <c r="AX359" s="7" t="s">
        <v>84</v>
      </c>
      <c r="AY359" s="7"/>
      <c r="AZ359" s="7"/>
      <c r="BA359" s="7"/>
      <c r="BB359" s="3" t="s">
        <v>6563</v>
      </c>
    </row>
    <row r="360" ht="156.75" customHeight="1">
      <c r="A360" s="4" t="s">
        <v>2296</v>
      </c>
      <c r="B360" s="4" t="n">
        <v>2022</v>
      </c>
      <c r="C360" s="4" t="n">
        <v>4670</v>
      </c>
      <c r="D360" s="4" t="s">
        <v>54</v>
      </c>
      <c r="E360" s="4" t="s">
        <v>2297</v>
      </c>
      <c r="F360" s="5" t="s">
        <v>2298</v>
      </c>
      <c r="G360" s="4" t="s">
        <v>289</v>
      </c>
      <c r="H360" s="4" t="s">
        <v>2299</v>
      </c>
      <c r="I360" s="4" t="s">
        <v>319</v>
      </c>
      <c r="J360" s="4" t="s">
        <v>2300</v>
      </c>
      <c r="K360" s="4" t="s">
        <v>115</v>
      </c>
      <c r="L360" s="5"/>
      <c r="M360" s="4"/>
      <c r="N360" s="5"/>
      <c r="O360" s="4"/>
      <c r="P360" s="5"/>
      <c r="Q360" s="4"/>
      <c r="R360" s="5"/>
      <c r="S360" s="4"/>
      <c r="T360" s="5"/>
      <c r="U360" s="4"/>
      <c r="V360" s="5"/>
      <c r="W360" s="4"/>
      <c r="X360" s="4"/>
      <c r="Y360" s="5"/>
      <c r="Z360" s="4" t="s">
        <v>289</v>
      </c>
      <c r="AA360" s="6" t="n">
        <v>644610</v>
      </c>
      <c r="AB360" s="6"/>
      <c r="AC360" s="6"/>
      <c r="AD360" s="6"/>
      <c r="AE360" s="4" t="s">
        <v>115</v>
      </c>
      <c r="AF360" s="5"/>
      <c r="AG360" s="4" t="s">
        <v>110</v>
      </c>
      <c r="AH360" s="4" t="s">
        <v>110</v>
      </c>
      <c r="AI360" s="5"/>
      <c r="AJ360" s="1" t="n">
        <v>0</v>
      </c>
      <c r="AK360" s="11" t="n">
        <v>0</v>
      </c>
      <c r="AL360" s="12" t="s">
        <v>111</v>
      </c>
      <c r="AM360" s="13" t="str">
        <f>IF(AL360="","",AL360&amp;" - "&amp;IFERROR(VLOOKUP(AL360,CODEBOOK_CAP!$C$2:$D$212,2,FALSE),""))</f>
        <v>1300 - GERAL</v>
      </c>
      <c r="AN360" s="13" t="str">
        <f>IF(AL360="","",IFERROR(VLOOKUP(AL360,CODEBOOK_CAP!$C$2:$E$212,3,FALSE),""))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360" s="11" t="n">
        <v>0</v>
      </c>
      <c r="AP360" s="11"/>
      <c r="AQ360" s="11" t="n">
        <v>0</v>
      </c>
      <c r="AR360" s="11" t="n">
        <v>0</v>
      </c>
      <c r="AS360" s="11"/>
      <c r="AT360" s="11" t="n">
        <v>0</v>
      </c>
      <c r="AU360" s="11"/>
      <c r="AV360" s="11"/>
      <c r="AW360" s="11"/>
      <c r="AX360" s="7" t="s">
        <v>84</v>
      </c>
      <c r="AY360" s="7"/>
      <c r="AZ360" s="7"/>
      <c r="BA360" s="7"/>
    </row>
    <row r="361" ht="57" customHeight="1">
      <c r="A361" s="4" t="s">
        <v>2301</v>
      </c>
      <c r="B361" s="4" t="n">
        <v>2022</v>
      </c>
      <c r="C361" s="4" t="n">
        <v>4675</v>
      </c>
      <c r="D361" s="4" t="s">
        <v>54</v>
      </c>
      <c r="E361" s="4" t="s">
        <v>2297</v>
      </c>
      <c r="F361" s="5" t="s">
        <v>2302</v>
      </c>
      <c r="G361" s="4" t="s">
        <v>57</v>
      </c>
      <c r="H361" s="4" t="s">
        <v>2299</v>
      </c>
      <c r="I361" s="4" t="s">
        <v>319</v>
      </c>
      <c r="J361" s="4" t="s">
        <v>2303</v>
      </c>
      <c r="K361" s="4" t="s">
        <v>415</v>
      </c>
      <c r="L361" s="5" t="s">
        <v>122</v>
      </c>
      <c r="M361" s="4" t="s">
        <v>123</v>
      </c>
      <c r="N361" s="5" t="s">
        <v>227</v>
      </c>
      <c r="O361" s="4" t="s">
        <v>228</v>
      </c>
      <c r="P361" s="5" t="s">
        <v>229</v>
      </c>
      <c r="Q361" s="4" t="s">
        <v>230</v>
      </c>
      <c r="R361" s="5" t="s">
        <v>322</v>
      </c>
      <c r="S361" s="4" t="s">
        <v>323</v>
      </c>
      <c r="T361" s="5" t="s">
        <v>416</v>
      </c>
      <c r="U361" s="4" t="s">
        <v>417</v>
      </c>
      <c r="V361" s="5" t="s">
        <v>72</v>
      </c>
      <c r="W361" s="4" t="s">
        <v>73</v>
      </c>
      <c r="X361" s="4" t="s">
        <v>74</v>
      </c>
      <c r="Y361" s="5"/>
      <c r="Z361" s="4" t="s">
        <v>132</v>
      </c>
      <c r="AA361" s="6" t="n">
        <v>644410</v>
      </c>
      <c r="AB361" s="6" t="n">
        <v>583304</v>
      </c>
      <c r="AC361" s="6" t="n">
        <v>583304</v>
      </c>
      <c r="AD361" s="6" t="n">
        <v>583304</v>
      </c>
      <c r="AE361" s="4" t="s">
        <v>358</v>
      </c>
      <c r="AF361" s="5" t="s">
        <v>77</v>
      </c>
      <c r="AG361" s="4" t="s">
        <v>78</v>
      </c>
      <c r="AH361" s="4" t="s">
        <v>79</v>
      </c>
      <c r="AI361" s="5" t="s">
        <v>80</v>
      </c>
      <c r="AJ361" s="1" t="n">
        <v>0</v>
      </c>
      <c r="AK361" s="11" t="n">
        <v>0</v>
      </c>
      <c r="AL361" s="12" t="s">
        <v>328</v>
      </c>
      <c r="AM361" s="13" t="str">
        <f>IF(AL361="","",AL361&amp;" - "&amp;IFERROR(VLOOKUP(AL361,CODEBOOK_CAP!$C$2:$D$212,2,FALSE),""))</f>
        <v>1403 - REABILITAÇÃO URBANA, ECONOMIA URBANA</v>
      </c>
      <c r="AN361" s="13" t="str">
        <f>IF(AL361="","",IFERROR(VLOOKUP(AL361,CODEBOOK_CAP!$C$2:$E$212,3,FALSE),""))</f>
        <v>Reabilitação de áreas urbanas, revitalização urbana, modernização de áreas, mercados públicos, revitalização de praças, política urbana nacional, desenvolvimento urbano , desenvolvimento econômico de estados e cidades, modernização de espaços urbanos</v>
      </c>
      <c r="AO361" s="11" t="n">
        <v>1</v>
      </c>
      <c r="AP361" s="11" t="s">
        <v>2304</v>
      </c>
      <c r="AQ361" s="11" t="n">
        <v>1</v>
      </c>
      <c r="AR361" s="11" t="n">
        <v>1</v>
      </c>
      <c r="AS361" s="11" t="s">
        <v>2304</v>
      </c>
      <c r="AT361" s="11" t="n">
        <v>0</v>
      </c>
      <c r="AU361" s="11"/>
      <c r="AV361" s="11"/>
      <c r="AW361" s="11"/>
      <c r="AX361" s="7" t="s">
        <v>84</v>
      </c>
      <c r="AY361" s="7"/>
      <c r="AZ361" s="7"/>
      <c r="BA361" s="7"/>
    </row>
    <row r="362" ht="128.25" customHeight="1">
      <c r="A362" s="4" t="s">
        <v>2305</v>
      </c>
      <c r="B362" s="4" t="n">
        <v>2022</v>
      </c>
      <c r="C362" s="4" t="n">
        <v>4786</v>
      </c>
      <c r="D362" s="4" t="s">
        <v>54</v>
      </c>
      <c r="E362" s="4" t="s">
        <v>2297</v>
      </c>
      <c r="F362" s="5" t="s">
        <v>2306</v>
      </c>
      <c r="G362" s="4" t="s">
        <v>57</v>
      </c>
      <c r="H362" s="4" t="s">
        <v>2299</v>
      </c>
      <c r="I362" s="4" t="s">
        <v>319</v>
      </c>
      <c r="J362" s="4" t="s">
        <v>2307</v>
      </c>
      <c r="K362" s="4" t="s">
        <v>2308</v>
      </c>
      <c r="L362" s="5" t="s">
        <v>62</v>
      </c>
      <c r="M362" s="4" t="s">
        <v>63</v>
      </c>
      <c r="N362" s="5" t="s">
        <v>64</v>
      </c>
      <c r="O362" s="4" t="s">
        <v>65</v>
      </c>
      <c r="P362" s="5" t="s">
        <v>344</v>
      </c>
      <c r="Q362" s="4" t="s">
        <v>345</v>
      </c>
      <c r="R362" s="5" t="s">
        <v>346</v>
      </c>
      <c r="S362" s="4" t="s">
        <v>347</v>
      </c>
      <c r="T362" s="5" t="s">
        <v>555</v>
      </c>
      <c r="U362" s="4" t="s">
        <v>347</v>
      </c>
      <c r="V362" s="5" t="s">
        <v>262</v>
      </c>
      <c r="W362" s="4" t="s">
        <v>105</v>
      </c>
      <c r="X362" s="4" t="s">
        <v>106</v>
      </c>
      <c r="Y362" s="5"/>
      <c r="Z362" s="4" t="s">
        <v>75</v>
      </c>
      <c r="AA362" s="6" t="n">
        <v>1289220</v>
      </c>
      <c r="AB362" s="6" t="n">
        <v>0</v>
      </c>
      <c r="AC362" s="6" t="n">
        <v>0</v>
      </c>
      <c r="AD362" s="6" t="n">
        <v>0</v>
      </c>
      <c r="AE362" s="4" t="s">
        <v>2309</v>
      </c>
      <c r="AF362" s="5" t="s">
        <v>2310</v>
      </c>
      <c r="AG362" s="4" t="s">
        <v>115</v>
      </c>
      <c r="AH362" s="4" t="s">
        <v>115</v>
      </c>
      <c r="AI362" s="5" t="s">
        <v>115</v>
      </c>
      <c r="AJ362" s="1" t="n">
        <v>1</v>
      </c>
      <c r="AK362" s="11" t="n">
        <v>1</v>
      </c>
      <c r="AL362" s="12" t="s">
        <v>452</v>
      </c>
      <c r="AM362" s="13" t="str">
        <f>IF(AL362="","",AL362&amp;" - "&amp;IFERROR(VLOOKUP(AL362,CODEBOOK_CAP!$C$2:$D$212,2,FALSE),""))</f>
        <v>0332 - SAÚDE INFANTIL, GRAVIDEZ E PRÉ-NATAL</v>
      </c>
      <c r="AN362" s="13" t="str">
        <f>IF(AL362="","",IFERROR(VLOOKUP(AL362,CODEBOOK_CAP!$C$2:$E$212,3,FALSE),""))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362" s="11" t="n">
        <v>0</v>
      </c>
      <c r="AP362" s="11"/>
      <c r="AQ362" s="11" t="n">
        <v>0</v>
      </c>
      <c r="AR362" s="11" t="n">
        <v>0</v>
      </c>
      <c r="AS362" s="11"/>
      <c r="AT362" s="11" t="n">
        <v>1</v>
      </c>
      <c r="AU362" s="11" t="s">
        <v>286</v>
      </c>
      <c r="AV362" s="11"/>
      <c r="AW362" s="11"/>
      <c r="AX362" s="7" t="s">
        <v>84</v>
      </c>
      <c r="AY362" s="7"/>
      <c r="AZ362" s="7"/>
      <c r="BA362" s="7"/>
    </row>
    <row r="363" ht="85.5" customHeight="1">
      <c r="A363" s="4" t="s">
        <v>2311</v>
      </c>
      <c r="B363" s="4" t="n">
        <v>2022</v>
      </c>
      <c r="C363" s="4" t="n">
        <v>4212</v>
      </c>
      <c r="D363" s="4" t="s">
        <v>54</v>
      </c>
      <c r="E363" s="4" t="s">
        <v>2312</v>
      </c>
      <c r="F363" s="5" t="s">
        <v>2313</v>
      </c>
      <c r="G363" s="4" t="s">
        <v>57</v>
      </c>
      <c r="H363" s="4" t="s">
        <v>2314</v>
      </c>
      <c r="I363" s="4" t="s">
        <v>2315</v>
      </c>
      <c r="J363" s="4" t="s">
        <v>2316</v>
      </c>
      <c r="K363" s="4" t="s">
        <v>93</v>
      </c>
      <c r="L363" s="5" t="s">
        <v>94</v>
      </c>
      <c r="M363" s="4" t="s">
        <v>95</v>
      </c>
      <c r="N363" s="5" t="s">
        <v>96</v>
      </c>
      <c r="O363" s="4" t="s">
        <v>97</v>
      </c>
      <c r="P363" s="5" t="s">
        <v>98</v>
      </c>
      <c r="Q363" s="4" t="s">
        <v>99</v>
      </c>
      <c r="R363" s="5" t="s">
        <v>100</v>
      </c>
      <c r="S363" s="4" t="s">
        <v>101</v>
      </c>
      <c r="T363" s="5" t="s">
        <v>102</v>
      </c>
      <c r="U363" s="4" t="s">
        <v>103</v>
      </c>
      <c r="V363" s="5" t="s">
        <v>104</v>
      </c>
      <c r="W363" s="4" t="s">
        <v>105</v>
      </c>
      <c r="X363" s="4" t="s">
        <v>106</v>
      </c>
      <c r="Y363" s="5"/>
      <c r="Z363" s="4" t="s">
        <v>107</v>
      </c>
      <c r="AA363" s="6" t="n">
        <v>169468</v>
      </c>
      <c r="AB363" s="6" t="n">
        <v>169468</v>
      </c>
      <c r="AC363" s="6" t="n">
        <v>169468</v>
      </c>
      <c r="AD363" s="6" t="n">
        <v>169468</v>
      </c>
      <c r="AE363" s="4" t="s">
        <v>2317</v>
      </c>
      <c r="AF363" s="5" t="s">
        <v>2318</v>
      </c>
      <c r="AG363" s="4" t="s">
        <v>110</v>
      </c>
      <c r="AH363" s="4" t="s">
        <v>110</v>
      </c>
      <c r="AI363" s="5"/>
      <c r="AJ363" s="1" t="n">
        <v>0</v>
      </c>
      <c r="AK363" s="11" t="n">
        <v>0</v>
      </c>
      <c r="AL363" s="12" t="s">
        <v>1145</v>
      </c>
      <c r="AM363" s="13" t="str">
        <f>IF(AL363="","",AL363&amp;" - "&amp;IFERROR(VLOOKUP(AL363,CODEBOOK_CAP!$C$2:$D$212,2,FALSE),""))</f>
        <v>1304 - POLÍTICAS SOCIAIS DE ASSISTÊNCIA PARA PESSOAS COM DEFICIÊNCIAS</v>
      </c>
      <c r="AN363" s="13" t="str">
        <f>IF(AL363="","",IFERROR(VLOOKUP(AL363,CODEBOOK_CAP!$C$2:$E$212,3,FALSE),""))</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O363" s="11" t="n">
        <v>0</v>
      </c>
      <c r="AP363" s="11"/>
      <c r="AQ363" s="11" t="n">
        <v>0</v>
      </c>
      <c r="AR363" s="11" t="n">
        <v>0</v>
      </c>
      <c r="AS363" s="11"/>
      <c r="AT363" s="11" t="n">
        <v>1</v>
      </c>
      <c r="AU363" s="11" t="s">
        <v>1055</v>
      </c>
      <c r="AV363" s="11"/>
      <c r="AW363" s="11"/>
      <c r="AX363" s="7" t="s">
        <v>84</v>
      </c>
      <c r="AY363" s="7"/>
      <c r="AZ363" s="7"/>
      <c r="BA363" s="7"/>
    </row>
    <row r="364" ht="156.75" customHeight="1">
      <c r="A364" s="4" t="s">
        <v>2319</v>
      </c>
      <c r="B364" s="4" t="n">
        <v>2022</v>
      </c>
      <c r="C364" s="4" t="n">
        <v>4213</v>
      </c>
      <c r="D364" s="4" t="s">
        <v>54</v>
      </c>
      <c r="E364" s="4" t="s">
        <v>2312</v>
      </c>
      <c r="F364" s="5" t="s">
        <v>2320</v>
      </c>
      <c r="G364" s="4" t="s">
        <v>139</v>
      </c>
      <c r="H364" s="4" t="s">
        <v>2314</v>
      </c>
      <c r="I364" s="4" t="s">
        <v>2315</v>
      </c>
      <c r="J364" s="4" t="s">
        <v>2321</v>
      </c>
      <c r="K364" s="4" t="s">
        <v>115</v>
      </c>
      <c r="L364" s="5"/>
      <c r="M364" s="4"/>
      <c r="N364" s="5"/>
      <c r="O364" s="4"/>
      <c r="P364" s="5"/>
      <c r="Q364" s="4"/>
      <c r="R364" s="5"/>
      <c r="S364" s="4"/>
      <c r="T364" s="5"/>
      <c r="U364" s="4"/>
      <c r="V364" s="5"/>
      <c r="W364" s="4"/>
      <c r="X364" s="4"/>
      <c r="Y364" s="5"/>
      <c r="Z364" s="4" t="s">
        <v>139</v>
      </c>
      <c r="AA364" s="6" t="n">
        <v>84734</v>
      </c>
      <c r="AB364" s="6"/>
      <c r="AC364" s="6"/>
      <c r="AD364" s="6"/>
      <c r="AE364" s="4" t="s">
        <v>115</v>
      </c>
      <c r="AF364" s="5" t="s">
        <v>115</v>
      </c>
      <c r="AG364" s="4" t="s">
        <v>115</v>
      </c>
      <c r="AH364" s="4" t="s">
        <v>115</v>
      </c>
      <c r="AI364" s="5" t="s">
        <v>115</v>
      </c>
      <c r="AJ364" s="1" t="n">
        <v>0</v>
      </c>
      <c r="AK364" s="11" t="n">
        <v>0</v>
      </c>
      <c r="AL364" s="12" t="s">
        <v>111</v>
      </c>
      <c r="AM364" s="13" t="str">
        <f>IF(AL364="","",AL364&amp;" - "&amp;IFERROR(VLOOKUP(AL364,CODEBOOK_CAP!$C$2:$D$212,2,FALSE),""))</f>
        <v>1300 - GERAL</v>
      </c>
      <c r="AN364" s="13" t="str">
        <f>IF(AL364="","",IFERROR(VLOOKUP(AL364,CODEBOOK_CAP!$C$2:$E$212,3,FALSE),""))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364" s="11" t="n">
        <v>0</v>
      </c>
      <c r="AP364" s="11"/>
      <c r="AQ364" s="11" t="n">
        <v>0</v>
      </c>
      <c r="AR364" s="11" t="n">
        <v>0</v>
      </c>
      <c r="AS364" s="11"/>
      <c r="AT364" s="11" t="n">
        <v>0</v>
      </c>
      <c r="AU364" s="11"/>
      <c r="AV364" s="11"/>
      <c r="AW364" s="11"/>
      <c r="AX364" s="7" t="s">
        <v>84</v>
      </c>
      <c r="AY364" s="7"/>
      <c r="AZ364" s="7"/>
      <c r="BA364" s="7"/>
    </row>
    <row r="365" ht="85.5" customHeight="1">
      <c r="A365" s="4" t="s">
        <v>2322</v>
      </c>
      <c r="B365" s="4" t="n">
        <v>2022</v>
      </c>
      <c r="C365" s="4" t="n">
        <v>4265</v>
      </c>
      <c r="D365" s="4" t="s">
        <v>54</v>
      </c>
      <c r="E365" s="4" t="s">
        <v>2312</v>
      </c>
      <c r="F365" s="5" t="s">
        <v>2323</v>
      </c>
      <c r="G365" s="4" t="s">
        <v>57</v>
      </c>
      <c r="H365" s="4" t="s">
        <v>2314</v>
      </c>
      <c r="I365" s="4" t="s">
        <v>2315</v>
      </c>
      <c r="J365" s="4" t="s">
        <v>2324</v>
      </c>
      <c r="K365" s="4" t="s">
        <v>93</v>
      </c>
      <c r="L365" s="5" t="s">
        <v>94</v>
      </c>
      <c r="M365" s="4" t="s">
        <v>95</v>
      </c>
      <c r="N365" s="5" t="s">
        <v>96</v>
      </c>
      <c r="O365" s="4" t="s">
        <v>97</v>
      </c>
      <c r="P365" s="5" t="s">
        <v>98</v>
      </c>
      <c r="Q365" s="4" t="s">
        <v>99</v>
      </c>
      <c r="R365" s="5" t="s">
        <v>100</v>
      </c>
      <c r="S365" s="4" t="s">
        <v>101</v>
      </c>
      <c r="T365" s="5" t="s">
        <v>102</v>
      </c>
      <c r="U365" s="4" t="s">
        <v>103</v>
      </c>
      <c r="V365" s="5" t="s">
        <v>104</v>
      </c>
      <c r="W365" s="4" t="s">
        <v>105</v>
      </c>
      <c r="X365" s="4" t="s">
        <v>106</v>
      </c>
      <c r="Y365" s="5"/>
      <c r="Z365" s="4" t="s">
        <v>107</v>
      </c>
      <c r="AA365" s="6" t="n">
        <v>474532</v>
      </c>
      <c r="AB365" s="6" t="n">
        <v>474532</v>
      </c>
      <c r="AC365" s="6" t="n">
        <v>474532</v>
      </c>
      <c r="AD365" s="6" t="n">
        <v>474532</v>
      </c>
      <c r="AE365" s="4" t="s">
        <v>1263</v>
      </c>
      <c r="AF365" s="5" t="s">
        <v>2325</v>
      </c>
      <c r="AG365" s="4" t="s">
        <v>110</v>
      </c>
      <c r="AH365" s="4" t="s">
        <v>110</v>
      </c>
      <c r="AI365" s="5"/>
      <c r="AJ365" s="1" t="n">
        <v>0</v>
      </c>
      <c r="AK365" s="11" t="n">
        <v>0</v>
      </c>
      <c r="AL365" s="12" t="s">
        <v>1696</v>
      </c>
      <c r="AM365" s="13" t="str">
        <f>IF(AL365="","",AL365&amp;" - "&amp;IFERROR(VLOOKUP(AL365,CODEBOOK_CAP!$C$2:$D$212,2,FALSE),""))</f>
        <v>1303 - POLÍTICAS SOCIAIS DE ASSISTÊNCIA PARA IDOSOS</v>
      </c>
      <c r="AN365" s="13" t="str">
        <f>IF(AL365="","",IFERROR(VLOOKUP(AL365,CODEBOOK_CAP!$C$2:$E$212,3,FALSE),""))</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O365" s="11" t="n">
        <v>0</v>
      </c>
      <c r="AP365" s="11"/>
      <c r="AQ365" s="11" t="n">
        <v>0</v>
      </c>
      <c r="AR365" s="11" t="n">
        <v>0</v>
      </c>
      <c r="AS365" s="11"/>
      <c r="AT365" s="11" t="n">
        <v>1</v>
      </c>
      <c r="AU365" s="11" t="s">
        <v>1697</v>
      </c>
      <c r="AV365" s="11"/>
      <c r="AW365" s="11"/>
      <c r="AX365" s="7" t="s">
        <v>84</v>
      </c>
      <c r="AY365" s="7"/>
      <c r="AZ365" s="7"/>
      <c r="BA365" s="7"/>
    </row>
    <row r="366" ht="57" customHeight="1">
      <c r="A366" s="4" t="s">
        <v>2326</v>
      </c>
      <c r="B366" s="4" t="n">
        <v>2022</v>
      </c>
      <c r="C366" s="4" t="n">
        <v>4452</v>
      </c>
      <c r="D366" s="4" t="s">
        <v>54</v>
      </c>
      <c r="E366" s="4" t="s">
        <v>2312</v>
      </c>
      <c r="F366" s="5" t="s">
        <v>2327</v>
      </c>
      <c r="G366" s="4" t="s">
        <v>57</v>
      </c>
      <c r="H366" s="4" t="s">
        <v>2314</v>
      </c>
      <c r="I366" s="4" t="s">
        <v>2315</v>
      </c>
      <c r="J366" s="4" t="s">
        <v>2328</v>
      </c>
      <c r="K366" s="4" t="s">
        <v>2329</v>
      </c>
      <c r="L366" s="5" t="s">
        <v>122</v>
      </c>
      <c r="M366" s="4" t="s">
        <v>123</v>
      </c>
      <c r="N366" s="5" t="s">
        <v>227</v>
      </c>
      <c r="O366" s="4" t="s">
        <v>228</v>
      </c>
      <c r="P366" s="5" t="s">
        <v>229</v>
      </c>
      <c r="Q366" s="4" t="s">
        <v>230</v>
      </c>
      <c r="R366" s="5" t="s">
        <v>322</v>
      </c>
      <c r="S366" s="4" t="s">
        <v>323</v>
      </c>
      <c r="T366" s="5" t="s">
        <v>416</v>
      </c>
      <c r="U366" s="4" t="s">
        <v>417</v>
      </c>
      <c r="V366" s="5" t="s">
        <v>72</v>
      </c>
      <c r="W366" s="4" t="s">
        <v>73</v>
      </c>
      <c r="X366" s="4" t="s">
        <v>74</v>
      </c>
      <c r="Y366" s="5"/>
      <c r="Z366" s="4" t="s">
        <v>132</v>
      </c>
      <c r="AA366" s="6" t="n">
        <v>400000</v>
      </c>
      <c r="AB366" s="6" t="n">
        <v>234370</v>
      </c>
      <c r="AC366" s="6" t="n">
        <v>234370</v>
      </c>
      <c r="AD366" s="6" t="n">
        <v>234370</v>
      </c>
      <c r="AE366" s="4" t="s">
        <v>2330</v>
      </c>
      <c r="AF366" s="5"/>
      <c r="AG366" s="4" t="s">
        <v>78</v>
      </c>
      <c r="AH366" s="4" t="s">
        <v>79</v>
      </c>
      <c r="AI366" s="5" t="s">
        <v>80</v>
      </c>
      <c r="AJ366" s="1" t="n">
        <v>0</v>
      </c>
      <c r="AK366" s="11" t="n">
        <v>0</v>
      </c>
      <c r="AL366" s="12" t="s">
        <v>1107</v>
      </c>
      <c r="AM366" s="13" t="str">
        <f>IF(AL366="","",AL366&amp;" - "&amp;IFERROR(VLOOKUP(AL366,CODEBOOK_CAP!$C$2:$D$212,2,FALSE),""))</f>
        <v>2101 - PARQUES PÚBLICOS E RESERVAS DE PRESERVAÇÃO</v>
      </c>
      <c r="AN366" s="13" t="str">
        <f>IF(AL366="","",IFERROR(VLOOKUP(AL366,CODEBOOK_CAP!$C$2:$E$212,3,FALSE),""))</f>
        <v>Regulação, normas, orinetações, manutenção em território publico aberto, como parques, reservas ambientais, áreas protegidas e de preservação ambiental. Regulação de parques naturais e áreas protegidas. Utilização de bosques e florestas públicas</v>
      </c>
      <c r="AO366" s="11" t="n">
        <v>0</v>
      </c>
      <c r="AP366" s="11" t="s">
        <v>2331</v>
      </c>
      <c r="AQ366" s="11" t="n">
        <v>1</v>
      </c>
      <c r="AR366" s="11" t="n">
        <v>1</v>
      </c>
      <c r="AS366" s="11" t="s">
        <v>2331</v>
      </c>
      <c r="AT366" s="11" t="n">
        <v>0</v>
      </c>
      <c r="AU366" s="11"/>
      <c r="AV366" s="11"/>
      <c r="AW366" s="11"/>
      <c r="AX366" s="7" t="s">
        <v>84</v>
      </c>
      <c r="AY366" s="7"/>
      <c r="AZ366" s="7"/>
      <c r="BA366" s="7"/>
    </row>
    <row r="367" ht="142.5" customHeight="1">
      <c r="A367" s="4" t="s">
        <v>2332</v>
      </c>
      <c r="B367" s="4" t="n">
        <v>2022</v>
      </c>
      <c r="C367" s="4" t="n">
        <v>4511</v>
      </c>
      <c r="D367" s="4" t="s">
        <v>54</v>
      </c>
      <c r="E367" s="4" t="s">
        <v>2312</v>
      </c>
      <c r="F367" s="5" t="s">
        <v>2333</v>
      </c>
      <c r="G367" s="4" t="s">
        <v>2334</v>
      </c>
      <c r="H367" s="4" t="s">
        <v>2314</v>
      </c>
      <c r="I367" s="4" t="s">
        <v>2315</v>
      </c>
      <c r="J367" s="4" t="s">
        <v>2335</v>
      </c>
      <c r="K367" s="4" t="s">
        <v>1447</v>
      </c>
      <c r="L367" s="5" t="s">
        <v>1448</v>
      </c>
      <c r="M367" s="4" t="s">
        <v>1449</v>
      </c>
      <c r="N367" s="5" t="s">
        <v>1450</v>
      </c>
      <c r="O367" s="4" t="s">
        <v>1451</v>
      </c>
      <c r="P367" s="5" t="s">
        <v>1452</v>
      </c>
      <c r="Q367" s="4" t="s">
        <v>1453</v>
      </c>
      <c r="R367" s="5" t="s">
        <v>1454</v>
      </c>
      <c r="S367" s="4" t="s">
        <v>1455</v>
      </c>
      <c r="T367" s="5" t="s">
        <v>1456</v>
      </c>
      <c r="U367" s="4" t="s">
        <v>1457</v>
      </c>
      <c r="V367" s="5" t="s">
        <v>72</v>
      </c>
      <c r="W367" s="4" t="s">
        <v>73</v>
      </c>
      <c r="X367" s="4" t="s">
        <v>74</v>
      </c>
      <c r="Y367" s="5"/>
      <c r="Z367" s="4" t="s">
        <v>132</v>
      </c>
      <c r="AA367" s="6" t="n">
        <v>245000</v>
      </c>
      <c r="AB367" s="6" t="n">
        <v>38601</v>
      </c>
      <c r="AC367" s="6" t="n">
        <v>38601</v>
      </c>
      <c r="AD367" s="6" t="n">
        <v>38601</v>
      </c>
      <c r="AE367" s="4" t="s">
        <v>2336</v>
      </c>
      <c r="AF367" s="5" t="s">
        <v>2337</v>
      </c>
      <c r="AG367" s="4" t="s">
        <v>78</v>
      </c>
      <c r="AH367" s="4" t="s">
        <v>79</v>
      </c>
      <c r="AI367" s="5" t="s">
        <v>80</v>
      </c>
      <c r="AJ367" s="1" t="n">
        <v>0</v>
      </c>
      <c r="AK367" s="11" t="n">
        <v>0</v>
      </c>
      <c r="AL367" s="12" t="s">
        <v>871</v>
      </c>
      <c r="AM367" s="13" t="str">
        <f>IF(AL367="","",AL367&amp;" - "&amp;IFERROR(VLOOKUP(AL367,CODEBOOK_CAP!$C$2:$D$212,2,FALSE),""))</f>
        <v>0711 - CONSERVAÇÃO DO SOLO, MAR, RIOS, PRAIAS E COSTAS</v>
      </c>
      <c r="AN367" s="13" t="str">
        <f>IF(AL367="","",IFERROR(VLOOKUP(AL367,CODEBOOK_CAP!$C$2:$E$212,3,FALSE),""))</f>
        <v>Poluição de oceanos, regulamentação de acesso e conservação da costa, ilhas, praias, mangues, e assuntos relacionados ao mar, oceanos e litoral. Erosão de terrenos, morros, promoção da qualidade do solo, conservação de rios, lagos e afluentes, questões vinculadas a enchentes, poluição urbana, margens, encostas de rios, chuvas, temporais, tempestades, terrenos contaminados, rios contamidados e poluidos, fertilizantes. Quando assunto for uso dos recursos naturais usar codigo 21. 2104 para recursos hídricos, 2103 para recursos naturais como minerais. Quando o assunto for tratamento de água potável, distribuição de água potável para residencias, 701.</v>
      </c>
      <c r="AO367" s="11" t="n">
        <v>1</v>
      </c>
      <c r="AP367" s="11" t="s">
        <v>2338</v>
      </c>
      <c r="AQ367" s="11" t="n">
        <v>1</v>
      </c>
      <c r="AR367" s="11" t="n">
        <v>1</v>
      </c>
      <c r="AS367" s="11" t="s">
        <v>2338</v>
      </c>
      <c r="AT367" s="11" t="n">
        <v>0</v>
      </c>
      <c r="AU367" s="11"/>
      <c r="AV367" s="11"/>
      <c r="AW367" s="11"/>
      <c r="AX367" s="7" t="s">
        <v>84</v>
      </c>
      <c r="AY367" s="7"/>
      <c r="AZ367" s="7"/>
      <c r="BA367" s="7"/>
    </row>
    <row r="368" ht="199.5" customHeight="1">
      <c r="A368" s="4" t="s">
        <v>2339</v>
      </c>
      <c r="B368" s="4" t="n">
        <v>2022</v>
      </c>
      <c r="C368" s="4" t="n">
        <v>4524</v>
      </c>
      <c r="D368" s="4" t="s">
        <v>54</v>
      </c>
      <c r="E368" s="4" t="s">
        <v>2312</v>
      </c>
      <c r="F368" s="5" t="s">
        <v>2340</v>
      </c>
      <c r="G368" s="4" t="s">
        <v>57</v>
      </c>
      <c r="H368" s="4" t="s">
        <v>2314</v>
      </c>
      <c r="I368" s="4" t="s">
        <v>2315</v>
      </c>
      <c r="J368" s="4" t="s">
        <v>2341</v>
      </c>
      <c r="K368" s="4" t="s">
        <v>554</v>
      </c>
      <c r="L368" s="5" t="s">
        <v>62</v>
      </c>
      <c r="M368" s="4" t="s">
        <v>63</v>
      </c>
      <c r="N368" s="5" t="s">
        <v>64</v>
      </c>
      <c r="O368" s="4" t="s">
        <v>65</v>
      </c>
      <c r="P368" s="5" t="s">
        <v>344</v>
      </c>
      <c r="Q368" s="4" t="s">
        <v>345</v>
      </c>
      <c r="R368" s="5" t="s">
        <v>346</v>
      </c>
      <c r="S368" s="4" t="s">
        <v>347</v>
      </c>
      <c r="T368" s="5" t="s">
        <v>555</v>
      </c>
      <c r="U368" s="4" t="s">
        <v>347</v>
      </c>
      <c r="V368" s="5" t="s">
        <v>310</v>
      </c>
      <c r="W368" s="4" t="s">
        <v>73</v>
      </c>
      <c r="X368" s="4" t="s">
        <v>74</v>
      </c>
      <c r="Y368" s="5"/>
      <c r="Z368" s="4" t="s">
        <v>75</v>
      </c>
      <c r="AA368" s="6" t="n">
        <v>429600</v>
      </c>
      <c r="AB368" s="6" t="n">
        <v>24490</v>
      </c>
      <c r="AC368" s="6" t="n">
        <v>24490</v>
      </c>
      <c r="AD368" s="6" t="n">
        <v>24490</v>
      </c>
      <c r="AE368" s="4" t="s">
        <v>2342</v>
      </c>
      <c r="AF368" s="5" t="s">
        <v>2343</v>
      </c>
      <c r="AG368" s="4" t="s">
        <v>78</v>
      </c>
      <c r="AH368" s="4" t="s">
        <v>79</v>
      </c>
      <c r="AI368" s="5" t="s">
        <v>80</v>
      </c>
      <c r="AJ368" s="1" t="n">
        <v>1</v>
      </c>
      <c r="AK368" s="11" t="n">
        <v>1</v>
      </c>
      <c r="AL368" s="12" t="s">
        <v>81</v>
      </c>
      <c r="AM368" s="13" t="str">
        <f>IF(AL368="","",AL368&amp;" - "&amp;IFERROR(VLOOKUP(AL368,CODEBOOK_CAP!$C$2:$D$212,2,FALSE),""))</f>
        <v>0322 - ESTRUTURAS, HOSPITAIS, CLÍNICAS</v>
      </c>
      <c r="AN368" s="13" t="str">
        <f>IF(AL368="","",IFERROR(VLOOKUP(AL368,CODEBOOK_CAP!$C$2:$E$212,3,FALSE),""))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368" s="11" t="n">
        <v>1</v>
      </c>
      <c r="AP368" s="11" t="s">
        <v>2344</v>
      </c>
      <c r="AQ368" s="11" t="n">
        <v>1</v>
      </c>
      <c r="AR368" s="11" t="n">
        <v>1</v>
      </c>
      <c r="AS368" s="11" t="s">
        <v>2345</v>
      </c>
      <c r="AT368" s="11" t="n">
        <v>0</v>
      </c>
      <c r="AU368" s="11"/>
      <c r="AV368" s="11"/>
      <c r="AW368" s="11"/>
      <c r="AX368" s="7" t="s">
        <v>84</v>
      </c>
      <c r="AY368" s="7"/>
      <c r="AZ368" s="7"/>
      <c r="BA368" s="7"/>
    </row>
    <row r="369" ht="85.5" customHeight="1">
      <c r="A369" s="4" t="s">
        <v>2346</v>
      </c>
      <c r="B369" s="4" t="n">
        <v>2022</v>
      </c>
      <c r="C369" s="4" t="n">
        <v>4529</v>
      </c>
      <c r="D369" s="4" t="s">
        <v>54</v>
      </c>
      <c r="E369" s="4" t="s">
        <v>2312</v>
      </c>
      <c r="F369" s="5" t="s">
        <v>2347</v>
      </c>
      <c r="G369" s="4" t="s">
        <v>57</v>
      </c>
      <c r="H369" s="4" t="s">
        <v>2314</v>
      </c>
      <c r="I369" s="4" t="s">
        <v>2315</v>
      </c>
      <c r="J369" s="4" t="s">
        <v>2348</v>
      </c>
      <c r="K369" s="4" t="s">
        <v>2349</v>
      </c>
      <c r="L369" s="5" t="s">
        <v>62</v>
      </c>
      <c r="M369" s="4" t="s">
        <v>63</v>
      </c>
      <c r="N369" s="5" t="s">
        <v>64</v>
      </c>
      <c r="O369" s="4" t="s">
        <v>65</v>
      </c>
      <c r="P369" s="5" t="s">
        <v>344</v>
      </c>
      <c r="Q369" s="4" t="s">
        <v>345</v>
      </c>
      <c r="R369" s="5" t="s">
        <v>346</v>
      </c>
      <c r="S369" s="4" t="s">
        <v>347</v>
      </c>
      <c r="T369" s="5" t="s">
        <v>348</v>
      </c>
      <c r="U369" s="4" t="s">
        <v>349</v>
      </c>
      <c r="V369" s="5" t="s">
        <v>2350</v>
      </c>
      <c r="W369" s="4" t="s">
        <v>73</v>
      </c>
      <c r="X369" s="4" t="s">
        <v>2351</v>
      </c>
      <c r="Y369" s="5"/>
      <c r="Z369" s="4" t="s">
        <v>75</v>
      </c>
      <c r="AA369" s="6" t="n">
        <v>429600</v>
      </c>
      <c r="AB369" s="6" t="n">
        <v>429600</v>
      </c>
      <c r="AC369" s="6" t="n">
        <v>0</v>
      </c>
      <c r="AD369" s="6" t="n">
        <v>429600</v>
      </c>
      <c r="AE369" s="4" t="s">
        <v>351</v>
      </c>
      <c r="AF369" s="5" t="s">
        <v>352</v>
      </c>
      <c r="AG369" s="4" t="s">
        <v>115</v>
      </c>
      <c r="AH369" s="4" t="s">
        <v>115</v>
      </c>
      <c r="AI369" s="5" t="s">
        <v>115</v>
      </c>
      <c r="AJ369" s="1" t="n">
        <v>1</v>
      </c>
      <c r="AK369" s="11" t="n">
        <v>1</v>
      </c>
      <c r="AL369" s="12" t="s">
        <v>81</v>
      </c>
      <c r="AM369" s="13" t="str">
        <f>IF(AL369="","",AL369&amp;" - "&amp;IFERROR(VLOOKUP(AL369,CODEBOOK_CAP!$C$2:$D$212,2,FALSE),""))</f>
        <v>0322 - ESTRUTURAS, HOSPITAIS, CLÍNICAS</v>
      </c>
      <c r="AN369" s="13" t="str">
        <f>IF(AL369="","",IFERROR(VLOOKUP(AL369,CODEBOOK_CAP!$C$2:$E$212,3,FALSE),""))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369" s="11" t="n">
        <v>1</v>
      </c>
      <c r="AP369" s="11" t="s">
        <v>2352</v>
      </c>
      <c r="AQ369" s="11" t="n">
        <v>1</v>
      </c>
      <c r="AR369" s="11" t="n">
        <v>1</v>
      </c>
      <c r="AS369" s="11" t="s">
        <v>2353</v>
      </c>
      <c r="AT369" s="11" t="n">
        <v>0</v>
      </c>
      <c r="AU369" s="11"/>
      <c r="AV369" s="11"/>
      <c r="AW369" s="11"/>
      <c r="AX369" s="7" t="s">
        <v>84</v>
      </c>
      <c r="AY369" s="7"/>
      <c r="AZ369" s="7"/>
      <c r="BA369" s="7"/>
    </row>
    <row r="370" ht="85.5" customHeight="1">
      <c r="A370" s="4" t="s">
        <v>2354</v>
      </c>
      <c r="B370" s="4" t="n">
        <v>2022</v>
      </c>
      <c r="C370" s="4" t="n">
        <v>4550</v>
      </c>
      <c r="D370" s="4" t="s">
        <v>54</v>
      </c>
      <c r="E370" s="4" t="s">
        <v>2312</v>
      </c>
      <c r="F370" s="5" t="s">
        <v>2355</v>
      </c>
      <c r="G370" s="4" t="s">
        <v>57</v>
      </c>
      <c r="H370" s="4" t="s">
        <v>2314</v>
      </c>
      <c r="I370" s="4" t="s">
        <v>2315</v>
      </c>
      <c r="J370" s="4" t="s">
        <v>2356</v>
      </c>
      <c r="K370" s="4" t="s">
        <v>554</v>
      </c>
      <c r="L370" s="5" t="s">
        <v>62</v>
      </c>
      <c r="M370" s="4" t="s">
        <v>63</v>
      </c>
      <c r="N370" s="5" t="s">
        <v>64</v>
      </c>
      <c r="O370" s="4" t="s">
        <v>65</v>
      </c>
      <c r="P370" s="5" t="s">
        <v>344</v>
      </c>
      <c r="Q370" s="4" t="s">
        <v>345</v>
      </c>
      <c r="R370" s="5" t="s">
        <v>346</v>
      </c>
      <c r="S370" s="4" t="s">
        <v>347</v>
      </c>
      <c r="T370" s="5" t="s">
        <v>555</v>
      </c>
      <c r="U370" s="4" t="s">
        <v>347</v>
      </c>
      <c r="V370" s="5" t="s">
        <v>310</v>
      </c>
      <c r="W370" s="4" t="s">
        <v>73</v>
      </c>
      <c r="X370" s="4" t="s">
        <v>74</v>
      </c>
      <c r="Y370" s="5"/>
      <c r="Z370" s="4" t="s">
        <v>75</v>
      </c>
      <c r="AA370" s="6" t="n">
        <v>429600</v>
      </c>
      <c r="AB370" s="6" t="n">
        <v>48277</v>
      </c>
      <c r="AC370" s="6" t="n">
        <v>48277</v>
      </c>
      <c r="AD370" s="6" t="n">
        <v>48277</v>
      </c>
      <c r="AE370" s="4" t="s">
        <v>2357</v>
      </c>
      <c r="AF370" s="5" t="s">
        <v>2358</v>
      </c>
      <c r="AG370" s="4" t="s">
        <v>78</v>
      </c>
      <c r="AH370" s="4" t="s">
        <v>79</v>
      </c>
      <c r="AI370" s="5" t="s">
        <v>80</v>
      </c>
      <c r="AJ370" s="1" t="n">
        <v>1</v>
      </c>
      <c r="AK370" s="11" t="n">
        <v>1</v>
      </c>
      <c r="AL370" s="12" t="s">
        <v>81</v>
      </c>
      <c r="AM370" s="13" t="str">
        <f>IF(AL370="","",AL370&amp;" - "&amp;IFERROR(VLOOKUP(AL370,CODEBOOK_CAP!$C$2:$D$212,2,FALSE),""))</f>
        <v>0322 - ESTRUTURAS, HOSPITAIS, CLÍNICAS</v>
      </c>
      <c r="AN370" s="13" t="str">
        <f>IF(AL370="","",IFERROR(VLOOKUP(AL370,CODEBOOK_CAP!$C$2:$E$212,3,FALSE),""))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370" s="11" t="n">
        <v>1</v>
      </c>
      <c r="AP370" s="11" t="s">
        <v>2359</v>
      </c>
      <c r="AQ370" s="11" t="n">
        <v>1</v>
      </c>
      <c r="AR370" s="11" t="n">
        <v>1</v>
      </c>
      <c r="AS370" s="11" t="s">
        <v>2360</v>
      </c>
      <c r="AT370" s="11" t="n">
        <v>0</v>
      </c>
      <c r="AU370" s="11"/>
      <c r="AV370" s="11"/>
      <c r="AW370" s="11"/>
      <c r="AX370" s="7" t="s">
        <v>84</v>
      </c>
      <c r="AY370" s="7"/>
      <c r="AZ370" s="7"/>
      <c r="BA370" s="7"/>
    </row>
    <row r="371" ht="71.25" customHeight="1">
      <c r="A371" s="4" t="s">
        <v>2361</v>
      </c>
      <c r="B371" s="4" t="n">
        <v>2022</v>
      </c>
      <c r="C371" s="4" t="n">
        <v>4456</v>
      </c>
      <c r="D371" s="4" t="s">
        <v>54</v>
      </c>
      <c r="E371" s="4" t="s">
        <v>2362</v>
      </c>
      <c r="F371" s="5" t="s">
        <v>2363</v>
      </c>
      <c r="G371" s="4" t="s">
        <v>289</v>
      </c>
      <c r="H371" s="4" t="s">
        <v>2364</v>
      </c>
      <c r="I371" s="4" t="s">
        <v>876</v>
      </c>
      <c r="J371" s="4" t="s">
        <v>2365</v>
      </c>
      <c r="K371" s="4" t="s">
        <v>115</v>
      </c>
      <c r="L371" s="5"/>
      <c r="M371" s="4"/>
      <c r="N371" s="5"/>
      <c r="O371" s="4"/>
      <c r="P371" s="5"/>
      <c r="Q371" s="4"/>
      <c r="R371" s="5"/>
      <c r="S371" s="4"/>
      <c r="T371" s="5"/>
      <c r="U371" s="4"/>
      <c r="V371" s="5"/>
      <c r="W371" s="4"/>
      <c r="X371" s="4"/>
      <c r="Y371" s="5"/>
      <c r="Z371" s="4" t="s">
        <v>289</v>
      </c>
      <c r="AA371" s="6" t="n">
        <v>300000</v>
      </c>
      <c r="AB371" s="6"/>
      <c r="AC371" s="6"/>
      <c r="AD371" s="6"/>
      <c r="AE371" s="4" t="s">
        <v>115</v>
      </c>
      <c r="AF371" s="5" t="s">
        <v>115</v>
      </c>
      <c r="AG371" s="4" t="s">
        <v>115</v>
      </c>
      <c r="AH371" s="4" t="s">
        <v>115</v>
      </c>
      <c r="AI371" s="5" t="s">
        <v>115</v>
      </c>
      <c r="AJ371" s="1" t="n">
        <v>0</v>
      </c>
      <c r="AK371" s="11" t="n">
        <v>0</v>
      </c>
      <c r="AL371" s="12" t="s">
        <v>167</v>
      </c>
      <c r="AM371" s="13" t="str">
        <f>IF(AL371="","",AL371&amp;" - "&amp;IFERROR(VLOOKUP(AL371,CODEBOOK_CAP!$C$2:$D$212,2,FALSE),""))</f>
        <v>1524 - TURISMO</v>
      </c>
      <c r="AN371" s="13" t="str">
        <f>IF(AL371="","",IFERROR(VLOOKUP(AL371,CODEBOOK_CAP!$C$2:$E$212,3,FALSE),""))</f>
        <v>Assuntos que se relacionam com a política de desenvolvimento de turismo, cidades turisticas, obras turisticas, assuntos relacioandos a incentismo aos turismo, apoios setoriais para promocao de turismo, visto de turismo, promoção do turismo brasileiro.</v>
      </c>
      <c r="AO371" s="11" t="n">
        <v>0</v>
      </c>
      <c r="AP371" s="11"/>
      <c r="AQ371" s="11" t="n">
        <v>0</v>
      </c>
      <c r="AR371" s="11" t="n">
        <v>0</v>
      </c>
      <c r="AS371" s="11"/>
      <c r="AT371" s="11" t="n">
        <v>0</v>
      </c>
      <c r="AU371" s="11"/>
      <c r="AV371" s="11"/>
      <c r="AW371" s="11"/>
      <c r="AX371" s="7" t="s">
        <v>84</v>
      </c>
      <c r="AY371" s="7"/>
      <c r="AZ371" s="7"/>
      <c r="BA371" s="7"/>
    </row>
    <row r="372" ht="156.75" customHeight="1">
      <c r="A372" s="4" t="s">
        <v>2366</v>
      </c>
      <c r="B372" s="4" t="n">
        <v>2022</v>
      </c>
      <c r="C372" s="4" t="n">
        <v>4457</v>
      </c>
      <c r="D372" s="4" t="s">
        <v>54</v>
      </c>
      <c r="E372" s="4" t="s">
        <v>2362</v>
      </c>
      <c r="F372" s="5" t="s">
        <v>2367</v>
      </c>
      <c r="G372" s="4" t="s">
        <v>57</v>
      </c>
      <c r="H372" s="4" t="s">
        <v>2364</v>
      </c>
      <c r="I372" s="4" t="s">
        <v>876</v>
      </c>
      <c r="J372" s="4" t="s">
        <v>2368</v>
      </c>
      <c r="K372" s="4" t="s">
        <v>1203</v>
      </c>
      <c r="L372" s="5" t="s">
        <v>94</v>
      </c>
      <c r="M372" s="4" t="s">
        <v>95</v>
      </c>
      <c r="N372" s="5" t="s">
        <v>96</v>
      </c>
      <c r="O372" s="4" t="s">
        <v>97</v>
      </c>
      <c r="P372" s="5" t="s">
        <v>98</v>
      </c>
      <c r="Q372" s="4" t="s">
        <v>99</v>
      </c>
      <c r="R372" s="5" t="s">
        <v>1204</v>
      </c>
      <c r="S372" s="4" t="s">
        <v>1205</v>
      </c>
      <c r="T372" s="5" t="s">
        <v>1206</v>
      </c>
      <c r="U372" s="4" t="s">
        <v>1207</v>
      </c>
      <c r="V372" s="5" t="s">
        <v>104</v>
      </c>
      <c r="W372" s="4" t="s">
        <v>105</v>
      </c>
      <c r="X372" s="4" t="s">
        <v>106</v>
      </c>
      <c r="Y372" s="5"/>
      <c r="Z372" s="4" t="s">
        <v>107</v>
      </c>
      <c r="AA372" s="6" t="n">
        <v>100000</v>
      </c>
      <c r="AB372" s="6" t="n">
        <v>100000</v>
      </c>
      <c r="AC372" s="6" t="n">
        <v>100000</v>
      </c>
      <c r="AD372" s="6" t="n">
        <v>100000</v>
      </c>
      <c r="AE372" s="4" t="s">
        <v>2369</v>
      </c>
      <c r="AF372" s="5" t="s">
        <v>2370</v>
      </c>
      <c r="AG372" s="4" t="s">
        <v>110</v>
      </c>
      <c r="AH372" s="4" t="s">
        <v>110</v>
      </c>
      <c r="AI372" s="5"/>
      <c r="AJ372" s="1" t="n">
        <v>0</v>
      </c>
      <c r="AK372" s="11" t="n">
        <v>0</v>
      </c>
      <c r="AL372" s="12" t="s">
        <v>111</v>
      </c>
      <c r="AM372" s="13" t="str">
        <f>IF(AL372="","",AL372&amp;" - "&amp;IFERROR(VLOOKUP(AL372,CODEBOOK_CAP!$C$2:$D$212,2,FALSE),""))</f>
        <v>1300 - GERAL</v>
      </c>
      <c r="AN372" s="13" t="str">
        <f>IF(AL372="","",IFERROR(VLOOKUP(AL372,CODEBOOK_CAP!$C$2:$E$212,3,FALSE),""))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372" s="11" t="n">
        <v>0</v>
      </c>
      <c r="AP372" s="11"/>
      <c r="AQ372" s="11" t="n">
        <v>0</v>
      </c>
      <c r="AR372" s="11" t="n">
        <v>0</v>
      </c>
      <c r="AS372" s="11"/>
      <c r="AT372" s="11" t="n">
        <v>0</v>
      </c>
      <c r="AU372" s="11"/>
      <c r="AV372" s="11"/>
      <c r="AW372" s="11"/>
      <c r="AX372" s="7" t="s">
        <v>84</v>
      </c>
      <c r="AY372" s="7"/>
      <c r="AZ372" s="7"/>
      <c r="BA372" s="7"/>
    </row>
    <row r="373" ht="85.5" customHeight="1">
      <c r="A373" s="4" t="s">
        <v>2371</v>
      </c>
      <c r="B373" s="4" t="n">
        <v>2022</v>
      </c>
      <c r="C373" s="4" t="n">
        <v>4458</v>
      </c>
      <c r="D373" s="4" t="s">
        <v>54</v>
      </c>
      <c r="E373" s="4" t="s">
        <v>2362</v>
      </c>
      <c r="F373" s="5" t="s">
        <v>2372</v>
      </c>
      <c r="G373" s="4" t="s">
        <v>57</v>
      </c>
      <c r="H373" s="4" t="s">
        <v>2364</v>
      </c>
      <c r="I373" s="4" t="s">
        <v>876</v>
      </c>
      <c r="J373" s="4" t="s">
        <v>2373</v>
      </c>
      <c r="K373" s="4" t="s">
        <v>428</v>
      </c>
      <c r="L373" s="5" t="s">
        <v>62</v>
      </c>
      <c r="M373" s="4" t="s">
        <v>63</v>
      </c>
      <c r="N373" s="5" t="s">
        <v>64</v>
      </c>
      <c r="O373" s="4" t="s">
        <v>65</v>
      </c>
      <c r="P373" s="5" t="s">
        <v>193</v>
      </c>
      <c r="Q373" s="4" t="s">
        <v>194</v>
      </c>
      <c r="R373" s="5" t="s">
        <v>195</v>
      </c>
      <c r="S373" s="4" t="s">
        <v>196</v>
      </c>
      <c r="T373" s="5" t="s">
        <v>429</v>
      </c>
      <c r="U373" s="4" t="s">
        <v>430</v>
      </c>
      <c r="V373" s="5" t="s">
        <v>104</v>
      </c>
      <c r="W373" s="4" t="s">
        <v>105</v>
      </c>
      <c r="X373" s="4" t="s">
        <v>106</v>
      </c>
      <c r="Y373" s="5"/>
      <c r="Z373" s="4" t="s">
        <v>75</v>
      </c>
      <c r="AA373" s="6" t="n">
        <v>200000</v>
      </c>
      <c r="AB373" s="6" t="n">
        <v>200000</v>
      </c>
      <c r="AC373" s="6" t="n">
        <v>200000</v>
      </c>
      <c r="AD373" s="6" t="n">
        <v>200000</v>
      </c>
      <c r="AE373" s="4" t="s">
        <v>464</v>
      </c>
      <c r="AF373" s="5" t="s">
        <v>465</v>
      </c>
      <c r="AG373" s="4" t="s">
        <v>433</v>
      </c>
      <c r="AH373" s="4" t="s">
        <v>433</v>
      </c>
      <c r="AI373" s="5"/>
      <c r="AJ373" s="1" t="n">
        <v>1</v>
      </c>
      <c r="AK373" s="11" t="n">
        <v>1</v>
      </c>
      <c r="AL373" s="12" t="s">
        <v>81</v>
      </c>
      <c r="AM373" s="13" t="str">
        <f>IF(AL373="","",AL373&amp;" - "&amp;IFERROR(VLOOKUP(AL373,CODEBOOK_CAP!$C$2:$D$212,2,FALSE),""))</f>
        <v>0322 - ESTRUTURAS, HOSPITAIS, CLÍNICAS</v>
      </c>
      <c r="AN373" s="13" t="str">
        <f>IF(AL373="","",IFERROR(VLOOKUP(AL373,CODEBOOK_CAP!$C$2:$E$212,3,FALSE),""))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373" s="11" t="n">
        <v>0</v>
      </c>
      <c r="AP373" s="11"/>
      <c r="AQ373" s="11" t="n">
        <v>1</v>
      </c>
      <c r="AR373" s="11" t="n">
        <v>1</v>
      </c>
      <c r="AS373" s="11" t="s">
        <v>2374</v>
      </c>
      <c r="AT373" s="11" t="n">
        <v>0</v>
      </c>
      <c r="AU373" s="11"/>
      <c r="AV373" s="11"/>
      <c r="AW373" s="11"/>
      <c r="AX373" s="7" t="s">
        <v>84</v>
      </c>
      <c r="AY373" s="7"/>
      <c r="AZ373" s="7"/>
      <c r="BA373" s="7"/>
    </row>
    <row r="374" ht="85.5" customHeight="1">
      <c r="A374" s="4" t="s">
        <v>2375</v>
      </c>
      <c r="B374" s="4" t="n">
        <v>2022</v>
      </c>
      <c r="C374" s="4" t="n">
        <v>4459</v>
      </c>
      <c r="D374" s="4" t="s">
        <v>54</v>
      </c>
      <c r="E374" s="4" t="s">
        <v>2362</v>
      </c>
      <c r="F374" s="5" t="s">
        <v>2376</v>
      </c>
      <c r="G374" s="4" t="s">
        <v>57</v>
      </c>
      <c r="H374" s="4" t="s">
        <v>2364</v>
      </c>
      <c r="I374" s="4" t="s">
        <v>876</v>
      </c>
      <c r="J374" s="4" t="s">
        <v>2377</v>
      </c>
      <c r="K374" s="4" t="s">
        <v>428</v>
      </c>
      <c r="L374" s="5" t="s">
        <v>62</v>
      </c>
      <c r="M374" s="4" t="s">
        <v>63</v>
      </c>
      <c r="N374" s="5" t="s">
        <v>64</v>
      </c>
      <c r="O374" s="4" t="s">
        <v>65</v>
      </c>
      <c r="P374" s="5" t="s">
        <v>193</v>
      </c>
      <c r="Q374" s="4" t="s">
        <v>194</v>
      </c>
      <c r="R374" s="5" t="s">
        <v>195</v>
      </c>
      <c r="S374" s="4" t="s">
        <v>196</v>
      </c>
      <c r="T374" s="5" t="s">
        <v>429</v>
      </c>
      <c r="U374" s="4" t="s">
        <v>430</v>
      </c>
      <c r="V374" s="5" t="s">
        <v>104</v>
      </c>
      <c r="W374" s="4" t="s">
        <v>105</v>
      </c>
      <c r="X374" s="4" t="s">
        <v>106</v>
      </c>
      <c r="Y374" s="5"/>
      <c r="Z374" s="4" t="s">
        <v>75</v>
      </c>
      <c r="AA374" s="6" t="n">
        <v>100000</v>
      </c>
      <c r="AB374" s="6" t="n">
        <v>100000</v>
      </c>
      <c r="AC374" s="6" t="n">
        <v>100000</v>
      </c>
      <c r="AD374" s="6" t="n">
        <v>100000</v>
      </c>
      <c r="AE374" s="4" t="s">
        <v>641</v>
      </c>
      <c r="AF374" s="5" t="s">
        <v>642</v>
      </c>
      <c r="AG374" s="4" t="s">
        <v>433</v>
      </c>
      <c r="AH374" s="4" t="s">
        <v>433</v>
      </c>
      <c r="AI374" s="5"/>
      <c r="AJ374" s="1" t="n">
        <v>1</v>
      </c>
      <c r="AK374" s="11" t="n">
        <v>1</v>
      </c>
      <c r="AL374" s="12" t="s">
        <v>81</v>
      </c>
      <c r="AM374" s="13" t="str">
        <f>IF(AL374="","",AL374&amp;" - "&amp;IFERROR(VLOOKUP(AL374,CODEBOOK_CAP!$C$2:$D$212,2,FALSE),""))</f>
        <v>0322 - ESTRUTURAS, HOSPITAIS, CLÍNICAS</v>
      </c>
      <c r="AN374" s="13" t="str">
        <f>IF(AL374="","",IFERROR(VLOOKUP(AL374,CODEBOOK_CAP!$C$2:$E$212,3,FALSE),""))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374" s="11" t="n">
        <v>0</v>
      </c>
      <c r="AP374" s="11"/>
      <c r="AQ374" s="11" t="n">
        <v>0</v>
      </c>
      <c r="AR374" s="11" t="n">
        <v>0</v>
      </c>
      <c r="AS374" s="11"/>
      <c r="AT374" s="11" t="n">
        <v>0</v>
      </c>
      <c r="AU374" s="11"/>
      <c r="AV374" s="11"/>
      <c r="AW374" s="11"/>
      <c r="AX374" s="7" t="s">
        <v>84</v>
      </c>
      <c r="AY374" s="7"/>
      <c r="AZ374" s="7"/>
      <c r="BA374" s="7"/>
    </row>
    <row r="375" ht="85.5" customHeight="1">
      <c r="A375" s="4" t="s">
        <v>2378</v>
      </c>
      <c r="B375" s="4" t="n">
        <v>2022</v>
      </c>
      <c r="C375" s="4" t="n">
        <v>4460</v>
      </c>
      <c r="D375" s="4" t="s">
        <v>54</v>
      </c>
      <c r="E375" s="4" t="s">
        <v>2362</v>
      </c>
      <c r="F375" s="5" t="s">
        <v>2379</v>
      </c>
      <c r="G375" s="4" t="s">
        <v>57</v>
      </c>
      <c r="H375" s="4" t="s">
        <v>2364</v>
      </c>
      <c r="I375" s="4" t="s">
        <v>876</v>
      </c>
      <c r="J375" s="4" t="s">
        <v>2380</v>
      </c>
      <c r="K375" s="4" t="s">
        <v>428</v>
      </c>
      <c r="L375" s="5" t="s">
        <v>62</v>
      </c>
      <c r="M375" s="4" t="s">
        <v>63</v>
      </c>
      <c r="N375" s="5" t="s">
        <v>64</v>
      </c>
      <c r="O375" s="4" t="s">
        <v>65</v>
      </c>
      <c r="P375" s="5" t="s">
        <v>193</v>
      </c>
      <c r="Q375" s="4" t="s">
        <v>194</v>
      </c>
      <c r="R375" s="5" t="s">
        <v>195</v>
      </c>
      <c r="S375" s="4" t="s">
        <v>196</v>
      </c>
      <c r="T375" s="5" t="s">
        <v>429</v>
      </c>
      <c r="U375" s="4" t="s">
        <v>430</v>
      </c>
      <c r="V375" s="5" t="s">
        <v>104</v>
      </c>
      <c r="W375" s="4" t="s">
        <v>105</v>
      </c>
      <c r="X375" s="4" t="s">
        <v>106</v>
      </c>
      <c r="Y375" s="5"/>
      <c r="Z375" s="4" t="s">
        <v>75</v>
      </c>
      <c r="AA375" s="6" t="n">
        <v>100000</v>
      </c>
      <c r="AB375" s="6" t="n">
        <v>100000</v>
      </c>
      <c r="AC375" s="6" t="n">
        <v>100000</v>
      </c>
      <c r="AD375" s="6" t="n">
        <v>100000</v>
      </c>
      <c r="AE375" s="4" t="s">
        <v>2381</v>
      </c>
      <c r="AF375" s="5" t="s">
        <v>2382</v>
      </c>
      <c r="AG375" s="4" t="s">
        <v>433</v>
      </c>
      <c r="AH375" s="4" t="s">
        <v>433</v>
      </c>
      <c r="AI375" s="5"/>
      <c r="AJ375" s="1" t="n">
        <v>1</v>
      </c>
      <c r="AK375" s="11" t="n">
        <v>1</v>
      </c>
      <c r="AL375" s="12" t="s">
        <v>81</v>
      </c>
      <c r="AM375" s="13" t="str">
        <f>IF(AL375="","",AL375&amp;" - "&amp;IFERROR(VLOOKUP(AL375,CODEBOOK_CAP!$C$2:$D$212,2,FALSE),""))</f>
        <v>0322 - ESTRUTURAS, HOSPITAIS, CLÍNICAS</v>
      </c>
      <c r="AN375" s="13" t="str">
        <f>IF(AL375="","",IFERROR(VLOOKUP(AL375,CODEBOOK_CAP!$C$2:$E$212,3,FALSE),""))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375" s="11" t="n">
        <v>0</v>
      </c>
      <c r="AP375" s="11"/>
      <c r="AQ375" s="11" t="n">
        <v>0</v>
      </c>
      <c r="AR375" s="11" t="n">
        <v>0</v>
      </c>
      <c r="AS375" s="11"/>
      <c r="AT375" s="11" t="n">
        <v>0</v>
      </c>
      <c r="AU375" s="11"/>
      <c r="AV375" s="11"/>
      <c r="AW375" s="11"/>
      <c r="AX375" s="7" t="s">
        <v>84</v>
      </c>
      <c r="AY375" s="7"/>
      <c r="AZ375" s="7"/>
      <c r="BA375" s="7"/>
    </row>
    <row r="376" ht="85.5" customHeight="1">
      <c r="A376" s="4" t="s">
        <v>2383</v>
      </c>
      <c r="B376" s="4" t="n">
        <v>2022</v>
      </c>
      <c r="C376" s="4" t="n">
        <v>4461</v>
      </c>
      <c r="D376" s="4" t="s">
        <v>54</v>
      </c>
      <c r="E376" s="4" t="s">
        <v>2362</v>
      </c>
      <c r="F376" s="5" t="s">
        <v>2384</v>
      </c>
      <c r="G376" s="4" t="s">
        <v>57</v>
      </c>
      <c r="H376" s="4" t="s">
        <v>2364</v>
      </c>
      <c r="I376" s="4" t="s">
        <v>876</v>
      </c>
      <c r="J376" s="4" t="s">
        <v>2385</v>
      </c>
      <c r="K376" s="4" t="s">
        <v>428</v>
      </c>
      <c r="L376" s="5" t="s">
        <v>62</v>
      </c>
      <c r="M376" s="4" t="s">
        <v>63</v>
      </c>
      <c r="N376" s="5" t="s">
        <v>64</v>
      </c>
      <c r="O376" s="4" t="s">
        <v>65</v>
      </c>
      <c r="P376" s="5" t="s">
        <v>193</v>
      </c>
      <c r="Q376" s="4" t="s">
        <v>194</v>
      </c>
      <c r="R376" s="5" t="s">
        <v>195</v>
      </c>
      <c r="S376" s="4" t="s">
        <v>196</v>
      </c>
      <c r="T376" s="5" t="s">
        <v>429</v>
      </c>
      <c r="U376" s="4" t="s">
        <v>430</v>
      </c>
      <c r="V376" s="5" t="s">
        <v>104</v>
      </c>
      <c r="W376" s="4" t="s">
        <v>105</v>
      </c>
      <c r="X376" s="4" t="s">
        <v>106</v>
      </c>
      <c r="Y376" s="5"/>
      <c r="Z376" s="4" t="s">
        <v>75</v>
      </c>
      <c r="AA376" s="6" t="n">
        <v>100000</v>
      </c>
      <c r="AB376" s="6" t="n">
        <v>100000</v>
      </c>
      <c r="AC376" s="6" t="n">
        <v>100000</v>
      </c>
      <c r="AD376" s="6" t="n">
        <v>100000</v>
      </c>
      <c r="AE376" s="4" t="s">
        <v>458</v>
      </c>
      <c r="AF376" s="5" t="s">
        <v>459</v>
      </c>
      <c r="AG376" s="4" t="s">
        <v>433</v>
      </c>
      <c r="AH376" s="4" t="s">
        <v>433</v>
      </c>
      <c r="AI376" s="5"/>
      <c r="AJ376" s="1" t="n">
        <v>1</v>
      </c>
      <c r="AK376" s="11" t="n">
        <v>1</v>
      </c>
      <c r="AL376" s="12" t="s">
        <v>81</v>
      </c>
      <c r="AM376" s="13" t="str">
        <f>IF(AL376="","",AL376&amp;" - "&amp;IFERROR(VLOOKUP(AL376,CODEBOOK_CAP!$C$2:$D$212,2,FALSE),""))</f>
        <v>0322 - ESTRUTURAS, HOSPITAIS, CLÍNICAS</v>
      </c>
      <c r="AN376" s="13" t="str">
        <f>IF(AL376="","",IFERROR(VLOOKUP(AL376,CODEBOOK_CAP!$C$2:$E$212,3,FALSE),""))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376" s="11" t="n">
        <v>0</v>
      </c>
      <c r="AP376" s="11"/>
      <c r="AQ376" s="11" t="n">
        <v>1</v>
      </c>
      <c r="AR376" s="11" t="n">
        <v>1</v>
      </c>
      <c r="AS376" s="11" t="s">
        <v>460</v>
      </c>
      <c r="AT376" s="11" t="n">
        <v>0</v>
      </c>
      <c r="AU376" s="11"/>
      <c r="AV376" s="11"/>
      <c r="AW376" s="11"/>
      <c r="AX376" s="7" t="s">
        <v>84</v>
      </c>
      <c r="AY376" s="7"/>
      <c r="AZ376" s="7"/>
      <c r="BA376" s="7"/>
    </row>
    <row r="377" ht="156.75" customHeight="1">
      <c r="A377" s="4" t="s">
        <v>2386</v>
      </c>
      <c r="B377" s="4" t="n">
        <v>2022</v>
      </c>
      <c r="C377" s="4" t="n">
        <v>4462</v>
      </c>
      <c r="D377" s="4" t="s">
        <v>54</v>
      </c>
      <c r="E377" s="4" t="s">
        <v>2362</v>
      </c>
      <c r="F377" s="5" t="s">
        <v>2387</v>
      </c>
      <c r="G377" s="4" t="s">
        <v>57</v>
      </c>
      <c r="H377" s="4" t="s">
        <v>2364</v>
      </c>
      <c r="I377" s="4" t="s">
        <v>876</v>
      </c>
      <c r="J377" s="4" t="s">
        <v>2388</v>
      </c>
      <c r="K377" s="4" t="s">
        <v>1701</v>
      </c>
      <c r="L377" s="5" t="s">
        <v>62</v>
      </c>
      <c r="M377" s="4" t="s">
        <v>63</v>
      </c>
      <c r="N377" s="5" t="s">
        <v>64</v>
      </c>
      <c r="O377" s="4" t="s">
        <v>65</v>
      </c>
      <c r="P377" s="5" t="s">
        <v>344</v>
      </c>
      <c r="Q377" s="4" t="s">
        <v>345</v>
      </c>
      <c r="R377" s="5" t="s">
        <v>346</v>
      </c>
      <c r="S377" s="4" t="s">
        <v>347</v>
      </c>
      <c r="T377" s="5" t="s">
        <v>555</v>
      </c>
      <c r="U377" s="4" t="s">
        <v>347</v>
      </c>
      <c r="V377" s="5" t="s">
        <v>104</v>
      </c>
      <c r="W377" s="4" t="s">
        <v>105</v>
      </c>
      <c r="X377" s="4" t="s">
        <v>106</v>
      </c>
      <c r="Y377" s="5"/>
      <c r="Z377" s="4" t="s">
        <v>75</v>
      </c>
      <c r="AA377" s="6" t="n">
        <v>100000</v>
      </c>
      <c r="AB377" s="6" t="n">
        <v>59740</v>
      </c>
      <c r="AC377" s="6" t="n">
        <v>59740</v>
      </c>
      <c r="AD377" s="6" t="n">
        <v>59740</v>
      </c>
      <c r="AE377" s="4" t="s">
        <v>2389</v>
      </c>
      <c r="AF377" s="5" t="s">
        <v>2390</v>
      </c>
      <c r="AG377" s="4" t="s">
        <v>78</v>
      </c>
      <c r="AH377" s="4" t="s">
        <v>79</v>
      </c>
      <c r="AI377" s="5" t="s">
        <v>80</v>
      </c>
      <c r="AJ377" s="1" t="n">
        <v>1</v>
      </c>
      <c r="AK377" s="11" t="n">
        <v>1</v>
      </c>
      <c r="AL377" s="12" t="s">
        <v>556</v>
      </c>
      <c r="AM377" s="13" t="str">
        <f>IF(AL377="","",AL377&amp;" - "&amp;IFERROR(VLOOKUP(AL377,CODEBOOK_CAP!$C$2:$D$212,2,FALSE),""))</f>
        <v>0304 - CUIDADOS PRIMARIOS E ATENÇÃO BÁSICA</v>
      </c>
      <c r="AN377" s="13" t="str">
        <f>IF(AL377="","",IFERROR(VLOOKUP(AL377,CODEBOOK_CAP!$C$2:$E$212,3,FALSE),""))</f>
        <v>Medicina da familia, cuidados básicos e informativos de saude, higiene pessoal e higiene alimentar. Normalmente vinculada a comunidades carentes e de exercício de práticas gerenciais e sanitárias democráticas, atuacao de trabalho em equipe, dirigidas a populações de territórios bem delimitados, pelas quais assume a responsabilidade sanitária, considerando a dinamicidade existente no território em que vivem essas populações. Programa saúde da família, Política Nacional de atenção básica, Equipes de Saúde da Família, Agentes comunitários de saúde. Mias médicos quando se tratar de inclusão regional, interiorização do atendimento. Quando tratar apenas de prevenção e promoção a saude, como campanhas específicas contra dengue, DSTs, codificar em (331)</v>
      </c>
      <c r="AO377" s="11" t="n">
        <v>0</v>
      </c>
      <c r="AP377" s="11"/>
      <c r="AQ377" s="11" t="n">
        <v>1</v>
      </c>
      <c r="AR377" s="11" t="n">
        <v>1</v>
      </c>
      <c r="AS377" s="11" t="s">
        <v>2391</v>
      </c>
      <c r="AT377" s="11" t="n">
        <v>0</v>
      </c>
      <c r="AU377" s="11"/>
      <c r="AV377" s="11"/>
      <c r="AW377" s="11"/>
      <c r="AX377" s="7" t="s">
        <v>84</v>
      </c>
      <c r="AY377" s="7"/>
      <c r="AZ377" s="7"/>
      <c r="BA377" s="7"/>
    </row>
    <row r="378" ht="156.75" customHeight="1">
      <c r="A378" s="4" t="s">
        <v>2392</v>
      </c>
      <c r="B378" s="4" t="n">
        <v>2022</v>
      </c>
      <c r="C378" s="4" t="n">
        <v>4463</v>
      </c>
      <c r="D378" s="4" t="s">
        <v>54</v>
      </c>
      <c r="E378" s="4" t="s">
        <v>2362</v>
      </c>
      <c r="F378" s="5" t="s">
        <v>2393</v>
      </c>
      <c r="G378" s="4" t="s">
        <v>57</v>
      </c>
      <c r="H378" s="4" t="s">
        <v>2364</v>
      </c>
      <c r="I378" s="4" t="s">
        <v>876</v>
      </c>
      <c r="J378" s="4" t="s">
        <v>2394</v>
      </c>
      <c r="K378" s="4" t="s">
        <v>1701</v>
      </c>
      <c r="L378" s="5" t="s">
        <v>62</v>
      </c>
      <c r="M378" s="4" t="s">
        <v>63</v>
      </c>
      <c r="N378" s="5" t="s">
        <v>64</v>
      </c>
      <c r="O378" s="4" t="s">
        <v>65</v>
      </c>
      <c r="P378" s="5" t="s">
        <v>344</v>
      </c>
      <c r="Q378" s="4" t="s">
        <v>345</v>
      </c>
      <c r="R378" s="5" t="s">
        <v>346</v>
      </c>
      <c r="S378" s="4" t="s">
        <v>347</v>
      </c>
      <c r="T378" s="5" t="s">
        <v>555</v>
      </c>
      <c r="U378" s="4" t="s">
        <v>347</v>
      </c>
      <c r="V378" s="5" t="s">
        <v>104</v>
      </c>
      <c r="W378" s="4" t="s">
        <v>105</v>
      </c>
      <c r="X378" s="4" t="s">
        <v>106</v>
      </c>
      <c r="Y378" s="5"/>
      <c r="Z378" s="4" t="s">
        <v>75</v>
      </c>
      <c r="AA378" s="6" t="n">
        <v>100000</v>
      </c>
      <c r="AB378" s="6" t="n">
        <v>100000</v>
      </c>
      <c r="AC378" s="6" t="n">
        <v>100000</v>
      </c>
      <c r="AD378" s="6" t="n">
        <v>100000</v>
      </c>
      <c r="AE378" s="4" t="s">
        <v>2395</v>
      </c>
      <c r="AF378" s="5" t="s">
        <v>2396</v>
      </c>
      <c r="AG378" s="4" t="s">
        <v>78</v>
      </c>
      <c r="AH378" s="4" t="s">
        <v>79</v>
      </c>
      <c r="AI378" s="5" t="s">
        <v>80</v>
      </c>
      <c r="AJ378" s="1" t="n">
        <v>1</v>
      </c>
      <c r="AK378" s="11" t="n">
        <v>1</v>
      </c>
      <c r="AL378" s="12" t="s">
        <v>556</v>
      </c>
      <c r="AM378" s="13" t="str">
        <f>IF(AL378="","",AL378&amp;" - "&amp;IFERROR(VLOOKUP(AL378,CODEBOOK_CAP!$C$2:$D$212,2,FALSE),""))</f>
        <v>0304 - CUIDADOS PRIMARIOS E ATENÇÃO BÁSICA</v>
      </c>
      <c r="AN378" s="13" t="str">
        <f>IF(AL378="","",IFERROR(VLOOKUP(AL378,CODEBOOK_CAP!$C$2:$E$212,3,FALSE),""))</f>
        <v>Medicina da familia, cuidados básicos e informativos de saude, higiene pessoal e higiene alimentar. Normalmente vinculada a comunidades carentes e de exercício de práticas gerenciais e sanitárias democráticas, atuacao de trabalho em equipe, dirigidas a populações de territórios bem delimitados, pelas quais assume a responsabilidade sanitária, considerando a dinamicidade existente no território em que vivem essas populações. Programa saúde da família, Política Nacional de atenção básica, Equipes de Saúde da Família, Agentes comunitários de saúde. Mias médicos quando se tratar de inclusão regional, interiorização do atendimento. Quando tratar apenas de prevenção e promoção a saude, como campanhas específicas contra dengue, DSTs, codificar em (331)</v>
      </c>
      <c r="AO378" s="11" t="n">
        <v>0</v>
      </c>
      <c r="AP378" s="11"/>
      <c r="AQ378" s="11" t="n">
        <v>1</v>
      </c>
      <c r="AR378" s="11" t="n">
        <v>1</v>
      </c>
      <c r="AS378" s="11" t="s">
        <v>2397</v>
      </c>
      <c r="AT378" s="11" t="n">
        <v>0</v>
      </c>
      <c r="AU378" s="11"/>
      <c r="AV378" s="11"/>
      <c r="AW378" s="11"/>
      <c r="AX378" s="7" t="s">
        <v>84</v>
      </c>
      <c r="AY378" s="7"/>
      <c r="AZ378" s="7"/>
      <c r="BA378" s="7"/>
    </row>
    <row r="379" ht="85.5" customHeight="1">
      <c r="A379" s="4" t="s">
        <v>2398</v>
      </c>
      <c r="B379" s="4" t="n">
        <v>2022</v>
      </c>
      <c r="C379" s="4" t="n">
        <v>4464</v>
      </c>
      <c r="D379" s="4" t="s">
        <v>54</v>
      </c>
      <c r="E379" s="4" t="s">
        <v>2362</v>
      </c>
      <c r="F379" s="5" t="s">
        <v>2399</v>
      </c>
      <c r="G379" s="4" t="s">
        <v>57</v>
      </c>
      <c r="H379" s="4" t="s">
        <v>2364</v>
      </c>
      <c r="I379" s="4" t="s">
        <v>876</v>
      </c>
      <c r="J379" s="4" t="s">
        <v>2400</v>
      </c>
      <c r="K379" s="4" t="s">
        <v>975</v>
      </c>
      <c r="L379" s="5" t="s">
        <v>62</v>
      </c>
      <c r="M379" s="4" t="s">
        <v>63</v>
      </c>
      <c r="N379" s="5" t="s">
        <v>64</v>
      </c>
      <c r="O379" s="4" t="s">
        <v>65</v>
      </c>
      <c r="P379" s="5" t="s">
        <v>193</v>
      </c>
      <c r="Q379" s="4" t="s">
        <v>194</v>
      </c>
      <c r="R379" s="5" t="s">
        <v>195</v>
      </c>
      <c r="S379" s="4" t="s">
        <v>196</v>
      </c>
      <c r="T379" s="5" t="s">
        <v>429</v>
      </c>
      <c r="U379" s="4" t="s">
        <v>430</v>
      </c>
      <c r="V379" s="5" t="s">
        <v>757</v>
      </c>
      <c r="W379" s="4" t="s">
        <v>105</v>
      </c>
      <c r="X379" s="4" t="s">
        <v>106</v>
      </c>
      <c r="Y379" s="5"/>
      <c r="Z379" s="4" t="s">
        <v>75</v>
      </c>
      <c r="AA379" s="6" t="n">
        <v>289000</v>
      </c>
      <c r="AB379" s="6" t="n">
        <v>289000</v>
      </c>
      <c r="AC379" s="6" t="n">
        <v>289000</v>
      </c>
      <c r="AD379" s="6" t="n">
        <v>289000</v>
      </c>
      <c r="AE379" s="4" t="s">
        <v>976</v>
      </c>
      <c r="AF379" s="5" t="s">
        <v>759</v>
      </c>
      <c r="AG379" s="4" t="s">
        <v>78</v>
      </c>
      <c r="AH379" s="4" t="s">
        <v>79</v>
      </c>
      <c r="AI379" s="5" t="s">
        <v>80</v>
      </c>
      <c r="AJ379" s="1" t="n">
        <v>1</v>
      </c>
      <c r="AK379" s="11" t="n">
        <v>1</v>
      </c>
      <c r="AL379" s="12" t="s">
        <v>81</v>
      </c>
      <c r="AM379" s="13" t="str">
        <f>IF(AL379="","",AL379&amp;" - "&amp;IFERROR(VLOOKUP(AL379,CODEBOOK_CAP!$C$2:$D$212,2,FALSE),""))</f>
        <v>0322 - ESTRUTURAS, HOSPITAIS, CLÍNICAS</v>
      </c>
      <c r="AN379" s="13" t="str">
        <f>IF(AL379="","",IFERROR(VLOOKUP(AL379,CODEBOOK_CAP!$C$2:$E$212,3,FALSE),""))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379" s="11" t="n">
        <v>0</v>
      </c>
      <c r="AP379" s="11"/>
      <c r="AQ379" s="11" t="n">
        <v>1</v>
      </c>
      <c r="AR379" s="11" t="n">
        <v>1</v>
      </c>
      <c r="AS379" s="11" t="s">
        <v>2401</v>
      </c>
      <c r="AT379" s="11" t="n">
        <v>0</v>
      </c>
      <c r="AU379" s="11"/>
      <c r="AV379" s="11"/>
      <c r="AW379" s="11"/>
      <c r="AX379" s="7" t="s">
        <v>84</v>
      </c>
      <c r="AY379" s="7"/>
      <c r="AZ379" s="7"/>
      <c r="BA379" s="7"/>
    </row>
    <row r="380" ht="128.25" customHeight="1">
      <c r="A380" s="4" t="s">
        <v>2402</v>
      </c>
      <c r="B380" s="4" t="n">
        <v>2022</v>
      </c>
      <c r="C380" s="4" t="n">
        <v>4465</v>
      </c>
      <c r="D380" s="4" t="s">
        <v>54</v>
      </c>
      <c r="E380" s="4" t="s">
        <v>2362</v>
      </c>
      <c r="F380" s="5" t="s">
        <v>2403</v>
      </c>
      <c r="G380" s="4" t="s">
        <v>57</v>
      </c>
      <c r="H380" s="4" t="s">
        <v>2364</v>
      </c>
      <c r="I380" s="4" t="s">
        <v>876</v>
      </c>
      <c r="J380" s="4" t="s">
        <v>2404</v>
      </c>
      <c r="K380" s="4" t="s">
        <v>273</v>
      </c>
      <c r="L380" s="5" t="s">
        <v>62</v>
      </c>
      <c r="M380" s="4" t="s">
        <v>63</v>
      </c>
      <c r="N380" s="5" t="s">
        <v>64</v>
      </c>
      <c r="O380" s="4" t="s">
        <v>65</v>
      </c>
      <c r="P380" s="5" t="s">
        <v>193</v>
      </c>
      <c r="Q380" s="4" t="s">
        <v>194</v>
      </c>
      <c r="R380" s="5" t="s">
        <v>195</v>
      </c>
      <c r="S380" s="4" t="s">
        <v>196</v>
      </c>
      <c r="T380" s="5" t="s">
        <v>197</v>
      </c>
      <c r="U380" s="4" t="s">
        <v>198</v>
      </c>
      <c r="V380" s="5" t="s">
        <v>274</v>
      </c>
      <c r="W380" s="4" t="s">
        <v>105</v>
      </c>
      <c r="X380" s="4" t="s">
        <v>106</v>
      </c>
      <c r="Y380" s="5"/>
      <c r="Z380" s="4" t="s">
        <v>75</v>
      </c>
      <c r="AA380" s="6" t="n">
        <v>150000</v>
      </c>
      <c r="AB380" s="6" t="n">
        <v>150000</v>
      </c>
      <c r="AC380" s="6" t="n">
        <v>150000</v>
      </c>
      <c r="AD380" s="6" t="n">
        <v>150000</v>
      </c>
      <c r="AE380" s="4" t="s">
        <v>829</v>
      </c>
      <c r="AF380" s="5" t="s">
        <v>830</v>
      </c>
      <c r="AG380" s="4" t="s">
        <v>78</v>
      </c>
      <c r="AH380" s="4" t="s">
        <v>79</v>
      </c>
      <c r="AI380" s="5" t="s">
        <v>80</v>
      </c>
      <c r="AJ380" s="1" t="n">
        <v>1</v>
      </c>
      <c r="AK380" s="11" t="n">
        <v>1</v>
      </c>
      <c r="AL380" s="12" t="s">
        <v>831</v>
      </c>
      <c r="AM380" s="13" t="str">
        <f>IF(AL380="","",AL380&amp;" - "&amp;IFERROR(VLOOKUP(AL380,CODEBOOK_CAP!$C$2:$D$212,2,FALSE),""))</f>
        <v>0342 - ALCOOLISMO e TOXICODEPENDÊNCIA</v>
      </c>
      <c r="AN380" s="13" t="str">
        <f>IF(AL380="","",IFERROR(VLOOKUP(AL380,CODEBOOK_CAP!$C$2:$E$212,3,FALSE),""))</f>
        <v>Regulação da publicidade e propaganda de bebidas alcoolicas, rotulos, venda e comercialização, LEI SECA, campanhas de prevenção específicas sobre alcoolismo, centros de recuperação, tratamentos aprovados, doenças relacionadas ao consumo excessivo e a dependencia de beidas alcoolicas. Programas de prevenção específicas contra drogas ilegais, centros especializados, políticas de proteção e de recuperação de usuários, Cracolândia, sempre relaciobadas com a saúde e drogas. Cocaína, Crack, maconha, LSD. Não confundir com tráfico (1203) ou regulamentação da legalidade de drogas (321)</v>
      </c>
      <c r="AO380" s="11" t="n">
        <v>0</v>
      </c>
      <c r="AP380" s="11"/>
      <c r="AQ380" s="11" t="n">
        <v>0</v>
      </c>
      <c r="AR380" s="11" t="n">
        <v>0</v>
      </c>
      <c r="AS380" s="11"/>
      <c r="AT380" s="11" t="n">
        <v>0</v>
      </c>
      <c r="AU380" s="11"/>
      <c r="AV380" s="11"/>
      <c r="AW380" s="11"/>
      <c r="AX380" s="7" t="s">
        <v>84</v>
      </c>
      <c r="AY380" s="7"/>
      <c r="AZ380" s="7"/>
      <c r="BA380" s="7"/>
    </row>
    <row r="381" ht="171" customHeight="1">
      <c r="A381" s="4" t="s">
        <v>2405</v>
      </c>
      <c r="B381" s="4" t="n">
        <v>2022</v>
      </c>
      <c r="C381" s="4" t="n">
        <v>4466</v>
      </c>
      <c r="D381" s="4" t="s">
        <v>54</v>
      </c>
      <c r="E381" s="4" t="s">
        <v>2362</v>
      </c>
      <c r="F381" s="5" t="s">
        <v>2406</v>
      </c>
      <c r="G381" s="4" t="s">
        <v>57</v>
      </c>
      <c r="H381" s="4" t="s">
        <v>2364</v>
      </c>
      <c r="I381" s="4" t="s">
        <v>876</v>
      </c>
      <c r="J381" s="4" t="s">
        <v>2407</v>
      </c>
      <c r="K381" s="4" t="s">
        <v>478</v>
      </c>
      <c r="L381" s="5" t="s">
        <v>122</v>
      </c>
      <c r="M381" s="4" t="s">
        <v>123</v>
      </c>
      <c r="N381" s="5" t="s">
        <v>479</v>
      </c>
      <c r="O381" s="4" t="s">
        <v>480</v>
      </c>
      <c r="P381" s="5" t="s">
        <v>66</v>
      </c>
      <c r="Q381" s="4" t="s">
        <v>67</v>
      </c>
      <c r="R381" s="5" t="s">
        <v>322</v>
      </c>
      <c r="S381" s="4" t="s">
        <v>323</v>
      </c>
      <c r="T381" s="5" t="s">
        <v>481</v>
      </c>
      <c r="U381" s="4" t="s">
        <v>482</v>
      </c>
      <c r="V381" s="5" t="s">
        <v>72</v>
      </c>
      <c r="W381" s="4" t="s">
        <v>73</v>
      </c>
      <c r="X381" s="4" t="s">
        <v>74</v>
      </c>
      <c r="Y381" s="5"/>
      <c r="Z381" s="4" t="s">
        <v>132</v>
      </c>
      <c r="AA381" s="6" t="n">
        <v>217047</v>
      </c>
      <c r="AB381" s="6" t="n">
        <v>141699</v>
      </c>
      <c r="AC381" s="6" t="n">
        <v>141699</v>
      </c>
      <c r="AD381" s="6" t="n">
        <v>141699</v>
      </c>
      <c r="AE381" s="4" t="s">
        <v>2408</v>
      </c>
      <c r="AF381" s="5" t="s">
        <v>2409</v>
      </c>
      <c r="AG381" s="4" t="s">
        <v>78</v>
      </c>
      <c r="AH381" s="4" t="s">
        <v>79</v>
      </c>
      <c r="AI381" s="5" t="s">
        <v>80</v>
      </c>
      <c r="AJ381" s="1" t="n">
        <v>0</v>
      </c>
      <c r="AK381" s="11" t="n">
        <v>0</v>
      </c>
      <c r="AL381" s="12" t="s">
        <v>314</v>
      </c>
      <c r="AM381" s="13" t="str">
        <f>IF(AL381="","",AL381&amp;" - "&amp;IFERROR(VLOOKUP(AL381,CODEBOOK_CAP!$C$2:$D$212,2,FALSE),""))</f>
        <v>1201 - POLÍCIA, AGENCIAS E INSTITUIÇÕES - LEI E CRIMES</v>
      </c>
      <c r="AN381" s="13" t="str">
        <f>IF(AL381="","",IFERROR(VLOOKUP(AL381,CODEBOOK_CAP!$C$2:$E$212,3,FALSE),""))</f>
        <v>Questões relacionadas aos atores, intituições, agencias e agentes que atuam em questões relacionadas a justiça, lei, crime e violência. Servicos e instituições de apoio civil. Assuntos relacionados a atuação de Bombeiros, socorristas, guarda floresta, guarda costeira e proteção civil. Ministério Público, Ministério da Justiça, Polícia Federal, Tribunal de Contas, inteligência, proteção a vítimas, delação premiada, sistemas e banco de dados de justiça, computação vinculada a sistemas de combate a crimes e fraudes. Aqui a observação é sobre as INSTITUIÇÕES EM SI, e não sobre o assunto do qual ela trata, Os assuntos estão nos próximos sub-códigos</v>
      </c>
      <c r="AO381" s="11" t="n">
        <v>0</v>
      </c>
      <c r="AP381" s="11"/>
      <c r="AQ381" s="11" t="n">
        <v>0</v>
      </c>
      <c r="AR381" s="11" t="n">
        <v>0</v>
      </c>
      <c r="AS381" s="11"/>
      <c r="AT381" s="11" t="n">
        <v>0</v>
      </c>
      <c r="AU381" s="11"/>
      <c r="AV381" s="11"/>
      <c r="AW381" s="11"/>
      <c r="AX381" s="7" t="s">
        <v>84</v>
      </c>
      <c r="AY381" s="7"/>
      <c r="AZ381" s="7"/>
      <c r="BA381" s="7"/>
    </row>
    <row r="382" ht="57" customHeight="1">
      <c r="A382" s="4" t="s">
        <v>2410</v>
      </c>
      <c r="B382" s="4" t="n">
        <v>2022</v>
      </c>
      <c r="C382" s="4" t="n">
        <v>4467</v>
      </c>
      <c r="D382" s="4" t="s">
        <v>54</v>
      </c>
      <c r="E382" s="4" t="s">
        <v>2362</v>
      </c>
      <c r="F382" s="5" t="s">
        <v>2411</v>
      </c>
      <c r="G382" s="4" t="s">
        <v>57</v>
      </c>
      <c r="H382" s="4" t="s">
        <v>2364</v>
      </c>
      <c r="I382" s="4" t="s">
        <v>876</v>
      </c>
      <c r="J382" s="4" t="s">
        <v>2412</v>
      </c>
      <c r="K382" s="4" t="s">
        <v>478</v>
      </c>
      <c r="L382" s="5" t="s">
        <v>122</v>
      </c>
      <c r="M382" s="4" t="s">
        <v>123</v>
      </c>
      <c r="N382" s="5" t="s">
        <v>479</v>
      </c>
      <c r="O382" s="4" t="s">
        <v>480</v>
      </c>
      <c r="P382" s="5" t="s">
        <v>66</v>
      </c>
      <c r="Q382" s="4" t="s">
        <v>67</v>
      </c>
      <c r="R382" s="5" t="s">
        <v>322</v>
      </c>
      <c r="S382" s="4" t="s">
        <v>323</v>
      </c>
      <c r="T382" s="5" t="s">
        <v>481</v>
      </c>
      <c r="U382" s="4" t="s">
        <v>482</v>
      </c>
      <c r="V382" s="5" t="s">
        <v>72</v>
      </c>
      <c r="W382" s="4" t="s">
        <v>73</v>
      </c>
      <c r="X382" s="4" t="s">
        <v>74</v>
      </c>
      <c r="Y382" s="5"/>
      <c r="Z382" s="4" t="s">
        <v>132</v>
      </c>
      <c r="AA382" s="6" t="n">
        <v>35017</v>
      </c>
      <c r="AB382" s="6" t="n">
        <v>0</v>
      </c>
      <c r="AC382" s="6" t="n">
        <v>0</v>
      </c>
      <c r="AD382" s="6" t="n">
        <v>0</v>
      </c>
      <c r="AE382" s="4"/>
      <c r="AF382" s="5"/>
      <c r="AG382" s="4" t="s">
        <v>78</v>
      </c>
      <c r="AH382" s="4" t="s">
        <v>79</v>
      </c>
      <c r="AI382" s="5" t="s">
        <v>80</v>
      </c>
      <c r="AJ382" s="1" t="n">
        <v>0</v>
      </c>
      <c r="AK382" s="11" t="n">
        <v>0</v>
      </c>
      <c r="AL382" s="12" t="s">
        <v>328</v>
      </c>
      <c r="AM382" s="13" t="str">
        <f>IF(AL382="","",AL382&amp;" - "&amp;IFERROR(VLOOKUP(AL382,CODEBOOK_CAP!$C$2:$D$212,2,FALSE),""))</f>
        <v>1403 - REABILITAÇÃO URBANA, ECONOMIA URBANA</v>
      </c>
      <c r="AN382" s="13" t="str">
        <f>IF(AL382="","",IFERROR(VLOOKUP(AL382,CODEBOOK_CAP!$C$2:$E$212,3,FALSE),""))</f>
        <v>Reabilitação de áreas urbanas, revitalização urbana, modernização de áreas, mercados públicos, revitalização de praças, política urbana nacional, desenvolvimento urbano , desenvolvimento econômico de estados e cidades, modernização de espaços urbanos</v>
      </c>
      <c r="AO382" s="11" t="n">
        <v>0</v>
      </c>
      <c r="AP382" s="11"/>
      <c r="AQ382" s="11" t="n">
        <v>0</v>
      </c>
      <c r="AR382" s="11" t="n">
        <v>0</v>
      </c>
      <c r="AS382" s="11"/>
      <c r="AT382" s="11" t="n">
        <v>1</v>
      </c>
      <c r="AU382" s="11" t="s">
        <v>1055</v>
      </c>
      <c r="AV382" s="11"/>
      <c r="AW382" s="11"/>
      <c r="AX382" s="7" t="s">
        <v>84</v>
      </c>
      <c r="AY382" s="7"/>
      <c r="AZ382" s="7"/>
      <c r="BA382" s="7"/>
    </row>
    <row r="383" ht="57" customHeight="1">
      <c r="A383" s="4" t="s">
        <v>2413</v>
      </c>
      <c r="B383" s="4" t="n">
        <v>2022</v>
      </c>
      <c r="C383" s="4" t="n">
        <v>4468</v>
      </c>
      <c r="D383" s="4" t="s">
        <v>54</v>
      </c>
      <c r="E383" s="4" t="s">
        <v>2362</v>
      </c>
      <c r="F383" s="5" t="s">
        <v>2414</v>
      </c>
      <c r="G383" s="4" t="s">
        <v>57</v>
      </c>
      <c r="H383" s="4" t="s">
        <v>2364</v>
      </c>
      <c r="I383" s="4" t="s">
        <v>876</v>
      </c>
      <c r="J383" s="4" t="s">
        <v>2415</v>
      </c>
      <c r="K383" s="4" t="s">
        <v>478</v>
      </c>
      <c r="L383" s="5" t="s">
        <v>122</v>
      </c>
      <c r="M383" s="4" t="s">
        <v>123</v>
      </c>
      <c r="N383" s="5" t="s">
        <v>479</v>
      </c>
      <c r="O383" s="4" t="s">
        <v>480</v>
      </c>
      <c r="P383" s="5" t="s">
        <v>66</v>
      </c>
      <c r="Q383" s="4" t="s">
        <v>67</v>
      </c>
      <c r="R383" s="5" t="s">
        <v>322</v>
      </c>
      <c r="S383" s="4" t="s">
        <v>323</v>
      </c>
      <c r="T383" s="5" t="s">
        <v>481</v>
      </c>
      <c r="U383" s="4" t="s">
        <v>482</v>
      </c>
      <c r="V383" s="5" t="s">
        <v>72</v>
      </c>
      <c r="W383" s="4" t="s">
        <v>73</v>
      </c>
      <c r="X383" s="4" t="s">
        <v>74</v>
      </c>
      <c r="Y383" s="5"/>
      <c r="Z383" s="4" t="s">
        <v>132</v>
      </c>
      <c r="AA383" s="6" t="n">
        <v>216473</v>
      </c>
      <c r="AB383" s="6" t="n">
        <v>186378</v>
      </c>
      <c r="AC383" s="6" t="n">
        <v>186378</v>
      </c>
      <c r="AD383" s="6" t="n">
        <v>186378</v>
      </c>
      <c r="AE383" s="4" t="s">
        <v>2416</v>
      </c>
      <c r="AF383" s="5" t="s">
        <v>2417</v>
      </c>
      <c r="AG383" s="4" t="s">
        <v>78</v>
      </c>
      <c r="AH383" s="4" t="s">
        <v>79</v>
      </c>
      <c r="AI383" s="5" t="s">
        <v>80</v>
      </c>
      <c r="AJ383" s="1" t="n">
        <v>0</v>
      </c>
      <c r="AK383" s="11" t="n">
        <v>0</v>
      </c>
      <c r="AL383" s="12" t="s">
        <v>328</v>
      </c>
      <c r="AM383" s="13" t="str">
        <f>IF(AL383="","",AL383&amp;" - "&amp;IFERROR(VLOOKUP(AL383,CODEBOOK_CAP!$C$2:$D$212,2,FALSE),""))</f>
        <v>1403 - REABILITAÇÃO URBANA, ECONOMIA URBANA</v>
      </c>
      <c r="AN383" s="13" t="str">
        <f>IF(AL383="","",IFERROR(VLOOKUP(AL383,CODEBOOK_CAP!$C$2:$E$212,3,FALSE),""))</f>
        <v>Reabilitação de áreas urbanas, revitalização urbana, modernização de áreas, mercados públicos, revitalização de praças, política urbana nacional, desenvolvimento urbano , desenvolvimento econômico de estados e cidades, modernização de espaços urbanos</v>
      </c>
      <c r="AO383" s="11" t="n">
        <v>0</v>
      </c>
      <c r="AP383" s="11"/>
      <c r="AQ383" s="11" t="n">
        <v>0</v>
      </c>
      <c r="AR383" s="11" t="n">
        <v>0</v>
      </c>
      <c r="AS383" s="11"/>
      <c r="AT383" s="11" t="n">
        <v>1</v>
      </c>
      <c r="AU383" s="11" t="s">
        <v>1055</v>
      </c>
      <c r="AV383" s="11"/>
      <c r="AW383" s="11"/>
      <c r="AX383" s="7" t="s">
        <v>84</v>
      </c>
      <c r="AY383" s="7"/>
      <c r="AZ383" s="7"/>
      <c r="BA383" s="7"/>
    </row>
    <row r="384" ht="85.5" customHeight="1">
      <c r="A384" s="4" t="s">
        <v>2418</v>
      </c>
      <c r="B384" s="4" t="n">
        <v>2022</v>
      </c>
      <c r="C384" s="4" t="n">
        <v>4469</v>
      </c>
      <c r="D384" s="4" t="s">
        <v>54</v>
      </c>
      <c r="E384" s="4" t="s">
        <v>2362</v>
      </c>
      <c r="F384" s="5" t="s">
        <v>2419</v>
      </c>
      <c r="G384" s="4" t="s">
        <v>57</v>
      </c>
      <c r="H384" s="4" t="s">
        <v>2364</v>
      </c>
      <c r="I384" s="4" t="s">
        <v>876</v>
      </c>
      <c r="J384" s="4" t="s">
        <v>2420</v>
      </c>
      <c r="K384" s="4" t="s">
        <v>931</v>
      </c>
      <c r="L384" s="5" t="s">
        <v>595</v>
      </c>
      <c r="M384" s="4" t="s">
        <v>596</v>
      </c>
      <c r="N384" s="5" t="s">
        <v>597</v>
      </c>
      <c r="O384" s="4" t="s">
        <v>598</v>
      </c>
      <c r="P384" s="5" t="s">
        <v>669</v>
      </c>
      <c r="Q384" s="4" t="s">
        <v>670</v>
      </c>
      <c r="R384" s="5" t="s">
        <v>671</v>
      </c>
      <c r="S384" s="4" t="s">
        <v>672</v>
      </c>
      <c r="T384" s="5" t="s">
        <v>603</v>
      </c>
      <c r="U384" s="4" t="s">
        <v>604</v>
      </c>
      <c r="V384" s="5" t="s">
        <v>605</v>
      </c>
      <c r="W384" s="4" t="s">
        <v>73</v>
      </c>
      <c r="X384" s="4" t="s">
        <v>74</v>
      </c>
      <c r="Y384" s="5"/>
      <c r="Z384" s="4" t="s">
        <v>606</v>
      </c>
      <c r="AA384" s="6" t="n">
        <v>100000</v>
      </c>
      <c r="AB384" s="6" t="n">
        <v>100000</v>
      </c>
      <c r="AC384" s="6" t="n">
        <v>100000</v>
      </c>
      <c r="AD384" s="6" t="n">
        <v>100000</v>
      </c>
      <c r="AE384" s="4" t="s">
        <v>2421</v>
      </c>
      <c r="AF384" s="5" t="s">
        <v>2422</v>
      </c>
      <c r="AG384" s="4" t="s">
        <v>78</v>
      </c>
      <c r="AH384" s="4" t="s">
        <v>79</v>
      </c>
      <c r="AI384" s="5" t="s">
        <v>80</v>
      </c>
      <c r="AJ384" s="1" t="n">
        <v>0</v>
      </c>
      <c r="AK384" s="11" t="n">
        <v>0</v>
      </c>
      <c r="AL384" s="12" t="s">
        <v>609</v>
      </c>
      <c r="AM384" s="13" t="str">
        <f>IF(AL384="","",AL384&amp;" - "&amp;IFERROR(VLOOKUP(AL384,CODEBOOK_CAP!$C$2:$D$212,2,FALSE),""))</f>
        <v>0607 - PROMOCAO DA QUALIDADE, ESTRUTURA E AÇÕES</v>
      </c>
      <c r="AN384" s="13" t="str">
        <f>IF(AL384="","",IFERROR(VLOOKUP(AL384,CODEBOOK_CAP!$C$2:$E$212,3,FALSE),""))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384" s="11" t="n">
        <v>0</v>
      </c>
      <c r="AP384" s="11"/>
      <c r="AQ384" s="11" t="n">
        <v>1</v>
      </c>
      <c r="AR384" s="11" t="n">
        <v>1</v>
      </c>
      <c r="AS384" s="11" t="s">
        <v>2423</v>
      </c>
      <c r="AT384" s="11" t="n">
        <v>1</v>
      </c>
      <c r="AU384" s="11" t="s">
        <v>503</v>
      </c>
      <c r="AV384" s="11"/>
      <c r="AW384" s="11"/>
      <c r="AX384" s="7" t="s">
        <v>84</v>
      </c>
      <c r="AY384" s="7"/>
      <c r="AZ384" s="7"/>
      <c r="BA384" s="7"/>
    </row>
    <row r="385" ht="85.5" customHeight="1">
      <c r="A385" s="4" t="s">
        <v>2424</v>
      </c>
      <c r="B385" s="4" t="n">
        <v>2022</v>
      </c>
      <c r="C385" s="4" t="n">
        <v>4470</v>
      </c>
      <c r="D385" s="4" t="s">
        <v>54</v>
      </c>
      <c r="E385" s="4" t="s">
        <v>2362</v>
      </c>
      <c r="F385" s="5" t="s">
        <v>2425</v>
      </c>
      <c r="G385" s="4" t="s">
        <v>57</v>
      </c>
      <c r="H385" s="4" t="s">
        <v>2364</v>
      </c>
      <c r="I385" s="4" t="s">
        <v>876</v>
      </c>
      <c r="J385" s="4" t="s">
        <v>2426</v>
      </c>
      <c r="K385" s="4" t="s">
        <v>2427</v>
      </c>
      <c r="L385" s="5" t="s">
        <v>595</v>
      </c>
      <c r="M385" s="4" t="s">
        <v>596</v>
      </c>
      <c r="N385" s="5" t="s">
        <v>597</v>
      </c>
      <c r="O385" s="4" t="s">
        <v>598</v>
      </c>
      <c r="P385" s="5" t="s">
        <v>599</v>
      </c>
      <c r="Q385" s="4" t="s">
        <v>600</v>
      </c>
      <c r="R385" s="5" t="s">
        <v>601</v>
      </c>
      <c r="S385" s="4" t="s">
        <v>602</v>
      </c>
      <c r="T385" s="5" t="s">
        <v>649</v>
      </c>
      <c r="U385" s="4" t="s">
        <v>650</v>
      </c>
      <c r="V385" s="5" t="s">
        <v>310</v>
      </c>
      <c r="W385" s="4" t="s">
        <v>73</v>
      </c>
      <c r="X385" s="4" t="s">
        <v>74</v>
      </c>
      <c r="Y385" s="5"/>
      <c r="Z385" s="4" t="s">
        <v>606</v>
      </c>
      <c r="AA385" s="6" t="n">
        <v>100000</v>
      </c>
      <c r="AB385" s="6" t="n">
        <v>94140</v>
      </c>
      <c r="AC385" s="6" t="n">
        <v>94140</v>
      </c>
      <c r="AD385" s="6" t="n">
        <v>94140</v>
      </c>
      <c r="AE385" s="4" t="s">
        <v>2428</v>
      </c>
      <c r="AF385" s="5" t="s">
        <v>2429</v>
      </c>
      <c r="AG385" s="4" t="s">
        <v>78</v>
      </c>
      <c r="AH385" s="4" t="s">
        <v>79</v>
      </c>
      <c r="AI385" s="5" t="s">
        <v>80</v>
      </c>
      <c r="AJ385" s="1" t="n">
        <v>0</v>
      </c>
      <c r="AK385" s="11" t="n">
        <v>0</v>
      </c>
      <c r="AL385" s="12" t="s">
        <v>609</v>
      </c>
      <c r="AM385" s="13" t="str">
        <f>IF(AL385="","",AL385&amp;" - "&amp;IFERROR(VLOOKUP(AL385,CODEBOOK_CAP!$C$2:$D$212,2,FALSE),""))</f>
        <v>0607 - PROMOCAO DA QUALIDADE, ESTRUTURA E AÇÕES</v>
      </c>
      <c r="AN385" s="13" t="str">
        <f>IF(AL385="","",IFERROR(VLOOKUP(AL385,CODEBOOK_CAP!$C$2:$E$212,3,FALSE),""))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385" s="11" t="n">
        <v>0</v>
      </c>
      <c r="AP385" s="11"/>
      <c r="AQ385" s="11" t="n">
        <v>1</v>
      </c>
      <c r="AR385" s="11" t="n">
        <v>1</v>
      </c>
      <c r="AS385" s="11" t="s">
        <v>2430</v>
      </c>
      <c r="AT385" s="11" t="n">
        <v>1</v>
      </c>
      <c r="AU385" s="11" t="s">
        <v>286</v>
      </c>
      <c r="AV385" s="11"/>
      <c r="AW385" s="11"/>
      <c r="AX385" s="7" t="s">
        <v>84</v>
      </c>
      <c r="AY385" s="7"/>
      <c r="AZ385" s="7"/>
      <c r="BA385" s="7"/>
    </row>
    <row r="386" ht="85.5" customHeight="1">
      <c r="A386" s="4" t="s">
        <v>2431</v>
      </c>
      <c r="B386" s="4" t="n">
        <v>2022</v>
      </c>
      <c r="C386" s="4" t="n">
        <v>4471</v>
      </c>
      <c r="D386" s="4" t="s">
        <v>54</v>
      </c>
      <c r="E386" s="4" t="s">
        <v>2362</v>
      </c>
      <c r="F386" s="5" t="s">
        <v>2432</v>
      </c>
      <c r="G386" s="4" t="s">
        <v>57</v>
      </c>
      <c r="H386" s="4" t="s">
        <v>2364</v>
      </c>
      <c r="I386" s="4" t="s">
        <v>876</v>
      </c>
      <c r="J386" s="4" t="s">
        <v>2433</v>
      </c>
      <c r="K386" s="4" t="s">
        <v>428</v>
      </c>
      <c r="L386" s="5" t="s">
        <v>62</v>
      </c>
      <c r="M386" s="4" t="s">
        <v>63</v>
      </c>
      <c r="N386" s="5" t="s">
        <v>64</v>
      </c>
      <c r="O386" s="4" t="s">
        <v>65</v>
      </c>
      <c r="P386" s="5" t="s">
        <v>193</v>
      </c>
      <c r="Q386" s="4" t="s">
        <v>194</v>
      </c>
      <c r="R386" s="5" t="s">
        <v>195</v>
      </c>
      <c r="S386" s="4" t="s">
        <v>196</v>
      </c>
      <c r="T386" s="5" t="s">
        <v>429</v>
      </c>
      <c r="U386" s="4" t="s">
        <v>430</v>
      </c>
      <c r="V386" s="5" t="s">
        <v>104</v>
      </c>
      <c r="W386" s="4" t="s">
        <v>105</v>
      </c>
      <c r="X386" s="4" t="s">
        <v>106</v>
      </c>
      <c r="Y386" s="5"/>
      <c r="Z386" s="4" t="s">
        <v>75</v>
      </c>
      <c r="AA386" s="6" t="n">
        <v>150000</v>
      </c>
      <c r="AB386" s="6" t="n">
        <v>150000</v>
      </c>
      <c r="AC386" s="6" t="n">
        <v>150000</v>
      </c>
      <c r="AD386" s="6" t="n">
        <v>150000</v>
      </c>
      <c r="AE386" s="4" t="s">
        <v>444</v>
      </c>
      <c r="AF386" s="5" t="s">
        <v>445</v>
      </c>
      <c r="AG386" s="4" t="s">
        <v>433</v>
      </c>
      <c r="AH386" s="4" t="s">
        <v>433</v>
      </c>
      <c r="AI386" s="5"/>
      <c r="AJ386" s="1" t="n">
        <v>1</v>
      </c>
      <c r="AK386" s="11" t="n">
        <v>1</v>
      </c>
      <c r="AL386" s="12" t="s">
        <v>81</v>
      </c>
      <c r="AM386" s="13" t="str">
        <f>IF(AL386="","",AL386&amp;" - "&amp;IFERROR(VLOOKUP(AL386,CODEBOOK_CAP!$C$2:$D$212,2,FALSE),""))</f>
        <v>0322 - ESTRUTURAS, HOSPITAIS, CLÍNICAS</v>
      </c>
      <c r="AN386" s="13" t="str">
        <f>IF(AL386="","",IFERROR(VLOOKUP(AL386,CODEBOOK_CAP!$C$2:$E$212,3,FALSE),""))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386" s="11" t="n">
        <v>0</v>
      </c>
      <c r="AP386" s="11"/>
      <c r="AQ386" s="11" t="n">
        <v>1</v>
      </c>
      <c r="AR386" s="11" t="n">
        <v>1</v>
      </c>
      <c r="AS386" s="11" t="s">
        <v>1489</v>
      </c>
      <c r="AT386" s="11" t="n">
        <v>0</v>
      </c>
      <c r="AU386" s="11"/>
      <c r="AV386" s="11"/>
      <c r="AW386" s="11"/>
      <c r="AX386" s="7" t="s">
        <v>84</v>
      </c>
      <c r="AY386" s="7"/>
      <c r="AZ386" s="7"/>
      <c r="BA386" s="7"/>
    </row>
    <row r="387" ht="85.5" customHeight="1">
      <c r="A387" s="4" t="s">
        <v>2434</v>
      </c>
      <c r="B387" s="4" t="n">
        <v>2022</v>
      </c>
      <c r="C387" s="4" t="n">
        <v>4472</v>
      </c>
      <c r="D387" s="4" t="s">
        <v>54</v>
      </c>
      <c r="E387" s="4" t="s">
        <v>2362</v>
      </c>
      <c r="F387" s="5" t="s">
        <v>2435</v>
      </c>
      <c r="G387" s="4" t="s">
        <v>57</v>
      </c>
      <c r="H387" s="4" t="s">
        <v>2364</v>
      </c>
      <c r="I387" s="4" t="s">
        <v>876</v>
      </c>
      <c r="J387" s="4" t="s">
        <v>2436</v>
      </c>
      <c r="K387" s="4" t="s">
        <v>1203</v>
      </c>
      <c r="L387" s="5" t="s">
        <v>94</v>
      </c>
      <c r="M387" s="4" t="s">
        <v>95</v>
      </c>
      <c r="N387" s="5" t="s">
        <v>96</v>
      </c>
      <c r="O387" s="4" t="s">
        <v>97</v>
      </c>
      <c r="P387" s="5" t="s">
        <v>98</v>
      </c>
      <c r="Q387" s="4" t="s">
        <v>99</v>
      </c>
      <c r="R387" s="5" t="s">
        <v>1204</v>
      </c>
      <c r="S387" s="4" t="s">
        <v>1205</v>
      </c>
      <c r="T387" s="5" t="s">
        <v>1206</v>
      </c>
      <c r="U387" s="4" t="s">
        <v>1207</v>
      </c>
      <c r="V387" s="5" t="s">
        <v>104</v>
      </c>
      <c r="W387" s="4" t="s">
        <v>105</v>
      </c>
      <c r="X387" s="4" t="s">
        <v>106</v>
      </c>
      <c r="Y387" s="5"/>
      <c r="Z387" s="4" t="s">
        <v>107</v>
      </c>
      <c r="AA387" s="6" t="n">
        <v>44000</v>
      </c>
      <c r="AB387" s="6" t="n">
        <v>44000</v>
      </c>
      <c r="AC387" s="6" t="n">
        <v>44000</v>
      </c>
      <c r="AD387" s="6" t="n">
        <v>44000</v>
      </c>
      <c r="AE387" s="4" t="s">
        <v>2437</v>
      </c>
      <c r="AF387" s="5" t="s">
        <v>2438</v>
      </c>
      <c r="AG387" s="4" t="s">
        <v>110</v>
      </c>
      <c r="AH387" s="4" t="s">
        <v>110</v>
      </c>
      <c r="AI387" s="5"/>
      <c r="AJ387" s="1" t="n">
        <v>0</v>
      </c>
      <c r="AK387" s="11" t="n">
        <v>0</v>
      </c>
      <c r="AL387" s="12" t="s">
        <v>712</v>
      </c>
      <c r="AM387" s="13" t="str">
        <f>IF(AL387="","",AL387&amp;" - "&amp;IFERROR(VLOOKUP(AL387,CODEBOOK_CAP!$C$2:$D$212,2,FALSE),""))</f>
        <v>1308 - POLÍTICAS SOCIAIS PARA FAMÍLIAS E INFÂNCIA</v>
      </c>
      <c r="AN387" s="13" t="str">
        <f>IF(AL387="","",IFERROR(VLOOKUP(AL387,CODEBOOK_CAP!$C$2:$E$212,3,FALSE),""))</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O387" s="11" t="n">
        <v>0</v>
      </c>
      <c r="AP387" s="11"/>
      <c r="AQ387" s="11" t="n">
        <v>0</v>
      </c>
      <c r="AR387" s="11" t="n">
        <v>0</v>
      </c>
      <c r="AS387" s="11"/>
      <c r="AT387" s="11" t="n">
        <v>0</v>
      </c>
      <c r="AU387" s="11"/>
      <c r="AV387" s="11"/>
      <c r="AW387" s="11"/>
      <c r="AX387" s="7" t="s">
        <v>84</v>
      </c>
      <c r="AY387" s="7"/>
      <c r="AZ387" s="7"/>
      <c r="BA387" s="7"/>
    </row>
    <row r="388" ht="57" customHeight="1">
      <c r="A388" s="4" t="s">
        <v>2439</v>
      </c>
      <c r="B388" s="4" t="n">
        <v>2022</v>
      </c>
      <c r="C388" s="4" t="n">
        <v>4473</v>
      </c>
      <c r="D388" s="4" t="s">
        <v>54</v>
      </c>
      <c r="E388" s="4" t="s">
        <v>2362</v>
      </c>
      <c r="F388" s="5" t="s">
        <v>2440</v>
      </c>
      <c r="G388" s="4" t="s">
        <v>57</v>
      </c>
      <c r="H388" s="4" t="s">
        <v>2364</v>
      </c>
      <c r="I388" s="4" t="s">
        <v>876</v>
      </c>
      <c r="J388" s="4" t="s">
        <v>2441</v>
      </c>
      <c r="K388" s="4" t="s">
        <v>992</v>
      </c>
      <c r="L388" s="5" t="s">
        <v>302</v>
      </c>
      <c r="M388" s="4" t="s">
        <v>303</v>
      </c>
      <c r="N388" s="5" t="s">
        <v>304</v>
      </c>
      <c r="O388" s="4" t="s">
        <v>305</v>
      </c>
      <c r="P388" s="5" t="s">
        <v>702</v>
      </c>
      <c r="Q388" s="4" t="s">
        <v>703</v>
      </c>
      <c r="R388" s="5" t="s">
        <v>306</v>
      </c>
      <c r="S388" s="4" t="s">
        <v>307</v>
      </c>
      <c r="T388" s="5" t="s">
        <v>704</v>
      </c>
      <c r="U388" s="4" t="s">
        <v>705</v>
      </c>
      <c r="V388" s="5" t="s">
        <v>104</v>
      </c>
      <c r="W388" s="4" t="s">
        <v>105</v>
      </c>
      <c r="X388" s="4" t="s">
        <v>106</v>
      </c>
      <c r="Y388" s="5"/>
      <c r="Z388" s="4" t="s">
        <v>311</v>
      </c>
      <c r="AA388" s="6" t="n">
        <v>176000</v>
      </c>
      <c r="AB388" s="6" t="n">
        <v>176000</v>
      </c>
      <c r="AC388" s="6" t="n">
        <v>176000</v>
      </c>
      <c r="AD388" s="6" t="n">
        <v>176000</v>
      </c>
      <c r="AE388" s="4" t="s">
        <v>2442</v>
      </c>
      <c r="AF388" s="5" t="s">
        <v>2443</v>
      </c>
      <c r="AG388" s="4" t="s">
        <v>78</v>
      </c>
      <c r="AH388" s="4" t="s">
        <v>79</v>
      </c>
      <c r="AI388" s="5" t="s">
        <v>80</v>
      </c>
      <c r="AJ388" s="1" t="n">
        <v>0</v>
      </c>
      <c r="AK388" s="11" t="n">
        <v>0</v>
      </c>
      <c r="AL388" s="12" t="s">
        <v>2444</v>
      </c>
      <c r="AM388" s="13" t="str">
        <f>IF(AL388="","",AL388&amp;" - "&amp;IFERROR(VLOOKUP(AL388,CODEBOOK_CAP!$C$2:$D$212,2,FALSE),""))</f>
        <v>1211 - CRIME COMUM , VIOLÊNCIA E PREVENÇÃO</v>
      </c>
      <c r="AN388" s="13" t="str">
        <f>IF(AL388="","",IFERROR(VLOOKUP(AL388,CODEBOOK_CAP!$C$2:$E$212,3,FALSE),""))</f>
        <v>Crime comum, roubo, furto, estelionato, assassinatos. Programas de prevenção de crimes gerais, que não sejam crimes específicos listados acima. Programas de prevenção, anuncios, panfletos sobre roubo, furto, violência e crimes.</v>
      </c>
      <c r="AO388" s="11" t="n">
        <v>0</v>
      </c>
      <c r="AP388" s="11"/>
      <c r="AQ388" s="11" t="n">
        <v>0</v>
      </c>
      <c r="AR388" s="11" t="n">
        <v>0</v>
      </c>
      <c r="AS388" s="11"/>
      <c r="AT388" s="11" t="n">
        <v>1</v>
      </c>
      <c r="AU388" s="11" t="s">
        <v>286</v>
      </c>
      <c r="AV388" s="11"/>
      <c r="AW388" s="11"/>
      <c r="AX388" s="7" t="s">
        <v>84</v>
      </c>
      <c r="AY388" s="7"/>
      <c r="AZ388" s="7"/>
      <c r="BA388" s="7"/>
    </row>
    <row r="389" ht="114" customHeight="1">
      <c r="A389" s="4" t="s">
        <v>2445</v>
      </c>
      <c r="B389" s="4" t="n">
        <v>2022</v>
      </c>
      <c r="C389" s="4" t="n">
        <v>4592</v>
      </c>
      <c r="D389" s="4" t="s">
        <v>54</v>
      </c>
      <c r="E389" s="4" t="s">
        <v>2446</v>
      </c>
      <c r="F389" s="5" t="s">
        <v>2447</v>
      </c>
      <c r="G389" s="4" t="s">
        <v>57</v>
      </c>
      <c r="H389" s="4" t="s">
        <v>2448</v>
      </c>
      <c r="I389" s="4" t="s">
        <v>2448</v>
      </c>
      <c r="J389" s="4" t="s">
        <v>2449</v>
      </c>
      <c r="K389" s="4" t="s">
        <v>1179</v>
      </c>
      <c r="L389" s="5" t="s">
        <v>122</v>
      </c>
      <c r="M389" s="4" t="s">
        <v>123</v>
      </c>
      <c r="N389" s="5" t="s">
        <v>227</v>
      </c>
      <c r="O389" s="4" t="s">
        <v>228</v>
      </c>
      <c r="P389" s="5" t="s">
        <v>229</v>
      </c>
      <c r="Q389" s="4" t="s">
        <v>230</v>
      </c>
      <c r="R389" s="5" t="s">
        <v>1079</v>
      </c>
      <c r="S389" s="4" t="s">
        <v>1080</v>
      </c>
      <c r="T389" s="5" t="s">
        <v>1153</v>
      </c>
      <c r="U389" s="4" t="s">
        <v>1154</v>
      </c>
      <c r="V389" s="5" t="s">
        <v>72</v>
      </c>
      <c r="W389" s="4" t="s">
        <v>73</v>
      </c>
      <c r="X389" s="4" t="s">
        <v>74</v>
      </c>
      <c r="Y389" s="5"/>
      <c r="Z389" s="4" t="s">
        <v>132</v>
      </c>
      <c r="AA389" s="6" t="n">
        <v>200000</v>
      </c>
      <c r="AB389" s="6" t="n">
        <v>200000</v>
      </c>
      <c r="AC389" s="6" t="n">
        <v>200000</v>
      </c>
      <c r="AD389" s="6" t="n">
        <v>200000</v>
      </c>
      <c r="AE389" s="4" t="s">
        <v>2330</v>
      </c>
      <c r="AF389" s="5" t="s">
        <v>2450</v>
      </c>
      <c r="AG389" s="4" t="s">
        <v>78</v>
      </c>
      <c r="AH389" s="4" t="s">
        <v>79</v>
      </c>
      <c r="AI389" s="5" t="s">
        <v>80</v>
      </c>
      <c r="AJ389" s="1" t="n">
        <v>0</v>
      </c>
      <c r="AK389" s="11" t="n">
        <v>0</v>
      </c>
      <c r="AL389" s="12" t="s">
        <v>1068</v>
      </c>
      <c r="AM389" s="13" t="str">
        <f>IF(AL389="","",AL389&amp;" - "&amp;IFERROR(VLOOKUP(AL389,CODEBOOK_CAP!$C$2:$D$212,2,FALSE),""))</f>
        <v>0405 - CONTROLE DE DOENÇAS ANIMAIS</v>
      </c>
      <c r="AN389" s="13" t="str">
        <f>IF(AL389="","",IFERROR(VLOOKUP(AL389,CODEBOOK_CAP!$C$2:$E$212,3,FALSE),""))</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O389" s="11" t="n">
        <v>0</v>
      </c>
      <c r="AP389" s="11"/>
      <c r="AQ389" s="11" t="n">
        <v>1</v>
      </c>
      <c r="AR389" s="11" t="n">
        <v>1</v>
      </c>
      <c r="AS389" s="11" t="s">
        <v>2451</v>
      </c>
      <c r="AT389" s="11" t="n">
        <v>1</v>
      </c>
      <c r="AU389" s="11" t="s">
        <v>1069</v>
      </c>
      <c r="AV389" s="11"/>
      <c r="AW389" s="11"/>
      <c r="AX389" s="7" t="s">
        <v>84</v>
      </c>
      <c r="AY389" s="7"/>
      <c r="AZ389" s="7"/>
      <c r="BA389" s="7"/>
    </row>
    <row r="390" ht="142.5" customHeight="1">
      <c r="A390" s="4" t="s">
        <v>2452</v>
      </c>
      <c r="B390" s="4" t="n">
        <v>2022</v>
      </c>
      <c r="C390" s="4" t="n">
        <v>4593</v>
      </c>
      <c r="D390" s="4" t="s">
        <v>54</v>
      </c>
      <c r="E390" s="4" t="s">
        <v>2446</v>
      </c>
      <c r="F390" s="5" t="s">
        <v>2453</v>
      </c>
      <c r="G390" s="4" t="s">
        <v>57</v>
      </c>
      <c r="H390" s="4" t="s">
        <v>2448</v>
      </c>
      <c r="I390" s="4" t="s">
        <v>2448</v>
      </c>
      <c r="J390" s="4" t="s">
        <v>2454</v>
      </c>
      <c r="K390" s="4" t="s">
        <v>992</v>
      </c>
      <c r="L390" s="5" t="s">
        <v>302</v>
      </c>
      <c r="M390" s="4" t="s">
        <v>303</v>
      </c>
      <c r="N390" s="5" t="s">
        <v>304</v>
      </c>
      <c r="O390" s="4" t="s">
        <v>305</v>
      </c>
      <c r="P390" s="5" t="s">
        <v>702</v>
      </c>
      <c r="Q390" s="4" t="s">
        <v>703</v>
      </c>
      <c r="R390" s="5" t="s">
        <v>306</v>
      </c>
      <c r="S390" s="4" t="s">
        <v>307</v>
      </c>
      <c r="T390" s="5" t="s">
        <v>704</v>
      </c>
      <c r="U390" s="4" t="s">
        <v>705</v>
      </c>
      <c r="V390" s="5" t="s">
        <v>104</v>
      </c>
      <c r="W390" s="4" t="s">
        <v>105</v>
      </c>
      <c r="X390" s="4" t="s">
        <v>106</v>
      </c>
      <c r="Y390" s="5"/>
      <c r="Z390" s="4" t="s">
        <v>311</v>
      </c>
      <c r="AA390" s="6" t="n">
        <v>180000</v>
      </c>
      <c r="AB390" s="6" t="n">
        <v>180000</v>
      </c>
      <c r="AC390" s="6" t="n">
        <v>180000</v>
      </c>
      <c r="AD390" s="6" t="n">
        <v>180000</v>
      </c>
      <c r="AE390" s="4" t="s">
        <v>2455</v>
      </c>
      <c r="AF390" s="5" t="s">
        <v>2456</v>
      </c>
      <c r="AG390" s="4" t="s">
        <v>78</v>
      </c>
      <c r="AH390" s="4" t="s">
        <v>79</v>
      </c>
      <c r="AI390" s="5" t="s">
        <v>80</v>
      </c>
      <c r="AJ390" s="1" t="n">
        <v>0</v>
      </c>
      <c r="AK390" s="11" t="n">
        <v>0</v>
      </c>
      <c r="AL390" s="12" t="s">
        <v>2457</v>
      </c>
      <c r="AM390" s="13" t="str">
        <f>IF(AL390="","",AL390&amp;" - "&amp;IFERROR(VLOOKUP(AL390,CODEBOOK_CAP!$C$2:$D$212,2,FALSE),""))</f>
        <v>0700 - GERAL</v>
      </c>
      <c r="AN390" s="13" t="str">
        <f>IF(AL390="","",IFERROR(VLOOKUP(AL390,CODEBOOK_CAP!$C$2:$E$212,3,FALSE),""))</f>
        <v>Quando há combinação de diversos assuntos relacionados as políticas de MEIO-AMBIENTE. Saneamento básico geral (quando aparecer o termo solto, sem definição específica)Tópicos relacionados as políticas gerais de meio ambiente e proteção ambiental gerais, controle ambiental, gestão ambiental, engenharia ambiental, estatísticas gerais. Desastres, catástrofes, Mariana, Brumadinho, ruptura de barragens de mineração. Multas e sanções envolvendo meio ambiente. Nao confundir com questões de agricultura, legislações ambientais gerais, responsabilidade ambiental (código 4) e Nao confundir com questões relacionadas a território e recursos naturais (código 21)</v>
      </c>
      <c r="AO390" s="11" t="n">
        <v>0</v>
      </c>
      <c r="AP390" s="11"/>
      <c r="AQ390" s="11" t="n">
        <v>0</v>
      </c>
      <c r="AR390" s="11" t="n">
        <v>0</v>
      </c>
      <c r="AS390" s="11"/>
      <c r="AT390" s="11" t="n">
        <v>0</v>
      </c>
      <c r="AU390" s="11"/>
      <c r="AV390" s="11"/>
      <c r="AW390" s="11"/>
      <c r="AX390" s="7" t="s">
        <v>84</v>
      </c>
      <c r="AY390" s="7"/>
      <c r="AZ390" s="7"/>
      <c r="BA390" s="7"/>
    </row>
    <row r="391" ht="142.5" customHeight="1">
      <c r="A391" s="4" t="s">
        <v>2458</v>
      </c>
      <c r="B391" s="4" t="n">
        <v>2022</v>
      </c>
      <c r="C391" s="4" t="n">
        <v>4594</v>
      </c>
      <c r="D391" s="4" t="s">
        <v>54</v>
      </c>
      <c r="E391" s="4" t="s">
        <v>2446</v>
      </c>
      <c r="F391" s="5" t="s">
        <v>2459</v>
      </c>
      <c r="G391" s="4" t="s">
        <v>57</v>
      </c>
      <c r="H391" s="4" t="s">
        <v>2448</v>
      </c>
      <c r="I391" s="4" t="s">
        <v>2448</v>
      </c>
      <c r="J391" s="4" t="s">
        <v>2460</v>
      </c>
      <c r="K391" s="4" t="s">
        <v>992</v>
      </c>
      <c r="L391" s="5" t="s">
        <v>302</v>
      </c>
      <c r="M391" s="4" t="s">
        <v>303</v>
      </c>
      <c r="N391" s="5" t="s">
        <v>304</v>
      </c>
      <c r="O391" s="4" t="s">
        <v>305</v>
      </c>
      <c r="P391" s="5" t="s">
        <v>702</v>
      </c>
      <c r="Q391" s="4" t="s">
        <v>703</v>
      </c>
      <c r="R391" s="5" t="s">
        <v>306</v>
      </c>
      <c r="S391" s="4" t="s">
        <v>307</v>
      </c>
      <c r="T391" s="5" t="s">
        <v>704</v>
      </c>
      <c r="U391" s="4" t="s">
        <v>705</v>
      </c>
      <c r="V391" s="5" t="s">
        <v>104</v>
      </c>
      <c r="W391" s="4" t="s">
        <v>105</v>
      </c>
      <c r="X391" s="4" t="s">
        <v>106</v>
      </c>
      <c r="Y391" s="5"/>
      <c r="Z391" s="4" t="s">
        <v>311</v>
      </c>
      <c r="AA391" s="6" t="n">
        <v>25000</v>
      </c>
      <c r="AB391" s="6" t="n">
        <v>14080</v>
      </c>
      <c r="AC391" s="6" t="n">
        <v>14080</v>
      </c>
      <c r="AD391" s="6" t="n">
        <v>14080</v>
      </c>
      <c r="AE391" s="4" t="s">
        <v>2461</v>
      </c>
      <c r="AF391" s="5" t="s">
        <v>2462</v>
      </c>
      <c r="AG391" s="4" t="s">
        <v>78</v>
      </c>
      <c r="AH391" s="4" t="s">
        <v>79</v>
      </c>
      <c r="AI391" s="5" t="s">
        <v>80</v>
      </c>
      <c r="AJ391" s="1" t="n">
        <v>0</v>
      </c>
      <c r="AK391" s="11" t="n">
        <v>0</v>
      </c>
      <c r="AL391" s="12" t="s">
        <v>2457</v>
      </c>
      <c r="AM391" s="13" t="str">
        <f>IF(AL391="","",AL391&amp;" - "&amp;IFERROR(VLOOKUP(AL391,CODEBOOK_CAP!$C$2:$D$212,2,FALSE),""))</f>
        <v>0700 - GERAL</v>
      </c>
      <c r="AN391" s="13" t="str">
        <f>IF(AL391="","",IFERROR(VLOOKUP(AL391,CODEBOOK_CAP!$C$2:$E$212,3,FALSE),""))</f>
        <v>Quando há combinação de diversos assuntos relacionados as políticas de MEIO-AMBIENTE. Saneamento básico geral (quando aparecer o termo solto, sem definição específica)Tópicos relacionados as políticas gerais de meio ambiente e proteção ambiental gerais, controle ambiental, gestão ambiental, engenharia ambiental, estatísticas gerais. Desastres, catástrofes, Mariana, Brumadinho, ruptura de barragens de mineração. Multas e sanções envolvendo meio ambiente. Nao confundir com questões de agricultura, legislações ambientais gerais, responsabilidade ambiental (código 4) e Nao confundir com questões relacionadas a território e recursos naturais (código 21)</v>
      </c>
      <c r="AO391" s="11" t="n">
        <v>0</v>
      </c>
      <c r="AP391" s="11"/>
      <c r="AQ391" s="11" t="n">
        <v>0</v>
      </c>
      <c r="AR391" s="11" t="n">
        <v>0</v>
      </c>
      <c r="AS391" s="11"/>
      <c r="AT391" s="11" t="n">
        <v>0</v>
      </c>
      <c r="AU391" s="11"/>
      <c r="AV391" s="11"/>
      <c r="AW391" s="11"/>
      <c r="AX391" s="7" t="s">
        <v>84</v>
      </c>
      <c r="AY391" s="7"/>
      <c r="AZ391" s="7"/>
      <c r="BA391" s="7"/>
    </row>
    <row r="392" ht="142.5" customHeight="1">
      <c r="A392" s="4" t="s">
        <v>2463</v>
      </c>
      <c r="B392" s="4" t="n">
        <v>2022</v>
      </c>
      <c r="C392" s="4" t="n">
        <v>4595</v>
      </c>
      <c r="D392" s="4" t="s">
        <v>54</v>
      </c>
      <c r="E392" s="4" t="s">
        <v>2446</v>
      </c>
      <c r="F392" s="5" t="s">
        <v>2464</v>
      </c>
      <c r="G392" s="4" t="s">
        <v>57</v>
      </c>
      <c r="H392" s="4" t="s">
        <v>2448</v>
      </c>
      <c r="I392" s="4" t="s">
        <v>2448</v>
      </c>
      <c r="J392" s="4" t="s">
        <v>2465</v>
      </c>
      <c r="K392" s="4" t="s">
        <v>2466</v>
      </c>
      <c r="L392" s="5" t="s">
        <v>1077</v>
      </c>
      <c r="M392" s="4" t="s">
        <v>1078</v>
      </c>
      <c r="N392" s="5" t="s">
        <v>227</v>
      </c>
      <c r="O392" s="4" t="s">
        <v>228</v>
      </c>
      <c r="P392" s="5" t="s">
        <v>229</v>
      </c>
      <c r="Q392" s="4" t="s">
        <v>230</v>
      </c>
      <c r="R392" s="5" t="s">
        <v>1079</v>
      </c>
      <c r="S392" s="4" t="s">
        <v>1080</v>
      </c>
      <c r="T392" s="5" t="s">
        <v>2467</v>
      </c>
      <c r="U392" s="4" t="s">
        <v>2468</v>
      </c>
      <c r="V392" s="5" t="s">
        <v>706</v>
      </c>
      <c r="W392" s="4" t="s">
        <v>105</v>
      </c>
      <c r="X392" s="4" t="s">
        <v>106</v>
      </c>
      <c r="Y392" s="5"/>
      <c r="Z392" s="4" t="s">
        <v>1083</v>
      </c>
      <c r="AA392" s="6" t="n">
        <v>100000</v>
      </c>
      <c r="AB392" s="6" t="n">
        <v>99998</v>
      </c>
      <c r="AC392" s="6" t="n">
        <v>99998</v>
      </c>
      <c r="AD392" s="6" t="n">
        <v>99998</v>
      </c>
      <c r="AE392" s="4" t="s">
        <v>2469</v>
      </c>
      <c r="AF392" s="5" t="s">
        <v>2470</v>
      </c>
      <c r="AG392" s="4" t="s">
        <v>78</v>
      </c>
      <c r="AH392" s="4" t="s">
        <v>79</v>
      </c>
      <c r="AI392" s="5" t="s">
        <v>80</v>
      </c>
      <c r="AJ392" s="1" t="n">
        <v>0</v>
      </c>
      <c r="AK392" s="11" t="n">
        <v>0</v>
      </c>
      <c r="AL392" s="12" t="s">
        <v>1068</v>
      </c>
      <c r="AM392" s="13" t="str">
        <f>IF(AL392="","",AL392&amp;" - "&amp;IFERROR(VLOOKUP(AL392,CODEBOOK_CAP!$C$2:$D$212,2,FALSE),""))</f>
        <v>0405 - CONTROLE DE DOENÇAS ANIMAIS</v>
      </c>
      <c r="AN392" s="13" t="str">
        <f>IF(AL392="","",IFERROR(VLOOKUP(AL392,CODEBOOK_CAP!$C$2:$E$212,3,FALSE),""))</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O392" s="11" t="n">
        <v>0</v>
      </c>
      <c r="AP392" s="11"/>
      <c r="AQ392" s="11" t="n">
        <v>1</v>
      </c>
      <c r="AR392" s="11" t="n">
        <v>1</v>
      </c>
      <c r="AS392" s="11" t="s">
        <v>2471</v>
      </c>
      <c r="AT392" s="11" t="n">
        <v>1</v>
      </c>
      <c r="AU392" s="11" t="s">
        <v>1069</v>
      </c>
      <c r="AV392" s="11"/>
      <c r="AW392" s="11"/>
      <c r="AX392" s="7" t="s">
        <v>84</v>
      </c>
      <c r="AY392" s="7"/>
      <c r="AZ392" s="7"/>
      <c r="BA392" s="7"/>
    </row>
    <row r="393" ht="142.5" customHeight="1">
      <c r="A393" s="4" t="s">
        <v>2472</v>
      </c>
      <c r="B393" s="4" t="n">
        <v>2022</v>
      </c>
      <c r="C393" s="4" t="n">
        <v>4596</v>
      </c>
      <c r="D393" s="4" t="s">
        <v>54</v>
      </c>
      <c r="E393" s="4" t="s">
        <v>2446</v>
      </c>
      <c r="F393" s="5" t="s">
        <v>2473</v>
      </c>
      <c r="G393" s="4" t="s">
        <v>57</v>
      </c>
      <c r="H393" s="4" t="s">
        <v>2448</v>
      </c>
      <c r="I393" s="4" t="s">
        <v>2448</v>
      </c>
      <c r="J393" s="4" t="s">
        <v>2474</v>
      </c>
      <c r="K393" s="4" t="s">
        <v>2475</v>
      </c>
      <c r="L393" s="5" t="s">
        <v>1077</v>
      </c>
      <c r="M393" s="4" t="s">
        <v>1078</v>
      </c>
      <c r="N393" s="5" t="s">
        <v>227</v>
      </c>
      <c r="O393" s="4" t="s">
        <v>228</v>
      </c>
      <c r="P393" s="5" t="s">
        <v>229</v>
      </c>
      <c r="Q393" s="4" t="s">
        <v>230</v>
      </c>
      <c r="R393" s="5" t="s">
        <v>1079</v>
      </c>
      <c r="S393" s="4" t="s">
        <v>1080</v>
      </c>
      <c r="T393" s="5" t="s">
        <v>2476</v>
      </c>
      <c r="U393" s="4" t="s">
        <v>2477</v>
      </c>
      <c r="V393" s="5" t="s">
        <v>104</v>
      </c>
      <c r="W393" s="4" t="s">
        <v>105</v>
      </c>
      <c r="X393" s="4" t="s">
        <v>106</v>
      </c>
      <c r="Y393" s="5"/>
      <c r="Z393" s="4" t="s">
        <v>1083</v>
      </c>
      <c r="AA393" s="6" t="n">
        <v>79220</v>
      </c>
      <c r="AB393" s="6" t="n">
        <v>70555</v>
      </c>
      <c r="AC393" s="6" t="n">
        <v>70555</v>
      </c>
      <c r="AD393" s="6" t="n">
        <v>70555</v>
      </c>
      <c r="AE393" s="4" t="s">
        <v>2478</v>
      </c>
      <c r="AF393" s="5" t="s">
        <v>2479</v>
      </c>
      <c r="AG393" s="4" t="s">
        <v>78</v>
      </c>
      <c r="AH393" s="4" t="s">
        <v>79</v>
      </c>
      <c r="AI393" s="5" t="s">
        <v>80</v>
      </c>
      <c r="AJ393" s="1" t="n">
        <v>0</v>
      </c>
      <c r="AK393" s="11" t="n">
        <v>0</v>
      </c>
      <c r="AL393" s="12" t="s">
        <v>2457</v>
      </c>
      <c r="AM393" s="13" t="str">
        <f>IF(AL393="","",AL393&amp;" - "&amp;IFERROR(VLOOKUP(AL393,CODEBOOK_CAP!$C$2:$D$212,2,FALSE),""))</f>
        <v>0700 - GERAL</v>
      </c>
      <c r="AN393" s="13" t="str">
        <f>IF(AL393="","",IFERROR(VLOOKUP(AL393,CODEBOOK_CAP!$C$2:$E$212,3,FALSE),""))</f>
        <v>Quando há combinação de diversos assuntos relacionados as políticas de MEIO-AMBIENTE. Saneamento básico geral (quando aparecer o termo solto, sem definição específica)Tópicos relacionados as políticas gerais de meio ambiente e proteção ambiental gerais, controle ambiental, gestão ambiental, engenharia ambiental, estatísticas gerais. Desastres, catástrofes, Mariana, Brumadinho, ruptura de barragens de mineração. Multas e sanções envolvendo meio ambiente. Nao confundir com questões de agricultura, legislações ambientais gerais, responsabilidade ambiental (código 4) e Nao confundir com questões relacionadas a território e recursos naturais (código 21)</v>
      </c>
      <c r="AO393" s="11" t="n">
        <v>0</v>
      </c>
      <c r="AP393" s="11"/>
      <c r="AQ393" s="11" t="n">
        <v>1</v>
      </c>
      <c r="AR393" s="11" t="n">
        <v>1</v>
      </c>
      <c r="AS393" s="11" t="s">
        <v>2451</v>
      </c>
      <c r="AT393" s="11" t="n">
        <v>0</v>
      </c>
      <c r="AU393" s="11"/>
      <c r="AV393" s="11"/>
      <c r="AW393" s="11"/>
      <c r="AX393" s="7" t="s">
        <v>84</v>
      </c>
      <c r="AY393" s="7"/>
      <c r="AZ393" s="7"/>
      <c r="BA393" s="7"/>
    </row>
    <row r="394" ht="114" customHeight="1">
      <c r="A394" s="4" t="s">
        <v>2480</v>
      </c>
      <c r="B394" s="4" t="n">
        <v>2022</v>
      </c>
      <c r="C394" s="4" t="n">
        <v>4597</v>
      </c>
      <c r="D394" s="4" t="s">
        <v>54</v>
      </c>
      <c r="E394" s="4" t="s">
        <v>2446</v>
      </c>
      <c r="F394" s="5" t="s">
        <v>2481</v>
      </c>
      <c r="G394" s="4" t="s">
        <v>57</v>
      </c>
      <c r="H394" s="4" t="s">
        <v>2448</v>
      </c>
      <c r="I394" s="4" t="s">
        <v>2448</v>
      </c>
      <c r="J394" s="4" t="s">
        <v>2482</v>
      </c>
      <c r="K394" s="4" t="s">
        <v>2483</v>
      </c>
      <c r="L394" s="5" t="s">
        <v>225</v>
      </c>
      <c r="M394" s="4" t="s">
        <v>226</v>
      </c>
      <c r="N394" s="5" t="s">
        <v>227</v>
      </c>
      <c r="O394" s="4" t="s">
        <v>228</v>
      </c>
      <c r="P394" s="5" t="s">
        <v>1060</v>
      </c>
      <c r="Q394" s="4" t="s">
        <v>1061</v>
      </c>
      <c r="R394" s="5" t="s">
        <v>1062</v>
      </c>
      <c r="S394" s="4" t="s">
        <v>1063</v>
      </c>
      <c r="T394" s="5" t="s">
        <v>1064</v>
      </c>
      <c r="U394" s="4" t="s">
        <v>1065</v>
      </c>
      <c r="V394" s="5" t="s">
        <v>310</v>
      </c>
      <c r="W394" s="4" t="s">
        <v>73</v>
      </c>
      <c r="X394" s="4" t="s">
        <v>74</v>
      </c>
      <c r="Y394" s="5"/>
      <c r="Z394" s="4" t="s">
        <v>235</v>
      </c>
      <c r="AA394" s="6" t="n">
        <v>300000</v>
      </c>
      <c r="AB394" s="6" t="n">
        <v>300000</v>
      </c>
      <c r="AC394" s="6" t="n">
        <v>300000</v>
      </c>
      <c r="AD394" s="6" t="n">
        <v>300000</v>
      </c>
      <c r="AE394" s="4" t="s">
        <v>1066</v>
      </c>
      <c r="AF394" s="5" t="s">
        <v>1067</v>
      </c>
      <c r="AG394" s="4" t="s">
        <v>78</v>
      </c>
      <c r="AH394" s="4" t="s">
        <v>79</v>
      </c>
      <c r="AI394" s="5" t="s">
        <v>80</v>
      </c>
      <c r="AJ394" s="1" t="n">
        <v>0</v>
      </c>
      <c r="AK394" s="11" t="n">
        <v>0</v>
      </c>
      <c r="AL394" s="12" t="s">
        <v>1068</v>
      </c>
      <c r="AM394" s="13" t="str">
        <f>IF(AL394="","",AL394&amp;" - "&amp;IFERROR(VLOOKUP(AL394,CODEBOOK_CAP!$C$2:$D$212,2,FALSE),""))</f>
        <v>0405 - CONTROLE DE DOENÇAS ANIMAIS</v>
      </c>
      <c r="AN394" s="13" t="str">
        <f>IF(AL394="","",IFERROR(VLOOKUP(AL394,CODEBOOK_CAP!$C$2:$E$212,3,FALSE),""))</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O394" s="11" t="n">
        <v>0</v>
      </c>
      <c r="AP394" s="11"/>
      <c r="AQ394" s="11" t="n">
        <v>0</v>
      </c>
      <c r="AR394" s="11" t="n">
        <v>0</v>
      </c>
      <c r="AS394" s="11"/>
      <c r="AT394" s="11" t="n">
        <v>1</v>
      </c>
      <c r="AU394" s="11" t="s">
        <v>1069</v>
      </c>
      <c r="AV394" s="11"/>
      <c r="AW394" s="11"/>
      <c r="AX394" s="7" t="s">
        <v>84</v>
      </c>
      <c r="AY394" s="7"/>
      <c r="AZ394" s="7"/>
      <c r="BA394" s="7"/>
    </row>
    <row r="395" ht="114" customHeight="1">
      <c r="A395" s="4" t="s">
        <v>2484</v>
      </c>
      <c r="B395" s="4" t="n">
        <v>2022</v>
      </c>
      <c r="C395" s="4" t="n">
        <v>4598</v>
      </c>
      <c r="D395" s="4" t="s">
        <v>54</v>
      </c>
      <c r="E395" s="4" t="s">
        <v>2446</v>
      </c>
      <c r="F395" s="5" t="s">
        <v>2485</v>
      </c>
      <c r="G395" s="4" t="s">
        <v>57</v>
      </c>
      <c r="H395" s="4" t="s">
        <v>2448</v>
      </c>
      <c r="I395" s="4" t="s">
        <v>2448</v>
      </c>
      <c r="J395" s="4" t="s">
        <v>2486</v>
      </c>
      <c r="K395" s="4" t="s">
        <v>2483</v>
      </c>
      <c r="L395" s="5" t="s">
        <v>225</v>
      </c>
      <c r="M395" s="4" t="s">
        <v>226</v>
      </c>
      <c r="N395" s="5" t="s">
        <v>227</v>
      </c>
      <c r="O395" s="4" t="s">
        <v>228</v>
      </c>
      <c r="P395" s="5" t="s">
        <v>1060</v>
      </c>
      <c r="Q395" s="4" t="s">
        <v>1061</v>
      </c>
      <c r="R395" s="5" t="s">
        <v>1062</v>
      </c>
      <c r="S395" s="4" t="s">
        <v>1063</v>
      </c>
      <c r="T395" s="5" t="s">
        <v>1064</v>
      </c>
      <c r="U395" s="4" t="s">
        <v>1065</v>
      </c>
      <c r="V395" s="5" t="s">
        <v>310</v>
      </c>
      <c r="W395" s="4" t="s">
        <v>73</v>
      </c>
      <c r="X395" s="4" t="s">
        <v>74</v>
      </c>
      <c r="Y395" s="5"/>
      <c r="Z395" s="4" t="s">
        <v>235</v>
      </c>
      <c r="AA395" s="6" t="n">
        <v>200000</v>
      </c>
      <c r="AB395" s="6" t="n">
        <v>200000</v>
      </c>
      <c r="AC395" s="6" t="n">
        <v>200000</v>
      </c>
      <c r="AD395" s="6" t="n">
        <v>200000</v>
      </c>
      <c r="AE395" s="4" t="s">
        <v>1066</v>
      </c>
      <c r="AF395" s="5" t="s">
        <v>1067</v>
      </c>
      <c r="AG395" s="4" t="s">
        <v>78</v>
      </c>
      <c r="AH395" s="4" t="s">
        <v>79</v>
      </c>
      <c r="AI395" s="5" t="s">
        <v>80</v>
      </c>
      <c r="AJ395" s="1" t="n">
        <v>0</v>
      </c>
      <c r="AK395" s="11" t="n">
        <v>0</v>
      </c>
      <c r="AL395" s="12" t="s">
        <v>1068</v>
      </c>
      <c r="AM395" s="13" t="str">
        <f>IF(AL395="","",AL395&amp;" - "&amp;IFERROR(VLOOKUP(AL395,CODEBOOK_CAP!$C$2:$D$212,2,FALSE),""))</f>
        <v>0405 - CONTROLE DE DOENÇAS ANIMAIS</v>
      </c>
      <c r="AN395" s="13" t="str">
        <f>IF(AL395="","",IFERROR(VLOOKUP(AL395,CODEBOOK_CAP!$C$2:$E$212,3,FALSE),""))</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O395" s="11" t="n">
        <v>0</v>
      </c>
      <c r="AP395" s="11"/>
      <c r="AQ395" s="11" t="n">
        <v>0</v>
      </c>
      <c r="AR395" s="11" t="n">
        <v>0</v>
      </c>
      <c r="AS395" s="11"/>
      <c r="AT395" s="11" t="n">
        <v>1</v>
      </c>
      <c r="AU395" s="11" t="s">
        <v>1069</v>
      </c>
      <c r="AV395" s="11"/>
      <c r="AW395" s="11"/>
      <c r="AX395" s="7" t="s">
        <v>84</v>
      </c>
      <c r="AY395" s="7"/>
      <c r="AZ395" s="7"/>
      <c r="BA395" s="7"/>
    </row>
    <row r="396" ht="114" customHeight="1">
      <c r="A396" s="4" t="s">
        <v>2487</v>
      </c>
      <c r="B396" s="4" t="n">
        <v>2022</v>
      </c>
      <c r="C396" s="4" t="n">
        <v>4599</v>
      </c>
      <c r="D396" s="4" t="s">
        <v>54</v>
      </c>
      <c r="E396" s="4" t="s">
        <v>2446</v>
      </c>
      <c r="F396" s="5" t="s">
        <v>2488</v>
      </c>
      <c r="G396" s="4" t="s">
        <v>57</v>
      </c>
      <c r="H396" s="4" t="s">
        <v>2448</v>
      </c>
      <c r="I396" s="4" t="s">
        <v>2448</v>
      </c>
      <c r="J396" s="4" t="s">
        <v>2489</v>
      </c>
      <c r="K396" s="4" t="s">
        <v>1059</v>
      </c>
      <c r="L396" s="5" t="s">
        <v>225</v>
      </c>
      <c r="M396" s="4" t="s">
        <v>226</v>
      </c>
      <c r="N396" s="5" t="s">
        <v>227</v>
      </c>
      <c r="O396" s="4" t="s">
        <v>228</v>
      </c>
      <c r="P396" s="5" t="s">
        <v>1060</v>
      </c>
      <c r="Q396" s="4" t="s">
        <v>1061</v>
      </c>
      <c r="R396" s="5" t="s">
        <v>1062</v>
      </c>
      <c r="S396" s="4" t="s">
        <v>1063</v>
      </c>
      <c r="T396" s="5" t="s">
        <v>1064</v>
      </c>
      <c r="U396" s="4" t="s">
        <v>1065</v>
      </c>
      <c r="V396" s="5" t="s">
        <v>104</v>
      </c>
      <c r="W396" s="4" t="s">
        <v>105</v>
      </c>
      <c r="X396" s="4" t="s">
        <v>106</v>
      </c>
      <c r="Y396" s="5"/>
      <c r="Z396" s="4" t="s">
        <v>235</v>
      </c>
      <c r="AA396" s="6" t="n">
        <v>130000</v>
      </c>
      <c r="AB396" s="6" t="n">
        <v>130000</v>
      </c>
      <c r="AC396" s="6" t="n">
        <v>130000</v>
      </c>
      <c r="AD396" s="6" t="n">
        <v>130000</v>
      </c>
      <c r="AE396" s="4" t="s">
        <v>1066</v>
      </c>
      <c r="AF396" s="5" t="s">
        <v>1067</v>
      </c>
      <c r="AG396" s="4" t="s">
        <v>78</v>
      </c>
      <c r="AH396" s="4" t="s">
        <v>79</v>
      </c>
      <c r="AI396" s="5" t="s">
        <v>80</v>
      </c>
      <c r="AJ396" s="1" t="n">
        <v>0</v>
      </c>
      <c r="AK396" s="11" t="n">
        <v>0</v>
      </c>
      <c r="AL396" s="12" t="s">
        <v>1068</v>
      </c>
      <c r="AM396" s="13" t="str">
        <f>IF(AL396="","",AL396&amp;" - "&amp;IFERROR(VLOOKUP(AL396,CODEBOOK_CAP!$C$2:$D$212,2,FALSE),""))</f>
        <v>0405 - CONTROLE DE DOENÇAS ANIMAIS</v>
      </c>
      <c r="AN396" s="13" t="str">
        <f>IF(AL396="","",IFERROR(VLOOKUP(AL396,CODEBOOK_CAP!$C$2:$E$212,3,FALSE),""))</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O396" s="11" t="n">
        <v>0</v>
      </c>
      <c r="AP396" s="11"/>
      <c r="AQ396" s="11" t="n">
        <v>0</v>
      </c>
      <c r="AR396" s="11" t="n">
        <v>0</v>
      </c>
      <c r="AS396" s="11"/>
      <c r="AT396" s="11" t="n">
        <v>1</v>
      </c>
      <c r="AU396" s="11" t="s">
        <v>1069</v>
      </c>
      <c r="AV396" s="11"/>
      <c r="AW396" s="11"/>
      <c r="AX396" s="7" t="s">
        <v>84</v>
      </c>
      <c r="AY396" s="7"/>
      <c r="AZ396" s="7"/>
      <c r="BA396" s="7"/>
    </row>
    <row r="397" ht="142.5" customHeight="1">
      <c r="A397" s="4" t="s">
        <v>2490</v>
      </c>
      <c r="B397" s="4" t="n">
        <v>2022</v>
      </c>
      <c r="C397" s="4" t="n">
        <v>4600</v>
      </c>
      <c r="D397" s="4" t="s">
        <v>54</v>
      </c>
      <c r="E397" s="4" t="s">
        <v>2446</v>
      </c>
      <c r="F397" s="5" t="s">
        <v>2491</v>
      </c>
      <c r="G397" s="4" t="s">
        <v>57</v>
      </c>
      <c r="H397" s="4" t="s">
        <v>2448</v>
      </c>
      <c r="I397" s="4" t="s">
        <v>2448</v>
      </c>
      <c r="J397" s="4" t="s">
        <v>2492</v>
      </c>
      <c r="K397" s="4" t="s">
        <v>2493</v>
      </c>
      <c r="L397" s="5" t="s">
        <v>62</v>
      </c>
      <c r="M397" s="4" t="s">
        <v>63</v>
      </c>
      <c r="N397" s="5" t="s">
        <v>64</v>
      </c>
      <c r="O397" s="4" t="s">
        <v>65</v>
      </c>
      <c r="P397" s="5" t="s">
        <v>2494</v>
      </c>
      <c r="Q397" s="4" t="s">
        <v>2495</v>
      </c>
      <c r="R397" s="5" t="s">
        <v>1878</v>
      </c>
      <c r="S397" s="4" t="s">
        <v>1879</v>
      </c>
      <c r="T397" s="5" t="s">
        <v>1880</v>
      </c>
      <c r="U397" s="4" t="s">
        <v>1879</v>
      </c>
      <c r="V397" s="5" t="s">
        <v>104</v>
      </c>
      <c r="W397" s="4" t="s">
        <v>105</v>
      </c>
      <c r="X397" s="4" t="s">
        <v>106</v>
      </c>
      <c r="Y397" s="5"/>
      <c r="Z397" s="4" t="s">
        <v>311</v>
      </c>
      <c r="AA397" s="6" t="n">
        <v>50000</v>
      </c>
      <c r="AB397" s="6" t="n">
        <v>0</v>
      </c>
      <c r="AC397" s="6" t="n">
        <v>0</v>
      </c>
      <c r="AD397" s="6" t="n">
        <v>0</v>
      </c>
      <c r="AE397" s="4" t="s">
        <v>2496</v>
      </c>
      <c r="AF397" s="5" t="s">
        <v>708</v>
      </c>
      <c r="AG397" s="4" t="s">
        <v>115</v>
      </c>
      <c r="AH397" s="4" t="s">
        <v>115</v>
      </c>
      <c r="AI397" s="5" t="s">
        <v>115</v>
      </c>
      <c r="AJ397" s="1" t="n">
        <v>1</v>
      </c>
      <c r="AK397" s="11" t="n">
        <v>0</v>
      </c>
      <c r="AL397" s="12" t="s">
        <v>2457</v>
      </c>
      <c r="AM397" s="13" t="str">
        <f>IF(AL397="","",AL397&amp;" - "&amp;IFERROR(VLOOKUP(AL397,CODEBOOK_CAP!$C$2:$D$212,2,FALSE),""))</f>
        <v>0700 - GERAL</v>
      </c>
      <c r="AN397" s="13" t="str">
        <f>IF(AL397="","",IFERROR(VLOOKUP(AL397,CODEBOOK_CAP!$C$2:$E$212,3,FALSE),""))</f>
        <v>Quando há combinação de diversos assuntos relacionados as políticas de MEIO-AMBIENTE. Saneamento básico geral (quando aparecer o termo solto, sem definição específica)Tópicos relacionados as políticas gerais de meio ambiente e proteção ambiental gerais, controle ambiental, gestão ambiental, engenharia ambiental, estatísticas gerais. Desastres, catástrofes, Mariana, Brumadinho, ruptura de barragens de mineração. Multas e sanções envolvendo meio ambiente. Nao confundir com questões de agricultura, legislações ambientais gerais, responsabilidade ambiental (código 4) e Nao confundir com questões relacionadas a território e recursos naturais (código 21)</v>
      </c>
      <c r="AO397" s="11" t="n">
        <v>0</v>
      </c>
      <c r="AP397" s="11"/>
      <c r="AQ397" s="11" t="n">
        <v>0</v>
      </c>
      <c r="AR397" s="11" t="n">
        <v>0</v>
      </c>
      <c r="AS397" s="11"/>
      <c r="AT397" s="11" t="n">
        <v>0</v>
      </c>
      <c r="AU397" s="11"/>
      <c r="AV397" s="11"/>
      <c r="AW397" s="11"/>
      <c r="AX397" s="7" t="s">
        <v>84</v>
      </c>
      <c r="AY397" s="7"/>
      <c r="AZ397" s="7"/>
      <c r="BA397" s="7"/>
    </row>
    <row r="398" ht="114" customHeight="1">
      <c r="A398" s="4" t="s">
        <v>2497</v>
      </c>
      <c r="B398" s="4" t="n">
        <v>2022</v>
      </c>
      <c r="C398" s="4" t="n">
        <v>4601</v>
      </c>
      <c r="D398" s="4" t="s">
        <v>54</v>
      </c>
      <c r="E398" s="4" t="s">
        <v>2446</v>
      </c>
      <c r="F398" s="5" t="s">
        <v>2498</v>
      </c>
      <c r="G398" s="4" t="s">
        <v>57</v>
      </c>
      <c r="H398" s="4" t="s">
        <v>2448</v>
      </c>
      <c r="I398" s="4" t="s">
        <v>2448</v>
      </c>
      <c r="J398" s="4" t="s">
        <v>2499</v>
      </c>
      <c r="K398" s="4" t="s">
        <v>115</v>
      </c>
      <c r="L398" s="5"/>
      <c r="M398" s="4"/>
      <c r="N398" s="5"/>
      <c r="O398" s="4"/>
      <c r="P398" s="5"/>
      <c r="Q398" s="4"/>
      <c r="R398" s="5"/>
      <c r="S398" s="4"/>
      <c r="T398" s="5"/>
      <c r="U398" s="4"/>
      <c r="V398" s="5"/>
      <c r="W398" s="4"/>
      <c r="X398" s="4"/>
      <c r="Y398" s="5"/>
      <c r="Z398" s="4" t="s">
        <v>75</v>
      </c>
      <c r="AA398" s="6" t="n">
        <v>614220</v>
      </c>
      <c r="AB398" s="6" t="n">
        <v>0</v>
      </c>
      <c r="AC398" s="6" t="n">
        <v>0</v>
      </c>
      <c r="AD398" s="6" t="n">
        <v>0</v>
      </c>
      <c r="AE398" s="4" t="s">
        <v>2500</v>
      </c>
      <c r="AF398" s="5" t="s">
        <v>2501</v>
      </c>
      <c r="AG398" s="4" t="s">
        <v>115</v>
      </c>
      <c r="AH398" s="4" t="s">
        <v>115</v>
      </c>
      <c r="AI398" s="5" t="s">
        <v>115</v>
      </c>
      <c r="AJ398" s="1" t="n">
        <v>0</v>
      </c>
      <c r="AK398" s="11" t="n">
        <v>0</v>
      </c>
      <c r="AL398" s="12" t="s">
        <v>1068</v>
      </c>
      <c r="AM398" s="13" t="str">
        <f>IF(AL398="","",AL398&amp;" - "&amp;IFERROR(VLOOKUP(AL398,CODEBOOK_CAP!$C$2:$D$212,2,FALSE),""))</f>
        <v>0405 - CONTROLE DE DOENÇAS ANIMAIS</v>
      </c>
      <c r="AN398" s="13" t="str">
        <f>IF(AL398="","",IFERROR(VLOOKUP(AL398,CODEBOOK_CAP!$C$2:$E$212,3,FALSE),""))</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O398" s="11" t="n">
        <v>0</v>
      </c>
      <c r="AP398" s="11"/>
      <c r="AQ398" s="11" t="n">
        <v>0</v>
      </c>
      <c r="AR398" s="11" t="n">
        <v>0</v>
      </c>
      <c r="AS398" s="11"/>
      <c r="AT398" s="11" t="n">
        <v>1</v>
      </c>
      <c r="AU398" s="11" t="s">
        <v>1069</v>
      </c>
      <c r="AV398" s="11"/>
      <c r="AW398" s="11"/>
      <c r="AX398" s="7" t="s">
        <v>84</v>
      </c>
      <c r="AY398" s="7"/>
      <c r="AZ398" s="7"/>
      <c r="BA398" s="7"/>
    </row>
    <row r="399" ht="114" customHeight="1">
      <c r="A399" s="4" t="s">
        <v>2502</v>
      </c>
      <c r="B399" s="4" t="n">
        <v>2022</v>
      </c>
      <c r="C399" s="4" t="n">
        <v>4602</v>
      </c>
      <c r="D399" s="4" t="s">
        <v>54</v>
      </c>
      <c r="E399" s="4" t="s">
        <v>2446</v>
      </c>
      <c r="F399" s="5" t="s">
        <v>2503</v>
      </c>
      <c r="G399" s="4" t="s">
        <v>289</v>
      </c>
      <c r="H399" s="4" t="s">
        <v>2448</v>
      </c>
      <c r="I399" s="4" t="s">
        <v>2448</v>
      </c>
      <c r="J399" s="4" t="s">
        <v>2504</v>
      </c>
      <c r="K399" s="4" t="s">
        <v>115</v>
      </c>
      <c r="L399" s="5"/>
      <c r="M399" s="4"/>
      <c r="N399" s="5"/>
      <c r="O399" s="4"/>
      <c r="P399" s="5"/>
      <c r="Q399" s="4"/>
      <c r="R399" s="5"/>
      <c r="S399" s="4"/>
      <c r="T399" s="5"/>
      <c r="U399" s="4"/>
      <c r="V399" s="5"/>
      <c r="W399" s="4"/>
      <c r="X399" s="4"/>
      <c r="Y399" s="5"/>
      <c r="Z399" s="4" t="s">
        <v>289</v>
      </c>
      <c r="AA399" s="6" t="n">
        <v>345000</v>
      </c>
      <c r="AB399" s="6"/>
      <c r="AC399" s="6"/>
      <c r="AD399" s="6"/>
      <c r="AE399" s="4" t="s">
        <v>115</v>
      </c>
      <c r="AF399" s="5" t="s">
        <v>115</v>
      </c>
      <c r="AG399" s="4" t="s">
        <v>115</v>
      </c>
      <c r="AH399" s="4" t="s">
        <v>115</v>
      </c>
      <c r="AI399" s="5" t="s">
        <v>115</v>
      </c>
      <c r="AJ399" s="1" t="n">
        <v>0</v>
      </c>
      <c r="AK399" s="11" t="n">
        <v>0</v>
      </c>
      <c r="AL399" s="12" t="s">
        <v>1068</v>
      </c>
      <c r="AM399" s="13" t="str">
        <f>IF(AL399="","",AL399&amp;" - "&amp;IFERROR(VLOOKUP(AL399,CODEBOOK_CAP!$C$2:$D$212,2,FALSE),""))</f>
        <v>0405 - CONTROLE DE DOENÇAS ANIMAIS</v>
      </c>
      <c r="AN399" s="13" t="str">
        <f>IF(AL399="","",IFERROR(VLOOKUP(AL399,CODEBOOK_CAP!$C$2:$E$212,3,FALSE),""))</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O399" s="11" t="n">
        <v>0</v>
      </c>
      <c r="AP399" s="11"/>
      <c r="AQ399" s="11" t="n">
        <v>0</v>
      </c>
      <c r="AR399" s="11" t="n">
        <v>0</v>
      </c>
      <c r="AS399" s="11"/>
      <c r="AT399" s="11" t="n">
        <v>1</v>
      </c>
      <c r="AU399" s="11" t="s">
        <v>1069</v>
      </c>
      <c r="AV399" s="11"/>
      <c r="AW399" s="11"/>
      <c r="AX399" s="7" t="s">
        <v>84</v>
      </c>
      <c r="AY399" s="7"/>
      <c r="AZ399" s="7"/>
      <c r="BA399" s="7"/>
    </row>
    <row r="400" ht="114" customHeight="1">
      <c r="A400" s="4" t="s">
        <v>2505</v>
      </c>
      <c r="B400" s="4" t="n">
        <v>2022</v>
      </c>
      <c r="C400" s="4" t="n">
        <v>4603</v>
      </c>
      <c r="D400" s="4" t="s">
        <v>54</v>
      </c>
      <c r="E400" s="4" t="s">
        <v>2446</v>
      </c>
      <c r="F400" s="5" t="s">
        <v>2506</v>
      </c>
      <c r="G400" s="4" t="s">
        <v>139</v>
      </c>
      <c r="H400" s="4" t="s">
        <v>2448</v>
      </c>
      <c r="I400" s="4" t="s">
        <v>500</v>
      </c>
      <c r="J400" s="4" t="s">
        <v>2507</v>
      </c>
      <c r="K400" s="4" t="s">
        <v>115</v>
      </c>
      <c r="L400" s="5"/>
      <c r="M400" s="4"/>
      <c r="N400" s="5"/>
      <c r="O400" s="4"/>
      <c r="P400" s="5"/>
      <c r="Q400" s="4"/>
      <c r="R400" s="5"/>
      <c r="S400" s="4"/>
      <c r="T400" s="5"/>
      <c r="U400" s="4"/>
      <c r="V400" s="5"/>
      <c r="W400" s="4"/>
      <c r="X400" s="4"/>
      <c r="Y400" s="5"/>
      <c r="Z400" s="4" t="s">
        <v>139</v>
      </c>
      <c r="AA400" s="6" t="n">
        <v>160000</v>
      </c>
      <c r="AB400" s="6"/>
      <c r="AC400" s="6"/>
      <c r="AD400" s="6"/>
      <c r="AE400" s="4" t="s">
        <v>115</v>
      </c>
      <c r="AF400" s="5" t="s">
        <v>115</v>
      </c>
      <c r="AG400" s="4" t="s">
        <v>115</v>
      </c>
      <c r="AH400" s="4" t="s">
        <v>115</v>
      </c>
      <c r="AI400" s="5" t="s">
        <v>115</v>
      </c>
      <c r="AJ400" s="1" t="n">
        <v>0</v>
      </c>
      <c r="AK400" s="11" t="n">
        <v>0</v>
      </c>
      <c r="AL400" s="12" t="s">
        <v>1068</v>
      </c>
      <c r="AM400" s="13" t="str">
        <f>IF(AL400="","",AL400&amp;" - "&amp;IFERROR(VLOOKUP(AL400,CODEBOOK_CAP!$C$2:$D$212,2,FALSE),""))</f>
        <v>0405 - CONTROLE DE DOENÇAS ANIMAIS</v>
      </c>
      <c r="AN400" s="13" t="str">
        <f>IF(AL400="","",IFERROR(VLOOKUP(AL400,CODEBOOK_CAP!$C$2:$E$212,3,FALSE),""))</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O400" s="11" t="n">
        <v>0</v>
      </c>
      <c r="AP400" s="11"/>
      <c r="AQ400" s="11" t="n">
        <v>0</v>
      </c>
      <c r="AR400" s="11" t="n">
        <v>0</v>
      </c>
      <c r="AS400" s="11"/>
      <c r="AT400" s="11" t="n">
        <v>1</v>
      </c>
      <c r="AU400" s="11" t="s">
        <v>1069</v>
      </c>
      <c r="AV400" s="11"/>
      <c r="AW400" s="11"/>
      <c r="AX400" s="7" t="s">
        <v>84</v>
      </c>
      <c r="AY400" s="7"/>
      <c r="AZ400" s="7"/>
      <c r="BA400" s="7"/>
    </row>
    <row r="401" ht="114" customHeight="1">
      <c r="A401" s="4" t="s">
        <v>2508</v>
      </c>
      <c r="B401" s="4" t="n">
        <v>2022</v>
      </c>
      <c r="C401" s="4" t="n">
        <v>4604</v>
      </c>
      <c r="D401" s="4" t="s">
        <v>54</v>
      </c>
      <c r="E401" s="4" t="s">
        <v>2446</v>
      </c>
      <c r="F401" s="5" t="s">
        <v>2509</v>
      </c>
      <c r="G401" s="4" t="s">
        <v>139</v>
      </c>
      <c r="H401" s="4" t="s">
        <v>2448</v>
      </c>
      <c r="I401" s="4" t="s">
        <v>500</v>
      </c>
      <c r="J401" s="4" t="s">
        <v>2510</v>
      </c>
      <c r="K401" s="4" t="s">
        <v>115</v>
      </c>
      <c r="L401" s="5"/>
      <c r="M401" s="4"/>
      <c r="N401" s="5"/>
      <c r="O401" s="4"/>
      <c r="P401" s="5"/>
      <c r="Q401" s="4"/>
      <c r="R401" s="5"/>
      <c r="S401" s="4"/>
      <c r="T401" s="5"/>
      <c r="U401" s="4"/>
      <c r="V401" s="5"/>
      <c r="W401" s="4"/>
      <c r="X401" s="4"/>
      <c r="Y401" s="5"/>
      <c r="Z401" s="4" t="s">
        <v>139</v>
      </c>
      <c r="AA401" s="6" t="n">
        <v>25000</v>
      </c>
      <c r="AB401" s="6"/>
      <c r="AC401" s="6"/>
      <c r="AD401" s="6"/>
      <c r="AE401" s="4" t="s">
        <v>115</v>
      </c>
      <c r="AF401" s="5" t="s">
        <v>115</v>
      </c>
      <c r="AG401" s="4" t="s">
        <v>115</v>
      </c>
      <c r="AH401" s="4" t="s">
        <v>115</v>
      </c>
      <c r="AI401" s="5" t="s">
        <v>115</v>
      </c>
      <c r="AJ401" s="1" t="n">
        <v>0</v>
      </c>
      <c r="AK401" s="11" t="n">
        <v>0</v>
      </c>
      <c r="AL401" s="12" t="s">
        <v>1068</v>
      </c>
      <c r="AM401" s="13" t="str">
        <f>IF(AL401="","",AL401&amp;" - "&amp;IFERROR(VLOOKUP(AL401,CODEBOOK_CAP!$C$2:$D$212,2,FALSE),""))</f>
        <v>0405 - CONTROLE DE DOENÇAS ANIMAIS</v>
      </c>
      <c r="AN401" s="13" t="str">
        <f>IF(AL401="","",IFERROR(VLOOKUP(AL401,CODEBOOK_CAP!$C$2:$E$212,3,FALSE),""))</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O401" s="11" t="n">
        <v>0</v>
      </c>
      <c r="AP401" s="11"/>
      <c r="AQ401" s="11" t="n">
        <v>0</v>
      </c>
      <c r="AR401" s="11" t="n">
        <v>0</v>
      </c>
      <c r="AS401" s="11"/>
      <c r="AT401" s="11" t="n">
        <v>1</v>
      </c>
      <c r="AU401" s="11" t="s">
        <v>1069</v>
      </c>
      <c r="AV401" s="11"/>
      <c r="AW401" s="11"/>
      <c r="AX401" s="7" t="s">
        <v>84</v>
      </c>
      <c r="AY401" s="7"/>
      <c r="AZ401" s="7"/>
      <c r="BA401" s="7"/>
    </row>
    <row r="402" ht="85.5" customHeight="1">
      <c r="A402" s="4" t="s">
        <v>2511</v>
      </c>
      <c r="B402" s="4" t="n">
        <v>2022</v>
      </c>
      <c r="C402" s="4" t="n">
        <v>4605</v>
      </c>
      <c r="D402" s="4" t="s">
        <v>54</v>
      </c>
      <c r="E402" s="4" t="s">
        <v>2446</v>
      </c>
      <c r="F402" s="5" t="s">
        <v>2512</v>
      </c>
      <c r="G402" s="4" t="s">
        <v>57</v>
      </c>
      <c r="H402" s="4" t="s">
        <v>2448</v>
      </c>
      <c r="I402" s="4" t="s">
        <v>2448</v>
      </c>
      <c r="J402" s="4" t="s">
        <v>2513</v>
      </c>
      <c r="K402" s="4" t="s">
        <v>428</v>
      </c>
      <c r="L402" s="5" t="s">
        <v>62</v>
      </c>
      <c r="M402" s="4" t="s">
        <v>63</v>
      </c>
      <c r="N402" s="5" t="s">
        <v>64</v>
      </c>
      <c r="O402" s="4" t="s">
        <v>65</v>
      </c>
      <c r="P402" s="5" t="s">
        <v>193</v>
      </c>
      <c r="Q402" s="4" t="s">
        <v>194</v>
      </c>
      <c r="R402" s="5" t="s">
        <v>195</v>
      </c>
      <c r="S402" s="4" t="s">
        <v>196</v>
      </c>
      <c r="T402" s="5" t="s">
        <v>429</v>
      </c>
      <c r="U402" s="4" t="s">
        <v>430</v>
      </c>
      <c r="V402" s="5" t="s">
        <v>104</v>
      </c>
      <c r="W402" s="4" t="s">
        <v>105</v>
      </c>
      <c r="X402" s="4" t="s">
        <v>106</v>
      </c>
      <c r="Y402" s="5"/>
      <c r="Z402" s="4" t="s">
        <v>75</v>
      </c>
      <c r="AA402" s="6" t="n">
        <v>60000</v>
      </c>
      <c r="AB402" s="6" t="n">
        <v>60000</v>
      </c>
      <c r="AC402" s="6" t="n">
        <v>60000</v>
      </c>
      <c r="AD402" s="6" t="n">
        <v>60000</v>
      </c>
      <c r="AE402" s="4" t="s">
        <v>438</v>
      </c>
      <c r="AF402" s="5" t="s">
        <v>439</v>
      </c>
      <c r="AG402" s="4" t="s">
        <v>433</v>
      </c>
      <c r="AH402" s="4" t="s">
        <v>433</v>
      </c>
      <c r="AI402" s="5"/>
      <c r="AJ402" s="1" t="n">
        <v>1</v>
      </c>
      <c r="AK402" s="11" t="n">
        <v>1</v>
      </c>
      <c r="AL402" s="12" t="s">
        <v>81</v>
      </c>
      <c r="AM402" s="13" t="str">
        <f>IF(AL402="","",AL402&amp;" - "&amp;IFERROR(VLOOKUP(AL402,CODEBOOK_CAP!$C$2:$D$212,2,FALSE),""))</f>
        <v>0322 - ESTRUTURAS, HOSPITAIS, CLÍNICAS</v>
      </c>
      <c r="AN402" s="13" t="str">
        <f>IF(AL402="","",IFERROR(VLOOKUP(AL402,CODEBOOK_CAP!$C$2:$E$212,3,FALSE),""))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402" s="11" t="n">
        <v>0</v>
      </c>
      <c r="AP402" s="11"/>
      <c r="AQ402" s="11" t="n">
        <v>1</v>
      </c>
      <c r="AR402" s="11" t="n">
        <v>1</v>
      </c>
      <c r="AS402" s="11" t="s">
        <v>1538</v>
      </c>
      <c r="AT402" s="11" t="n">
        <v>0</v>
      </c>
      <c r="AU402" s="11"/>
      <c r="AV402" s="11"/>
      <c r="AW402" s="11"/>
      <c r="AX402" s="7" t="s">
        <v>84</v>
      </c>
      <c r="AY402" s="7"/>
      <c r="AZ402" s="7"/>
      <c r="BA402" s="7"/>
    </row>
    <row r="403" ht="85.5" customHeight="1">
      <c r="A403" s="4" t="s">
        <v>2514</v>
      </c>
      <c r="B403" s="4" t="n">
        <v>2022</v>
      </c>
      <c r="C403" s="4" t="n">
        <v>4606</v>
      </c>
      <c r="D403" s="4" t="s">
        <v>54</v>
      </c>
      <c r="E403" s="4" t="s">
        <v>2446</v>
      </c>
      <c r="F403" s="5" t="s">
        <v>2515</v>
      </c>
      <c r="G403" s="4" t="s">
        <v>57</v>
      </c>
      <c r="H403" s="4" t="s">
        <v>2448</v>
      </c>
      <c r="I403" s="4" t="s">
        <v>2448</v>
      </c>
      <c r="J403" s="4" t="s">
        <v>2516</v>
      </c>
      <c r="K403" s="4" t="s">
        <v>428</v>
      </c>
      <c r="L403" s="5" t="s">
        <v>62</v>
      </c>
      <c r="M403" s="4" t="s">
        <v>63</v>
      </c>
      <c r="N403" s="5" t="s">
        <v>64</v>
      </c>
      <c r="O403" s="4" t="s">
        <v>65</v>
      </c>
      <c r="P403" s="5" t="s">
        <v>193</v>
      </c>
      <c r="Q403" s="4" t="s">
        <v>194</v>
      </c>
      <c r="R403" s="5" t="s">
        <v>195</v>
      </c>
      <c r="S403" s="4" t="s">
        <v>196</v>
      </c>
      <c r="T403" s="5" t="s">
        <v>429</v>
      </c>
      <c r="U403" s="4" t="s">
        <v>430</v>
      </c>
      <c r="V403" s="5" t="s">
        <v>104</v>
      </c>
      <c r="W403" s="4" t="s">
        <v>105</v>
      </c>
      <c r="X403" s="4" t="s">
        <v>106</v>
      </c>
      <c r="Y403" s="5"/>
      <c r="Z403" s="4" t="s">
        <v>75</v>
      </c>
      <c r="AA403" s="6" t="n">
        <v>60000</v>
      </c>
      <c r="AB403" s="6" t="n">
        <v>60000</v>
      </c>
      <c r="AC403" s="6" t="n">
        <v>60000</v>
      </c>
      <c r="AD403" s="6" t="n">
        <v>60000</v>
      </c>
      <c r="AE403" s="4" t="s">
        <v>458</v>
      </c>
      <c r="AF403" s="5" t="s">
        <v>459</v>
      </c>
      <c r="AG403" s="4" t="s">
        <v>433</v>
      </c>
      <c r="AH403" s="4" t="s">
        <v>433</v>
      </c>
      <c r="AI403" s="5"/>
      <c r="AJ403" s="1" t="n">
        <v>1</v>
      </c>
      <c r="AK403" s="11" t="n">
        <v>1</v>
      </c>
      <c r="AL403" s="12" t="s">
        <v>81</v>
      </c>
      <c r="AM403" s="13" t="str">
        <f>IF(AL403="","",AL403&amp;" - "&amp;IFERROR(VLOOKUP(AL403,CODEBOOK_CAP!$C$2:$D$212,2,FALSE),""))</f>
        <v>0322 - ESTRUTURAS, HOSPITAIS, CLÍNICAS</v>
      </c>
      <c r="AN403" s="13" t="str">
        <f>IF(AL403="","",IFERROR(VLOOKUP(AL403,CODEBOOK_CAP!$C$2:$E$212,3,FALSE),""))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403" s="11" t="n">
        <v>0</v>
      </c>
      <c r="AP403" s="11"/>
      <c r="AQ403" s="11" t="n">
        <v>1</v>
      </c>
      <c r="AR403" s="11" t="n">
        <v>1</v>
      </c>
      <c r="AS403" s="11" t="s">
        <v>2517</v>
      </c>
      <c r="AT403" s="11" t="n">
        <v>0</v>
      </c>
      <c r="AU403" s="11"/>
      <c r="AV403" s="11"/>
      <c r="AW403" s="11"/>
      <c r="AX403" s="7" t="s">
        <v>84</v>
      </c>
      <c r="AY403" s="7"/>
      <c r="AZ403" s="7"/>
      <c r="BA403" s="7"/>
    </row>
    <row r="404" ht="114" customHeight="1">
      <c r="A404" s="4" t="s">
        <v>2518</v>
      </c>
      <c r="B404" s="4" t="n">
        <v>2022</v>
      </c>
      <c r="C404" s="4" t="n">
        <v>4607</v>
      </c>
      <c r="D404" s="4" t="s">
        <v>54</v>
      </c>
      <c r="E404" s="4" t="s">
        <v>2446</v>
      </c>
      <c r="F404" s="5" t="s">
        <v>2519</v>
      </c>
      <c r="G404" s="4" t="s">
        <v>57</v>
      </c>
      <c r="H404" s="4" t="s">
        <v>2448</v>
      </c>
      <c r="I404" s="4" t="s">
        <v>2448</v>
      </c>
      <c r="J404" s="4" t="s">
        <v>2520</v>
      </c>
      <c r="K404" s="4" t="s">
        <v>428</v>
      </c>
      <c r="L404" s="5" t="s">
        <v>62</v>
      </c>
      <c r="M404" s="4" t="s">
        <v>63</v>
      </c>
      <c r="N404" s="5" t="s">
        <v>64</v>
      </c>
      <c r="O404" s="4" t="s">
        <v>65</v>
      </c>
      <c r="P404" s="5" t="s">
        <v>193</v>
      </c>
      <c r="Q404" s="4" t="s">
        <v>194</v>
      </c>
      <c r="R404" s="5" t="s">
        <v>195</v>
      </c>
      <c r="S404" s="4" t="s">
        <v>196</v>
      </c>
      <c r="T404" s="5" t="s">
        <v>429</v>
      </c>
      <c r="U404" s="4" t="s">
        <v>430</v>
      </c>
      <c r="V404" s="5" t="s">
        <v>104</v>
      </c>
      <c r="W404" s="4" t="s">
        <v>105</v>
      </c>
      <c r="X404" s="4" t="s">
        <v>106</v>
      </c>
      <c r="Y404" s="5"/>
      <c r="Z404" s="4" t="s">
        <v>75</v>
      </c>
      <c r="AA404" s="6" t="n">
        <v>60000</v>
      </c>
      <c r="AB404" s="6" t="n">
        <v>60000</v>
      </c>
      <c r="AC404" s="6" t="n">
        <v>60000</v>
      </c>
      <c r="AD404" s="6" t="n">
        <v>60000</v>
      </c>
      <c r="AE404" s="4" t="s">
        <v>743</v>
      </c>
      <c r="AF404" s="5" t="s">
        <v>2521</v>
      </c>
      <c r="AG404" s="4" t="s">
        <v>433</v>
      </c>
      <c r="AH404" s="4" t="s">
        <v>433</v>
      </c>
      <c r="AI404" s="5"/>
      <c r="AJ404" s="1" t="n">
        <v>1</v>
      </c>
      <c r="AK404" s="11" t="n">
        <v>1</v>
      </c>
      <c r="AL404" s="12" t="s">
        <v>452</v>
      </c>
      <c r="AM404" s="13" t="str">
        <f>IF(AL404="","",AL404&amp;" - "&amp;IFERROR(VLOOKUP(AL404,CODEBOOK_CAP!$C$2:$D$212,2,FALSE),""))</f>
        <v>0332 - SAÚDE INFANTIL, GRAVIDEZ E PRÉ-NATAL</v>
      </c>
      <c r="AN404" s="13" t="str">
        <f>IF(AL404="","",IFERROR(VLOOKUP(AL404,CODEBOOK_CAP!$C$2:$E$212,3,FALSE),""))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404" s="11" t="n">
        <v>0</v>
      </c>
      <c r="AP404" s="11"/>
      <c r="AQ404" s="11" t="n">
        <v>1</v>
      </c>
      <c r="AR404" s="11" t="n">
        <v>1</v>
      </c>
      <c r="AS404" s="11" t="s">
        <v>2522</v>
      </c>
      <c r="AT404" s="11" t="n">
        <v>1</v>
      </c>
      <c r="AU404" s="11" t="s">
        <v>503</v>
      </c>
      <c r="AV404" s="11"/>
      <c r="AW404" s="11"/>
      <c r="AX404" s="7" t="s">
        <v>84</v>
      </c>
      <c r="AY404" s="7"/>
      <c r="AZ404" s="7"/>
      <c r="BA404" s="7"/>
    </row>
    <row r="405" ht="85.5" customHeight="1">
      <c r="A405" s="4" t="s">
        <v>2523</v>
      </c>
      <c r="B405" s="4" t="n">
        <v>2022</v>
      </c>
      <c r="C405" s="4" t="n">
        <v>4608</v>
      </c>
      <c r="D405" s="4" t="s">
        <v>54</v>
      </c>
      <c r="E405" s="4" t="s">
        <v>2446</v>
      </c>
      <c r="F405" s="5" t="s">
        <v>2524</v>
      </c>
      <c r="G405" s="4" t="s">
        <v>57</v>
      </c>
      <c r="H405" s="4" t="s">
        <v>2448</v>
      </c>
      <c r="I405" s="4" t="s">
        <v>2448</v>
      </c>
      <c r="J405" s="4" t="s">
        <v>2525</v>
      </c>
      <c r="K405" s="4" t="s">
        <v>343</v>
      </c>
      <c r="L405" s="5" t="s">
        <v>62</v>
      </c>
      <c r="M405" s="4" t="s">
        <v>63</v>
      </c>
      <c r="N405" s="5" t="s">
        <v>64</v>
      </c>
      <c r="O405" s="4" t="s">
        <v>65</v>
      </c>
      <c r="P405" s="5" t="s">
        <v>344</v>
      </c>
      <c r="Q405" s="4" t="s">
        <v>345</v>
      </c>
      <c r="R405" s="5" t="s">
        <v>346</v>
      </c>
      <c r="S405" s="4" t="s">
        <v>347</v>
      </c>
      <c r="T405" s="5" t="s">
        <v>348</v>
      </c>
      <c r="U405" s="4" t="s">
        <v>349</v>
      </c>
      <c r="V405" s="5" t="s">
        <v>350</v>
      </c>
      <c r="W405" s="4" t="s">
        <v>105</v>
      </c>
      <c r="X405" s="4" t="s">
        <v>106</v>
      </c>
      <c r="Y405" s="5"/>
      <c r="Z405" s="4" t="s">
        <v>75</v>
      </c>
      <c r="AA405" s="6" t="n">
        <v>30000</v>
      </c>
      <c r="AB405" s="6" t="n">
        <v>30000</v>
      </c>
      <c r="AC405" s="6" t="n">
        <v>30000</v>
      </c>
      <c r="AD405" s="6" t="n">
        <v>30000</v>
      </c>
      <c r="AE405" s="4" t="s">
        <v>351</v>
      </c>
      <c r="AF405" s="5" t="s">
        <v>352</v>
      </c>
      <c r="AG405" s="4" t="s">
        <v>78</v>
      </c>
      <c r="AH405" s="4" t="s">
        <v>79</v>
      </c>
      <c r="AI405" s="5" t="s">
        <v>80</v>
      </c>
      <c r="AJ405" s="1" t="n">
        <v>1</v>
      </c>
      <c r="AK405" s="11" t="n">
        <v>1</v>
      </c>
      <c r="AL405" s="12" t="s">
        <v>81</v>
      </c>
      <c r="AM405" s="13" t="str">
        <f>IF(AL405="","",AL405&amp;" - "&amp;IFERROR(VLOOKUP(AL405,CODEBOOK_CAP!$C$2:$D$212,2,FALSE),""))</f>
        <v>0322 - ESTRUTURAS, HOSPITAIS, CLÍNICAS</v>
      </c>
      <c r="AN405" s="13" t="str">
        <f>IF(AL405="","",IFERROR(VLOOKUP(AL405,CODEBOOK_CAP!$C$2:$E$212,3,FALSE),""))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405" s="11" t="n">
        <v>0</v>
      </c>
      <c r="AP405" s="11"/>
      <c r="AQ405" s="11" t="n">
        <v>1</v>
      </c>
      <c r="AR405" s="11" t="n">
        <v>1</v>
      </c>
      <c r="AS405" s="11" t="s">
        <v>2526</v>
      </c>
      <c r="AT405" s="11" t="n">
        <v>0</v>
      </c>
      <c r="AU405" s="11"/>
      <c r="AV405" s="11"/>
      <c r="AW405" s="11"/>
      <c r="AX405" s="7" t="s">
        <v>84</v>
      </c>
      <c r="AY405" s="7"/>
      <c r="AZ405" s="7"/>
      <c r="BA405" s="7"/>
    </row>
    <row r="406" ht="156.75" customHeight="1">
      <c r="A406" s="4" t="s">
        <v>2527</v>
      </c>
      <c r="B406" s="4" t="n">
        <v>2022</v>
      </c>
      <c r="C406" s="4" t="n">
        <v>4609</v>
      </c>
      <c r="D406" s="4" t="s">
        <v>54</v>
      </c>
      <c r="E406" s="4" t="s">
        <v>2446</v>
      </c>
      <c r="F406" s="5" t="s">
        <v>2528</v>
      </c>
      <c r="G406" s="4" t="s">
        <v>57</v>
      </c>
      <c r="H406" s="4" t="s">
        <v>2448</v>
      </c>
      <c r="I406" s="4" t="s">
        <v>2448</v>
      </c>
      <c r="J406" s="4" t="s">
        <v>2529</v>
      </c>
      <c r="K406" s="4" t="s">
        <v>554</v>
      </c>
      <c r="L406" s="5" t="s">
        <v>62</v>
      </c>
      <c r="M406" s="4" t="s">
        <v>63</v>
      </c>
      <c r="N406" s="5" t="s">
        <v>64</v>
      </c>
      <c r="O406" s="4" t="s">
        <v>65</v>
      </c>
      <c r="P406" s="5" t="s">
        <v>344</v>
      </c>
      <c r="Q406" s="4" t="s">
        <v>345</v>
      </c>
      <c r="R406" s="5" t="s">
        <v>346</v>
      </c>
      <c r="S406" s="4" t="s">
        <v>347</v>
      </c>
      <c r="T406" s="5" t="s">
        <v>555</v>
      </c>
      <c r="U406" s="4" t="s">
        <v>347</v>
      </c>
      <c r="V406" s="5" t="s">
        <v>310</v>
      </c>
      <c r="W406" s="4" t="s">
        <v>73</v>
      </c>
      <c r="X406" s="4" t="s">
        <v>74</v>
      </c>
      <c r="Y406" s="5"/>
      <c r="Z406" s="4" t="s">
        <v>75</v>
      </c>
      <c r="AA406" s="6" t="n">
        <v>30000</v>
      </c>
      <c r="AB406" s="6" t="n">
        <v>7554</v>
      </c>
      <c r="AC406" s="6" t="n">
        <v>7554</v>
      </c>
      <c r="AD406" s="6" t="n">
        <v>7554</v>
      </c>
      <c r="AE406" s="4" t="s">
        <v>2530</v>
      </c>
      <c r="AF406" s="5" t="s">
        <v>2531</v>
      </c>
      <c r="AG406" s="4" t="s">
        <v>78</v>
      </c>
      <c r="AH406" s="4" t="s">
        <v>79</v>
      </c>
      <c r="AI406" s="5" t="s">
        <v>80</v>
      </c>
      <c r="AJ406" s="1" t="n">
        <v>1</v>
      </c>
      <c r="AK406" s="11" t="n">
        <v>1</v>
      </c>
      <c r="AL406" s="12" t="s">
        <v>556</v>
      </c>
      <c r="AM406" s="13" t="str">
        <f>IF(AL406="","",AL406&amp;" - "&amp;IFERROR(VLOOKUP(AL406,CODEBOOK_CAP!$C$2:$D$212,2,FALSE),""))</f>
        <v>0304 - CUIDADOS PRIMARIOS E ATENÇÃO BÁSICA</v>
      </c>
      <c r="AN406" s="13" t="str">
        <f>IF(AL406="","",IFERROR(VLOOKUP(AL406,CODEBOOK_CAP!$C$2:$E$212,3,FALSE),""))</f>
        <v>Medicina da familia, cuidados básicos e informativos de saude, higiene pessoal e higiene alimentar. Normalmente vinculada a comunidades carentes e de exercício de práticas gerenciais e sanitárias democráticas, atuacao de trabalho em equipe, dirigidas a populações de territórios bem delimitados, pelas quais assume a responsabilidade sanitária, considerando a dinamicidade existente no território em que vivem essas populações. Programa saúde da família, Política Nacional de atenção básica, Equipes de Saúde da Família, Agentes comunitários de saúde. Mias médicos quando se tratar de inclusão regional, interiorização do atendimento. Quando tratar apenas de prevenção e promoção a saude, como campanhas específicas contra dengue, DSTs, codificar em (331)</v>
      </c>
      <c r="AO406" s="11" t="n">
        <v>0</v>
      </c>
      <c r="AP406" s="11"/>
      <c r="AQ406" s="11" t="n">
        <v>1</v>
      </c>
      <c r="AR406" s="11" t="n">
        <v>1</v>
      </c>
      <c r="AS406" s="11" t="s">
        <v>2532</v>
      </c>
      <c r="AT406" s="11" t="n">
        <v>0</v>
      </c>
      <c r="AU406" s="11"/>
      <c r="AV406" s="11"/>
      <c r="AW406" s="11"/>
      <c r="AX406" s="7" t="s">
        <v>84</v>
      </c>
      <c r="AY406" s="7"/>
      <c r="AZ406" s="7"/>
      <c r="BA406" s="7"/>
    </row>
    <row r="407" ht="156.75" customHeight="1">
      <c r="A407" s="4" t="s">
        <v>2533</v>
      </c>
      <c r="B407" s="4" t="n">
        <v>2022</v>
      </c>
      <c r="C407" s="4" t="n">
        <v>4610</v>
      </c>
      <c r="D407" s="4" t="s">
        <v>54</v>
      </c>
      <c r="E407" s="4" t="s">
        <v>2446</v>
      </c>
      <c r="F407" s="5" t="s">
        <v>2534</v>
      </c>
      <c r="G407" s="4" t="s">
        <v>57</v>
      </c>
      <c r="H407" s="4" t="s">
        <v>2448</v>
      </c>
      <c r="I407" s="4" t="s">
        <v>2448</v>
      </c>
      <c r="J407" s="4" t="s">
        <v>2535</v>
      </c>
      <c r="K407" s="4" t="s">
        <v>554</v>
      </c>
      <c r="L407" s="5" t="s">
        <v>62</v>
      </c>
      <c r="M407" s="4" t="s">
        <v>63</v>
      </c>
      <c r="N407" s="5" t="s">
        <v>64</v>
      </c>
      <c r="O407" s="4" t="s">
        <v>65</v>
      </c>
      <c r="P407" s="5" t="s">
        <v>344</v>
      </c>
      <c r="Q407" s="4" t="s">
        <v>345</v>
      </c>
      <c r="R407" s="5" t="s">
        <v>346</v>
      </c>
      <c r="S407" s="4" t="s">
        <v>347</v>
      </c>
      <c r="T407" s="5" t="s">
        <v>555</v>
      </c>
      <c r="U407" s="4" t="s">
        <v>347</v>
      </c>
      <c r="V407" s="5" t="s">
        <v>310</v>
      </c>
      <c r="W407" s="4" t="s">
        <v>73</v>
      </c>
      <c r="X407" s="4" t="s">
        <v>74</v>
      </c>
      <c r="Y407" s="5"/>
      <c r="Z407" s="4" t="s">
        <v>75</v>
      </c>
      <c r="AA407" s="6" t="n">
        <v>30000</v>
      </c>
      <c r="AB407" s="6" t="n">
        <v>15958</v>
      </c>
      <c r="AC407" s="6" t="n">
        <v>15958</v>
      </c>
      <c r="AD407" s="6" t="n">
        <v>15958</v>
      </c>
      <c r="AE407" s="4" t="s">
        <v>2536</v>
      </c>
      <c r="AF407" s="5" t="s">
        <v>2537</v>
      </c>
      <c r="AG407" s="4" t="s">
        <v>78</v>
      </c>
      <c r="AH407" s="4" t="s">
        <v>79</v>
      </c>
      <c r="AI407" s="5" t="s">
        <v>80</v>
      </c>
      <c r="AJ407" s="1" t="n">
        <v>1</v>
      </c>
      <c r="AK407" s="11" t="n">
        <v>1</v>
      </c>
      <c r="AL407" s="12" t="s">
        <v>556</v>
      </c>
      <c r="AM407" s="13" t="str">
        <f>IF(AL407="","",AL407&amp;" - "&amp;IFERROR(VLOOKUP(AL407,CODEBOOK_CAP!$C$2:$D$212,2,FALSE),""))</f>
        <v>0304 - CUIDADOS PRIMARIOS E ATENÇÃO BÁSICA</v>
      </c>
      <c r="AN407" s="13" t="str">
        <f>IF(AL407="","",IFERROR(VLOOKUP(AL407,CODEBOOK_CAP!$C$2:$E$212,3,FALSE),""))</f>
        <v>Medicina da familia, cuidados básicos e informativos de saude, higiene pessoal e higiene alimentar. Normalmente vinculada a comunidades carentes e de exercício de práticas gerenciais e sanitárias democráticas, atuacao de trabalho em equipe, dirigidas a populações de territórios bem delimitados, pelas quais assume a responsabilidade sanitária, considerando a dinamicidade existente no território em que vivem essas populações. Programa saúde da família, Política Nacional de atenção básica, Equipes de Saúde da Família, Agentes comunitários de saúde. Mias médicos quando se tratar de inclusão regional, interiorização do atendimento. Quando tratar apenas de prevenção e promoção a saude, como campanhas específicas contra dengue, DSTs, codificar em (331)</v>
      </c>
      <c r="AO407" s="11" t="n">
        <v>0</v>
      </c>
      <c r="AP407" s="11"/>
      <c r="AQ407" s="11" t="n">
        <v>1</v>
      </c>
      <c r="AR407" s="11" t="n">
        <v>1</v>
      </c>
      <c r="AS407" s="11" t="s">
        <v>2198</v>
      </c>
      <c r="AT407" s="11" t="n">
        <v>0</v>
      </c>
      <c r="AU407" s="11"/>
      <c r="AV407" s="11"/>
      <c r="AW407" s="11"/>
      <c r="AX407" s="7" t="s">
        <v>84</v>
      </c>
      <c r="AY407" s="7"/>
      <c r="AZ407" s="7"/>
      <c r="BA407" s="7"/>
    </row>
    <row r="408" ht="156.75" customHeight="1">
      <c r="A408" s="4" t="s">
        <v>2538</v>
      </c>
      <c r="B408" s="4" t="n">
        <v>2022</v>
      </c>
      <c r="C408" s="4" t="n">
        <v>4611</v>
      </c>
      <c r="D408" s="4" t="s">
        <v>54</v>
      </c>
      <c r="E408" s="4" t="s">
        <v>2446</v>
      </c>
      <c r="F408" s="5" t="s">
        <v>2539</v>
      </c>
      <c r="G408" s="4" t="s">
        <v>57</v>
      </c>
      <c r="H408" s="4" t="s">
        <v>2448</v>
      </c>
      <c r="I408" s="4" t="s">
        <v>2448</v>
      </c>
      <c r="J408" s="4" t="s">
        <v>2540</v>
      </c>
      <c r="K408" s="4" t="s">
        <v>343</v>
      </c>
      <c r="L408" s="5" t="s">
        <v>62</v>
      </c>
      <c r="M408" s="4" t="s">
        <v>63</v>
      </c>
      <c r="N408" s="5" t="s">
        <v>64</v>
      </c>
      <c r="O408" s="4" t="s">
        <v>65</v>
      </c>
      <c r="P408" s="5" t="s">
        <v>344</v>
      </c>
      <c r="Q408" s="4" t="s">
        <v>345</v>
      </c>
      <c r="R408" s="5" t="s">
        <v>346</v>
      </c>
      <c r="S408" s="4" t="s">
        <v>347</v>
      </c>
      <c r="T408" s="5" t="s">
        <v>348</v>
      </c>
      <c r="U408" s="4" t="s">
        <v>349</v>
      </c>
      <c r="V408" s="5" t="s">
        <v>350</v>
      </c>
      <c r="W408" s="4" t="s">
        <v>105</v>
      </c>
      <c r="X408" s="4" t="s">
        <v>106</v>
      </c>
      <c r="Y408" s="5"/>
      <c r="Z408" s="4" t="s">
        <v>75</v>
      </c>
      <c r="AA408" s="6" t="n">
        <v>30000</v>
      </c>
      <c r="AB408" s="6" t="n">
        <v>30000</v>
      </c>
      <c r="AC408" s="6" t="n">
        <v>30000</v>
      </c>
      <c r="AD408" s="6" t="n">
        <v>30000</v>
      </c>
      <c r="AE408" s="4" t="s">
        <v>351</v>
      </c>
      <c r="AF408" s="5" t="s">
        <v>352</v>
      </c>
      <c r="AG408" s="4" t="s">
        <v>78</v>
      </c>
      <c r="AH408" s="4" t="s">
        <v>79</v>
      </c>
      <c r="AI408" s="5" t="s">
        <v>80</v>
      </c>
      <c r="AJ408" s="1" t="n">
        <v>1</v>
      </c>
      <c r="AK408" s="11" t="n">
        <v>1</v>
      </c>
      <c r="AL408" s="12" t="s">
        <v>556</v>
      </c>
      <c r="AM408" s="13" t="str">
        <f>IF(AL408="","",AL408&amp;" - "&amp;IFERROR(VLOOKUP(AL408,CODEBOOK_CAP!$C$2:$D$212,2,FALSE),""))</f>
        <v>0304 - CUIDADOS PRIMARIOS E ATENÇÃO BÁSICA</v>
      </c>
      <c r="AN408" s="13" t="str">
        <f>IF(AL408="","",IFERROR(VLOOKUP(AL408,CODEBOOK_CAP!$C$2:$E$212,3,FALSE),""))</f>
        <v>Medicina da familia, cuidados básicos e informativos de saude, higiene pessoal e higiene alimentar. Normalmente vinculada a comunidades carentes e de exercício de práticas gerenciais e sanitárias democráticas, atuacao de trabalho em equipe, dirigidas a populações de territórios bem delimitados, pelas quais assume a responsabilidade sanitária, considerando a dinamicidade existente no território em que vivem essas populações. Programa saúde da família, Política Nacional de atenção básica, Equipes de Saúde da Família, Agentes comunitários de saúde. Mias médicos quando se tratar de inclusão regional, interiorização do atendimento. Quando tratar apenas de prevenção e promoção a saude, como campanhas específicas contra dengue, DSTs, codificar em (331)</v>
      </c>
      <c r="AO408" s="11" t="n">
        <v>0</v>
      </c>
      <c r="AP408" s="11"/>
      <c r="AQ408" s="11" t="n">
        <v>1</v>
      </c>
      <c r="AR408" s="11" t="n">
        <v>1</v>
      </c>
      <c r="AS408" s="11" t="s">
        <v>2541</v>
      </c>
      <c r="AT408" s="11" t="n">
        <v>0</v>
      </c>
      <c r="AU408" s="11"/>
      <c r="AV408" s="11"/>
      <c r="AW408" s="11"/>
      <c r="AX408" s="7" t="s">
        <v>84</v>
      </c>
      <c r="AY408" s="7"/>
      <c r="AZ408" s="7"/>
      <c r="BA408" s="7"/>
    </row>
    <row r="409" ht="156.75" customHeight="1">
      <c r="A409" s="4" t="s">
        <v>2542</v>
      </c>
      <c r="B409" s="4" t="n">
        <v>2022</v>
      </c>
      <c r="C409" s="4" t="n">
        <v>4613</v>
      </c>
      <c r="D409" s="4" t="s">
        <v>54</v>
      </c>
      <c r="E409" s="4" t="s">
        <v>2446</v>
      </c>
      <c r="F409" s="5" t="s">
        <v>2543</v>
      </c>
      <c r="G409" s="4" t="s">
        <v>57</v>
      </c>
      <c r="H409" s="4" t="s">
        <v>2448</v>
      </c>
      <c r="I409" s="4" t="s">
        <v>2448</v>
      </c>
      <c r="J409" s="4" t="s">
        <v>2544</v>
      </c>
      <c r="K409" s="4" t="s">
        <v>554</v>
      </c>
      <c r="L409" s="5" t="s">
        <v>62</v>
      </c>
      <c r="M409" s="4" t="s">
        <v>63</v>
      </c>
      <c r="N409" s="5" t="s">
        <v>64</v>
      </c>
      <c r="O409" s="4" t="s">
        <v>65</v>
      </c>
      <c r="P409" s="5" t="s">
        <v>344</v>
      </c>
      <c r="Q409" s="4" t="s">
        <v>345</v>
      </c>
      <c r="R409" s="5" t="s">
        <v>346</v>
      </c>
      <c r="S409" s="4" t="s">
        <v>347</v>
      </c>
      <c r="T409" s="5" t="s">
        <v>555</v>
      </c>
      <c r="U409" s="4" t="s">
        <v>347</v>
      </c>
      <c r="V409" s="5" t="s">
        <v>310</v>
      </c>
      <c r="W409" s="4" t="s">
        <v>73</v>
      </c>
      <c r="X409" s="4" t="s">
        <v>74</v>
      </c>
      <c r="Y409" s="5"/>
      <c r="Z409" s="4" t="s">
        <v>75</v>
      </c>
      <c r="AA409" s="6" t="n">
        <v>30000</v>
      </c>
      <c r="AB409" s="6" t="n">
        <v>7550</v>
      </c>
      <c r="AC409" s="6" t="n">
        <v>7550</v>
      </c>
      <c r="AD409" s="6" t="n">
        <v>7550</v>
      </c>
      <c r="AE409" s="4" t="s">
        <v>1382</v>
      </c>
      <c r="AF409" s="5" t="s">
        <v>1383</v>
      </c>
      <c r="AG409" s="4" t="s">
        <v>78</v>
      </c>
      <c r="AH409" s="4" t="s">
        <v>79</v>
      </c>
      <c r="AI409" s="5" t="s">
        <v>80</v>
      </c>
      <c r="AJ409" s="1" t="n">
        <v>1</v>
      </c>
      <c r="AK409" s="11" t="n">
        <v>1</v>
      </c>
      <c r="AL409" s="12" t="s">
        <v>556</v>
      </c>
      <c r="AM409" s="13" t="str">
        <f>IF(AL409="","",AL409&amp;" - "&amp;IFERROR(VLOOKUP(AL409,CODEBOOK_CAP!$C$2:$D$212,2,FALSE),""))</f>
        <v>0304 - CUIDADOS PRIMARIOS E ATENÇÃO BÁSICA</v>
      </c>
      <c r="AN409" s="13" t="str">
        <f>IF(AL409="","",IFERROR(VLOOKUP(AL409,CODEBOOK_CAP!$C$2:$E$212,3,FALSE),""))</f>
        <v>Medicina da familia, cuidados básicos e informativos de saude, higiene pessoal e higiene alimentar. Normalmente vinculada a comunidades carentes e de exercício de práticas gerenciais e sanitárias democráticas, atuacao de trabalho em equipe, dirigidas a populações de territórios bem delimitados, pelas quais assume a responsabilidade sanitária, considerando a dinamicidade existente no território em que vivem essas populações. Programa saúde da família, Política Nacional de atenção básica, Equipes de Saúde da Família, Agentes comunitários de saúde. Mias médicos quando se tratar de inclusão regional, interiorização do atendimento. Quando tratar apenas de prevenção e promoção a saude, como campanhas específicas contra dengue, DSTs, codificar em (331)</v>
      </c>
      <c r="AO409" s="11" t="n">
        <v>0</v>
      </c>
      <c r="AP409" s="11"/>
      <c r="AQ409" s="11" t="n">
        <v>1</v>
      </c>
      <c r="AR409" s="11" t="n">
        <v>1</v>
      </c>
      <c r="AS409" s="11" t="s">
        <v>2545</v>
      </c>
      <c r="AT409" s="11" t="n">
        <v>0</v>
      </c>
      <c r="AU409" s="11"/>
      <c r="AV409" s="11"/>
      <c r="AW409" s="11"/>
      <c r="AX409" s="7" t="s">
        <v>84</v>
      </c>
      <c r="AY409" s="7"/>
      <c r="AZ409" s="7"/>
      <c r="BA409" s="7"/>
    </row>
    <row r="410" ht="85.5" customHeight="1">
      <c r="A410" s="4" t="s">
        <v>2546</v>
      </c>
      <c r="B410" s="4" t="n">
        <v>2022</v>
      </c>
      <c r="C410" s="4" t="n">
        <v>4614</v>
      </c>
      <c r="D410" s="4" t="s">
        <v>54</v>
      </c>
      <c r="E410" s="4" t="s">
        <v>2446</v>
      </c>
      <c r="F410" s="5" t="s">
        <v>2547</v>
      </c>
      <c r="G410" s="4" t="s">
        <v>57</v>
      </c>
      <c r="H410" s="4" t="s">
        <v>2448</v>
      </c>
      <c r="I410" s="4" t="s">
        <v>2448</v>
      </c>
      <c r="J410" s="4" t="s">
        <v>2548</v>
      </c>
      <c r="K410" s="4" t="s">
        <v>283</v>
      </c>
      <c r="L410" s="5" t="s">
        <v>94</v>
      </c>
      <c r="M410" s="4" t="s">
        <v>95</v>
      </c>
      <c r="N410" s="5" t="s">
        <v>96</v>
      </c>
      <c r="O410" s="4" t="s">
        <v>97</v>
      </c>
      <c r="P410" s="5" t="s">
        <v>98</v>
      </c>
      <c r="Q410" s="4" t="s">
        <v>99</v>
      </c>
      <c r="R410" s="5" t="s">
        <v>100</v>
      </c>
      <c r="S410" s="4" t="s">
        <v>101</v>
      </c>
      <c r="T410" s="5" t="s">
        <v>102</v>
      </c>
      <c r="U410" s="4" t="s">
        <v>103</v>
      </c>
      <c r="V410" s="5" t="s">
        <v>104</v>
      </c>
      <c r="W410" s="4" t="s">
        <v>105</v>
      </c>
      <c r="X410" s="4" t="s">
        <v>106</v>
      </c>
      <c r="Y410" s="5"/>
      <c r="Z410" s="4" t="s">
        <v>107</v>
      </c>
      <c r="AA410" s="6" t="n">
        <v>25000</v>
      </c>
      <c r="AB410" s="6" t="n">
        <v>25000</v>
      </c>
      <c r="AC410" s="6" t="n">
        <v>25000</v>
      </c>
      <c r="AD410" s="6" t="n">
        <v>25000</v>
      </c>
      <c r="AE410" s="4" t="s">
        <v>2549</v>
      </c>
      <c r="AF410" s="5" t="s">
        <v>2550</v>
      </c>
      <c r="AG410" s="4" t="s">
        <v>110</v>
      </c>
      <c r="AH410" s="4" t="s">
        <v>110</v>
      </c>
      <c r="AI410" s="5"/>
      <c r="AJ410" s="1" t="n">
        <v>0</v>
      </c>
      <c r="AK410" s="11" t="n">
        <v>0</v>
      </c>
      <c r="AL410" s="12" t="s">
        <v>712</v>
      </c>
      <c r="AM410" s="13" t="str">
        <f>IF(AL410="","",AL410&amp;" - "&amp;IFERROR(VLOOKUP(AL410,CODEBOOK_CAP!$C$2:$D$212,2,FALSE),""))</f>
        <v>1308 - POLÍTICAS SOCIAIS PARA FAMÍLIAS E INFÂNCIA</v>
      </c>
      <c r="AN410" s="13" t="str">
        <f>IF(AL410="","",IFERROR(VLOOKUP(AL410,CODEBOOK_CAP!$C$2:$E$212,3,FALSE),""))</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O410" s="11" t="n">
        <v>0</v>
      </c>
      <c r="AP410" s="11"/>
      <c r="AQ410" s="11" t="n">
        <v>0</v>
      </c>
      <c r="AR410" s="11" t="n">
        <v>0</v>
      </c>
      <c r="AS410" s="11"/>
      <c r="AT410" s="11" t="n">
        <v>1</v>
      </c>
      <c r="AU410" s="11" t="s">
        <v>286</v>
      </c>
      <c r="AV410" s="11"/>
      <c r="AW410" s="11"/>
      <c r="AX410" s="7" t="s">
        <v>84</v>
      </c>
      <c r="AY410" s="7"/>
      <c r="AZ410" s="7"/>
      <c r="BA410" s="7"/>
    </row>
    <row r="411" ht="156.75" customHeight="1">
      <c r="A411" s="4" t="s">
        <v>2551</v>
      </c>
      <c r="B411" s="4" t="n">
        <v>2022</v>
      </c>
      <c r="C411" s="4" t="n">
        <v>4200</v>
      </c>
      <c r="D411" s="4" t="s">
        <v>54</v>
      </c>
      <c r="E411" s="4" t="s">
        <v>2552</v>
      </c>
      <c r="F411" s="5" t="s">
        <v>2553</v>
      </c>
      <c r="G411" s="4" t="s">
        <v>57</v>
      </c>
      <c r="H411" s="4" t="s">
        <v>2554</v>
      </c>
      <c r="I411" s="4" t="s">
        <v>2555</v>
      </c>
      <c r="J411" s="4" t="s">
        <v>2556</v>
      </c>
      <c r="K411" s="4" t="s">
        <v>93</v>
      </c>
      <c r="L411" s="5" t="s">
        <v>94</v>
      </c>
      <c r="M411" s="4" t="s">
        <v>95</v>
      </c>
      <c r="N411" s="5" t="s">
        <v>96</v>
      </c>
      <c r="O411" s="4" t="s">
        <v>97</v>
      </c>
      <c r="P411" s="5" t="s">
        <v>98</v>
      </c>
      <c r="Q411" s="4" t="s">
        <v>99</v>
      </c>
      <c r="R411" s="5" t="s">
        <v>100</v>
      </c>
      <c r="S411" s="4" t="s">
        <v>101</v>
      </c>
      <c r="T411" s="5" t="s">
        <v>102</v>
      </c>
      <c r="U411" s="4" t="s">
        <v>103</v>
      </c>
      <c r="V411" s="5" t="s">
        <v>104</v>
      </c>
      <c r="W411" s="4" t="s">
        <v>105</v>
      </c>
      <c r="X411" s="4" t="s">
        <v>106</v>
      </c>
      <c r="Y411" s="5"/>
      <c r="Z411" s="4" t="s">
        <v>107</v>
      </c>
      <c r="AA411" s="6" t="n">
        <v>50000</v>
      </c>
      <c r="AB411" s="6" t="n">
        <v>50000</v>
      </c>
      <c r="AC411" s="6" t="n">
        <v>50000</v>
      </c>
      <c r="AD411" s="6" t="n">
        <v>50000</v>
      </c>
      <c r="AE411" s="4" t="s">
        <v>2557</v>
      </c>
      <c r="AF411" s="5" t="s">
        <v>2558</v>
      </c>
      <c r="AG411" s="4" t="s">
        <v>110</v>
      </c>
      <c r="AH411" s="4" t="s">
        <v>110</v>
      </c>
      <c r="AI411" s="5"/>
      <c r="AJ411" s="1" t="n">
        <v>0</v>
      </c>
      <c r="AK411" s="11" t="n">
        <v>0</v>
      </c>
      <c r="AL411" s="12" t="s">
        <v>111</v>
      </c>
      <c r="AM411" s="13" t="str">
        <f>IF(AL411="","",AL411&amp;" - "&amp;IFERROR(VLOOKUP(AL411,CODEBOOK_CAP!$C$2:$D$212,2,FALSE),""))</f>
        <v>1300 - GERAL</v>
      </c>
      <c r="AN411" s="13" t="str">
        <f>IF(AL411="","",IFERROR(VLOOKUP(AL411,CODEBOOK_CAP!$C$2:$E$212,3,FALSE),""))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411" s="11" t="n">
        <v>0</v>
      </c>
      <c r="AP411" s="11"/>
      <c r="AQ411" s="11" t="n">
        <v>0</v>
      </c>
      <c r="AR411" s="11" t="n">
        <v>0</v>
      </c>
      <c r="AS411" s="11"/>
      <c r="AT411" s="11" t="n">
        <v>0</v>
      </c>
      <c r="AU411" s="11"/>
      <c r="AV411" s="11"/>
      <c r="AW411" s="11"/>
      <c r="AX411" s="7" t="s">
        <v>84</v>
      </c>
      <c r="AY411" s="7"/>
      <c r="AZ411" s="7"/>
      <c r="BA411" s="7"/>
    </row>
    <row r="412" ht="85.5" customHeight="1">
      <c r="A412" s="4" t="s">
        <v>2559</v>
      </c>
      <c r="B412" s="4" t="n">
        <v>2022</v>
      </c>
      <c r="C412" s="4" t="n">
        <v>4220</v>
      </c>
      <c r="D412" s="4" t="s">
        <v>54</v>
      </c>
      <c r="E412" s="4" t="s">
        <v>2552</v>
      </c>
      <c r="F412" s="5" t="s">
        <v>2560</v>
      </c>
      <c r="G412" s="4" t="s">
        <v>57</v>
      </c>
      <c r="H412" s="4" t="s">
        <v>2554</v>
      </c>
      <c r="I412" s="4" t="s">
        <v>2555</v>
      </c>
      <c r="J412" s="4" t="s">
        <v>2561</v>
      </c>
      <c r="K412" s="4" t="s">
        <v>93</v>
      </c>
      <c r="L412" s="5" t="s">
        <v>94</v>
      </c>
      <c r="M412" s="4" t="s">
        <v>95</v>
      </c>
      <c r="N412" s="5" t="s">
        <v>96</v>
      </c>
      <c r="O412" s="4" t="s">
        <v>97</v>
      </c>
      <c r="P412" s="5" t="s">
        <v>98</v>
      </c>
      <c r="Q412" s="4" t="s">
        <v>99</v>
      </c>
      <c r="R412" s="5" t="s">
        <v>100</v>
      </c>
      <c r="S412" s="4" t="s">
        <v>101</v>
      </c>
      <c r="T412" s="5" t="s">
        <v>102</v>
      </c>
      <c r="U412" s="4" t="s">
        <v>103</v>
      </c>
      <c r="V412" s="5" t="s">
        <v>104</v>
      </c>
      <c r="W412" s="4" t="s">
        <v>105</v>
      </c>
      <c r="X412" s="4" t="s">
        <v>106</v>
      </c>
      <c r="Y412" s="5"/>
      <c r="Z412" s="4" t="s">
        <v>107</v>
      </c>
      <c r="AA412" s="6" t="n">
        <v>59000</v>
      </c>
      <c r="AB412" s="6" t="n">
        <v>59000</v>
      </c>
      <c r="AC412" s="6" t="n">
        <v>59000</v>
      </c>
      <c r="AD412" s="6" t="n">
        <v>59000</v>
      </c>
      <c r="AE412" s="4" t="s">
        <v>2562</v>
      </c>
      <c r="AF412" s="5" t="s">
        <v>2563</v>
      </c>
      <c r="AG412" s="4" t="s">
        <v>110</v>
      </c>
      <c r="AH412" s="4" t="s">
        <v>110</v>
      </c>
      <c r="AI412" s="5"/>
      <c r="AJ412" s="1" t="n">
        <v>0</v>
      </c>
      <c r="AK412" s="11" t="n">
        <v>0</v>
      </c>
      <c r="AL412" s="12" t="s">
        <v>712</v>
      </c>
      <c r="AM412" s="13" t="str">
        <f>IF(AL412="","",AL412&amp;" - "&amp;IFERROR(VLOOKUP(AL412,CODEBOOK_CAP!$C$2:$D$212,2,FALSE),""))</f>
        <v>1308 - POLÍTICAS SOCIAIS PARA FAMÍLIAS E INFÂNCIA</v>
      </c>
      <c r="AN412" s="13" t="str">
        <f>IF(AL412="","",IFERROR(VLOOKUP(AL412,CODEBOOK_CAP!$C$2:$E$212,3,FALSE),""))</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O412" s="11" t="n">
        <v>0</v>
      </c>
      <c r="AP412" s="11"/>
      <c r="AQ412" s="11" t="n">
        <v>1</v>
      </c>
      <c r="AR412" s="11" t="n">
        <v>1</v>
      </c>
      <c r="AS412" s="11" t="s">
        <v>2564</v>
      </c>
      <c r="AT412" s="11" t="n">
        <v>1</v>
      </c>
      <c r="AU412" s="11" t="s">
        <v>503</v>
      </c>
      <c r="AV412" s="11"/>
      <c r="AW412" s="11"/>
      <c r="AX412" s="7" t="s">
        <v>84</v>
      </c>
      <c r="AY412" s="7"/>
      <c r="AZ412" s="7"/>
      <c r="BA412" s="7"/>
    </row>
    <row r="413" ht="85.5" customHeight="1">
      <c r="A413" s="4" t="s">
        <v>2565</v>
      </c>
      <c r="B413" s="4" t="n">
        <v>2022</v>
      </c>
      <c r="C413" s="4" t="n">
        <v>4368</v>
      </c>
      <c r="D413" s="4" t="s">
        <v>54</v>
      </c>
      <c r="E413" s="4" t="s">
        <v>2552</v>
      </c>
      <c r="F413" s="5" t="s">
        <v>2566</v>
      </c>
      <c r="G413" s="4" t="s">
        <v>57</v>
      </c>
      <c r="H413" s="4" t="s">
        <v>2554</v>
      </c>
      <c r="I413" s="4" t="s">
        <v>2555</v>
      </c>
      <c r="J413" s="4" t="s">
        <v>2567</v>
      </c>
      <c r="K413" s="4" t="s">
        <v>886</v>
      </c>
      <c r="L413" s="5" t="s">
        <v>595</v>
      </c>
      <c r="M413" s="4" t="s">
        <v>596</v>
      </c>
      <c r="N413" s="5" t="s">
        <v>597</v>
      </c>
      <c r="O413" s="4" t="s">
        <v>598</v>
      </c>
      <c r="P413" s="5" t="s">
        <v>669</v>
      </c>
      <c r="Q413" s="4" t="s">
        <v>670</v>
      </c>
      <c r="R413" s="5" t="s">
        <v>671</v>
      </c>
      <c r="S413" s="4" t="s">
        <v>672</v>
      </c>
      <c r="T413" s="5" t="s">
        <v>603</v>
      </c>
      <c r="U413" s="4" t="s">
        <v>604</v>
      </c>
      <c r="V413" s="5" t="s">
        <v>605</v>
      </c>
      <c r="W413" s="4" t="s">
        <v>73</v>
      </c>
      <c r="X413" s="4" t="s">
        <v>74</v>
      </c>
      <c r="Y413" s="5"/>
      <c r="Z413" s="4" t="s">
        <v>606</v>
      </c>
      <c r="AA413" s="6" t="n">
        <v>78000</v>
      </c>
      <c r="AB413" s="6" t="n">
        <v>78000</v>
      </c>
      <c r="AC413" s="6" t="n">
        <v>78000</v>
      </c>
      <c r="AD413" s="6" t="n">
        <v>78000</v>
      </c>
      <c r="AE413" s="4" t="s">
        <v>2568</v>
      </c>
      <c r="AF413" s="5" t="s">
        <v>2569</v>
      </c>
      <c r="AG413" s="4" t="s">
        <v>78</v>
      </c>
      <c r="AH413" s="4" t="s">
        <v>79</v>
      </c>
      <c r="AI413" s="5" t="s">
        <v>80</v>
      </c>
      <c r="AJ413" s="1" t="n">
        <v>0</v>
      </c>
      <c r="AK413" s="11" t="n">
        <v>0</v>
      </c>
      <c r="AL413" s="12" t="s">
        <v>609</v>
      </c>
      <c r="AM413" s="13" t="str">
        <f>IF(AL413="","",AL413&amp;" - "&amp;IFERROR(VLOOKUP(AL413,CODEBOOK_CAP!$C$2:$D$212,2,FALSE),""))</f>
        <v>0607 - PROMOCAO DA QUALIDADE, ESTRUTURA E AÇÕES</v>
      </c>
      <c r="AN413" s="13" t="str">
        <f>IF(AL413="","",IFERROR(VLOOKUP(AL413,CODEBOOK_CAP!$C$2:$E$212,3,FALSE),""))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413" s="11" t="n">
        <v>1</v>
      </c>
      <c r="AP413" s="11" t="s">
        <v>2570</v>
      </c>
      <c r="AQ413" s="11" t="n">
        <v>1</v>
      </c>
      <c r="AR413" s="11" t="n">
        <v>1</v>
      </c>
      <c r="AS413" s="11" t="s">
        <v>2571</v>
      </c>
      <c r="AT413" s="11" t="n">
        <v>1</v>
      </c>
      <c r="AU413" s="11" t="s">
        <v>503</v>
      </c>
      <c r="AV413" s="11"/>
      <c r="AW413" s="11"/>
      <c r="AX413" s="7" t="s">
        <v>84</v>
      </c>
      <c r="AY413" s="7"/>
      <c r="AZ413" s="7"/>
      <c r="BA413" s="7"/>
    </row>
    <row r="414" ht="57" customHeight="1">
      <c r="A414" s="4" t="s">
        <v>2572</v>
      </c>
      <c r="B414" s="4" t="n">
        <v>2022</v>
      </c>
      <c r="C414" s="4" t="n">
        <v>4369</v>
      </c>
      <c r="D414" s="4" t="s">
        <v>54</v>
      </c>
      <c r="E414" s="4" t="s">
        <v>2552</v>
      </c>
      <c r="F414" s="5" t="s">
        <v>2573</v>
      </c>
      <c r="G414" s="4" t="s">
        <v>57</v>
      </c>
      <c r="H414" s="4" t="s">
        <v>2554</v>
      </c>
      <c r="I414" s="4" t="s">
        <v>2555</v>
      </c>
      <c r="J414" s="4" t="s">
        <v>2574</v>
      </c>
      <c r="K414" s="4" t="s">
        <v>2575</v>
      </c>
      <c r="L414" s="5" t="s">
        <v>122</v>
      </c>
      <c r="M414" s="4" t="s">
        <v>123</v>
      </c>
      <c r="N414" s="5" t="s">
        <v>2576</v>
      </c>
      <c r="O414" s="4" t="s">
        <v>2577</v>
      </c>
      <c r="P414" s="5" t="s">
        <v>2376</v>
      </c>
      <c r="Q414" s="4" t="s">
        <v>2578</v>
      </c>
      <c r="R414" s="5" t="s">
        <v>1454</v>
      </c>
      <c r="S414" s="4" t="s">
        <v>1455</v>
      </c>
      <c r="T414" s="5" t="s">
        <v>1456</v>
      </c>
      <c r="U414" s="4" t="s">
        <v>1457</v>
      </c>
      <c r="V414" s="5" t="s">
        <v>72</v>
      </c>
      <c r="W414" s="4" t="s">
        <v>73</v>
      </c>
      <c r="X414" s="4" t="s">
        <v>74</v>
      </c>
      <c r="Y414" s="5"/>
      <c r="Z414" s="4" t="s">
        <v>132</v>
      </c>
      <c r="AA414" s="6" t="n">
        <v>577000</v>
      </c>
      <c r="AB414" s="6" t="n">
        <v>575277</v>
      </c>
      <c r="AC414" s="6" t="n">
        <v>575277</v>
      </c>
      <c r="AD414" s="6" t="n">
        <v>575277</v>
      </c>
      <c r="AE414" s="4" t="s">
        <v>2330</v>
      </c>
      <c r="AF414" s="5" t="s">
        <v>2450</v>
      </c>
      <c r="AG414" s="4" t="s">
        <v>78</v>
      </c>
      <c r="AH414" s="4" t="s">
        <v>79</v>
      </c>
      <c r="AI414" s="5" t="s">
        <v>80</v>
      </c>
      <c r="AJ414" s="1" t="n">
        <v>0</v>
      </c>
      <c r="AK414" s="11" t="n">
        <v>0</v>
      </c>
      <c r="AL414" s="12" t="s">
        <v>1107</v>
      </c>
      <c r="AM414" s="13" t="str">
        <f>IF(AL414="","",AL414&amp;" - "&amp;IFERROR(VLOOKUP(AL414,CODEBOOK_CAP!$C$2:$D$212,2,FALSE),""))</f>
        <v>2101 - PARQUES PÚBLICOS E RESERVAS DE PRESERVAÇÃO</v>
      </c>
      <c r="AN414" s="13" t="str">
        <f>IF(AL414="","",IFERROR(VLOOKUP(AL414,CODEBOOK_CAP!$C$2:$E$212,3,FALSE),""))</f>
        <v>Regulação, normas, orinetações, manutenção em território publico aberto, como parques, reservas ambientais, áreas protegidas e de preservação ambiental. Regulação de parques naturais e áreas protegidas. Utilização de bosques e florestas públicas</v>
      </c>
      <c r="AO414" s="11" t="n">
        <v>0</v>
      </c>
      <c r="AP414" s="11"/>
      <c r="AQ414" s="11" t="n">
        <v>1</v>
      </c>
      <c r="AR414" s="11" t="n">
        <v>1</v>
      </c>
      <c r="AS414" s="11" t="s">
        <v>2579</v>
      </c>
      <c r="AT414" s="11" t="n">
        <v>0</v>
      </c>
      <c r="AU414" s="11"/>
      <c r="AV414" s="11"/>
      <c r="AW414" s="11"/>
      <c r="AX414" s="7" t="s">
        <v>84</v>
      </c>
      <c r="AY414" s="7"/>
      <c r="AZ414" s="7"/>
      <c r="BA414" s="7"/>
    </row>
    <row r="415" ht="85.5" customHeight="1">
      <c r="A415" s="4" t="s">
        <v>2580</v>
      </c>
      <c r="B415" s="4" t="n">
        <v>2022</v>
      </c>
      <c r="C415" s="4" t="n">
        <v>4370</v>
      </c>
      <c r="D415" s="4" t="s">
        <v>54</v>
      </c>
      <c r="E415" s="4" t="s">
        <v>2552</v>
      </c>
      <c r="F415" s="5" t="s">
        <v>2581</v>
      </c>
      <c r="G415" s="4" t="s">
        <v>57</v>
      </c>
      <c r="H415" s="4" t="s">
        <v>2554</v>
      </c>
      <c r="I415" s="4" t="s">
        <v>2555</v>
      </c>
      <c r="J415" s="4" t="s">
        <v>2582</v>
      </c>
      <c r="K415" s="4" t="s">
        <v>1481</v>
      </c>
      <c r="L415" s="5" t="s">
        <v>62</v>
      </c>
      <c r="M415" s="4" t="s">
        <v>63</v>
      </c>
      <c r="N415" s="5" t="s">
        <v>64</v>
      </c>
      <c r="O415" s="4" t="s">
        <v>65</v>
      </c>
      <c r="P415" s="5" t="s">
        <v>66</v>
      </c>
      <c r="Q415" s="4" t="s">
        <v>67</v>
      </c>
      <c r="R415" s="5" t="s">
        <v>68</v>
      </c>
      <c r="S415" s="4" t="s">
        <v>69</v>
      </c>
      <c r="T415" s="5" t="s">
        <v>70</v>
      </c>
      <c r="U415" s="4" t="s">
        <v>71</v>
      </c>
      <c r="V415" s="5" t="s">
        <v>72</v>
      </c>
      <c r="W415" s="4" t="s">
        <v>73</v>
      </c>
      <c r="X415" s="4" t="s">
        <v>74</v>
      </c>
      <c r="Y415" s="5"/>
      <c r="Z415" s="4" t="s">
        <v>75</v>
      </c>
      <c r="AA415" s="6" t="n">
        <v>150000</v>
      </c>
      <c r="AB415" s="6" t="n">
        <v>102162</v>
      </c>
      <c r="AC415" s="6" t="n">
        <v>102162</v>
      </c>
      <c r="AD415" s="6" t="n">
        <v>102162</v>
      </c>
      <c r="AE415" s="4" t="s">
        <v>2583</v>
      </c>
      <c r="AF415" s="5" t="s">
        <v>2584</v>
      </c>
      <c r="AG415" s="4" t="s">
        <v>78</v>
      </c>
      <c r="AH415" s="4" t="s">
        <v>79</v>
      </c>
      <c r="AI415" s="5" t="s">
        <v>80</v>
      </c>
      <c r="AJ415" s="1" t="n">
        <v>1</v>
      </c>
      <c r="AK415" s="11" t="n">
        <v>1</v>
      </c>
      <c r="AL415" s="12" t="s">
        <v>81</v>
      </c>
      <c r="AM415" s="13" t="str">
        <f>IF(AL415="","",AL415&amp;" - "&amp;IFERROR(VLOOKUP(AL415,CODEBOOK_CAP!$C$2:$D$212,2,FALSE),""))</f>
        <v>0322 - ESTRUTURAS, HOSPITAIS, CLÍNICAS</v>
      </c>
      <c r="AN415" s="13" t="str">
        <f>IF(AL415="","",IFERROR(VLOOKUP(AL415,CODEBOOK_CAP!$C$2:$E$212,3,FALSE),""))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415" s="11" t="n">
        <v>0</v>
      </c>
      <c r="AP415" s="11"/>
      <c r="AQ415" s="11" t="n">
        <v>1</v>
      </c>
      <c r="AR415" s="11" t="n">
        <v>1</v>
      </c>
      <c r="AS415" s="11" t="s">
        <v>2585</v>
      </c>
      <c r="AT415" s="11" t="n">
        <v>0</v>
      </c>
      <c r="AU415" s="11"/>
      <c r="AV415" s="11"/>
      <c r="AW415" s="11"/>
      <c r="AX415" s="7" t="s">
        <v>84</v>
      </c>
      <c r="AY415" s="7"/>
      <c r="AZ415" s="7"/>
      <c r="BA415" s="7"/>
    </row>
    <row r="416" ht="85.5" customHeight="1">
      <c r="A416" s="4" t="s">
        <v>2586</v>
      </c>
      <c r="B416" s="4" t="n">
        <v>2022</v>
      </c>
      <c r="C416" s="4" t="n">
        <v>4380</v>
      </c>
      <c r="D416" s="4" t="s">
        <v>54</v>
      </c>
      <c r="E416" s="4" t="s">
        <v>2552</v>
      </c>
      <c r="F416" s="5" t="s">
        <v>2587</v>
      </c>
      <c r="G416" s="4" t="s">
        <v>57</v>
      </c>
      <c r="H416" s="4" t="s">
        <v>2554</v>
      </c>
      <c r="I416" s="4" t="s">
        <v>2555</v>
      </c>
      <c r="J416" s="4" t="s">
        <v>2588</v>
      </c>
      <c r="K416" s="4" t="s">
        <v>549</v>
      </c>
      <c r="L416" s="5" t="s">
        <v>62</v>
      </c>
      <c r="M416" s="4" t="s">
        <v>63</v>
      </c>
      <c r="N416" s="5" t="s">
        <v>64</v>
      </c>
      <c r="O416" s="4" t="s">
        <v>65</v>
      </c>
      <c r="P416" s="5" t="s">
        <v>193</v>
      </c>
      <c r="Q416" s="4" t="s">
        <v>194</v>
      </c>
      <c r="R416" s="5" t="s">
        <v>195</v>
      </c>
      <c r="S416" s="4" t="s">
        <v>196</v>
      </c>
      <c r="T416" s="5" t="s">
        <v>429</v>
      </c>
      <c r="U416" s="4" t="s">
        <v>430</v>
      </c>
      <c r="V416" s="5" t="s">
        <v>104</v>
      </c>
      <c r="W416" s="4" t="s">
        <v>105</v>
      </c>
      <c r="X416" s="4" t="s">
        <v>106</v>
      </c>
      <c r="Y416" s="5"/>
      <c r="Z416" s="4" t="s">
        <v>75</v>
      </c>
      <c r="AA416" s="6" t="n">
        <v>250000</v>
      </c>
      <c r="AB416" s="6" t="n">
        <v>250000</v>
      </c>
      <c r="AC416" s="6" t="n">
        <v>250000</v>
      </c>
      <c r="AD416" s="6" t="n">
        <v>250000</v>
      </c>
      <c r="AE416" s="4" t="s">
        <v>458</v>
      </c>
      <c r="AF416" s="5" t="s">
        <v>459</v>
      </c>
      <c r="AG416" s="4" t="s">
        <v>433</v>
      </c>
      <c r="AH416" s="4" t="s">
        <v>433</v>
      </c>
      <c r="AI416" s="5"/>
      <c r="AJ416" s="1" t="n">
        <v>1</v>
      </c>
      <c r="AK416" s="11" t="n">
        <v>1</v>
      </c>
      <c r="AL416" s="12" t="s">
        <v>81</v>
      </c>
      <c r="AM416" s="13" t="str">
        <f>IF(AL416="","",AL416&amp;" - "&amp;IFERROR(VLOOKUP(AL416,CODEBOOK_CAP!$C$2:$D$212,2,FALSE),""))</f>
        <v>0322 - ESTRUTURAS, HOSPITAIS, CLÍNICAS</v>
      </c>
      <c r="AN416" s="13" t="str">
        <f>IF(AL416="","",IFERROR(VLOOKUP(AL416,CODEBOOK_CAP!$C$2:$E$212,3,FALSE),""))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416" s="11" t="n">
        <v>0</v>
      </c>
      <c r="AP416" s="11"/>
      <c r="AQ416" s="11" t="n">
        <v>1</v>
      </c>
      <c r="AR416" s="11" t="n">
        <v>1</v>
      </c>
      <c r="AS416" s="11" t="s">
        <v>2589</v>
      </c>
      <c r="AT416" s="11" t="n">
        <v>0</v>
      </c>
      <c r="AU416" s="11"/>
      <c r="AV416" s="11"/>
      <c r="AW416" s="11"/>
      <c r="AX416" s="7" t="s">
        <v>84</v>
      </c>
      <c r="AY416" s="7"/>
      <c r="AZ416" s="7"/>
      <c r="BA416" s="7"/>
    </row>
    <row r="417" ht="85.5" customHeight="1">
      <c r="A417" s="4" t="s">
        <v>2590</v>
      </c>
      <c r="B417" s="4" t="n">
        <v>2022</v>
      </c>
      <c r="C417" s="4" t="n">
        <v>4383</v>
      </c>
      <c r="D417" s="4" t="s">
        <v>54</v>
      </c>
      <c r="E417" s="4" t="s">
        <v>2552</v>
      </c>
      <c r="F417" s="5" t="s">
        <v>2591</v>
      </c>
      <c r="G417" s="4" t="s">
        <v>57</v>
      </c>
      <c r="H417" s="4" t="s">
        <v>2554</v>
      </c>
      <c r="I417" s="4" t="s">
        <v>2555</v>
      </c>
      <c r="J417" s="4" t="s">
        <v>2592</v>
      </c>
      <c r="K417" s="4" t="s">
        <v>549</v>
      </c>
      <c r="L417" s="5" t="s">
        <v>62</v>
      </c>
      <c r="M417" s="4" t="s">
        <v>63</v>
      </c>
      <c r="N417" s="5" t="s">
        <v>64</v>
      </c>
      <c r="O417" s="4" t="s">
        <v>65</v>
      </c>
      <c r="P417" s="5" t="s">
        <v>193</v>
      </c>
      <c r="Q417" s="4" t="s">
        <v>194</v>
      </c>
      <c r="R417" s="5" t="s">
        <v>195</v>
      </c>
      <c r="S417" s="4" t="s">
        <v>196</v>
      </c>
      <c r="T417" s="5" t="s">
        <v>429</v>
      </c>
      <c r="U417" s="4" t="s">
        <v>430</v>
      </c>
      <c r="V417" s="5" t="s">
        <v>104</v>
      </c>
      <c r="W417" s="4" t="s">
        <v>105</v>
      </c>
      <c r="X417" s="4" t="s">
        <v>106</v>
      </c>
      <c r="Y417" s="5"/>
      <c r="Z417" s="4" t="s">
        <v>75</v>
      </c>
      <c r="AA417" s="6" t="n">
        <v>150000</v>
      </c>
      <c r="AB417" s="6" t="n">
        <v>150000</v>
      </c>
      <c r="AC417" s="6" t="n">
        <v>150000</v>
      </c>
      <c r="AD417" s="6" t="n">
        <v>150000</v>
      </c>
      <c r="AE417" s="4" t="s">
        <v>750</v>
      </c>
      <c r="AF417" s="5" t="s">
        <v>751</v>
      </c>
      <c r="AG417" s="4" t="s">
        <v>78</v>
      </c>
      <c r="AH417" s="4" t="s">
        <v>79</v>
      </c>
      <c r="AI417" s="5" t="s">
        <v>80</v>
      </c>
      <c r="AJ417" s="1" t="n">
        <v>1</v>
      </c>
      <c r="AK417" s="11" t="n">
        <v>1</v>
      </c>
      <c r="AL417" s="12" t="s">
        <v>81</v>
      </c>
      <c r="AM417" s="13" t="str">
        <f>IF(AL417="","",AL417&amp;" - "&amp;IFERROR(VLOOKUP(AL417,CODEBOOK_CAP!$C$2:$D$212,2,FALSE),""))</f>
        <v>0322 - ESTRUTURAS, HOSPITAIS, CLÍNICAS</v>
      </c>
      <c r="AN417" s="13" t="str">
        <f>IF(AL417="","",IFERROR(VLOOKUP(AL417,CODEBOOK_CAP!$C$2:$E$212,3,FALSE),""))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417" s="11" t="n">
        <v>0</v>
      </c>
      <c r="AP417" s="11"/>
      <c r="AQ417" s="11" t="n">
        <v>1</v>
      </c>
      <c r="AR417" s="11" t="n">
        <v>1</v>
      </c>
      <c r="AS417" s="11" t="s">
        <v>2593</v>
      </c>
      <c r="AT417" s="11" t="n">
        <v>0</v>
      </c>
      <c r="AU417" s="11"/>
      <c r="AV417" s="11"/>
      <c r="AW417" s="11"/>
      <c r="AX417" s="7" t="s">
        <v>84</v>
      </c>
      <c r="AY417" s="7"/>
      <c r="AZ417" s="7"/>
      <c r="BA417" s="7"/>
    </row>
    <row r="418" ht="85.5" customHeight="1">
      <c r="A418" s="4" t="s">
        <v>2594</v>
      </c>
      <c r="B418" s="4" t="n">
        <v>2022</v>
      </c>
      <c r="C418" s="4" t="n">
        <v>4385</v>
      </c>
      <c r="D418" s="4" t="s">
        <v>54</v>
      </c>
      <c r="E418" s="4" t="s">
        <v>2552</v>
      </c>
      <c r="F418" s="5" t="s">
        <v>2595</v>
      </c>
      <c r="G418" s="4" t="s">
        <v>57</v>
      </c>
      <c r="H418" s="4" t="s">
        <v>2554</v>
      </c>
      <c r="I418" s="4" t="s">
        <v>2555</v>
      </c>
      <c r="J418" s="4" t="s">
        <v>2596</v>
      </c>
      <c r="K418" s="4" t="s">
        <v>549</v>
      </c>
      <c r="L418" s="5" t="s">
        <v>62</v>
      </c>
      <c r="M418" s="4" t="s">
        <v>63</v>
      </c>
      <c r="N418" s="5" t="s">
        <v>64</v>
      </c>
      <c r="O418" s="4" t="s">
        <v>65</v>
      </c>
      <c r="P418" s="5" t="s">
        <v>193</v>
      </c>
      <c r="Q418" s="4" t="s">
        <v>194</v>
      </c>
      <c r="R418" s="5" t="s">
        <v>195</v>
      </c>
      <c r="S418" s="4" t="s">
        <v>196</v>
      </c>
      <c r="T418" s="5" t="s">
        <v>429</v>
      </c>
      <c r="U418" s="4" t="s">
        <v>430</v>
      </c>
      <c r="V418" s="5" t="s">
        <v>104</v>
      </c>
      <c r="W418" s="4" t="s">
        <v>105</v>
      </c>
      <c r="X418" s="4" t="s">
        <v>106</v>
      </c>
      <c r="Y418" s="5"/>
      <c r="Z418" s="4" t="s">
        <v>75</v>
      </c>
      <c r="AA418" s="6" t="n">
        <v>250000</v>
      </c>
      <c r="AB418" s="6" t="n">
        <v>250000</v>
      </c>
      <c r="AC418" s="6" t="n">
        <v>250000</v>
      </c>
      <c r="AD418" s="6" t="n">
        <v>250000</v>
      </c>
      <c r="AE418" s="4" t="s">
        <v>2597</v>
      </c>
      <c r="AF418" s="5" t="s">
        <v>2598</v>
      </c>
      <c r="AG418" s="4" t="s">
        <v>78</v>
      </c>
      <c r="AH418" s="4" t="s">
        <v>79</v>
      </c>
      <c r="AI418" s="5" t="s">
        <v>80</v>
      </c>
      <c r="AJ418" s="1" t="n">
        <v>1</v>
      </c>
      <c r="AK418" s="11" t="n">
        <v>1</v>
      </c>
      <c r="AL418" s="12" t="s">
        <v>81</v>
      </c>
      <c r="AM418" s="13" t="str">
        <f>IF(AL418="","",AL418&amp;" - "&amp;IFERROR(VLOOKUP(AL418,CODEBOOK_CAP!$C$2:$D$212,2,FALSE),""))</f>
        <v>0322 - ESTRUTURAS, HOSPITAIS, CLÍNICAS</v>
      </c>
      <c r="AN418" s="13" t="str">
        <f>IF(AL418="","",IFERROR(VLOOKUP(AL418,CODEBOOK_CAP!$C$2:$E$212,3,FALSE),""))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418" s="11" t="n">
        <v>0</v>
      </c>
      <c r="AP418" s="11"/>
      <c r="AQ418" s="11" t="n">
        <v>1</v>
      </c>
      <c r="AR418" s="11" t="n">
        <v>1</v>
      </c>
      <c r="AS418" s="11" t="s">
        <v>2599</v>
      </c>
      <c r="AT418" s="11" t="n">
        <v>0</v>
      </c>
      <c r="AU418" s="11"/>
      <c r="AV418" s="11"/>
      <c r="AW418" s="11"/>
      <c r="AX418" s="7" t="s">
        <v>84</v>
      </c>
      <c r="AY418" s="7"/>
      <c r="AZ418" s="7"/>
      <c r="BA418" s="7"/>
    </row>
    <row r="419" ht="156.75" customHeight="1">
      <c r="A419" s="4" t="s">
        <v>2600</v>
      </c>
      <c r="B419" s="4" t="n">
        <v>2022</v>
      </c>
      <c r="C419" s="4" t="n">
        <v>4388</v>
      </c>
      <c r="D419" s="4" t="s">
        <v>54</v>
      </c>
      <c r="E419" s="4" t="s">
        <v>2552</v>
      </c>
      <c r="F419" s="5" t="s">
        <v>2601</v>
      </c>
      <c r="G419" s="4" t="s">
        <v>57</v>
      </c>
      <c r="H419" s="4" t="s">
        <v>2554</v>
      </c>
      <c r="I419" s="4" t="s">
        <v>2555</v>
      </c>
      <c r="J419" s="4" t="s">
        <v>2602</v>
      </c>
      <c r="K419" s="4" t="s">
        <v>1203</v>
      </c>
      <c r="L419" s="5" t="s">
        <v>94</v>
      </c>
      <c r="M419" s="4" t="s">
        <v>95</v>
      </c>
      <c r="N419" s="5" t="s">
        <v>96</v>
      </c>
      <c r="O419" s="4" t="s">
        <v>97</v>
      </c>
      <c r="P419" s="5" t="s">
        <v>98</v>
      </c>
      <c r="Q419" s="4" t="s">
        <v>99</v>
      </c>
      <c r="R419" s="5" t="s">
        <v>1204</v>
      </c>
      <c r="S419" s="4" t="s">
        <v>1205</v>
      </c>
      <c r="T419" s="5" t="s">
        <v>1206</v>
      </c>
      <c r="U419" s="4" t="s">
        <v>1207</v>
      </c>
      <c r="V419" s="5" t="s">
        <v>104</v>
      </c>
      <c r="W419" s="4" t="s">
        <v>105</v>
      </c>
      <c r="X419" s="4" t="s">
        <v>106</v>
      </c>
      <c r="Y419" s="5"/>
      <c r="Z419" s="4" t="s">
        <v>107</v>
      </c>
      <c r="AA419" s="6" t="n">
        <v>210000</v>
      </c>
      <c r="AB419" s="6" t="n">
        <v>210000</v>
      </c>
      <c r="AC419" s="6" t="n">
        <v>210000</v>
      </c>
      <c r="AD419" s="6" t="n">
        <v>210000</v>
      </c>
      <c r="AE419" s="4" t="s">
        <v>2603</v>
      </c>
      <c r="AF419" s="5" t="s">
        <v>2604</v>
      </c>
      <c r="AG419" s="4" t="s">
        <v>110</v>
      </c>
      <c r="AH419" s="4" t="s">
        <v>110</v>
      </c>
      <c r="AI419" s="5"/>
      <c r="AJ419" s="1" t="n">
        <v>0</v>
      </c>
      <c r="AK419" s="11" t="n">
        <v>0</v>
      </c>
      <c r="AL419" s="12" t="s">
        <v>111</v>
      </c>
      <c r="AM419" s="13" t="str">
        <f>IF(AL419="","",AL419&amp;" - "&amp;IFERROR(VLOOKUP(AL419,CODEBOOK_CAP!$C$2:$D$212,2,FALSE),""))</f>
        <v>1300 - GERAL</v>
      </c>
      <c r="AN419" s="13" t="str">
        <f>IF(AL419="","",IFERROR(VLOOKUP(AL419,CODEBOOK_CAP!$C$2:$E$212,3,FALSE),""))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419" s="11" t="n">
        <v>0</v>
      </c>
      <c r="AP419" s="11"/>
      <c r="AQ419" s="11" t="n">
        <v>0</v>
      </c>
      <c r="AR419" s="11" t="n">
        <v>0</v>
      </c>
      <c r="AS419" s="11"/>
      <c r="AT419" s="11" t="n">
        <v>0</v>
      </c>
      <c r="AU419" s="11"/>
      <c r="AV419" s="11"/>
      <c r="AW419" s="11"/>
      <c r="AX419" s="7" t="s">
        <v>84</v>
      </c>
      <c r="AY419" s="7"/>
      <c r="AZ419" s="7"/>
      <c r="BA419" s="7"/>
    </row>
    <row r="420" ht="85.5" customHeight="1">
      <c r="A420" s="4" t="s">
        <v>2605</v>
      </c>
      <c r="B420" s="4" t="n">
        <v>2022</v>
      </c>
      <c r="C420" s="4" t="n">
        <v>4389</v>
      </c>
      <c r="D420" s="4" t="s">
        <v>54</v>
      </c>
      <c r="E420" s="4" t="s">
        <v>2552</v>
      </c>
      <c r="F420" s="5" t="s">
        <v>2606</v>
      </c>
      <c r="G420" s="4" t="s">
        <v>57</v>
      </c>
      <c r="H420" s="4" t="s">
        <v>2554</v>
      </c>
      <c r="I420" s="4" t="s">
        <v>2555</v>
      </c>
      <c r="J420" s="4" t="s">
        <v>2607</v>
      </c>
      <c r="K420" s="4" t="s">
        <v>975</v>
      </c>
      <c r="L420" s="5" t="s">
        <v>62</v>
      </c>
      <c r="M420" s="4" t="s">
        <v>63</v>
      </c>
      <c r="N420" s="5" t="s">
        <v>64</v>
      </c>
      <c r="O420" s="4" t="s">
        <v>65</v>
      </c>
      <c r="P420" s="5" t="s">
        <v>193</v>
      </c>
      <c r="Q420" s="4" t="s">
        <v>194</v>
      </c>
      <c r="R420" s="5" t="s">
        <v>195</v>
      </c>
      <c r="S420" s="4" t="s">
        <v>196</v>
      </c>
      <c r="T420" s="5" t="s">
        <v>429</v>
      </c>
      <c r="U420" s="4" t="s">
        <v>430</v>
      </c>
      <c r="V420" s="5" t="s">
        <v>757</v>
      </c>
      <c r="W420" s="4" t="s">
        <v>105</v>
      </c>
      <c r="X420" s="4" t="s">
        <v>106</v>
      </c>
      <c r="Y420" s="5"/>
      <c r="Z420" s="4" t="s">
        <v>75</v>
      </c>
      <c r="AA420" s="6" t="n">
        <v>200000</v>
      </c>
      <c r="AB420" s="6" t="n">
        <v>200000</v>
      </c>
      <c r="AC420" s="6" t="n">
        <v>200000</v>
      </c>
      <c r="AD420" s="6" t="n">
        <v>200000</v>
      </c>
      <c r="AE420" s="4" t="s">
        <v>758</v>
      </c>
      <c r="AF420" s="5" t="s">
        <v>759</v>
      </c>
      <c r="AG420" s="4" t="s">
        <v>78</v>
      </c>
      <c r="AH420" s="4" t="s">
        <v>79</v>
      </c>
      <c r="AI420" s="5" t="s">
        <v>80</v>
      </c>
      <c r="AJ420" s="1" t="n">
        <v>1</v>
      </c>
      <c r="AK420" s="11" t="n">
        <v>1</v>
      </c>
      <c r="AL420" s="12" t="s">
        <v>81</v>
      </c>
      <c r="AM420" s="13" t="str">
        <f>IF(AL420="","",AL420&amp;" - "&amp;IFERROR(VLOOKUP(AL420,CODEBOOK_CAP!$C$2:$D$212,2,FALSE),""))</f>
        <v>0322 - ESTRUTURAS, HOSPITAIS, CLÍNICAS</v>
      </c>
      <c r="AN420" s="13" t="str">
        <f>IF(AL420="","",IFERROR(VLOOKUP(AL420,CODEBOOK_CAP!$C$2:$E$212,3,FALSE),""))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420" s="11" t="n">
        <v>1</v>
      </c>
      <c r="AP420" s="11" t="s">
        <v>2608</v>
      </c>
      <c r="AQ420" s="11" t="n">
        <v>1</v>
      </c>
      <c r="AR420" s="11" t="n">
        <v>1</v>
      </c>
      <c r="AS420" s="11" t="s">
        <v>2609</v>
      </c>
      <c r="AT420" s="11" t="n">
        <v>0</v>
      </c>
      <c r="AU420" s="11"/>
      <c r="AV420" s="11"/>
      <c r="AW420" s="11"/>
      <c r="AX420" s="7" t="s">
        <v>84</v>
      </c>
      <c r="AY420" s="7"/>
      <c r="AZ420" s="7"/>
      <c r="BA420" s="7"/>
    </row>
    <row r="421" ht="156.75" customHeight="1">
      <c r="A421" s="4" t="s">
        <v>2610</v>
      </c>
      <c r="B421" s="4" t="n">
        <v>2022</v>
      </c>
      <c r="C421" s="4" t="n">
        <v>4390</v>
      </c>
      <c r="D421" s="4" t="s">
        <v>54</v>
      </c>
      <c r="E421" s="4" t="s">
        <v>2552</v>
      </c>
      <c r="F421" s="5" t="s">
        <v>2611</v>
      </c>
      <c r="G421" s="4" t="s">
        <v>57</v>
      </c>
      <c r="H421" s="4" t="s">
        <v>2554</v>
      </c>
      <c r="I421" s="4" t="s">
        <v>2555</v>
      </c>
      <c r="J421" s="4" t="s">
        <v>2612</v>
      </c>
      <c r="K421" s="4" t="s">
        <v>93</v>
      </c>
      <c r="L421" s="5" t="s">
        <v>94</v>
      </c>
      <c r="M421" s="4" t="s">
        <v>95</v>
      </c>
      <c r="N421" s="5" t="s">
        <v>96</v>
      </c>
      <c r="O421" s="4" t="s">
        <v>97</v>
      </c>
      <c r="P421" s="5" t="s">
        <v>98</v>
      </c>
      <c r="Q421" s="4" t="s">
        <v>99</v>
      </c>
      <c r="R421" s="5" t="s">
        <v>100</v>
      </c>
      <c r="S421" s="4" t="s">
        <v>101</v>
      </c>
      <c r="T421" s="5" t="s">
        <v>102</v>
      </c>
      <c r="U421" s="4" t="s">
        <v>103</v>
      </c>
      <c r="V421" s="5" t="s">
        <v>104</v>
      </c>
      <c r="W421" s="4" t="s">
        <v>105</v>
      </c>
      <c r="X421" s="4" t="s">
        <v>106</v>
      </c>
      <c r="Y421" s="5"/>
      <c r="Z421" s="4" t="s">
        <v>107</v>
      </c>
      <c r="AA421" s="6" t="n">
        <v>105000</v>
      </c>
      <c r="AB421" s="6" t="n">
        <v>105000</v>
      </c>
      <c r="AC421" s="6" t="n">
        <v>105000</v>
      </c>
      <c r="AD421" s="6" t="n">
        <v>105000</v>
      </c>
      <c r="AE421" s="4" t="s">
        <v>2557</v>
      </c>
      <c r="AF421" s="5" t="s">
        <v>2558</v>
      </c>
      <c r="AG421" s="4" t="s">
        <v>110</v>
      </c>
      <c r="AH421" s="4" t="s">
        <v>110</v>
      </c>
      <c r="AI421" s="5"/>
      <c r="AJ421" s="1" t="n">
        <v>0</v>
      </c>
      <c r="AK421" s="11" t="n">
        <v>0</v>
      </c>
      <c r="AL421" s="12" t="s">
        <v>111</v>
      </c>
      <c r="AM421" s="13" t="str">
        <f>IF(AL421="","",AL421&amp;" - "&amp;IFERROR(VLOOKUP(AL421,CODEBOOK_CAP!$C$2:$D$212,2,FALSE),""))</f>
        <v>1300 - GERAL</v>
      </c>
      <c r="AN421" s="13" t="str">
        <f>IF(AL421="","",IFERROR(VLOOKUP(AL421,CODEBOOK_CAP!$C$2:$E$212,3,FALSE),""))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421" s="11" t="n">
        <v>0</v>
      </c>
      <c r="AP421" s="11"/>
      <c r="AQ421" s="11" t="n">
        <v>0</v>
      </c>
      <c r="AR421" s="11" t="n">
        <v>0</v>
      </c>
      <c r="AS421" s="11"/>
      <c r="AT421" s="11" t="n">
        <v>0</v>
      </c>
      <c r="AU421" s="11"/>
      <c r="AV421" s="11"/>
      <c r="AW421" s="11"/>
      <c r="AX421" s="7" t="s">
        <v>84</v>
      </c>
      <c r="AY421" s="7"/>
      <c r="AZ421" s="7"/>
      <c r="BA421" s="7"/>
    </row>
    <row r="422" ht="156.75" customHeight="1">
      <c r="A422" s="4" t="s">
        <v>2613</v>
      </c>
      <c r="B422" s="4" t="n">
        <v>2022</v>
      </c>
      <c r="C422" s="4" t="n">
        <v>4660</v>
      </c>
      <c r="D422" s="4" t="s">
        <v>54</v>
      </c>
      <c r="E422" s="4" t="s">
        <v>2552</v>
      </c>
      <c r="F422" s="5" t="s">
        <v>2614</v>
      </c>
      <c r="G422" s="4" t="s">
        <v>57</v>
      </c>
      <c r="H422" s="4" t="s">
        <v>2554</v>
      </c>
      <c r="I422" s="4" t="s">
        <v>2555</v>
      </c>
      <c r="J422" s="4" t="s">
        <v>1262</v>
      </c>
      <c r="K422" s="4" t="s">
        <v>1203</v>
      </c>
      <c r="L422" s="5" t="s">
        <v>94</v>
      </c>
      <c r="M422" s="4" t="s">
        <v>95</v>
      </c>
      <c r="N422" s="5" t="s">
        <v>96</v>
      </c>
      <c r="O422" s="4" t="s">
        <v>97</v>
      </c>
      <c r="P422" s="5" t="s">
        <v>98</v>
      </c>
      <c r="Q422" s="4" t="s">
        <v>99</v>
      </c>
      <c r="R422" s="5" t="s">
        <v>1204</v>
      </c>
      <c r="S422" s="4" t="s">
        <v>1205</v>
      </c>
      <c r="T422" s="5" t="s">
        <v>1206</v>
      </c>
      <c r="U422" s="4" t="s">
        <v>1207</v>
      </c>
      <c r="V422" s="5" t="s">
        <v>104</v>
      </c>
      <c r="W422" s="4" t="s">
        <v>105</v>
      </c>
      <c r="X422" s="4" t="s">
        <v>106</v>
      </c>
      <c r="Y422" s="5"/>
      <c r="Z422" s="4" t="s">
        <v>107</v>
      </c>
      <c r="AA422" s="6" t="n">
        <v>100000</v>
      </c>
      <c r="AB422" s="6" t="n">
        <v>100000</v>
      </c>
      <c r="AC422" s="6" t="n">
        <v>100000</v>
      </c>
      <c r="AD422" s="6" t="n">
        <v>100000</v>
      </c>
      <c r="AE422" s="4" t="s">
        <v>1263</v>
      </c>
      <c r="AF422" s="5" t="s">
        <v>1264</v>
      </c>
      <c r="AG422" s="4" t="s">
        <v>110</v>
      </c>
      <c r="AH422" s="4" t="s">
        <v>110</v>
      </c>
      <c r="AI422" s="5"/>
      <c r="AJ422" s="1" t="n">
        <v>0</v>
      </c>
      <c r="AK422" s="11" t="n">
        <v>0</v>
      </c>
      <c r="AL422" s="12" t="s">
        <v>111</v>
      </c>
      <c r="AM422" s="13" t="str">
        <f>IF(AL422="","",AL422&amp;" - "&amp;IFERROR(VLOOKUP(AL422,CODEBOOK_CAP!$C$2:$D$212,2,FALSE),""))</f>
        <v>1300 - GERAL</v>
      </c>
      <c r="AN422" s="13" t="str">
        <f>IF(AL422="","",IFERROR(VLOOKUP(AL422,CODEBOOK_CAP!$C$2:$E$212,3,FALSE),""))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422" s="11" t="n">
        <v>0</v>
      </c>
      <c r="AP422" s="11"/>
      <c r="AQ422" s="11" t="n">
        <v>0</v>
      </c>
      <c r="AR422" s="11" t="n">
        <v>0</v>
      </c>
      <c r="AS422" s="11"/>
      <c r="AT422" s="11" t="n">
        <v>0</v>
      </c>
      <c r="AU422" s="11"/>
      <c r="AV422" s="11"/>
      <c r="AW422" s="11"/>
      <c r="AX422" s="7" t="s">
        <v>84</v>
      </c>
      <c r="AY422" s="7"/>
      <c r="AZ422" s="7"/>
      <c r="BA422" s="7"/>
    </row>
    <row r="423" ht="85.5" customHeight="1">
      <c r="A423" s="4" t="s">
        <v>2615</v>
      </c>
      <c r="B423" s="4" t="n">
        <v>2022</v>
      </c>
      <c r="C423" s="4" t="n">
        <v>4664</v>
      </c>
      <c r="D423" s="4" t="s">
        <v>54</v>
      </c>
      <c r="E423" s="4" t="s">
        <v>2552</v>
      </c>
      <c r="F423" s="5" t="s">
        <v>2616</v>
      </c>
      <c r="G423" s="4" t="s">
        <v>57</v>
      </c>
      <c r="H423" s="4" t="s">
        <v>2554</v>
      </c>
      <c r="I423" s="4" t="s">
        <v>2555</v>
      </c>
      <c r="J423" s="4" t="s">
        <v>2617</v>
      </c>
      <c r="K423" s="4" t="s">
        <v>1203</v>
      </c>
      <c r="L423" s="5" t="s">
        <v>94</v>
      </c>
      <c r="M423" s="4" t="s">
        <v>95</v>
      </c>
      <c r="N423" s="5" t="s">
        <v>96</v>
      </c>
      <c r="O423" s="4" t="s">
        <v>97</v>
      </c>
      <c r="P423" s="5" t="s">
        <v>98</v>
      </c>
      <c r="Q423" s="4" t="s">
        <v>99</v>
      </c>
      <c r="R423" s="5" t="s">
        <v>1204</v>
      </c>
      <c r="S423" s="4" t="s">
        <v>1205</v>
      </c>
      <c r="T423" s="5" t="s">
        <v>1206</v>
      </c>
      <c r="U423" s="4" t="s">
        <v>1207</v>
      </c>
      <c r="V423" s="5" t="s">
        <v>104</v>
      </c>
      <c r="W423" s="4" t="s">
        <v>105</v>
      </c>
      <c r="X423" s="4" t="s">
        <v>106</v>
      </c>
      <c r="Y423" s="5"/>
      <c r="Z423" s="4" t="s">
        <v>107</v>
      </c>
      <c r="AA423" s="6" t="n">
        <v>45000</v>
      </c>
      <c r="AB423" s="6" t="n">
        <v>45000</v>
      </c>
      <c r="AC423" s="6" t="n">
        <v>45000</v>
      </c>
      <c r="AD423" s="6" t="n">
        <v>45000</v>
      </c>
      <c r="AE423" s="4" t="s">
        <v>2618</v>
      </c>
      <c r="AF423" s="5" t="s">
        <v>2619</v>
      </c>
      <c r="AG423" s="4" t="s">
        <v>110</v>
      </c>
      <c r="AH423" s="4" t="s">
        <v>110</v>
      </c>
      <c r="AI423" s="5"/>
      <c r="AJ423" s="1" t="n">
        <v>0</v>
      </c>
      <c r="AK423" s="11" t="n">
        <v>0</v>
      </c>
      <c r="AL423" s="12" t="s">
        <v>712</v>
      </c>
      <c r="AM423" s="13" t="str">
        <f>IF(AL423="","",AL423&amp;" - "&amp;IFERROR(VLOOKUP(AL423,CODEBOOK_CAP!$C$2:$D$212,2,FALSE),""))</f>
        <v>1308 - POLÍTICAS SOCIAIS PARA FAMÍLIAS E INFÂNCIA</v>
      </c>
      <c r="AN423" s="13" t="str">
        <f>IF(AL423="","",IFERROR(VLOOKUP(AL423,CODEBOOK_CAP!$C$2:$E$212,3,FALSE),""))</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O423" s="11" t="n">
        <v>0</v>
      </c>
      <c r="AP423" s="11"/>
      <c r="AQ423" s="11" t="n">
        <v>1</v>
      </c>
      <c r="AR423" s="11" t="n">
        <v>1</v>
      </c>
      <c r="AS423" s="11" t="s">
        <v>2620</v>
      </c>
      <c r="AT423" s="11" t="n">
        <v>1</v>
      </c>
      <c r="AU423" s="11" t="s">
        <v>503</v>
      </c>
      <c r="AV423" s="11"/>
      <c r="AW423" s="11"/>
      <c r="AX423" s="7" t="s">
        <v>84</v>
      </c>
      <c r="AY423" s="7"/>
      <c r="AZ423" s="7"/>
      <c r="BA423" s="7"/>
    </row>
    <row r="424" ht="156.75" customHeight="1">
      <c r="A424" s="4" t="s">
        <v>2621</v>
      </c>
      <c r="B424" s="4" t="n">
        <v>2022</v>
      </c>
      <c r="C424" s="4" t="n">
        <v>4679</v>
      </c>
      <c r="D424" s="4" t="s">
        <v>54</v>
      </c>
      <c r="E424" s="4" t="s">
        <v>2552</v>
      </c>
      <c r="F424" s="5" t="s">
        <v>2622</v>
      </c>
      <c r="G424" s="4" t="s">
        <v>57</v>
      </c>
      <c r="H424" s="4" t="s">
        <v>2554</v>
      </c>
      <c r="I424" s="4" t="s">
        <v>2555</v>
      </c>
      <c r="J424" s="4" t="s">
        <v>1215</v>
      </c>
      <c r="K424" s="4" t="s">
        <v>1203</v>
      </c>
      <c r="L424" s="5" t="s">
        <v>94</v>
      </c>
      <c r="M424" s="4" t="s">
        <v>95</v>
      </c>
      <c r="N424" s="5" t="s">
        <v>96</v>
      </c>
      <c r="O424" s="4" t="s">
        <v>97</v>
      </c>
      <c r="P424" s="5" t="s">
        <v>98</v>
      </c>
      <c r="Q424" s="4" t="s">
        <v>99</v>
      </c>
      <c r="R424" s="5" t="s">
        <v>1204</v>
      </c>
      <c r="S424" s="4" t="s">
        <v>1205</v>
      </c>
      <c r="T424" s="5" t="s">
        <v>1206</v>
      </c>
      <c r="U424" s="4" t="s">
        <v>1207</v>
      </c>
      <c r="V424" s="5" t="s">
        <v>104</v>
      </c>
      <c r="W424" s="4" t="s">
        <v>105</v>
      </c>
      <c r="X424" s="4" t="s">
        <v>106</v>
      </c>
      <c r="Y424" s="5"/>
      <c r="Z424" s="4" t="s">
        <v>107</v>
      </c>
      <c r="AA424" s="6" t="n">
        <v>75000</v>
      </c>
      <c r="AB424" s="6" t="n">
        <v>75000</v>
      </c>
      <c r="AC424" s="6" t="n">
        <v>75000</v>
      </c>
      <c r="AD424" s="6" t="n">
        <v>75000</v>
      </c>
      <c r="AE424" s="4" t="s">
        <v>1216</v>
      </c>
      <c r="AF424" s="5" t="s">
        <v>1268</v>
      </c>
      <c r="AG424" s="4" t="s">
        <v>110</v>
      </c>
      <c r="AH424" s="4" t="s">
        <v>110</v>
      </c>
      <c r="AI424" s="5"/>
      <c r="AJ424" s="1" t="n">
        <v>0</v>
      </c>
      <c r="AK424" s="11" t="n">
        <v>0</v>
      </c>
      <c r="AL424" s="12" t="s">
        <v>111</v>
      </c>
      <c r="AM424" s="13" t="str">
        <f>IF(AL424="","",AL424&amp;" - "&amp;IFERROR(VLOOKUP(AL424,CODEBOOK_CAP!$C$2:$D$212,2,FALSE),""))</f>
        <v>1300 - GERAL</v>
      </c>
      <c r="AN424" s="13" t="str">
        <f>IF(AL424="","",IFERROR(VLOOKUP(AL424,CODEBOOK_CAP!$C$2:$E$212,3,FALSE),""))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424" s="11" t="n">
        <v>0</v>
      </c>
      <c r="AP424" s="11"/>
      <c r="AQ424" s="11" t="n">
        <v>0</v>
      </c>
      <c r="AR424" s="11" t="n">
        <v>0</v>
      </c>
      <c r="AS424" s="11"/>
      <c r="AT424" s="11" t="n">
        <v>0</v>
      </c>
      <c r="AU424" s="11"/>
      <c r="AV424" s="11"/>
      <c r="AW424" s="11"/>
      <c r="AX424" s="7" t="s">
        <v>84</v>
      </c>
      <c r="AY424" s="7"/>
      <c r="AZ424" s="7"/>
      <c r="BA424" s="7"/>
    </row>
    <row r="425" ht="85.5" customHeight="1">
      <c r="A425" s="4" t="s">
        <v>2623</v>
      </c>
      <c r="B425" s="4" t="n">
        <v>2022</v>
      </c>
      <c r="C425" s="4" t="n">
        <v>4688</v>
      </c>
      <c r="D425" s="4" t="s">
        <v>54</v>
      </c>
      <c r="E425" s="4" t="s">
        <v>2552</v>
      </c>
      <c r="F425" s="5" t="s">
        <v>2624</v>
      </c>
      <c r="G425" s="4" t="s">
        <v>57</v>
      </c>
      <c r="H425" s="4" t="s">
        <v>2554</v>
      </c>
      <c r="I425" s="4" t="s">
        <v>2555</v>
      </c>
      <c r="J425" s="4" t="s">
        <v>2625</v>
      </c>
      <c r="K425" s="4" t="s">
        <v>428</v>
      </c>
      <c r="L425" s="5" t="s">
        <v>62</v>
      </c>
      <c r="M425" s="4" t="s">
        <v>63</v>
      </c>
      <c r="N425" s="5" t="s">
        <v>64</v>
      </c>
      <c r="O425" s="4" t="s">
        <v>65</v>
      </c>
      <c r="P425" s="5" t="s">
        <v>193</v>
      </c>
      <c r="Q425" s="4" t="s">
        <v>194</v>
      </c>
      <c r="R425" s="5" t="s">
        <v>195</v>
      </c>
      <c r="S425" s="4" t="s">
        <v>196</v>
      </c>
      <c r="T425" s="5" t="s">
        <v>429</v>
      </c>
      <c r="U425" s="4" t="s">
        <v>430</v>
      </c>
      <c r="V425" s="5" t="s">
        <v>104</v>
      </c>
      <c r="W425" s="4" t="s">
        <v>105</v>
      </c>
      <c r="X425" s="4" t="s">
        <v>106</v>
      </c>
      <c r="Y425" s="5"/>
      <c r="Z425" s="4" t="s">
        <v>75</v>
      </c>
      <c r="AA425" s="6" t="n">
        <v>158000</v>
      </c>
      <c r="AB425" s="6" t="n">
        <v>0</v>
      </c>
      <c r="AC425" s="6" t="n">
        <v>0</v>
      </c>
      <c r="AD425" s="6" t="n">
        <v>0</v>
      </c>
      <c r="AE425" s="4" t="s">
        <v>2626</v>
      </c>
      <c r="AF425" s="5" t="s">
        <v>2627</v>
      </c>
      <c r="AG425" s="4" t="s">
        <v>115</v>
      </c>
      <c r="AH425" s="4" t="s">
        <v>115</v>
      </c>
      <c r="AI425" s="5" t="s">
        <v>115</v>
      </c>
      <c r="AJ425" s="1" t="n">
        <v>1</v>
      </c>
      <c r="AK425" s="11" t="n">
        <v>1</v>
      </c>
      <c r="AL425" s="12" t="s">
        <v>81</v>
      </c>
      <c r="AM425" s="13" t="str">
        <f>IF(AL425="","",AL425&amp;" - "&amp;IFERROR(VLOOKUP(AL425,CODEBOOK_CAP!$C$2:$D$212,2,FALSE),""))</f>
        <v>0322 - ESTRUTURAS, HOSPITAIS, CLÍNICAS</v>
      </c>
      <c r="AN425" s="13" t="str">
        <f>IF(AL425="","",IFERROR(VLOOKUP(AL425,CODEBOOK_CAP!$C$2:$E$212,3,FALSE),""))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425" s="11" t="n">
        <v>0</v>
      </c>
      <c r="AP425" s="11"/>
      <c r="AQ425" s="11" t="n">
        <v>1</v>
      </c>
      <c r="AR425" s="11" t="n">
        <v>1</v>
      </c>
      <c r="AS425" s="11" t="s">
        <v>1538</v>
      </c>
      <c r="AT425" s="11" t="n">
        <v>0</v>
      </c>
      <c r="AU425" s="11"/>
      <c r="AV425" s="11"/>
      <c r="AW425" s="11"/>
      <c r="AX425" s="7" t="s">
        <v>84</v>
      </c>
      <c r="AY425" s="7"/>
      <c r="AZ425" s="7"/>
      <c r="BA425" s="7"/>
    </row>
    <row r="426" ht="114" customHeight="1">
      <c r="A426" s="4" t="s">
        <v>2628</v>
      </c>
      <c r="B426" s="4" t="n">
        <v>2022</v>
      </c>
      <c r="C426" s="4" t="n">
        <v>4694</v>
      </c>
      <c r="D426" s="4" t="s">
        <v>54</v>
      </c>
      <c r="E426" s="4" t="s">
        <v>2552</v>
      </c>
      <c r="F426" s="5" t="s">
        <v>2629</v>
      </c>
      <c r="G426" s="4" t="s">
        <v>57</v>
      </c>
      <c r="H426" s="4" t="s">
        <v>2554</v>
      </c>
      <c r="I426" s="4" t="s">
        <v>2555</v>
      </c>
      <c r="J426" s="4" t="s">
        <v>2630</v>
      </c>
      <c r="K426" s="4" t="s">
        <v>428</v>
      </c>
      <c r="L426" s="5" t="s">
        <v>62</v>
      </c>
      <c r="M426" s="4" t="s">
        <v>63</v>
      </c>
      <c r="N426" s="5" t="s">
        <v>64</v>
      </c>
      <c r="O426" s="4" t="s">
        <v>65</v>
      </c>
      <c r="P426" s="5" t="s">
        <v>193</v>
      </c>
      <c r="Q426" s="4" t="s">
        <v>194</v>
      </c>
      <c r="R426" s="5" t="s">
        <v>195</v>
      </c>
      <c r="S426" s="4" t="s">
        <v>196</v>
      </c>
      <c r="T426" s="5" t="s">
        <v>429</v>
      </c>
      <c r="U426" s="4" t="s">
        <v>430</v>
      </c>
      <c r="V426" s="5" t="s">
        <v>104</v>
      </c>
      <c r="W426" s="4" t="s">
        <v>105</v>
      </c>
      <c r="X426" s="4" t="s">
        <v>106</v>
      </c>
      <c r="Y426" s="5"/>
      <c r="Z426" s="4" t="s">
        <v>75</v>
      </c>
      <c r="AA426" s="6" t="n">
        <v>121000</v>
      </c>
      <c r="AB426" s="6" t="n">
        <v>121000</v>
      </c>
      <c r="AC426" s="6" t="n">
        <v>121000</v>
      </c>
      <c r="AD426" s="6" t="n">
        <v>121000</v>
      </c>
      <c r="AE426" s="4" t="s">
        <v>450</v>
      </c>
      <c r="AF426" s="5" t="s">
        <v>451</v>
      </c>
      <c r="AG426" s="4" t="s">
        <v>433</v>
      </c>
      <c r="AH426" s="4" t="s">
        <v>433</v>
      </c>
      <c r="AI426" s="5"/>
      <c r="AJ426" s="1" t="n">
        <v>1</v>
      </c>
      <c r="AK426" s="11" t="n">
        <v>1</v>
      </c>
      <c r="AL426" s="12" t="s">
        <v>452</v>
      </c>
      <c r="AM426" s="13" t="str">
        <f>IF(AL426="","",AL426&amp;" - "&amp;IFERROR(VLOOKUP(AL426,CODEBOOK_CAP!$C$2:$D$212,2,FALSE),""))</f>
        <v>0332 - SAÚDE INFANTIL, GRAVIDEZ E PRÉ-NATAL</v>
      </c>
      <c r="AN426" s="13" t="str">
        <f>IF(AL426="","",IFERROR(VLOOKUP(AL426,CODEBOOK_CAP!$C$2:$E$212,3,FALSE),""))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426" s="11" t="n">
        <v>0</v>
      </c>
      <c r="AP426" s="11"/>
      <c r="AQ426" s="11" t="n">
        <v>1</v>
      </c>
      <c r="AR426" s="11" t="n">
        <v>1</v>
      </c>
      <c r="AS426" s="11" t="s">
        <v>453</v>
      </c>
      <c r="AT426" s="11" t="n">
        <v>1</v>
      </c>
      <c r="AU426" s="11" t="s">
        <v>454</v>
      </c>
      <c r="AV426" s="11"/>
      <c r="AW426" s="11"/>
      <c r="AX426" s="7" t="s">
        <v>84</v>
      </c>
      <c r="AY426" s="7"/>
      <c r="AZ426" s="7"/>
      <c r="BA426" s="7"/>
    </row>
    <row r="427" ht="228" customHeight="1">
      <c r="A427" s="4" t="s">
        <v>2631</v>
      </c>
      <c r="B427" s="4" t="n">
        <v>2022</v>
      </c>
      <c r="C427" s="4" t="n">
        <v>4439</v>
      </c>
      <c r="D427" s="4" t="s">
        <v>54</v>
      </c>
      <c r="E427" s="4" t="s">
        <v>2632</v>
      </c>
      <c r="F427" s="5" t="s">
        <v>2633</v>
      </c>
      <c r="G427" s="4" t="s">
        <v>57</v>
      </c>
      <c r="H427" s="4" t="s">
        <v>2634</v>
      </c>
      <c r="I427" s="4" t="s">
        <v>2635</v>
      </c>
      <c r="J427" s="4" t="s">
        <v>2636</v>
      </c>
      <c r="K427" s="4" t="s">
        <v>1754</v>
      </c>
      <c r="L427" s="5" t="s">
        <v>62</v>
      </c>
      <c r="M427" s="4" t="s">
        <v>63</v>
      </c>
      <c r="N427" s="5" t="s">
        <v>64</v>
      </c>
      <c r="O427" s="4" t="s">
        <v>65</v>
      </c>
      <c r="P427" s="5" t="s">
        <v>344</v>
      </c>
      <c r="Q427" s="4" t="s">
        <v>345</v>
      </c>
      <c r="R427" s="5" t="s">
        <v>346</v>
      </c>
      <c r="S427" s="4" t="s">
        <v>347</v>
      </c>
      <c r="T427" s="5" t="s">
        <v>555</v>
      </c>
      <c r="U427" s="4" t="s">
        <v>347</v>
      </c>
      <c r="V427" s="5" t="s">
        <v>706</v>
      </c>
      <c r="W427" s="4" t="s">
        <v>105</v>
      </c>
      <c r="X427" s="4" t="s">
        <v>106</v>
      </c>
      <c r="Y427" s="5"/>
      <c r="Z427" s="4" t="s">
        <v>75</v>
      </c>
      <c r="AA427" s="6" t="n">
        <v>236152</v>
      </c>
      <c r="AB427" s="6" t="n">
        <v>113044</v>
      </c>
      <c r="AC427" s="6" t="n">
        <v>113044</v>
      </c>
      <c r="AD427" s="6" t="n">
        <v>113044</v>
      </c>
      <c r="AE427" s="4" t="s">
        <v>2637</v>
      </c>
      <c r="AF427" s="5"/>
      <c r="AG427" s="4" t="s">
        <v>78</v>
      </c>
      <c r="AH427" s="4" t="s">
        <v>79</v>
      </c>
      <c r="AI427" s="5" t="s">
        <v>80</v>
      </c>
      <c r="AJ427" s="1" t="n">
        <v>1</v>
      </c>
      <c r="AK427" s="11" t="n">
        <v>1</v>
      </c>
      <c r="AL427" s="12" t="s">
        <v>81</v>
      </c>
      <c r="AM427" s="13" t="str">
        <f>IF(AL427="","",AL427&amp;" - "&amp;IFERROR(VLOOKUP(AL427,CODEBOOK_CAP!$C$2:$D$212,2,FALSE),""))</f>
        <v>0322 - ESTRUTURAS, HOSPITAIS, CLÍNICAS</v>
      </c>
      <c r="AN427" s="13" t="str">
        <f>IF(AL427="","",IFERROR(VLOOKUP(AL427,CODEBOOK_CAP!$C$2:$E$212,3,FALSE),""))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427" s="11" t="n">
        <v>1</v>
      </c>
      <c r="AP427" s="11" t="s">
        <v>2638</v>
      </c>
      <c r="AQ427" s="11" t="n">
        <v>1</v>
      </c>
      <c r="AR427" s="11" t="n">
        <v>1</v>
      </c>
      <c r="AS427" s="11" t="s">
        <v>2639</v>
      </c>
      <c r="AT427" s="11" t="n">
        <v>0</v>
      </c>
      <c r="AU427" s="11"/>
      <c r="AV427" s="11"/>
      <c r="AW427" s="11"/>
      <c r="AX427" s="7" t="s">
        <v>84</v>
      </c>
      <c r="AY427" s="7"/>
      <c r="AZ427" s="7"/>
      <c r="BA427" s="7"/>
    </row>
    <row r="428" ht="228" customHeight="1">
      <c r="A428" s="4" t="s">
        <v>2640</v>
      </c>
      <c r="B428" s="4" t="n">
        <v>2022</v>
      </c>
      <c r="C428" s="4" t="n">
        <v>4440</v>
      </c>
      <c r="D428" s="4" t="s">
        <v>54</v>
      </c>
      <c r="E428" s="4" t="s">
        <v>2632</v>
      </c>
      <c r="F428" s="5" t="s">
        <v>2641</v>
      </c>
      <c r="G428" s="4" t="s">
        <v>57</v>
      </c>
      <c r="H428" s="4" t="s">
        <v>2634</v>
      </c>
      <c r="I428" s="4" t="s">
        <v>2635</v>
      </c>
      <c r="J428" s="4" t="s">
        <v>2642</v>
      </c>
      <c r="K428" s="4" t="s">
        <v>1754</v>
      </c>
      <c r="L428" s="5" t="s">
        <v>62</v>
      </c>
      <c r="M428" s="4" t="s">
        <v>63</v>
      </c>
      <c r="N428" s="5" t="s">
        <v>64</v>
      </c>
      <c r="O428" s="4" t="s">
        <v>65</v>
      </c>
      <c r="P428" s="5" t="s">
        <v>344</v>
      </c>
      <c r="Q428" s="4" t="s">
        <v>345</v>
      </c>
      <c r="R428" s="5" t="s">
        <v>346</v>
      </c>
      <c r="S428" s="4" t="s">
        <v>347</v>
      </c>
      <c r="T428" s="5" t="s">
        <v>555</v>
      </c>
      <c r="U428" s="4" t="s">
        <v>347</v>
      </c>
      <c r="V428" s="5" t="s">
        <v>706</v>
      </c>
      <c r="W428" s="4" t="s">
        <v>105</v>
      </c>
      <c r="X428" s="4" t="s">
        <v>106</v>
      </c>
      <c r="Y428" s="5"/>
      <c r="Z428" s="4" t="s">
        <v>75</v>
      </c>
      <c r="AA428" s="6" t="n">
        <v>236152</v>
      </c>
      <c r="AB428" s="6" t="n">
        <v>77486</v>
      </c>
      <c r="AC428" s="6" t="n">
        <v>77486</v>
      </c>
      <c r="AD428" s="6" t="n">
        <v>77486</v>
      </c>
      <c r="AE428" s="4" t="s">
        <v>2637</v>
      </c>
      <c r="AF428" s="5"/>
      <c r="AG428" s="4" t="s">
        <v>78</v>
      </c>
      <c r="AH428" s="4" t="s">
        <v>79</v>
      </c>
      <c r="AI428" s="5" t="s">
        <v>80</v>
      </c>
      <c r="AJ428" s="1" t="n">
        <v>1</v>
      </c>
      <c r="AK428" s="11" t="n">
        <v>1</v>
      </c>
      <c r="AL428" s="12" t="s">
        <v>81</v>
      </c>
      <c r="AM428" s="13" t="str">
        <f>IF(AL428="","",AL428&amp;" - "&amp;IFERROR(VLOOKUP(AL428,CODEBOOK_CAP!$C$2:$D$212,2,FALSE),""))</f>
        <v>0322 - ESTRUTURAS, HOSPITAIS, CLÍNICAS</v>
      </c>
      <c r="AN428" s="13" t="str">
        <f>IF(AL428="","",IFERROR(VLOOKUP(AL428,CODEBOOK_CAP!$C$2:$E$212,3,FALSE),""))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428" s="11" t="n">
        <v>1</v>
      </c>
      <c r="AP428" s="11" t="s">
        <v>2643</v>
      </c>
      <c r="AQ428" s="11" t="n">
        <v>1</v>
      </c>
      <c r="AR428" s="11" t="n">
        <v>1</v>
      </c>
      <c r="AS428" s="11" t="s">
        <v>2644</v>
      </c>
      <c r="AT428" s="11" t="n">
        <v>0</v>
      </c>
      <c r="AU428" s="11"/>
      <c r="AV428" s="11"/>
      <c r="AW428" s="11"/>
      <c r="AX428" s="7" t="s">
        <v>84</v>
      </c>
      <c r="AY428" s="7"/>
      <c r="AZ428" s="7"/>
      <c r="BA428" s="7"/>
    </row>
    <row r="429" ht="256.5" customHeight="1">
      <c r="A429" s="4" t="s">
        <v>2645</v>
      </c>
      <c r="B429" s="4" t="n">
        <v>2022</v>
      </c>
      <c r="C429" s="4" t="n">
        <v>4442</v>
      </c>
      <c r="D429" s="4" t="s">
        <v>54</v>
      </c>
      <c r="E429" s="4" t="s">
        <v>2632</v>
      </c>
      <c r="F429" s="5" t="s">
        <v>2646</v>
      </c>
      <c r="G429" s="4" t="s">
        <v>57</v>
      </c>
      <c r="H429" s="4" t="s">
        <v>2634</v>
      </c>
      <c r="I429" s="4" t="s">
        <v>2635</v>
      </c>
      <c r="J429" s="4" t="s">
        <v>2647</v>
      </c>
      <c r="K429" s="4" t="s">
        <v>1754</v>
      </c>
      <c r="L429" s="5" t="s">
        <v>62</v>
      </c>
      <c r="M429" s="4" t="s">
        <v>63</v>
      </c>
      <c r="N429" s="5" t="s">
        <v>64</v>
      </c>
      <c r="O429" s="4" t="s">
        <v>65</v>
      </c>
      <c r="P429" s="5" t="s">
        <v>344</v>
      </c>
      <c r="Q429" s="4" t="s">
        <v>345</v>
      </c>
      <c r="R429" s="5" t="s">
        <v>346</v>
      </c>
      <c r="S429" s="4" t="s">
        <v>347</v>
      </c>
      <c r="T429" s="5" t="s">
        <v>555</v>
      </c>
      <c r="U429" s="4" t="s">
        <v>347</v>
      </c>
      <c r="V429" s="5" t="s">
        <v>706</v>
      </c>
      <c r="W429" s="4" t="s">
        <v>105</v>
      </c>
      <c r="X429" s="4" t="s">
        <v>106</v>
      </c>
      <c r="Y429" s="5"/>
      <c r="Z429" s="4" t="s">
        <v>75</v>
      </c>
      <c r="AA429" s="6" t="n">
        <v>236152</v>
      </c>
      <c r="AB429" s="6" t="n">
        <v>85608</v>
      </c>
      <c r="AC429" s="6" t="n">
        <v>85608</v>
      </c>
      <c r="AD429" s="6" t="n">
        <v>85608</v>
      </c>
      <c r="AE429" s="4" t="s">
        <v>2648</v>
      </c>
      <c r="AF429" s="5"/>
      <c r="AG429" s="4" t="s">
        <v>78</v>
      </c>
      <c r="AH429" s="4" t="s">
        <v>79</v>
      </c>
      <c r="AI429" s="5" t="s">
        <v>80</v>
      </c>
      <c r="AJ429" s="1" t="n">
        <v>1</v>
      </c>
      <c r="AK429" s="11" t="n">
        <v>1</v>
      </c>
      <c r="AL429" s="12" t="s">
        <v>81</v>
      </c>
      <c r="AM429" s="13" t="str">
        <f>IF(AL429="","",AL429&amp;" - "&amp;IFERROR(VLOOKUP(AL429,CODEBOOK_CAP!$C$2:$D$212,2,FALSE),""))</f>
        <v>0322 - ESTRUTURAS, HOSPITAIS, CLÍNICAS</v>
      </c>
      <c r="AN429" s="13" t="str">
        <f>IF(AL429="","",IFERROR(VLOOKUP(AL429,CODEBOOK_CAP!$C$2:$E$212,3,FALSE),""))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429" s="11" t="n">
        <v>1</v>
      </c>
      <c r="AP429" s="11" t="s">
        <v>2649</v>
      </c>
      <c r="AQ429" s="11" t="n">
        <v>1</v>
      </c>
      <c r="AR429" s="11" t="n">
        <v>1</v>
      </c>
      <c r="AS429" s="11" t="s">
        <v>2650</v>
      </c>
      <c r="AT429" s="11" t="n">
        <v>0</v>
      </c>
      <c r="AU429" s="11"/>
      <c r="AV429" s="11"/>
      <c r="AW429" s="11"/>
      <c r="AX429" s="7" t="s">
        <v>84</v>
      </c>
      <c r="AY429" s="7"/>
      <c r="AZ429" s="7"/>
      <c r="BA429" s="7"/>
    </row>
    <row r="430" ht="228" customHeight="1">
      <c r="A430" s="4" t="s">
        <v>2651</v>
      </c>
      <c r="B430" s="4" t="n">
        <v>2022</v>
      </c>
      <c r="C430" s="4" t="n">
        <v>4444</v>
      </c>
      <c r="D430" s="4" t="s">
        <v>54</v>
      </c>
      <c r="E430" s="4" t="s">
        <v>2632</v>
      </c>
      <c r="F430" s="5" t="s">
        <v>2652</v>
      </c>
      <c r="G430" s="4" t="s">
        <v>57</v>
      </c>
      <c r="H430" s="4" t="s">
        <v>2634</v>
      </c>
      <c r="I430" s="4" t="s">
        <v>2635</v>
      </c>
      <c r="J430" s="4" t="s">
        <v>2653</v>
      </c>
      <c r="K430" s="4" t="s">
        <v>1754</v>
      </c>
      <c r="L430" s="5" t="s">
        <v>62</v>
      </c>
      <c r="M430" s="4" t="s">
        <v>63</v>
      </c>
      <c r="N430" s="5" t="s">
        <v>64</v>
      </c>
      <c r="O430" s="4" t="s">
        <v>65</v>
      </c>
      <c r="P430" s="5" t="s">
        <v>344</v>
      </c>
      <c r="Q430" s="4" t="s">
        <v>345</v>
      </c>
      <c r="R430" s="5" t="s">
        <v>346</v>
      </c>
      <c r="S430" s="4" t="s">
        <v>347</v>
      </c>
      <c r="T430" s="5" t="s">
        <v>555</v>
      </c>
      <c r="U430" s="4" t="s">
        <v>347</v>
      </c>
      <c r="V430" s="5" t="s">
        <v>706</v>
      </c>
      <c r="W430" s="4" t="s">
        <v>105</v>
      </c>
      <c r="X430" s="4" t="s">
        <v>106</v>
      </c>
      <c r="Y430" s="5"/>
      <c r="Z430" s="4" t="s">
        <v>75</v>
      </c>
      <c r="AA430" s="6" t="n">
        <v>236152</v>
      </c>
      <c r="AB430" s="6" t="n">
        <v>118566</v>
      </c>
      <c r="AC430" s="6" t="n">
        <v>118566</v>
      </c>
      <c r="AD430" s="6" t="n">
        <v>118566</v>
      </c>
      <c r="AE430" s="4" t="s">
        <v>2637</v>
      </c>
      <c r="AF430" s="5"/>
      <c r="AG430" s="4" t="s">
        <v>78</v>
      </c>
      <c r="AH430" s="4" t="s">
        <v>79</v>
      </c>
      <c r="AI430" s="5" t="s">
        <v>80</v>
      </c>
      <c r="AJ430" s="1" t="n">
        <v>1</v>
      </c>
      <c r="AK430" s="11" t="n">
        <v>1</v>
      </c>
      <c r="AL430" s="12" t="s">
        <v>81</v>
      </c>
      <c r="AM430" s="13" t="str">
        <f>IF(AL430="","",AL430&amp;" - "&amp;IFERROR(VLOOKUP(AL430,CODEBOOK_CAP!$C$2:$D$212,2,FALSE),""))</f>
        <v>0322 - ESTRUTURAS, HOSPITAIS, CLÍNICAS</v>
      </c>
      <c r="AN430" s="13" t="str">
        <f>IF(AL430="","",IFERROR(VLOOKUP(AL430,CODEBOOK_CAP!$C$2:$E$212,3,FALSE),""))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430" s="11" t="n">
        <v>1</v>
      </c>
      <c r="AP430" s="11" t="s">
        <v>2654</v>
      </c>
      <c r="AQ430" s="11" t="n">
        <v>1</v>
      </c>
      <c r="AR430" s="11" t="n">
        <v>1</v>
      </c>
      <c r="AS430" s="11" t="s">
        <v>2655</v>
      </c>
      <c r="AT430" s="11" t="n">
        <v>0</v>
      </c>
      <c r="AU430" s="11"/>
      <c r="AV430" s="11"/>
      <c r="AW430" s="11"/>
      <c r="AX430" s="7" t="s">
        <v>84</v>
      </c>
      <c r="AY430" s="7"/>
      <c r="AZ430" s="7"/>
      <c r="BA430" s="7"/>
    </row>
    <row r="431" ht="228" customHeight="1">
      <c r="A431" s="4" t="s">
        <v>2656</v>
      </c>
      <c r="B431" s="4" t="n">
        <v>2022</v>
      </c>
      <c r="C431" s="4" t="n">
        <v>4445</v>
      </c>
      <c r="D431" s="4" t="s">
        <v>54</v>
      </c>
      <c r="E431" s="4" t="s">
        <v>2632</v>
      </c>
      <c r="F431" s="5" t="s">
        <v>2657</v>
      </c>
      <c r="G431" s="4" t="s">
        <v>57</v>
      </c>
      <c r="H431" s="4" t="s">
        <v>2634</v>
      </c>
      <c r="I431" s="4" t="s">
        <v>2635</v>
      </c>
      <c r="J431" s="4" t="s">
        <v>2658</v>
      </c>
      <c r="K431" s="4" t="s">
        <v>987</v>
      </c>
      <c r="L431" s="5" t="s">
        <v>302</v>
      </c>
      <c r="M431" s="4" t="s">
        <v>303</v>
      </c>
      <c r="N431" s="5" t="s">
        <v>304</v>
      </c>
      <c r="O431" s="4" t="s">
        <v>305</v>
      </c>
      <c r="P431" s="5" t="s">
        <v>702</v>
      </c>
      <c r="Q431" s="4" t="s">
        <v>703</v>
      </c>
      <c r="R431" s="5" t="s">
        <v>306</v>
      </c>
      <c r="S431" s="4" t="s">
        <v>307</v>
      </c>
      <c r="T431" s="5" t="s">
        <v>704</v>
      </c>
      <c r="U431" s="4" t="s">
        <v>705</v>
      </c>
      <c r="V431" s="5" t="s">
        <v>706</v>
      </c>
      <c r="W431" s="4" t="s">
        <v>105</v>
      </c>
      <c r="X431" s="4" t="s">
        <v>106</v>
      </c>
      <c r="Y431" s="5"/>
      <c r="Z431" s="4" t="s">
        <v>311</v>
      </c>
      <c r="AA431" s="6" t="n">
        <v>350610</v>
      </c>
      <c r="AB431" s="6" t="n">
        <v>338513</v>
      </c>
      <c r="AC431" s="6" t="n">
        <v>338513</v>
      </c>
      <c r="AD431" s="6" t="n">
        <v>338513</v>
      </c>
      <c r="AE431" s="4" t="s">
        <v>2659</v>
      </c>
      <c r="AF431" s="5"/>
      <c r="AG431" s="4" t="s">
        <v>78</v>
      </c>
      <c r="AH431" s="4" t="s">
        <v>79</v>
      </c>
      <c r="AI431" s="5" t="s">
        <v>80</v>
      </c>
      <c r="AJ431" s="1" t="n">
        <v>0</v>
      </c>
      <c r="AK431" s="11" t="n">
        <v>0</v>
      </c>
      <c r="AL431" s="12" t="s">
        <v>314</v>
      </c>
      <c r="AM431" s="13" t="str">
        <f>IF(AL431="","",AL431&amp;" - "&amp;IFERROR(VLOOKUP(AL431,CODEBOOK_CAP!$C$2:$D$212,2,FALSE),""))</f>
        <v>1201 - POLÍCIA, AGENCIAS E INSTITUIÇÕES - LEI E CRIMES</v>
      </c>
      <c r="AN431" s="13" t="str">
        <f>IF(AL431="","",IFERROR(VLOOKUP(AL431,CODEBOOK_CAP!$C$2:$E$212,3,FALSE),""))</f>
        <v>Questões relacionadas aos atores, intituições, agencias e agentes que atuam em questões relacionadas a justiça, lei, crime e violência. Servicos e instituições de apoio civil. Assuntos relacionados a atuação de Bombeiros, socorristas, guarda floresta, guarda costeira e proteção civil. Ministério Público, Ministério da Justiça, Polícia Federal, Tribunal de Contas, inteligência, proteção a vítimas, delação premiada, sistemas e banco de dados de justiça, computação vinculada a sistemas de combate a crimes e fraudes. Aqui a observação é sobre as INSTITUIÇÕES EM SI, e não sobre o assunto do qual ela trata, Os assuntos estão nos próximos sub-códigos</v>
      </c>
      <c r="AO431" s="11" t="n">
        <v>0</v>
      </c>
      <c r="AP431" s="11"/>
      <c r="AQ431" s="11" t="n">
        <v>0</v>
      </c>
      <c r="AR431" s="11" t="n">
        <v>0</v>
      </c>
      <c r="AS431" s="11"/>
      <c r="AT431" s="11" t="n">
        <v>0</v>
      </c>
      <c r="AU431" s="11"/>
      <c r="AV431" s="11"/>
      <c r="AW431" s="11"/>
      <c r="AX431" s="7" t="s">
        <v>84</v>
      </c>
      <c r="AY431" s="7"/>
      <c r="AZ431" s="7"/>
      <c r="BA431" s="7"/>
    </row>
    <row r="432" ht="85.5" customHeight="1">
      <c r="A432" s="4" t="s">
        <v>2660</v>
      </c>
      <c r="B432" s="4" t="n">
        <v>2022</v>
      </c>
      <c r="C432" s="4" t="n">
        <v>4446</v>
      </c>
      <c r="D432" s="4" t="s">
        <v>54</v>
      </c>
      <c r="E432" s="4" t="s">
        <v>2632</v>
      </c>
      <c r="F432" s="5" t="s">
        <v>2661</v>
      </c>
      <c r="G432" s="4" t="s">
        <v>57</v>
      </c>
      <c r="H432" s="4" t="s">
        <v>2634</v>
      </c>
      <c r="I432" s="4" t="s">
        <v>2635</v>
      </c>
      <c r="J432" s="4" t="s">
        <v>2662</v>
      </c>
      <c r="K432" s="4" t="s">
        <v>428</v>
      </c>
      <c r="L432" s="5" t="s">
        <v>62</v>
      </c>
      <c r="M432" s="4" t="s">
        <v>63</v>
      </c>
      <c r="N432" s="5" t="s">
        <v>64</v>
      </c>
      <c r="O432" s="4" t="s">
        <v>65</v>
      </c>
      <c r="P432" s="5" t="s">
        <v>193</v>
      </c>
      <c r="Q432" s="4" t="s">
        <v>194</v>
      </c>
      <c r="R432" s="5" t="s">
        <v>195</v>
      </c>
      <c r="S432" s="4" t="s">
        <v>196</v>
      </c>
      <c r="T432" s="5" t="s">
        <v>429</v>
      </c>
      <c r="U432" s="4" t="s">
        <v>430</v>
      </c>
      <c r="V432" s="5" t="s">
        <v>104</v>
      </c>
      <c r="W432" s="4" t="s">
        <v>105</v>
      </c>
      <c r="X432" s="4" t="s">
        <v>106</v>
      </c>
      <c r="Y432" s="5"/>
      <c r="Z432" s="4" t="s">
        <v>75</v>
      </c>
      <c r="AA432" s="6" t="n">
        <v>200610</v>
      </c>
      <c r="AB432" s="6" t="n">
        <v>200610</v>
      </c>
      <c r="AC432" s="6" t="n">
        <v>200610</v>
      </c>
      <c r="AD432" s="6" t="n">
        <v>200610</v>
      </c>
      <c r="AE432" s="4" t="s">
        <v>431</v>
      </c>
      <c r="AF432" s="5"/>
      <c r="AG432" s="4" t="s">
        <v>433</v>
      </c>
      <c r="AH432" s="4" t="s">
        <v>433</v>
      </c>
      <c r="AI432" s="5"/>
      <c r="AJ432" s="1" t="n">
        <v>1</v>
      </c>
      <c r="AK432" s="11" t="n">
        <v>1</v>
      </c>
      <c r="AL432" s="12" t="s">
        <v>81</v>
      </c>
      <c r="AM432" s="13" t="str">
        <f>IF(AL432="","",AL432&amp;" - "&amp;IFERROR(VLOOKUP(AL432,CODEBOOK_CAP!$C$2:$D$212,2,FALSE),""))</f>
        <v>0322 - ESTRUTURAS, HOSPITAIS, CLÍNICAS</v>
      </c>
      <c r="AN432" s="13" t="str">
        <f>IF(AL432="","",IFERROR(VLOOKUP(AL432,CODEBOOK_CAP!$C$2:$E$212,3,FALSE),""))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432" s="11" t="n">
        <v>0</v>
      </c>
      <c r="AP432" s="11"/>
      <c r="AQ432" s="11" t="n">
        <v>1</v>
      </c>
      <c r="AR432" s="11" t="n">
        <v>1</v>
      </c>
      <c r="AS432" s="11" t="s">
        <v>2663</v>
      </c>
      <c r="AT432" s="11" t="n">
        <v>0</v>
      </c>
      <c r="AU432" s="11"/>
      <c r="AV432" s="11"/>
      <c r="AW432" s="11"/>
      <c r="AX432" s="7" t="s">
        <v>84</v>
      </c>
      <c r="AY432" s="7"/>
      <c r="AZ432" s="7"/>
      <c r="BA432" s="7"/>
    </row>
    <row r="433" ht="156.75" customHeight="1">
      <c r="A433" s="4" t="s">
        <v>2664</v>
      </c>
      <c r="B433" s="4" t="n">
        <v>2022</v>
      </c>
      <c r="C433" s="4" t="n">
        <v>4453</v>
      </c>
      <c r="D433" s="4" t="s">
        <v>54</v>
      </c>
      <c r="E433" s="4" t="s">
        <v>2632</v>
      </c>
      <c r="F433" s="5" t="s">
        <v>2665</v>
      </c>
      <c r="G433" s="4" t="s">
        <v>289</v>
      </c>
      <c r="H433" s="4" t="s">
        <v>2634</v>
      </c>
      <c r="I433" s="4" t="s">
        <v>2635</v>
      </c>
      <c r="J433" s="4" t="s">
        <v>2666</v>
      </c>
      <c r="K433" s="4"/>
      <c r="L433" s="5"/>
      <c r="M433" s="4"/>
      <c r="N433" s="5"/>
      <c r="O433" s="4"/>
      <c r="P433" s="5"/>
      <c r="Q433" s="4"/>
      <c r="R433" s="5"/>
      <c r="S433" s="4"/>
      <c r="T433" s="5"/>
      <c r="U433" s="4"/>
      <c r="V433" s="5"/>
      <c r="W433" s="4"/>
      <c r="X433" s="4"/>
      <c r="Y433" s="5"/>
      <c r="Z433" s="4" t="s">
        <v>289</v>
      </c>
      <c r="AA433" s="6" t="n">
        <v>37000</v>
      </c>
      <c r="AB433" s="6"/>
      <c r="AC433" s="6"/>
      <c r="AD433" s="6"/>
      <c r="AE433" s="4" t="s">
        <v>115</v>
      </c>
      <c r="AF433" s="5" t="s">
        <v>115</v>
      </c>
      <c r="AG433" s="4" t="s">
        <v>115</v>
      </c>
      <c r="AH433" s="4" t="s">
        <v>115</v>
      </c>
      <c r="AI433" s="5" t="s">
        <v>115</v>
      </c>
      <c r="AJ433" s="1" t="n">
        <v>0</v>
      </c>
      <c r="AK433" s="11" t="n">
        <v>0</v>
      </c>
      <c r="AL433" s="12" t="s">
        <v>111</v>
      </c>
      <c r="AM433" s="13" t="str">
        <f>IF(AL433="","",AL433&amp;" - "&amp;IFERROR(VLOOKUP(AL433,CODEBOOK_CAP!$C$2:$D$212,2,FALSE),""))</f>
        <v>1300 - GERAL</v>
      </c>
      <c r="AN433" s="13" t="str">
        <f>IF(AL433="","",IFERROR(VLOOKUP(AL433,CODEBOOK_CAP!$C$2:$E$212,3,FALSE),""))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433" s="11" t="n">
        <v>0</v>
      </c>
      <c r="AP433" s="11"/>
      <c r="AQ433" s="11" t="n">
        <v>0</v>
      </c>
      <c r="AR433" s="11" t="n">
        <v>0</v>
      </c>
      <c r="AS433" s="11"/>
      <c r="AT433" s="11" t="n">
        <v>1</v>
      </c>
      <c r="AU433" s="11" t="s">
        <v>2187</v>
      </c>
      <c r="AV433" s="11"/>
      <c r="AW433" s="11"/>
      <c r="AX433" s="7" t="s">
        <v>84</v>
      </c>
      <c r="AY433" s="7"/>
      <c r="AZ433" s="7"/>
      <c r="BA433" s="7"/>
    </row>
    <row r="434" ht="156.75" customHeight="1">
      <c r="A434" s="4" t="s">
        <v>2667</v>
      </c>
      <c r="B434" s="4" t="n">
        <v>2022</v>
      </c>
      <c r="C434" s="4" t="n">
        <v>4455</v>
      </c>
      <c r="D434" s="4" t="s">
        <v>54</v>
      </c>
      <c r="E434" s="4" t="s">
        <v>2632</v>
      </c>
      <c r="F434" s="5" t="s">
        <v>2668</v>
      </c>
      <c r="G434" s="4" t="s">
        <v>57</v>
      </c>
      <c r="H434" s="4" t="s">
        <v>2634</v>
      </c>
      <c r="I434" s="4" t="s">
        <v>2635</v>
      </c>
      <c r="J434" s="4" t="s">
        <v>2669</v>
      </c>
      <c r="K434" s="4" t="s">
        <v>283</v>
      </c>
      <c r="L434" s="5" t="s">
        <v>94</v>
      </c>
      <c r="M434" s="4" t="s">
        <v>95</v>
      </c>
      <c r="N434" s="5" t="s">
        <v>96</v>
      </c>
      <c r="O434" s="4" t="s">
        <v>97</v>
      </c>
      <c r="P434" s="5" t="s">
        <v>98</v>
      </c>
      <c r="Q434" s="4" t="s">
        <v>99</v>
      </c>
      <c r="R434" s="5" t="s">
        <v>100</v>
      </c>
      <c r="S434" s="4" t="s">
        <v>101</v>
      </c>
      <c r="T434" s="5" t="s">
        <v>102</v>
      </c>
      <c r="U434" s="4" t="s">
        <v>103</v>
      </c>
      <c r="V434" s="5" t="s">
        <v>104</v>
      </c>
      <c r="W434" s="4" t="s">
        <v>105</v>
      </c>
      <c r="X434" s="4" t="s">
        <v>106</v>
      </c>
      <c r="Y434" s="5"/>
      <c r="Z434" s="4" t="s">
        <v>107</v>
      </c>
      <c r="AA434" s="6" t="n">
        <v>113000</v>
      </c>
      <c r="AB434" s="6" t="n">
        <v>0</v>
      </c>
      <c r="AC434" s="6" t="n">
        <v>0</v>
      </c>
      <c r="AD434" s="6" t="n">
        <v>0</v>
      </c>
      <c r="AE434" s="4"/>
      <c r="AF434" s="5"/>
      <c r="AG434" s="4" t="s">
        <v>110</v>
      </c>
      <c r="AH434" s="4" t="s">
        <v>110</v>
      </c>
      <c r="AI434" s="5"/>
      <c r="AJ434" s="1" t="n">
        <v>0</v>
      </c>
      <c r="AK434" s="11" t="n">
        <v>0</v>
      </c>
      <c r="AL434" s="12" t="s">
        <v>111</v>
      </c>
      <c r="AM434" s="13" t="str">
        <f>IF(AL434="","",AL434&amp;" - "&amp;IFERROR(VLOOKUP(AL434,CODEBOOK_CAP!$C$2:$D$212,2,FALSE),""))</f>
        <v>1300 - GERAL</v>
      </c>
      <c r="AN434" s="13" t="str">
        <f>IF(AL434="","",IFERROR(VLOOKUP(AL434,CODEBOOK_CAP!$C$2:$E$212,3,FALSE),""))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434" s="11" t="n">
        <v>1</v>
      </c>
      <c r="AP434" s="11" t="s">
        <v>2670</v>
      </c>
      <c r="AQ434" s="11" t="n">
        <v>1</v>
      </c>
      <c r="AR434" s="11" t="n">
        <v>1</v>
      </c>
      <c r="AS434" s="11" t="s">
        <v>2671</v>
      </c>
      <c r="AT434" s="11" t="n">
        <v>1</v>
      </c>
      <c r="AU434" s="11" t="s">
        <v>2187</v>
      </c>
      <c r="AV434" s="11"/>
      <c r="AW434" s="11"/>
      <c r="AX434" s="7" t="s">
        <v>84</v>
      </c>
      <c r="AY434" s="7"/>
      <c r="AZ434" s="7"/>
      <c r="BA434" s="7"/>
    </row>
    <row r="435" ht="142.5" customHeight="1">
      <c r="A435" s="4" t="s">
        <v>2672</v>
      </c>
      <c r="B435" s="4" t="n">
        <v>2022</v>
      </c>
      <c r="C435" s="4" t="n">
        <v>4568</v>
      </c>
      <c r="D435" s="4" t="s">
        <v>54</v>
      </c>
      <c r="E435" s="4" t="s">
        <v>2632</v>
      </c>
      <c r="F435" s="5" t="s">
        <v>2673</v>
      </c>
      <c r="G435" s="4" t="s">
        <v>139</v>
      </c>
      <c r="H435" s="4" t="s">
        <v>2634</v>
      </c>
      <c r="I435" s="4" t="s">
        <v>2635</v>
      </c>
      <c r="J435" s="4" t="s">
        <v>2674</v>
      </c>
      <c r="K435" s="4" t="s">
        <v>115</v>
      </c>
      <c r="L435" s="5"/>
      <c r="M435" s="4"/>
      <c r="N435" s="5"/>
      <c r="O435" s="4"/>
      <c r="P435" s="5"/>
      <c r="Q435" s="4"/>
      <c r="R435" s="5"/>
      <c r="S435" s="4"/>
      <c r="T435" s="5"/>
      <c r="U435" s="4"/>
      <c r="V435" s="5"/>
      <c r="W435" s="4"/>
      <c r="X435" s="4"/>
      <c r="Y435" s="5"/>
      <c r="Z435" s="4" t="s">
        <v>139</v>
      </c>
      <c r="AA435" s="6" t="n">
        <v>50000</v>
      </c>
      <c r="AB435" s="6" t="n">
        <v>177027</v>
      </c>
      <c r="AC435" s="6" t="n">
        <v>0</v>
      </c>
      <c r="AD435" s="6" t="n">
        <v>177027</v>
      </c>
      <c r="AE435" s="4" t="s">
        <v>438</v>
      </c>
      <c r="AF435" s="5" t="s">
        <v>439</v>
      </c>
      <c r="AG435" s="4" t="s">
        <v>115</v>
      </c>
      <c r="AH435" s="4" t="s">
        <v>115</v>
      </c>
      <c r="AI435" s="5" t="s">
        <v>115</v>
      </c>
      <c r="AJ435" s="1" t="n">
        <v>0</v>
      </c>
      <c r="AK435" s="11" t="n">
        <v>0</v>
      </c>
      <c r="AL435" s="12" t="s">
        <v>520</v>
      </c>
      <c r="AM435" s="13" t="str">
        <f>IF(AL435="","",AL435&amp;" - "&amp;IFERROR(VLOOKUP(AL435,CODEBOOK_CAP!$C$2:$D$212,2,FALSE),""))</f>
        <v>0502 - FORMAÇÃO E DESENVOLVIMENTO PROFISSIONAL</v>
      </c>
      <c r="AN435" s="13" t="str">
        <f>IF(AL435="","",IFERROR(VLOOKUP(AL435,CODEBOOK_CAP!$C$2:$E$212,3,FALSE),""))</f>
        <v>Programas de capacitação profissional, programas de incentivo ao emprego geral, reciclagem, realocação profissional em outra área, acordos e parcerias do estado com empresas privadas na capacitação, formação e treinamento profissional.</v>
      </c>
      <c r="AO435" s="11" t="n">
        <v>0</v>
      </c>
      <c r="AP435" s="11"/>
      <c r="AQ435" s="11" t="n">
        <v>0</v>
      </c>
      <c r="AR435" s="11" t="n">
        <v>0</v>
      </c>
      <c r="AS435" s="11"/>
      <c r="AT435" s="11" t="n">
        <v>0</v>
      </c>
      <c r="AU435" s="11"/>
      <c r="AV435" s="11"/>
      <c r="AW435" s="11"/>
      <c r="AX435" s="7" t="s">
        <v>84</v>
      </c>
      <c r="AY435" s="7"/>
      <c r="AZ435" s="7"/>
      <c r="BA435" s="7"/>
    </row>
    <row r="436" ht="156.75" customHeight="1">
      <c r="A436" s="4" t="s">
        <v>2675</v>
      </c>
      <c r="B436" s="4" t="n">
        <v>2022</v>
      </c>
      <c r="C436" s="4" t="n">
        <v>4569</v>
      </c>
      <c r="D436" s="4" t="s">
        <v>54</v>
      </c>
      <c r="E436" s="4" t="s">
        <v>2632</v>
      </c>
      <c r="F436" s="5" t="s">
        <v>2676</v>
      </c>
      <c r="G436" s="4" t="s">
        <v>139</v>
      </c>
      <c r="H436" s="4" t="s">
        <v>2634</v>
      </c>
      <c r="I436" s="4" t="s">
        <v>2635</v>
      </c>
      <c r="J436" s="4" t="s">
        <v>2677</v>
      </c>
      <c r="K436" s="4" t="s">
        <v>115</v>
      </c>
      <c r="L436" s="5"/>
      <c r="M436" s="4"/>
      <c r="N436" s="5"/>
      <c r="O436" s="4"/>
      <c r="P436" s="5"/>
      <c r="Q436" s="4"/>
      <c r="R436" s="5"/>
      <c r="S436" s="4"/>
      <c r="T436" s="5"/>
      <c r="U436" s="4"/>
      <c r="V436" s="5"/>
      <c r="W436" s="4"/>
      <c r="X436" s="4"/>
      <c r="Y436" s="5"/>
      <c r="Z436" s="4" t="s">
        <v>139</v>
      </c>
      <c r="AA436" s="6" t="n">
        <v>50000</v>
      </c>
      <c r="AB436" s="6"/>
      <c r="AC436" s="6"/>
      <c r="AD436" s="6"/>
      <c r="AE436" s="4" t="s">
        <v>115</v>
      </c>
      <c r="AF436" s="5" t="s">
        <v>115</v>
      </c>
      <c r="AG436" s="4" t="s">
        <v>115</v>
      </c>
      <c r="AH436" s="4" t="s">
        <v>115</v>
      </c>
      <c r="AI436" s="5" t="s">
        <v>115</v>
      </c>
      <c r="AJ436" s="1" t="n">
        <v>0</v>
      </c>
      <c r="AK436" s="11" t="n">
        <v>0</v>
      </c>
      <c r="AL436" s="12" t="s">
        <v>111</v>
      </c>
      <c r="AM436" s="13" t="str">
        <f>IF(AL436="","",AL436&amp;" - "&amp;IFERROR(VLOOKUP(AL436,CODEBOOK_CAP!$C$2:$D$212,2,FALSE),""))</f>
        <v>1300 - GERAL</v>
      </c>
      <c r="AN436" s="13" t="str">
        <f>IF(AL436="","",IFERROR(VLOOKUP(AL436,CODEBOOK_CAP!$C$2:$E$212,3,FALSE),""))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436" s="11" t="n">
        <v>0</v>
      </c>
      <c r="AP436" s="11"/>
      <c r="AQ436" s="11" t="n">
        <v>0</v>
      </c>
      <c r="AR436" s="11" t="n">
        <v>0</v>
      </c>
      <c r="AS436" s="11"/>
      <c r="AT436" s="11" t="n">
        <v>0</v>
      </c>
      <c r="AU436" s="11"/>
      <c r="AV436" s="11"/>
      <c r="AW436" s="11"/>
      <c r="AX436" s="7" t="s">
        <v>84</v>
      </c>
      <c r="AY436" s="7"/>
      <c r="AZ436" s="7"/>
      <c r="BA436" s="7"/>
    </row>
    <row r="437" ht="85.5" customHeight="1">
      <c r="A437" s="4" t="s">
        <v>2678</v>
      </c>
      <c r="B437" s="4" t="n">
        <v>2022</v>
      </c>
      <c r="C437" s="4" t="n">
        <v>4570</v>
      </c>
      <c r="D437" s="4" t="s">
        <v>54</v>
      </c>
      <c r="E437" s="4" t="s">
        <v>2632</v>
      </c>
      <c r="F437" s="5" t="s">
        <v>2679</v>
      </c>
      <c r="G437" s="4" t="s">
        <v>57</v>
      </c>
      <c r="H437" s="4" t="s">
        <v>2634</v>
      </c>
      <c r="I437" s="4" t="s">
        <v>2635</v>
      </c>
      <c r="J437" s="4" t="s">
        <v>2680</v>
      </c>
      <c r="K437" s="4" t="s">
        <v>283</v>
      </c>
      <c r="L437" s="5" t="s">
        <v>94</v>
      </c>
      <c r="M437" s="4" t="s">
        <v>95</v>
      </c>
      <c r="N437" s="5" t="s">
        <v>96</v>
      </c>
      <c r="O437" s="4" t="s">
        <v>97</v>
      </c>
      <c r="P437" s="5" t="s">
        <v>98</v>
      </c>
      <c r="Q437" s="4" t="s">
        <v>99</v>
      </c>
      <c r="R437" s="5" t="s">
        <v>100</v>
      </c>
      <c r="S437" s="4" t="s">
        <v>101</v>
      </c>
      <c r="T437" s="5" t="s">
        <v>102</v>
      </c>
      <c r="U437" s="4" t="s">
        <v>103</v>
      </c>
      <c r="V437" s="5" t="s">
        <v>104</v>
      </c>
      <c r="W437" s="4" t="s">
        <v>105</v>
      </c>
      <c r="X437" s="4" t="s">
        <v>106</v>
      </c>
      <c r="Y437" s="5"/>
      <c r="Z437" s="4" t="s">
        <v>107</v>
      </c>
      <c r="AA437" s="6" t="n">
        <v>150000</v>
      </c>
      <c r="AB437" s="6" t="n">
        <v>150000</v>
      </c>
      <c r="AC437" s="6" t="n">
        <v>150000</v>
      </c>
      <c r="AD437" s="6" t="n">
        <v>150000</v>
      </c>
      <c r="AE437" s="4" t="s">
        <v>2681</v>
      </c>
      <c r="AF437" s="5" t="s">
        <v>2682</v>
      </c>
      <c r="AG437" s="4" t="s">
        <v>110</v>
      </c>
      <c r="AH437" s="4" t="s">
        <v>110</v>
      </c>
      <c r="AI437" s="5"/>
      <c r="AJ437" s="1" t="n">
        <v>0</v>
      </c>
      <c r="AK437" s="11" t="n">
        <v>0</v>
      </c>
      <c r="AL437" s="12" t="s">
        <v>712</v>
      </c>
      <c r="AM437" s="13" t="str">
        <f>IF(AL437="","",AL437&amp;" - "&amp;IFERROR(VLOOKUP(AL437,CODEBOOK_CAP!$C$2:$D$212,2,FALSE),""))</f>
        <v>1308 - POLÍTICAS SOCIAIS PARA FAMÍLIAS E INFÂNCIA</v>
      </c>
      <c r="AN437" s="13" t="str">
        <f>IF(AL437="","",IFERROR(VLOOKUP(AL437,CODEBOOK_CAP!$C$2:$E$212,3,FALSE),""))</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O437" s="11" t="n">
        <v>0</v>
      </c>
      <c r="AP437" s="11"/>
      <c r="AQ437" s="11" t="n">
        <v>0</v>
      </c>
      <c r="AR437" s="11" t="n">
        <v>0</v>
      </c>
      <c r="AS437" s="11"/>
      <c r="AT437" s="11" t="n">
        <v>1</v>
      </c>
      <c r="AU437" s="11" t="s">
        <v>454</v>
      </c>
      <c r="AV437" s="11"/>
      <c r="AW437" s="11"/>
      <c r="AX437" s="7" t="s">
        <v>84</v>
      </c>
      <c r="AY437" s="7"/>
      <c r="AZ437" s="7"/>
      <c r="BA437" s="7"/>
    </row>
    <row r="438" ht="128.25" customHeight="1">
      <c r="A438" s="4" t="s">
        <v>2683</v>
      </c>
      <c r="B438" s="4" t="n">
        <v>2022</v>
      </c>
      <c r="C438" s="4" t="n">
        <v>4640</v>
      </c>
      <c r="D438" s="4" t="s">
        <v>54</v>
      </c>
      <c r="E438" s="4" t="s">
        <v>2632</v>
      </c>
      <c r="F438" s="5" t="s">
        <v>2684</v>
      </c>
      <c r="G438" s="4" t="s">
        <v>289</v>
      </c>
      <c r="H438" s="4" t="s">
        <v>2634</v>
      </c>
      <c r="I438" s="4" t="s">
        <v>2635</v>
      </c>
      <c r="J438" s="4" t="s">
        <v>2685</v>
      </c>
      <c r="K438" s="4" t="s">
        <v>115</v>
      </c>
      <c r="L438" s="5"/>
      <c r="M438" s="4"/>
      <c r="N438" s="5"/>
      <c r="O438" s="4"/>
      <c r="P438" s="5"/>
      <c r="Q438" s="4"/>
      <c r="R438" s="5"/>
      <c r="S438" s="4"/>
      <c r="T438" s="5"/>
      <c r="U438" s="4"/>
      <c r="V438" s="5"/>
      <c r="W438" s="4"/>
      <c r="X438" s="4"/>
      <c r="Y438" s="5"/>
      <c r="Z438" s="4" t="s">
        <v>289</v>
      </c>
      <c r="AA438" s="6" t="n">
        <v>1673</v>
      </c>
      <c r="AB438" s="6"/>
      <c r="AC438" s="6"/>
      <c r="AD438" s="6"/>
      <c r="AE438" s="4" t="s">
        <v>115</v>
      </c>
      <c r="AF438" s="5" t="s">
        <v>115</v>
      </c>
      <c r="AG438" s="4" t="s">
        <v>115</v>
      </c>
      <c r="AH438" s="4" t="s">
        <v>115</v>
      </c>
      <c r="AI438" s="5" t="s">
        <v>115</v>
      </c>
      <c r="AJ438" s="1" t="n">
        <v>0</v>
      </c>
      <c r="AK438" s="11" t="n">
        <v>0</v>
      </c>
      <c r="AL438" s="12" t="s">
        <v>314</v>
      </c>
      <c r="AM438" s="13" t="str">
        <f>IF(AL438="","",AL438&amp;" - "&amp;IFERROR(VLOOKUP(AL438,CODEBOOK_CAP!$C$2:$D$212,2,FALSE),""))</f>
        <v>1201 - POLÍCIA, AGENCIAS E INSTITUIÇÕES - LEI E CRIMES</v>
      </c>
      <c r="AN438" s="13" t="str">
        <f>IF(AL438="","",IFERROR(VLOOKUP(AL438,CODEBOOK_CAP!$C$2:$E$212,3,FALSE),""))</f>
        <v>Questões relacionadas aos atores, intituições, agencias e agentes que atuam em questões relacionadas a justiça, lei, crime e violência. Servicos e instituições de apoio civil. Assuntos relacionados a atuação de Bombeiros, socorristas, guarda floresta, guarda costeira e proteção civil. Ministério Público, Ministério da Justiça, Polícia Federal, Tribunal de Contas, inteligência, proteção a vítimas, delação premiada, sistemas e banco de dados de justiça, computação vinculada a sistemas de combate a crimes e fraudes. Aqui a observação é sobre as INSTITUIÇÕES EM SI, e não sobre o assunto do qual ela trata, Os assuntos estão nos próximos sub-códigos</v>
      </c>
      <c r="AO438" s="11" t="n">
        <v>1</v>
      </c>
      <c r="AP438" s="11" t="s">
        <v>2686</v>
      </c>
      <c r="AQ438" s="11" t="n">
        <v>1</v>
      </c>
      <c r="AR438" s="11" t="n">
        <v>1</v>
      </c>
      <c r="AS438" s="11" t="s">
        <v>2687</v>
      </c>
      <c r="AT438" s="11" t="n">
        <v>0</v>
      </c>
      <c r="AU438" s="11"/>
      <c r="AV438" s="11"/>
      <c r="AW438" s="11"/>
      <c r="AX438" s="7" t="s">
        <v>84</v>
      </c>
      <c r="AY438" s="7"/>
      <c r="AZ438" s="7"/>
      <c r="BA438" s="7"/>
    </row>
    <row r="439" ht="128.25" customHeight="1">
      <c r="A439" s="4" t="s">
        <v>2688</v>
      </c>
      <c r="B439" s="4" t="n">
        <v>2022</v>
      </c>
      <c r="C439" s="4" t="n">
        <v>4661</v>
      </c>
      <c r="D439" s="4" t="s">
        <v>54</v>
      </c>
      <c r="E439" s="4" t="s">
        <v>2632</v>
      </c>
      <c r="F439" s="5" t="s">
        <v>2689</v>
      </c>
      <c r="G439" s="4" t="s">
        <v>289</v>
      </c>
      <c r="H439" s="4" t="s">
        <v>2634</v>
      </c>
      <c r="I439" s="4" t="s">
        <v>2635</v>
      </c>
      <c r="J439" s="4" t="s">
        <v>2690</v>
      </c>
      <c r="K439" s="4" t="s">
        <v>115</v>
      </c>
      <c r="L439" s="5"/>
      <c r="M439" s="4"/>
      <c r="N439" s="5"/>
      <c r="O439" s="4"/>
      <c r="P439" s="5"/>
      <c r="Q439" s="4"/>
      <c r="R439" s="5"/>
      <c r="S439" s="4"/>
      <c r="T439" s="5"/>
      <c r="U439" s="4"/>
      <c r="V439" s="5"/>
      <c r="W439" s="4"/>
      <c r="X439" s="4"/>
      <c r="Y439" s="5"/>
      <c r="Z439" s="4" t="s">
        <v>289</v>
      </c>
      <c r="AA439" s="6" t="n">
        <v>115187</v>
      </c>
      <c r="AB439" s="6"/>
      <c r="AC439" s="6"/>
      <c r="AD439" s="6"/>
      <c r="AE439" s="4" t="s">
        <v>115</v>
      </c>
      <c r="AF439" s="5" t="s">
        <v>115</v>
      </c>
      <c r="AG439" s="4" t="s">
        <v>115</v>
      </c>
      <c r="AH439" s="4" t="s">
        <v>115</v>
      </c>
      <c r="AI439" s="5" t="s">
        <v>115</v>
      </c>
      <c r="AJ439" s="1" t="n">
        <v>0</v>
      </c>
      <c r="AK439" s="11" t="n">
        <v>0</v>
      </c>
      <c r="AL439" s="12" t="s">
        <v>314</v>
      </c>
      <c r="AM439" s="13" t="str">
        <f>IF(AL439="","",AL439&amp;" - "&amp;IFERROR(VLOOKUP(AL439,CODEBOOK_CAP!$C$2:$D$212,2,FALSE),""))</f>
        <v>1201 - POLÍCIA, AGENCIAS E INSTITUIÇÕES - LEI E CRIMES</v>
      </c>
      <c r="AN439" s="13" t="str">
        <f>IF(AL439="","",IFERROR(VLOOKUP(AL439,CODEBOOK_CAP!$C$2:$E$212,3,FALSE),""))</f>
        <v>Questões relacionadas aos atores, intituições, agencias e agentes que atuam em questões relacionadas a justiça, lei, crime e violência. Servicos e instituições de apoio civil. Assuntos relacionados a atuação de Bombeiros, socorristas, guarda floresta, guarda costeira e proteção civil. Ministério Público, Ministério da Justiça, Polícia Federal, Tribunal de Contas, inteligência, proteção a vítimas, delação premiada, sistemas e banco de dados de justiça, computação vinculada a sistemas de combate a crimes e fraudes. Aqui a observação é sobre as INSTITUIÇÕES EM SI, e não sobre o assunto do qual ela trata, Os assuntos estão nos próximos sub-códigos</v>
      </c>
      <c r="AO439" s="11" t="n">
        <v>1</v>
      </c>
      <c r="AP439" s="11" t="s">
        <v>2686</v>
      </c>
      <c r="AQ439" s="11" t="n">
        <v>1</v>
      </c>
      <c r="AR439" s="11" t="n">
        <v>1</v>
      </c>
      <c r="AS439" s="11" t="s">
        <v>2687</v>
      </c>
      <c r="AT439" s="11" t="n">
        <v>0</v>
      </c>
      <c r="AU439" s="11"/>
      <c r="AV439" s="11"/>
      <c r="AW439" s="11"/>
      <c r="AX439" s="7" t="s">
        <v>84</v>
      </c>
      <c r="AY439" s="7"/>
      <c r="AZ439" s="7"/>
      <c r="BA439" s="7"/>
    </row>
    <row r="440" ht="128.25" customHeight="1">
      <c r="A440" s="4" t="s">
        <v>2691</v>
      </c>
      <c r="B440" s="4" t="n">
        <v>2022</v>
      </c>
      <c r="C440" s="4" t="n">
        <v>4689</v>
      </c>
      <c r="D440" s="4" t="s">
        <v>54</v>
      </c>
      <c r="E440" s="4" t="s">
        <v>2632</v>
      </c>
      <c r="F440" s="5" t="s">
        <v>2692</v>
      </c>
      <c r="G440" s="4" t="s">
        <v>289</v>
      </c>
      <c r="H440" s="4" t="s">
        <v>2634</v>
      </c>
      <c r="I440" s="4" t="s">
        <v>2635</v>
      </c>
      <c r="J440" s="4" t="s">
        <v>2693</v>
      </c>
      <c r="K440" s="4" t="s">
        <v>115</v>
      </c>
      <c r="L440" s="5"/>
      <c r="M440" s="4"/>
      <c r="N440" s="5"/>
      <c r="O440" s="4"/>
      <c r="P440" s="5"/>
      <c r="Q440" s="4"/>
      <c r="R440" s="5"/>
      <c r="S440" s="4"/>
      <c r="T440" s="5"/>
      <c r="U440" s="4"/>
      <c r="V440" s="5"/>
      <c r="W440" s="4"/>
      <c r="X440" s="4"/>
      <c r="Y440" s="5"/>
      <c r="Z440" s="4" t="s">
        <v>289</v>
      </c>
      <c r="AA440" s="6" t="n">
        <v>85149</v>
      </c>
      <c r="AB440" s="6"/>
      <c r="AC440" s="6"/>
      <c r="AD440" s="6"/>
      <c r="AE440" s="4" t="s">
        <v>115</v>
      </c>
      <c r="AF440" s="5" t="s">
        <v>115</v>
      </c>
      <c r="AG440" s="4" t="s">
        <v>115</v>
      </c>
      <c r="AH440" s="4" t="s">
        <v>115</v>
      </c>
      <c r="AI440" s="5" t="s">
        <v>115</v>
      </c>
      <c r="AJ440" s="1" t="n">
        <v>0</v>
      </c>
      <c r="AK440" s="11" t="n">
        <v>0</v>
      </c>
      <c r="AL440" s="12" t="s">
        <v>314</v>
      </c>
      <c r="AM440" s="13" t="str">
        <f>IF(AL440="","",AL440&amp;" - "&amp;IFERROR(VLOOKUP(AL440,CODEBOOK_CAP!$C$2:$D$212,2,FALSE),""))</f>
        <v>1201 - POLÍCIA, AGENCIAS E INSTITUIÇÕES - LEI E CRIMES</v>
      </c>
      <c r="AN440" s="13" t="str">
        <f>IF(AL440="","",IFERROR(VLOOKUP(AL440,CODEBOOK_CAP!$C$2:$E$212,3,FALSE),""))</f>
        <v>Questões relacionadas aos atores, intituições, agencias e agentes que atuam em questões relacionadas a justiça, lei, crime e violência. Servicos e instituições de apoio civil. Assuntos relacionados a atuação de Bombeiros, socorristas, guarda floresta, guarda costeira e proteção civil. Ministério Público, Ministério da Justiça, Polícia Federal, Tribunal de Contas, inteligência, proteção a vítimas, delação premiada, sistemas e banco de dados de justiça, computação vinculada a sistemas de combate a crimes e fraudes. Aqui a observação é sobre as INSTITUIÇÕES EM SI, e não sobre o assunto do qual ela trata, Os assuntos estão nos próximos sub-códigos</v>
      </c>
      <c r="AO440" s="11" t="n">
        <v>0</v>
      </c>
      <c r="AP440" s="11"/>
      <c r="AQ440" s="11" t="n">
        <v>0</v>
      </c>
      <c r="AR440" s="11" t="n">
        <v>0</v>
      </c>
      <c r="AS440" s="11"/>
      <c r="AT440" s="11" t="n">
        <v>0</v>
      </c>
      <c r="AU440" s="11"/>
      <c r="AV440" s="11"/>
      <c r="AW440" s="11"/>
      <c r="AX440" s="7" t="s">
        <v>84</v>
      </c>
      <c r="AY440" s="7"/>
      <c r="AZ440" s="7"/>
      <c r="BA440" s="7"/>
    </row>
    <row r="441" ht="128.25" customHeight="1">
      <c r="A441" s="4" t="s">
        <v>2694</v>
      </c>
      <c r="B441" s="4" t="n">
        <v>2022</v>
      </c>
      <c r="C441" s="4" t="n">
        <v>4691</v>
      </c>
      <c r="D441" s="4" t="s">
        <v>54</v>
      </c>
      <c r="E441" s="4" t="s">
        <v>2632</v>
      </c>
      <c r="F441" s="5" t="s">
        <v>2695</v>
      </c>
      <c r="G441" s="4" t="s">
        <v>289</v>
      </c>
      <c r="H441" s="4" t="s">
        <v>2634</v>
      </c>
      <c r="I441" s="4" t="s">
        <v>2635</v>
      </c>
      <c r="J441" s="4" t="s">
        <v>2696</v>
      </c>
      <c r="K441" s="4" t="s">
        <v>115</v>
      </c>
      <c r="L441" s="5"/>
      <c r="M441" s="4"/>
      <c r="N441" s="5"/>
      <c r="O441" s="4"/>
      <c r="P441" s="5"/>
      <c r="Q441" s="4"/>
      <c r="R441" s="5"/>
      <c r="S441" s="4"/>
      <c r="T441" s="5"/>
      <c r="U441" s="4"/>
      <c r="V441" s="5"/>
      <c r="W441" s="4"/>
      <c r="X441" s="4"/>
      <c r="Y441" s="5"/>
      <c r="Z441" s="4" t="s">
        <v>289</v>
      </c>
      <c r="AA441" s="6" t="n">
        <v>6709</v>
      </c>
      <c r="AB441" s="6"/>
      <c r="AC441" s="6"/>
      <c r="AD441" s="6"/>
      <c r="AE441" s="4" t="s">
        <v>115</v>
      </c>
      <c r="AF441" s="5" t="s">
        <v>115</v>
      </c>
      <c r="AG441" s="4" t="s">
        <v>115</v>
      </c>
      <c r="AH441" s="4" t="s">
        <v>115</v>
      </c>
      <c r="AI441" s="5" t="s">
        <v>115</v>
      </c>
      <c r="AJ441" s="1" t="n">
        <v>0</v>
      </c>
      <c r="AK441" s="11" t="n">
        <v>0</v>
      </c>
      <c r="AL441" s="12" t="s">
        <v>314</v>
      </c>
      <c r="AM441" s="13" t="str">
        <f>IF(AL441="","",AL441&amp;" - "&amp;IFERROR(VLOOKUP(AL441,CODEBOOK_CAP!$C$2:$D$212,2,FALSE),""))</f>
        <v>1201 - POLÍCIA, AGENCIAS E INSTITUIÇÕES - LEI E CRIMES</v>
      </c>
      <c r="AN441" s="13" t="str">
        <f>IF(AL441="","",IFERROR(VLOOKUP(AL441,CODEBOOK_CAP!$C$2:$E$212,3,FALSE),""))</f>
        <v>Questões relacionadas aos atores, intituições, agencias e agentes que atuam em questões relacionadas a justiça, lei, crime e violência. Servicos e instituições de apoio civil. Assuntos relacionados a atuação de Bombeiros, socorristas, guarda floresta, guarda costeira e proteção civil. Ministério Público, Ministério da Justiça, Polícia Federal, Tribunal de Contas, inteligência, proteção a vítimas, delação premiada, sistemas e banco de dados de justiça, computação vinculada a sistemas de combate a crimes e fraudes. Aqui a observação é sobre as INSTITUIÇÕES EM SI, e não sobre o assunto do qual ela trata, Os assuntos estão nos próximos sub-códigos</v>
      </c>
      <c r="AO441" s="11" t="n">
        <v>0</v>
      </c>
      <c r="AP441" s="11"/>
      <c r="AQ441" s="11" t="n">
        <v>0</v>
      </c>
      <c r="AR441" s="11" t="n">
        <v>0</v>
      </c>
      <c r="AS441" s="11"/>
      <c r="AT441" s="11" t="n">
        <v>0</v>
      </c>
      <c r="AU441" s="11"/>
      <c r="AV441" s="11"/>
      <c r="AW441" s="11"/>
      <c r="AX441" s="7" t="s">
        <v>84</v>
      </c>
      <c r="AY441" s="7"/>
      <c r="AZ441" s="7"/>
      <c r="BA441" s="7"/>
    </row>
    <row r="442" ht="156.75" customHeight="1">
      <c r="A442" s="4" t="s">
        <v>2697</v>
      </c>
      <c r="B442" s="4" t="n">
        <v>2022</v>
      </c>
      <c r="C442" s="4" t="n">
        <v>4721</v>
      </c>
      <c r="D442" s="4" t="s">
        <v>54</v>
      </c>
      <c r="E442" s="4" t="s">
        <v>2632</v>
      </c>
      <c r="F442" s="5" t="s">
        <v>2698</v>
      </c>
      <c r="G442" s="4" t="s">
        <v>289</v>
      </c>
      <c r="H442" s="4" t="s">
        <v>2634</v>
      </c>
      <c r="I442" s="4" t="s">
        <v>2635</v>
      </c>
      <c r="J442" s="4" t="s">
        <v>2699</v>
      </c>
      <c r="K442" s="4" t="s">
        <v>115</v>
      </c>
      <c r="L442" s="5"/>
      <c r="M442" s="4"/>
      <c r="N442" s="5"/>
      <c r="O442" s="4"/>
      <c r="P442" s="5"/>
      <c r="Q442" s="4"/>
      <c r="R442" s="5"/>
      <c r="S442" s="4"/>
      <c r="T442" s="5"/>
      <c r="U442" s="4"/>
      <c r="V442" s="5"/>
      <c r="W442" s="4"/>
      <c r="X442" s="4"/>
      <c r="Y442" s="5"/>
      <c r="Z442" s="4" t="s">
        <v>289</v>
      </c>
      <c r="AA442" s="6" t="n">
        <v>25000</v>
      </c>
      <c r="AB442" s="6"/>
      <c r="AC442" s="6"/>
      <c r="AD442" s="6"/>
      <c r="AE442" s="4" t="s">
        <v>115</v>
      </c>
      <c r="AF442" s="5" t="s">
        <v>115</v>
      </c>
      <c r="AG442" s="4" t="s">
        <v>115</v>
      </c>
      <c r="AH442" s="4" t="s">
        <v>115</v>
      </c>
      <c r="AI442" s="5" t="s">
        <v>115</v>
      </c>
      <c r="AJ442" s="1" t="n">
        <v>0</v>
      </c>
      <c r="AK442" s="11" t="n">
        <v>0</v>
      </c>
      <c r="AL442" s="12" t="s">
        <v>314</v>
      </c>
      <c r="AM442" s="13" t="str">
        <f>IF(AL442="","",AL442&amp;" - "&amp;IFERROR(VLOOKUP(AL442,CODEBOOK_CAP!$C$2:$D$212,2,FALSE),""))</f>
        <v>1201 - POLÍCIA, AGENCIAS E INSTITUIÇÕES - LEI E CRIMES</v>
      </c>
      <c r="AN442" s="13" t="str">
        <f>IF(AL442="","",IFERROR(VLOOKUP(AL442,CODEBOOK_CAP!$C$2:$E$212,3,FALSE),""))</f>
        <v>Questões relacionadas aos atores, intituições, agencias e agentes que atuam em questões relacionadas a justiça, lei, crime e violência. Servicos e instituições de apoio civil. Assuntos relacionados a atuação de Bombeiros, socorristas, guarda floresta, guarda costeira e proteção civil. Ministério Público, Ministério da Justiça, Polícia Federal, Tribunal de Contas, inteligência, proteção a vítimas, delação premiada, sistemas e banco de dados de justiça, computação vinculada a sistemas de combate a crimes e fraudes. Aqui a observação é sobre as INSTITUIÇÕES EM SI, e não sobre o assunto do qual ela trata, Os assuntos estão nos próximos sub-códigos</v>
      </c>
      <c r="AO442" s="11" t="n">
        <v>0</v>
      </c>
      <c r="AP442" s="11"/>
      <c r="AQ442" s="11" t="n">
        <v>1</v>
      </c>
      <c r="AR442" s="11" t="n">
        <v>1</v>
      </c>
      <c r="AS442" s="11" t="s">
        <v>2700</v>
      </c>
      <c r="AT442" s="11" t="n">
        <v>0</v>
      </c>
      <c r="AU442" s="11"/>
      <c r="AV442" s="11"/>
      <c r="AW442" s="11"/>
      <c r="AX442" s="7" t="s">
        <v>84</v>
      </c>
      <c r="AY442" s="7"/>
      <c r="AZ442" s="7"/>
      <c r="BA442" s="7"/>
    </row>
    <row r="443" ht="128.25" customHeight="1">
      <c r="A443" s="4" t="s">
        <v>2701</v>
      </c>
      <c r="B443" s="4" t="n">
        <v>2022</v>
      </c>
      <c r="C443" s="4" t="n">
        <v>4785</v>
      </c>
      <c r="D443" s="4" t="s">
        <v>54</v>
      </c>
      <c r="E443" s="4" t="s">
        <v>2632</v>
      </c>
      <c r="F443" s="5" t="s">
        <v>2702</v>
      </c>
      <c r="G443" s="4" t="s">
        <v>289</v>
      </c>
      <c r="H443" s="4" t="s">
        <v>2634</v>
      </c>
      <c r="I443" s="4" t="s">
        <v>2635</v>
      </c>
      <c r="J443" s="4" t="s">
        <v>2703</v>
      </c>
      <c r="K443" s="4" t="s">
        <v>115</v>
      </c>
      <c r="L443" s="5"/>
      <c r="M443" s="4"/>
      <c r="N443" s="5"/>
      <c r="O443" s="4"/>
      <c r="P443" s="5"/>
      <c r="Q443" s="4"/>
      <c r="R443" s="5"/>
      <c r="S443" s="4"/>
      <c r="T443" s="5"/>
      <c r="U443" s="4"/>
      <c r="V443" s="5"/>
      <c r="W443" s="4"/>
      <c r="X443" s="4"/>
      <c r="Y443" s="5"/>
      <c r="Z443" s="4" t="s">
        <v>289</v>
      </c>
      <c r="AA443" s="6" t="n">
        <v>116870</v>
      </c>
      <c r="AB443" s="6"/>
      <c r="AC443" s="6"/>
      <c r="AD443" s="6"/>
      <c r="AE443" s="4" t="s">
        <v>115</v>
      </c>
      <c r="AF443" s="5" t="s">
        <v>115</v>
      </c>
      <c r="AG443" s="4" t="s">
        <v>115</v>
      </c>
      <c r="AH443" s="4" t="s">
        <v>115</v>
      </c>
      <c r="AI443" s="5" t="s">
        <v>115</v>
      </c>
      <c r="AJ443" s="1" t="n">
        <v>0</v>
      </c>
      <c r="AK443" s="11" t="n">
        <v>0</v>
      </c>
      <c r="AL443" s="12" t="s">
        <v>314</v>
      </c>
      <c r="AM443" s="13" t="str">
        <f>IF(AL443="","",AL443&amp;" - "&amp;IFERROR(VLOOKUP(AL443,CODEBOOK_CAP!$C$2:$D$212,2,FALSE),""))</f>
        <v>1201 - POLÍCIA, AGENCIAS E INSTITUIÇÕES - LEI E CRIMES</v>
      </c>
      <c r="AN443" s="13" t="str">
        <f>IF(AL443="","",IFERROR(VLOOKUP(AL443,CODEBOOK_CAP!$C$2:$E$212,3,FALSE),""))</f>
        <v>Questões relacionadas aos atores, intituições, agencias e agentes que atuam em questões relacionadas a justiça, lei, crime e violência. Servicos e instituições de apoio civil. Assuntos relacionados a atuação de Bombeiros, socorristas, guarda floresta, guarda costeira e proteção civil. Ministério Público, Ministério da Justiça, Polícia Federal, Tribunal de Contas, inteligência, proteção a vítimas, delação premiada, sistemas e banco de dados de justiça, computação vinculada a sistemas de combate a crimes e fraudes. Aqui a observação é sobre as INSTITUIÇÕES EM SI, e não sobre o assunto do qual ela trata, Os assuntos estão nos próximos sub-códigos</v>
      </c>
      <c r="AO443" s="11" t="n">
        <v>1</v>
      </c>
      <c r="AP443" s="11" t="s">
        <v>2704</v>
      </c>
      <c r="AQ443" s="11" t="n">
        <v>1</v>
      </c>
      <c r="AR443" s="11" t="n">
        <v>1</v>
      </c>
      <c r="AS443" s="11" t="s">
        <v>2705</v>
      </c>
      <c r="AT443" s="11" t="n">
        <v>0</v>
      </c>
      <c r="AU443" s="11"/>
      <c r="AV443" s="11"/>
      <c r="AW443" s="11"/>
      <c r="AX443" s="7" t="s">
        <v>84</v>
      </c>
      <c r="AY443" s="7"/>
      <c r="AZ443" s="7"/>
      <c r="BA443" s="7"/>
    </row>
    <row r="444" ht="156.75" customHeight="1">
      <c r="A444" s="4" t="s">
        <v>2706</v>
      </c>
      <c r="B444" s="4" t="n">
        <v>2022</v>
      </c>
      <c r="C444" s="4" t="n">
        <v>4519</v>
      </c>
      <c r="D444" s="4" t="s">
        <v>54</v>
      </c>
      <c r="E444" s="4" t="s">
        <v>2707</v>
      </c>
      <c r="F444" s="5" t="s">
        <v>2708</v>
      </c>
      <c r="G444" s="4" t="s">
        <v>57</v>
      </c>
      <c r="H444" s="4" t="s">
        <v>2709</v>
      </c>
      <c r="I444" s="4" t="s">
        <v>2121</v>
      </c>
      <c r="J444" s="4" t="s">
        <v>2710</v>
      </c>
      <c r="K444" s="4" t="s">
        <v>2711</v>
      </c>
      <c r="L444" s="5" t="s">
        <v>94</v>
      </c>
      <c r="M444" s="4" t="s">
        <v>95</v>
      </c>
      <c r="N444" s="5" t="s">
        <v>96</v>
      </c>
      <c r="O444" s="4" t="s">
        <v>97</v>
      </c>
      <c r="P444" s="5" t="s">
        <v>98</v>
      </c>
      <c r="Q444" s="4" t="s">
        <v>99</v>
      </c>
      <c r="R444" s="5" t="s">
        <v>100</v>
      </c>
      <c r="S444" s="4" t="s">
        <v>101</v>
      </c>
      <c r="T444" s="5" t="s">
        <v>2712</v>
      </c>
      <c r="U444" s="4" t="s">
        <v>2713</v>
      </c>
      <c r="V444" s="5" t="s">
        <v>104</v>
      </c>
      <c r="W444" s="4" t="s">
        <v>105</v>
      </c>
      <c r="X444" s="4" t="s">
        <v>106</v>
      </c>
      <c r="Y444" s="5"/>
      <c r="Z444" s="4" t="s">
        <v>107</v>
      </c>
      <c r="AA444" s="6" t="n">
        <v>189000</v>
      </c>
      <c r="AB444" s="6" t="n">
        <v>189000</v>
      </c>
      <c r="AC444" s="6" t="n">
        <v>189000</v>
      </c>
      <c r="AD444" s="6" t="n">
        <v>189000</v>
      </c>
      <c r="AE444" s="4" t="s">
        <v>2714</v>
      </c>
      <c r="AF444" s="5" t="s">
        <v>2370</v>
      </c>
      <c r="AG444" s="4" t="s">
        <v>78</v>
      </c>
      <c r="AH444" s="4" t="s">
        <v>79</v>
      </c>
      <c r="AI444" s="5" t="s">
        <v>80</v>
      </c>
      <c r="AJ444" s="1" t="n">
        <v>0</v>
      </c>
      <c r="AK444" s="11" t="n">
        <v>0</v>
      </c>
      <c r="AL444" s="12" t="s">
        <v>111</v>
      </c>
      <c r="AM444" s="13" t="str">
        <f>IF(AL444="","",AL444&amp;" - "&amp;IFERROR(VLOOKUP(AL444,CODEBOOK_CAP!$C$2:$D$212,2,FALSE),""))</f>
        <v>1300 - GERAL</v>
      </c>
      <c r="AN444" s="13" t="str">
        <f>IF(AL444="","",IFERROR(VLOOKUP(AL444,CODEBOOK_CAP!$C$2:$E$212,3,FALSE),""))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444" s="11" t="n">
        <v>0</v>
      </c>
      <c r="AP444" s="11"/>
      <c r="AQ444" s="11" t="n">
        <v>0</v>
      </c>
      <c r="AR444" s="11" t="n">
        <v>0</v>
      </c>
      <c r="AS444" s="11"/>
      <c r="AT444" s="11" t="n">
        <v>0</v>
      </c>
      <c r="AU444" s="11"/>
      <c r="AV444" s="11"/>
      <c r="AW444" s="11"/>
      <c r="AX444" s="7" t="s">
        <v>84</v>
      </c>
      <c r="AY444" s="7"/>
      <c r="AZ444" s="7"/>
      <c r="BA444" s="7"/>
    </row>
    <row r="445" ht="156.75" customHeight="1">
      <c r="A445" s="4" t="s">
        <v>2715</v>
      </c>
      <c r="B445" s="4" t="n">
        <v>2022</v>
      </c>
      <c r="C445" s="4" t="n">
        <v>4520</v>
      </c>
      <c r="D445" s="4" t="s">
        <v>54</v>
      </c>
      <c r="E445" s="4" t="s">
        <v>2707</v>
      </c>
      <c r="F445" s="5" t="s">
        <v>2716</v>
      </c>
      <c r="G445" s="4" t="s">
        <v>57</v>
      </c>
      <c r="H445" s="4" t="s">
        <v>2709</v>
      </c>
      <c r="I445" s="4" t="s">
        <v>2121</v>
      </c>
      <c r="J445" s="4" t="s">
        <v>2717</v>
      </c>
      <c r="K445" s="4" t="s">
        <v>2718</v>
      </c>
      <c r="L445" s="5" t="s">
        <v>94</v>
      </c>
      <c r="M445" s="4" t="s">
        <v>95</v>
      </c>
      <c r="N445" s="5" t="s">
        <v>96</v>
      </c>
      <c r="O445" s="4" t="s">
        <v>97</v>
      </c>
      <c r="P445" s="5" t="s">
        <v>98</v>
      </c>
      <c r="Q445" s="4" t="s">
        <v>99</v>
      </c>
      <c r="R445" s="5" t="s">
        <v>100</v>
      </c>
      <c r="S445" s="4" t="s">
        <v>101</v>
      </c>
      <c r="T445" s="5" t="s">
        <v>2719</v>
      </c>
      <c r="U445" s="4" t="s">
        <v>2720</v>
      </c>
      <c r="V445" s="5" t="s">
        <v>104</v>
      </c>
      <c r="W445" s="4" t="s">
        <v>105</v>
      </c>
      <c r="X445" s="4" t="s">
        <v>106</v>
      </c>
      <c r="Y445" s="5"/>
      <c r="Z445" s="4" t="s">
        <v>107</v>
      </c>
      <c r="AA445" s="6" t="n">
        <v>100000</v>
      </c>
      <c r="AB445" s="6" t="n">
        <v>100000</v>
      </c>
      <c r="AC445" s="6" t="n">
        <v>100000</v>
      </c>
      <c r="AD445" s="6" t="n">
        <v>100000</v>
      </c>
      <c r="AE445" s="4" t="s">
        <v>2721</v>
      </c>
      <c r="AF445" s="5" t="s">
        <v>2722</v>
      </c>
      <c r="AG445" s="4" t="s">
        <v>78</v>
      </c>
      <c r="AH445" s="4" t="s">
        <v>79</v>
      </c>
      <c r="AI445" s="5" t="s">
        <v>80</v>
      </c>
      <c r="AJ445" s="1" t="n">
        <v>0</v>
      </c>
      <c r="AK445" s="11" t="n">
        <v>0</v>
      </c>
      <c r="AL445" s="12" t="s">
        <v>111</v>
      </c>
      <c r="AM445" s="13" t="str">
        <f>IF(AL445="","",AL445&amp;" - "&amp;IFERROR(VLOOKUP(AL445,CODEBOOK_CAP!$C$2:$D$212,2,FALSE),""))</f>
        <v>1300 - GERAL</v>
      </c>
      <c r="AN445" s="13" t="str">
        <f>IF(AL445="","",IFERROR(VLOOKUP(AL445,CODEBOOK_CAP!$C$2:$E$212,3,FALSE),""))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445" s="11" t="n">
        <v>0</v>
      </c>
      <c r="AP445" s="11"/>
      <c r="AQ445" s="11" t="n">
        <v>0</v>
      </c>
      <c r="AR445" s="11" t="n">
        <v>0</v>
      </c>
      <c r="AS445" s="11"/>
      <c r="AT445" s="11" t="n">
        <v>0</v>
      </c>
      <c r="AU445" s="11"/>
      <c r="AV445" s="11"/>
      <c r="AW445" s="11"/>
      <c r="AX445" s="7" t="s">
        <v>84</v>
      </c>
      <c r="AY445" s="7"/>
      <c r="AZ445" s="7"/>
      <c r="BA445" s="7"/>
    </row>
    <row r="446" ht="114" customHeight="1">
      <c r="A446" s="4" t="s">
        <v>2723</v>
      </c>
      <c r="B446" s="4" t="n">
        <v>2022</v>
      </c>
      <c r="C446" s="4" t="n">
        <v>4521</v>
      </c>
      <c r="D446" s="4" t="s">
        <v>54</v>
      </c>
      <c r="E446" s="4" t="s">
        <v>2707</v>
      </c>
      <c r="F446" s="5" t="s">
        <v>2724</v>
      </c>
      <c r="G446" s="4" t="s">
        <v>57</v>
      </c>
      <c r="H446" s="4" t="s">
        <v>2709</v>
      </c>
      <c r="I446" s="4" t="s">
        <v>2121</v>
      </c>
      <c r="J446" s="4" t="s">
        <v>2725</v>
      </c>
      <c r="K446" s="4" t="s">
        <v>205</v>
      </c>
      <c r="L446" s="5" t="s">
        <v>206</v>
      </c>
      <c r="M446" s="4" t="s">
        <v>207</v>
      </c>
      <c r="N446" s="5" t="s">
        <v>208</v>
      </c>
      <c r="O446" s="4" t="s">
        <v>209</v>
      </c>
      <c r="P446" s="5" t="s">
        <v>210</v>
      </c>
      <c r="Q446" s="4" t="s">
        <v>211</v>
      </c>
      <c r="R446" s="5" t="s">
        <v>212</v>
      </c>
      <c r="S446" s="4" t="s">
        <v>213</v>
      </c>
      <c r="T446" s="5" t="s">
        <v>214</v>
      </c>
      <c r="U446" s="4" t="s">
        <v>215</v>
      </c>
      <c r="V446" s="5" t="s">
        <v>104</v>
      </c>
      <c r="W446" s="4" t="s">
        <v>105</v>
      </c>
      <c r="X446" s="4" t="s">
        <v>106</v>
      </c>
      <c r="Y446" s="5"/>
      <c r="Z446" s="4" t="s">
        <v>107</v>
      </c>
      <c r="AA446" s="6" t="n">
        <v>100000</v>
      </c>
      <c r="AB446" s="6" t="n">
        <v>41267</v>
      </c>
      <c r="AC446" s="6" t="n">
        <v>41267</v>
      </c>
      <c r="AD446" s="6" t="n">
        <v>41267</v>
      </c>
      <c r="AE446" s="4" t="s">
        <v>2726</v>
      </c>
      <c r="AF446" s="5" t="s">
        <v>2727</v>
      </c>
      <c r="AG446" s="4" t="s">
        <v>78</v>
      </c>
      <c r="AH446" s="4" t="s">
        <v>79</v>
      </c>
      <c r="AI446" s="5" t="s">
        <v>80</v>
      </c>
      <c r="AJ446" s="1" t="n">
        <v>0</v>
      </c>
      <c r="AK446" s="11" t="n">
        <v>0</v>
      </c>
      <c r="AL446" s="12" t="s">
        <v>961</v>
      </c>
      <c r="AM446" s="13" t="str">
        <f>IF(AL446="","",AL446&amp;" - "&amp;IFERROR(VLOOKUP(AL446,CODEBOOK_CAP!$C$2:$D$212,2,FALSE),""))</f>
        <v>0499 - OUTROS</v>
      </c>
      <c r="AN446" s="13" t="str">
        <f>IF(AL446="","",IFERROR(VLOOKUP(AL446,CODEBOOK_CAP!$C$2:$E$212,3,FALSE),""))</f>
        <v>Observações que versam sobre AGRICULTURA, PECUÁRIA E PESCA, mas que não se enquadram em nenhum dos itens acima.</v>
      </c>
      <c r="AO446" s="11" t="n">
        <v>1</v>
      </c>
      <c r="AP446" s="11" t="s">
        <v>2728</v>
      </c>
      <c r="AQ446" s="11" t="n">
        <v>4</v>
      </c>
      <c r="AR446" s="11" t="n">
        <v>1</v>
      </c>
      <c r="AS446" s="11" t="s">
        <v>2729</v>
      </c>
      <c r="AT446" s="11" t="n">
        <v>0</v>
      </c>
      <c r="AU446" s="11"/>
      <c r="AV446" s="11"/>
      <c r="AW446" s="11"/>
      <c r="AX446" s="7" t="s">
        <v>84</v>
      </c>
      <c r="AY446" s="7"/>
      <c r="AZ446" s="7"/>
      <c r="BA446" s="7"/>
    </row>
    <row r="447" ht="99.75" customHeight="1">
      <c r="A447" s="4" t="s">
        <v>2730</v>
      </c>
      <c r="B447" s="4" t="n">
        <v>2022</v>
      </c>
      <c r="C447" s="4" t="n">
        <v>4522</v>
      </c>
      <c r="D447" s="4" t="s">
        <v>54</v>
      </c>
      <c r="E447" s="4" t="s">
        <v>2707</v>
      </c>
      <c r="F447" s="5" t="s">
        <v>2731</v>
      </c>
      <c r="G447" s="4" t="s">
        <v>57</v>
      </c>
      <c r="H447" s="4" t="s">
        <v>2709</v>
      </c>
      <c r="I447" s="4" t="s">
        <v>2121</v>
      </c>
      <c r="J447" s="4" t="s">
        <v>2732</v>
      </c>
      <c r="K447" s="4" t="s">
        <v>239</v>
      </c>
      <c r="L447" s="5" t="s">
        <v>240</v>
      </c>
      <c r="M447" s="4" t="s">
        <v>241</v>
      </c>
      <c r="N447" s="5" t="s">
        <v>242</v>
      </c>
      <c r="O447" s="4" t="s">
        <v>243</v>
      </c>
      <c r="P447" s="5" t="s">
        <v>244</v>
      </c>
      <c r="Q447" s="4" t="s">
        <v>245</v>
      </c>
      <c r="R447" s="5" t="s">
        <v>246</v>
      </c>
      <c r="S447" s="4" t="s">
        <v>247</v>
      </c>
      <c r="T447" s="5" t="s">
        <v>248</v>
      </c>
      <c r="U447" s="4" t="s">
        <v>249</v>
      </c>
      <c r="V447" s="5" t="s">
        <v>104</v>
      </c>
      <c r="W447" s="4" t="s">
        <v>105</v>
      </c>
      <c r="X447" s="4" t="s">
        <v>106</v>
      </c>
      <c r="Y447" s="5"/>
      <c r="Z447" s="4" t="s">
        <v>107</v>
      </c>
      <c r="AA447" s="6" t="n">
        <v>100000</v>
      </c>
      <c r="AB447" s="6" t="n">
        <v>100000</v>
      </c>
      <c r="AC447" s="6" t="n">
        <v>100000</v>
      </c>
      <c r="AD447" s="6" t="n">
        <v>100000</v>
      </c>
      <c r="AE447" s="4" t="s">
        <v>2733</v>
      </c>
      <c r="AF447" s="5" t="s">
        <v>2734</v>
      </c>
      <c r="AG447" s="4" t="s">
        <v>78</v>
      </c>
      <c r="AH447" s="4" t="s">
        <v>79</v>
      </c>
      <c r="AI447" s="5" t="s">
        <v>80</v>
      </c>
      <c r="AJ447" s="1" t="n">
        <v>0</v>
      </c>
      <c r="AK447" s="11" t="n">
        <v>0</v>
      </c>
      <c r="AL447" s="12" t="s">
        <v>252</v>
      </c>
      <c r="AM447" s="13" t="str">
        <f>IF(AL447="","",AL447&amp;" - "&amp;IFERROR(VLOOKUP(AL447,CODEBOOK_CAP!$C$2:$D$212,2,FALSE),""))</f>
        <v>0202 - DISCRIMINAÇÃO POR GÊNERO OU ORIENTAÇÃO SEXUAL (MISOGINIA E HOMOFOBIA)</v>
      </c>
      <c r="AN447" s="13" t="str">
        <f>IF(AL447="","",IFERROR(VLOOKUP(AL447,CODEBOOK_CAP!$C$2:$E$212,3,FALSE),""))</f>
        <v>Políticas de promoção de igualdade de gênero e de igualdade de relações sociais relacionadas a gênero e orientação sexual. Misoginia, Homofobia, ataques homofóbicos, casamento homoafetivo, igualdade salarial para mulheres, igualdade de trabalho para mulheres, feminismo, Parada LGBT, LGBTQI, transexuais, homossexuais, bissexuais, travestis, relações de gênero com emprego ( tipos de posições, renda, promoção , salário) . VIOLÊNCIA DOMESTICA contra mulheres deve ser codificado em 1208</v>
      </c>
      <c r="AO447" s="11" t="n">
        <v>0</v>
      </c>
      <c r="AP447" s="11"/>
      <c r="AQ447" s="11" t="n">
        <v>0</v>
      </c>
      <c r="AR447" s="11" t="n">
        <v>0</v>
      </c>
      <c r="AS447" s="11"/>
      <c r="AT447" s="11" t="n">
        <v>1</v>
      </c>
      <c r="AU447" s="11" t="s">
        <v>265</v>
      </c>
      <c r="AV447" s="11"/>
      <c r="AW447" s="11"/>
      <c r="AX447" s="7" t="s">
        <v>84</v>
      </c>
      <c r="AY447" s="7"/>
      <c r="AZ447" s="7"/>
      <c r="BA447" s="7"/>
    </row>
    <row r="448" ht="57" customHeight="1">
      <c r="A448" s="4" t="s">
        <v>2735</v>
      </c>
      <c r="B448" s="4" t="n">
        <v>2022</v>
      </c>
      <c r="C448" s="4" t="n">
        <v>4523</v>
      </c>
      <c r="D448" s="4" t="s">
        <v>54</v>
      </c>
      <c r="E448" s="4" t="s">
        <v>2707</v>
      </c>
      <c r="F448" s="5" t="s">
        <v>2736</v>
      </c>
      <c r="G448" s="4" t="s">
        <v>57</v>
      </c>
      <c r="H448" s="4" t="s">
        <v>2709</v>
      </c>
      <c r="I448" s="4" t="s">
        <v>2121</v>
      </c>
      <c r="J448" s="4" t="s">
        <v>2737</v>
      </c>
      <c r="K448" s="4" t="s">
        <v>2738</v>
      </c>
      <c r="L448" s="5" t="s">
        <v>240</v>
      </c>
      <c r="M448" s="4" t="s">
        <v>241</v>
      </c>
      <c r="N448" s="5" t="s">
        <v>242</v>
      </c>
      <c r="O448" s="4" t="s">
        <v>243</v>
      </c>
      <c r="P448" s="5" t="s">
        <v>244</v>
      </c>
      <c r="Q448" s="4" t="s">
        <v>245</v>
      </c>
      <c r="R448" s="5" t="s">
        <v>246</v>
      </c>
      <c r="S448" s="4" t="s">
        <v>247</v>
      </c>
      <c r="T448" s="5" t="s">
        <v>260</v>
      </c>
      <c r="U448" s="4" t="s">
        <v>261</v>
      </c>
      <c r="V448" s="5" t="s">
        <v>104</v>
      </c>
      <c r="W448" s="4" t="s">
        <v>105</v>
      </c>
      <c r="X448" s="4" t="s">
        <v>106</v>
      </c>
      <c r="Y448" s="5"/>
      <c r="Z448" s="4" t="s">
        <v>107</v>
      </c>
      <c r="AA448" s="6" t="n">
        <v>150000</v>
      </c>
      <c r="AB448" s="6" t="n">
        <v>150000</v>
      </c>
      <c r="AC448" s="6" t="n">
        <v>150000</v>
      </c>
      <c r="AD448" s="6" t="n">
        <v>150000</v>
      </c>
      <c r="AE448" s="4" t="s">
        <v>2739</v>
      </c>
      <c r="AF448" s="5" t="s">
        <v>2740</v>
      </c>
      <c r="AG448" s="4" t="s">
        <v>78</v>
      </c>
      <c r="AH448" s="4" t="s">
        <v>79</v>
      </c>
      <c r="AI448" s="5" t="s">
        <v>80</v>
      </c>
      <c r="AJ448" s="1" t="n">
        <v>0</v>
      </c>
      <c r="AK448" s="11" t="n">
        <v>0</v>
      </c>
      <c r="AL448" s="12" t="s">
        <v>2741</v>
      </c>
      <c r="AM448" s="13" t="str">
        <f>IF(AL448="","",AL448&amp;" - "&amp;IFERROR(VLOOKUP(AL448,CODEBOOK_CAP!$C$2:$D$212,2,FALSE),""))</f>
        <v>0506 - EMPREGO DE JÓVENS</v>
      </c>
      <c r="AN448" s="13" t="str">
        <f>IF(AL448="","",IFERROR(VLOOKUP(AL448,CODEBOOK_CAP!$C$2:$E$212,3,FALSE),""))</f>
        <v>Políticas de promoção e incentivo a contratação de jovens, primeiro emprego, treinee, jovem aprendiz, políticas específicas voltadas para idades mínimas de ingresso no mercado formal, proteções e direitos específicos de emprego de jovens</v>
      </c>
      <c r="AO448" s="11" t="n">
        <v>0</v>
      </c>
      <c r="AP448" s="11"/>
      <c r="AQ448" s="11" t="n">
        <v>0</v>
      </c>
      <c r="AR448" s="11" t="n">
        <v>0</v>
      </c>
      <c r="AS448" s="11"/>
      <c r="AT448" s="11" t="n">
        <v>1</v>
      </c>
      <c r="AU448" s="11" t="s">
        <v>2742</v>
      </c>
      <c r="AV448" s="11"/>
      <c r="AW448" s="11"/>
      <c r="AX448" s="7" t="s">
        <v>84</v>
      </c>
      <c r="AY448" s="7"/>
      <c r="AZ448" s="7"/>
      <c r="BA448" s="7"/>
    </row>
    <row r="449" ht="71.25" customHeight="1">
      <c r="A449" s="4" t="s">
        <v>2743</v>
      </c>
      <c r="B449" s="4" t="n">
        <v>2022</v>
      </c>
      <c r="C449" s="4" t="n">
        <v>4525</v>
      </c>
      <c r="D449" s="4" t="s">
        <v>54</v>
      </c>
      <c r="E449" s="4" t="s">
        <v>2707</v>
      </c>
      <c r="F449" s="5" t="s">
        <v>2744</v>
      </c>
      <c r="G449" s="4" t="s">
        <v>57</v>
      </c>
      <c r="H449" s="4" t="s">
        <v>2709</v>
      </c>
      <c r="I449" s="4" t="s">
        <v>2121</v>
      </c>
      <c r="J449" s="4" t="s">
        <v>2745</v>
      </c>
      <c r="K449" s="4" t="s">
        <v>980</v>
      </c>
      <c r="L449" s="5" t="s">
        <v>62</v>
      </c>
      <c r="M449" s="4" t="s">
        <v>63</v>
      </c>
      <c r="N449" s="5" t="s">
        <v>64</v>
      </c>
      <c r="O449" s="4" t="s">
        <v>65</v>
      </c>
      <c r="P449" s="5" t="s">
        <v>193</v>
      </c>
      <c r="Q449" s="4" t="s">
        <v>194</v>
      </c>
      <c r="R449" s="5" t="s">
        <v>195</v>
      </c>
      <c r="S449" s="4" t="s">
        <v>196</v>
      </c>
      <c r="T449" s="5" t="s">
        <v>197</v>
      </c>
      <c r="U449" s="4" t="s">
        <v>198</v>
      </c>
      <c r="V449" s="5" t="s">
        <v>310</v>
      </c>
      <c r="W449" s="4" t="s">
        <v>73</v>
      </c>
      <c r="X449" s="4" t="s">
        <v>74</v>
      </c>
      <c r="Y449" s="5"/>
      <c r="Z449" s="4" t="s">
        <v>75</v>
      </c>
      <c r="AA449" s="6" t="n">
        <v>329000</v>
      </c>
      <c r="AB449" s="6" t="n">
        <v>58470</v>
      </c>
      <c r="AC449" s="6" t="n">
        <v>58470</v>
      </c>
      <c r="AD449" s="6" t="n">
        <v>58470</v>
      </c>
      <c r="AE449" s="4" t="s">
        <v>2746</v>
      </c>
      <c r="AF449" s="5" t="s">
        <v>2747</v>
      </c>
      <c r="AG449" s="4" t="s">
        <v>78</v>
      </c>
      <c r="AH449" s="4" t="s">
        <v>79</v>
      </c>
      <c r="AI449" s="5" t="s">
        <v>80</v>
      </c>
      <c r="AJ449" s="1" t="n">
        <v>1</v>
      </c>
      <c r="AK449" s="11" t="n">
        <v>1</v>
      </c>
      <c r="AL449" s="12" t="s">
        <v>201</v>
      </c>
      <c r="AM449" s="13" t="str">
        <f>IF(AL449="","",AL449&amp;" - "&amp;IFERROR(VLOOKUP(AL449,CODEBOOK_CAP!$C$2:$D$212,2,FALSE),""))</f>
        <v>0333 - SAÚDE MENTAL</v>
      </c>
      <c r="AN449" s="13" t="str">
        <f>IF(AL449="","",IFERROR(VLOOKUP(AL449,CODEBOOK_CAP!$C$2:$E$212,3,FALSE),""))</f>
        <v>Serviços de atendimento a saúde mental e psico-social. CAPS, Controle de qualidade mental, esquizofrenia, bipolaridade, transtornos mentais, ansiedade, alucinançao, depressão, suicídio, CVV, atendimento psicológico e psiquiátrico, sanatório, manicomio. Não confundir com dependências de alcool (342) e drogas (343)</v>
      </c>
      <c r="AO449" s="11" t="n">
        <v>0</v>
      </c>
      <c r="AP449" s="11"/>
      <c r="AQ449" s="11" t="n">
        <v>0</v>
      </c>
      <c r="AR449" s="11" t="n">
        <v>0</v>
      </c>
      <c r="AS449" s="11"/>
      <c r="AT449" s="11" t="n">
        <v>0</v>
      </c>
      <c r="AU449" s="11"/>
      <c r="AV449" s="11"/>
      <c r="AW449" s="11"/>
      <c r="AX449" s="7" t="s">
        <v>84</v>
      </c>
      <c r="AY449" s="7"/>
      <c r="AZ449" s="7"/>
      <c r="BA449" s="7"/>
    </row>
    <row r="450" ht="85.5" customHeight="1">
      <c r="A450" s="4" t="s">
        <v>2748</v>
      </c>
      <c r="B450" s="4" t="n">
        <v>2022</v>
      </c>
      <c r="C450" s="4" t="n">
        <v>4526</v>
      </c>
      <c r="D450" s="4" t="s">
        <v>54</v>
      </c>
      <c r="E450" s="4" t="s">
        <v>2707</v>
      </c>
      <c r="F450" s="5" t="s">
        <v>2749</v>
      </c>
      <c r="G450" s="4" t="s">
        <v>57</v>
      </c>
      <c r="H450" s="4" t="s">
        <v>2709</v>
      </c>
      <c r="I450" s="4" t="s">
        <v>2121</v>
      </c>
      <c r="J450" s="4" t="s">
        <v>2750</v>
      </c>
      <c r="K450" s="4" t="s">
        <v>2751</v>
      </c>
      <c r="L450" s="5" t="s">
        <v>62</v>
      </c>
      <c r="M450" s="4" t="s">
        <v>63</v>
      </c>
      <c r="N450" s="5" t="s">
        <v>64</v>
      </c>
      <c r="O450" s="4" t="s">
        <v>65</v>
      </c>
      <c r="P450" s="5" t="s">
        <v>2494</v>
      </c>
      <c r="Q450" s="4" t="s">
        <v>2495</v>
      </c>
      <c r="R450" s="5" t="s">
        <v>1878</v>
      </c>
      <c r="S450" s="4" t="s">
        <v>1879</v>
      </c>
      <c r="T450" s="5" t="s">
        <v>1880</v>
      </c>
      <c r="U450" s="4" t="s">
        <v>1879</v>
      </c>
      <c r="V450" s="5" t="s">
        <v>274</v>
      </c>
      <c r="W450" s="4" t="s">
        <v>105</v>
      </c>
      <c r="X450" s="4" t="s">
        <v>106</v>
      </c>
      <c r="Y450" s="5"/>
      <c r="Z450" s="4" t="s">
        <v>75</v>
      </c>
      <c r="AA450" s="6" t="n">
        <v>300000</v>
      </c>
      <c r="AB450" s="6" t="n">
        <v>300000</v>
      </c>
      <c r="AC450" s="6" t="n">
        <v>300000</v>
      </c>
      <c r="AD450" s="6" t="n">
        <v>300000</v>
      </c>
      <c r="AE450" s="4" t="s">
        <v>2752</v>
      </c>
      <c r="AF450" s="5" t="s">
        <v>2753</v>
      </c>
      <c r="AG450" s="4" t="s">
        <v>528</v>
      </c>
      <c r="AH450" s="4" t="s">
        <v>529</v>
      </c>
      <c r="AI450" s="5" t="s">
        <v>530</v>
      </c>
      <c r="AJ450" s="1" t="n">
        <v>1</v>
      </c>
      <c r="AK450" s="11" t="n">
        <v>1</v>
      </c>
      <c r="AL450" s="12" t="s">
        <v>2754</v>
      </c>
      <c r="AM450" s="13" t="str">
        <f>IF(AL450="","",AL450&amp;" - "&amp;IFERROR(VLOOKUP(AL450,CODEBOOK_CAP!$C$2:$D$212,2,FALSE),""))</f>
        <v>0323 - ACORDOS</v>
      </c>
      <c r="AN450" s="13" t="str">
        <f>IF(AL450="","",IFERROR(VLOOKUP(AL450,CODEBOOK_CAP!$C$2:$E$212,3,FALSE),""))</f>
        <v>Questões relacionadas a Acordos nacionais e internacionais na saúde. Parcerias público privadas em saúde. Vagas do SUS em hospitais privados, acordos e parcerias. Somente utilizar esse código quando há acordos e parcerias entre instituições com o SUS. Não confundir com regulação e alternativas de saúde particular (302).</v>
      </c>
      <c r="AO450" s="11" t="n">
        <v>0</v>
      </c>
      <c r="AP450" s="11"/>
      <c r="AQ450" s="11" t="n">
        <v>0</v>
      </c>
      <c r="AR450" s="11" t="n">
        <v>0</v>
      </c>
      <c r="AS450" s="11"/>
      <c r="AT450" s="11" t="n">
        <v>0</v>
      </c>
      <c r="AU450" s="11"/>
      <c r="AV450" s="11"/>
      <c r="AW450" s="11"/>
      <c r="AX450" s="7" t="s">
        <v>84</v>
      </c>
      <c r="AY450" s="7"/>
      <c r="AZ450" s="7"/>
      <c r="BA450" s="7"/>
    </row>
    <row r="451" ht="114" customHeight="1">
      <c r="A451" s="4" t="s">
        <v>2755</v>
      </c>
      <c r="B451" s="4" t="n">
        <v>2022</v>
      </c>
      <c r="C451" s="4" t="n">
        <v>4527</v>
      </c>
      <c r="D451" s="4" t="s">
        <v>54</v>
      </c>
      <c r="E451" s="4" t="s">
        <v>2707</v>
      </c>
      <c r="F451" s="5" t="s">
        <v>2756</v>
      </c>
      <c r="G451" s="4" t="s">
        <v>57</v>
      </c>
      <c r="H451" s="4" t="s">
        <v>2709</v>
      </c>
      <c r="I451" s="4" t="s">
        <v>2121</v>
      </c>
      <c r="J451" s="4" t="s">
        <v>2757</v>
      </c>
      <c r="K451" s="4" t="s">
        <v>428</v>
      </c>
      <c r="L451" s="5" t="s">
        <v>62</v>
      </c>
      <c r="M451" s="4" t="s">
        <v>63</v>
      </c>
      <c r="N451" s="5" t="s">
        <v>64</v>
      </c>
      <c r="O451" s="4" t="s">
        <v>65</v>
      </c>
      <c r="P451" s="5" t="s">
        <v>193</v>
      </c>
      <c r="Q451" s="4" t="s">
        <v>194</v>
      </c>
      <c r="R451" s="5" t="s">
        <v>195</v>
      </c>
      <c r="S451" s="4" t="s">
        <v>196</v>
      </c>
      <c r="T451" s="5" t="s">
        <v>429</v>
      </c>
      <c r="U451" s="4" t="s">
        <v>430</v>
      </c>
      <c r="V451" s="5" t="s">
        <v>104</v>
      </c>
      <c r="W451" s="4" t="s">
        <v>105</v>
      </c>
      <c r="X451" s="4" t="s">
        <v>106</v>
      </c>
      <c r="Y451" s="5"/>
      <c r="Z451" s="4" t="s">
        <v>75</v>
      </c>
      <c r="AA451" s="6" t="n">
        <v>150000</v>
      </c>
      <c r="AB451" s="6" t="n">
        <v>150000</v>
      </c>
      <c r="AC451" s="6" t="n">
        <v>150000</v>
      </c>
      <c r="AD451" s="6" t="n">
        <v>150000</v>
      </c>
      <c r="AE451" s="4" t="s">
        <v>450</v>
      </c>
      <c r="AF451" s="5" t="s">
        <v>451</v>
      </c>
      <c r="AG451" s="4" t="s">
        <v>433</v>
      </c>
      <c r="AH451" s="4" t="s">
        <v>433</v>
      </c>
      <c r="AI451" s="5"/>
      <c r="AJ451" s="1" t="n">
        <v>1</v>
      </c>
      <c r="AK451" s="11" t="n">
        <v>1</v>
      </c>
      <c r="AL451" s="12" t="s">
        <v>452</v>
      </c>
      <c r="AM451" s="13" t="str">
        <f>IF(AL451="","",AL451&amp;" - "&amp;IFERROR(VLOOKUP(AL451,CODEBOOK_CAP!$C$2:$D$212,2,FALSE),""))</f>
        <v>0332 - SAÚDE INFANTIL, GRAVIDEZ E PRÉ-NATAL</v>
      </c>
      <c r="AN451" s="13" t="str">
        <f>IF(AL451="","",IFERROR(VLOOKUP(AL451,CODEBOOK_CAP!$C$2:$E$212,3,FALSE),""))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451" s="11" t="n">
        <v>0</v>
      </c>
      <c r="AP451" s="11"/>
      <c r="AQ451" s="11" t="n">
        <v>1</v>
      </c>
      <c r="AR451" s="11" t="n">
        <v>1</v>
      </c>
      <c r="AS451" s="11" t="s">
        <v>2758</v>
      </c>
      <c r="AT451" s="11" t="n">
        <v>1</v>
      </c>
      <c r="AU451" s="11" t="s">
        <v>454</v>
      </c>
      <c r="AV451" s="11"/>
      <c r="AW451" s="11"/>
      <c r="AX451" s="7" t="s">
        <v>84</v>
      </c>
      <c r="AY451" s="7"/>
      <c r="AZ451" s="7"/>
      <c r="BA451" s="7"/>
    </row>
    <row r="452" ht="71.25" customHeight="1">
      <c r="A452" s="4" t="s">
        <v>2759</v>
      </c>
      <c r="B452" s="4" t="n">
        <v>2022</v>
      </c>
      <c r="C452" s="4" t="n">
        <v>4531</v>
      </c>
      <c r="D452" s="4" t="s">
        <v>54</v>
      </c>
      <c r="E452" s="4" t="s">
        <v>2707</v>
      </c>
      <c r="F452" s="5" t="s">
        <v>2760</v>
      </c>
      <c r="G452" s="4" t="s">
        <v>289</v>
      </c>
      <c r="H452" s="4" t="s">
        <v>2709</v>
      </c>
      <c r="I452" s="4" t="s">
        <v>2121</v>
      </c>
      <c r="J452" s="4" t="s">
        <v>2761</v>
      </c>
      <c r="K452" s="4" t="s">
        <v>115</v>
      </c>
      <c r="L452" s="5"/>
      <c r="M452" s="4"/>
      <c r="N452" s="5"/>
      <c r="O452" s="4"/>
      <c r="P452" s="5"/>
      <c r="Q452" s="4"/>
      <c r="R452" s="5"/>
      <c r="S452" s="4"/>
      <c r="T452" s="5"/>
      <c r="U452" s="4"/>
      <c r="V452" s="5"/>
      <c r="W452" s="4"/>
      <c r="X452" s="4"/>
      <c r="Y452" s="5"/>
      <c r="Z452" s="4" t="s">
        <v>289</v>
      </c>
      <c r="AA452" s="6" t="n">
        <v>100000</v>
      </c>
      <c r="AB452" s="6"/>
      <c r="AC452" s="6"/>
      <c r="AD452" s="6"/>
      <c r="AE452" s="4" t="s">
        <v>115</v>
      </c>
      <c r="AF452" s="5"/>
      <c r="AG452" s="4" t="s">
        <v>110</v>
      </c>
      <c r="AH452" s="4" t="s">
        <v>110</v>
      </c>
      <c r="AI452" s="5"/>
      <c r="AJ452" s="1" t="n">
        <v>0</v>
      </c>
      <c r="AK452" s="11" t="n">
        <v>0</v>
      </c>
      <c r="AL452" s="12" t="s">
        <v>712</v>
      </c>
      <c r="AM452" s="13" t="str">
        <f>IF(AL452="","",AL452&amp;" - "&amp;IFERROR(VLOOKUP(AL452,CODEBOOK_CAP!$C$2:$D$212,2,FALSE),""))</f>
        <v>1308 - POLÍTICAS SOCIAIS PARA FAMÍLIAS E INFÂNCIA</v>
      </c>
      <c r="AN452" s="13" t="str">
        <f>IF(AL452="","",IFERROR(VLOOKUP(AL452,CODEBOOK_CAP!$C$2:$E$212,3,FALSE),""))</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O452" s="11" t="n">
        <v>0</v>
      </c>
      <c r="AP452" s="11"/>
      <c r="AQ452" s="11" t="n">
        <v>0</v>
      </c>
      <c r="AR452" s="11" t="n">
        <v>0</v>
      </c>
      <c r="AS452" s="11"/>
      <c r="AT452" s="11" t="n">
        <v>1</v>
      </c>
      <c r="AU452" s="11" t="s">
        <v>286</v>
      </c>
      <c r="AV452" s="11"/>
      <c r="AW452" s="11"/>
      <c r="AX452" s="7" t="s">
        <v>84</v>
      </c>
      <c r="AY452" s="7"/>
      <c r="AZ452" s="7"/>
      <c r="BA452" s="7"/>
    </row>
    <row r="453" ht="156.75" customHeight="1">
      <c r="A453" s="4" t="s">
        <v>2762</v>
      </c>
      <c r="B453" s="4" t="n">
        <v>2022</v>
      </c>
      <c r="C453" s="4" t="n">
        <v>4533</v>
      </c>
      <c r="D453" s="4" t="s">
        <v>54</v>
      </c>
      <c r="E453" s="4" t="s">
        <v>2707</v>
      </c>
      <c r="F453" s="5" t="s">
        <v>2763</v>
      </c>
      <c r="G453" s="4" t="s">
        <v>57</v>
      </c>
      <c r="H453" s="4" t="s">
        <v>2709</v>
      </c>
      <c r="I453" s="4" t="s">
        <v>2121</v>
      </c>
      <c r="J453" s="4" t="s">
        <v>2764</v>
      </c>
      <c r="K453" s="4" t="s">
        <v>2765</v>
      </c>
      <c r="L453" s="5" t="s">
        <v>94</v>
      </c>
      <c r="M453" s="4" t="s">
        <v>95</v>
      </c>
      <c r="N453" s="5" t="s">
        <v>96</v>
      </c>
      <c r="O453" s="4" t="s">
        <v>97</v>
      </c>
      <c r="P453" s="5" t="s">
        <v>98</v>
      </c>
      <c r="Q453" s="4" t="s">
        <v>99</v>
      </c>
      <c r="R453" s="5" t="s">
        <v>2766</v>
      </c>
      <c r="S453" s="4" t="s">
        <v>2767</v>
      </c>
      <c r="T453" s="5" t="s">
        <v>2768</v>
      </c>
      <c r="U453" s="4" t="s">
        <v>2769</v>
      </c>
      <c r="V453" s="5" t="s">
        <v>310</v>
      </c>
      <c r="W453" s="4" t="s">
        <v>73</v>
      </c>
      <c r="X453" s="4" t="s">
        <v>74</v>
      </c>
      <c r="Y453" s="5"/>
      <c r="Z453" s="4" t="s">
        <v>107</v>
      </c>
      <c r="AA453" s="6" t="n">
        <v>100500</v>
      </c>
      <c r="AB453" s="6" t="n">
        <v>100500</v>
      </c>
      <c r="AC453" s="6" t="n">
        <v>100500</v>
      </c>
      <c r="AD453" s="6" t="n">
        <v>100500</v>
      </c>
      <c r="AE453" s="4" t="s">
        <v>2714</v>
      </c>
      <c r="AF453" s="5" t="s">
        <v>2370</v>
      </c>
      <c r="AG453" s="4" t="s">
        <v>78</v>
      </c>
      <c r="AH453" s="4" t="s">
        <v>79</v>
      </c>
      <c r="AI453" s="5" t="s">
        <v>80</v>
      </c>
      <c r="AJ453" s="1" t="n">
        <v>0</v>
      </c>
      <c r="AK453" s="11" t="n">
        <v>0</v>
      </c>
      <c r="AL453" s="12" t="s">
        <v>111</v>
      </c>
      <c r="AM453" s="13" t="str">
        <f>IF(AL453="","",AL453&amp;" - "&amp;IFERROR(VLOOKUP(AL453,CODEBOOK_CAP!$C$2:$D$212,2,FALSE),""))</f>
        <v>1300 - GERAL</v>
      </c>
      <c r="AN453" s="13" t="str">
        <f>IF(AL453="","",IFERROR(VLOOKUP(AL453,CODEBOOK_CAP!$C$2:$E$212,3,FALSE),""))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453" s="11" t="n">
        <v>0</v>
      </c>
      <c r="AP453" s="11"/>
      <c r="AQ453" s="11" t="n">
        <v>0</v>
      </c>
      <c r="AR453" s="11" t="n">
        <v>0</v>
      </c>
      <c r="AS453" s="11"/>
      <c r="AT453" s="11" t="n">
        <v>0</v>
      </c>
      <c r="AU453" s="11"/>
      <c r="AV453" s="11"/>
      <c r="AW453" s="11"/>
      <c r="AX453" s="7" t="s">
        <v>84</v>
      </c>
      <c r="AY453" s="7"/>
      <c r="AZ453" s="7"/>
      <c r="BA453" s="7"/>
    </row>
    <row r="454" ht="42.75" customHeight="1">
      <c r="A454" s="4" t="s">
        <v>2770</v>
      </c>
      <c r="B454" s="4" t="n">
        <v>2022</v>
      </c>
      <c r="C454" s="4" t="n">
        <v>4534</v>
      </c>
      <c r="D454" s="4" t="s">
        <v>54</v>
      </c>
      <c r="E454" s="4" t="s">
        <v>2707</v>
      </c>
      <c r="F454" s="5" t="s">
        <v>2771</v>
      </c>
      <c r="G454" s="4" t="s">
        <v>57</v>
      </c>
      <c r="H454" s="4" t="s">
        <v>2709</v>
      </c>
      <c r="I454" s="4" t="s">
        <v>2121</v>
      </c>
      <c r="J454" s="4" t="s">
        <v>2772</v>
      </c>
      <c r="K454" s="4" t="s">
        <v>2773</v>
      </c>
      <c r="L454" s="5" t="s">
        <v>2774</v>
      </c>
      <c r="M454" s="4" t="s">
        <v>2775</v>
      </c>
      <c r="N454" s="5" t="s">
        <v>2576</v>
      </c>
      <c r="O454" s="4" t="s">
        <v>2577</v>
      </c>
      <c r="P454" s="5" t="s">
        <v>2376</v>
      </c>
      <c r="Q454" s="4" t="s">
        <v>2578</v>
      </c>
      <c r="R454" s="5" t="s">
        <v>2776</v>
      </c>
      <c r="S454" s="4" t="s">
        <v>2777</v>
      </c>
      <c r="T454" s="5" t="s">
        <v>2778</v>
      </c>
      <c r="U454" s="4" t="s">
        <v>2779</v>
      </c>
      <c r="V454" s="5" t="s">
        <v>104</v>
      </c>
      <c r="W454" s="4" t="s">
        <v>105</v>
      </c>
      <c r="X454" s="4" t="s">
        <v>106</v>
      </c>
      <c r="Y454" s="5"/>
      <c r="Z454" s="4" t="s">
        <v>2780</v>
      </c>
      <c r="AA454" s="6" t="n">
        <v>50000</v>
      </c>
      <c r="AB454" s="6" t="n">
        <v>36105</v>
      </c>
      <c r="AC454" s="6" t="n">
        <v>36105</v>
      </c>
      <c r="AD454" s="6" t="n">
        <v>36105</v>
      </c>
      <c r="AE454" s="4" t="s">
        <v>2781</v>
      </c>
      <c r="AF454" s="5" t="s">
        <v>2782</v>
      </c>
      <c r="AG454" s="4" t="s">
        <v>78</v>
      </c>
      <c r="AH454" s="4" t="s">
        <v>79</v>
      </c>
      <c r="AI454" s="5" t="s">
        <v>80</v>
      </c>
      <c r="AJ454" s="1" t="n">
        <v>0</v>
      </c>
      <c r="AK454" s="11" t="n">
        <v>0</v>
      </c>
      <c r="AL454" s="12" t="s">
        <v>2783</v>
      </c>
      <c r="AM454" s="13" t="str">
        <f>IF(AL454="","",AL454&amp;" - "&amp;IFERROR(VLOOKUP(AL454,CODEBOOK_CAP!$C$2:$D$212,2,FALSE),""))</f>
        <v>0707 - RECICLAGEM</v>
      </c>
      <c r="AN454" s="13" t="str">
        <f>IF(AL454="","",IFERROR(VLOOKUP(AL454,CODEBOOK_CAP!$C$2:$E$212,3,FALSE),""))</f>
        <v>Observações sobre política de reciclagem, lixo reciclado, fontes reciclaveis, proibicoes de descarte, manuseio, regulação da profissao, catadores, efeitos, insenção de impostos para reciclados.</v>
      </c>
      <c r="AO454" s="11" t="n">
        <v>0</v>
      </c>
      <c r="AP454" s="11"/>
      <c r="AQ454" s="11" t="n">
        <v>0</v>
      </c>
      <c r="AR454" s="11" t="n">
        <v>0</v>
      </c>
      <c r="AS454" s="11"/>
      <c r="AT454" s="11" t="n">
        <v>0</v>
      </c>
      <c r="AU454" s="11"/>
      <c r="AV454" s="11"/>
      <c r="AW454" s="11"/>
      <c r="AX454" s="7" t="s">
        <v>84</v>
      </c>
      <c r="AY454" s="7"/>
      <c r="AZ454" s="7"/>
      <c r="BA454" s="7"/>
    </row>
    <row r="455" ht="85.5" customHeight="1">
      <c r="A455" s="4" t="s">
        <v>2784</v>
      </c>
      <c r="B455" s="4" t="n">
        <v>2022</v>
      </c>
      <c r="C455" s="4" t="n">
        <v>4549</v>
      </c>
      <c r="D455" s="4" t="s">
        <v>54</v>
      </c>
      <c r="E455" s="4" t="s">
        <v>2707</v>
      </c>
      <c r="F455" s="5" t="s">
        <v>210</v>
      </c>
      <c r="G455" s="4" t="s">
        <v>57</v>
      </c>
      <c r="H455" s="4" t="s">
        <v>2709</v>
      </c>
      <c r="I455" s="4" t="s">
        <v>2121</v>
      </c>
      <c r="J455" s="4" t="s">
        <v>2785</v>
      </c>
      <c r="K455" s="4" t="s">
        <v>975</v>
      </c>
      <c r="L455" s="5" t="s">
        <v>62</v>
      </c>
      <c r="M455" s="4" t="s">
        <v>63</v>
      </c>
      <c r="N455" s="5" t="s">
        <v>64</v>
      </c>
      <c r="O455" s="4" t="s">
        <v>65</v>
      </c>
      <c r="P455" s="5" t="s">
        <v>193</v>
      </c>
      <c r="Q455" s="4" t="s">
        <v>194</v>
      </c>
      <c r="R455" s="5" t="s">
        <v>195</v>
      </c>
      <c r="S455" s="4" t="s">
        <v>196</v>
      </c>
      <c r="T455" s="5" t="s">
        <v>429</v>
      </c>
      <c r="U455" s="4" t="s">
        <v>430</v>
      </c>
      <c r="V455" s="5" t="s">
        <v>757</v>
      </c>
      <c r="W455" s="4" t="s">
        <v>105</v>
      </c>
      <c r="X455" s="4" t="s">
        <v>106</v>
      </c>
      <c r="Y455" s="5"/>
      <c r="Z455" s="4" t="s">
        <v>75</v>
      </c>
      <c r="AA455" s="6" t="n">
        <v>510000</v>
      </c>
      <c r="AB455" s="6" t="n">
        <v>510000</v>
      </c>
      <c r="AC455" s="6" t="n">
        <v>510000</v>
      </c>
      <c r="AD455" s="6" t="n">
        <v>510000</v>
      </c>
      <c r="AE455" s="4" t="s">
        <v>976</v>
      </c>
      <c r="AF455" s="5" t="s">
        <v>759</v>
      </c>
      <c r="AG455" s="4" t="s">
        <v>78</v>
      </c>
      <c r="AH455" s="4" t="s">
        <v>79</v>
      </c>
      <c r="AI455" s="5" t="s">
        <v>80</v>
      </c>
      <c r="AJ455" s="1" t="n">
        <v>1</v>
      </c>
      <c r="AK455" s="11" t="n">
        <v>1</v>
      </c>
      <c r="AL455" s="12" t="s">
        <v>81</v>
      </c>
      <c r="AM455" s="13" t="str">
        <f>IF(AL455="","",AL455&amp;" - "&amp;IFERROR(VLOOKUP(AL455,CODEBOOK_CAP!$C$2:$D$212,2,FALSE),""))</f>
        <v>0322 - ESTRUTURAS, HOSPITAIS, CLÍNICAS</v>
      </c>
      <c r="AN455" s="13" t="str">
        <f>IF(AL455="","",IFERROR(VLOOKUP(AL455,CODEBOOK_CAP!$C$2:$E$212,3,FALSE),""))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455" s="11" t="n">
        <v>0</v>
      </c>
      <c r="AP455" s="11"/>
      <c r="AQ455" s="11" t="n">
        <v>1</v>
      </c>
      <c r="AR455" s="11" t="n">
        <v>1</v>
      </c>
      <c r="AS455" s="11" t="s">
        <v>2786</v>
      </c>
      <c r="AT455" s="11" t="n">
        <v>0</v>
      </c>
      <c r="AU455" s="11"/>
      <c r="AV455" s="11"/>
      <c r="AW455" s="11"/>
      <c r="AX455" s="7" t="s">
        <v>84</v>
      </c>
      <c r="AY455" s="7"/>
      <c r="AZ455" s="7"/>
      <c r="BA455" s="7"/>
    </row>
    <row r="456" ht="57" customHeight="1">
      <c r="A456" s="4" t="s">
        <v>2787</v>
      </c>
      <c r="B456" s="4" t="n">
        <v>2022</v>
      </c>
      <c r="C456" s="4" t="n">
        <v>4551</v>
      </c>
      <c r="D456" s="4" t="s">
        <v>54</v>
      </c>
      <c r="E456" s="4" t="s">
        <v>2707</v>
      </c>
      <c r="F456" s="5" t="s">
        <v>2788</v>
      </c>
      <c r="G456" s="4" t="s">
        <v>57</v>
      </c>
      <c r="H456" s="4" t="s">
        <v>2709</v>
      </c>
      <c r="I456" s="4" t="s">
        <v>2121</v>
      </c>
      <c r="J456" s="4" t="s">
        <v>2789</v>
      </c>
      <c r="K456" s="4" t="s">
        <v>283</v>
      </c>
      <c r="L456" s="5" t="s">
        <v>94</v>
      </c>
      <c r="M456" s="4" t="s">
        <v>95</v>
      </c>
      <c r="N456" s="5" t="s">
        <v>96</v>
      </c>
      <c r="O456" s="4" t="s">
        <v>97</v>
      </c>
      <c r="P456" s="5" t="s">
        <v>98</v>
      </c>
      <c r="Q456" s="4" t="s">
        <v>99</v>
      </c>
      <c r="R456" s="5" t="s">
        <v>100</v>
      </c>
      <c r="S456" s="4" t="s">
        <v>101</v>
      </c>
      <c r="T456" s="5" t="s">
        <v>102</v>
      </c>
      <c r="U456" s="4" t="s">
        <v>103</v>
      </c>
      <c r="V456" s="5" t="s">
        <v>104</v>
      </c>
      <c r="W456" s="4" t="s">
        <v>105</v>
      </c>
      <c r="X456" s="4" t="s">
        <v>106</v>
      </c>
      <c r="Y456" s="5"/>
      <c r="Z456" s="4" t="s">
        <v>107</v>
      </c>
      <c r="AA456" s="6" t="n">
        <v>50000</v>
      </c>
      <c r="AB456" s="6" t="n">
        <v>50000</v>
      </c>
      <c r="AC456" s="6" t="n">
        <v>50000</v>
      </c>
      <c r="AD456" s="6" t="n">
        <v>50000</v>
      </c>
      <c r="AE456" s="4" t="s">
        <v>275</v>
      </c>
      <c r="AF456" s="5" t="s">
        <v>276</v>
      </c>
      <c r="AG456" s="4" t="s">
        <v>110</v>
      </c>
      <c r="AH456" s="4" t="s">
        <v>110</v>
      </c>
      <c r="AI456" s="5"/>
      <c r="AJ456" s="1" t="n">
        <v>0</v>
      </c>
      <c r="AK456" s="11" t="n">
        <v>0</v>
      </c>
      <c r="AL456" s="12" t="s">
        <v>520</v>
      </c>
      <c r="AM456" s="13" t="str">
        <f>IF(AL456="","",AL456&amp;" - "&amp;IFERROR(VLOOKUP(AL456,CODEBOOK_CAP!$C$2:$D$212,2,FALSE),""))</f>
        <v>0502 - FORMAÇÃO E DESENVOLVIMENTO PROFISSIONAL</v>
      </c>
      <c r="AN456" s="13" t="str">
        <f>IF(AL456="","",IFERROR(VLOOKUP(AL456,CODEBOOK_CAP!$C$2:$E$212,3,FALSE),""))</f>
        <v>Programas de capacitação profissional, programas de incentivo ao emprego geral, reciclagem, realocação profissional em outra área, acordos e parcerias do estado com empresas privadas na capacitação, formação e treinamento profissional.</v>
      </c>
      <c r="AO456" s="11" t="n">
        <v>0</v>
      </c>
      <c r="AP456" s="11"/>
      <c r="AQ456" s="11" t="n">
        <v>0</v>
      </c>
      <c r="AR456" s="11" t="n">
        <v>0</v>
      </c>
      <c r="AS456" s="11"/>
      <c r="AT456" s="11" t="n">
        <v>0</v>
      </c>
      <c r="AU456" s="11"/>
      <c r="AV456" s="11"/>
      <c r="AW456" s="11"/>
      <c r="AX456" s="7" t="s">
        <v>84</v>
      </c>
      <c r="AY456" s="7"/>
      <c r="AZ456" s="7"/>
      <c r="BA456" s="7"/>
    </row>
    <row r="457" ht="171" customHeight="1">
      <c r="A457" s="4" t="s">
        <v>2790</v>
      </c>
      <c r="B457" s="4" t="n">
        <v>2022</v>
      </c>
      <c r="C457" s="4" t="n">
        <v>4552</v>
      </c>
      <c r="D457" s="4" t="s">
        <v>54</v>
      </c>
      <c r="E457" s="4" t="s">
        <v>2707</v>
      </c>
      <c r="F457" s="5" t="s">
        <v>2791</v>
      </c>
      <c r="G457" s="4" t="s">
        <v>57</v>
      </c>
      <c r="H457" s="4" t="s">
        <v>2709</v>
      </c>
      <c r="I457" s="4" t="s">
        <v>2121</v>
      </c>
      <c r="J457" s="4" t="s">
        <v>2792</v>
      </c>
      <c r="K457" s="4" t="s">
        <v>2793</v>
      </c>
      <c r="L457" s="5" t="s">
        <v>206</v>
      </c>
      <c r="M457" s="4" t="s">
        <v>207</v>
      </c>
      <c r="N457" s="5" t="s">
        <v>510</v>
      </c>
      <c r="O457" s="4" t="s">
        <v>511</v>
      </c>
      <c r="P457" s="5" t="s">
        <v>2794</v>
      </c>
      <c r="Q457" s="4" t="s">
        <v>2795</v>
      </c>
      <c r="R457" s="5" t="s">
        <v>212</v>
      </c>
      <c r="S457" s="4" t="s">
        <v>213</v>
      </c>
      <c r="T457" s="5" t="s">
        <v>2796</v>
      </c>
      <c r="U457" s="4" t="s">
        <v>2797</v>
      </c>
      <c r="V457" s="5" t="s">
        <v>310</v>
      </c>
      <c r="W457" s="4" t="s">
        <v>73</v>
      </c>
      <c r="X457" s="4" t="s">
        <v>74</v>
      </c>
      <c r="Y457" s="5"/>
      <c r="Z457" s="4" t="s">
        <v>107</v>
      </c>
      <c r="AA457" s="6" t="n">
        <v>160000</v>
      </c>
      <c r="AB457" s="6" t="n">
        <v>130754</v>
      </c>
      <c r="AC457" s="6" t="n">
        <v>130754</v>
      </c>
      <c r="AD457" s="6" t="n">
        <v>130754</v>
      </c>
      <c r="AE457" s="4" t="s">
        <v>2798</v>
      </c>
      <c r="AF457" s="5" t="s">
        <v>2799</v>
      </c>
      <c r="AG457" s="4" t="s">
        <v>78</v>
      </c>
      <c r="AH457" s="4" t="s">
        <v>79</v>
      </c>
      <c r="AI457" s="5" t="s">
        <v>80</v>
      </c>
      <c r="AJ457" s="1" t="n">
        <v>0</v>
      </c>
      <c r="AK457" s="11" t="n">
        <v>0</v>
      </c>
      <c r="AL457" s="12" t="s">
        <v>637</v>
      </c>
      <c r="AM457" s="13" t="str">
        <f>IF(AL457="","",AL457&amp;" - "&amp;IFERROR(VLOOKUP(AL457,CODEBOOK_CAP!$C$2:$D$212,2,FALSE),""))</f>
        <v>1301 - ASSISTÊNCIA ALIMENTAR</v>
      </c>
      <c r="AN457" s="13" t="str">
        <f>IF(AL457="","",IFERROR(VLOOKUP(AL457,CODEBOOK_CAP!$C$2:$E$212,3,FALSE),""))</f>
        <v>Políticas de combate a fome, políticas de educação alimentar, políticas de alimentos, incentivos a alimentos não industrializados, apoios a necessidades de alimentação, subnutrição, fome, desnutrição, somente políticas cujo foco principal seja a questão alimentar e o combate a fome. Fome Zero, Leve Leite, políticas de merenda escolar, alimentação nas escolas, creches.</v>
      </c>
      <c r="AO457" s="11" t="n">
        <v>0</v>
      </c>
      <c r="AP457" s="11"/>
      <c r="AQ457" s="11" t="n">
        <v>1</v>
      </c>
      <c r="AR457" s="11" t="n">
        <v>1</v>
      </c>
      <c r="AS457" s="11" t="s">
        <v>2800</v>
      </c>
      <c r="AT457" s="11" t="n">
        <v>0</v>
      </c>
      <c r="AU457" s="11"/>
      <c r="AV457" s="11"/>
      <c r="AW457" s="11"/>
      <c r="AX457" s="7" t="s">
        <v>84</v>
      </c>
      <c r="AY457" s="7"/>
      <c r="AZ457" s="7"/>
      <c r="BA457" s="7"/>
    </row>
    <row r="458" ht="156.75" customHeight="1">
      <c r="A458" s="4" t="s">
        <v>2801</v>
      </c>
      <c r="B458" s="4" t="n">
        <v>2022</v>
      </c>
      <c r="C458" s="4" t="n">
        <v>4553</v>
      </c>
      <c r="D458" s="4" t="s">
        <v>54</v>
      </c>
      <c r="E458" s="4" t="s">
        <v>2707</v>
      </c>
      <c r="F458" s="5" t="s">
        <v>2802</v>
      </c>
      <c r="G458" s="4" t="s">
        <v>57</v>
      </c>
      <c r="H458" s="4" t="s">
        <v>2709</v>
      </c>
      <c r="I458" s="4" t="s">
        <v>2121</v>
      </c>
      <c r="J458" s="4" t="s">
        <v>2803</v>
      </c>
      <c r="K458" s="4" t="s">
        <v>283</v>
      </c>
      <c r="L458" s="5" t="s">
        <v>94</v>
      </c>
      <c r="M458" s="4" t="s">
        <v>95</v>
      </c>
      <c r="N458" s="5" t="s">
        <v>96</v>
      </c>
      <c r="O458" s="4" t="s">
        <v>97</v>
      </c>
      <c r="P458" s="5" t="s">
        <v>98</v>
      </c>
      <c r="Q458" s="4" t="s">
        <v>99</v>
      </c>
      <c r="R458" s="5" t="s">
        <v>100</v>
      </c>
      <c r="S458" s="4" t="s">
        <v>101</v>
      </c>
      <c r="T458" s="5" t="s">
        <v>102</v>
      </c>
      <c r="U458" s="4" t="s">
        <v>103</v>
      </c>
      <c r="V458" s="5" t="s">
        <v>104</v>
      </c>
      <c r="W458" s="4" t="s">
        <v>105</v>
      </c>
      <c r="X458" s="4" t="s">
        <v>106</v>
      </c>
      <c r="Y458" s="5"/>
      <c r="Z458" s="4" t="s">
        <v>107</v>
      </c>
      <c r="AA458" s="6" t="n">
        <v>10000</v>
      </c>
      <c r="AB458" s="6" t="n">
        <v>10000</v>
      </c>
      <c r="AC458" s="6" t="n">
        <v>10000</v>
      </c>
      <c r="AD458" s="6" t="n">
        <v>10000</v>
      </c>
      <c r="AE458" s="4" t="s">
        <v>275</v>
      </c>
      <c r="AF458" s="5" t="s">
        <v>276</v>
      </c>
      <c r="AG458" s="4" t="s">
        <v>110</v>
      </c>
      <c r="AH458" s="4" t="s">
        <v>110</v>
      </c>
      <c r="AI458" s="5"/>
      <c r="AJ458" s="1" t="n">
        <v>0</v>
      </c>
      <c r="AK458" s="11" t="n">
        <v>0</v>
      </c>
      <c r="AL458" s="12" t="s">
        <v>111</v>
      </c>
      <c r="AM458" s="13" t="str">
        <f>IF(AL458="","",AL458&amp;" - "&amp;IFERROR(VLOOKUP(AL458,CODEBOOK_CAP!$C$2:$D$212,2,FALSE),""))</f>
        <v>1300 - GERAL</v>
      </c>
      <c r="AN458" s="13" t="str">
        <f>IF(AL458="","",IFERROR(VLOOKUP(AL458,CODEBOOK_CAP!$C$2:$E$212,3,FALSE),""))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458" s="11" t="n">
        <v>0</v>
      </c>
      <c r="AP458" s="11"/>
      <c r="AQ458" s="11" t="n">
        <v>0</v>
      </c>
      <c r="AR458" s="11" t="n">
        <v>0</v>
      </c>
      <c r="AS458" s="11"/>
      <c r="AT458" s="11" t="n">
        <v>1</v>
      </c>
      <c r="AU458" s="11" t="s">
        <v>2804</v>
      </c>
      <c r="AV458" s="11"/>
      <c r="AW458" s="11"/>
      <c r="AX458" s="7" t="s">
        <v>84</v>
      </c>
      <c r="AY458" s="7"/>
      <c r="AZ458" s="7"/>
      <c r="BA458" s="7"/>
    </row>
    <row r="459" ht="156.75" customHeight="1">
      <c r="A459" s="4" t="s">
        <v>2805</v>
      </c>
      <c r="B459" s="4" t="n">
        <v>2022</v>
      </c>
      <c r="C459" s="4" t="n">
        <v>4554</v>
      </c>
      <c r="D459" s="4" t="s">
        <v>54</v>
      </c>
      <c r="E459" s="4" t="s">
        <v>2707</v>
      </c>
      <c r="F459" s="5" t="s">
        <v>2806</v>
      </c>
      <c r="G459" s="4" t="s">
        <v>57</v>
      </c>
      <c r="H459" s="4" t="s">
        <v>2709</v>
      </c>
      <c r="I459" s="4" t="s">
        <v>2121</v>
      </c>
      <c r="J459" s="4" t="s">
        <v>2807</v>
      </c>
      <c r="K459" s="4" t="s">
        <v>283</v>
      </c>
      <c r="L459" s="5" t="s">
        <v>94</v>
      </c>
      <c r="M459" s="4" t="s">
        <v>95</v>
      </c>
      <c r="N459" s="5" t="s">
        <v>96</v>
      </c>
      <c r="O459" s="4" t="s">
        <v>97</v>
      </c>
      <c r="P459" s="5" t="s">
        <v>98</v>
      </c>
      <c r="Q459" s="4" t="s">
        <v>99</v>
      </c>
      <c r="R459" s="5" t="s">
        <v>100</v>
      </c>
      <c r="S459" s="4" t="s">
        <v>101</v>
      </c>
      <c r="T459" s="5" t="s">
        <v>102</v>
      </c>
      <c r="U459" s="4" t="s">
        <v>103</v>
      </c>
      <c r="V459" s="5" t="s">
        <v>104</v>
      </c>
      <c r="W459" s="4" t="s">
        <v>105</v>
      </c>
      <c r="X459" s="4" t="s">
        <v>106</v>
      </c>
      <c r="Y459" s="5"/>
      <c r="Z459" s="4" t="s">
        <v>107</v>
      </c>
      <c r="AA459" s="6" t="n">
        <v>50000</v>
      </c>
      <c r="AB459" s="6" t="n">
        <v>50000</v>
      </c>
      <c r="AC459" s="6" t="n">
        <v>50000</v>
      </c>
      <c r="AD459" s="6" t="n">
        <v>50000</v>
      </c>
      <c r="AE459" s="4" t="s">
        <v>275</v>
      </c>
      <c r="AF459" s="5" t="s">
        <v>276</v>
      </c>
      <c r="AG459" s="4" t="s">
        <v>110</v>
      </c>
      <c r="AH459" s="4" t="s">
        <v>110</v>
      </c>
      <c r="AI459" s="5"/>
      <c r="AJ459" s="1" t="n">
        <v>0</v>
      </c>
      <c r="AK459" s="11" t="n">
        <v>0</v>
      </c>
      <c r="AL459" s="12" t="s">
        <v>111</v>
      </c>
      <c r="AM459" s="13" t="str">
        <f>IF(AL459="","",AL459&amp;" - "&amp;IFERROR(VLOOKUP(AL459,CODEBOOK_CAP!$C$2:$D$212,2,FALSE),""))</f>
        <v>1300 - GERAL</v>
      </c>
      <c r="AN459" s="13" t="str">
        <f>IF(AL459="","",IFERROR(VLOOKUP(AL459,CODEBOOK_CAP!$C$2:$E$212,3,FALSE),""))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459" s="11" t="n">
        <v>0</v>
      </c>
      <c r="AP459" s="11"/>
      <c r="AQ459" s="11" t="n">
        <v>0</v>
      </c>
      <c r="AR459" s="11" t="n">
        <v>0</v>
      </c>
      <c r="AS459" s="11"/>
      <c r="AT459" s="11" t="n">
        <v>1</v>
      </c>
      <c r="AU459" s="11" t="s">
        <v>2804</v>
      </c>
      <c r="AV459" s="11"/>
      <c r="AW459" s="11"/>
      <c r="AX459" s="7" t="s">
        <v>84</v>
      </c>
      <c r="AY459" s="7"/>
      <c r="AZ459" s="7"/>
      <c r="BA459" s="7"/>
    </row>
    <row r="460" ht="85.5" customHeight="1">
      <c r="A460" s="4" t="s">
        <v>2808</v>
      </c>
      <c r="B460" s="4" t="n">
        <v>2022</v>
      </c>
      <c r="C460" s="4" t="n">
        <v>4559</v>
      </c>
      <c r="D460" s="4" t="s">
        <v>54</v>
      </c>
      <c r="E460" s="4" t="s">
        <v>2809</v>
      </c>
      <c r="F460" s="5" t="s">
        <v>2810</v>
      </c>
      <c r="G460" s="4" t="s">
        <v>57</v>
      </c>
      <c r="H460" s="4" t="s">
        <v>2811</v>
      </c>
      <c r="I460" s="4" t="s">
        <v>1666</v>
      </c>
      <c r="J460" s="4" t="s">
        <v>2812</v>
      </c>
      <c r="K460" s="4" t="s">
        <v>428</v>
      </c>
      <c r="L460" s="5" t="s">
        <v>62</v>
      </c>
      <c r="M460" s="4" t="s">
        <v>63</v>
      </c>
      <c r="N460" s="5" t="s">
        <v>64</v>
      </c>
      <c r="O460" s="4" t="s">
        <v>65</v>
      </c>
      <c r="P460" s="5" t="s">
        <v>193</v>
      </c>
      <c r="Q460" s="4" t="s">
        <v>194</v>
      </c>
      <c r="R460" s="5" t="s">
        <v>195</v>
      </c>
      <c r="S460" s="4" t="s">
        <v>196</v>
      </c>
      <c r="T460" s="5" t="s">
        <v>429</v>
      </c>
      <c r="U460" s="4" t="s">
        <v>430</v>
      </c>
      <c r="V460" s="5" t="s">
        <v>104</v>
      </c>
      <c r="W460" s="4" t="s">
        <v>105</v>
      </c>
      <c r="X460" s="4" t="s">
        <v>106</v>
      </c>
      <c r="Y460" s="5"/>
      <c r="Z460" s="4" t="s">
        <v>75</v>
      </c>
      <c r="AA460" s="6" t="n">
        <v>100000</v>
      </c>
      <c r="AB460" s="6" t="n">
        <v>100000</v>
      </c>
      <c r="AC460" s="6" t="n">
        <v>0</v>
      </c>
      <c r="AD460" s="6" t="n">
        <v>100000</v>
      </c>
      <c r="AE460" s="4" t="s">
        <v>743</v>
      </c>
      <c r="AF460" s="5" t="s">
        <v>1895</v>
      </c>
      <c r="AG460" s="4" t="s">
        <v>115</v>
      </c>
      <c r="AH460" s="4" t="s">
        <v>115</v>
      </c>
      <c r="AI460" s="5" t="s">
        <v>115</v>
      </c>
      <c r="AJ460" s="1" t="n">
        <v>1</v>
      </c>
      <c r="AK460" s="11" t="n">
        <v>1</v>
      </c>
      <c r="AL460" s="12" t="s">
        <v>81</v>
      </c>
      <c r="AM460" s="13" t="str">
        <f>IF(AL460="","",AL460&amp;" - "&amp;IFERROR(VLOOKUP(AL460,CODEBOOK_CAP!$C$2:$D$212,2,FALSE),""))</f>
        <v>0322 - ESTRUTURAS, HOSPITAIS, CLÍNICAS</v>
      </c>
      <c r="AN460" s="13" t="str">
        <f>IF(AL460="","",IFERROR(VLOOKUP(AL460,CODEBOOK_CAP!$C$2:$E$212,3,FALSE),""))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460" s="11" t="n">
        <v>0</v>
      </c>
      <c r="AP460" s="11"/>
      <c r="AQ460" s="11" t="n">
        <v>1</v>
      </c>
      <c r="AR460" s="11" t="n">
        <v>1</v>
      </c>
      <c r="AS460" s="11" t="s">
        <v>2813</v>
      </c>
      <c r="AT460" s="11" t="n">
        <v>0</v>
      </c>
      <c r="AU460" s="11"/>
      <c r="AV460" s="11"/>
      <c r="AW460" s="11"/>
      <c r="AX460" s="7" t="s">
        <v>84</v>
      </c>
      <c r="AY460" s="7"/>
      <c r="AZ460" s="7"/>
      <c r="BA460" s="7"/>
    </row>
    <row r="461" ht="71.25" customHeight="1">
      <c r="A461" s="4" t="s">
        <v>2814</v>
      </c>
      <c r="B461" s="4" t="n">
        <v>2022</v>
      </c>
      <c r="C461" s="4" t="n">
        <v>4214</v>
      </c>
      <c r="D461" s="4" t="s">
        <v>54</v>
      </c>
      <c r="E461" s="4" t="s">
        <v>2815</v>
      </c>
      <c r="F461" s="5" t="s">
        <v>2816</v>
      </c>
      <c r="G461" s="4" t="s">
        <v>57</v>
      </c>
      <c r="H461" s="4" t="s">
        <v>2817</v>
      </c>
      <c r="I461" s="4" t="s">
        <v>1214</v>
      </c>
      <c r="J461" s="4" t="s">
        <v>2818</v>
      </c>
      <c r="K461" s="4" t="s">
        <v>1152</v>
      </c>
      <c r="L461" s="5" t="s">
        <v>122</v>
      </c>
      <c r="M461" s="4" t="s">
        <v>123</v>
      </c>
      <c r="N461" s="5" t="s">
        <v>227</v>
      </c>
      <c r="O461" s="4" t="s">
        <v>228</v>
      </c>
      <c r="P461" s="5" t="s">
        <v>229</v>
      </c>
      <c r="Q461" s="4" t="s">
        <v>230</v>
      </c>
      <c r="R461" s="5" t="s">
        <v>1079</v>
      </c>
      <c r="S461" s="4" t="s">
        <v>1080</v>
      </c>
      <c r="T461" s="5" t="s">
        <v>1153</v>
      </c>
      <c r="U461" s="4" t="s">
        <v>1154</v>
      </c>
      <c r="V461" s="5" t="s">
        <v>72</v>
      </c>
      <c r="W461" s="4" t="s">
        <v>73</v>
      </c>
      <c r="X461" s="4" t="s">
        <v>74</v>
      </c>
      <c r="Y461" s="5"/>
      <c r="Z461" s="4" t="s">
        <v>132</v>
      </c>
      <c r="AA461" s="6" t="n">
        <v>160000</v>
      </c>
      <c r="AB461" s="6" t="n">
        <v>160000</v>
      </c>
      <c r="AC461" s="6" t="n">
        <v>87761.51</v>
      </c>
      <c r="AD461" s="6" t="n">
        <v>87761.51</v>
      </c>
      <c r="AE461" s="4" t="s">
        <v>1728</v>
      </c>
      <c r="AF461" s="5" t="s">
        <v>1728</v>
      </c>
      <c r="AG461" s="4" t="s">
        <v>79</v>
      </c>
      <c r="AH461" s="4" t="s">
        <v>80</v>
      </c>
      <c r="AI461" s="5" t="s">
        <v>2819</v>
      </c>
      <c r="AJ461" s="1" t="n">
        <v>0</v>
      </c>
      <c r="AK461" s="11" t="n">
        <v>0</v>
      </c>
      <c r="AL461" s="12" t="s">
        <v>188</v>
      </c>
      <c r="AM461" s="13" t="str">
        <f>IF(AL461="","",AL461&amp;" - "&amp;IFERROR(VLOOKUP(AL461,CODEBOOK_CAP!$C$2:$D$212,2,FALSE),""))</f>
        <v>2300 - GERAL</v>
      </c>
      <c r="AN461" s="13" t="str">
        <f>IF(AL461="","",IFERROR(VLOOKUP(AL461,CODEBOOK_CAP!$C$2:$E$212,3,FALSE),""))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461" s="11" t="n">
        <v>0</v>
      </c>
      <c r="AP461" s="11"/>
      <c r="AQ461" s="11" t="n">
        <v>1</v>
      </c>
      <c r="AR461" s="11" t="n">
        <v>1</v>
      </c>
      <c r="AS461" s="11" t="s">
        <v>2820</v>
      </c>
      <c r="AT461" s="11" t="n">
        <v>0</v>
      </c>
      <c r="AU461" s="11"/>
      <c r="AV461" s="11"/>
      <c r="AW461" s="11"/>
      <c r="AX461" s="7" t="s">
        <v>84</v>
      </c>
      <c r="AY461" s="7"/>
      <c r="AZ461" s="7"/>
      <c r="BA461" s="7"/>
      <c r="BB461" s="3" t="s">
        <v>6563</v>
      </c>
    </row>
    <row r="462" ht="85.5" customHeight="1">
      <c r="A462" s="4" t="s">
        <v>2821</v>
      </c>
      <c r="B462" s="4" t="n">
        <v>2022</v>
      </c>
      <c r="C462" s="4" t="n">
        <v>4575</v>
      </c>
      <c r="D462" s="4" t="s">
        <v>54</v>
      </c>
      <c r="E462" s="4" t="s">
        <v>2815</v>
      </c>
      <c r="F462" s="5" t="s">
        <v>2822</v>
      </c>
      <c r="G462" s="4" t="s">
        <v>57</v>
      </c>
      <c r="H462" s="4" t="s">
        <v>2817</v>
      </c>
      <c r="I462" s="4" t="s">
        <v>1214</v>
      </c>
      <c r="J462" s="4" t="s">
        <v>2823</v>
      </c>
      <c r="K462" s="4" t="s">
        <v>428</v>
      </c>
      <c r="L462" s="5" t="s">
        <v>62</v>
      </c>
      <c r="M462" s="4" t="s">
        <v>63</v>
      </c>
      <c r="N462" s="5" t="s">
        <v>64</v>
      </c>
      <c r="O462" s="4" t="s">
        <v>65</v>
      </c>
      <c r="P462" s="5" t="s">
        <v>193</v>
      </c>
      <c r="Q462" s="4" t="s">
        <v>194</v>
      </c>
      <c r="R462" s="5" t="s">
        <v>195</v>
      </c>
      <c r="S462" s="4" t="s">
        <v>196</v>
      </c>
      <c r="T462" s="5" t="s">
        <v>429</v>
      </c>
      <c r="U462" s="4" t="s">
        <v>430</v>
      </c>
      <c r="V462" s="5" t="s">
        <v>104</v>
      </c>
      <c r="W462" s="4" t="s">
        <v>105</v>
      </c>
      <c r="X462" s="4" t="s">
        <v>106</v>
      </c>
      <c r="Y462" s="5"/>
      <c r="Z462" s="4" t="s">
        <v>75</v>
      </c>
      <c r="AA462" s="6" t="n">
        <v>150000</v>
      </c>
      <c r="AB462" s="6" t="n">
        <v>150000</v>
      </c>
      <c r="AC462" s="6" t="n">
        <v>150000</v>
      </c>
      <c r="AD462" s="6" t="n">
        <v>150000</v>
      </c>
      <c r="AE462" s="4" t="s">
        <v>2626</v>
      </c>
      <c r="AF462" s="5" t="s">
        <v>2627</v>
      </c>
      <c r="AG462" s="4" t="s">
        <v>433</v>
      </c>
      <c r="AH462" s="4" t="s">
        <v>433</v>
      </c>
      <c r="AI462" s="5"/>
      <c r="AJ462" s="1" t="n">
        <v>1</v>
      </c>
      <c r="AK462" s="11" t="n">
        <v>1</v>
      </c>
      <c r="AL462" s="12" t="s">
        <v>81</v>
      </c>
      <c r="AM462" s="13" t="str">
        <f>IF(AL462="","",AL462&amp;" - "&amp;IFERROR(VLOOKUP(AL462,CODEBOOK_CAP!$C$2:$D$212,2,FALSE),""))</f>
        <v>0322 - ESTRUTURAS, HOSPITAIS, CLÍNICAS</v>
      </c>
      <c r="AN462" s="13" t="str">
        <f>IF(AL462="","",IFERROR(VLOOKUP(AL462,CODEBOOK_CAP!$C$2:$E$212,3,FALSE),""))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462" s="11" t="n">
        <v>0</v>
      </c>
      <c r="AP462" s="11"/>
      <c r="AQ462" s="11" t="n">
        <v>1</v>
      </c>
      <c r="AR462" s="11" t="n">
        <v>1</v>
      </c>
      <c r="AS462" s="11" t="s">
        <v>1538</v>
      </c>
      <c r="AT462" s="11" t="n">
        <v>0</v>
      </c>
      <c r="AU462" s="11"/>
      <c r="AV462" s="11"/>
      <c r="AW462" s="11"/>
      <c r="AX462" s="7" t="s">
        <v>84</v>
      </c>
      <c r="AY462" s="7"/>
      <c r="AZ462" s="7"/>
      <c r="BA462" s="7"/>
    </row>
    <row r="463" ht="114" customHeight="1">
      <c r="A463" s="4" t="s">
        <v>2824</v>
      </c>
      <c r="B463" s="4" t="n">
        <v>2022</v>
      </c>
      <c r="C463" s="4" t="n">
        <v>4576</v>
      </c>
      <c r="D463" s="4" t="s">
        <v>54</v>
      </c>
      <c r="E463" s="4" t="s">
        <v>2815</v>
      </c>
      <c r="F463" s="5" t="s">
        <v>2825</v>
      </c>
      <c r="G463" s="4" t="s">
        <v>57</v>
      </c>
      <c r="H463" s="4" t="s">
        <v>2817</v>
      </c>
      <c r="I463" s="4" t="s">
        <v>1214</v>
      </c>
      <c r="J463" s="4" t="s">
        <v>2826</v>
      </c>
      <c r="K463" s="4" t="s">
        <v>428</v>
      </c>
      <c r="L463" s="5" t="s">
        <v>62</v>
      </c>
      <c r="M463" s="4" t="s">
        <v>63</v>
      </c>
      <c r="N463" s="5" t="s">
        <v>64</v>
      </c>
      <c r="O463" s="4" t="s">
        <v>65</v>
      </c>
      <c r="P463" s="5" t="s">
        <v>193</v>
      </c>
      <c r="Q463" s="4" t="s">
        <v>194</v>
      </c>
      <c r="R463" s="5" t="s">
        <v>195</v>
      </c>
      <c r="S463" s="4" t="s">
        <v>196</v>
      </c>
      <c r="T463" s="5" t="s">
        <v>429</v>
      </c>
      <c r="U463" s="4" t="s">
        <v>430</v>
      </c>
      <c r="V463" s="5" t="s">
        <v>104</v>
      </c>
      <c r="W463" s="4" t="s">
        <v>105</v>
      </c>
      <c r="X463" s="4" t="s">
        <v>106</v>
      </c>
      <c r="Y463" s="5"/>
      <c r="Z463" s="4" t="s">
        <v>75</v>
      </c>
      <c r="AA463" s="6" t="n">
        <v>100000</v>
      </c>
      <c r="AB463" s="6" t="n">
        <v>100000</v>
      </c>
      <c r="AC463" s="6" t="n">
        <v>100000</v>
      </c>
      <c r="AD463" s="6" t="n">
        <v>100000</v>
      </c>
      <c r="AE463" s="4" t="s">
        <v>450</v>
      </c>
      <c r="AF463" s="5" t="s">
        <v>451</v>
      </c>
      <c r="AG463" s="4" t="s">
        <v>433</v>
      </c>
      <c r="AH463" s="4" t="s">
        <v>433</v>
      </c>
      <c r="AI463" s="5"/>
      <c r="AJ463" s="1" t="n">
        <v>1</v>
      </c>
      <c r="AK463" s="11" t="n">
        <v>1</v>
      </c>
      <c r="AL463" s="12" t="s">
        <v>452</v>
      </c>
      <c r="AM463" s="13" t="str">
        <f>IF(AL463="","",AL463&amp;" - "&amp;IFERROR(VLOOKUP(AL463,CODEBOOK_CAP!$C$2:$D$212,2,FALSE),""))</f>
        <v>0332 - SAÚDE INFANTIL, GRAVIDEZ E PRÉ-NATAL</v>
      </c>
      <c r="AN463" s="13" t="str">
        <f>IF(AL463="","",IFERROR(VLOOKUP(AL463,CODEBOOK_CAP!$C$2:$E$212,3,FALSE),""))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463" s="11" t="n">
        <v>0</v>
      </c>
      <c r="AP463" s="11"/>
      <c r="AQ463" s="11" t="n">
        <v>1</v>
      </c>
      <c r="AR463" s="11" t="n">
        <v>1</v>
      </c>
      <c r="AS463" s="11" t="s">
        <v>453</v>
      </c>
      <c r="AT463" s="11" t="n">
        <v>1</v>
      </c>
      <c r="AU463" s="11" t="s">
        <v>454</v>
      </c>
      <c r="AV463" s="11"/>
      <c r="AW463" s="11"/>
      <c r="AX463" s="7" t="s">
        <v>84</v>
      </c>
      <c r="AY463" s="7"/>
      <c r="AZ463" s="7"/>
      <c r="BA463" s="7"/>
    </row>
    <row r="464" ht="85.5" customHeight="1">
      <c r="A464" s="4" t="s">
        <v>2827</v>
      </c>
      <c r="B464" s="4" t="n">
        <v>2022</v>
      </c>
      <c r="C464" s="4" t="n">
        <v>4577</v>
      </c>
      <c r="D464" s="4" t="s">
        <v>54</v>
      </c>
      <c r="E464" s="4" t="s">
        <v>2815</v>
      </c>
      <c r="F464" s="5" t="s">
        <v>2828</v>
      </c>
      <c r="G464" s="4" t="s">
        <v>57</v>
      </c>
      <c r="H464" s="4" t="s">
        <v>2817</v>
      </c>
      <c r="I464" s="4" t="s">
        <v>1214</v>
      </c>
      <c r="J464" s="4" t="s">
        <v>2829</v>
      </c>
      <c r="K464" s="4" t="s">
        <v>428</v>
      </c>
      <c r="L464" s="5" t="s">
        <v>62</v>
      </c>
      <c r="M464" s="4" t="s">
        <v>63</v>
      </c>
      <c r="N464" s="5" t="s">
        <v>64</v>
      </c>
      <c r="O464" s="4" t="s">
        <v>65</v>
      </c>
      <c r="P464" s="5" t="s">
        <v>193</v>
      </c>
      <c r="Q464" s="4" t="s">
        <v>194</v>
      </c>
      <c r="R464" s="5" t="s">
        <v>195</v>
      </c>
      <c r="S464" s="4" t="s">
        <v>196</v>
      </c>
      <c r="T464" s="5" t="s">
        <v>429</v>
      </c>
      <c r="U464" s="4" t="s">
        <v>430</v>
      </c>
      <c r="V464" s="5" t="s">
        <v>104</v>
      </c>
      <c r="W464" s="4" t="s">
        <v>105</v>
      </c>
      <c r="X464" s="4" t="s">
        <v>106</v>
      </c>
      <c r="Y464" s="5"/>
      <c r="Z464" s="4" t="s">
        <v>75</v>
      </c>
      <c r="AA464" s="6" t="n">
        <v>50000</v>
      </c>
      <c r="AB464" s="6" t="n">
        <v>50000</v>
      </c>
      <c r="AC464" s="6" t="n">
        <v>50000</v>
      </c>
      <c r="AD464" s="6" t="n">
        <v>50000</v>
      </c>
      <c r="AE464" s="4" t="s">
        <v>431</v>
      </c>
      <c r="AF464" s="5" t="s">
        <v>432</v>
      </c>
      <c r="AG464" s="4" t="s">
        <v>433</v>
      </c>
      <c r="AH464" s="4" t="s">
        <v>433</v>
      </c>
      <c r="AI464" s="5"/>
      <c r="AJ464" s="1" t="n">
        <v>1</v>
      </c>
      <c r="AK464" s="11" t="n">
        <v>1</v>
      </c>
      <c r="AL464" s="12" t="s">
        <v>81</v>
      </c>
      <c r="AM464" s="13" t="str">
        <f>IF(AL464="","",AL464&amp;" - "&amp;IFERROR(VLOOKUP(AL464,CODEBOOK_CAP!$C$2:$D$212,2,FALSE),""))</f>
        <v>0322 - ESTRUTURAS, HOSPITAIS, CLÍNICAS</v>
      </c>
      <c r="AN464" s="13" t="str">
        <f>IF(AL464="","",IFERROR(VLOOKUP(AL464,CODEBOOK_CAP!$C$2:$E$212,3,FALSE),""))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464" s="11" t="n">
        <v>0</v>
      </c>
      <c r="AP464" s="11"/>
      <c r="AQ464" s="11" t="n">
        <v>1</v>
      </c>
      <c r="AR464" s="11" t="n">
        <v>1</v>
      </c>
      <c r="AS464" s="11" t="s">
        <v>2830</v>
      </c>
      <c r="AT464" s="11" t="n">
        <v>0</v>
      </c>
      <c r="AU464" s="11"/>
      <c r="AV464" s="11"/>
      <c r="AW464" s="11"/>
      <c r="AX464" s="7" t="s">
        <v>84</v>
      </c>
      <c r="AY464" s="7"/>
      <c r="AZ464" s="7"/>
      <c r="BA464" s="7"/>
    </row>
    <row r="465" ht="85.5" customHeight="1">
      <c r="A465" s="4" t="s">
        <v>2831</v>
      </c>
      <c r="B465" s="4" t="n">
        <v>2022</v>
      </c>
      <c r="C465" s="4" t="n">
        <v>4578</v>
      </c>
      <c r="D465" s="4" t="s">
        <v>54</v>
      </c>
      <c r="E465" s="4" t="s">
        <v>2815</v>
      </c>
      <c r="F465" s="5" t="s">
        <v>2832</v>
      </c>
      <c r="G465" s="4" t="s">
        <v>57</v>
      </c>
      <c r="H465" s="4" t="s">
        <v>2817</v>
      </c>
      <c r="I465" s="4" t="s">
        <v>1214</v>
      </c>
      <c r="J465" s="4" t="s">
        <v>2833</v>
      </c>
      <c r="K465" s="4" t="s">
        <v>428</v>
      </c>
      <c r="L465" s="5" t="s">
        <v>62</v>
      </c>
      <c r="M465" s="4" t="s">
        <v>63</v>
      </c>
      <c r="N465" s="5" t="s">
        <v>64</v>
      </c>
      <c r="O465" s="4" t="s">
        <v>65</v>
      </c>
      <c r="P465" s="5" t="s">
        <v>193</v>
      </c>
      <c r="Q465" s="4" t="s">
        <v>194</v>
      </c>
      <c r="R465" s="5" t="s">
        <v>195</v>
      </c>
      <c r="S465" s="4" t="s">
        <v>196</v>
      </c>
      <c r="T465" s="5" t="s">
        <v>429</v>
      </c>
      <c r="U465" s="4" t="s">
        <v>430</v>
      </c>
      <c r="V465" s="5" t="s">
        <v>104</v>
      </c>
      <c r="W465" s="4" t="s">
        <v>105</v>
      </c>
      <c r="X465" s="4" t="s">
        <v>106</v>
      </c>
      <c r="Y465" s="5"/>
      <c r="Z465" s="4" t="s">
        <v>75</v>
      </c>
      <c r="AA465" s="6" t="n">
        <v>50000</v>
      </c>
      <c r="AB465" s="6" t="n">
        <v>50000</v>
      </c>
      <c r="AC465" s="6" t="n">
        <v>50000</v>
      </c>
      <c r="AD465" s="6" t="n">
        <v>50000</v>
      </c>
      <c r="AE465" s="4" t="s">
        <v>641</v>
      </c>
      <c r="AF465" s="5" t="s">
        <v>642</v>
      </c>
      <c r="AG465" s="4" t="s">
        <v>433</v>
      </c>
      <c r="AH465" s="4" t="s">
        <v>433</v>
      </c>
      <c r="AI465" s="5"/>
      <c r="AJ465" s="1" t="n">
        <v>1</v>
      </c>
      <c r="AK465" s="11" t="n">
        <v>1</v>
      </c>
      <c r="AL465" s="12" t="s">
        <v>81</v>
      </c>
      <c r="AM465" s="13" t="str">
        <f>IF(AL465="","",AL465&amp;" - "&amp;IFERROR(VLOOKUP(AL465,CODEBOOK_CAP!$C$2:$D$212,2,FALSE),""))</f>
        <v>0322 - ESTRUTURAS, HOSPITAIS, CLÍNICAS</v>
      </c>
      <c r="AN465" s="13" t="str">
        <f>IF(AL465="","",IFERROR(VLOOKUP(AL465,CODEBOOK_CAP!$C$2:$E$212,3,FALSE),""))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465" s="11" t="n">
        <v>0</v>
      </c>
      <c r="AP465" s="11"/>
      <c r="AQ465" s="11" t="n">
        <v>0</v>
      </c>
      <c r="AR465" s="11" t="n">
        <v>0</v>
      </c>
      <c r="AS465" s="11"/>
      <c r="AT465" s="11" t="n">
        <v>0</v>
      </c>
      <c r="AU465" s="11"/>
      <c r="AV465" s="11"/>
      <c r="AW465" s="11"/>
      <c r="AX465" s="7" t="s">
        <v>84</v>
      </c>
      <c r="AY465" s="7"/>
      <c r="AZ465" s="7"/>
      <c r="BA465" s="7"/>
    </row>
    <row r="466" ht="85.5" customHeight="1">
      <c r="A466" s="4" t="s">
        <v>2834</v>
      </c>
      <c r="B466" s="4" t="n">
        <v>2022</v>
      </c>
      <c r="C466" s="4" t="n">
        <v>4579</v>
      </c>
      <c r="D466" s="4" t="s">
        <v>54</v>
      </c>
      <c r="E466" s="4" t="s">
        <v>2815</v>
      </c>
      <c r="F466" s="5" t="s">
        <v>2835</v>
      </c>
      <c r="G466" s="4" t="s">
        <v>57</v>
      </c>
      <c r="H466" s="4" t="s">
        <v>2817</v>
      </c>
      <c r="I466" s="4" t="s">
        <v>1214</v>
      </c>
      <c r="J466" s="4" t="s">
        <v>2836</v>
      </c>
      <c r="K466" s="4" t="s">
        <v>428</v>
      </c>
      <c r="L466" s="5" t="s">
        <v>62</v>
      </c>
      <c r="M466" s="4" t="s">
        <v>63</v>
      </c>
      <c r="N466" s="5" t="s">
        <v>64</v>
      </c>
      <c r="O466" s="4" t="s">
        <v>65</v>
      </c>
      <c r="P466" s="5" t="s">
        <v>193</v>
      </c>
      <c r="Q466" s="4" t="s">
        <v>194</v>
      </c>
      <c r="R466" s="5" t="s">
        <v>195</v>
      </c>
      <c r="S466" s="4" t="s">
        <v>196</v>
      </c>
      <c r="T466" s="5" t="s">
        <v>429</v>
      </c>
      <c r="U466" s="4" t="s">
        <v>430</v>
      </c>
      <c r="V466" s="5" t="s">
        <v>104</v>
      </c>
      <c r="W466" s="4" t="s">
        <v>105</v>
      </c>
      <c r="X466" s="4" t="s">
        <v>106</v>
      </c>
      <c r="Y466" s="5"/>
      <c r="Z466" s="4" t="s">
        <v>75</v>
      </c>
      <c r="AA466" s="6" t="n">
        <v>50000</v>
      </c>
      <c r="AB466" s="6" t="n">
        <v>50000</v>
      </c>
      <c r="AC466" s="6" t="n">
        <v>50000</v>
      </c>
      <c r="AD466" s="6" t="n">
        <v>50000</v>
      </c>
      <c r="AE466" s="4" t="s">
        <v>2381</v>
      </c>
      <c r="AF466" s="5" t="s">
        <v>2382</v>
      </c>
      <c r="AG466" s="4" t="s">
        <v>433</v>
      </c>
      <c r="AH466" s="4" t="s">
        <v>433</v>
      </c>
      <c r="AI466" s="5"/>
      <c r="AJ466" s="1" t="n">
        <v>1</v>
      </c>
      <c r="AK466" s="11" t="n">
        <v>1</v>
      </c>
      <c r="AL466" s="12" t="s">
        <v>81</v>
      </c>
      <c r="AM466" s="13" t="str">
        <f>IF(AL466="","",AL466&amp;" - "&amp;IFERROR(VLOOKUP(AL466,CODEBOOK_CAP!$C$2:$D$212,2,FALSE),""))</f>
        <v>0322 - ESTRUTURAS, HOSPITAIS, CLÍNICAS</v>
      </c>
      <c r="AN466" s="13" t="str">
        <f>IF(AL466="","",IFERROR(VLOOKUP(AL466,CODEBOOK_CAP!$C$2:$E$212,3,FALSE),""))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466" s="11" t="n">
        <v>0</v>
      </c>
      <c r="AP466" s="11"/>
      <c r="AQ466" s="11" t="n">
        <v>0</v>
      </c>
      <c r="AR466" s="11" t="n">
        <v>0</v>
      </c>
      <c r="AS466" s="11"/>
      <c r="AT466" s="11" t="n">
        <v>0</v>
      </c>
      <c r="AU466" s="11"/>
      <c r="AV466" s="11"/>
      <c r="AW466" s="11"/>
      <c r="AX466" s="7" t="s">
        <v>84</v>
      </c>
      <c r="AY466" s="7"/>
      <c r="AZ466" s="7"/>
      <c r="BA466" s="7"/>
    </row>
    <row r="467" ht="85.5" customHeight="1">
      <c r="A467" s="4" t="s">
        <v>2837</v>
      </c>
      <c r="B467" s="4" t="n">
        <v>2022</v>
      </c>
      <c r="C467" s="4" t="n">
        <v>4580</v>
      </c>
      <c r="D467" s="4" t="s">
        <v>54</v>
      </c>
      <c r="E467" s="4" t="s">
        <v>2815</v>
      </c>
      <c r="F467" s="5" t="s">
        <v>2838</v>
      </c>
      <c r="G467" s="4" t="s">
        <v>57</v>
      </c>
      <c r="H467" s="4" t="s">
        <v>2817</v>
      </c>
      <c r="I467" s="4" t="s">
        <v>1214</v>
      </c>
      <c r="J467" s="4" t="s">
        <v>2839</v>
      </c>
      <c r="K467" s="4" t="s">
        <v>428</v>
      </c>
      <c r="L467" s="5" t="s">
        <v>62</v>
      </c>
      <c r="M467" s="4" t="s">
        <v>63</v>
      </c>
      <c r="N467" s="5" t="s">
        <v>64</v>
      </c>
      <c r="O467" s="4" t="s">
        <v>65</v>
      </c>
      <c r="P467" s="5" t="s">
        <v>193</v>
      </c>
      <c r="Q467" s="4" t="s">
        <v>194</v>
      </c>
      <c r="R467" s="5" t="s">
        <v>195</v>
      </c>
      <c r="S467" s="4" t="s">
        <v>196</v>
      </c>
      <c r="T467" s="5" t="s">
        <v>429</v>
      </c>
      <c r="U467" s="4" t="s">
        <v>430</v>
      </c>
      <c r="V467" s="5" t="s">
        <v>104</v>
      </c>
      <c r="W467" s="4" t="s">
        <v>105</v>
      </c>
      <c r="X467" s="4" t="s">
        <v>106</v>
      </c>
      <c r="Y467" s="5"/>
      <c r="Z467" s="4" t="s">
        <v>75</v>
      </c>
      <c r="AA467" s="6" t="n">
        <v>44000</v>
      </c>
      <c r="AB467" s="6" t="n">
        <v>44000</v>
      </c>
      <c r="AC467" s="6" t="n">
        <v>44000</v>
      </c>
      <c r="AD467" s="6" t="n">
        <v>44000</v>
      </c>
      <c r="AE467" s="4" t="s">
        <v>750</v>
      </c>
      <c r="AF467" s="5" t="s">
        <v>751</v>
      </c>
      <c r="AG467" s="4" t="s">
        <v>433</v>
      </c>
      <c r="AH467" s="4" t="s">
        <v>433</v>
      </c>
      <c r="AI467" s="5"/>
      <c r="AJ467" s="1" t="n">
        <v>1</v>
      </c>
      <c r="AK467" s="11" t="n">
        <v>1</v>
      </c>
      <c r="AL467" s="12" t="s">
        <v>81</v>
      </c>
      <c r="AM467" s="13" t="str">
        <f>IF(AL467="","",AL467&amp;" - "&amp;IFERROR(VLOOKUP(AL467,CODEBOOK_CAP!$C$2:$D$212,2,FALSE),""))</f>
        <v>0322 - ESTRUTURAS, HOSPITAIS, CLÍNICAS</v>
      </c>
      <c r="AN467" s="13" t="str">
        <f>IF(AL467="","",IFERROR(VLOOKUP(AL467,CODEBOOK_CAP!$C$2:$E$212,3,FALSE),""))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467" s="11" t="n">
        <v>0</v>
      </c>
      <c r="AP467" s="11"/>
      <c r="AQ467" s="11" t="n">
        <v>1</v>
      </c>
      <c r="AR467" s="11" t="n">
        <v>1</v>
      </c>
      <c r="AS467" s="11" t="s">
        <v>2593</v>
      </c>
      <c r="AT467" s="11" t="n">
        <v>0</v>
      </c>
      <c r="AU467" s="11"/>
      <c r="AV467" s="11"/>
      <c r="AW467" s="11"/>
      <c r="AX467" s="7" t="s">
        <v>84</v>
      </c>
      <c r="AY467" s="7"/>
      <c r="AZ467" s="7"/>
      <c r="BA467" s="7"/>
    </row>
    <row r="468" ht="85.5" customHeight="1">
      <c r="A468" s="4" t="s">
        <v>2840</v>
      </c>
      <c r="B468" s="4" t="n">
        <v>2022</v>
      </c>
      <c r="C468" s="4" t="n">
        <v>4581</v>
      </c>
      <c r="D468" s="4" t="s">
        <v>54</v>
      </c>
      <c r="E468" s="4" t="s">
        <v>2815</v>
      </c>
      <c r="F468" s="5" t="s">
        <v>2841</v>
      </c>
      <c r="G468" s="4" t="s">
        <v>57</v>
      </c>
      <c r="H468" s="4" t="s">
        <v>2817</v>
      </c>
      <c r="I468" s="4" t="s">
        <v>1214</v>
      </c>
      <c r="J468" s="4" t="s">
        <v>2842</v>
      </c>
      <c r="K468" s="4" t="s">
        <v>428</v>
      </c>
      <c r="L468" s="5" t="s">
        <v>62</v>
      </c>
      <c r="M468" s="4" t="s">
        <v>63</v>
      </c>
      <c r="N468" s="5" t="s">
        <v>64</v>
      </c>
      <c r="O468" s="4" t="s">
        <v>65</v>
      </c>
      <c r="P468" s="5" t="s">
        <v>193</v>
      </c>
      <c r="Q468" s="4" t="s">
        <v>194</v>
      </c>
      <c r="R468" s="5" t="s">
        <v>195</v>
      </c>
      <c r="S468" s="4" t="s">
        <v>196</v>
      </c>
      <c r="T468" s="5" t="s">
        <v>429</v>
      </c>
      <c r="U468" s="4" t="s">
        <v>430</v>
      </c>
      <c r="V468" s="5" t="s">
        <v>104</v>
      </c>
      <c r="W468" s="4" t="s">
        <v>105</v>
      </c>
      <c r="X468" s="4" t="s">
        <v>106</v>
      </c>
      <c r="Y468" s="5"/>
      <c r="Z468" s="4" t="s">
        <v>75</v>
      </c>
      <c r="AA468" s="6" t="n">
        <v>250000</v>
      </c>
      <c r="AB468" s="6" t="n">
        <v>250000</v>
      </c>
      <c r="AC468" s="6" t="n">
        <v>250000</v>
      </c>
      <c r="AD468" s="6" t="n">
        <v>250000</v>
      </c>
      <c r="AE468" s="4" t="s">
        <v>743</v>
      </c>
      <c r="AF468" s="5" t="s">
        <v>744</v>
      </c>
      <c r="AG468" s="4" t="s">
        <v>433</v>
      </c>
      <c r="AH468" s="4" t="s">
        <v>433</v>
      </c>
      <c r="AI468" s="5"/>
      <c r="AJ468" s="1" t="n">
        <v>1</v>
      </c>
      <c r="AK468" s="11" t="n">
        <v>1</v>
      </c>
      <c r="AL468" s="12" t="s">
        <v>81</v>
      </c>
      <c r="AM468" s="13" t="str">
        <f>IF(AL468="","",AL468&amp;" - "&amp;IFERROR(VLOOKUP(AL468,CODEBOOK_CAP!$C$2:$D$212,2,FALSE),""))</f>
        <v>0322 - ESTRUTURAS, HOSPITAIS, CLÍNICAS</v>
      </c>
      <c r="AN468" s="13" t="str">
        <f>IF(AL468="","",IFERROR(VLOOKUP(AL468,CODEBOOK_CAP!$C$2:$E$212,3,FALSE),""))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468" s="11" t="n">
        <v>0</v>
      </c>
      <c r="AP468" s="11"/>
      <c r="AQ468" s="11" t="n">
        <v>1</v>
      </c>
      <c r="AR468" s="11" t="n">
        <v>1</v>
      </c>
      <c r="AS468" s="11" t="s">
        <v>2843</v>
      </c>
      <c r="AT468" s="11" t="n">
        <v>0</v>
      </c>
      <c r="AU468" s="11"/>
      <c r="AV468" s="11"/>
      <c r="AW468" s="11"/>
      <c r="AX468" s="7" t="s">
        <v>84</v>
      </c>
      <c r="AY468" s="7"/>
      <c r="AZ468" s="7"/>
      <c r="BA468" s="7"/>
    </row>
    <row r="469" ht="85.5" customHeight="1">
      <c r="A469" s="4" t="s">
        <v>2844</v>
      </c>
      <c r="B469" s="4" t="n">
        <v>2022</v>
      </c>
      <c r="C469" s="4" t="n">
        <v>4582</v>
      </c>
      <c r="D469" s="4" t="s">
        <v>54</v>
      </c>
      <c r="E469" s="4" t="s">
        <v>2815</v>
      </c>
      <c r="F469" s="5" t="s">
        <v>2845</v>
      </c>
      <c r="G469" s="4" t="s">
        <v>57</v>
      </c>
      <c r="H469" s="4" t="s">
        <v>2817</v>
      </c>
      <c r="I469" s="4" t="s">
        <v>1214</v>
      </c>
      <c r="J469" s="4" t="s">
        <v>2846</v>
      </c>
      <c r="K469" s="4" t="s">
        <v>428</v>
      </c>
      <c r="L469" s="5" t="s">
        <v>62</v>
      </c>
      <c r="M469" s="4" t="s">
        <v>63</v>
      </c>
      <c r="N469" s="5" t="s">
        <v>64</v>
      </c>
      <c r="O469" s="4" t="s">
        <v>65</v>
      </c>
      <c r="P469" s="5" t="s">
        <v>193</v>
      </c>
      <c r="Q469" s="4" t="s">
        <v>194</v>
      </c>
      <c r="R469" s="5" t="s">
        <v>195</v>
      </c>
      <c r="S469" s="4" t="s">
        <v>196</v>
      </c>
      <c r="T469" s="5" t="s">
        <v>429</v>
      </c>
      <c r="U469" s="4" t="s">
        <v>430</v>
      </c>
      <c r="V469" s="5" t="s">
        <v>104</v>
      </c>
      <c r="W469" s="4" t="s">
        <v>105</v>
      </c>
      <c r="X469" s="4" t="s">
        <v>106</v>
      </c>
      <c r="Y469" s="5"/>
      <c r="Z469" s="4" t="s">
        <v>75</v>
      </c>
      <c r="AA469" s="6" t="n">
        <v>250000</v>
      </c>
      <c r="AB469" s="6" t="n">
        <v>250000</v>
      </c>
      <c r="AC469" s="6" t="n">
        <v>250000</v>
      </c>
      <c r="AD469" s="6" t="n">
        <v>250000</v>
      </c>
      <c r="AE469" s="4" t="s">
        <v>743</v>
      </c>
      <c r="AF469" s="5" t="s">
        <v>966</v>
      </c>
      <c r="AG469" s="4" t="s">
        <v>433</v>
      </c>
      <c r="AH469" s="4" t="s">
        <v>433</v>
      </c>
      <c r="AI469" s="5"/>
      <c r="AJ469" s="1" t="n">
        <v>1</v>
      </c>
      <c r="AK469" s="11" t="n">
        <v>1</v>
      </c>
      <c r="AL469" s="12" t="s">
        <v>81</v>
      </c>
      <c r="AM469" s="13" t="str">
        <f>IF(AL469="","",AL469&amp;" - "&amp;IFERROR(VLOOKUP(AL469,CODEBOOK_CAP!$C$2:$D$212,2,FALSE),""))</f>
        <v>0322 - ESTRUTURAS, HOSPITAIS, CLÍNICAS</v>
      </c>
      <c r="AN469" s="13" t="str">
        <f>IF(AL469="","",IFERROR(VLOOKUP(AL469,CODEBOOK_CAP!$C$2:$E$212,3,FALSE),""))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469" s="11" t="n">
        <v>0</v>
      </c>
      <c r="AP469" s="11"/>
      <c r="AQ469" s="11" t="n">
        <v>1</v>
      </c>
      <c r="AR469" s="11" t="n">
        <v>1</v>
      </c>
      <c r="AS469" s="11" t="s">
        <v>2847</v>
      </c>
      <c r="AT469" s="11" t="n">
        <v>0</v>
      </c>
      <c r="AU469" s="11"/>
      <c r="AV469" s="11"/>
      <c r="AW469" s="11"/>
      <c r="AX469" s="7" t="s">
        <v>84</v>
      </c>
      <c r="AY469" s="7"/>
      <c r="AZ469" s="7"/>
      <c r="BA469" s="7"/>
    </row>
    <row r="470" ht="85.5" customHeight="1">
      <c r="A470" s="4" t="s">
        <v>2848</v>
      </c>
      <c r="B470" s="4" t="n">
        <v>2022</v>
      </c>
      <c r="C470" s="4" t="n">
        <v>4583</v>
      </c>
      <c r="D470" s="4" t="s">
        <v>54</v>
      </c>
      <c r="E470" s="4" t="s">
        <v>2815</v>
      </c>
      <c r="F470" s="5" t="s">
        <v>2849</v>
      </c>
      <c r="G470" s="4" t="s">
        <v>57</v>
      </c>
      <c r="H470" s="4" t="s">
        <v>2817</v>
      </c>
      <c r="I470" s="4" t="s">
        <v>1214</v>
      </c>
      <c r="J470" s="4" t="s">
        <v>2850</v>
      </c>
      <c r="K470" s="4" t="s">
        <v>428</v>
      </c>
      <c r="L470" s="5" t="s">
        <v>62</v>
      </c>
      <c r="M470" s="4" t="s">
        <v>63</v>
      </c>
      <c r="N470" s="5" t="s">
        <v>64</v>
      </c>
      <c r="O470" s="4" t="s">
        <v>65</v>
      </c>
      <c r="P470" s="5" t="s">
        <v>193</v>
      </c>
      <c r="Q470" s="4" t="s">
        <v>194</v>
      </c>
      <c r="R470" s="5" t="s">
        <v>195</v>
      </c>
      <c r="S470" s="4" t="s">
        <v>196</v>
      </c>
      <c r="T470" s="5" t="s">
        <v>429</v>
      </c>
      <c r="U470" s="4" t="s">
        <v>430</v>
      </c>
      <c r="V470" s="5" t="s">
        <v>104</v>
      </c>
      <c r="W470" s="4" t="s">
        <v>105</v>
      </c>
      <c r="X470" s="4" t="s">
        <v>106</v>
      </c>
      <c r="Y470" s="5"/>
      <c r="Z470" s="4" t="s">
        <v>75</v>
      </c>
      <c r="AA470" s="6" t="n">
        <v>250000</v>
      </c>
      <c r="AB470" s="6" t="n">
        <v>0</v>
      </c>
      <c r="AC470" s="6" t="n">
        <v>0</v>
      </c>
      <c r="AD470" s="6" t="n">
        <v>0</v>
      </c>
      <c r="AE470" s="4" t="s">
        <v>444</v>
      </c>
      <c r="AF470" s="5" t="s">
        <v>445</v>
      </c>
      <c r="AG470" s="4" t="s">
        <v>115</v>
      </c>
      <c r="AH470" s="4" t="s">
        <v>115</v>
      </c>
      <c r="AI470" s="5" t="s">
        <v>115</v>
      </c>
      <c r="AJ470" s="1" t="n">
        <v>1</v>
      </c>
      <c r="AK470" s="11" t="n">
        <v>1</v>
      </c>
      <c r="AL470" s="12" t="s">
        <v>81</v>
      </c>
      <c r="AM470" s="13" t="str">
        <f>IF(AL470="","",AL470&amp;" - "&amp;IFERROR(VLOOKUP(AL470,CODEBOOK_CAP!$C$2:$D$212,2,FALSE),""))</f>
        <v>0322 - ESTRUTURAS, HOSPITAIS, CLÍNICAS</v>
      </c>
      <c r="AN470" s="13" t="str">
        <f>IF(AL470="","",IFERROR(VLOOKUP(AL470,CODEBOOK_CAP!$C$2:$E$212,3,FALSE),""))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470" s="11" t="n">
        <v>0</v>
      </c>
      <c r="AP470" s="11"/>
      <c r="AQ470" s="11" t="n">
        <v>1</v>
      </c>
      <c r="AR470" s="11" t="n">
        <v>1</v>
      </c>
      <c r="AS470" s="11" t="s">
        <v>2851</v>
      </c>
      <c r="AT470" s="11" t="n">
        <v>0</v>
      </c>
      <c r="AU470" s="11"/>
      <c r="AV470" s="11"/>
      <c r="AW470" s="11"/>
      <c r="AX470" s="7" t="s">
        <v>84</v>
      </c>
      <c r="AY470" s="7"/>
      <c r="AZ470" s="7"/>
      <c r="BA470" s="7"/>
    </row>
    <row r="471" ht="85.5" customHeight="1">
      <c r="A471" s="4" t="s">
        <v>2852</v>
      </c>
      <c r="B471" s="4" t="n">
        <v>2022</v>
      </c>
      <c r="C471" s="4" t="n">
        <v>4584</v>
      </c>
      <c r="D471" s="4" t="s">
        <v>54</v>
      </c>
      <c r="E471" s="4" t="s">
        <v>2815</v>
      </c>
      <c r="F471" s="5" t="s">
        <v>2853</v>
      </c>
      <c r="G471" s="4" t="s">
        <v>57</v>
      </c>
      <c r="H471" s="4" t="s">
        <v>2817</v>
      </c>
      <c r="I471" s="4" t="s">
        <v>1214</v>
      </c>
      <c r="J471" s="4" t="s">
        <v>2854</v>
      </c>
      <c r="K471" s="4" t="s">
        <v>1701</v>
      </c>
      <c r="L471" s="5" t="s">
        <v>62</v>
      </c>
      <c r="M471" s="4" t="s">
        <v>63</v>
      </c>
      <c r="N471" s="5" t="s">
        <v>64</v>
      </c>
      <c r="O471" s="4" t="s">
        <v>65</v>
      </c>
      <c r="P471" s="5" t="s">
        <v>344</v>
      </c>
      <c r="Q471" s="4" t="s">
        <v>345</v>
      </c>
      <c r="R471" s="5" t="s">
        <v>346</v>
      </c>
      <c r="S471" s="4" t="s">
        <v>347</v>
      </c>
      <c r="T471" s="5" t="s">
        <v>555</v>
      </c>
      <c r="U471" s="4" t="s">
        <v>347</v>
      </c>
      <c r="V471" s="5" t="s">
        <v>104</v>
      </c>
      <c r="W471" s="4" t="s">
        <v>105</v>
      </c>
      <c r="X471" s="4" t="s">
        <v>106</v>
      </c>
      <c r="Y471" s="5"/>
      <c r="Z471" s="4" t="s">
        <v>75</v>
      </c>
      <c r="AA471" s="6" t="n">
        <v>95220</v>
      </c>
      <c r="AB471" s="6" t="n">
        <v>95220</v>
      </c>
      <c r="AC471" s="6" t="n">
        <v>95220</v>
      </c>
      <c r="AD471" s="6" t="n">
        <v>95220</v>
      </c>
      <c r="AE471" s="4" t="s">
        <v>2855</v>
      </c>
      <c r="AF471" s="5" t="s">
        <v>2856</v>
      </c>
      <c r="AG471" s="4" t="s">
        <v>78</v>
      </c>
      <c r="AH471" s="4" t="s">
        <v>79</v>
      </c>
      <c r="AI471" s="5" t="s">
        <v>80</v>
      </c>
      <c r="AJ471" s="1" t="n">
        <v>1</v>
      </c>
      <c r="AK471" s="11" t="n">
        <v>1</v>
      </c>
      <c r="AL471" s="12" t="s">
        <v>81</v>
      </c>
      <c r="AM471" s="13" t="str">
        <f>IF(AL471="","",AL471&amp;" - "&amp;IFERROR(VLOOKUP(AL471,CODEBOOK_CAP!$C$2:$D$212,2,FALSE),""))</f>
        <v>0322 - ESTRUTURAS, HOSPITAIS, CLÍNICAS</v>
      </c>
      <c r="AN471" s="13" t="str">
        <f>IF(AL471="","",IFERROR(VLOOKUP(AL471,CODEBOOK_CAP!$C$2:$E$212,3,FALSE),""))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471" s="11" t="n">
        <v>1</v>
      </c>
      <c r="AP471" s="11" t="s">
        <v>2857</v>
      </c>
      <c r="AQ471" s="11" t="n">
        <v>0</v>
      </c>
      <c r="AR471" s="11" t="n">
        <v>0</v>
      </c>
      <c r="AS471" s="11"/>
      <c r="AT471" s="11" t="n">
        <v>0</v>
      </c>
      <c r="AU471" s="11"/>
      <c r="AV471" s="11"/>
      <c r="AW471" s="11"/>
      <c r="AX471" s="7" t="s">
        <v>84</v>
      </c>
      <c r="AY471" s="7"/>
      <c r="AZ471" s="7"/>
      <c r="BA471" s="7"/>
    </row>
    <row r="472" ht="156.75" customHeight="1">
      <c r="A472" s="4" t="s">
        <v>2858</v>
      </c>
      <c r="B472" s="4" t="n">
        <v>2022</v>
      </c>
      <c r="C472" s="4" t="n">
        <v>4585</v>
      </c>
      <c r="D472" s="4" t="s">
        <v>54</v>
      </c>
      <c r="E472" s="4" t="s">
        <v>2815</v>
      </c>
      <c r="F472" s="5" t="s">
        <v>2859</v>
      </c>
      <c r="G472" s="4" t="s">
        <v>289</v>
      </c>
      <c r="H472" s="4" t="s">
        <v>2817</v>
      </c>
      <c r="I472" s="4" t="s">
        <v>1214</v>
      </c>
      <c r="J472" s="4" t="s">
        <v>2860</v>
      </c>
      <c r="K472" s="4" t="s">
        <v>115</v>
      </c>
      <c r="L472" s="5"/>
      <c r="M472" s="4"/>
      <c r="N472" s="5"/>
      <c r="O472" s="4"/>
      <c r="P472" s="5"/>
      <c r="Q472" s="4"/>
      <c r="R472" s="5"/>
      <c r="S472" s="4"/>
      <c r="T472" s="5"/>
      <c r="U472" s="4"/>
      <c r="V472" s="5"/>
      <c r="W472" s="4"/>
      <c r="X472" s="4"/>
      <c r="Y472" s="5"/>
      <c r="Z472" s="4" t="s">
        <v>289</v>
      </c>
      <c r="AA472" s="6" t="n">
        <v>100000</v>
      </c>
      <c r="AB472" s="6"/>
      <c r="AC472" s="6"/>
      <c r="AD472" s="6"/>
      <c r="AE472" s="4" t="s">
        <v>115</v>
      </c>
      <c r="AF472" s="5"/>
      <c r="AG472" s="4" t="s">
        <v>110</v>
      </c>
      <c r="AH472" s="4" t="s">
        <v>110</v>
      </c>
      <c r="AI472" s="5"/>
      <c r="AJ472" s="1" t="n">
        <v>0</v>
      </c>
      <c r="AK472" s="11" t="n">
        <v>0</v>
      </c>
      <c r="AL472" s="12" t="s">
        <v>111</v>
      </c>
      <c r="AM472" s="13" t="str">
        <f>IF(AL472="","",AL472&amp;" - "&amp;IFERROR(VLOOKUP(AL472,CODEBOOK_CAP!$C$2:$D$212,2,FALSE),""))</f>
        <v>1300 - GERAL</v>
      </c>
      <c r="AN472" s="13" t="str">
        <f>IF(AL472="","",IFERROR(VLOOKUP(AL472,CODEBOOK_CAP!$C$2:$E$212,3,FALSE),""))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472" s="11" t="n">
        <v>0</v>
      </c>
      <c r="AP472" s="11"/>
      <c r="AQ472" s="11" t="n">
        <v>0</v>
      </c>
      <c r="AR472" s="11" t="n">
        <v>0</v>
      </c>
      <c r="AS472" s="11"/>
      <c r="AT472" s="11" t="n">
        <v>1</v>
      </c>
      <c r="AU472" s="11" t="s">
        <v>834</v>
      </c>
      <c r="AV472" s="11"/>
      <c r="AW472" s="11"/>
      <c r="AX472" s="7" t="s">
        <v>84</v>
      </c>
      <c r="AY472" s="7"/>
      <c r="AZ472" s="7"/>
      <c r="BA472" s="7"/>
    </row>
    <row r="473" ht="156.75" customHeight="1">
      <c r="A473" s="4" t="s">
        <v>2861</v>
      </c>
      <c r="B473" s="4" t="n">
        <v>2022</v>
      </c>
      <c r="C473" s="4" t="n">
        <v>4586</v>
      </c>
      <c r="D473" s="4" t="s">
        <v>54</v>
      </c>
      <c r="E473" s="4" t="s">
        <v>2815</v>
      </c>
      <c r="F473" s="5" t="s">
        <v>2862</v>
      </c>
      <c r="G473" s="4" t="s">
        <v>57</v>
      </c>
      <c r="H473" s="4" t="s">
        <v>2817</v>
      </c>
      <c r="I473" s="4" t="s">
        <v>1214</v>
      </c>
      <c r="J473" s="4" t="s">
        <v>2863</v>
      </c>
      <c r="K473" s="4" t="s">
        <v>2864</v>
      </c>
      <c r="L473" s="5" t="s">
        <v>94</v>
      </c>
      <c r="M473" s="4" t="s">
        <v>95</v>
      </c>
      <c r="N473" s="5" t="s">
        <v>96</v>
      </c>
      <c r="O473" s="4" t="s">
        <v>97</v>
      </c>
      <c r="P473" s="5" t="s">
        <v>2253</v>
      </c>
      <c r="Q473" s="4" t="s">
        <v>2254</v>
      </c>
      <c r="R473" s="5" t="s">
        <v>1204</v>
      </c>
      <c r="S473" s="4" t="s">
        <v>1205</v>
      </c>
      <c r="T473" s="5" t="s">
        <v>1206</v>
      </c>
      <c r="U473" s="4" t="s">
        <v>1207</v>
      </c>
      <c r="V473" s="5" t="s">
        <v>104</v>
      </c>
      <c r="W473" s="4" t="s">
        <v>105</v>
      </c>
      <c r="X473" s="4" t="s">
        <v>106</v>
      </c>
      <c r="Y473" s="5"/>
      <c r="Z473" s="4" t="s">
        <v>107</v>
      </c>
      <c r="AA473" s="6" t="n">
        <v>100000</v>
      </c>
      <c r="AB473" s="6" t="n">
        <v>100000</v>
      </c>
      <c r="AC473" s="6" t="n">
        <v>100000</v>
      </c>
      <c r="AD473" s="6" t="n">
        <v>100000</v>
      </c>
      <c r="AE473" s="4" t="s">
        <v>2865</v>
      </c>
      <c r="AF473" s="5" t="s">
        <v>2866</v>
      </c>
      <c r="AG473" s="4" t="s">
        <v>110</v>
      </c>
      <c r="AH473" s="4" t="s">
        <v>110</v>
      </c>
      <c r="AI473" s="5"/>
      <c r="AJ473" s="1" t="n">
        <v>0</v>
      </c>
      <c r="AK473" s="11" t="n">
        <v>0</v>
      </c>
      <c r="AL473" s="12" t="s">
        <v>111</v>
      </c>
      <c r="AM473" s="13" t="str">
        <f>IF(AL473="","",AL473&amp;" - "&amp;IFERROR(VLOOKUP(AL473,CODEBOOK_CAP!$C$2:$D$212,2,FALSE),""))</f>
        <v>1300 - GERAL</v>
      </c>
      <c r="AN473" s="13" t="str">
        <f>IF(AL473="","",IFERROR(VLOOKUP(AL473,CODEBOOK_CAP!$C$2:$E$212,3,FALSE),""))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473" s="11" t="n">
        <v>0</v>
      </c>
      <c r="AP473" s="11"/>
      <c r="AQ473" s="11" t="n">
        <v>0</v>
      </c>
      <c r="AR473" s="11" t="n">
        <v>0</v>
      </c>
      <c r="AS473" s="11"/>
      <c r="AT473" s="11" t="n">
        <v>0</v>
      </c>
      <c r="AU473" s="11"/>
      <c r="AV473" s="11"/>
      <c r="AW473" s="11"/>
      <c r="AX473" s="7" t="s">
        <v>84</v>
      </c>
      <c r="AY473" s="7"/>
      <c r="AZ473" s="7"/>
      <c r="BA473" s="7"/>
    </row>
    <row r="474" ht="142.5" customHeight="1">
      <c r="A474" s="4" t="s">
        <v>2867</v>
      </c>
      <c r="B474" s="4" t="n">
        <v>2022</v>
      </c>
      <c r="C474" s="4" t="n">
        <v>4587</v>
      </c>
      <c r="D474" s="4" t="s">
        <v>54</v>
      </c>
      <c r="E474" s="4" t="s">
        <v>2815</v>
      </c>
      <c r="F474" s="5" t="s">
        <v>2868</v>
      </c>
      <c r="G474" s="4" t="s">
        <v>57</v>
      </c>
      <c r="H474" s="4" t="s">
        <v>2817</v>
      </c>
      <c r="I474" s="4" t="s">
        <v>1214</v>
      </c>
      <c r="J474" s="4" t="s">
        <v>2869</v>
      </c>
      <c r="K474" s="4" t="s">
        <v>224</v>
      </c>
      <c r="L474" s="5" t="s">
        <v>225</v>
      </c>
      <c r="M474" s="4" t="s">
        <v>226</v>
      </c>
      <c r="N474" s="5" t="s">
        <v>227</v>
      </c>
      <c r="O474" s="4" t="s">
        <v>228</v>
      </c>
      <c r="P474" s="5" t="s">
        <v>229</v>
      </c>
      <c r="Q474" s="4" t="s">
        <v>230</v>
      </c>
      <c r="R474" s="5" t="s">
        <v>231</v>
      </c>
      <c r="S474" s="4" t="s">
        <v>232</v>
      </c>
      <c r="T474" s="5" t="s">
        <v>233</v>
      </c>
      <c r="U474" s="4" t="s">
        <v>234</v>
      </c>
      <c r="V474" s="5" t="s">
        <v>104</v>
      </c>
      <c r="W474" s="4" t="s">
        <v>105</v>
      </c>
      <c r="X474" s="4" t="s">
        <v>106</v>
      </c>
      <c r="Y474" s="5"/>
      <c r="Z474" s="4" t="s">
        <v>235</v>
      </c>
      <c r="AA474" s="6" t="n">
        <v>50000</v>
      </c>
      <c r="AB474" s="6" t="n">
        <v>46860</v>
      </c>
      <c r="AC474" s="6" t="n">
        <v>46860</v>
      </c>
      <c r="AD474" s="6" t="n">
        <v>46860</v>
      </c>
      <c r="AE474" s="4" t="s">
        <v>2870</v>
      </c>
      <c r="AF474" s="5" t="s">
        <v>2871</v>
      </c>
      <c r="AG474" s="4" t="s">
        <v>78</v>
      </c>
      <c r="AH474" s="4" t="s">
        <v>79</v>
      </c>
      <c r="AI474" s="5" t="s">
        <v>80</v>
      </c>
      <c r="AJ474" s="1" t="n">
        <v>0</v>
      </c>
      <c r="AK474" s="11" t="n">
        <v>0</v>
      </c>
      <c r="AL474" s="12" t="s">
        <v>2457</v>
      </c>
      <c r="AM474" s="13" t="str">
        <f>IF(AL474="","",AL474&amp;" - "&amp;IFERROR(VLOOKUP(AL474,CODEBOOK_CAP!$C$2:$D$212,2,FALSE),""))</f>
        <v>0700 - GERAL</v>
      </c>
      <c r="AN474" s="13" t="str">
        <f>IF(AL474="","",IFERROR(VLOOKUP(AL474,CODEBOOK_CAP!$C$2:$E$212,3,FALSE),""))</f>
        <v>Quando há combinação de diversos assuntos relacionados as políticas de MEIO-AMBIENTE. Saneamento básico geral (quando aparecer o termo solto, sem definição específica)Tópicos relacionados as políticas gerais de meio ambiente e proteção ambiental gerais, controle ambiental, gestão ambiental, engenharia ambiental, estatísticas gerais. Desastres, catástrofes, Mariana, Brumadinho, ruptura de barragens de mineração. Multas e sanções envolvendo meio ambiente. Nao confundir com questões de agricultura, legislações ambientais gerais, responsabilidade ambiental (código 4) e Nao confundir com questões relacionadas a território e recursos naturais (código 21)</v>
      </c>
      <c r="AO474" s="11" t="n">
        <v>0</v>
      </c>
      <c r="AP474" s="11"/>
      <c r="AQ474" s="11" t="n">
        <v>0</v>
      </c>
      <c r="AR474" s="11" t="n">
        <v>0</v>
      </c>
      <c r="AS474" s="11"/>
      <c r="AT474" s="11" t="n">
        <v>0</v>
      </c>
      <c r="AU474" s="11"/>
      <c r="AV474" s="11"/>
      <c r="AW474" s="11"/>
      <c r="AX474" s="7" t="s">
        <v>84</v>
      </c>
      <c r="AY474" s="7"/>
      <c r="AZ474" s="7"/>
      <c r="BA474" s="7"/>
    </row>
    <row r="475" ht="57" customHeight="1">
      <c r="A475" s="4" t="s">
        <v>2872</v>
      </c>
      <c r="B475" s="4" t="n">
        <v>2022</v>
      </c>
      <c r="C475" s="4" t="n">
        <v>4588</v>
      </c>
      <c r="D475" s="4" t="s">
        <v>54</v>
      </c>
      <c r="E475" s="4" t="s">
        <v>2815</v>
      </c>
      <c r="F475" s="5" t="s">
        <v>2873</v>
      </c>
      <c r="G475" s="4" t="s">
        <v>57</v>
      </c>
      <c r="H475" s="4" t="s">
        <v>2817</v>
      </c>
      <c r="I475" s="4" t="s">
        <v>1214</v>
      </c>
      <c r="J475" s="4" t="s">
        <v>2874</v>
      </c>
      <c r="K475" s="4" t="s">
        <v>1184</v>
      </c>
      <c r="L475" s="5" t="s">
        <v>122</v>
      </c>
      <c r="M475" s="4" t="s">
        <v>123</v>
      </c>
      <c r="N475" s="5" t="s">
        <v>124</v>
      </c>
      <c r="O475" s="4" t="s">
        <v>125</v>
      </c>
      <c r="P475" s="5" t="s">
        <v>126</v>
      </c>
      <c r="Q475" s="4" t="s">
        <v>127</v>
      </c>
      <c r="R475" s="5" t="s">
        <v>322</v>
      </c>
      <c r="S475" s="4" t="s">
        <v>323</v>
      </c>
      <c r="T475" s="5" t="s">
        <v>774</v>
      </c>
      <c r="U475" s="4" t="s">
        <v>775</v>
      </c>
      <c r="V475" s="5" t="s">
        <v>72</v>
      </c>
      <c r="W475" s="4" t="s">
        <v>73</v>
      </c>
      <c r="X475" s="4" t="s">
        <v>74</v>
      </c>
      <c r="Y475" s="5"/>
      <c r="Z475" s="4" t="s">
        <v>132</v>
      </c>
      <c r="AA475" s="6" t="n">
        <v>500000</v>
      </c>
      <c r="AB475" s="6" t="n">
        <v>0</v>
      </c>
      <c r="AC475" s="6" t="n">
        <v>0</v>
      </c>
      <c r="AD475" s="6" t="n">
        <v>0</v>
      </c>
      <c r="AE475" s="4" t="s">
        <v>2875</v>
      </c>
      <c r="AF475" s="5" t="s">
        <v>2876</v>
      </c>
      <c r="AG475" s="4" t="s">
        <v>115</v>
      </c>
      <c r="AH475" s="4" t="s">
        <v>115</v>
      </c>
      <c r="AI475" s="5" t="s">
        <v>115</v>
      </c>
      <c r="AJ475" s="1" t="n">
        <v>0</v>
      </c>
      <c r="AK475" s="11" t="n">
        <v>0</v>
      </c>
      <c r="AL475" s="12" t="s">
        <v>328</v>
      </c>
      <c r="AM475" s="13" t="str">
        <f>IF(AL475="","",AL475&amp;" - "&amp;IFERROR(VLOOKUP(AL475,CODEBOOK_CAP!$C$2:$D$212,2,FALSE),""))</f>
        <v>1403 - REABILITAÇÃO URBANA, ECONOMIA URBANA</v>
      </c>
      <c r="AN475" s="13" t="str">
        <f>IF(AL475="","",IFERROR(VLOOKUP(AL475,CODEBOOK_CAP!$C$2:$E$212,3,FALSE),""))</f>
        <v>Reabilitação de áreas urbanas, revitalização urbana, modernização de áreas, mercados públicos, revitalização de praças, política urbana nacional, desenvolvimento urbano , desenvolvimento econômico de estados e cidades, modernização de espaços urbanos</v>
      </c>
      <c r="AO475" s="11" t="n">
        <v>1</v>
      </c>
      <c r="AP475" s="11" t="s">
        <v>2877</v>
      </c>
      <c r="AQ475" s="11" t="n">
        <v>0</v>
      </c>
      <c r="AR475" s="11" t="n">
        <v>0</v>
      </c>
      <c r="AS475" s="11"/>
      <c r="AT475" s="11" t="n">
        <v>0</v>
      </c>
      <c r="AU475" s="11"/>
      <c r="AV475" s="11"/>
      <c r="AW475" s="11"/>
      <c r="AX475" s="7" t="s">
        <v>84</v>
      </c>
      <c r="AY475" s="7"/>
      <c r="AZ475" s="7"/>
      <c r="BA475" s="7"/>
    </row>
    <row r="476" ht="57" customHeight="1">
      <c r="A476" s="4" t="s">
        <v>2878</v>
      </c>
      <c r="B476" s="4" t="n">
        <v>2022</v>
      </c>
      <c r="C476" s="4" t="n">
        <v>4589</v>
      </c>
      <c r="D476" s="4" t="s">
        <v>54</v>
      </c>
      <c r="E476" s="4" t="s">
        <v>2815</v>
      </c>
      <c r="F476" s="5" t="s">
        <v>2879</v>
      </c>
      <c r="G476" s="4" t="s">
        <v>57</v>
      </c>
      <c r="H476" s="4" t="s">
        <v>2817</v>
      </c>
      <c r="I476" s="4" t="s">
        <v>1214</v>
      </c>
      <c r="J476" s="4" t="s">
        <v>2880</v>
      </c>
      <c r="K476" s="4" t="s">
        <v>1184</v>
      </c>
      <c r="L476" s="5" t="s">
        <v>122</v>
      </c>
      <c r="M476" s="4" t="s">
        <v>123</v>
      </c>
      <c r="N476" s="5" t="s">
        <v>124</v>
      </c>
      <c r="O476" s="4" t="s">
        <v>125</v>
      </c>
      <c r="P476" s="5" t="s">
        <v>126</v>
      </c>
      <c r="Q476" s="4" t="s">
        <v>127</v>
      </c>
      <c r="R476" s="5" t="s">
        <v>322</v>
      </c>
      <c r="S476" s="4" t="s">
        <v>323</v>
      </c>
      <c r="T476" s="5" t="s">
        <v>774</v>
      </c>
      <c r="U476" s="4" t="s">
        <v>775</v>
      </c>
      <c r="V476" s="5" t="s">
        <v>72</v>
      </c>
      <c r="W476" s="4" t="s">
        <v>73</v>
      </c>
      <c r="X476" s="4" t="s">
        <v>74</v>
      </c>
      <c r="Y476" s="5"/>
      <c r="Z476" s="4" t="s">
        <v>132</v>
      </c>
      <c r="AA476" s="6" t="n">
        <v>379220</v>
      </c>
      <c r="AB476" s="6" t="n">
        <v>60380</v>
      </c>
      <c r="AC476" s="6" t="n">
        <v>60380</v>
      </c>
      <c r="AD476" s="6" t="n">
        <v>60380</v>
      </c>
      <c r="AE476" s="4" t="s">
        <v>2881</v>
      </c>
      <c r="AF476" s="5" t="s">
        <v>2882</v>
      </c>
      <c r="AG476" s="4" t="s">
        <v>78</v>
      </c>
      <c r="AH476" s="4" t="s">
        <v>79</v>
      </c>
      <c r="AI476" s="5" t="s">
        <v>80</v>
      </c>
      <c r="AJ476" s="1" t="n">
        <v>0</v>
      </c>
      <c r="AK476" s="11" t="n">
        <v>0</v>
      </c>
      <c r="AL476" s="12" t="s">
        <v>328</v>
      </c>
      <c r="AM476" s="13" t="str">
        <f>IF(AL476="","",AL476&amp;" - "&amp;IFERROR(VLOOKUP(AL476,CODEBOOK_CAP!$C$2:$D$212,2,FALSE),""))</f>
        <v>1403 - REABILITAÇÃO URBANA, ECONOMIA URBANA</v>
      </c>
      <c r="AN476" s="13" t="str">
        <f>IF(AL476="","",IFERROR(VLOOKUP(AL476,CODEBOOK_CAP!$C$2:$E$212,3,FALSE),""))</f>
        <v>Reabilitação de áreas urbanas, revitalização urbana, modernização de áreas, mercados públicos, revitalização de praças, política urbana nacional, desenvolvimento urbano , desenvolvimento econômico de estados e cidades, modernização de espaços urbanos</v>
      </c>
      <c r="AO476" s="11" t="n">
        <v>1</v>
      </c>
      <c r="AP476" s="11" t="s">
        <v>2883</v>
      </c>
      <c r="AQ476" s="11" t="n">
        <v>0</v>
      </c>
      <c r="AR476" s="11" t="n">
        <v>0</v>
      </c>
      <c r="AS476" s="11"/>
      <c r="AT476" s="11" t="n">
        <v>0</v>
      </c>
      <c r="AU476" s="11"/>
      <c r="AV476" s="11"/>
      <c r="AW476" s="11"/>
      <c r="AX476" s="7" t="s">
        <v>84</v>
      </c>
      <c r="AY476" s="7"/>
      <c r="AZ476" s="7"/>
      <c r="BA476" s="7"/>
    </row>
    <row r="477" ht="99.75" customHeight="1">
      <c r="A477" s="4" t="s">
        <v>2884</v>
      </c>
      <c r="B477" s="4" t="n">
        <v>2022</v>
      </c>
      <c r="C477" s="4" t="n">
        <v>4695</v>
      </c>
      <c r="D477" s="4" t="s">
        <v>54</v>
      </c>
      <c r="E477" s="4" t="s">
        <v>2885</v>
      </c>
      <c r="F477" s="5" t="s">
        <v>2886</v>
      </c>
      <c r="G477" s="4" t="s">
        <v>57</v>
      </c>
      <c r="H477" s="4" t="s">
        <v>2887</v>
      </c>
      <c r="I477" s="4" t="s">
        <v>2888</v>
      </c>
      <c r="J477" s="4" t="s">
        <v>2889</v>
      </c>
      <c r="K477" s="4" t="s">
        <v>283</v>
      </c>
      <c r="L477" s="5" t="s">
        <v>94</v>
      </c>
      <c r="M477" s="4" t="s">
        <v>95</v>
      </c>
      <c r="N477" s="5" t="s">
        <v>96</v>
      </c>
      <c r="O477" s="4" t="s">
        <v>97</v>
      </c>
      <c r="P477" s="5" t="s">
        <v>98</v>
      </c>
      <c r="Q477" s="4" t="s">
        <v>99</v>
      </c>
      <c r="R477" s="5" t="s">
        <v>100</v>
      </c>
      <c r="S477" s="4" t="s">
        <v>101</v>
      </c>
      <c r="T477" s="5" t="s">
        <v>102</v>
      </c>
      <c r="U477" s="4" t="s">
        <v>103</v>
      </c>
      <c r="V477" s="5" t="s">
        <v>104</v>
      </c>
      <c r="W477" s="4" t="s">
        <v>105</v>
      </c>
      <c r="X477" s="4" t="s">
        <v>106</v>
      </c>
      <c r="Y477" s="5"/>
      <c r="Z477" s="4" t="s">
        <v>107</v>
      </c>
      <c r="AA477" s="6" t="n">
        <v>150000</v>
      </c>
      <c r="AB477" s="6" t="n">
        <v>150000</v>
      </c>
      <c r="AC477" s="6" t="n">
        <v>0</v>
      </c>
      <c r="AD477" s="6" t="n">
        <v>150000</v>
      </c>
      <c r="AE477" s="4" t="s">
        <v>2890</v>
      </c>
      <c r="AF477" s="5" t="s">
        <v>2891</v>
      </c>
      <c r="AG477" s="4" t="s">
        <v>115</v>
      </c>
      <c r="AH477" s="4" t="s">
        <v>115</v>
      </c>
      <c r="AI477" s="5" t="s">
        <v>115</v>
      </c>
      <c r="AJ477" s="1" t="n">
        <v>0</v>
      </c>
      <c r="AK477" s="11" t="n">
        <v>0</v>
      </c>
      <c r="AL477" s="12" t="s">
        <v>712</v>
      </c>
      <c r="AM477" s="13" t="str">
        <f>IF(AL477="","",AL477&amp;" - "&amp;IFERROR(VLOOKUP(AL477,CODEBOOK_CAP!$C$2:$D$212,2,FALSE),""))</f>
        <v>1308 - POLÍTICAS SOCIAIS PARA FAMÍLIAS E INFÂNCIA</v>
      </c>
      <c r="AN477" s="13" t="str">
        <f>IF(AL477="","",IFERROR(VLOOKUP(AL477,CODEBOOK_CAP!$C$2:$E$212,3,FALSE),""))</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O477" s="11" t="n">
        <v>0</v>
      </c>
      <c r="AP477" s="11"/>
      <c r="AQ477" s="11" t="n">
        <v>0</v>
      </c>
      <c r="AR477" s="11" t="n">
        <v>0</v>
      </c>
      <c r="AS477" s="11"/>
      <c r="AT477" s="11" t="n">
        <v>1</v>
      </c>
      <c r="AU477" s="11" t="s">
        <v>286</v>
      </c>
      <c r="AV477" s="11"/>
      <c r="AW477" s="11"/>
      <c r="AX477" s="7" t="s">
        <v>84</v>
      </c>
      <c r="AY477" s="7"/>
      <c r="AZ477" s="7"/>
      <c r="BA477" s="7"/>
    </row>
    <row r="478" ht="171" customHeight="1">
      <c r="A478" s="4" t="s">
        <v>2892</v>
      </c>
      <c r="B478" s="4" t="n">
        <v>2022</v>
      </c>
      <c r="C478" s="4" t="n">
        <v>4696</v>
      </c>
      <c r="D478" s="4" t="s">
        <v>54</v>
      </c>
      <c r="E478" s="4" t="s">
        <v>2885</v>
      </c>
      <c r="F478" s="5" t="s">
        <v>2893</v>
      </c>
      <c r="G478" s="4" t="s">
        <v>57</v>
      </c>
      <c r="H478" s="4" t="s">
        <v>2887</v>
      </c>
      <c r="I478" s="4" t="s">
        <v>2888</v>
      </c>
      <c r="J478" s="4" t="s">
        <v>2894</v>
      </c>
      <c r="K478" s="4" t="s">
        <v>1189</v>
      </c>
      <c r="L478" s="5" t="s">
        <v>122</v>
      </c>
      <c r="M478" s="4" t="s">
        <v>123</v>
      </c>
      <c r="N478" s="5" t="s">
        <v>124</v>
      </c>
      <c r="O478" s="4" t="s">
        <v>125</v>
      </c>
      <c r="P478" s="5" t="s">
        <v>126</v>
      </c>
      <c r="Q478" s="4" t="s">
        <v>127</v>
      </c>
      <c r="R478" s="5" t="s">
        <v>128</v>
      </c>
      <c r="S478" s="4" t="s">
        <v>129</v>
      </c>
      <c r="T478" s="5" t="s">
        <v>130</v>
      </c>
      <c r="U478" s="4" t="s">
        <v>131</v>
      </c>
      <c r="V478" s="5" t="s">
        <v>72</v>
      </c>
      <c r="W478" s="4" t="s">
        <v>73</v>
      </c>
      <c r="X478" s="4" t="s">
        <v>74</v>
      </c>
      <c r="Y478" s="5"/>
      <c r="Z478" s="4" t="s">
        <v>132</v>
      </c>
      <c r="AA478" s="6" t="n">
        <v>823000</v>
      </c>
      <c r="AB478" s="6" t="n">
        <v>233000</v>
      </c>
      <c r="AC478" s="6" t="n">
        <v>230887.67999999999</v>
      </c>
      <c r="AD478" s="6" t="n">
        <v>2112.3200000000002</v>
      </c>
      <c r="AE478" s="4" t="s">
        <v>2895</v>
      </c>
      <c r="AF478" s="5" t="s">
        <v>2896</v>
      </c>
      <c r="AG478" s="4" t="s">
        <v>115</v>
      </c>
      <c r="AH478" s="4" t="s">
        <v>115</v>
      </c>
      <c r="AI478" s="5" t="s">
        <v>115</v>
      </c>
      <c r="AJ478" s="1" t="n">
        <v>0</v>
      </c>
      <c r="AK478" s="11" t="n">
        <v>0</v>
      </c>
      <c r="AL478" s="12" t="s">
        <v>135</v>
      </c>
      <c r="AM478" s="13" t="str">
        <f>IF(AL478="","",AL478&amp;" - "&amp;IFERROR(VLOOKUP(AL478,CODEBOOK_CAP!$C$2:$D$212,2,FALSE),""))</f>
        <v>1002 - CARROS, TRÂNSITO, CONSTRUÇÃO E MANUTENÇÃO DE RUAS E ESTRADAS</v>
      </c>
      <c r="AN478" s="13" t="str">
        <f>IF(AL478="","",IFERROR(VLOOKUP(AL478,CODEBOOK_CAP!$C$2:$E$212,3,FALSE),""))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478" s="11" t="n">
        <v>1</v>
      </c>
      <c r="AP478" s="11" t="s">
        <v>2897</v>
      </c>
      <c r="AQ478" s="11" t="n">
        <v>0</v>
      </c>
      <c r="AR478" s="11" t="n">
        <v>0</v>
      </c>
      <c r="AS478" s="11"/>
      <c r="AT478" s="11" t="n">
        <v>0</v>
      </c>
      <c r="AU478" s="11"/>
      <c r="AV478" s="11"/>
      <c r="AW478" s="11"/>
      <c r="AX478" s="7" t="s">
        <v>84</v>
      </c>
      <c r="AY478" s="7"/>
      <c r="AZ478" s="7"/>
      <c r="BA478" s="7"/>
    </row>
    <row r="479" ht="28.5" customHeight="1">
      <c r="A479" s="14" t="s">
        <v>2898</v>
      </c>
      <c r="B479" s="14" t="n">
        <v>2022</v>
      </c>
      <c r="C479" s="14" t="n">
        <v>4697</v>
      </c>
      <c r="D479" s="14" t="s">
        <v>54</v>
      </c>
      <c r="E479" s="14" t="s">
        <v>2885</v>
      </c>
      <c r="F479" s="15" t="s">
        <v>2899</v>
      </c>
      <c r="G479" s="14" t="s">
        <v>139</v>
      </c>
      <c r="H479" s="14" t="s">
        <v>2887</v>
      </c>
      <c r="I479" s="14" t="s">
        <v>2888</v>
      </c>
      <c r="J479" s="14" t="s">
        <v>115</v>
      </c>
      <c r="K479" s="14" t="s">
        <v>115</v>
      </c>
      <c r="L479" s="15"/>
      <c r="M479" s="14"/>
      <c r="N479" s="15"/>
      <c r="O479" s="14"/>
      <c r="P479" s="15"/>
      <c r="Q479" s="14"/>
      <c r="R479" s="15"/>
      <c r="S479" s="14"/>
      <c r="T479" s="15"/>
      <c r="U479" s="14"/>
      <c r="V479" s="15"/>
      <c r="W479" s="14"/>
      <c r="X479" s="14"/>
      <c r="Y479" s="15"/>
      <c r="Z479" s="14" t="s">
        <v>139</v>
      </c>
      <c r="AA479" s="16" t="n">
        <v>259000</v>
      </c>
      <c r="AB479" s="16"/>
      <c r="AC479" s="16"/>
      <c r="AD479" s="16"/>
      <c r="AE479" s="14" t="s">
        <v>115</v>
      </c>
      <c r="AF479" s="15" t="s">
        <v>115</v>
      </c>
      <c r="AG479" s="14" t="s">
        <v>115</v>
      </c>
      <c r="AH479" s="14" t="s">
        <v>115</v>
      </c>
      <c r="AI479" s="15" t="s">
        <v>115</v>
      </c>
      <c r="AJ479" s="17"/>
      <c r="AK479" s="17"/>
      <c r="AL479" s="18"/>
      <c r="AM479" s="17" t="str">
        <f>IF(AL479="","",AL479&amp;" - "&amp;IFERROR(VLOOKUP(AL479,CODEBOOK_CAP!$C$2:$D$212,2,FALSE),""))</f>
      </c>
      <c r="AN479" s="17" t="str">
        <f>IF(AL479="","",IFERROR(VLOOKUP(AL479,CODEBOOK_CAP!$C$2:$E$212,3,FALSE),""))</f>
      </c>
      <c r="AO479" s="17"/>
      <c r="AP479" s="17"/>
      <c r="AQ479" s="17"/>
      <c r="AR479" s="17"/>
      <c r="AS479" s="17"/>
      <c r="AT479" s="17"/>
      <c r="AU479" s="17"/>
      <c r="AV479" s="17"/>
      <c r="AW479" s="17"/>
      <c r="AX479" s="14" t="s">
        <v>84</v>
      </c>
      <c r="AY479" s="14"/>
      <c r="AZ479" s="14"/>
      <c r="BA479" s="14"/>
    </row>
    <row r="480" ht="171" customHeight="1">
      <c r="A480" s="4" t="s">
        <v>2900</v>
      </c>
      <c r="B480" s="4" t="n">
        <v>2022</v>
      </c>
      <c r="C480" s="4" t="n">
        <v>4698</v>
      </c>
      <c r="D480" s="4" t="s">
        <v>54</v>
      </c>
      <c r="E480" s="4" t="s">
        <v>2885</v>
      </c>
      <c r="F480" s="5" t="s">
        <v>2901</v>
      </c>
      <c r="G480" s="4" t="s">
        <v>139</v>
      </c>
      <c r="H480" s="4" t="s">
        <v>2887</v>
      </c>
      <c r="I480" s="4" t="s">
        <v>2888</v>
      </c>
      <c r="J480" s="4" t="s">
        <v>2902</v>
      </c>
      <c r="K480" s="4" t="s">
        <v>115</v>
      </c>
      <c r="L480" s="5"/>
      <c r="M480" s="4"/>
      <c r="N480" s="5"/>
      <c r="O480" s="4"/>
      <c r="P480" s="5"/>
      <c r="Q480" s="4"/>
      <c r="R480" s="5"/>
      <c r="S480" s="4"/>
      <c r="T480" s="5"/>
      <c r="U480" s="4"/>
      <c r="V480" s="5"/>
      <c r="W480" s="4"/>
      <c r="X480" s="4"/>
      <c r="Y480" s="5"/>
      <c r="Z480" s="4" t="s">
        <v>139</v>
      </c>
      <c r="AA480" s="6" t="n">
        <v>259000</v>
      </c>
      <c r="AB480" s="6"/>
      <c r="AC480" s="6"/>
      <c r="AD480" s="6"/>
      <c r="AE480" s="4" t="s">
        <v>115</v>
      </c>
      <c r="AF480" s="5" t="s">
        <v>115</v>
      </c>
      <c r="AG480" s="4" t="s">
        <v>115</v>
      </c>
      <c r="AH480" s="4" t="s">
        <v>115</v>
      </c>
      <c r="AI480" s="5" t="s">
        <v>115</v>
      </c>
      <c r="AJ480" s="1" t="n">
        <v>0</v>
      </c>
      <c r="AK480" s="11" t="n">
        <v>0</v>
      </c>
      <c r="AL480" s="12" t="s">
        <v>135</v>
      </c>
      <c r="AM480" s="13" t="str">
        <f>IF(AL480="","",AL480&amp;" - "&amp;IFERROR(VLOOKUP(AL480,CODEBOOK_CAP!$C$2:$D$212,2,FALSE),""))</f>
        <v>1002 - CARROS, TRÂNSITO, CONSTRUÇÃO E MANUTENÇÃO DE RUAS E ESTRADAS</v>
      </c>
      <c r="AN480" s="13" t="str">
        <f>IF(AL480="","",IFERROR(VLOOKUP(AL480,CODEBOOK_CAP!$C$2:$E$212,3,FALSE),""))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480" s="11" t="n">
        <v>1</v>
      </c>
      <c r="AP480" s="11" t="s">
        <v>2903</v>
      </c>
      <c r="AQ480" s="11" t="n">
        <v>1</v>
      </c>
      <c r="AR480" s="11" t="n">
        <v>1</v>
      </c>
      <c r="AS480" s="11" t="s">
        <v>2903</v>
      </c>
      <c r="AT480" s="11" t="n">
        <v>0</v>
      </c>
      <c r="AU480" s="11"/>
      <c r="AV480" s="11"/>
      <c r="AW480" s="11"/>
      <c r="AX480" s="7" t="s">
        <v>84</v>
      </c>
      <c r="AY480" s="7"/>
      <c r="AZ480" s="7"/>
      <c r="BA480" s="7"/>
    </row>
    <row r="481" ht="171" customHeight="1">
      <c r="A481" s="4" t="s">
        <v>2904</v>
      </c>
      <c r="B481" s="4" t="n">
        <v>2022</v>
      </c>
      <c r="C481" s="4" t="n">
        <v>4699</v>
      </c>
      <c r="D481" s="4" t="s">
        <v>54</v>
      </c>
      <c r="E481" s="4" t="s">
        <v>2885</v>
      </c>
      <c r="F481" s="5" t="s">
        <v>2905</v>
      </c>
      <c r="G481" s="4" t="s">
        <v>139</v>
      </c>
      <c r="H481" s="4" t="s">
        <v>2887</v>
      </c>
      <c r="I481" s="4" t="s">
        <v>2888</v>
      </c>
      <c r="J481" s="4" t="s">
        <v>2906</v>
      </c>
      <c r="K481" s="4" t="s">
        <v>115</v>
      </c>
      <c r="L481" s="5"/>
      <c r="M481" s="4"/>
      <c r="N481" s="5"/>
      <c r="O481" s="4"/>
      <c r="P481" s="5"/>
      <c r="Q481" s="4"/>
      <c r="R481" s="5"/>
      <c r="S481" s="4"/>
      <c r="T481" s="5"/>
      <c r="U481" s="4"/>
      <c r="V481" s="5"/>
      <c r="W481" s="4"/>
      <c r="X481" s="4"/>
      <c r="Y481" s="5"/>
      <c r="Z481" s="4" t="s">
        <v>139</v>
      </c>
      <c r="AA481" s="6" t="n">
        <v>123000</v>
      </c>
      <c r="AB481" s="6"/>
      <c r="AC481" s="6"/>
      <c r="AD481" s="6"/>
      <c r="AE481" s="4" t="s">
        <v>115</v>
      </c>
      <c r="AF481" s="5" t="s">
        <v>115</v>
      </c>
      <c r="AG481" s="4" t="s">
        <v>115</v>
      </c>
      <c r="AH481" s="4" t="s">
        <v>115</v>
      </c>
      <c r="AI481" s="5" t="s">
        <v>115</v>
      </c>
      <c r="AJ481" s="1" t="n">
        <v>0</v>
      </c>
      <c r="AK481" s="11" t="n">
        <v>0</v>
      </c>
      <c r="AL481" s="12" t="s">
        <v>135</v>
      </c>
      <c r="AM481" s="13" t="str">
        <f>IF(AL481="","",AL481&amp;" - "&amp;IFERROR(VLOOKUP(AL481,CODEBOOK_CAP!$C$2:$D$212,2,FALSE),""))</f>
        <v>1002 - CARROS, TRÂNSITO, CONSTRUÇÃO E MANUTENÇÃO DE RUAS E ESTRADAS</v>
      </c>
      <c r="AN481" s="13" t="str">
        <f>IF(AL481="","",IFERROR(VLOOKUP(AL481,CODEBOOK_CAP!$C$2:$E$212,3,FALSE),""))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481" s="11" t="n">
        <v>1</v>
      </c>
      <c r="AP481" s="11" t="s">
        <v>2907</v>
      </c>
      <c r="AQ481" s="11" t="n">
        <v>1</v>
      </c>
      <c r="AR481" s="11" t="n">
        <v>1</v>
      </c>
      <c r="AS481" s="11" t="s">
        <v>2907</v>
      </c>
      <c r="AT481" s="11" t="n">
        <v>0</v>
      </c>
      <c r="AU481" s="11"/>
      <c r="AV481" s="11"/>
      <c r="AW481" s="11"/>
      <c r="AX481" s="7" t="s">
        <v>84</v>
      </c>
      <c r="AY481" s="7"/>
      <c r="AZ481" s="7"/>
      <c r="BA481" s="7"/>
    </row>
    <row r="482" ht="156.75" customHeight="1">
      <c r="A482" s="4" t="s">
        <v>2908</v>
      </c>
      <c r="B482" s="4" t="n">
        <v>2022</v>
      </c>
      <c r="C482" s="4" t="n">
        <v>4700</v>
      </c>
      <c r="D482" s="4" t="s">
        <v>54</v>
      </c>
      <c r="E482" s="4" t="s">
        <v>2885</v>
      </c>
      <c r="F482" s="5" t="s">
        <v>2909</v>
      </c>
      <c r="G482" s="4" t="s">
        <v>289</v>
      </c>
      <c r="H482" s="4" t="s">
        <v>2887</v>
      </c>
      <c r="I482" s="4" t="s">
        <v>2888</v>
      </c>
      <c r="J482" s="4" t="s">
        <v>2910</v>
      </c>
      <c r="K482" s="4" t="s">
        <v>115</v>
      </c>
      <c r="L482" s="5"/>
      <c r="M482" s="4"/>
      <c r="N482" s="5"/>
      <c r="O482" s="4"/>
      <c r="P482" s="5"/>
      <c r="Q482" s="4"/>
      <c r="R482" s="5"/>
      <c r="S482" s="4"/>
      <c r="T482" s="5"/>
      <c r="U482" s="4"/>
      <c r="V482" s="5"/>
      <c r="W482" s="4"/>
      <c r="X482" s="4"/>
      <c r="Y482" s="5"/>
      <c r="Z482" s="4" t="s">
        <v>289</v>
      </c>
      <c r="AA482" s="6" t="n">
        <v>220000</v>
      </c>
      <c r="AB482" s="6"/>
      <c r="AC482" s="6"/>
      <c r="AD482" s="6"/>
      <c r="AE482" s="4" t="s">
        <v>115</v>
      </c>
      <c r="AF482" s="5" t="s">
        <v>115</v>
      </c>
      <c r="AG482" s="4" t="s">
        <v>115</v>
      </c>
      <c r="AH482" s="4" t="s">
        <v>115</v>
      </c>
      <c r="AI482" s="5" t="s">
        <v>115</v>
      </c>
      <c r="AJ482" s="1" t="n">
        <v>0</v>
      </c>
      <c r="AK482" s="11" t="n">
        <v>0</v>
      </c>
      <c r="AL482" s="12" t="s">
        <v>111</v>
      </c>
      <c r="AM482" s="13" t="str">
        <f>IF(AL482="","",AL482&amp;" - "&amp;IFERROR(VLOOKUP(AL482,CODEBOOK_CAP!$C$2:$D$212,2,FALSE),""))</f>
        <v>1300 - GERAL</v>
      </c>
      <c r="AN482" s="13" t="str">
        <f>IF(AL482="","",IFERROR(VLOOKUP(AL482,CODEBOOK_CAP!$C$2:$E$212,3,FALSE),""))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482" s="11" t="n">
        <v>0</v>
      </c>
      <c r="AP482" s="11"/>
      <c r="AQ482" s="11" t="n">
        <v>0</v>
      </c>
      <c r="AR482" s="11" t="n">
        <v>0</v>
      </c>
      <c r="AS482" s="11"/>
      <c r="AT482" s="11" t="n">
        <v>0</v>
      </c>
      <c r="AU482" s="11"/>
      <c r="AV482" s="11"/>
      <c r="AW482" s="11"/>
      <c r="AX482" s="7" t="s">
        <v>84</v>
      </c>
      <c r="AY482" s="7"/>
      <c r="AZ482" s="7"/>
      <c r="BA482" s="7"/>
    </row>
    <row r="483" ht="71.25" customHeight="1">
      <c r="A483" s="4" t="s">
        <v>2911</v>
      </c>
      <c r="B483" s="4" t="n">
        <v>2022</v>
      </c>
      <c r="C483" s="4" t="n">
        <v>4701</v>
      </c>
      <c r="D483" s="4" t="s">
        <v>54</v>
      </c>
      <c r="E483" s="4" t="s">
        <v>2885</v>
      </c>
      <c r="F483" s="5" t="s">
        <v>2912</v>
      </c>
      <c r="G483" s="4" t="s">
        <v>57</v>
      </c>
      <c r="H483" s="4" t="s">
        <v>2887</v>
      </c>
      <c r="I483" s="4" t="s">
        <v>2888</v>
      </c>
      <c r="J483" s="4" t="s">
        <v>2913</v>
      </c>
      <c r="K483" s="4" t="s">
        <v>415</v>
      </c>
      <c r="L483" s="5" t="s">
        <v>122</v>
      </c>
      <c r="M483" s="4" t="s">
        <v>123</v>
      </c>
      <c r="N483" s="5" t="s">
        <v>227</v>
      </c>
      <c r="O483" s="4" t="s">
        <v>228</v>
      </c>
      <c r="P483" s="5" t="s">
        <v>229</v>
      </c>
      <c r="Q483" s="4" t="s">
        <v>230</v>
      </c>
      <c r="R483" s="5" t="s">
        <v>322</v>
      </c>
      <c r="S483" s="4" t="s">
        <v>323</v>
      </c>
      <c r="T483" s="5" t="s">
        <v>416</v>
      </c>
      <c r="U483" s="4" t="s">
        <v>417</v>
      </c>
      <c r="V483" s="5" t="s">
        <v>72</v>
      </c>
      <c r="W483" s="4" t="s">
        <v>73</v>
      </c>
      <c r="X483" s="4" t="s">
        <v>74</v>
      </c>
      <c r="Y483" s="5"/>
      <c r="Z483" s="4" t="s">
        <v>132</v>
      </c>
      <c r="AA483" s="6" t="n">
        <v>90000</v>
      </c>
      <c r="AB483" s="6" t="n">
        <v>37189</v>
      </c>
      <c r="AC483" s="6" t="n">
        <v>37189</v>
      </c>
      <c r="AD483" s="6" t="n">
        <v>37189</v>
      </c>
      <c r="AE483" s="4" t="s">
        <v>2914</v>
      </c>
      <c r="AF483" s="5" t="s">
        <v>2915</v>
      </c>
      <c r="AG483" s="4" t="s">
        <v>78</v>
      </c>
      <c r="AH483" s="4" t="s">
        <v>79</v>
      </c>
      <c r="AI483" s="5" t="s">
        <v>80</v>
      </c>
      <c r="AJ483" s="1" t="n">
        <v>0</v>
      </c>
      <c r="AK483" s="11" t="n">
        <v>0</v>
      </c>
      <c r="AL483" s="12" t="s">
        <v>188</v>
      </c>
      <c r="AM483" s="13" t="str">
        <f>IF(AL483="","",AL483&amp;" - "&amp;IFERROR(VLOOKUP(AL483,CODEBOOK_CAP!$C$2:$D$212,2,FALSE),""))</f>
        <v>2300 - GERAL</v>
      </c>
      <c r="AN483" s="13" t="str">
        <f>IF(AL483="","",IFERROR(VLOOKUP(AL483,CODEBOOK_CAP!$C$2:$E$212,3,FALSE),""))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483" s="11" t="n">
        <v>1</v>
      </c>
      <c r="AP483" s="11" t="s">
        <v>2916</v>
      </c>
      <c r="AQ483" s="11" t="n">
        <v>1</v>
      </c>
      <c r="AR483" s="11" t="n">
        <v>1</v>
      </c>
      <c r="AS483" s="11" t="s">
        <v>2916</v>
      </c>
      <c r="AT483" s="11" t="n">
        <v>0</v>
      </c>
      <c r="AU483" s="11"/>
      <c r="AV483" s="11"/>
      <c r="AW483" s="11"/>
      <c r="AX483" s="7" t="s">
        <v>84</v>
      </c>
      <c r="AY483" s="7"/>
      <c r="AZ483" s="7"/>
      <c r="BA483" s="7"/>
      <c r="BB483" s="3" t="s">
        <v>6564</v>
      </c>
    </row>
    <row r="484" ht="85.5" customHeight="1">
      <c r="A484" s="4" t="s">
        <v>2917</v>
      </c>
      <c r="B484" s="4" t="n">
        <v>2022</v>
      </c>
      <c r="C484" s="4" t="n">
        <v>4704</v>
      </c>
      <c r="D484" s="4" t="s">
        <v>54</v>
      </c>
      <c r="E484" s="4" t="s">
        <v>2885</v>
      </c>
      <c r="F484" s="5" t="s">
        <v>2918</v>
      </c>
      <c r="G484" s="4" t="s">
        <v>57</v>
      </c>
      <c r="H484" s="4" t="s">
        <v>2887</v>
      </c>
      <c r="I484" s="4" t="s">
        <v>2888</v>
      </c>
      <c r="J484" s="4" t="s">
        <v>2919</v>
      </c>
      <c r="K484" s="4" t="s">
        <v>357</v>
      </c>
      <c r="L484" s="5" t="s">
        <v>62</v>
      </c>
      <c r="M484" s="4" t="s">
        <v>63</v>
      </c>
      <c r="N484" s="5" t="s">
        <v>64</v>
      </c>
      <c r="O484" s="4" t="s">
        <v>65</v>
      </c>
      <c r="P484" s="5" t="s">
        <v>66</v>
      </c>
      <c r="Q484" s="4" t="s">
        <v>67</v>
      </c>
      <c r="R484" s="5" t="s">
        <v>68</v>
      </c>
      <c r="S484" s="4" t="s">
        <v>69</v>
      </c>
      <c r="T484" s="5" t="s">
        <v>70</v>
      </c>
      <c r="U484" s="4" t="s">
        <v>71</v>
      </c>
      <c r="V484" s="5" t="s">
        <v>72</v>
      </c>
      <c r="W484" s="4" t="s">
        <v>73</v>
      </c>
      <c r="X484" s="4" t="s">
        <v>74</v>
      </c>
      <c r="Y484" s="5"/>
      <c r="Z484" s="4" t="s">
        <v>75</v>
      </c>
      <c r="AA484" s="6" t="n">
        <v>300000</v>
      </c>
      <c r="AB484" s="6" t="n">
        <v>177977</v>
      </c>
      <c r="AC484" s="6" t="n">
        <v>177977</v>
      </c>
      <c r="AD484" s="6" t="n">
        <v>177977</v>
      </c>
      <c r="AE484" s="4" t="s">
        <v>358</v>
      </c>
      <c r="AF484" s="5" t="s">
        <v>77</v>
      </c>
      <c r="AG484" s="4" t="s">
        <v>78</v>
      </c>
      <c r="AH484" s="4" t="s">
        <v>79</v>
      </c>
      <c r="AI484" s="5" t="s">
        <v>80</v>
      </c>
      <c r="AJ484" s="1" t="n">
        <v>1</v>
      </c>
      <c r="AK484" s="11" t="n">
        <v>1</v>
      </c>
      <c r="AL484" s="12" t="s">
        <v>81</v>
      </c>
      <c r="AM484" s="13" t="str">
        <f>IF(AL484="","",AL484&amp;" - "&amp;IFERROR(VLOOKUP(AL484,CODEBOOK_CAP!$C$2:$D$212,2,FALSE),""))</f>
        <v>0322 - ESTRUTURAS, HOSPITAIS, CLÍNICAS</v>
      </c>
      <c r="AN484" s="13" t="str">
        <f>IF(AL484="","",IFERROR(VLOOKUP(AL484,CODEBOOK_CAP!$C$2:$E$212,3,FALSE),""))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484" s="11" t="n">
        <v>1</v>
      </c>
      <c r="AP484" s="11" t="s">
        <v>2920</v>
      </c>
      <c r="AQ484" s="11" t="n">
        <v>1</v>
      </c>
      <c r="AR484" s="11" t="n">
        <v>1</v>
      </c>
      <c r="AS484" s="11" t="s">
        <v>2921</v>
      </c>
      <c r="AT484" s="11" t="n">
        <v>0</v>
      </c>
      <c r="AU484" s="11"/>
      <c r="AV484" s="11"/>
      <c r="AW484" s="11"/>
      <c r="AX484" s="7" t="s">
        <v>84</v>
      </c>
      <c r="AY484" s="7"/>
      <c r="AZ484" s="7"/>
      <c r="BA484" s="7"/>
    </row>
    <row r="485" ht="85.5" customHeight="1">
      <c r="A485" s="4" t="s">
        <v>2922</v>
      </c>
      <c r="B485" s="4" t="n">
        <v>2022</v>
      </c>
      <c r="C485" s="4" t="n">
        <v>4705</v>
      </c>
      <c r="D485" s="4" t="s">
        <v>54</v>
      </c>
      <c r="E485" s="4" t="s">
        <v>2885</v>
      </c>
      <c r="F485" s="5" t="s">
        <v>2923</v>
      </c>
      <c r="G485" s="4" t="s">
        <v>57</v>
      </c>
      <c r="H485" s="4" t="s">
        <v>2887</v>
      </c>
      <c r="I485" s="4" t="s">
        <v>2888</v>
      </c>
      <c r="J485" s="4" t="s">
        <v>2924</v>
      </c>
      <c r="K485" s="4" t="s">
        <v>357</v>
      </c>
      <c r="L485" s="5" t="s">
        <v>62</v>
      </c>
      <c r="M485" s="4" t="s">
        <v>63</v>
      </c>
      <c r="N485" s="5" t="s">
        <v>64</v>
      </c>
      <c r="O485" s="4" t="s">
        <v>65</v>
      </c>
      <c r="P485" s="5" t="s">
        <v>66</v>
      </c>
      <c r="Q485" s="4" t="s">
        <v>67</v>
      </c>
      <c r="R485" s="5" t="s">
        <v>68</v>
      </c>
      <c r="S485" s="4" t="s">
        <v>69</v>
      </c>
      <c r="T485" s="5" t="s">
        <v>70</v>
      </c>
      <c r="U485" s="4" t="s">
        <v>71</v>
      </c>
      <c r="V485" s="5" t="s">
        <v>72</v>
      </c>
      <c r="W485" s="4" t="s">
        <v>73</v>
      </c>
      <c r="X485" s="4" t="s">
        <v>74</v>
      </c>
      <c r="Y485" s="5"/>
      <c r="Z485" s="4" t="s">
        <v>75</v>
      </c>
      <c r="AA485" s="6" t="n">
        <v>200000</v>
      </c>
      <c r="AB485" s="6" t="n">
        <v>182022</v>
      </c>
      <c r="AC485" s="6" t="n">
        <v>182022</v>
      </c>
      <c r="AD485" s="6" t="n">
        <v>182022</v>
      </c>
      <c r="AE485" s="4" t="s">
        <v>395</v>
      </c>
      <c r="AF485" s="5" t="s">
        <v>396</v>
      </c>
      <c r="AG485" s="4" t="s">
        <v>78</v>
      </c>
      <c r="AH485" s="4" t="s">
        <v>79</v>
      </c>
      <c r="AI485" s="5" t="s">
        <v>80</v>
      </c>
      <c r="AJ485" s="1" t="n">
        <v>1</v>
      </c>
      <c r="AK485" s="11" t="n">
        <v>1</v>
      </c>
      <c r="AL485" s="12" t="s">
        <v>81</v>
      </c>
      <c r="AM485" s="13" t="str">
        <f>IF(AL485="","",AL485&amp;" - "&amp;IFERROR(VLOOKUP(AL485,CODEBOOK_CAP!$C$2:$D$212,2,FALSE),""))</f>
        <v>0322 - ESTRUTURAS, HOSPITAIS, CLÍNICAS</v>
      </c>
      <c r="AN485" s="13" t="str">
        <f>IF(AL485="","",IFERROR(VLOOKUP(AL485,CODEBOOK_CAP!$C$2:$E$212,3,FALSE),""))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485" s="11" t="n">
        <v>1</v>
      </c>
      <c r="AP485" s="11" t="s">
        <v>2925</v>
      </c>
      <c r="AQ485" s="11" t="n">
        <v>1</v>
      </c>
      <c r="AR485" s="11" t="n">
        <v>1</v>
      </c>
      <c r="AS485" s="11" t="s">
        <v>2926</v>
      </c>
      <c r="AT485" s="11" t="n">
        <v>0</v>
      </c>
      <c r="AU485" s="11"/>
      <c r="AV485" s="11"/>
      <c r="AW485" s="11"/>
      <c r="AX485" s="7" t="s">
        <v>84</v>
      </c>
      <c r="AY485" s="7"/>
      <c r="AZ485" s="7"/>
      <c r="BA485" s="7"/>
    </row>
    <row r="486" ht="85.5" customHeight="1">
      <c r="A486" s="4" t="s">
        <v>2927</v>
      </c>
      <c r="B486" s="4" t="n">
        <v>2022</v>
      </c>
      <c r="C486" s="4" t="n">
        <v>4706</v>
      </c>
      <c r="D486" s="4" t="s">
        <v>54</v>
      </c>
      <c r="E486" s="4" t="s">
        <v>2885</v>
      </c>
      <c r="F486" s="5" t="s">
        <v>2928</v>
      </c>
      <c r="G486" s="4" t="s">
        <v>57</v>
      </c>
      <c r="H486" s="4" t="s">
        <v>2887</v>
      </c>
      <c r="I486" s="4" t="s">
        <v>2888</v>
      </c>
      <c r="J486" s="4" t="s">
        <v>2929</v>
      </c>
      <c r="K486" s="4" t="s">
        <v>357</v>
      </c>
      <c r="L486" s="5" t="s">
        <v>62</v>
      </c>
      <c r="M486" s="4" t="s">
        <v>63</v>
      </c>
      <c r="N486" s="5" t="s">
        <v>64</v>
      </c>
      <c r="O486" s="4" t="s">
        <v>65</v>
      </c>
      <c r="P486" s="5" t="s">
        <v>66</v>
      </c>
      <c r="Q486" s="4" t="s">
        <v>67</v>
      </c>
      <c r="R486" s="5" t="s">
        <v>68</v>
      </c>
      <c r="S486" s="4" t="s">
        <v>69</v>
      </c>
      <c r="T486" s="5" t="s">
        <v>70</v>
      </c>
      <c r="U486" s="4" t="s">
        <v>71</v>
      </c>
      <c r="V486" s="5" t="s">
        <v>72</v>
      </c>
      <c r="W486" s="4" t="s">
        <v>73</v>
      </c>
      <c r="X486" s="4" t="s">
        <v>74</v>
      </c>
      <c r="Y486" s="5"/>
      <c r="Z486" s="4" t="s">
        <v>75</v>
      </c>
      <c r="AA486" s="6" t="n">
        <v>200000</v>
      </c>
      <c r="AB486" s="6" t="n">
        <v>200000</v>
      </c>
      <c r="AC486" s="6" t="n">
        <v>200000</v>
      </c>
      <c r="AD486" s="6" t="n">
        <v>200000</v>
      </c>
      <c r="AE486" s="4" t="s">
        <v>2930</v>
      </c>
      <c r="AF486" s="5" t="s">
        <v>2931</v>
      </c>
      <c r="AG486" s="4" t="s">
        <v>78</v>
      </c>
      <c r="AH486" s="4" t="s">
        <v>79</v>
      </c>
      <c r="AI486" s="5" t="s">
        <v>80</v>
      </c>
      <c r="AJ486" s="1" t="n">
        <v>1</v>
      </c>
      <c r="AK486" s="11" t="n">
        <v>1</v>
      </c>
      <c r="AL486" s="12" t="s">
        <v>81</v>
      </c>
      <c r="AM486" s="13" t="str">
        <f>IF(AL486="","",AL486&amp;" - "&amp;IFERROR(VLOOKUP(AL486,CODEBOOK_CAP!$C$2:$D$212,2,FALSE),""))</f>
        <v>0322 - ESTRUTURAS, HOSPITAIS, CLÍNICAS</v>
      </c>
      <c r="AN486" s="13" t="str">
        <f>IF(AL486="","",IFERROR(VLOOKUP(AL486,CODEBOOK_CAP!$C$2:$E$212,3,FALSE),""))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486" s="11" t="n">
        <v>1</v>
      </c>
      <c r="AP486" s="11" t="s">
        <v>2932</v>
      </c>
      <c r="AQ486" s="11" t="n">
        <v>1</v>
      </c>
      <c r="AR486" s="11" t="n">
        <v>1</v>
      </c>
      <c r="AS486" s="11" t="s">
        <v>2933</v>
      </c>
      <c r="AT486" s="11" t="n">
        <v>0</v>
      </c>
      <c r="AU486" s="11"/>
      <c r="AV486" s="11"/>
      <c r="AW486" s="11"/>
      <c r="AX486" s="7" t="s">
        <v>84</v>
      </c>
      <c r="AY486" s="7"/>
      <c r="AZ486" s="7"/>
      <c r="BA486" s="7"/>
    </row>
    <row r="487" ht="85.5" customHeight="1">
      <c r="A487" s="4" t="s">
        <v>2934</v>
      </c>
      <c r="B487" s="4" t="n">
        <v>2022</v>
      </c>
      <c r="C487" s="4" t="n">
        <v>4707</v>
      </c>
      <c r="D487" s="4" t="s">
        <v>54</v>
      </c>
      <c r="E487" s="4" t="s">
        <v>2885</v>
      </c>
      <c r="F487" s="5" t="s">
        <v>2935</v>
      </c>
      <c r="G487" s="4" t="s">
        <v>57</v>
      </c>
      <c r="H487" s="4" t="s">
        <v>2887</v>
      </c>
      <c r="I487" s="4" t="s">
        <v>2888</v>
      </c>
      <c r="J487" s="4" t="s">
        <v>2936</v>
      </c>
      <c r="K487" s="4" t="s">
        <v>357</v>
      </c>
      <c r="L487" s="5" t="s">
        <v>62</v>
      </c>
      <c r="M487" s="4" t="s">
        <v>63</v>
      </c>
      <c r="N487" s="5" t="s">
        <v>64</v>
      </c>
      <c r="O487" s="4" t="s">
        <v>65</v>
      </c>
      <c r="P487" s="5" t="s">
        <v>66</v>
      </c>
      <c r="Q487" s="4" t="s">
        <v>67</v>
      </c>
      <c r="R487" s="5" t="s">
        <v>68</v>
      </c>
      <c r="S487" s="4" t="s">
        <v>69</v>
      </c>
      <c r="T487" s="5" t="s">
        <v>70</v>
      </c>
      <c r="U487" s="4" t="s">
        <v>71</v>
      </c>
      <c r="V487" s="5" t="s">
        <v>72</v>
      </c>
      <c r="W487" s="4" t="s">
        <v>73</v>
      </c>
      <c r="X487" s="4" t="s">
        <v>74</v>
      </c>
      <c r="Y487" s="5"/>
      <c r="Z487" s="4" t="s">
        <v>75</v>
      </c>
      <c r="AA487" s="6" t="n">
        <v>150000</v>
      </c>
      <c r="AB487" s="6" t="n">
        <v>150000</v>
      </c>
      <c r="AC487" s="6" t="n">
        <v>150000</v>
      </c>
      <c r="AD487" s="6" t="n">
        <v>150000</v>
      </c>
      <c r="AE487" s="4" t="s">
        <v>395</v>
      </c>
      <c r="AF487" s="5" t="s">
        <v>396</v>
      </c>
      <c r="AG487" s="4" t="s">
        <v>78</v>
      </c>
      <c r="AH487" s="4" t="s">
        <v>79</v>
      </c>
      <c r="AI487" s="5" t="s">
        <v>80</v>
      </c>
      <c r="AJ487" s="1" t="n">
        <v>1</v>
      </c>
      <c r="AK487" s="11" t="n">
        <v>1</v>
      </c>
      <c r="AL487" s="12" t="s">
        <v>81</v>
      </c>
      <c r="AM487" s="13" t="str">
        <f>IF(AL487="","",AL487&amp;" - "&amp;IFERROR(VLOOKUP(AL487,CODEBOOK_CAP!$C$2:$D$212,2,FALSE),""))</f>
        <v>0322 - ESTRUTURAS, HOSPITAIS, CLÍNICAS</v>
      </c>
      <c r="AN487" s="13" t="str">
        <f>IF(AL487="","",IFERROR(VLOOKUP(AL487,CODEBOOK_CAP!$C$2:$E$212,3,FALSE),""))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487" s="11" t="n">
        <v>1</v>
      </c>
      <c r="AP487" s="11" t="s">
        <v>2937</v>
      </c>
      <c r="AQ487" s="11" t="n">
        <v>1</v>
      </c>
      <c r="AR487" s="11" t="n">
        <v>1</v>
      </c>
      <c r="AS487" s="11" t="s">
        <v>2938</v>
      </c>
      <c r="AT487" s="11" t="n">
        <v>0</v>
      </c>
      <c r="AU487" s="11"/>
      <c r="AV487" s="11"/>
      <c r="AW487" s="11"/>
      <c r="AX487" s="7" t="s">
        <v>84</v>
      </c>
      <c r="AY487" s="7"/>
      <c r="AZ487" s="7"/>
      <c r="BA487" s="7"/>
    </row>
    <row r="488" ht="156.75" customHeight="1">
      <c r="A488" s="4" t="s">
        <v>2939</v>
      </c>
      <c r="B488" s="4" t="n">
        <v>2022</v>
      </c>
      <c r="C488" s="4" t="n">
        <v>4561</v>
      </c>
      <c r="D488" s="4" t="s">
        <v>54</v>
      </c>
      <c r="E488" s="4" t="s">
        <v>2940</v>
      </c>
      <c r="F488" s="5" t="s">
        <v>2941</v>
      </c>
      <c r="G488" s="4" t="s">
        <v>289</v>
      </c>
      <c r="H488" s="4" t="s">
        <v>2942</v>
      </c>
      <c r="I488" s="4" t="s">
        <v>281</v>
      </c>
      <c r="J488" s="4" t="s">
        <v>2943</v>
      </c>
      <c r="K488" s="4" t="s">
        <v>283</v>
      </c>
      <c r="L488" s="5" t="s">
        <v>94</v>
      </c>
      <c r="M488" s="4" t="s">
        <v>95</v>
      </c>
      <c r="N488" s="5" t="s">
        <v>96</v>
      </c>
      <c r="O488" s="4" t="s">
        <v>97</v>
      </c>
      <c r="P488" s="5" t="s">
        <v>98</v>
      </c>
      <c r="Q488" s="4" t="s">
        <v>99</v>
      </c>
      <c r="R488" s="5" t="s">
        <v>100</v>
      </c>
      <c r="S488" s="4" t="s">
        <v>101</v>
      </c>
      <c r="T488" s="5" t="s">
        <v>102</v>
      </c>
      <c r="U488" s="4" t="s">
        <v>103</v>
      </c>
      <c r="V488" s="5" t="s">
        <v>104</v>
      </c>
      <c r="W488" s="4" t="s">
        <v>105</v>
      </c>
      <c r="X488" s="4" t="s">
        <v>106</v>
      </c>
      <c r="Y488" s="5"/>
      <c r="Z488" s="4" t="s">
        <v>107</v>
      </c>
      <c r="AA488" s="6" t="n">
        <v>644000</v>
      </c>
      <c r="AB488" s="6" t="n">
        <v>0</v>
      </c>
      <c r="AC488" s="6" t="n">
        <v>0</v>
      </c>
      <c r="AD488" s="6" t="n">
        <v>0</v>
      </c>
      <c r="AE488" s="4"/>
      <c r="AF488" s="5"/>
      <c r="AG488" s="4" t="s">
        <v>110</v>
      </c>
      <c r="AH488" s="4" t="s">
        <v>110</v>
      </c>
      <c r="AI488" s="5"/>
      <c r="AJ488" s="1" t="n">
        <v>0</v>
      </c>
      <c r="AK488" s="11" t="n">
        <v>0</v>
      </c>
      <c r="AL488" s="12" t="s">
        <v>111</v>
      </c>
      <c r="AM488" s="13" t="str">
        <f>IF(AL488="","",AL488&amp;" - "&amp;IFERROR(VLOOKUP(AL488,CODEBOOK_CAP!$C$2:$D$212,2,FALSE),""))</f>
        <v>1300 - GERAL</v>
      </c>
      <c r="AN488" s="13" t="str">
        <f>IF(AL488="","",IFERROR(VLOOKUP(AL488,CODEBOOK_CAP!$C$2:$E$212,3,FALSE),""))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488" s="11" t="n">
        <v>0</v>
      </c>
      <c r="AP488" s="11"/>
      <c r="AQ488" s="11" t="n">
        <v>0</v>
      </c>
      <c r="AR488" s="11" t="n">
        <v>0</v>
      </c>
      <c r="AS488" s="11"/>
      <c r="AT488" s="11" t="n">
        <v>0</v>
      </c>
      <c r="AU488" s="11"/>
      <c r="AV488" s="11"/>
      <c r="AW488" s="11"/>
      <c r="AX488" s="7" t="s">
        <v>84</v>
      </c>
      <c r="AY488" s="7"/>
      <c r="AZ488" s="7"/>
      <c r="BA488" s="7"/>
    </row>
    <row r="489" ht="85.5" customHeight="1">
      <c r="A489" s="4" t="s">
        <v>2944</v>
      </c>
      <c r="B489" s="4" t="n">
        <v>2022</v>
      </c>
      <c r="C489" s="4" t="n">
        <v>4562</v>
      </c>
      <c r="D489" s="4" t="s">
        <v>54</v>
      </c>
      <c r="E489" s="4" t="s">
        <v>2940</v>
      </c>
      <c r="F489" s="5" t="s">
        <v>2945</v>
      </c>
      <c r="G489" s="4" t="s">
        <v>289</v>
      </c>
      <c r="H489" s="4" t="s">
        <v>2942</v>
      </c>
      <c r="I489" s="4" t="s">
        <v>281</v>
      </c>
      <c r="J489" s="4" t="s">
        <v>2946</v>
      </c>
      <c r="K489" s="4" t="s">
        <v>115</v>
      </c>
      <c r="L489" s="5"/>
      <c r="M489" s="4"/>
      <c r="N489" s="5"/>
      <c r="O489" s="4"/>
      <c r="P489" s="5"/>
      <c r="Q489" s="4"/>
      <c r="R489" s="5"/>
      <c r="S489" s="4"/>
      <c r="T489" s="5"/>
      <c r="U489" s="4"/>
      <c r="V489" s="5"/>
      <c r="W489" s="4"/>
      <c r="X489" s="4"/>
      <c r="Y489" s="5"/>
      <c r="Z489" s="4" t="s">
        <v>289</v>
      </c>
      <c r="AA489" s="6" t="n">
        <v>100000</v>
      </c>
      <c r="AB489" s="6" t="n">
        <v>100000</v>
      </c>
      <c r="AC489" s="6" t="n">
        <v>0</v>
      </c>
      <c r="AD489" s="6" t="n">
        <v>100000</v>
      </c>
      <c r="AE489" s="4" t="s">
        <v>409</v>
      </c>
      <c r="AF489" s="5" t="s">
        <v>410</v>
      </c>
      <c r="AG489" s="4" t="s">
        <v>78</v>
      </c>
      <c r="AH489" s="4" t="s">
        <v>79</v>
      </c>
      <c r="AI489" s="5" t="s">
        <v>80</v>
      </c>
      <c r="AJ489" s="1" t="n">
        <v>1</v>
      </c>
      <c r="AK489" s="11" t="n">
        <v>1</v>
      </c>
      <c r="AL489" s="12" t="s">
        <v>81</v>
      </c>
      <c r="AM489" s="13" t="str">
        <f>IF(AL489="","",AL489&amp;" - "&amp;IFERROR(VLOOKUP(AL489,CODEBOOK_CAP!$C$2:$D$212,2,FALSE),""))</f>
        <v>0322 - ESTRUTURAS, HOSPITAIS, CLÍNICAS</v>
      </c>
      <c r="AN489" s="13" t="str">
        <f>IF(AL489="","",IFERROR(VLOOKUP(AL489,CODEBOOK_CAP!$C$2:$E$212,3,FALSE),""))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489" s="11" t="n">
        <v>1</v>
      </c>
      <c r="AP489" s="11" t="s">
        <v>2947</v>
      </c>
      <c r="AQ489" s="11" t="n">
        <v>1</v>
      </c>
      <c r="AR489" s="11" t="n">
        <v>1</v>
      </c>
      <c r="AS489" s="11" t="s">
        <v>2948</v>
      </c>
      <c r="AT489" s="11" t="n">
        <v>0</v>
      </c>
      <c r="AU489" s="11"/>
      <c r="AV489" s="11"/>
      <c r="AW489" s="11"/>
      <c r="AX489" s="7" t="s">
        <v>84</v>
      </c>
      <c r="AY489" s="7"/>
      <c r="AZ489" s="7"/>
      <c r="BA489" s="7"/>
    </row>
    <row r="490" ht="85.5" customHeight="1">
      <c r="A490" s="4" t="s">
        <v>2949</v>
      </c>
      <c r="B490" s="4" t="n">
        <v>2022</v>
      </c>
      <c r="C490" s="4" t="n">
        <v>4563</v>
      </c>
      <c r="D490" s="4" t="s">
        <v>54</v>
      </c>
      <c r="E490" s="4" t="s">
        <v>2940</v>
      </c>
      <c r="F490" s="5" t="s">
        <v>2950</v>
      </c>
      <c r="G490" s="4" t="s">
        <v>2334</v>
      </c>
      <c r="H490" s="4" t="s">
        <v>2942</v>
      </c>
      <c r="I490" s="4" t="s">
        <v>281</v>
      </c>
      <c r="J490" s="4" t="s">
        <v>2951</v>
      </c>
      <c r="K490" s="4" t="s">
        <v>357</v>
      </c>
      <c r="L490" s="5" t="s">
        <v>62</v>
      </c>
      <c r="M490" s="4" t="s">
        <v>63</v>
      </c>
      <c r="N490" s="5" t="s">
        <v>64</v>
      </c>
      <c r="O490" s="4" t="s">
        <v>65</v>
      </c>
      <c r="P490" s="5" t="s">
        <v>66</v>
      </c>
      <c r="Q490" s="4" t="s">
        <v>67</v>
      </c>
      <c r="R490" s="5" t="s">
        <v>68</v>
      </c>
      <c r="S490" s="4" t="s">
        <v>69</v>
      </c>
      <c r="T490" s="5" t="s">
        <v>70</v>
      </c>
      <c r="U490" s="4" t="s">
        <v>71</v>
      </c>
      <c r="V490" s="5" t="s">
        <v>72</v>
      </c>
      <c r="W490" s="4" t="s">
        <v>73</v>
      </c>
      <c r="X490" s="4" t="s">
        <v>74</v>
      </c>
      <c r="Y490" s="5"/>
      <c r="Z490" s="4" t="s">
        <v>132</v>
      </c>
      <c r="AA490" s="6" t="n">
        <v>600000</v>
      </c>
      <c r="AB490" s="6" t="n">
        <v>600000</v>
      </c>
      <c r="AC490" s="6" t="n">
        <v>0</v>
      </c>
      <c r="AD490" s="6" t="n">
        <v>600000</v>
      </c>
      <c r="AE490" s="4" t="s">
        <v>409</v>
      </c>
      <c r="AF490" s="5" t="s">
        <v>410</v>
      </c>
      <c r="AG490" s="4" t="s">
        <v>78</v>
      </c>
      <c r="AH490" s="4" t="s">
        <v>79</v>
      </c>
      <c r="AI490" s="5" t="s">
        <v>80</v>
      </c>
      <c r="AJ490" s="1" t="n">
        <v>1</v>
      </c>
      <c r="AK490" s="11" t="n">
        <v>1</v>
      </c>
      <c r="AL490" s="12" t="s">
        <v>81</v>
      </c>
      <c r="AM490" s="13" t="str">
        <f>IF(AL490="","",AL490&amp;" - "&amp;IFERROR(VLOOKUP(AL490,CODEBOOK_CAP!$C$2:$D$212,2,FALSE),""))</f>
        <v>0322 - ESTRUTURAS, HOSPITAIS, CLÍNICAS</v>
      </c>
      <c r="AN490" s="13" t="str">
        <f>IF(AL490="","",IFERROR(VLOOKUP(AL490,CODEBOOK_CAP!$C$2:$E$212,3,FALSE),""))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490" s="11" t="n">
        <v>1</v>
      </c>
      <c r="AP490" s="11" t="s">
        <v>2952</v>
      </c>
      <c r="AQ490" s="11" t="n">
        <v>1</v>
      </c>
      <c r="AR490" s="11" t="n">
        <v>1</v>
      </c>
      <c r="AS490" s="11" t="s">
        <v>2953</v>
      </c>
      <c r="AT490" s="11" t="n">
        <v>0</v>
      </c>
      <c r="AU490" s="11"/>
      <c r="AV490" s="11"/>
      <c r="AW490" s="11"/>
      <c r="AX490" s="7" t="s">
        <v>84</v>
      </c>
      <c r="AY490" s="7"/>
      <c r="AZ490" s="7"/>
      <c r="BA490" s="7"/>
    </row>
    <row r="491" ht="71.25" customHeight="1">
      <c r="A491" s="4" t="s">
        <v>2954</v>
      </c>
      <c r="B491" s="4" t="n">
        <v>2022</v>
      </c>
      <c r="C491" s="4" t="n">
        <v>4564</v>
      </c>
      <c r="D491" s="4" t="s">
        <v>54</v>
      </c>
      <c r="E491" s="4" t="s">
        <v>2940</v>
      </c>
      <c r="F491" s="5" t="s">
        <v>2955</v>
      </c>
      <c r="G491" s="4" t="s">
        <v>57</v>
      </c>
      <c r="H491" s="4" t="s">
        <v>2942</v>
      </c>
      <c r="I491" s="4" t="s">
        <v>281</v>
      </c>
      <c r="J491" s="4" t="s">
        <v>2956</v>
      </c>
      <c r="K491" s="4" t="s">
        <v>1179</v>
      </c>
      <c r="L491" s="5" t="s">
        <v>122</v>
      </c>
      <c r="M491" s="4" t="s">
        <v>123</v>
      </c>
      <c r="N491" s="5" t="s">
        <v>227</v>
      </c>
      <c r="O491" s="4" t="s">
        <v>228</v>
      </c>
      <c r="P491" s="5" t="s">
        <v>229</v>
      </c>
      <c r="Q491" s="4" t="s">
        <v>230</v>
      </c>
      <c r="R491" s="5" t="s">
        <v>1079</v>
      </c>
      <c r="S491" s="4" t="s">
        <v>1080</v>
      </c>
      <c r="T491" s="5" t="s">
        <v>1153</v>
      </c>
      <c r="U491" s="4" t="s">
        <v>1154</v>
      </c>
      <c r="V491" s="5" t="s">
        <v>72</v>
      </c>
      <c r="W491" s="4" t="s">
        <v>73</v>
      </c>
      <c r="X491" s="4" t="s">
        <v>74</v>
      </c>
      <c r="Y491" s="5"/>
      <c r="Z491" s="4" t="s">
        <v>132</v>
      </c>
      <c r="AA491" s="6" t="n">
        <v>688000</v>
      </c>
      <c r="AB491" s="6" t="n">
        <v>480016</v>
      </c>
      <c r="AC491" s="6" t="n">
        <v>480016</v>
      </c>
      <c r="AD491" s="6" t="n">
        <v>480016</v>
      </c>
      <c r="AE491" s="4" t="s">
        <v>2957</v>
      </c>
      <c r="AF491" s="5" t="s">
        <v>2958</v>
      </c>
      <c r="AG491" s="4" t="s">
        <v>78</v>
      </c>
      <c r="AH491" s="4" t="s">
        <v>79</v>
      </c>
      <c r="AI491" s="5" t="s">
        <v>80</v>
      </c>
      <c r="AJ491" s="1" t="n">
        <v>0</v>
      </c>
      <c r="AK491" s="11" t="n">
        <v>0</v>
      </c>
      <c r="AL491" s="12" t="s">
        <v>188</v>
      </c>
      <c r="AM491" s="13" t="str">
        <f>IF(AL491="","",AL491&amp;" - "&amp;IFERROR(VLOOKUP(AL491,CODEBOOK_CAP!$C$2:$D$212,2,FALSE),""))</f>
        <v>2300 - GERAL</v>
      </c>
      <c r="AN491" s="13" t="str">
        <f>IF(AL491="","",IFERROR(VLOOKUP(AL491,CODEBOOK_CAP!$C$2:$E$212,3,FALSE),""))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491" s="11" t="n">
        <v>0</v>
      </c>
      <c r="AP491" s="11"/>
      <c r="AQ491" s="11" t="n">
        <v>1</v>
      </c>
      <c r="AR491" s="11" t="n">
        <v>1</v>
      </c>
      <c r="AS491" s="11" t="s">
        <v>2959</v>
      </c>
      <c r="AT491" s="11" t="n">
        <v>0</v>
      </c>
      <c r="AU491" s="11"/>
      <c r="AV491" s="11"/>
      <c r="AW491" s="11"/>
      <c r="AX491" s="7" t="s">
        <v>84</v>
      </c>
      <c r="AY491" s="7"/>
      <c r="AZ491" s="7"/>
      <c r="BA491" s="7"/>
      <c r="BB491" s="3" t="s">
        <v>6564</v>
      </c>
    </row>
    <row r="492" ht="256.5" customHeight="1">
      <c r="A492" s="4" t="s">
        <v>2960</v>
      </c>
      <c r="B492" s="4" t="n">
        <v>2022</v>
      </c>
      <c r="C492" s="4" t="n">
        <v>4565</v>
      </c>
      <c r="D492" s="4" t="s">
        <v>54</v>
      </c>
      <c r="E492" s="4" t="s">
        <v>2940</v>
      </c>
      <c r="F492" s="5" t="s">
        <v>2961</v>
      </c>
      <c r="G492" s="4" t="s">
        <v>57</v>
      </c>
      <c r="H492" s="4" t="s">
        <v>2942</v>
      </c>
      <c r="I492" s="4" t="s">
        <v>281</v>
      </c>
      <c r="J492" s="4" t="s">
        <v>2962</v>
      </c>
      <c r="K492" s="4" t="s">
        <v>554</v>
      </c>
      <c r="L492" s="5" t="s">
        <v>62</v>
      </c>
      <c r="M492" s="4" t="s">
        <v>63</v>
      </c>
      <c r="N492" s="5" t="s">
        <v>64</v>
      </c>
      <c r="O492" s="4" t="s">
        <v>65</v>
      </c>
      <c r="P492" s="5" t="s">
        <v>344</v>
      </c>
      <c r="Q492" s="4" t="s">
        <v>345</v>
      </c>
      <c r="R492" s="5" t="s">
        <v>346</v>
      </c>
      <c r="S492" s="4" t="s">
        <v>347</v>
      </c>
      <c r="T492" s="5" t="s">
        <v>555</v>
      </c>
      <c r="U492" s="4" t="s">
        <v>347</v>
      </c>
      <c r="V492" s="5" t="s">
        <v>310</v>
      </c>
      <c r="W492" s="4" t="s">
        <v>73</v>
      </c>
      <c r="X492" s="4" t="s">
        <v>74</v>
      </c>
      <c r="Y492" s="5"/>
      <c r="Z492" s="4" t="s">
        <v>75</v>
      </c>
      <c r="AA492" s="6" t="n">
        <v>181333</v>
      </c>
      <c r="AB492" s="6" t="n">
        <v>28071</v>
      </c>
      <c r="AC492" s="6" t="n">
        <v>28071</v>
      </c>
      <c r="AD492" s="6" t="n">
        <v>28071</v>
      </c>
      <c r="AE492" s="4" t="s">
        <v>2963</v>
      </c>
      <c r="AF492" s="5" t="s">
        <v>2964</v>
      </c>
      <c r="AG492" s="4" t="s">
        <v>78</v>
      </c>
      <c r="AH492" s="4" t="s">
        <v>79</v>
      </c>
      <c r="AI492" s="5" t="s">
        <v>80</v>
      </c>
      <c r="AJ492" s="1" t="n">
        <v>1</v>
      </c>
      <c r="AK492" s="11" t="n">
        <v>1</v>
      </c>
      <c r="AL492" s="12" t="s">
        <v>81</v>
      </c>
      <c r="AM492" s="13" t="str">
        <f>IF(AL492="","",AL492&amp;" - "&amp;IFERROR(VLOOKUP(AL492,CODEBOOK_CAP!$C$2:$D$212,2,FALSE),""))</f>
        <v>0322 - ESTRUTURAS, HOSPITAIS, CLÍNICAS</v>
      </c>
      <c r="AN492" s="13" t="str">
        <f>IF(AL492="","",IFERROR(VLOOKUP(AL492,CODEBOOK_CAP!$C$2:$E$212,3,FALSE),""))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492" s="11" t="n">
        <v>1</v>
      </c>
      <c r="AP492" s="11" t="s">
        <v>2965</v>
      </c>
      <c r="AQ492" s="11" t="n">
        <v>1</v>
      </c>
      <c r="AR492" s="11" t="n">
        <v>1</v>
      </c>
      <c r="AS492" s="11" t="s">
        <v>2966</v>
      </c>
      <c r="AT492" s="11" t="n">
        <v>0</v>
      </c>
      <c r="AU492" s="11"/>
      <c r="AV492" s="11"/>
      <c r="AW492" s="11"/>
      <c r="AX492" s="7" t="s">
        <v>84</v>
      </c>
      <c r="AY492" s="7"/>
      <c r="AZ492" s="7"/>
      <c r="BA492" s="7"/>
    </row>
    <row r="493" ht="171" customHeight="1">
      <c r="A493" s="4" t="s">
        <v>2967</v>
      </c>
      <c r="B493" s="4" t="n">
        <v>2022</v>
      </c>
      <c r="C493" s="4" t="n">
        <v>4566</v>
      </c>
      <c r="D493" s="4" t="s">
        <v>54</v>
      </c>
      <c r="E493" s="4" t="s">
        <v>2940</v>
      </c>
      <c r="F493" s="5" t="s">
        <v>2968</v>
      </c>
      <c r="G493" s="4" t="s">
        <v>57</v>
      </c>
      <c r="H493" s="4" t="s">
        <v>2942</v>
      </c>
      <c r="I493" s="4" t="s">
        <v>281</v>
      </c>
      <c r="J493" s="4" t="s">
        <v>2969</v>
      </c>
      <c r="K493" s="4" t="s">
        <v>115</v>
      </c>
      <c r="L493" s="5"/>
      <c r="M493" s="4"/>
      <c r="N493" s="5"/>
      <c r="O493" s="4"/>
      <c r="P493" s="5"/>
      <c r="Q493" s="4"/>
      <c r="R493" s="5"/>
      <c r="S493" s="4"/>
      <c r="T493" s="5"/>
      <c r="U493" s="4"/>
      <c r="V493" s="5"/>
      <c r="W493" s="4"/>
      <c r="X493" s="4"/>
      <c r="Y493" s="5"/>
      <c r="Z493" s="4" t="s">
        <v>75</v>
      </c>
      <c r="AA493" s="6" t="n">
        <v>181333</v>
      </c>
      <c r="AB493" s="6" t="n">
        <v>23540.61</v>
      </c>
      <c r="AC493" s="6" t="n">
        <v>23540.61</v>
      </c>
      <c r="AD493" s="6" t="n">
        <v>23540.61</v>
      </c>
      <c r="AE493" s="4" t="s">
        <v>2970</v>
      </c>
      <c r="AF493" s="5" t="s">
        <v>2971</v>
      </c>
      <c r="AG493" s="4" t="s">
        <v>115</v>
      </c>
      <c r="AH493" s="4" t="s">
        <v>115</v>
      </c>
      <c r="AI493" s="5" t="s">
        <v>115</v>
      </c>
      <c r="AJ493" s="1" t="n">
        <v>1</v>
      </c>
      <c r="AK493" s="11" t="n">
        <v>1</v>
      </c>
      <c r="AL493" s="12" t="s">
        <v>81</v>
      </c>
      <c r="AM493" s="13" t="str">
        <f>IF(AL493="","",AL493&amp;" - "&amp;IFERROR(VLOOKUP(AL493,CODEBOOK_CAP!$C$2:$D$212,2,FALSE),""))</f>
        <v>0322 - ESTRUTURAS, HOSPITAIS, CLÍNICAS</v>
      </c>
      <c r="AN493" s="13" t="str">
        <f>IF(AL493="","",IFERROR(VLOOKUP(AL493,CODEBOOK_CAP!$C$2:$E$212,3,FALSE),""))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493" s="11" t="n">
        <v>1</v>
      </c>
      <c r="AP493" s="11" t="s">
        <v>2972</v>
      </c>
      <c r="AQ493" s="11" t="n">
        <v>1</v>
      </c>
      <c r="AR493" s="11" t="n">
        <v>1</v>
      </c>
      <c r="AS493" s="11" t="s">
        <v>2973</v>
      </c>
      <c r="AT493" s="11" t="n">
        <v>0</v>
      </c>
      <c r="AU493" s="11"/>
      <c r="AV493" s="11"/>
      <c r="AW493" s="11"/>
      <c r="AX493" s="7" t="s">
        <v>84</v>
      </c>
      <c r="AY493" s="7"/>
      <c r="AZ493" s="7"/>
      <c r="BA493" s="7"/>
    </row>
    <row r="494" ht="114" customHeight="1">
      <c r="A494" s="4" t="s">
        <v>2974</v>
      </c>
      <c r="B494" s="4" t="n">
        <v>2022</v>
      </c>
      <c r="C494" s="4" t="n">
        <v>4567</v>
      </c>
      <c r="D494" s="4" t="s">
        <v>54</v>
      </c>
      <c r="E494" s="4" t="s">
        <v>2940</v>
      </c>
      <c r="F494" s="5" t="s">
        <v>2975</v>
      </c>
      <c r="G494" s="4" t="s">
        <v>57</v>
      </c>
      <c r="H494" s="4" t="s">
        <v>2942</v>
      </c>
      <c r="I494" s="4" t="s">
        <v>281</v>
      </c>
      <c r="J494" s="4" t="s">
        <v>2976</v>
      </c>
      <c r="K494" s="4" t="s">
        <v>115</v>
      </c>
      <c r="L494" s="5"/>
      <c r="M494" s="4"/>
      <c r="N494" s="5"/>
      <c r="O494" s="4"/>
      <c r="P494" s="5"/>
      <c r="Q494" s="4"/>
      <c r="R494" s="5"/>
      <c r="S494" s="4"/>
      <c r="T494" s="5"/>
      <c r="U494" s="4"/>
      <c r="V494" s="5"/>
      <c r="W494" s="4"/>
      <c r="X494" s="4"/>
      <c r="Y494" s="5"/>
      <c r="Z494" s="4" t="s">
        <v>75</v>
      </c>
      <c r="AA494" s="6" t="n">
        <v>181333</v>
      </c>
      <c r="AB494" s="6" t="n">
        <v>52696.19</v>
      </c>
      <c r="AC494" s="6" t="n">
        <v>52696.19</v>
      </c>
      <c r="AD494" s="6" t="n">
        <v>52696.19</v>
      </c>
      <c r="AE494" s="4" t="s">
        <v>2977</v>
      </c>
      <c r="AF494" s="5" t="s">
        <v>2978</v>
      </c>
      <c r="AG494" s="4" t="s">
        <v>115</v>
      </c>
      <c r="AH494" s="4" t="s">
        <v>115</v>
      </c>
      <c r="AI494" s="5" t="s">
        <v>115</v>
      </c>
      <c r="AJ494" s="1" t="n">
        <v>1</v>
      </c>
      <c r="AK494" s="11" t="n">
        <v>1</v>
      </c>
      <c r="AL494" s="12" t="s">
        <v>81</v>
      </c>
      <c r="AM494" s="13" t="str">
        <f>IF(AL494="","",AL494&amp;" - "&amp;IFERROR(VLOOKUP(AL494,CODEBOOK_CAP!$C$2:$D$212,2,FALSE),""))</f>
        <v>0322 - ESTRUTURAS, HOSPITAIS, CLÍNICAS</v>
      </c>
      <c r="AN494" s="13" t="str">
        <f>IF(AL494="","",IFERROR(VLOOKUP(AL494,CODEBOOK_CAP!$C$2:$E$212,3,FALSE),""))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494" s="11" t="n">
        <v>1</v>
      </c>
      <c r="AP494" s="11" t="s">
        <v>2979</v>
      </c>
      <c r="AQ494" s="11" t="n">
        <v>1</v>
      </c>
      <c r="AR494" s="11" t="n">
        <v>1</v>
      </c>
      <c r="AS494" s="11" t="s">
        <v>2980</v>
      </c>
      <c r="AT494" s="11" t="n">
        <v>0</v>
      </c>
      <c r="AU494" s="11"/>
      <c r="AV494" s="11"/>
      <c r="AW494" s="11"/>
      <c r="AX494" s="7" t="s">
        <v>84</v>
      </c>
      <c r="AY494" s="7"/>
      <c r="AZ494" s="7"/>
      <c r="BA494" s="7"/>
    </row>
    <row r="495" ht="128.25" customHeight="1">
      <c r="A495" s="4" t="s">
        <v>2981</v>
      </c>
      <c r="B495" s="4" t="n">
        <v>2022</v>
      </c>
      <c r="C495" s="4" t="n">
        <v>4741</v>
      </c>
      <c r="D495" s="4" t="s">
        <v>54</v>
      </c>
      <c r="E495" s="4" t="s">
        <v>2982</v>
      </c>
      <c r="F495" s="5" t="s">
        <v>2983</v>
      </c>
      <c r="G495" s="4" t="s">
        <v>57</v>
      </c>
      <c r="H495" s="4" t="s">
        <v>2984</v>
      </c>
      <c r="I495" s="4" t="s">
        <v>2985</v>
      </c>
      <c r="J495" s="4" t="s">
        <v>2986</v>
      </c>
      <c r="K495" s="4" t="s">
        <v>478</v>
      </c>
      <c r="L495" s="5" t="s">
        <v>122</v>
      </c>
      <c r="M495" s="4" t="s">
        <v>123</v>
      </c>
      <c r="N495" s="5" t="s">
        <v>479</v>
      </c>
      <c r="O495" s="4" t="s">
        <v>480</v>
      </c>
      <c r="P495" s="5" t="s">
        <v>66</v>
      </c>
      <c r="Q495" s="4" t="s">
        <v>67</v>
      </c>
      <c r="R495" s="5" t="s">
        <v>322</v>
      </c>
      <c r="S495" s="4" t="s">
        <v>323</v>
      </c>
      <c r="T495" s="5" t="s">
        <v>481</v>
      </c>
      <c r="U495" s="4" t="s">
        <v>482</v>
      </c>
      <c r="V495" s="5" t="s">
        <v>72</v>
      </c>
      <c r="W495" s="4" t="s">
        <v>73</v>
      </c>
      <c r="X495" s="4" t="s">
        <v>74</v>
      </c>
      <c r="Y495" s="5"/>
      <c r="Z495" s="4" t="s">
        <v>132</v>
      </c>
      <c r="AA495" s="6" t="n">
        <v>302098</v>
      </c>
      <c r="AB495" s="6" t="n">
        <v>301138</v>
      </c>
      <c r="AC495" s="6" t="n">
        <v>301138</v>
      </c>
      <c r="AD495" s="6" t="n">
        <v>301138</v>
      </c>
      <c r="AE495" s="4" t="s">
        <v>2987</v>
      </c>
      <c r="AF495" s="5" t="s">
        <v>2988</v>
      </c>
      <c r="AG495" s="4" t="s">
        <v>78</v>
      </c>
      <c r="AH495" s="4" t="s">
        <v>79</v>
      </c>
      <c r="AI495" s="5" t="s">
        <v>80</v>
      </c>
      <c r="AJ495" s="1" t="n">
        <v>0</v>
      </c>
      <c r="AK495" s="11" t="n">
        <v>0</v>
      </c>
      <c r="AL495" s="12" t="s">
        <v>314</v>
      </c>
      <c r="AM495" s="13" t="str">
        <f>IF(AL495="","",AL495&amp;" - "&amp;IFERROR(VLOOKUP(AL495,CODEBOOK_CAP!$C$2:$D$212,2,FALSE),""))</f>
        <v>1201 - POLÍCIA, AGENCIAS E INSTITUIÇÕES - LEI E CRIMES</v>
      </c>
      <c r="AN495" s="13" t="str">
        <f>IF(AL495="","",IFERROR(VLOOKUP(AL495,CODEBOOK_CAP!$C$2:$E$212,3,FALSE),""))</f>
        <v>Questões relacionadas aos atores, intituições, agencias e agentes que atuam em questões relacionadas a justiça, lei, crime e violência. Servicos e instituições de apoio civil. Assuntos relacionados a atuação de Bombeiros, socorristas, guarda floresta, guarda costeira e proteção civil. Ministério Público, Ministério da Justiça, Polícia Federal, Tribunal de Contas, inteligência, proteção a vítimas, delação premiada, sistemas e banco de dados de justiça, computação vinculada a sistemas de combate a crimes e fraudes. Aqui a observação é sobre as INSTITUIÇÕES EM SI, e não sobre o assunto do qual ela trata, Os assuntos estão nos próximos sub-códigos</v>
      </c>
      <c r="AO495" s="11" t="n">
        <v>1</v>
      </c>
      <c r="AP495" s="11" t="s">
        <v>2989</v>
      </c>
      <c r="AQ495" s="11" t="n">
        <v>1</v>
      </c>
      <c r="AR495" s="11" t="n">
        <v>1</v>
      </c>
      <c r="AS495" s="11" t="s">
        <v>2989</v>
      </c>
      <c r="AT495" s="11" t="n">
        <v>0</v>
      </c>
      <c r="AU495" s="11"/>
      <c r="AV495" s="11"/>
      <c r="AW495" s="11"/>
      <c r="AX495" s="7" t="s">
        <v>84</v>
      </c>
      <c r="AY495" s="7"/>
      <c r="AZ495" s="7"/>
      <c r="BA495" s="7"/>
    </row>
    <row r="496" ht="71.25" customHeight="1">
      <c r="A496" s="4" t="s">
        <v>2990</v>
      </c>
      <c r="B496" s="4" t="n">
        <v>2022</v>
      </c>
      <c r="C496" s="4" t="n">
        <v>4742</v>
      </c>
      <c r="D496" s="4" t="s">
        <v>54</v>
      </c>
      <c r="E496" s="4" t="s">
        <v>2982</v>
      </c>
      <c r="F496" s="5" t="s">
        <v>2991</v>
      </c>
      <c r="G496" s="4" t="s">
        <v>57</v>
      </c>
      <c r="H496" s="4" t="s">
        <v>2984</v>
      </c>
      <c r="I496" s="4" t="s">
        <v>2985</v>
      </c>
      <c r="J496" s="4" t="s">
        <v>2992</v>
      </c>
      <c r="K496" s="4" t="s">
        <v>1184</v>
      </c>
      <c r="L496" s="5" t="s">
        <v>122</v>
      </c>
      <c r="M496" s="4" t="s">
        <v>123</v>
      </c>
      <c r="N496" s="5" t="s">
        <v>124</v>
      </c>
      <c r="O496" s="4" t="s">
        <v>125</v>
      </c>
      <c r="P496" s="5" t="s">
        <v>126</v>
      </c>
      <c r="Q496" s="4" t="s">
        <v>127</v>
      </c>
      <c r="R496" s="5" t="s">
        <v>322</v>
      </c>
      <c r="S496" s="4" t="s">
        <v>323</v>
      </c>
      <c r="T496" s="5" t="s">
        <v>774</v>
      </c>
      <c r="U496" s="4" t="s">
        <v>775</v>
      </c>
      <c r="V496" s="5" t="s">
        <v>72</v>
      </c>
      <c r="W496" s="4" t="s">
        <v>73</v>
      </c>
      <c r="X496" s="4" t="s">
        <v>74</v>
      </c>
      <c r="Y496" s="5"/>
      <c r="Z496" s="4" t="s">
        <v>132</v>
      </c>
      <c r="AA496" s="6" t="n">
        <v>212512</v>
      </c>
      <c r="AB496" s="6" t="n">
        <v>56633</v>
      </c>
      <c r="AC496" s="6" t="n">
        <v>56633</v>
      </c>
      <c r="AD496" s="6" t="n">
        <v>56633</v>
      </c>
      <c r="AE496" s="4" t="s">
        <v>2993</v>
      </c>
      <c r="AF496" s="5" t="s">
        <v>2994</v>
      </c>
      <c r="AG496" s="4" t="s">
        <v>78</v>
      </c>
      <c r="AH496" s="4" t="s">
        <v>79</v>
      </c>
      <c r="AI496" s="5" t="s">
        <v>80</v>
      </c>
      <c r="AJ496" s="1" t="n">
        <v>0</v>
      </c>
      <c r="AK496" s="11" t="n">
        <v>0</v>
      </c>
      <c r="AL496" s="12" t="s">
        <v>188</v>
      </c>
      <c r="AM496" s="13" t="str">
        <f>IF(AL496="","",AL496&amp;" - "&amp;IFERROR(VLOOKUP(AL496,CODEBOOK_CAP!$C$2:$D$212,2,FALSE),""))</f>
        <v>2300 - GERAL</v>
      </c>
      <c r="AN496" s="13" t="str">
        <f>IF(AL496="","",IFERROR(VLOOKUP(AL496,CODEBOOK_CAP!$C$2:$E$212,3,FALSE),""))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496" s="11" t="n">
        <v>1</v>
      </c>
      <c r="AP496" s="11" t="s">
        <v>2995</v>
      </c>
      <c r="AQ496" s="11" t="n">
        <v>1</v>
      </c>
      <c r="AR496" s="11" t="n">
        <v>1</v>
      </c>
      <c r="AS496" s="11" t="s">
        <v>2996</v>
      </c>
      <c r="AT496" s="11" t="n">
        <v>0</v>
      </c>
      <c r="AU496" s="11"/>
      <c r="AV496" s="11"/>
      <c r="AW496" s="11"/>
      <c r="AX496" s="7" t="s">
        <v>84</v>
      </c>
      <c r="AY496" s="7"/>
      <c r="AZ496" s="7"/>
      <c r="BA496" s="7"/>
      <c r="BB496" s="3" t="s">
        <v>6564</v>
      </c>
    </row>
    <row r="497" ht="85.5" customHeight="1">
      <c r="A497" s="4" t="s">
        <v>2997</v>
      </c>
      <c r="B497" s="4" t="n">
        <v>2022</v>
      </c>
      <c r="C497" s="4" t="n">
        <v>4743</v>
      </c>
      <c r="D497" s="4" t="s">
        <v>54</v>
      </c>
      <c r="E497" s="4" t="s">
        <v>2982</v>
      </c>
      <c r="F497" s="5" t="s">
        <v>2998</v>
      </c>
      <c r="G497" s="4" t="s">
        <v>57</v>
      </c>
      <c r="H497" s="4" t="s">
        <v>2984</v>
      </c>
      <c r="I497" s="4" t="s">
        <v>2985</v>
      </c>
      <c r="J497" s="4" t="s">
        <v>2999</v>
      </c>
      <c r="K497" s="4" t="s">
        <v>2864</v>
      </c>
      <c r="L497" s="5" t="s">
        <v>94</v>
      </c>
      <c r="M497" s="4" t="s">
        <v>95</v>
      </c>
      <c r="N497" s="5" t="s">
        <v>96</v>
      </c>
      <c r="O497" s="4" t="s">
        <v>97</v>
      </c>
      <c r="P497" s="5" t="s">
        <v>2253</v>
      </c>
      <c r="Q497" s="4" t="s">
        <v>2254</v>
      </c>
      <c r="R497" s="5" t="s">
        <v>1204</v>
      </c>
      <c r="S497" s="4" t="s">
        <v>1205</v>
      </c>
      <c r="T497" s="5" t="s">
        <v>1206</v>
      </c>
      <c r="U497" s="4" t="s">
        <v>1207</v>
      </c>
      <c r="V497" s="5" t="s">
        <v>104</v>
      </c>
      <c r="W497" s="4" t="s">
        <v>105</v>
      </c>
      <c r="X497" s="4" t="s">
        <v>106</v>
      </c>
      <c r="Y497" s="5"/>
      <c r="Z497" s="4" t="s">
        <v>107</v>
      </c>
      <c r="AA497" s="6" t="n">
        <v>308109</v>
      </c>
      <c r="AB497" s="6" t="n">
        <v>308109</v>
      </c>
      <c r="AC497" s="6" t="n">
        <v>308109</v>
      </c>
      <c r="AD497" s="6" t="n">
        <v>308109</v>
      </c>
      <c r="AE497" s="4" t="s">
        <v>3000</v>
      </c>
      <c r="AF497" s="5" t="s">
        <v>3001</v>
      </c>
      <c r="AG497" s="4" t="s">
        <v>110</v>
      </c>
      <c r="AH497" s="4" t="s">
        <v>110</v>
      </c>
      <c r="AI497" s="5"/>
      <c r="AJ497" s="1" t="n">
        <v>0</v>
      </c>
      <c r="AK497" s="11" t="n">
        <v>0</v>
      </c>
      <c r="AL497" s="12" t="s">
        <v>1696</v>
      </c>
      <c r="AM497" s="13" t="str">
        <f>IF(AL497="","",AL497&amp;" - "&amp;IFERROR(VLOOKUP(AL497,CODEBOOK_CAP!$C$2:$D$212,2,FALSE),""))</f>
        <v>1303 - POLÍTICAS SOCIAIS DE ASSISTÊNCIA PARA IDOSOS</v>
      </c>
      <c r="AN497" s="13" t="str">
        <f>IF(AL497="","",IFERROR(VLOOKUP(AL497,CODEBOOK_CAP!$C$2:$E$212,3,FALSE),""))</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O497" s="11" t="n">
        <v>0</v>
      </c>
      <c r="AP497" s="11"/>
      <c r="AQ497" s="11" t="n">
        <v>0</v>
      </c>
      <c r="AR497" s="11" t="n">
        <v>0</v>
      </c>
      <c r="AS497" s="11"/>
      <c r="AT497" s="11" t="n">
        <v>1</v>
      </c>
      <c r="AU497" s="11" t="s">
        <v>1697</v>
      </c>
      <c r="AV497" s="11"/>
      <c r="AW497" s="11"/>
      <c r="AX497" s="7" t="s">
        <v>84</v>
      </c>
      <c r="AY497" s="7"/>
      <c r="AZ497" s="7"/>
      <c r="BA497" s="7"/>
    </row>
    <row r="498" ht="199.5" customHeight="1">
      <c r="A498" s="4" t="s">
        <v>3002</v>
      </c>
      <c r="B498" s="4" t="n">
        <v>2022</v>
      </c>
      <c r="C498" s="4" t="n">
        <v>4744</v>
      </c>
      <c r="D498" s="4" t="s">
        <v>54</v>
      </c>
      <c r="E498" s="4" t="s">
        <v>2982</v>
      </c>
      <c r="F498" s="5" t="s">
        <v>3003</v>
      </c>
      <c r="G498" s="4" t="s">
        <v>57</v>
      </c>
      <c r="H498" s="4" t="s">
        <v>2984</v>
      </c>
      <c r="I498" s="4" t="s">
        <v>2985</v>
      </c>
      <c r="J498" s="4" t="s">
        <v>3004</v>
      </c>
      <c r="K498" s="4" t="s">
        <v>478</v>
      </c>
      <c r="L498" s="5" t="s">
        <v>122</v>
      </c>
      <c r="M498" s="4" t="s">
        <v>123</v>
      </c>
      <c r="N498" s="5" t="s">
        <v>479</v>
      </c>
      <c r="O498" s="4" t="s">
        <v>480</v>
      </c>
      <c r="P498" s="5" t="s">
        <v>66</v>
      </c>
      <c r="Q498" s="4" t="s">
        <v>67</v>
      </c>
      <c r="R498" s="5" t="s">
        <v>322</v>
      </c>
      <c r="S498" s="4" t="s">
        <v>323</v>
      </c>
      <c r="T498" s="5" t="s">
        <v>481</v>
      </c>
      <c r="U498" s="4" t="s">
        <v>482</v>
      </c>
      <c r="V498" s="5" t="s">
        <v>72</v>
      </c>
      <c r="W498" s="4" t="s">
        <v>73</v>
      </c>
      <c r="X498" s="4" t="s">
        <v>74</v>
      </c>
      <c r="Y498" s="5"/>
      <c r="Z498" s="4" t="s">
        <v>132</v>
      </c>
      <c r="AA498" s="6" t="n">
        <v>130000</v>
      </c>
      <c r="AB498" s="6" t="n">
        <v>130000</v>
      </c>
      <c r="AC498" s="6" t="n">
        <v>130000</v>
      </c>
      <c r="AD498" s="6" t="n">
        <v>130000</v>
      </c>
      <c r="AE498" s="4" t="s">
        <v>3005</v>
      </c>
      <c r="AF498" s="5" t="s">
        <v>3006</v>
      </c>
      <c r="AG498" s="4" t="s">
        <v>78</v>
      </c>
      <c r="AH498" s="4" t="s">
        <v>79</v>
      </c>
      <c r="AI498" s="5" t="s">
        <v>80</v>
      </c>
      <c r="AJ498" s="1" t="n">
        <v>0</v>
      </c>
      <c r="AK498" s="11" t="n">
        <v>0</v>
      </c>
      <c r="AL498" s="12" t="s">
        <v>961</v>
      </c>
      <c r="AM498" s="13" t="str">
        <f>IF(AL498="","",AL498&amp;" - "&amp;IFERROR(VLOOKUP(AL498,CODEBOOK_CAP!$C$2:$D$212,2,FALSE),""))</f>
        <v>0499 - OUTROS</v>
      </c>
      <c r="AN498" s="13" t="str">
        <f>IF(AL498="","",IFERROR(VLOOKUP(AL498,CODEBOOK_CAP!$C$2:$E$212,3,FALSE),""))</f>
        <v>Observações que versam sobre AGRICULTURA, PECUÁRIA E PESCA, mas que não se enquadram em nenhum dos itens acima.</v>
      </c>
      <c r="AO498" s="11" t="n">
        <v>1</v>
      </c>
      <c r="AP498" s="11" t="s">
        <v>3007</v>
      </c>
      <c r="AQ498" s="11" t="n">
        <v>1</v>
      </c>
      <c r="AR498" s="11" t="n">
        <v>1</v>
      </c>
      <c r="AS498" s="11" t="s">
        <v>3008</v>
      </c>
      <c r="AT498" s="11" t="n">
        <v>1</v>
      </c>
      <c r="AU498" s="11" t="s">
        <v>1697</v>
      </c>
      <c r="AV498" s="11"/>
      <c r="AW498" s="11"/>
      <c r="AX498" s="7" t="s">
        <v>84</v>
      </c>
      <c r="AY498" s="7"/>
      <c r="AZ498" s="7"/>
      <c r="BA498" s="7"/>
    </row>
    <row r="499" ht="156.75" customHeight="1">
      <c r="A499" s="4" t="s">
        <v>3009</v>
      </c>
      <c r="B499" s="4" t="n">
        <v>2022</v>
      </c>
      <c r="C499" s="4" t="n">
        <v>4745</v>
      </c>
      <c r="D499" s="4" t="s">
        <v>54</v>
      </c>
      <c r="E499" s="4" t="s">
        <v>2982</v>
      </c>
      <c r="F499" s="5" t="s">
        <v>3010</v>
      </c>
      <c r="G499" s="4" t="s">
        <v>57</v>
      </c>
      <c r="H499" s="4" t="s">
        <v>2984</v>
      </c>
      <c r="I499" s="4" t="s">
        <v>2985</v>
      </c>
      <c r="J499" s="4" t="s">
        <v>3011</v>
      </c>
      <c r="K499" s="4" t="s">
        <v>2864</v>
      </c>
      <c r="L499" s="5" t="s">
        <v>94</v>
      </c>
      <c r="M499" s="4" t="s">
        <v>95</v>
      </c>
      <c r="N499" s="5" t="s">
        <v>96</v>
      </c>
      <c r="O499" s="4" t="s">
        <v>97</v>
      </c>
      <c r="P499" s="5" t="s">
        <v>2253</v>
      </c>
      <c r="Q499" s="4" t="s">
        <v>2254</v>
      </c>
      <c r="R499" s="5" t="s">
        <v>1204</v>
      </c>
      <c r="S499" s="4" t="s">
        <v>1205</v>
      </c>
      <c r="T499" s="5" t="s">
        <v>1206</v>
      </c>
      <c r="U499" s="4" t="s">
        <v>1207</v>
      </c>
      <c r="V499" s="5" t="s">
        <v>104</v>
      </c>
      <c r="W499" s="4" t="s">
        <v>105</v>
      </c>
      <c r="X499" s="4" t="s">
        <v>106</v>
      </c>
      <c r="Y499" s="5"/>
      <c r="Z499" s="4" t="s">
        <v>107</v>
      </c>
      <c r="AA499" s="6" t="n">
        <v>50000</v>
      </c>
      <c r="AB499" s="6" t="n">
        <v>50000</v>
      </c>
      <c r="AC499" s="6" t="n">
        <v>50000</v>
      </c>
      <c r="AD499" s="6" t="n">
        <v>50000</v>
      </c>
      <c r="AE499" s="4" t="s">
        <v>3012</v>
      </c>
      <c r="AF499" s="5" t="s">
        <v>3013</v>
      </c>
      <c r="AG499" s="4" t="s">
        <v>110</v>
      </c>
      <c r="AH499" s="4" t="s">
        <v>110</v>
      </c>
      <c r="AI499" s="5"/>
      <c r="AJ499" s="1" t="n">
        <v>0</v>
      </c>
      <c r="AK499" s="11" t="n">
        <v>0</v>
      </c>
      <c r="AL499" s="12" t="s">
        <v>111</v>
      </c>
      <c r="AM499" s="13" t="str">
        <f>IF(AL499="","",AL499&amp;" - "&amp;IFERROR(VLOOKUP(AL499,CODEBOOK_CAP!$C$2:$D$212,2,FALSE),""))</f>
        <v>1300 - GERAL</v>
      </c>
      <c r="AN499" s="13" t="str">
        <f>IF(AL499="","",IFERROR(VLOOKUP(AL499,CODEBOOK_CAP!$C$2:$E$212,3,FALSE),""))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499" s="11" t="n">
        <v>0</v>
      </c>
      <c r="AP499" s="11"/>
      <c r="AQ499" s="11" t="n">
        <v>0</v>
      </c>
      <c r="AR499" s="11" t="n">
        <v>0</v>
      </c>
      <c r="AS499" s="11"/>
      <c r="AT499" s="11" t="n">
        <v>0</v>
      </c>
      <c r="AU499" s="11"/>
      <c r="AV499" s="11"/>
      <c r="AW499" s="11"/>
      <c r="AX499" s="7" t="s">
        <v>84</v>
      </c>
      <c r="AY499" s="7"/>
      <c r="AZ499" s="7"/>
      <c r="BA499" s="7"/>
    </row>
    <row r="500" ht="156.75" customHeight="1">
      <c r="A500" s="4" t="s">
        <v>3014</v>
      </c>
      <c r="B500" s="4" t="n">
        <v>2022</v>
      </c>
      <c r="C500" s="4" t="n">
        <v>4746</v>
      </c>
      <c r="D500" s="4" t="s">
        <v>54</v>
      </c>
      <c r="E500" s="4" t="s">
        <v>2982</v>
      </c>
      <c r="F500" s="5" t="s">
        <v>3015</v>
      </c>
      <c r="G500" s="4" t="s">
        <v>57</v>
      </c>
      <c r="H500" s="4" t="s">
        <v>2984</v>
      </c>
      <c r="I500" s="4" t="s">
        <v>2985</v>
      </c>
      <c r="J500" s="4" t="s">
        <v>3016</v>
      </c>
      <c r="K500" s="4" t="s">
        <v>283</v>
      </c>
      <c r="L500" s="5" t="s">
        <v>94</v>
      </c>
      <c r="M500" s="4" t="s">
        <v>95</v>
      </c>
      <c r="N500" s="5" t="s">
        <v>96</v>
      </c>
      <c r="O500" s="4" t="s">
        <v>97</v>
      </c>
      <c r="P500" s="5" t="s">
        <v>98</v>
      </c>
      <c r="Q500" s="4" t="s">
        <v>99</v>
      </c>
      <c r="R500" s="5" t="s">
        <v>100</v>
      </c>
      <c r="S500" s="4" t="s">
        <v>101</v>
      </c>
      <c r="T500" s="5" t="s">
        <v>102</v>
      </c>
      <c r="U500" s="4" t="s">
        <v>103</v>
      </c>
      <c r="V500" s="5" t="s">
        <v>104</v>
      </c>
      <c r="W500" s="4" t="s">
        <v>105</v>
      </c>
      <c r="X500" s="4" t="s">
        <v>106</v>
      </c>
      <c r="Y500" s="5"/>
      <c r="Z500" s="4" t="s">
        <v>107</v>
      </c>
      <c r="AA500" s="6" t="n">
        <v>50000</v>
      </c>
      <c r="AB500" s="6" t="n">
        <v>50000</v>
      </c>
      <c r="AC500" s="6" t="n">
        <v>50000</v>
      </c>
      <c r="AD500" s="6" t="n">
        <v>50000</v>
      </c>
      <c r="AE500" s="4" t="s">
        <v>3017</v>
      </c>
      <c r="AF500" s="5" t="s">
        <v>3018</v>
      </c>
      <c r="AG500" s="4" t="s">
        <v>110</v>
      </c>
      <c r="AH500" s="4" t="s">
        <v>110</v>
      </c>
      <c r="AI500" s="5"/>
      <c r="AJ500" s="1" t="n">
        <v>0</v>
      </c>
      <c r="AK500" s="11" t="n">
        <v>0</v>
      </c>
      <c r="AL500" s="12" t="s">
        <v>111</v>
      </c>
      <c r="AM500" s="13" t="str">
        <f>IF(AL500="","",AL500&amp;" - "&amp;IFERROR(VLOOKUP(AL500,CODEBOOK_CAP!$C$2:$D$212,2,FALSE),""))</f>
        <v>1300 - GERAL</v>
      </c>
      <c r="AN500" s="13" t="str">
        <f>IF(AL500="","",IFERROR(VLOOKUP(AL500,CODEBOOK_CAP!$C$2:$E$212,3,FALSE),""))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500" s="11" t="n">
        <v>0</v>
      </c>
      <c r="AP500" s="11"/>
      <c r="AQ500" s="11" t="n">
        <v>0</v>
      </c>
      <c r="AR500" s="11" t="n">
        <v>0</v>
      </c>
      <c r="AS500" s="11"/>
      <c r="AT500" s="11" t="n">
        <v>0</v>
      </c>
      <c r="AU500" s="11"/>
      <c r="AV500" s="11"/>
      <c r="AW500" s="11"/>
      <c r="AX500" s="7" t="s">
        <v>84</v>
      </c>
      <c r="AY500" s="7"/>
      <c r="AZ500" s="7"/>
      <c r="BA500" s="7"/>
    </row>
    <row r="501" ht="85.5" customHeight="1">
      <c r="A501" s="4" t="s">
        <v>3019</v>
      </c>
      <c r="B501" s="4" t="n">
        <v>2022</v>
      </c>
      <c r="C501" s="4" t="n">
        <v>4747</v>
      </c>
      <c r="D501" s="4" t="s">
        <v>54</v>
      </c>
      <c r="E501" s="4" t="s">
        <v>2982</v>
      </c>
      <c r="F501" s="5" t="s">
        <v>3020</v>
      </c>
      <c r="G501" s="4" t="s">
        <v>57</v>
      </c>
      <c r="H501" s="4" t="s">
        <v>2984</v>
      </c>
      <c r="I501" s="4" t="s">
        <v>2985</v>
      </c>
      <c r="J501" s="4" t="s">
        <v>3021</v>
      </c>
      <c r="K501" s="4" t="s">
        <v>343</v>
      </c>
      <c r="L501" s="5" t="s">
        <v>62</v>
      </c>
      <c r="M501" s="4" t="s">
        <v>63</v>
      </c>
      <c r="N501" s="5" t="s">
        <v>64</v>
      </c>
      <c r="O501" s="4" t="s">
        <v>65</v>
      </c>
      <c r="P501" s="5" t="s">
        <v>344</v>
      </c>
      <c r="Q501" s="4" t="s">
        <v>345</v>
      </c>
      <c r="R501" s="5" t="s">
        <v>346</v>
      </c>
      <c r="S501" s="4" t="s">
        <v>347</v>
      </c>
      <c r="T501" s="5" t="s">
        <v>348</v>
      </c>
      <c r="U501" s="4" t="s">
        <v>349</v>
      </c>
      <c r="V501" s="5" t="s">
        <v>350</v>
      </c>
      <c r="W501" s="4" t="s">
        <v>105</v>
      </c>
      <c r="X501" s="4" t="s">
        <v>106</v>
      </c>
      <c r="Y501" s="5"/>
      <c r="Z501" s="4" t="s">
        <v>75</v>
      </c>
      <c r="AA501" s="6" t="n">
        <v>1289220</v>
      </c>
      <c r="AB501" s="6" t="n">
        <v>1289220</v>
      </c>
      <c r="AC501" s="6" t="n">
        <v>1289220</v>
      </c>
      <c r="AD501" s="6" t="n">
        <v>1289220</v>
      </c>
      <c r="AE501" s="4" t="s">
        <v>351</v>
      </c>
      <c r="AF501" s="5" t="s">
        <v>352</v>
      </c>
      <c r="AG501" s="4" t="s">
        <v>78</v>
      </c>
      <c r="AH501" s="4" t="s">
        <v>79</v>
      </c>
      <c r="AI501" s="5" t="s">
        <v>80</v>
      </c>
      <c r="AJ501" s="1" t="n">
        <v>1</v>
      </c>
      <c r="AK501" s="11" t="n">
        <v>1</v>
      </c>
      <c r="AL501" s="12" t="s">
        <v>81</v>
      </c>
      <c r="AM501" s="13" t="str">
        <f>IF(AL501="","",AL501&amp;" - "&amp;IFERROR(VLOOKUP(AL501,CODEBOOK_CAP!$C$2:$D$212,2,FALSE),""))</f>
        <v>0322 - ESTRUTURAS, HOSPITAIS, CLÍNICAS</v>
      </c>
      <c r="AN501" s="13" t="str">
        <f>IF(AL501="","",IFERROR(VLOOKUP(AL501,CODEBOOK_CAP!$C$2:$E$212,3,FALSE),""))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501" s="11" t="n">
        <v>1</v>
      </c>
      <c r="AP501" s="11" t="s">
        <v>3022</v>
      </c>
      <c r="AQ501" s="11" t="n">
        <v>1</v>
      </c>
      <c r="AR501" s="11" t="n">
        <v>1</v>
      </c>
      <c r="AS501" s="11" t="s">
        <v>3023</v>
      </c>
      <c r="AT501" s="11" t="n">
        <v>0</v>
      </c>
      <c r="AU501" s="11"/>
      <c r="AV501" s="11"/>
      <c r="AW501" s="11"/>
      <c r="AX501" s="7" t="s">
        <v>84</v>
      </c>
      <c r="AY501" s="7"/>
      <c r="AZ501" s="7"/>
      <c r="BA501" s="7"/>
    </row>
    <row r="502" ht="156.75" customHeight="1">
      <c r="A502" s="4" t="s">
        <v>3024</v>
      </c>
      <c r="B502" s="4" t="n">
        <v>2022</v>
      </c>
      <c r="C502" s="4" t="n">
        <v>4748</v>
      </c>
      <c r="D502" s="4" t="s">
        <v>54</v>
      </c>
      <c r="E502" s="4" t="s">
        <v>2982</v>
      </c>
      <c r="F502" s="5" t="s">
        <v>3025</v>
      </c>
      <c r="G502" s="4" t="s">
        <v>139</v>
      </c>
      <c r="H502" s="4" t="s">
        <v>2984</v>
      </c>
      <c r="I502" s="4" t="s">
        <v>2985</v>
      </c>
      <c r="J502" s="4" t="s">
        <v>3026</v>
      </c>
      <c r="K502" s="4" t="s">
        <v>115</v>
      </c>
      <c r="L502" s="5"/>
      <c r="M502" s="4"/>
      <c r="N502" s="5"/>
      <c r="O502" s="4"/>
      <c r="P502" s="5"/>
      <c r="Q502" s="4"/>
      <c r="R502" s="5"/>
      <c r="S502" s="4"/>
      <c r="T502" s="5"/>
      <c r="U502" s="4"/>
      <c r="V502" s="5"/>
      <c r="W502" s="4"/>
      <c r="X502" s="4"/>
      <c r="Y502" s="5"/>
      <c r="Z502" s="4" t="s">
        <v>139</v>
      </c>
      <c r="AA502" s="6" t="n">
        <v>30000</v>
      </c>
      <c r="AB502" s="6"/>
      <c r="AC502" s="6"/>
      <c r="AD502" s="6"/>
      <c r="AE502" s="4" t="s">
        <v>764</v>
      </c>
      <c r="AF502" s="5" t="s">
        <v>3027</v>
      </c>
      <c r="AG502" s="4" t="s">
        <v>115</v>
      </c>
      <c r="AH502" s="4" t="s">
        <v>115</v>
      </c>
      <c r="AI502" s="5" t="s">
        <v>115</v>
      </c>
      <c r="AJ502" s="1" t="n">
        <v>0</v>
      </c>
      <c r="AK502" s="11" t="n">
        <v>0</v>
      </c>
      <c r="AL502" s="12" t="s">
        <v>111</v>
      </c>
      <c r="AM502" s="13" t="str">
        <f>IF(AL502="","",AL502&amp;" - "&amp;IFERROR(VLOOKUP(AL502,CODEBOOK_CAP!$C$2:$D$212,2,FALSE),""))</f>
        <v>1300 - GERAL</v>
      </c>
      <c r="AN502" s="13" t="str">
        <f>IF(AL502="","",IFERROR(VLOOKUP(AL502,CODEBOOK_CAP!$C$2:$E$212,3,FALSE),""))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502" s="11" t="n">
        <v>0</v>
      </c>
      <c r="AP502" s="11"/>
      <c r="AQ502" s="11" t="n">
        <v>0</v>
      </c>
      <c r="AR502" s="11" t="n">
        <v>0</v>
      </c>
      <c r="AS502" s="11"/>
      <c r="AT502" s="11" t="n">
        <v>0</v>
      </c>
      <c r="AU502" s="11"/>
      <c r="AV502" s="11"/>
      <c r="AW502" s="11"/>
      <c r="AX502" s="7" t="s">
        <v>84</v>
      </c>
      <c r="AY502" s="7"/>
      <c r="AZ502" s="7"/>
      <c r="BA502" s="7"/>
    </row>
    <row r="503" ht="156.75" customHeight="1">
      <c r="A503" s="4" t="s">
        <v>3028</v>
      </c>
      <c r="B503" s="4" t="n">
        <v>2022</v>
      </c>
      <c r="C503" s="4" t="n">
        <v>4749</v>
      </c>
      <c r="D503" s="4" t="s">
        <v>54</v>
      </c>
      <c r="E503" s="4" t="s">
        <v>2982</v>
      </c>
      <c r="F503" s="5" t="s">
        <v>3029</v>
      </c>
      <c r="G503" s="4" t="s">
        <v>57</v>
      </c>
      <c r="H503" s="4" t="s">
        <v>2984</v>
      </c>
      <c r="I503" s="4" t="s">
        <v>2985</v>
      </c>
      <c r="J503" s="4" t="s">
        <v>543</v>
      </c>
      <c r="K503" s="4" t="s">
        <v>2864</v>
      </c>
      <c r="L503" s="5" t="s">
        <v>94</v>
      </c>
      <c r="M503" s="4" t="s">
        <v>95</v>
      </c>
      <c r="N503" s="5" t="s">
        <v>96</v>
      </c>
      <c r="O503" s="4" t="s">
        <v>97</v>
      </c>
      <c r="P503" s="5" t="s">
        <v>2253</v>
      </c>
      <c r="Q503" s="4" t="s">
        <v>2254</v>
      </c>
      <c r="R503" s="5" t="s">
        <v>1204</v>
      </c>
      <c r="S503" s="4" t="s">
        <v>1205</v>
      </c>
      <c r="T503" s="5" t="s">
        <v>1206</v>
      </c>
      <c r="U503" s="4" t="s">
        <v>1207</v>
      </c>
      <c r="V503" s="5" t="s">
        <v>104</v>
      </c>
      <c r="W503" s="4" t="s">
        <v>105</v>
      </c>
      <c r="X503" s="4" t="s">
        <v>106</v>
      </c>
      <c r="Y503" s="5"/>
      <c r="Z503" s="4" t="s">
        <v>107</v>
      </c>
      <c r="AA503" s="6" t="n">
        <v>65000</v>
      </c>
      <c r="AB503" s="6" t="n">
        <v>65000</v>
      </c>
      <c r="AC503" s="6" t="n">
        <v>65000</v>
      </c>
      <c r="AD503" s="6" t="n">
        <v>65000</v>
      </c>
      <c r="AE503" s="4" t="s">
        <v>544</v>
      </c>
      <c r="AF503" s="5" t="s">
        <v>3030</v>
      </c>
      <c r="AG503" s="4" t="s">
        <v>110</v>
      </c>
      <c r="AH503" s="4" t="s">
        <v>110</v>
      </c>
      <c r="AI503" s="5"/>
      <c r="AJ503" s="1" t="n">
        <v>0</v>
      </c>
      <c r="AK503" s="11" t="n">
        <v>0</v>
      </c>
      <c r="AL503" s="12" t="s">
        <v>111</v>
      </c>
      <c r="AM503" s="13" t="str">
        <f>IF(AL503="","",AL503&amp;" - "&amp;IFERROR(VLOOKUP(AL503,CODEBOOK_CAP!$C$2:$D$212,2,FALSE),""))</f>
        <v>1300 - GERAL</v>
      </c>
      <c r="AN503" s="13" t="str">
        <f>IF(AL503="","",IFERROR(VLOOKUP(AL503,CODEBOOK_CAP!$C$2:$E$212,3,FALSE),""))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503" s="11" t="n">
        <v>0</v>
      </c>
      <c r="AP503" s="11"/>
      <c r="AQ503" s="11" t="n">
        <v>0</v>
      </c>
      <c r="AR503" s="11" t="n">
        <v>0</v>
      </c>
      <c r="AS503" s="11"/>
      <c r="AT503" s="11" t="n">
        <v>0</v>
      </c>
      <c r="AU503" s="11"/>
      <c r="AV503" s="11"/>
      <c r="AW503" s="11"/>
      <c r="AX503" s="7" t="s">
        <v>84</v>
      </c>
      <c r="AY503" s="7"/>
      <c r="AZ503" s="7"/>
      <c r="BA503" s="7"/>
    </row>
    <row r="504" ht="85.5" customHeight="1">
      <c r="A504" s="4" t="s">
        <v>3031</v>
      </c>
      <c r="B504" s="4" t="n">
        <v>2022</v>
      </c>
      <c r="C504" s="4" t="n">
        <v>4750</v>
      </c>
      <c r="D504" s="4" t="s">
        <v>54</v>
      </c>
      <c r="E504" s="4" t="s">
        <v>2982</v>
      </c>
      <c r="F504" s="5" t="s">
        <v>3032</v>
      </c>
      <c r="G504" s="4" t="s">
        <v>139</v>
      </c>
      <c r="H504" s="4" t="s">
        <v>2984</v>
      </c>
      <c r="I504" s="4" t="s">
        <v>2985</v>
      </c>
      <c r="J504" s="4" t="s">
        <v>3033</v>
      </c>
      <c r="K504" s="4" t="s">
        <v>115</v>
      </c>
      <c r="L504" s="5"/>
      <c r="M504" s="4"/>
      <c r="N504" s="5"/>
      <c r="O504" s="4"/>
      <c r="P504" s="5"/>
      <c r="Q504" s="4"/>
      <c r="R504" s="5"/>
      <c r="S504" s="4"/>
      <c r="T504" s="5"/>
      <c r="U504" s="4"/>
      <c r="V504" s="5"/>
      <c r="W504" s="4"/>
      <c r="X504" s="4"/>
      <c r="Y504" s="5"/>
      <c r="Z504" s="4" t="s">
        <v>139</v>
      </c>
      <c r="AA504" s="6" t="n">
        <v>322305</v>
      </c>
      <c r="AB504" s="6" t="n">
        <v>20000</v>
      </c>
      <c r="AC504" s="6" t="n">
        <v>0</v>
      </c>
      <c r="AD504" s="6" t="n">
        <v>20000</v>
      </c>
      <c r="AE504" s="4" t="s">
        <v>3034</v>
      </c>
      <c r="AF504" s="5" t="s">
        <v>3035</v>
      </c>
      <c r="AG504" s="4" t="s">
        <v>115</v>
      </c>
      <c r="AH504" s="4" t="s">
        <v>115</v>
      </c>
      <c r="AI504" s="5" t="s">
        <v>115</v>
      </c>
      <c r="AJ504" s="1" t="n">
        <v>1</v>
      </c>
      <c r="AK504" s="11" t="n">
        <v>1</v>
      </c>
      <c r="AL504" s="12" t="s">
        <v>81</v>
      </c>
      <c r="AM504" s="13" t="str">
        <f>IF(AL504="","",AL504&amp;" - "&amp;IFERROR(VLOOKUP(AL504,CODEBOOK_CAP!$C$2:$D$212,2,FALSE),""))</f>
        <v>0322 - ESTRUTURAS, HOSPITAIS, CLÍNICAS</v>
      </c>
      <c r="AN504" s="13" t="str">
        <f>IF(AL504="","",IFERROR(VLOOKUP(AL504,CODEBOOK_CAP!$C$2:$E$212,3,FALSE),""))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504" s="11" t="n">
        <v>1</v>
      </c>
      <c r="AP504" s="11" t="s">
        <v>3036</v>
      </c>
      <c r="AQ504" s="11" t="n">
        <v>1</v>
      </c>
      <c r="AR504" s="11" t="n">
        <v>1</v>
      </c>
      <c r="AS504" s="11" t="s">
        <v>3037</v>
      </c>
      <c r="AT504" s="11" t="n">
        <v>0</v>
      </c>
      <c r="AU504" s="11"/>
      <c r="AV504" s="11"/>
      <c r="AW504" s="11"/>
      <c r="AX504" s="7" t="s">
        <v>84</v>
      </c>
      <c r="AY504" s="7"/>
      <c r="AZ504" s="7"/>
      <c r="BA504" s="7"/>
    </row>
    <row r="505" ht="156.75" customHeight="1">
      <c r="A505" s="4" t="s">
        <v>3038</v>
      </c>
      <c r="B505" s="4" t="n">
        <v>2022</v>
      </c>
      <c r="C505" s="4" t="n">
        <v>4751</v>
      </c>
      <c r="D505" s="4" t="s">
        <v>54</v>
      </c>
      <c r="E505" s="4" t="s">
        <v>2982</v>
      </c>
      <c r="F505" s="5" t="s">
        <v>3039</v>
      </c>
      <c r="G505" s="4" t="s">
        <v>57</v>
      </c>
      <c r="H505" s="4" t="s">
        <v>2984</v>
      </c>
      <c r="I505" s="4" t="s">
        <v>2985</v>
      </c>
      <c r="J505" s="4" t="s">
        <v>716</v>
      </c>
      <c r="K505" s="4" t="s">
        <v>3040</v>
      </c>
      <c r="L505" s="5" t="s">
        <v>94</v>
      </c>
      <c r="M505" s="4" t="s">
        <v>95</v>
      </c>
      <c r="N505" s="5" t="s">
        <v>96</v>
      </c>
      <c r="O505" s="4" t="s">
        <v>97</v>
      </c>
      <c r="P505" s="5" t="s">
        <v>2253</v>
      </c>
      <c r="Q505" s="4" t="s">
        <v>2254</v>
      </c>
      <c r="R505" s="5" t="s">
        <v>1204</v>
      </c>
      <c r="S505" s="4" t="s">
        <v>1205</v>
      </c>
      <c r="T505" s="5" t="s">
        <v>3041</v>
      </c>
      <c r="U505" s="4" t="s">
        <v>3042</v>
      </c>
      <c r="V505" s="5" t="s">
        <v>104</v>
      </c>
      <c r="W505" s="4" t="s">
        <v>105</v>
      </c>
      <c r="X505" s="4" t="s">
        <v>106</v>
      </c>
      <c r="Y505" s="5"/>
      <c r="Z505" s="4" t="s">
        <v>107</v>
      </c>
      <c r="AA505" s="6" t="n">
        <v>101501</v>
      </c>
      <c r="AB505" s="6" t="n">
        <v>101501</v>
      </c>
      <c r="AC505" s="6" t="n">
        <v>101501</v>
      </c>
      <c r="AD505" s="6" t="n">
        <v>101501</v>
      </c>
      <c r="AE505" s="4" t="s">
        <v>717</v>
      </c>
      <c r="AF505" s="5" t="s">
        <v>718</v>
      </c>
      <c r="AG505" s="4" t="s">
        <v>110</v>
      </c>
      <c r="AH505" s="4" t="s">
        <v>110</v>
      </c>
      <c r="AI505" s="5"/>
      <c r="AJ505" s="1" t="n">
        <v>0</v>
      </c>
      <c r="AK505" s="11" t="n">
        <v>0</v>
      </c>
      <c r="AL505" s="12" t="s">
        <v>111</v>
      </c>
      <c r="AM505" s="13" t="str">
        <f>IF(AL505="","",AL505&amp;" - "&amp;IFERROR(VLOOKUP(AL505,CODEBOOK_CAP!$C$2:$D$212,2,FALSE),""))</f>
        <v>1300 - GERAL</v>
      </c>
      <c r="AN505" s="13" t="str">
        <f>IF(AL505="","",IFERROR(VLOOKUP(AL505,CODEBOOK_CAP!$C$2:$E$212,3,FALSE),""))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505" s="11" t="n">
        <v>0</v>
      </c>
      <c r="AP505" s="11"/>
      <c r="AQ505" s="11" t="n">
        <v>0</v>
      </c>
      <c r="AR505" s="11" t="n">
        <v>0</v>
      </c>
      <c r="AS505" s="11"/>
      <c r="AT505" s="11" t="n">
        <v>0</v>
      </c>
      <c r="AU505" s="11"/>
      <c r="AV505" s="11"/>
      <c r="AW505" s="11"/>
      <c r="AX505" s="7" t="s">
        <v>84</v>
      </c>
      <c r="AY505" s="7"/>
      <c r="AZ505" s="7"/>
      <c r="BA505" s="7"/>
    </row>
    <row r="506" ht="156.75" customHeight="1">
      <c r="A506" s="4" t="s">
        <v>3043</v>
      </c>
      <c r="B506" s="4" t="n">
        <v>2022</v>
      </c>
      <c r="C506" s="4" t="n">
        <v>4752</v>
      </c>
      <c r="D506" s="4" t="s">
        <v>54</v>
      </c>
      <c r="E506" s="4" t="s">
        <v>2982</v>
      </c>
      <c r="F506" s="5" t="s">
        <v>3044</v>
      </c>
      <c r="G506" s="4" t="s">
        <v>289</v>
      </c>
      <c r="H506" s="4" t="s">
        <v>2984</v>
      </c>
      <c r="I506" s="4" t="s">
        <v>2985</v>
      </c>
      <c r="J506" s="4" t="s">
        <v>3045</v>
      </c>
      <c r="K506" s="4" t="s">
        <v>115</v>
      </c>
      <c r="L506" s="5"/>
      <c r="M506" s="4"/>
      <c r="N506" s="5"/>
      <c r="O506" s="4"/>
      <c r="P506" s="5"/>
      <c r="Q506" s="4"/>
      <c r="R506" s="5"/>
      <c r="S506" s="4"/>
      <c r="T506" s="5"/>
      <c r="U506" s="4"/>
      <c r="V506" s="5"/>
      <c r="W506" s="4"/>
      <c r="X506" s="4"/>
      <c r="Y506" s="5"/>
      <c r="Z506" s="4" t="s">
        <v>289</v>
      </c>
      <c r="AA506" s="6" t="n">
        <v>40000</v>
      </c>
      <c r="AB506" s="6"/>
      <c r="AC506" s="6"/>
      <c r="AD506" s="6"/>
      <c r="AE506" s="4" t="s">
        <v>115</v>
      </c>
      <c r="AF506" s="5"/>
      <c r="AG506" s="4" t="s">
        <v>110</v>
      </c>
      <c r="AH506" s="4" t="s">
        <v>110</v>
      </c>
      <c r="AI506" s="5"/>
      <c r="AJ506" s="1" t="n">
        <v>0</v>
      </c>
      <c r="AK506" s="11" t="n">
        <v>0</v>
      </c>
      <c r="AL506" s="12" t="s">
        <v>111</v>
      </c>
      <c r="AM506" s="13" t="str">
        <f>IF(AL506="","",AL506&amp;" - "&amp;IFERROR(VLOOKUP(AL506,CODEBOOK_CAP!$C$2:$D$212,2,FALSE),""))</f>
        <v>1300 - GERAL</v>
      </c>
      <c r="AN506" s="13" t="str">
        <f>IF(AL506="","",IFERROR(VLOOKUP(AL506,CODEBOOK_CAP!$C$2:$E$212,3,FALSE),""))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506" s="11" t="n">
        <v>0</v>
      </c>
      <c r="AP506" s="11"/>
      <c r="AQ506" s="11" t="n">
        <v>0</v>
      </c>
      <c r="AR506" s="11" t="n">
        <v>0</v>
      </c>
      <c r="AS506" s="11"/>
      <c r="AT506" s="11" t="n">
        <v>0</v>
      </c>
      <c r="AU506" s="11"/>
      <c r="AV506" s="11"/>
      <c r="AW506" s="11"/>
      <c r="AX506" s="7" t="s">
        <v>84</v>
      </c>
      <c r="AY506" s="7"/>
      <c r="AZ506" s="7"/>
      <c r="BA506" s="7"/>
    </row>
    <row r="507" ht="156.75" customHeight="1">
      <c r="A507" s="4" t="s">
        <v>3046</v>
      </c>
      <c r="B507" s="4" t="n">
        <v>2022</v>
      </c>
      <c r="C507" s="4" t="n">
        <v>4690</v>
      </c>
      <c r="D507" s="4" t="s">
        <v>54</v>
      </c>
      <c r="E507" s="4" t="s">
        <v>3047</v>
      </c>
      <c r="F507" s="5" t="s">
        <v>3048</v>
      </c>
      <c r="G507" s="4" t="s">
        <v>289</v>
      </c>
      <c r="H507" s="4" t="s">
        <v>3049</v>
      </c>
      <c r="I507" s="4" t="s">
        <v>3050</v>
      </c>
      <c r="J507" s="4" t="s">
        <v>3051</v>
      </c>
      <c r="K507" s="4" t="s">
        <v>115</v>
      </c>
      <c r="L507" s="5"/>
      <c r="M507" s="4"/>
      <c r="N507" s="5"/>
      <c r="O507" s="4"/>
      <c r="P507" s="5"/>
      <c r="Q507" s="4"/>
      <c r="R507" s="5"/>
      <c r="S507" s="4"/>
      <c r="T507" s="5"/>
      <c r="U507" s="4"/>
      <c r="V507" s="5"/>
      <c r="W507" s="4"/>
      <c r="X507" s="4"/>
      <c r="Y507" s="5"/>
      <c r="Z507" s="4" t="s">
        <v>289</v>
      </c>
      <c r="AA507" s="6" t="n">
        <v>644610</v>
      </c>
      <c r="AB507" s="6"/>
      <c r="AC507" s="6"/>
      <c r="AD507" s="6"/>
      <c r="AE507" s="4" t="s">
        <v>115</v>
      </c>
      <c r="AF507" s="5"/>
      <c r="AG507" s="4" t="s">
        <v>110</v>
      </c>
      <c r="AH507" s="4" t="s">
        <v>110</v>
      </c>
      <c r="AI507" s="5"/>
      <c r="AJ507" s="1" t="n">
        <v>0</v>
      </c>
      <c r="AK507" s="11" t="n">
        <v>0</v>
      </c>
      <c r="AL507" s="12" t="s">
        <v>111</v>
      </c>
      <c r="AM507" s="13" t="str">
        <f>IF(AL507="","",AL507&amp;" - "&amp;IFERROR(VLOOKUP(AL507,CODEBOOK_CAP!$C$2:$D$212,2,FALSE),""))</f>
        <v>1300 - GERAL</v>
      </c>
      <c r="AN507" s="13" t="str">
        <f>IF(AL507="","",IFERROR(VLOOKUP(AL507,CODEBOOK_CAP!$C$2:$E$212,3,FALSE),""))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507" s="11" t="n">
        <v>0</v>
      </c>
      <c r="AP507" s="11"/>
      <c r="AQ507" s="11" t="n">
        <v>0</v>
      </c>
      <c r="AR507" s="11" t="n">
        <v>0</v>
      </c>
      <c r="AS507" s="11"/>
      <c r="AT507" s="11" t="n">
        <v>0</v>
      </c>
      <c r="AU507" s="11"/>
      <c r="AV507" s="11"/>
      <c r="AW507" s="11"/>
      <c r="AX507" s="7" t="s">
        <v>84</v>
      </c>
      <c r="AY507" s="7"/>
      <c r="AZ507" s="7"/>
      <c r="BA507" s="7"/>
    </row>
    <row r="508" ht="409.5" customHeight="1">
      <c r="A508" s="4" t="s">
        <v>3052</v>
      </c>
      <c r="B508" s="4" t="n">
        <v>2022</v>
      </c>
      <c r="C508" s="4" t="n">
        <v>4740</v>
      </c>
      <c r="D508" s="4" t="s">
        <v>54</v>
      </c>
      <c r="E508" s="4" t="s">
        <v>3047</v>
      </c>
      <c r="F508" s="5" t="s">
        <v>3053</v>
      </c>
      <c r="G508" s="4" t="s">
        <v>57</v>
      </c>
      <c r="H508" s="4" t="s">
        <v>3049</v>
      </c>
      <c r="I508" s="4" t="s">
        <v>3050</v>
      </c>
      <c r="J508" s="4" t="s">
        <v>3054</v>
      </c>
      <c r="K508" s="4" t="s">
        <v>192</v>
      </c>
      <c r="L508" s="5" t="s">
        <v>62</v>
      </c>
      <c r="M508" s="4" t="s">
        <v>63</v>
      </c>
      <c r="N508" s="5" t="s">
        <v>64</v>
      </c>
      <c r="O508" s="4" t="s">
        <v>65</v>
      </c>
      <c r="P508" s="5" t="s">
        <v>193</v>
      </c>
      <c r="Q508" s="4" t="s">
        <v>194</v>
      </c>
      <c r="R508" s="5" t="s">
        <v>195</v>
      </c>
      <c r="S508" s="4" t="s">
        <v>196</v>
      </c>
      <c r="T508" s="5" t="s">
        <v>197</v>
      </c>
      <c r="U508" s="4" t="s">
        <v>198</v>
      </c>
      <c r="V508" s="5" t="s">
        <v>104</v>
      </c>
      <c r="W508" s="4" t="s">
        <v>105</v>
      </c>
      <c r="X508" s="4" t="s">
        <v>106</v>
      </c>
      <c r="Y508" s="5"/>
      <c r="Z508" s="4" t="s">
        <v>75</v>
      </c>
      <c r="AA508" s="6" t="n">
        <v>589000</v>
      </c>
      <c r="AB508" s="6" t="n">
        <v>589000</v>
      </c>
      <c r="AC508" s="6" t="n">
        <v>589000</v>
      </c>
      <c r="AD508" s="6" t="n">
        <v>589000</v>
      </c>
      <c r="AE508" s="4" t="s">
        <v>3055</v>
      </c>
      <c r="AF508" s="5" t="s">
        <v>3056</v>
      </c>
      <c r="AG508" s="4" t="s">
        <v>78</v>
      </c>
      <c r="AH508" s="4" t="s">
        <v>79</v>
      </c>
      <c r="AI508" s="5" t="s">
        <v>80</v>
      </c>
      <c r="AJ508" s="1" t="n">
        <v>1</v>
      </c>
      <c r="AK508" s="11" t="n">
        <v>1</v>
      </c>
      <c r="AL508" s="12" t="s">
        <v>1275</v>
      </c>
      <c r="AM508" s="13" t="str">
        <f>IF(AL508="","",AL508&amp;" - "&amp;IFERROR(VLOOKUP(AL508,CODEBOOK_CAP!$C$2:$D$212,2,FALSE),""))</f>
        <v>0334 - TRATAMENTOS, CIRUGIAS, ATENDIMENTOS, DOENÇAS E REABILITAÇÃO</v>
      </c>
      <c r="AN508" s="13" t="str">
        <f>IF(AL508="","",IFERROR(VLOOKUP(AL508,CODEBOOK_CAP!$C$2:$E$212,3,FALSE),""))</f>
        <v>Questões gerais sobre atendimentos emergenciais, cirurgias, Tratamento de pessoas com doenças terminais, tratamentos longos que necessitam internação e atendimento assistido, home- care, reabilitação, concultas, fisioterapia, tratamentos de dialose, tratamentos contra cancer, doenças degenerativas, ELA, Alzhaimer. Tratamentos continuados de doencas cronicas, HIV.</v>
      </c>
      <c r="AO508" s="11" t="n">
        <v>0</v>
      </c>
      <c r="AP508" s="11"/>
      <c r="AQ508" s="11" t="n">
        <v>1</v>
      </c>
      <c r="AR508" s="11" t="n">
        <v>1</v>
      </c>
      <c r="AS508" s="11" t="s">
        <v>3057</v>
      </c>
      <c r="AT508" s="11" t="n">
        <v>0</v>
      </c>
      <c r="AU508" s="11"/>
      <c r="AV508" s="11"/>
      <c r="AW508" s="11"/>
      <c r="AX508" s="7" t="s">
        <v>84</v>
      </c>
      <c r="AY508" s="7"/>
      <c r="AZ508" s="7"/>
      <c r="BA508" s="7"/>
    </row>
    <row r="509" ht="171" customHeight="1">
      <c r="A509" s="4" t="s">
        <v>3058</v>
      </c>
      <c r="B509" s="4" t="n">
        <v>2022</v>
      </c>
      <c r="C509" s="4" t="n">
        <v>4284</v>
      </c>
      <c r="D509" s="4" t="s">
        <v>54</v>
      </c>
      <c r="E509" s="4" t="s">
        <v>3059</v>
      </c>
      <c r="F509" s="5" t="s">
        <v>3060</v>
      </c>
      <c r="G509" s="4" t="s">
        <v>57</v>
      </c>
      <c r="H509" s="4" t="s">
        <v>3061</v>
      </c>
      <c r="I509" s="4" t="s">
        <v>1666</v>
      </c>
      <c r="J509" s="4" t="s">
        <v>3062</v>
      </c>
      <c r="K509" s="4" t="s">
        <v>3063</v>
      </c>
      <c r="L509" s="5" t="s">
        <v>122</v>
      </c>
      <c r="M509" s="4" t="s">
        <v>123</v>
      </c>
      <c r="N509" s="5" t="s">
        <v>124</v>
      </c>
      <c r="O509" s="4" t="s">
        <v>125</v>
      </c>
      <c r="P509" s="5" t="s">
        <v>126</v>
      </c>
      <c r="Q509" s="4" t="s">
        <v>127</v>
      </c>
      <c r="R509" s="5" t="s">
        <v>128</v>
      </c>
      <c r="S509" s="4" t="s">
        <v>129</v>
      </c>
      <c r="T509" s="5" t="s">
        <v>130</v>
      </c>
      <c r="U509" s="4" t="s">
        <v>131</v>
      </c>
      <c r="V509" s="5" t="s">
        <v>72</v>
      </c>
      <c r="W509" s="4" t="s">
        <v>73</v>
      </c>
      <c r="X509" s="4" t="s">
        <v>74</v>
      </c>
      <c r="Y509" s="5"/>
      <c r="Z509" s="4" t="s">
        <v>132</v>
      </c>
      <c r="AA509" s="6" t="n">
        <v>660000</v>
      </c>
      <c r="AB509" s="6" t="n">
        <v>660000</v>
      </c>
      <c r="AC509" s="6" t="n">
        <v>0</v>
      </c>
      <c r="AD509" s="6" t="n">
        <v>0</v>
      </c>
      <c r="AE509" s="4" t="s">
        <v>3064</v>
      </c>
      <c r="AF509" s="5" t="s">
        <v>3065</v>
      </c>
      <c r="AG509" s="4" t="s">
        <v>78</v>
      </c>
      <c r="AH509" s="4" t="s">
        <v>79</v>
      </c>
      <c r="AI509" s="5" t="s">
        <v>80</v>
      </c>
      <c r="AJ509" s="1" t="n">
        <v>0</v>
      </c>
      <c r="AK509" s="11" t="n">
        <v>0</v>
      </c>
      <c r="AL509" s="12" t="s">
        <v>135</v>
      </c>
      <c r="AM509" s="13" t="str">
        <f>IF(AL509="","",AL509&amp;" - "&amp;IFERROR(VLOOKUP(AL509,CODEBOOK_CAP!$C$2:$D$212,2,FALSE),""))</f>
        <v>1002 - CARROS, TRÂNSITO, CONSTRUÇÃO E MANUTENÇÃO DE RUAS E ESTRADAS</v>
      </c>
      <c r="AN509" s="13" t="str">
        <f>IF(AL509="","",IFERROR(VLOOKUP(AL509,CODEBOOK_CAP!$C$2:$E$212,3,FALSE),""))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509" s="11" t="n">
        <v>1</v>
      </c>
      <c r="AP509" s="11" t="s">
        <v>3066</v>
      </c>
      <c r="AQ509" s="11" t="n">
        <v>1</v>
      </c>
      <c r="AR509" s="11" t="n">
        <v>1</v>
      </c>
      <c r="AS509" s="11" t="s">
        <v>3066</v>
      </c>
      <c r="AT509" s="11" t="n">
        <v>0</v>
      </c>
      <c r="AU509" s="11"/>
      <c r="AV509" s="11"/>
      <c r="AW509" s="11"/>
      <c r="AX509" s="7" t="s">
        <v>84</v>
      </c>
      <c r="AY509" s="7"/>
      <c r="AZ509" s="7"/>
      <c r="BA509" s="7"/>
    </row>
    <row r="510" ht="171" customHeight="1">
      <c r="A510" s="4" t="s">
        <v>3067</v>
      </c>
      <c r="B510" s="4" t="n">
        <v>2022</v>
      </c>
      <c r="C510" s="4" t="n">
        <v>4285</v>
      </c>
      <c r="D510" s="4" t="s">
        <v>54</v>
      </c>
      <c r="E510" s="4" t="s">
        <v>3059</v>
      </c>
      <c r="F510" s="5" t="s">
        <v>344</v>
      </c>
      <c r="G510" s="4" t="s">
        <v>57</v>
      </c>
      <c r="H510" s="4" t="s">
        <v>3061</v>
      </c>
      <c r="I510" s="4" t="s">
        <v>1666</v>
      </c>
      <c r="J510" s="4" t="s">
        <v>3068</v>
      </c>
      <c r="K510" s="4" t="s">
        <v>3063</v>
      </c>
      <c r="L510" s="5" t="s">
        <v>122</v>
      </c>
      <c r="M510" s="4" t="s">
        <v>123</v>
      </c>
      <c r="N510" s="5" t="s">
        <v>124</v>
      </c>
      <c r="O510" s="4" t="s">
        <v>125</v>
      </c>
      <c r="P510" s="5" t="s">
        <v>126</v>
      </c>
      <c r="Q510" s="4" t="s">
        <v>127</v>
      </c>
      <c r="R510" s="5" t="s">
        <v>128</v>
      </c>
      <c r="S510" s="4" t="s">
        <v>129</v>
      </c>
      <c r="T510" s="5" t="s">
        <v>130</v>
      </c>
      <c r="U510" s="4" t="s">
        <v>131</v>
      </c>
      <c r="V510" s="5" t="s">
        <v>72</v>
      </c>
      <c r="W510" s="4" t="s">
        <v>73</v>
      </c>
      <c r="X510" s="4" t="s">
        <v>74</v>
      </c>
      <c r="Y510" s="5"/>
      <c r="Z510" s="4" t="s">
        <v>132</v>
      </c>
      <c r="AA510" s="6" t="n">
        <v>504000</v>
      </c>
      <c r="AB510" s="6" t="n">
        <v>150000</v>
      </c>
      <c r="AC510" s="6" t="n">
        <v>0</v>
      </c>
      <c r="AD510" s="6" t="n">
        <v>0</v>
      </c>
      <c r="AE510" s="4" t="s">
        <v>3064</v>
      </c>
      <c r="AF510" s="5" t="s">
        <v>3065</v>
      </c>
      <c r="AG510" s="4" t="s">
        <v>78</v>
      </c>
      <c r="AH510" s="4" t="s">
        <v>79</v>
      </c>
      <c r="AI510" s="5" t="s">
        <v>80</v>
      </c>
      <c r="AJ510" s="1" t="n">
        <v>0</v>
      </c>
      <c r="AK510" s="11" t="n">
        <v>0</v>
      </c>
      <c r="AL510" s="12" t="s">
        <v>135</v>
      </c>
      <c r="AM510" s="13" t="str">
        <f>IF(AL510="","",AL510&amp;" - "&amp;IFERROR(VLOOKUP(AL510,CODEBOOK_CAP!$C$2:$D$212,2,FALSE),""))</f>
        <v>1002 - CARROS, TRÂNSITO, CONSTRUÇÃO E MANUTENÇÃO DE RUAS E ESTRADAS</v>
      </c>
      <c r="AN510" s="13" t="str">
        <f>IF(AL510="","",IFERROR(VLOOKUP(AL510,CODEBOOK_CAP!$C$2:$E$212,3,FALSE),""))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510" s="11" t="n">
        <v>1</v>
      </c>
      <c r="AP510" s="11" t="s">
        <v>3069</v>
      </c>
      <c r="AQ510" s="11" t="n">
        <v>1</v>
      </c>
      <c r="AR510" s="11" t="n">
        <v>1</v>
      </c>
      <c r="AS510" s="11" t="s">
        <v>3069</v>
      </c>
      <c r="AT510" s="11" t="n">
        <v>0</v>
      </c>
      <c r="AU510" s="11"/>
      <c r="AV510" s="11"/>
      <c r="AW510" s="11"/>
      <c r="AX510" s="7" t="s">
        <v>84</v>
      </c>
      <c r="AY510" s="7"/>
      <c r="AZ510" s="7"/>
      <c r="BA510" s="7"/>
    </row>
    <row r="511" ht="85.5" customHeight="1">
      <c r="A511" s="4" t="s">
        <v>3070</v>
      </c>
      <c r="B511" s="4" t="n">
        <v>2022</v>
      </c>
      <c r="C511" s="4" t="n">
        <v>4286</v>
      </c>
      <c r="D511" s="4" t="s">
        <v>54</v>
      </c>
      <c r="E511" s="4" t="s">
        <v>3059</v>
      </c>
      <c r="F511" s="5" t="s">
        <v>193</v>
      </c>
      <c r="G511" s="4" t="s">
        <v>57</v>
      </c>
      <c r="H511" s="4" t="s">
        <v>3061</v>
      </c>
      <c r="I511" s="4" t="s">
        <v>1666</v>
      </c>
      <c r="J511" s="4" t="s">
        <v>3071</v>
      </c>
      <c r="K511" s="4" t="s">
        <v>549</v>
      </c>
      <c r="L511" s="5" t="s">
        <v>62</v>
      </c>
      <c r="M511" s="4" t="s">
        <v>63</v>
      </c>
      <c r="N511" s="5" t="s">
        <v>64</v>
      </c>
      <c r="O511" s="4" t="s">
        <v>65</v>
      </c>
      <c r="P511" s="5" t="s">
        <v>193</v>
      </c>
      <c r="Q511" s="4" t="s">
        <v>194</v>
      </c>
      <c r="R511" s="5" t="s">
        <v>195</v>
      </c>
      <c r="S511" s="4" t="s">
        <v>196</v>
      </c>
      <c r="T511" s="5" t="s">
        <v>429</v>
      </c>
      <c r="U511" s="4" t="s">
        <v>430</v>
      </c>
      <c r="V511" s="5" t="s">
        <v>104</v>
      </c>
      <c r="W511" s="4" t="s">
        <v>105</v>
      </c>
      <c r="X511" s="4" t="s">
        <v>106</v>
      </c>
      <c r="Y511" s="5"/>
      <c r="Z511" s="4" t="s">
        <v>75</v>
      </c>
      <c r="AA511" s="6" t="n">
        <v>250000</v>
      </c>
      <c r="AB511" s="6" t="n">
        <v>250000</v>
      </c>
      <c r="AC511" s="6" t="n">
        <v>250000</v>
      </c>
      <c r="AD511" s="6" t="n">
        <v>250000</v>
      </c>
      <c r="AE511" s="4" t="s">
        <v>431</v>
      </c>
      <c r="AF511" s="5" t="s">
        <v>432</v>
      </c>
      <c r="AG511" s="4" t="s">
        <v>78</v>
      </c>
      <c r="AH511" s="4" t="s">
        <v>79</v>
      </c>
      <c r="AI511" s="5" t="s">
        <v>80</v>
      </c>
      <c r="AJ511" s="1" t="n">
        <v>1</v>
      </c>
      <c r="AK511" s="11" t="n">
        <v>1</v>
      </c>
      <c r="AL511" s="12" t="s">
        <v>81</v>
      </c>
      <c r="AM511" s="13" t="str">
        <f>IF(AL511="","",AL511&amp;" - "&amp;IFERROR(VLOOKUP(AL511,CODEBOOK_CAP!$C$2:$D$212,2,FALSE),""))</f>
        <v>0322 - ESTRUTURAS, HOSPITAIS, CLÍNICAS</v>
      </c>
      <c r="AN511" s="13" t="str">
        <f>IF(AL511="","",IFERROR(VLOOKUP(AL511,CODEBOOK_CAP!$C$2:$E$212,3,FALSE),""))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511" s="11" t="n">
        <v>0</v>
      </c>
      <c r="AP511" s="11"/>
      <c r="AQ511" s="11" t="n">
        <v>1</v>
      </c>
      <c r="AR511" s="11" t="n">
        <v>1</v>
      </c>
      <c r="AS511" s="11" t="s">
        <v>3072</v>
      </c>
      <c r="AT511" s="11" t="n">
        <v>0</v>
      </c>
      <c r="AU511" s="11"/>
      <c r="AV511" s="11"/>
      <c r="AW511" s="11"/>
      <c r="AX511" s="7" t="s">
        <v>84</v>
      </c>
      <c r="AY511" s="7"/>
      <c r="AZ511" s="7"/>
      <c r="BA511" s="7"/>
    </row>
    <row r="512" ht="156.75" customHeight="1">
      <c r="A512" s="4" t="s">
        <v>3073</v>
      </c>
      <c r="B512" s="4" t="n">
        <v>2022</v>
      </c>
      <c r="C512" s="4" t="n">
        <v>4287</v>
      </c>
      <c r="D512" s="4" t="s">
        <v>54</v>
      </c>
      <c r="E512" s="4" t="s">
        <v>3059</v>
      </c>
      <c r="F512" s="5" t="s">
        <v>3074</v>
      </c>
      <c r="G512" s="4" t="s">
        <v>57</v>
      </c>
      <c r="H512" s="4" t="s">
        <v>3061</v>
      </c>
      <c r="I512" s="4" t="s">
        <v>1666</v>
      </c>
      <c r="J512" s="4" t="s">
        <v>3075</v>
      </c>
      <c r="K512" s="4" t="s">
        <v>93</v>
      </c>
      <c r="L512" s="5" t="s">
        <v>94</v>
      </c>
      <c r="M512" s="4" t="s">
        <v>95</v>
      </c>
      <c r="N512" s="5" t="s">
        <v>96</v>
      </c>
      <c r="O512" s="4" t="s">
        <v>97</v>
      </c>
      <c r="P512" s="5" t="s">
        <v>98</v>
      </c>
      <c r="Q512" s="4" t="s">
        <v>99</v>
      </c>
      <c r="R512" s="5" t="s">
        <v>100</v>
      </c>
      <c r="S512" s="4" t="s">
        <v>101</v>
      </c>
      <c r="T512" s="5" t="s">
        <v>102</v>
      </c>
      <c r="U512" s="4" t="s">
        <v>103</v>
      </c>
      <c r="V512" s="5" t="s">
        <v>104</v>
      </c>
      <c r="W512" s="4" t="s">
        <v>105</v>
      </c>
      <c r="X512" s="4" t="s">
        <v>106</v>
      </c>
      <c r="Y512" s="5"/>
      <c r="Z512" s="4" t="s">
        <v>107</v>
      </c>
      <c r="AA512" s="6" t="n">
        <v>60000</v>
      </c>
      <c r="AB512" s="6" t="n">
        <v>60000</v>
      </c>
      <c r="AC512" s="6" t="n">
        <v>60000</v>
      </c>
      <c r="AD512" s="6" t="n">
        <v>60000</v>
      </c>
      <c r="AE512" s="4" t="s">
        <v>3076</v>
      </c>
      <c r="AF512" s="5" t="s">
        <v>3077</v>
      </c>
      <c r="AG512" s="4" t="s">
        <v>110</v>
      </c>
      <c r="AH512" s="4" t="s">
        <v>110</v>
      </c>
      <c r="AI512" s="5"/>
      <c r="AJ512" s="1" t="n">
        <v>0</v>
      </c>
      <c r="AK512" s="11" t="n">
        <v>0</v>
      </c>
      <c r="AL512" s="12" t="s">
        <v>111</v>
      </c>
      <c r="AM512" s="13" t="str">
        <f>IF(AL512="","",AL512&amp;" - "&amp;IFERROR(VLOOKUP(AL512,CODEBOOK_CAP!$C$2:$D$212,2,FALSE),""))</f>
        <v>1300 - GERAL</v>
      </c>
      <c r="AN512" s="13" t="str">
        <f>IF(AL512="","",IFERROR(VLOOKUP(AL512,CODEBOOK_CAP!$C$2:$E$212,3,FALSE),""))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512" s="11" t="n">
        <v>0</v>
      </c>
      <c r="AP512" s="11"/>
      <c r="AQ512" s="11" t="n">
        <v>0</v>
      </c>
      <c r="AR512" s="11" t="n">
        <v>0</v>
      </c>
      <c r="AS512" s="11"/>
      <c r="AT512" s="11" t="n">
        <v>0</v>
      </c>
      <c r="AU512" s="11"/>
      <c r="AV512" s="11"/>
      <c r="AW512" s="11"/>
      <c r="AX512" s="7" t="s">
        <v>84</v>
      </c>
      <c r="AY512" s="7"/>
      <c r="AZ512" s="7"/>
      <c r="BA512" s="7"/>
    </row>
    <row r="513" ht="256.5" customHeight="1">
      <c r="A513" s="4" t="s">
        <v>3078</v>
      </c>
      <c r="B513" s="4" t="n">
        <v>2022</v>
      </c>
      <c r="C513" s="4" t="n">
        <v>4288</v>
      </c>
      <c r="D513" s="4" t="s">
        <v>54</v>
      </c>
      <c r="E513" s="4" t="s">
        <v>3059</v>
      </c>
      <c r="F513" s="5" t="s">
        <v>1876</v>
      </c>
      <c r="G513" s="4" t="s">
        <v>57</v>
      </c>
      <c r="H513" s="4" t="s">
        <v>3061</v>
      </c>
      <c r="I513" s="4" t="s">
        <v>1666</v>
      </c>
      <c r="J513" s="4" t="s">
        <v>3079</v>
      </c>
      <c r="K513" s="4" t="s">
        <v>115</v>
      </c>
      <c r="L513" s="5"/>
      <c r="M513" s="4"/>
      <c r="N513" s="5"/>
      <c r="O513" s="4"/>
      <c r="P513" s="5"/>
      <c r="Q513" s="4"/>
      <c r="R513" s="5"/>
      <c r="S513" s="4"/>
      <c r="T513" s="5"/>
      <c r="U513" s="4"/>
      <c r="V513" s="5"/>
      <c r="W513" s="4"/>
      <c r="X513" s="4"/>
      <c r="Y513" s="5"/>
      <c r="Z513" s="4" t="s">
        <v>75</v>
      </c>
      <c r="AA513" s="6" t="n">
        <v>450000</v>
      </c>
      <c r="AB513" s="6" t="n">
        <v>0</v>
      </c>
      <c r="AC513" s="6" t="n">
        <v>0</v>
      </c>
      <c r="AD513" s="6" t="n">
        <v>0</v>
      </c>
      <c r="AE513" s="4" t="s">
        <v>3080</v>
      </c>
      <c r="AF513" s="5" t="s">
        <v>3081</v>
      </c>
      <c r="AG513" s="4" t="s">
        <v>115</v>
      </c>
      <c r="AH513" s="4" t="s">
        <v>115</v>
      </c>
      <c r="AI513" s="5" t="s">
        <v>115</v>
      </c>
      <c r="AJ513" s="1" t="n">
        <v>1</v>
      </c>
      <c r="AK513" s="11" t="n">
        <v>1</v>
      </c>
      <c r="AL513" s="12" t="s">
        <v>81</v>
      </c>
      <c r="AM513" s="13" t="str">
        <f>IF(AL513="","",AL513&amp;" - "&amp;IFERROR(VLOOKUP(AL513,CODEBOOK_CAP!$C$2:$D$212,2,FALSE),""))</f>
        <v>0322 - ESTRUTURAS, HOSPITAIS, CLÍNICAS</v>
      </c>
      <c r="AN513" s="13" t="str">
        <f>IF(AL513="","",IFERROR(VLOOKUP(AL513,CODEBOOK_CAP!$C$2:$E$212,3,FALSE),""))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513" s="11" t="n">
        <v>1</v>
      </c>
      <c r="AP513" s="11" t="s">
        <v>3082</v>
      </c>
      <c r="AQ513" s="11" t="n">
        <v>5</v>
      </c>
      <c r="AR513" s="11" t="n">
        <v>1</v>
      </c>
      <c r="AS513" s="11" t="s">
        <v>3083</v>
      </c>
      <c r="AT513" s="11" t="n">
        <v>0</v>
      </c>
      <c r="AU513" s="11"/>
      <c r="AV513" s="11"/>
      <c r="AW513" s="11"/>
      <c r="AX513" s="7" t="s">
        <v>84</v>
      </c>
      <c r="AY513" s="7"/>
      <c r="AZ513" s="7"/>
      <c r="BA513" s="7"/>
    </row>
    <row r="514" ht="156.75" customHeight="1">
      <c r="A514" s="4" t="s">
        <v>3084</v>
      </c>
      <c r="B514" s="4" t="n">
        <v>2022</v>
      </c>
      <c r="C514" s="4" t="n">
        <v>4289</v>
      </c>
      <c r="D514" s="4" t="s">
        <v>54</v>
      </c>
      <c r="E514" s="4" t="s">
        <v>3059</v>
      </c>
      <c r="F514" s="5" t="s">
        <v>2494</v>
      </c>
      <c r="G514" s="4" t="s">
        <v>57</v>
      </c>
      <c r="H514" s="4" t="s">
        <v>3061</v>
      </c>
      <c r="I514" s="4" t="s">
        <v>1666</v>
      </c>
      <c r="J514" s="4" t="s">
        <v>3085</v>
      </c>
      <c r="K514" s="4" t="s">
        <v>93</v>
      </c>
      <c r="L514" s="5" t="s">
        <v>94</v>
      </c>
      <c r="M514" s="4" t="s">
        <v>95</v>
      </c>
      <c r="N514" s="5" t="s">
        <v>96</v>
      </c>
      <c r="O514" s="4" t="s">
        <v>97</v>
      </c>
      <c r="P514" s="5" t="s">
        <v>98</v>
      </c>
      <c r="Q514" s="4" t="s">
        <v>99</v>
      </c>
      <c r="R514" s="5" t="s">
        <v>100</v>
      </c>
      <c r="S514" s="4" t="s">
        <v>101</v>
      </c>
      <c r="T514" s="5" t="s">
        <v>102</v>
      </c>
      <c r="U514" s="4" t="s">
        <v>103</v>
      </c>
      <c r="V514" s="5" t="s">
        <v>104</v>
      </c>
      <c r="W514" s="4" t="s">
        <v>105</v>
      </c>
      <c r="X514" s="4" t="s">
        <v>106</v>
      </c>
      <c r="Y514" s="5"/>
      <c r="Z514" s="4" t="s">
        <v>107</v>
      </c>
      <c r="AA514" s="6" t="n">
        <v>60000</v>
      </c>
      <c r="AB514" s="6" t="n">
        <v>60000</v>
      </c>
      <c r="AC514" s="6" t="n">
        <v>60000</v>
      </c>
      <c r="AD514" s="6" t="n">
        <v>60000</v>
      </c>
      <c r="AE514" s="4" t="s">
        <v>3086</v>
      </c>
      <c r="AF514" s="5" t="s">
        <v>3087</v>
      </c>
      <c r="AG514" s="4" t="s">
        <v>110</v>
      </c>
      <c r="AH514" s="4" t="s">
        <v>110</v>
      </c>
      <c r="AI514" s="5"/>
      <c r="AJ514" s="1" t="n">
        <v>0</v>
      </c>
      <c r="AK514" s="11" t="n">
        <v>0</v>
      </c>
      <c r="AL514" s="12" t="s">
        <v>111</v>
      </c>
      <c r="AM514" s="13" t="str">
        <f>IF(AL514="","",AL514&amp;" - "&amp;IFERROR(VLOOKUP(AL514,CODEBOOK_CAP!$C$2:$D$212,2,FALSE),""))</f>
        <v>1300 - GERAL</v>
      </c>
      <c r="AN514" s="13" t="str">
        <f>IF(AL514="","",IFERROR(VLOOKUP(AL514,CODEBOOK_CAP!$C$2:$E$212,3,FALSE),""))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514" s="11" t="n">
        <v>0</v>
      </c>
      <c r="AP514" s="11"/>
      <c r="AQ514" s="11" t="n">
        <v>0</v>
      </c>
      <c r="AR514" s="11" t="n">
        <v>0</v>
      </c>
      <c r="AS514" s="11"/>
      <c r="AT514" s="11" t="n">
        <v>0</v>
      </c>
      <c r="AU514" s="11"/>
      <c r="AV514" s="11"/>
      <c r="AW514" s="11"/>
      <c r="AX514" s="7" t="s">
        <v>84</v>
      </c>
      <c r="AY514" s="7"/>
      <c r="AZ514" s="7"/>
      <c r="BA514" s="7"/>
    </row>
    <row r="515" ht="71.25" customHeight="1">
      <c r="A515" s="4" t="s">
        <v>3088</v>
      </c>
      <c r="B515" s="4" t="n">
        <v>2022</v>
      </c>
      <c r="C515" s="4" t="n">
        <v>4290</v>
      </c>
      <c r="D515" s="4" t="s">
        <v>54</v>
      </c>
      <c r="E515" s="4" t="s">
        <v>3059</v>
      </c>
      <c r="F515" s="5" t="s">
        <v>3089</v>
      </c>
      <c r="G515" s="4" t="s">
        <v>139</v>
      </c>
      <c r="H515" s="4" t="s">
        <v>3061</v>
      </c>
      <c r="I515" s="4" t="s">
        <v>1666</v>
      </c>
      <c r="J515" s="4" t="s">
        <v>3090</v>
      </c>
      <c r="K515" s="4" t="s">
        <v>115</v>
      </c>
      <c r="L515" s="5"/>
      <c r="M515" s="4"/>
      <c r="N515" s="5"/>
      <c r="O515" s="4"/>
      <c r="P515" s="5"/>
      <c r="Q515" s="4"/>
      <c r="R515" s="5"/>
      <c r="S515" s="4"/>
      <c r="T515" s="5"/>
      <c r="U515" s="4"/>
      <c r="V515" s="5"/>
      <c r="W515" s="4"/>
      <c r="X515" s="4"/>
      <c r="Y515" s="5"/>
      <c r="Z515" s="4" t="s">
        <v>139</v>
      </c>
      <c r="AA515" s="6" t="n">
        <v>20000</v>
      </c>
      <c r="AB515" s="6"/>
      <c r="AC515" s="6"/>
      <c r="AD515" s="6"/>
      <c r="AE515" s="4" t="s">
        <v>115</v>
      </c>
      <c r="AF515" s="5" t="s">
        <v>115</v>
      </c>
      <c r="AG515" s="4" t="s">
        <v>115</v>
      </c>
      <c r="AH515" s="4" t="s">
        <v>115</v>
      </c>
      <c r="AI515" s="5" t="s">
        <v>115</v>
      </c>
      <c r="AJ515" s="1" t="n">
        <v>0</v>
      </c>
      <c r="AK515" s="11" t="n">
        <v>0</v>
      </c>
      <c r="AL515" s="12" t="s">
        <v>188</v>
      </c>
      <c r="AM515" s="13" t="str">
        <f>IF(AL515="","",AL515&amp;" - "&amp;IFERROR(VLOOKUP(AL515,CODEBOOK_CAP!$C$2:$D$212,2,FALSE),""))</f>
        <v>2300 - GERAL</v>
      </c>
      <c r="AN515" s="13" t="str">
        <f>IF(AL515="","",IFERROR(VLOOKUP(AL515,CODEBOOK_CAP!$C$2:$E$212,3,FALSE),""))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515" s="11" t="n">
        <v>1</v>
      </c>
      <c r="AP515" s="11" t="s">
        <v>3091</v>
      </c>
      <c r="AQ515" s="11" t="n">
        <v>1</v>
      </c>
      <c r="AR515" s="11" t="n">
        <v>1</v>
      </c>
      <c r="AS515" s="11" t="s">
        <v>3092</v>
      </c>
      <c r="AT515" s="11" t="n">
        <v>1</v>
      </c>
      <c r="AU515" s="11" t="s">
        <v>1055</v>
      </c>
      <c r="AV515" s="11"/>
      <c r="AW515" s="11"/>
      <c r="AX515" s="7" t="s">
        <v>84</v>
      </c>
      <c r="AY515" s="7"/>
      <c r="AZ515" s="7"/>
      <c r="BA515" s="7"/>
      <c r="BB515" s="3" t="s">
        <v>6564</v>
      </c>
    </row>
    <row r="516" ht="85.5" customHeight="1">
      <c r="A516" s="4" t="s">
        <v>3093</v>
      </c>
      <c r="B516" s="4" t="n">
        <v>2022</v>
      </c>
      <c r="C516" s="4" t="n">
        <v>4291</v>
      </c>
      <c r="D516" s="4" t="s">
        <v>54</v>
      </c>
      <c r="E516" s="4" t="s">
        <v>3059</v>
      </c>
      <c r="F516" s="5" t="s">
        <v>3094</v>
      </c>
      <c r="G516" s="4" t="s">
        <v>139</v>
      </c>
      <c r="H516" s="4" t="s">
        <v>3061</v>
      </c>
      <c r="I516" s="4" t="s">
        <v>1666</v>
      </c>
      <c r="J516" s="4" t="s">
        <v>3095</v>
      </c>
      <c r="K516" s="4" t="s">
        <v>549</v>
      </c>
      <c r="L516" s="5" t="s">
        <v>62</v>
      </c>
      <c r="M516" s="4" t="s">
        <v>63</v>
      </c>
      <c r="N516" s="5" t="s">
        <v>64</v>
      </c>
      <c r="O516" s="4" t="s">
        <v>65</v>
      </c>
      <c r="P516" s="5" t="s">
        <v>193</v>
      </c>
      <c r="Q516" s="4" t="s">
        <v>194</v>
      </c>
      <c r="R516" s="5" t="s">
        <v>195</v>
      </c>
      <c r="S516" s="4" t="s">
        <v>196</v>
      </c>
      <c r="T516" s="5" t="s">
        <v>429</v>
      </c>
      <c r="U516" s="4" t="s">
        <v>430</v>
      </c>
      <c r="V516" s="5" t="s">
        <v>104</v>
      </c>
      <c r="W516" s="4" t="s">
        <v>105</v>
      </c>
      <c r="X516" s="4" t="s">
        <v>106</v>
      </c>
      <c r="Y516" s="5"/>
      <c r="Z516" s="4" t="s">
        <v>139</v>
      </c>
      <c r="AA516" s="6" t="n">
        <v>270000</v>
      </c>
      <c r="AB516" s="6"/>
      <c r="AC516" s="6"/>
      <c r="AD516" s="6"/>
      <c r="AE516" s="4" t="s">
        <v>750</v>
      </c>
      <c r="AF516" s="5" t="s">
        <v>751</v>
      </c>
      <c r="AG516" s="4" t="s">
        <v>115</v>
      </c>
      <c r="AH516" s="4" t="s">
        <v>115</v>
      </c>
      <c r="AI516" s="5" t="s">
        <v>115</v>
      </c>
      <c r="AJ516" s="1" t="n">
        <v>1</v>
      </c>
      <c r="AK516" s="11" t="n">
        <v>1</v>
      </c>
      <c r="AL516" s="12" t="s">
        <v>81</v>
      </c>
      <c r="AM516" s="13" t="str">
        <f>IF(AL516="","",AL516&amp;" - "&amp;IFERROR(VLOOKUP(AL516,CODEBOOK_CAP!$C$2:$D$212,2,FALSE),""))</f>
        <v>0322 - ESTRUTURAS, HOSPITAIS, CLÍNICAS</v>
      </c>
      <c r="AN516" s="13" t="str">
        <f>IF(AL516="","",IFERROR(VLOOKUP(AL516,CODEBOOK_CAP!$C$2:$E$212,3,FALSE),""))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516" s="11" t="n">
        <v>1</v>
      </c>
      <c r="AP516" s="11" t="s">
        <v>3096</v>
      </c>
      <c r="AQ516" s="11" t="n">
        <v>1</v>
      </c>
      <c r="AR516" s="11" t="n">
        <v>1</v>
      </c>
      <c r="AS516" s="11" t="s">
        <v>3097</v>
      </c>
      <c r="AT516" s="11" t="n">
        <v>0</v>
      </c>
      <c r="AU516" s="11"/>
      <c r="AV516" s="11"/>
      <c r="AW516" s="11"/>
      <c r="AX516" s="7" t="s">
        <v>84</v>
      </c>
      <c r="AY516" s="7"/>
      <c r="AZ516" s="7"/>
      <c r="BA516" s="7"/>
    </row>
    <row r="517" ht="85.5" customHeight="1">
      <c r="A517" s="4" t="s">
        <v>3098</v>
      </c>
      <c r="B517" s="4" t="n">
        <v>2022</v>
      </c>
      <c r="C517" s="4" t="n">
        <v>4789</v>
      </c>
      <c r="D517" s="4" t="s">
        <v>54</v>
      </c>
      <c r="E517" s="4" t="s">
        <v>3059</v>
      </c>
      <c r="F517" s="5" t="s">
        <v>3099</v>
      </c>
      <c r="G517" s="4" t="s">
        <v>57</v>
      </c>
      <c r="H517" s="4" t="s">
        <v>3061</v>
      </c>
      <c r="I517" s="4" t="s">
        <v>1666</v>
      </c>
      <c r="J517" s="4" t="s">
        <v>3100</v>
      </c>
      <c r="K517" s="4" t="s">
        <v>115</v>
      </c>
      <c r="L517" s="5"/>
      <c r="M517" s="4"/>
      <c r="N517" s="5"/>
      <c r="O517" s="4"/>
      <c r="P517" s="5"/>
      <c r="Q517" s="4"/>
      <c r="R517" s="5"/>
      <c r="S517" s="4"/>
      <c r="T517" s="5"/>
      <c r="U517" s="4"/>
      <c r="V517" s="5"/>
      <c r="W517" s="4"/>
      <c r="X517" s="4"/>
      <c r="Y517" s="5"/>
      <c r="Z517" s="4" t="s">
        <v>75</v>
      </c>
      <c r="AA517" s="6" t="n">
        <v>310000</v>
      </c>
      <c r="AB517" s="6" t="n">
        <v>310000</v>
      </c>
      <c r="AC517" s="6" t="n">
        <v>310000</v>
      </c>
      <c r="AD517" s="6" t="n">
        <v>310000</v>
      </c>
      <c r="AE517" s="4" t="s">
        <v>743</v>
      </c>
      <c r="AF517" s="5" t="s">
        <v>3101</v>
      </c>
      <c r="AG517" s="4" t="s">
        <v>433</v>
      </c>
      <c r="AH517" s="4" t="s">
        <v>433</v>
      </c>
      <c r="AI517" s="5"/>
      <c r="AJ517" s="1" t="n">
        <v>1</v>
      </c>
      <c r="AK517" s="11" t="n">
        <v>1</v>
      </c>
      <c r="AL517" s="12" t="s">
        <v>81</v>
      </c>
      <c r="AM517" s="13" t="str">
        <f>IF(AL517="","",AL517&amp;" - "&amp;IFERROR(VLOOKUP(AL517,CODEBOOK_CAP!$C$2:$D$212,2,FALSE),""))</f>
        <v>0322 - ESTRUTURAS, HOSPITAIS, CLÍNICAS</v>
      </c>
      <c r="AN517" s="13" t="str">
        <f>IF(AL517="","",IFERROR(VLOOKUP(AL517,CODEBOOK_CAP!$C$2:$E$212,3,FALSE),""))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517" s="11" t="n">
        <v>1</v>
      </c>
      <c r="AP517" s="11" t="s">
        <v>3102</v>
      </c>
      <c r="AQ517" s="11" t="n">
        <v>1</v>
      </c>
      <c r="AR517" s="11" t="n">
        <v>1</v>
      </c>
      <c r="AS517" s="11" t="s">
        <v>3103</v>
      </c>
      <c r="AT517" s="11" t="n">
        <v>0</v>
      </c>
      <c r="AU517" s="11"/>
      <c r="AV517" s="11"/>
      <c r="AW517" s="11"/>
      <c r="AX517" s="7" t="s">
        <v>84</v>
      </c>
      <c r="AY517" s="7"/>
      <c r="AZ517" s="7"/>
      <c r="BA517" s="7"/>
    </row>
    <row r="518" ht="85.5" customHeight="1">
      <c r="A518" s="4" t="s">
        <v>3104</v>
      </c>
      <c r="B518" s="4" t="n">
        <v>2022</v>
      </c>
      <c r="C518" s="4" t="n">
        <v>4530</v>
      </c>
      <c r="D518" s="4" t="s">
        <v>54</v>
      </c>
      <c r="E518" s="4" t="s">
        <v>3105</v>
      </c>
      <c r="F518" s="5" t="s">
        <v>3106</v>
      </c>
      <c r="G518" s="4" t="s">
        <v>57</v>
      </c>
      <c r="H518" s="4" t="s">
        <v>3107</v>
      </c>
      <c r="I518" s="4" t="s">
        <v>3107</v>
      </c>
      <c r="J518" s="4" t="s">
        <v>3108</v>
      </c>
      <c r="K518" s="4" t="s">
        <v>283</v>
      </c>
      <c r="L518" s="5" t="s">
        <v>94</v>
      </c>
      <c r="M518" s="4" t="s">
        <v>95</v>
      </c>
      <c r="N518" s="5" t="s">
        <v>96</v>
      </c>
      <c r="O518" s="4" t="s">
        <v>97</v>
      </c>
      <c r="P518" s="5" t="s">
        <v>98</v>
      </c>
      <c r="Q518" s="4" t="s">
        <v>99</v>
      </c>
      <c r="R518" s="5" t="s">
        <v>100</v>
      </c>
      <c r="S518" s="4" t="s">
        <v>101</v>
      </c>
      <c r="T518" s="5" t="s">
        <v>102</v>
      </c>
      <c r="U518" s="4" t="s">
        <v>103</v>
      </c>
      <c r="V518" s="5" t="s">
        <v>104</v>
      </c>
      <c r="W518" s="4" t="s">
        <v>105</v>
      </c>
      <c r="X518" s="4" t="s">
        <v>106</v>
      </c>
      <c r="Y518" s="5"/>
      <c r="Z518" s="4" t="s">
        <v>107</v>
      </c>
      <c r="AA518" s="6" t="n">
        <v>644609</v>
      </c>
      <c r="AB518" s="6" t="n">
        <v>644609</v>
      </c>
      <c r="AC518" s="6" t="n">
        <v>644609</v>
      </c>
      <c r="AD518" s="6" t="n">
        <v>644609</v>
      </c>
      <c r="AE518" s="4" t="s">
        <v>3109</v>
      </c>
      <c r="AF518" s="5" t="s">
        <v>3110</v>
      </c>
      <c r="AG518" s="4" t="s">
        <v>110</v>
      </c>
      <c r="AH518" s="4" t="s">
        <v>110</v>
      </c>
      <c r="AI518" s="5"/>
      <c r="AJ518" s="1" t="n">
        <v>0</v>
      </c>
      <c r="AK518" s="11" t="n">
        <v>0</v>
      </c>
      <c r="AL518" s="12" t="s">
        <v>1145</v>
      </c>
      <c r="AM518" s="13" t="str">
        <f>IF(AL518="","",AL518&amp;" - "&amp;IFERROR(VLOOKUP(AL518,CODEBOOK_CAP!$C$2:$D$212,2,FALSE),""))</f>
        <v>1304 - POLÍTICAS SOCIAIS DE ASSISTÊNCIA PARA PESSOAS COM DEFICIÊNCIAS</v>
      </c>
      <c r="AN518" s="13" t="str">
        <f>IF(AL518="","",IFERROR(VLOOKUP(AL518,CODEBOOK_CAP!$C$2:$E$212,3,FALSE),""))</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O518" s="11" t="n">
        <v>0</v>
      </c>
      <c r="AP518" s="11"/>
      <c r="AQ518" s="11" t="n">
        <v>0</v>
      </c>
      <c r="AR518" s="11" t="n">
        <v>0</v>
      </c>
      <c r="AS518" s="11"/>
      <c r="AT518" s="11" t="n">
        <v>1</v>
      </c>
      <c r="AU518" s="11" t="s">
        <v>1055</v>
      </c>
      <c r="AV518" s="11"/>
      <c r="AW518" s="11"/>
      <c r="AX518" s="7" t="s">
        <v>84</v>
      </c>
      <c r="AY518" s="7"/>
      <c r="AZ518" s="7"/>
      <c r="BA518" s="7"/>
    </row>
    <row r="519" ht="128.25" customHeight="1">
      <c r="A519" s="4" t="s">
        <v>3111</v>
      </c>
      <c r="B519" s="4" t="n">
        <v>2022</v>
      </c>
      <c r="C519" s="4" t="n">
        <v>4560</v>
      </c>
      <c r="D519" s="4" t="s">
        <v>54</v>
      </c>
      <c r="E519" s="4" t="s">
        <v>3105</v>
      </c>
      <c r="F519" s="5" t="s">
        <v>3112</v>
      </c>
      <c r="G519" s="4" t="s">
        <v>139</v>
      </c>
      <c r="H519" s="4" t="s">
        <v>3107</v>
      </c>
      <c r="I519" s="4" t="s">
        <v>3113</v>
      </c>
      <c r="J519" s="4" t="s">
        <v>3114</v>
      </c>
      <c r="K519" s="4" t="s">
        <v>115</v>
      </c>
      <c r="L519" s="5"/>
      <c r="M519" s="4"/>
      <c r="N519" s="5"/>
      <c r="O519" s="4"/>
      <c r="P519" s="5"/>
      <c r="Q519" s="4"/>
      <c r="R519" s="5"/>
      <c r="S519" s="4"/>
      <c r="T519" s="5"/>
      <c r="U519" s="4"/>
      <c r="V519" s="5"/>
      <c r="W519" s="4"/>
      <c r="X519" s="4"/>
      <c r="Y519" s="5"/>
      <c r="Z519" s="4" t="s">
        <v>139</v>
      </c>
      <c r="AA519" s="6" t="n">
        <v>134468</v>
      </c>
      <c r="AB519" s="6"/>
      <c r="AC519" s="6"/>
      <c r="AD519" s="6"/>
      <c r="AE519" s="4" t="s">
        <v>115</v>
      </c>
      <c r="AF519" s="5" t="s">
        <v>115</v>
      </c>
      <c r="AG519" s="4" t="s">
        <v>115</v>
      </c>
      <c r="AH519" s="4" t="s">
        <v>115</v>
      </c>
      <c r="AI519" s="5" t="s">
        <v>115</v>
      </c>
      <c r="AJ519" s="1" t="n">
        <v>0</v>
      </c>
      <c r="AK519" s="11" t="n">
        <v>1</v>
      </c>
      <c r="AL519" s="12" t="s">
        <v>1275</v>
      </c>
      <c r="AM519" s="13" t="str">
        <f>IF(AL519="","",AL519&amp;" - "&amp;IFERROR(VLOOKUP(AL519,CODEBOOK_CAP!$C$2:$D$212,2,FALSE),""))</f>
        <v>0334 - TRATAMENTOS, CIRUGIAS, ATENDIMENTOS, DOENÇAS E REABILITAÇÃO</v>
      </c>
      <c r="AN519" s="13" t="str">
        <f>IF(AL519="","",IFERROR(VLOOKUP(AL519,CODEBOOK_CAP!$C$2:$E$212,3,FALSE),""))</f>
        <v>Questões gerais sobre atendimentos emergenciais, cirurgias, Tratamento de pessoas com doenças terminais, tratamentos longos que necessitam internação e atendimento assistido, home- care, reabilitação, concultas, fisioterapia, tratamentos de dialose, tratamentos contra cancer, doenças degenerativas, ELA, Alzhaimer. Tratamentos continuados de doencas cronicas, HIV.</v>
      </c>
      <c r="AO519" s="11" t="n">
        <v>0</v>
      </c>
      <c r="AP519" s="11"/>
      <c r="AQ519" s="11" t="n">
        <v>0</v>
      </c>
      <c r="AR519" s="11" t="n">
        <v>0</v>
      </c>
      <c r="AS519" s="11"/>
      <c r="AT519" s="11" t="n">
        <v>1</v>
      </c>
      <c r="AU519" s="11" t="s">
        <v>3115</v>
      </c>
      <c r="AV519" s="11"/>
      <c r="AW519" s="11"/>
      <c r="AX519" s="7" t="s">
        <v>84</v>
      </c>
      <c r="AY519" s="7"/>
      <c r="AZ519" s="7"/>
      <c r="BA519" s="7"/>
    </row>
    <row r="520" ht="99.75" customHeight="1">
      <c r="A520" s="4" t="s">
        <v>3116</v>
      </c>
      <c r="B520" s="4" t="n">
        <v>2022</v>
      </c>
      <c r="C520" s="4" t="n">
        <v>4590</v>
      </c>
      <c r="D520" s="4" t="s">
        <v>54</v>
      </c>
      <c r="E520" s="4" t="s">
        <v>3105</v>
      </c>
      <c r="F520" s="5" t="s">
        <v>3117</v>
      </c>
      <c r="G520" s="4" t="s">
        <v>139</v>
      </c>
      <c r="H520" s="4" t="s">
        <v>3107</v>
      </c>
      <c r="I520" s="4" t="s">
        <v>3113</v>
      </c>
      <c r="J520" s="4" t="s">
        <v>3118</v>
      </c>
      <c r="K520" s="4" t="s">
        <v>115</v>
      </c>
      <c r="L520" s="5"/>
      <c r="M520" s="4"/>
      <c r="N520" s="5"/>
      <c r="O520" s="4"/>
      <c r="P520" s="5"/>
      <c r="Q520" s="4"/>
      <c r="R520" s="5"/>
      <c r="S520" s="4"/>
      <c r="T520" s="5"/>
      <c r="U520" s="4"/>
      <c r="V520" s="5"/>
      <c r="W520" s="4"/>
      <c r="X520" s="4"/>
      <c r="Y520" s="5"/>
      <c r="Z520" s="4" t="s">
        <v>139</v>
      </c>
      <c r="AA520" s="6" t="n">
        <v>94214</v>
      </c>
      <c r="AB520" s="6"/>
      <c r="AC520" s="6"/>
      <c r="AD520" s="6"/>
      <c r="AE520" s="4" t="s">
        <v>115</v>
      </c>
      <c r="AF520" s="5" t="s">
        <v>115</v>
      </c>
      <c r="AG520" s="4" t="s">
        <v>115</v>
      </c>
      <c r="AH520" s="4" t="s">
        <v>115</v>
      </c>
      <c r="AI520" s="5" t="s">
        <v>115</v>
      </c>
      <c r="AJ520" s="1" t="n">
        <v>0</v>
      </c>
      <c r="AK520" s="11" t="n">
        <v>1</v>
      </c>
      <c r="AL520" s="12" t="s">
        <v>1275</v>
      </c>
      <c r="AM520" s="13" t="str">
        <f>IF(AL520="","",AL520&amp;" - "&amp;IFERROR(VLOOKUP(AL520,CODEBOOK_CAP!$C$2:$D$212,2,FALSE),""))</f>
        <v>0334 - TRATAMENTOS, CIRUGIAS, ATENDIMENTOS, DOENÇAS E REABILITAÇÃO</v>
      </c>
      <c r="AN520" s="13" t="str">
        <f>IF(AL520="","",IFERROR(VLOOKUP(AL520,CODEBOOK_CAP!$C$2:$E$212,3,FALSE),""))</f>
        <v>Questões gerais sobre atendimentos emergenciais, cirurgias, Tratamento de pessoas com doenças terminais, tratamentos longos que necessitam internação e atendimento assistido, home- care, reabilitação, concultas, fisioterapia, tratamentos de dialose, tratamentos contra cancer, doenças degenerativas, ELA, Alzhaimer. Tratamentos continuados de doencas cronicas, HIV.</v>
      </c>
      <c r="AO520" s="11" t="n">
        <v>0</v>
      </c>
      <c r="AP520" s="11"/>
      <c r="AQ520" s="11" t="n">
        <v>0</v>
      </c>
      <c r="AR520" s="11" t="n">
        <v>0</v>
      </c>
      <c r="AS520" s="11"/>
      <c r="AT520" s="11" t="n">
        <v>1</v>
      </c>
      <c r="AU520" s="11" t="s">
        <v>3115</v>
      </c>
      <c r="AV520" s="11"/>
      <c r="AW520" s="11"/>
      <c r="AX520" s="7" t="s">
        <v>84</v>
      </c>
      <c r="AY520" s="7"/>
      <c r="AZ520" s="7"/>
      <c r="BA520" s="7"/>
    </row>
    <row r="521" ht="128.25" customHeight="1">
      <c r="A521" s="4" t="s">
        <v>3119</v>
      </c>
      <c r="B521" s="4" t="n">
        <v>2022</v>
      </c>
      <c r="C521" s="4" t="n">
        <v>4635</v>
      </c>
      <c r="D521" s="4" t="s">
        <v>54</v>
      </c>
      <c r="E521" s="4" t="s">
        <v>3105</v>
      </c>
      <c r="F521" s="5" t="s">
        <v>3120</v>
      </c>
      <c r="G521" s="4" t="s">
        <v>139</v>
      </c>
      <c r="H521" s="4" t="s">
        <v>3107</v>
      </c>
      <c r="I521" s="4" t="s">
        <v>3113</v>
      </c>
      <c r="J521" s="4" t="s">
        <v>3121</v>
      </c>
      <c r="K521" s="4" t="s">
        <v>115</v>
      </c>
      <c r="L521" s="5"/>
      <c r="M521" s="4"/>
      <c r="N521" s="5"/>
      <c r="O521" s="4"/>
      <c r="P521" s="5"/>
      <c r="Q521" s="4"/>
      <c r="R521" s="5"/>
      <c r="S521" s="4"/>
      <c r="T521" s="5"/>
      <c r="U521" s="4"/>
      <c r="V521" s="5"/>
      <c r="W521" s="4"/>
      <c r="X521" s="4"/>
      <c r="Y521" s="5"/>
      <c r="Z521" s="4" t="s">
        <v>139</v>
      </c>
      <c r="AA521" s="6" t="n">
        <v>140000</v>
      </c>
      <c r="AB521" s="6"/>
      <c r="AC521" s="6"/>
      <c r="AD521" s="6"/>
      <c r="AE521" s="4" t="s">
        <v>115</v>
      </c>
      <c r="AF521" s="5" t="s">
        <v>115</v>
      </c>
      <c r="AG521" s="4" t="s">
        <v>115</v>
      </c>
      <c r="AH521" s="4" t="s">
        <v>115</v>
      </c>
      <c r="AI521" s="5" t="s">
        <v>115</v>
      </c>
      <c r="AJ521" s="1" t="n">
        <v>0</v>
      </c>
      <c r="AK521" s="11" t="n">
        <v>1</v>
      </c>
      <c r="AL521" s="12" t="s">
        <v>81</v>
      </c>
      <c r="AM521" s="13" t="str">
        <f>IF(AL521="","",AL521&amp;" - "&amp;IFERROR(VLOOKUP(AL521,CODEBOOK_CAP!$C$2:$D$212,2,FALSE),""))</f>
        <v>0322 - ESTRUTURAS, HOSPITAIS, CLÍNICAS</v>
      </c>
      <c r="AN521" s="13" t="str">
        <f>IF(AL521="","",IFERROR(VLOOKUP(AL521,CODEBOOK_CAP!$C$2:$E$212,3,FALSE),""))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521" s="11" t="n">
        <v>0</v>
      </c>
      <c r="AP521" s="11"/>
      <c r="AQ521" s="11" t="n">
        <v>0</v>
      </c>
      <c r="AR521" s="11" t="n">
        <v>0</v>
      </c>
      <c r="AS521" s="11"/>
      <c r="AT521" s="11" t="n">
        <v>1</v>
      </c>
      <c r="AU521" s="11" t="s">
        <v>3115</v>
      </c>
      <c r="AV521" s="11"/>
      <c r="AW521" s="11"/>
      <c r="AX521" s="7" t="s">
        <v>84</v>
      </c>
      <c r="AY521" s="7"/>
      <c r="AZ521" s="7"/>
      <c r="BA521" s="7"/>
    </row>
    <row r="522" ht="85.5" customHeight="1">
      <c r="A522" s="4" t="s">
        <v>3122</v>
      </c>
      <c r="B522" s="4" t="n">
        <v>2022</v>
      </c>
      <c r="C522" s="4" t="n">
        <v>4666</v>
      </c>
      <c r="D522" s="4" t="s">
        <v>54</v>
      </c>
      <c r="E522" s="4" t="s">
        <v>3105</v>
      </c>
      <c r="F522" s="5" t="s">
        <v>3123</v>
      </c>
      <c r="G522" s="4" t="s">
        <v>57</v>
      </c>
      <c r="H522" s="4" t="s">
        <v>3107</v>
      </c>
      <c r="I522" s="4" t="s">
        <v>3107</v>
      </c>
      <c r="J522" s="4" t="s">
        <v>3124</v>
      </c>
      <c r="K522" s="4" t="s">
        <v>1389</v>
      </c>
      <c r="L522" s="5" t="s">
        <v>595</v>
      </c>
      <c r="M522" s="4" t="s">
        <v>596</v>
      </c>
      <c r="N522" s="5" t="s">
        <v>597</v>
      </c>
      <c r="O522" s="4" t="s">
        <v>598</v>
      </c>
      <c r="P522" s="5" t="s">
        <v>599</v>
      </c>
      <c r="Q522" s="4" t="s">
        <v>600</v>
      </c>
      <c r="R522" s="5" t="s">
        <v>601</v>
      </c>
      <c r="S522" s="4" t="s">
        <v>602</v>
      </c>
      <c r="T522" s="5" t="s">
        <v>603</v>
      </c>
      <c r="U522" s="4" t="s">
        <v>604</v>
      </c>
      <c r="V522" s="5" t="s">
        <v>104</v>
      </c>
      <c r="W522" s="4" t="s">
        <v>105</v>
      </c>
      <c r="X522" s="4" t="s">
        <v>106</v>
      </c>
      <c r="Y522" s="5"/>
      <c r="Z522" s="4" t="s">
        <v>606</v>
      </c>
      <c r="AA522" s="6" t="n">
        <v>100000</v>
      </c>
      <c r="AB522" s="6" t="n">
        <v>100000</v>
      </c>
      <c r="AC522" s="6" t="n">
        <v>100000</v>
      </c>
      <c r="AD522" s="6" t="n">
        <v>100000</v>
      </c>
      <c r="AE522" s="4" t="s">
        <v>3125</v>
      </c>
      <c r="AF522" s="5" t="s">
        <v>3126</v>
      </c>
      <c r="AG522" s="4" t="s">
        <v>78</v>
      </c>
      <c r="AH522" s="4" t="s">
        <v>79</v>
      </c>
      <c r="AI522" s="5" t="s">
        <v>80</v>
      </c>
      <c r="AJ522" s="1" t="n">
        <v>0</v>
      </c>
      <c r="AK522" s="11" t="n">
        <v>0</v>
      </c>
      <c r="AL522" s="12" t="s">
        <v>609</v>
      </c>
      <c r="AM522" s="13" t="str">
        <f>IF(AL522="","",AL522&amp;" - "&amp;IFERROR(VLOOKUP(AL522,CODEBOOK_CAP!$C$2:$D$212,2,FALSE),""))</f>
        <v>0607 - PROMOCAO DA QUALIDADE, ESTRUTURA E AÇÕES</v>
      </c>
      <c r="AN522" s="13" t="str">
        <f>IF(AL522="","",IFERROR(VLOOKUP(AL522,CODEBOOK_CAP!$C$2:$E$212,3,FALSE),""))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522" s="11" t="n">
        <v>1</v>
      </c>
      <c r="AP522" s="11" t="s">
        <v>3127</v>
      </c>
      <c r="AQ522" s="11" t="n">
        <v>1</v>
      </c>
      <c r="AR522" s="11" t="n">
        <v>1</v>
      </c>
      <c r="AS522" s="11" t="s">
        <v>3128</v>
      </c>
      <c r="AT522" s="11" t="n">
        <v>1</v>
      </c>
      <c r="AU522" s="11" t="s">
        <v>286</v>
      </c>
      <c r="AV522" s="11"/>
      <c r="AW522" s="11"/>
      <c r="AX522" s="7" t="s">
        <v>84</v>
      </c>
      <c r="AY522" s="7"/>
      <c r="AZ522" s="7"/>
      <c r="BA522" s="7"/>
    </row>
    <row r="523" ht="85.5" customHeight="1">
      <c r="A523" s="4" t="s">
        <v>3129</v>
      </c>
      <c r="B523" s="4" t="n">
        <v>2022</v>
      </c>
      <c r="C523" s="4" t="n">
        <v>4684</v>
      </c>
      <c r="D523" s="4" t="s">
        <v>54</v>
      </c>
      <c r="E523" s="4" t="s">
        <v>3105</v>
      </c>
      <c r="F523" s="5" t="s">
        <v>3130</v>
      </c>
      <c r="G523" s="4" t="s">
        <v>57</v>
      </c>
      <c r="H523" s="4" t="s">
        <v>3107</v>
      </c>
      <c r="I523" s="4" t="s">
        <v>3107</v>
      </c>
      <c r="J523" s="4" t="s">
        <v>3131</v>
      </c>
      <c r="K523" s="4" t="s">
        <v>1389</v>
      </c>
      <c r="L523" s="5" t="s">
        <v>595</v>
      </c>
      <c r="M523" s="4" t="s">
        <v>596</v>
      </c>
      <c r="N523" s="5" t="s">
        <v>597</v>
      </c>
      <c r="O523" s="4" t="s">
        <v>598</v>
      </c>
      <c r="P523" s="5" t="s">
        <v>599</v>
      </c>
      <c r="Q523" s="4" t="s">
        <v>600</v>
      </c>
      <c r="R523" s="5" t="s">
        <v>601</v>
      </c>
      <c r="S523" s="4" t="s">
        <v>602</v>
      </c>
      <c r="T523" s="5" t="s">
        <v>603</v>
      </c>
      <c r="U523" s="4" t="s">
        <v>604</v>
      </c>
      <c r="V523" s="5" t="s">
        <v>104</v>
      </c>
      <c r="W523" s="4" t="s">
        <v>105</v>
      </c>
      <c r="X523" s="4" t="s">
        <v>106</v>
      </c>
      <c r="Y523" s="5"/>
      <c r="Z523" s="4" t="s">
        <v>606</v>
      </c>
      <c r="AA523" s="6" t="n">
        <v>100000</v>
      </c>
      <c r="AB523" s="6" t="n">
        <v>100000</v>
      </c>
      <c r="AC523" s="6" t="n">
        <v>100000</v>
      </c>
      <c r="AD523" s="6" t="n">
        <v>100000</v>
      </c>
      <c r="AE523" s="4" t="s">
        <v>3132</v>
      </c>
      <c r="AF523" s="5" t="s">
        <v>3133</v>
      </c>
      <c r="AG523" s="4" t="s">
        <v>78</v>
      </c>
      <c r="AH523" s="4" t="s">
        <v>79</v>
      </c>
      <c r="AI523" s="5" t="s">
        <v>80</v>
      </c>
      <c r="AJ523" s="1" t="n">
        <v>0</v>
      </c>
      <c r="AK523" s="11" t="n">
        <v>0</v>
      </c>
      <c r="AL523" s="12" t="s">
        <v>609</v>
      </c>
      <c r="AM523" s="13" t="str">
        <f>IF(AL523="","",AL523&amp;" - "&amp;IFERROR(VLOOKUP(AL523,CODEBOOK_CAP!$C$2:$D$212,2,FALSE),""))</f>
        <v>0607 - PROMOCAO DA QUALIDADE, ESTRUTURA E AÇÕES</v>
      </c>
      <c r="AN523" s="13" t="str">
        <f>IF(AL523="","",IFERROR(VLOOKUP(AL523,CODEBOOK_CAP!$C$2:$E$212,3,FALSE),""))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523" s="11" t="n">
        <v>1</v>
      </c>
      <c r="AP523" s="11" t="s">
        <v>3134</v>
      </c>
      <c r="AQ523" s="11" t="n">
        <v>1</v>
      </c>
      <c r="AR523" s="11" t="n">
        <v>1</v>
      </c>
      <c r="AS523" s="11" t="s">
        <v>3135</v>
      </c>
      <c r="AT523" s="11" t="n">
        <v>1</v>
      </c>
      <c r="AU523" s="11" t="s">
        <v>286</v>
      </c>
      <c r="AV523" s="11"/>
      <c r="AW523" s="11"/>
      <c r="AX523" s="7" t="s">
        <v>84</v>
      </c>
      <c r="AY523" s="7"/>
      <c r="AZ523" s="7"/>
      <c r="BA523" s="7"/>
    </row>
    <row r="524" ht="85.5" customHeight="1">
      <c r="A524" s="4" t="s">
        <v>3136</v>
      </c>
      <c r="B524" s="4" t="n">
        <v>2022</v>
      </c>
      <c r="C524" s="4" t="n">
        <v>4692</v>
      </c>
      <c r="D524" s="4" t="s">
        <v>54</v>
      </c>
      <c r="E524" s="4" t="s">
        <v>3105</v>
      </c>
      <c r="F524" s="5" t="s">
        <v>3137</v>
      </c>
      <c r="G524" s="4" t="s">
        <v>57</v>
      </c>
      <c r="H524" s="4" t="s">
        <v>3107</v>
      </c>
      <c r="I524" s="4" t="s">
        <v>3107</v>
      </c>
      <c r="J524" s="4" t="s">
        <v>3138</v>
      </c>
      <c r="K524" s="4" t="s">
        <v>1389</v>
      </c>
      <c r="L524" s="5" t="s">
        <v>595</v>
      </c>
      <c r="M524" s="4" t="s">
        <v>596</v>
      </c>
      <c r="N524" s="5" t="s">
        <v>597</v>
      </c>
      <c r="O524" s="4" t="s">
        <v>598</v>
      </c>
      <c r="P524" s="5" t="s">
        <v>599</v>
      </c>
      <c r="Q524" s="4" t="s">
        <v>600</v>
      </c>
      <c r="R524" s="5" t="s">
        <v>601</v>
      </c>
      <c r="S524" s="4" t="s">
        <v>602</v>
      </c>
      <c r="T524" s="5" t="s">
        <v>603</v>
      </c>
      <c r="U524" s="4" t="s">
        <v>604</v>
      </c>
      <c r="V524" s="5" t="s">
        <v>104</v>
      </c>
      <c r="W524" s="4" t="s">
        <v>105</v>
      </c>
      <c r="X524" s="4" t="s">
        <v>106</v>
      </c>
      <c r="Y524" s="5"/>
      <c r="Z524" s="4" t="s">
        <v>606</v>
      </c>
      <c r="AA524" s="6" t="n">
        <v>50000</v>
      </c>
      <c r="AB524" s="6" t="n">
        <v>50000</v>
      </c>
      <c r="AC524" s="6" t="n">
        <v>50000</v>
      </c>
      <c r="AD524" s="6" t="n">
        <v>50000</v>
      </c>
      <c r="AE524" s="4" t="s">
        <v>3139</v>
      </c>
      <c r="AF524" s="5" t="s">
        <v>3140</v>
      </c>
      <c r="AG524" s="4" t="s">
        <v>78</v>
      </c>
      <c r="AH524" s="4" t="s">
        <v>79</v>
      </c>
      <c r="AI524" s="5" t="s">
        <v>80</v>
      </c>
      <c r="AJ524" s="1" t="n">
        <v>0</v>
      </c>
      <c r="AK524" s="11" t="n">
        <v>0</v>
      </c>
      <c r="AL524" s="12" t="s">
        <v>609</v>
      </c>
      <c r="AM524" s="13" t="str">
        <f>IF(AL524="","",AL524&amp;" - "&amp;IFERROR(VLOOKUP(AL524,CODEBOOK_CAP!$C$2:$D$212,2,FALSE),""))</f>
        <v>0607 - PROMOCAO DA QUALIDADE, ESTRUTURA E AÇÕES</v>
      </c>
      <c r="AN524" s="13" t="str">
        <f>IF(AL524="","",IFERROR(VLOOKUP(AL524,CODEBOOK_CAP!$C$2:$E$212,3,FALSE),""))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524" s="11" t="n">
        <v>1</v>
      </c>
      <c r="AP524" s="11" t="s">
        <v>3141</v>
      </c>
      <c r="AQ524" s="11" t="n">
        <v>1</v>
      </c>
      <c r="AR524" s="11" t="n">
        <v>1</v>
      </c>
      <c r="AS524" s="11" t="s">
        <v>3142</v>
      </c>
      <c r="AT524" s="11" t="n">
        <v>1</v>
      </c>
      <c r="AU524" s="11" t="s">
        <v>286</v>
      </c>
      <c r="AV524" s="11"/>
      <c r="AW524" s="11"/>
      <c r="AX524" s="7" t="s">
        <v>84</v>
      </c>
      <c r="AY524" s="7"/>
      <c r="AZ524" s="7"/>
      <c r="BA524" s="7"/>
    </row>
    <row r="525" ht="85.5" customHeight="1">
      <c r="A525" s="4" t="s">
        <v>3143</v>
      </c>
      <c r="B525" s="4" t="n">
        <v>2022</v>
      </c>
      <c r="C525" s="4" t="n">
        <v>4710</v>
      </c>
      <c r="D525" s="4" t="s">
        <v>54</v>
      </c>
      <c r="E525" s="4" t="s">
        <v>3105</v>
      </c>
      <c r="F525" s="5" t="s">
        <v>3144</v>
      </c>
      <c r="G525" s="4" t="s">
        <v>57</v>
      </c>
      <c r="H525" s="4" t="s">
        <v>3107</v>
      </c>
      <c r="I525" s="4" t="s">
        <v>3107</v>
      </c>
      <c r="J525" s="4" t="s">
        <v>3145</v>
      </c>
      <c r="K525" s="4" t="s">
        <v>1389</v>
      </c>
      <c r="L525" s="5" t="s">
        <v>595</v>
      </c>
      <c r="M525" s="4" t="s">
        <v>596</v>
      </c>
      <c r="N525" s="5" t="s">
        <v>597</v>
      </c>
      <c r="O525" s="4" t="s">
        <v>598</v>
      </c>
      <c r="P525" s="5" t="s">
        <v>599</v>
      </c>
      <c r="Q525" s="4" t="s">
        <v>600</v>
      </c>
      <c r="R525" s="5" t="s">
        <v>601</v>
      </c>
      <c r="S525" s="4" t="s">
        <v>602</v>
      </c>
      <c r="T525" s="5" t="s">
        <v>603</v>
      </c>
      <c r="U525" s="4" t="s">
        <v>604</v>
      </c>
      <c r="V525" s="5" t="s">
        <v>104</v>
      </c>
      <c r="W525" s="4" t="s">
        <v>105</v>
      </c>
      <c r="X525" s="4" t="s">
        <v>106</v>
      </c>
      <c r="Y525" s="5"/>
      <c r="Z525" s="4" t="s">
        <v>606</v>
      </c>
      <c r="AA525" s="6" t="n">
        <v>200000</v>
      </c>
      <c r="AB525" s="6" t="n">
        <v>200000</v>
      </c>
      <c r="AC525" s="6" t="n">
        <v>200000</v>
      </c>
      <c r="AD525" s="6" t="n">
        <v>200000</v>
      </c>
      <c r="AE525" s="4" t="s">
        <v>3146</v>
      </c>
      <c r="AF525" s="5" t="s">
        <v>3147</v>
      </c>
      <c r="AG525" s="4" t="s">
        <v>78</v>
      </c>
      <c r="AH525" s="4" t="s">
        <v>79</v>
      </c>
      <c r="AI525" s="5" t="s">
        <v>80</v>
      </c>
      <c r="AJ525" s="1" t="n">
        <v>0</v>
      </c>
      <c r="AK525" s="11" t="n">
        <v>0</v>
      </c>
      <c r="AL525" s="12" t="s">
        <v>609</v>
      </c>
      <c r="AM525" s="13" t="str">
        <f>IF(AL525="","",AL525&amp;" - "&amp;IFERROR(VLOOKUP(AL525,CODEBOOK_CAP!$C$2:$D$212,2,FALSE),""))</f>
        <v>0607 - PROMOCAO DA QUALIDADE, ESTRUTURA E AÇÕES</v>
      </c>
      <c r="AN525" s="13" t="str">
        <f>IF(AL525="","",IFERROR(VLOOKUP(AL525,CODEBOOK_CAP!$C$2:$E$212,3,FALSE),""))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525" s="11" t="n">
        <v>1</v>
      </c>
      <c r="AP525" s="11" t="s">
        <v>3148</v>
      </c>
      <c r="AQ525" s="11" t="n">
        <v>1</v>
      </c>
      <c r="AR525" s="11" t="n">
        <v>1</v>
      </c>
      <c r="AS525" s="11" t="s">
        <v>3149</v>
      </c>
      <c r="AT525" s="11" t="n">
        <v>1</v>
      </c>
      <c r="AU525" s="11" t="s">
        <v>286</v>
      </c>
      <c r="AV525" s="11"/>
      <c r="AW525" s="11"/>
      <c r="AX525" s="7" t="s">
        <v>84</v>
      </c>
      <c r="AY525" s="7"/>
      <c r="AZ525" s="7"/>
      <c r="BA525" s="7"/>
    </row>
    <row r="526" ht="85.5" customHeight="1">
      <c r="A526" s="4" t="s">
        <v>3150</v>
      </c>
      <c r="B526" s="4" t="n">
        <v>2022</v>
      </c>
      <c r="C526" s="4" t="n">
        <v>4724</v>
      </c>
      <c r="D526" s="4" t="s">
        <v>54</v>
      </c>
      <c r="E526" s="4" t="s">
        <v>3105</v>
      </c>
      <c r="F526" s="5" t="s">
        <v>3151</v>
      </c>
      <c r="G526" s="4" t="s">
        <v>57</v>
      </c>
      <c r="H526" s="4" t="s">
        <v>3107</v>
      </c>
      <c r="I526" s="4" t="s">
        <v>3107</v>
      </c>
      <c r="J526" s="4" t="s">
        <v>3152</v>
      </c>
      <c r="K526" s="4" t="s">
        <v>3153</v>
      </c>
      <c r="L526" s="5" t="s">
        <v>595</v>
      </c>
      <c r="M526" s="4" t="s">
        <v>596</v>
      </c>
      <c r="N526" s="5" t="s">
        <v>597</v>
      </c>
      <c r="O526" s="4" t="s">
        <v>598</v>
      </c>
      <c r="P526" s="5" t="s">
        <v>669</v>
      </c>
      <c r="Q526" s="4" t="s">
        <v>670</v>
      </c>
      <c r="R526" s="5" t="s">
        <v>671</v>
      </c>
      <c r="S526" s="4" t="s">
        <v>672</v>
      </c>
      <c r="T526" s="5" t="s">
        <v>603</v>
      </c>
      <c r="U526" s="4" t="s">
        <v>604</v>
      </c>
      <c r="V526" s="5" t="s">
        <v>104</v>
      </c>
      <c r="W526" s="4" t="s">
        <v>105</v>
      </c>
      <c r="X526" s="4" t="s">
        <v>106</v>
      </c>
      <c r="Y526" s="5"/>
      <c r="Z526" s="4" t="s">
        <v>606</v>
      </c>
      <c r="AA526" s="6" t="n">
        <v>103000</v>
      </c>
      <c r="AB526" s="6" t="n">
        <v>103000</v>
      </c>
      <c r="AC526" s="6" t="n">
        <v>103000</v>
      </c>
      <c r="AD526" s="6" t="n">
        <v>103000</v>
      </c>
      <c r="AE526" s="4" t="s">
        <v>3154</v>
      </c>
      <c r="AF526" s="5" t="s">
        <v>3155</v>
      </c>
      <c r="AG526" s="4" t="s">
        <v>78</v>
      </c>
      <c r="AH526" s="4" t="s">
        <v>79</v>
      </c>
      <c r="AI526" s="5" t="s">
        <v>80</v>
      </c>
      <c r="AJ526" s="1" t="n">
        <v>0</v>
      </c>
      <c r="AK526" s="11" t="n">
        <v>0</v>
      </c>
      <c r="AL526" s="12" t="s">
        <v>609</v>
      </c>
      <c r="AM526" s="13" t="str">
        <f>IF(AL526="","",AL526&amp;" - "&amp;IFERROR(VLOOKUP(AL526,CODEBOOK_CAP!$C$2:$D$212,2,FALSE),""))</f>
        <v>0607 - PROMOCAO DA QUALIDADE, ESTRUTURA E AÇÕES</v>
      </c>
      <c r="AN526" s="13" t="str">
        <f>IF(AL526="","",IFERROR(VLOOKUP(AL526,CODEBOOK_CAP!$C$2:$E$212,3,FALSE),""))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526" s="11" t="n">
        <v>1</v>
      </c>
      <c r="AP526" s="11" t="s">
        <v>3156</v>
      </c>
      <c r="AQ526" s="11" t="n">
        <v>1</v>
      </c>
      <c r="AR526" s="11" t="n">
        <v>1</v>
      </c>
      <c r="AS526" s="11" t="s">
        <v>3157</v>
      </c>
      <c r="AT526" s="11" t="n">
        <v>1</v>
      </c>
      <c r="AU526" s="11" t="s">
        <v>286</v>
      </c>
      <c r="AV526" s="11"/>
      <c r="AW526" s="11"/>
      <c r="AX526" s="7" t="s">
        <v>84</v>
      </c>
      <c r="AY526" s="7"/>
      <c r="AZ526" s="7"/>
      <c r="BA526" s="7"/>
    </row>
    <row r="527" ht="85.5" customHeight="1">
      <c r="A527" s="4" t="s">
        <v>3158</v>
      </c>
      <c r="B527" s="4" t="n">
        <v>2022</v>
      </c>
      <c r="C527" s="4" t="n">
        <v>4764</v>
      </c>
      <c r="D527" s="4" t="s">
        <v>54</v>
      </c>
      <c r="E527" s="4" t="s">
        <v>3105</v>
      </c>
      <c r="F527" s="5" t="s">
        <v>3159</v>
      </c>
      <c r="G527" s="4" t="s">
        <v>57</v>
      </c>
      <c r="H527" s="4" t="s">
        <v>3107</v>
      </c>
      <c r="I527" s="4" t="s">
        <v>3107</v>
      </c>
      <c r="J527" s="4" t="s">
        <v>3160</v>
      </c>
      <c r="K527" s="4" t="s">
        <v>1701</v>
      </c>
      <c r="L527" s="5" t="s">
        <v>62</v>
      </c>
      <c r="M527" s="4" t="s">
        <v>63</v>
      </c>
      <c r="N527" s="5" t="s">
        <v>64</v>
      </c>
      <c r="O527" s="4" t="s">
        <v>65</v>
      </c>
      <c r="P527" s="5" t="s">
        <v>344</v>
      </c>
      <c r="Q527" s="4" t="s">
        <v>345</v>
      </c>
      <c r="R527" s="5" t="s">
        <v>346</v>
      </c>
      <c r="S527" s="4" t="s">
        <v>347</v>
      </c>
      <c r="T527" s="5" t="s">
        <v>555</v>
      </c>
      <c r="U527" s="4" t="s">
        <v>347</v>
      </c>
      <c r="V527" s="5" t="s">
        <v>104</v>
      </c>
      <c r="W527" s="4" t="s">
        <v>105</v>
      </c>
      <c r="X527" s="4" t="s">
        <v>106</v>
      </c>
      <c r="Y527" s="5"/>
      <c r="Z527" s="4" t="s">
        <v>75</v>
      </c>
      <c r="AA527" s="6" t="n">
        <v>150000</v>
      </c>
      <c r="AB527" s="6"/>
      <c r="AC527" s="6"/>
      <c r="AD527" s="6"/>
      <c r="AE527" s="4" t="s">
        <v>351</v>
      </c>
      <c r="AF527" s="5" t="s">
        <v>352</v>
      </c>
      <c r="AG527" s="4" t="s">
        <v>115</v>
      </c>
      <c r="AH527" s="4" t="s">
        <v>115</v>
      </c>
      <c r="AI527" s="5" t="s">
        <v>115</v>
      </c>
      <c r="AJ527" s="1" t="n">
        <v>1</v>
      </c>
      <c r="AK527" s="11" t="n">
        <v>1</v>
      </c>
      <c r="AL527" s="12" t="s">
        <v>81</v>
      </c>
      <c r="AM527" s="13" t="str">
        <f>IF(AL527="","",AL527&amp;" - "&amp;IFERROR(VLOOKUP(AL527,CODEBOOK_CAP!$C$2:$D$212,2,FALSE),""))</f>
        <v>0322 - ESTRUTURAS, HOSPITAIS, CLÍNICAS</v>
      </c>
      <c r="AN527" s="13" t="str">
        <f>IF(AL527="","",IFERROR(VLOOKUP(AL527,CODEBOOK_CAP!$C$2:$E$212,3,FALSE),""))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527" s="11" t="n">
        <v>1</v>
      </c>
      <c r="AP527" s="11" t="s">
        <v>3161</v>
      </c>
      <c r="AQ527" s="11" t="n">
        <v>1</v>
      </c>
      <c r="AR527" s="11" t="n">
        <v>1</v>
      </c>
      <c r="AS527" s="11" t="s">
        <v>3162</v>
      </c>
      <c r="AT527" s="11" t="n">
        <v>0</v>
      </c>
      <c r="AU527" s="11"/>
      <c r="AV527" s="11"/>
      <c r="AW527" s="11"/>
      <c r="AX527" s="7" t="s">
        <v>84</v>
      </c>
      <c r="AY527" s="7"/>
      <c r="AZ527" s="7"/>
      <c r="BA527" s="7"/>
    </row>
    <row r="528" ht="85.5" customHeight="1">
      <c r="A528" s="4" t="s">
        <v>3163</v>
      </c>
      <c r="B528" s="4" t="n">
        <v>2022</v>
      </c>
      <c r="C528" s="4" t="n">
        <v>4765</v>
      </c>
      <c r="D528" s="4" t="s">
        <v>54</v>
      </c>
      <c r="E528" s="4" t="s">
        <v>3105</v>
      </c>
      <c r="F528" s="5" t="s">
        <v>3164</v>
      </c>
      <c r="G528" s="4" t="s">
        <v>289</v>
      </c>
      <c r="H528" s="4" t="s">
        <v>3107</v>
      </c>
      <c r="I528" s="4" t="s">
        <v>3107</v>
      </c>
      <c r="J528" s="4" t="s">
        <v>3165</v>
      </c>
      <c r="K528" s="4" t="s">
        <v>115</v>
      </c>
      <c r="L528" s="5"/>
      <c r="M528" s="4"/>
      <c r="N528" s="5"/>
      <c r="O528" s="4"/>
      <c r="P528" s="5"/>
      <c r="Q528" s="4"/>
      <c r="R528" s="5"/>
      <c r="S528" s="4"/>
      <c r="T528" s="5"/>
      <c r="U528" s="4"/>
      <c r="V528" s="5"/>
      <c r="W528" s="4"/>
      <c r="X528" s="4"/>
      <c r="Y528" s="5"/>
      <c r="Z528" s="4" t="s">
        <v>289</v>
      </c>
      <c r="AA528" s="6" t="n">
        <v>150000</v>
      </c>
      <c r="AB528" s="6"/>
      <c r="AC528" s="6"/>
      <c r="AD528" s="6"/>
      <c r="AE528" s="4" t="s">
        <v>351</v>
      </c>
      <c r="AF528" s="5" t="s">
        <v>352</v>
      </c>
      <c r="AG528" s="4" t="s">
        <v>115</v>
      </c>
      <c r="AH528" s="4" t="s">
        <v>115</v>
      </c>
      <c r="AI528" s="5" t="s">
        <v>115</v>
      </c>
      <c r="AJ528" s="1" t="n">
        <v>1</v>
      </c>
      <c r="AK528" s="11" t="n">
        <v>1</v>
      </c>
      <c r="AL528" s="12" t="s">
        <v>81</v>
      </c>
      <c r="AM528" s="13" t="str">
        <f>IF(AL528="","",AL528&amp;" - "&amp;IFERROR(VLOOKUP(AL528,CODEBOOK_CAP!$C$2:$D$212,2,FALSE),""))</f>
        <v>0322 - ESTRUTURAS, HOSPITAIS, CLÍNICAS</v>
      </c>
      <c r="AN528" s="13" t="str">
        <f>IF(AL528="","",IFERROR(VLOOKUP(AL528,CODEBOOK_CAP!$C$2:$E$212,3,FALSE),""))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528" s="11" t="n">
        <v>1</v>
      </c>
      <c r="AP528" s="11" t="s">
        <v>3166</v>
      </c>
      <c r="AQ528" s="11" t="n">
        <v>1</v>
      </c>
      <c r="AR528" s="11" t="n">
        <v>1</v>
      </c>
      <c r="AS528" s="11" t="s">
        <v>3167</v>
      </c>
      <c r="AT528" s="11" t="n">
        <v>0</v>
      </c>
      <c r="AU528" s="11"/>
      <c r="AV528" s="11"/>
      <c r="AW528" s="11"/>
      <c r="AX528" s="7" t="s">
        <v>84</v>
      </c>
      <c r="AY528" s="7"/>
      <c r="AZ528" s="7"/>
      <c r="BA528" s="7"/>
    </row>
    <row r="529" ht="171" customHeight="1">
      <c r="A529" s="4" t="s">
        <v>3168</v>
      </c>
      <c r="B529" s="4" t="n">
        <v>2022</v>
      </c>
      <c r="C529" s="4" t="n">
        <v>4292</v>
      </c>
      <c r="D529" s="4" t="s">
        <v>54</v>
      </c>
      <c r="E529" s="4" t="s">
        <v>3169</v>
      </c>
      <c r="F529" s="5" t="s">
        <v>3170</v>
      </c>
      <c r="G529" s="4" t="s">
        <v>57</v>
      </c>
      <c r="H529" s="4" t="s">
        <v>3171</v>
      </c>
      <c r="I529" s="4" t="s">
        <v>3172</v>
      </c>
      <c r="J529" s="4" t="s">
        <v>3173</v>
      </c>
      <c r="K529" s="4" t="s">
        <v>1189</v>
      </c>
      <c r="L529" s="5" t="s">
        <v>122</v>
      </c>
      <c r="M529" s="4" t="s">
        <v>123</v>
      </c>
      <c r="N529" s="5" t="s">
        <v>124</v>
      </c>
      <c r="O529" s="4" t="s">
        <v>125</v>
      </c>
      <c r="P529" s="5" t="s">
        <v>126</v>
      </c>
      <c r="Q529" s="4" t="s">
        <v>127</v>
      </c>
      <c r="R529" s="5" t="s">
        <v>128</v>
      </c>
      <c r="S529" s="4" t="s">
        <v>129</v>
      </c>
      <c r="T529" s="5" t="s">
        <v>130</v>
      </c>
      <c r="U529" s="4" t="s">
        <v>131</v>
      </c>
      <c r="V529" s="5" t="s">
        <v>72</v>
      </c>
      <c r="W529" s="4" t="s">
        <v>73</v>
      </c>
      <c r="X529" s="4" t="s">
        <v>74</v>
      </c>
      <c r="Y529" s="5"/>
      <c r="Z529" s="4" t="s">
        <v>132</v>
      </c>
      <c r="AA529" s="6" t="n">
        <v>369000</v>
      </c>
      <c r="AB529" s="6"/>
      <c r="AC529" s="6"/>
      <c r="AD529" s="6"/>
      <c r="AE529" s="4" t="s">
        <v>115</v>
      </c>
      <c r="AF529" s="5" t="s">
        <v>115</v>
      </c>
      <c r="AG529" s="4" t="s">
        <v>115</v>
      </c>
      <c r="AH529" s="4" t="s">
        <v>115</v>
      </c>
      <c r="AI529" s="5" t="s">
        <v>115</v>
      </c>
      <c r="AJ529" s="1" t="n">
        <v>0</v>
      </c>
      <c r="AK529" s="11" t="n">
        <v>0</v>
      </c>
      <c r="AL529" s="12" t="s">
        <v>135</v>
      </c>
      <c r="AM529" s="13" t="str">
        <f>IF(AL529="","",AL529&amp;" - "&amp;IFERROR(VLOOKUP(AL529,CODEBOOK_CAP!$C$2:$D$212,2,FALSE),""))</f>
        <v>1002 - CARROS, TRÂNSITO, CONSTRUÇÃO E MANUTENÇÃO DE RUAS E ESTRADAS</v>
      </c>
      <c r="AN529" s="13" t="str">
        <f>IF(AL529="","",IFERROR(VLOOKUP(AL529,CODEBOOK_CAP!$C$2:$E$212,3,FALSE),""))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529" s="11" t="n">
        <v>0</v>
      </c>
      <c r="AP529" s="11"/>
      <c r="AQ529" s="11" t="n">
        <v>0</v>
      </c>
      <c r="AR529" s="11" t="n">
        <v>0</v>
      </c>
      <c r="AS529" s="11"/>
      <c r="AT529" s="11" t="n">
        <v>0</v>
      </c>
      <c r="AU529" s="11"/>
      <c r="AV529" s="11"/>
      <c r="AW529" s="11"/>
      <c r="AX529" s="7" t="s">
        <v>84</v>
      </c>
      <c r="AY529" s="7"/>
      <c r="AZ529" s="7"/>
      <c r="BA529" s="7"/>
    </row>
    <row r="530" ht="171" customHeight="1">
      <c r="A530" s="4" t="s">
        <v>3174</v>
      </c>
      <c r="B530" s="4" t="n">
        <v>2022</v>
      </c>
      <c r="C530" s="4" t="n">
        <v>4293</v>
      </c>
      <c r="D530" s="4" t="s">
        <v>54</v>
      </c>
      <c r="E530" s="4" t="s">
        <v>3169</v>
      </c>
      <c r="F530" s="5" t="s">
        <v>3175</v>
      </c>
      <c r="G530" s="4" t="s">
        <v>139</v>
      </c>
      <c r="H530" s="4" t="s">
        <v>3171</v>
      </c>
      <c r="I530" s="4" t="s">
        <v>3176</v>
      </c>
      <c r="J530" s="4" t="s">
        <v>3177</v>
      </c>
      <c r="K530" s="4" t="s">
        <v>115</v>
      </c>
      <c r="L530" s="5"/>
      <c r="M530" s="4"/>
      <c r="N530" s="5"/>
      <c r="O530" s="4"/>
      <c r="P530" s="5"/>
      <c r="Q530" s="4"/>
      <c r="R530" s="5"/>
      <c r="S530" s="4"/>
      <c r="T530" s="5"/>
      <c r="U530" s="4"/>
      <c r="V530" s="5"/>
      <c r="W530" s="4"/>
      <c r="X530" s="4"/>
      <c r="Y530" s="5"/>
      <c r="Z530" s="4" t="s">
        <v>139</v>
      </c>
      <c r="AA530" s="6" t="n">
        <v>40000</v>
      </c>
      <c r="AB530" s="6"/>
      <c r="AC530" s="6"/>
      <c r="AD530" s="6"/>
      <c r="AE530" s="4" t="s">
        <v>115</v>
      </c>
      <c r="AF530" s="5" t="s">
        <v>115</v>
      </c>
      <c r="AG530" s="4" t="s">
        <v>115</v>
      </c>
      <c r="AH530" s="4" t="s">
        <v>115</v>
      </c>
      <c r="AI530" s="5" t="s">
        <v>115</v>
      </c>
      <c r="AJ530" s="1" t="n">
        <v>0</v>
      </c>
      <c r="AK530" s="11" t="n">
        <v>0</v>
      </c>
      <c r="AL530" s="12" t="s">
        <v>135</v>
      </c>
      <c r="AM530" s="13" t="str">
        <f>IF(AL530="","",AL530&amp;" - "&amp;IFERROR(VLOOKUP(AL530,CODEBOOK_CAP!$C$2:$D$212,2,FALSE),""))</f>
        <v>1002 - CARROS, TRÂNSITO, CONSTRUÇÃO E MANUTENÇÃO DE RUAS E ESTRADAS</v>
      </c>
      <c r="AN530" s="13" t="str">
        <f>IF(AL530="","",IFERROR(VLOOKUP(AL530,CODEBOOK_CAP!$C$2:$E$212,3,FALSE),""))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530" s="11" t="n">
        <v>1</v>
      </c>
      <c r="AP530" s="11" t="s">
        <v>3178</v>
      </c>
      <c r="AQ530" s="11" t="n">
        <v>1</v>
      </c>
      <c r="AR530" s="11" t="n">
        <v>1</v>
      </c>
      <c r="AS530" s="11" t="s">
        <v>3178</v>
      </c>
      <c r="AT530" s="11" t="n">
        <v>0</v>
      </c>
      <c r="AU530" s="11"/>
      <c r="AV530" s="11"/>
      <c r="AW530" s="11"/>
      <c r="AX530" s="7" t="s">
        <v>84</v>
      </c>
      <c r="AY530" s="7"/>
      <c r="AZ530" s="7"/>
      <c r="BA530" s="7"/>
    </row>
    <row r="531" ht="171" customHeight="1">
      <c r="A531" s="4" t="s">
        <v>3179</v>
      </c>
      <c r="B531" s="4" t="n">
        <v>2022</v>
      </c>
      <c r="C531" s="4" t="n">
        <v>4294</v>
      </c>
      <c r="D531" s="4" t="s">
        <v>54</v>
      </c>
      <c r="E531" s="4" t="s">
        <v>3169</v>
      </c>
      <c r="F531" s="5" t="s">
        <v>3180</v>
      </c>
      <c r="G531" s="4" t="s">
        <v>139</v>
      </c>
      <c r="H531" s="4" t="s">
        <v>3171</v>
      </c>
      <c r="I531" s="4" t="s">
        <v>3176</v>
      </c>
      <c r="J531" s="4" t="s">
        <v>3181</v>
      </c>
      <c r="K531" s="4" t="s">
        <v>115</v>
      </c>
      <c r="L531" s="5"/>
      <c r="M531" s="4"/>
      <c r="N531" s="5"/>
      <c r="O531" s="4"/>
      <c r="P531" s="5"/>
      <c r="Q531" s="4"/>
      <c r="R531" s="5"/>
      <c r="S531" s="4"/>
      <c r="T531" s="5"/>
      <c r="U531" s="4"/>
      <c r="V531" s="5"/>
      <c r="W531" s="4"/>
      <c r="X531" s="4"/>
      <c r="Y531" s="5"/>
      <c r="Z531" s="4" t="s">
        <v>139</v>
      </c>
      <c r="AA531" s="6" t="n">
        <v>70000</v>
      </c>
      <c r="AB531" s="6"/>
      <c r="AC531" s="6"/>
      <c r="AD531" s="6"/>
      <c r="AE531" s="4" t="s">
        <v>115</v>
      </c>
      <c r="AF531" s="5" t="s">
        <v>115</v>
      </c>
      <c r="AG531" s="4" t="s">
        <v>115</v>
      </c>
      <c r="AH531" s="4" t="s">
        <v>115</v>
      </c>
      <c r="AI531" s="5" t="s">
        <v>115</v>
      </c>
      <c r="AJ531" s="1" t="n">
        <v>0</v>
      </c>
      <c r="AK531" s="11" t="n">
        <v>0</v>
      </c>
      <c r="AL531" s="12" t="s">
        <v>135</v>
      </c>
      <c r="AM531" s="13" t="str">
        <f>IF(AL531="","",AL531&amp;" - "&amp;IFERROR(VLOOKUP(AL531,CODEBOOK_CAP!$C$2:$D$212,2,FALSE),""))</f>
        <v>1002 - CARROS, TRÂNSITO, CONSTRUÇÃO E MANUTENÇÃO DE RUAS E ESTRADAS</v>
      </c>
      <c r="AN531" s="13" t="str">
        <f>IF(AL531="","",IFERROR(VLOOKUP(AL531,CODEBOOK_CAP!$C$2:$E$212,3,FALSE),""))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531" s="11" t="n">
        <v>1</v>
      </c>
      <c r="AP531" s="11" t="s">
        <v>3182</v>
      </c>
      <c r="AQ531" s="11" t="n">
        <v>1</v>
      </c>
      <c r="AR531" s="11" t="n">
        <v>1</v>
      </c>
      <c r="AS531" s="11" t="s">
        <v>3182</v>
      </c>
      <c r="AT531" s="11" t="n">
        <v>0</v>
      </c>
      <c r="AU531" s="11"/>
      <c r="AV531" s="11"/>
      <c r="AW531" s="11"/>
      <c r="AX531" s="7" t="s">
        <v>84</v>
      </c>
      <c r="AY531" s="7"/>
      <c r="AZ531" s="7"/>
      <c r="BA531" s="7"/>
    </row>
    <row r="532" ht="57" customHeight="1">
      <c r="A532" s="4" t="s">
        <v>3183</v>
      </c>
      <c r="B532" s="4" t="n">
        <v>2022</v>
      </c>
      <c r="C532" s="4" t="n">
        <v>4295</v>
      </c>
      <c r="D532" s="4" t="s">
        <v>54</v>
      </c>
      <c r="E532" s="4" t="s">
        <v>3169</v>
      </c>
      <c r="F532" s="5" t="s">
        <v>3184</v>
      </c>
      <c r="G532" s="4" t="s">
        <v>57</v>
      </c>
      <c r="H532" s="4" t="s">
        <v>3171</v>
      </c>
      <c r="I532" s="4" t="s">
        <v>3172</v>
      </c>
      <c r="J532" s="4" t="s">
        <v>3185</v>
      </c>
      <c r="K532" s="4" t="s">
        <v>115</v>
      </c>
      <c r="L532" s="5"/>
      <c r="M532" s="4"/>
      <c r="N532" s="5"/>
      <c r="O532" s="4"/>
      <c r="P532" s="5"/>
      <c r="Q532" s="4"/>
      <c r="R532" s="5"/>
      <c r="S532" s="4"/>
      <c r="T532" s="5"/>
      <c r="U532" s="4"/>
      <c r="V532" s="5"/>
      <c r="W532" s="4"/>
      <c r="X532" s="4"/>
      <c r="Y532" s="5"/>
      <c r="Z532" s="4" t="s">
        <v>132</v>
      </c>
      <c r="AA532" s="6" t="n">
        <v>150000</v>
      </c>
      <c r="AB532" s="6" t="n">
        <v>0</v>
      </c>
      <c r="AC532" s="6" t="n">
        <v>0</v>
      </c>
      <c r="AD532" s="6" t="n">
        <v>0</v>
      </c>
      <c r="AE532" s="4" t="s">
        <v>3186</v>
      </c>
      <c r="AF532" s="5" t="s">
        <v>3187</v>
      </c>
      <c r="AG532" s="4" t="s">
        <v>115</v>
      </c>
      <c r="AH532" s="4" t="s">
        <v>115</v>
      </c>
      <c r="AI532" s="5" t="s">
        <v>115</v>
      </c>
      <c r="AJ532" s="1" t="n">
        <v>0</v>
      </c>
      <c r="AK532" s="11" t="n">
        <v>0</v>
      </c>
      <c r="AL532" s="12" t="s">
        <v>328</v>
      </c>
      <c r="AM532" s="13" t="str">
        <f>IF(AL532="","",AL532&amp;" - "&amp;IFERROR(VLOOKUP(AL532,CODEBOOK_CAP!$C$2:$D$212,2,FALSE),""))</f>
        <v>1403 - REABILITAÇÃO URBANA, ECONOMIA URBANA</v>
      </c>
      <c r="AN532" s="13" t="str">
        <f>IF(AL532="","",IFERROR(VLOOKUP(AL532,CODEBOOK_CAP!$C$2:$E$212,3,FALSE),""))</f>
        <v>Reabilitação de áreas urbanas, revitalização urbana, modernização de áreas, mercados públicos, revitalização de praças, política urbana nacional, desenvolvimento urbano , desenvolvimento econômico de estados e cidades, modernização de espaços urbanos</v>
      </c>
      <c r="AO532" s="11" t="n">
        <v>1</v>
      </c>
      <c r="AP532" s="11" t="s">
        <v>3188</v>
      </c>
      <c r="AQ532" s="11" t="n">
        <v>1</v>
      </c>
      <c r="AR532" s="11" t="n">
        <v>1</v>
      </c>
      <c r="AS532" s="11" t="s">
        <v>3188</v>
      </c>
      <c r="AT532" s="11" t="n">
        <v>0</v>
      </c>
      <c r="AU532" s="11"/>
      <c r="AV532" s="11"/>
      <c r="AW532" s="11"/>
      <c r="AX532" s="7" t="s">
        <v>84</v>
      </c>
      <c r="AY532" s="7"/>
      <c r="AZ532" s="7"/>
      <c r="BA532" s="7"/>
    </row>
    <row r="533" ht="71.25" customHeight="1">
      <c r="A533" s="4" t="s">
        <v>3189</v>
      </c>
      <c r="B533" s="4" t="n">
        <v>2022</v>
      </c>
      <c r="C533" s="4" t="n">
        <v>4296</v>
      </c>
      <c r="D533" s="4" t="s">
        <v>54</v>
      </c>
      <c r="E533" s="4" t="s">
        <v>3169</v>
      </c>
      <c r="F533" s="5" t="s">
        <v>3190</v>
      </c>
      <c r="G533" s="4" t="s">
        <v>57</v>
      </c>
      <c r="H533" s="4" t="s">
        <v>3171</v>
      </c>
      <c r="I533" s="4" t="s">
        <v>3172</v>
      </c>
      <c r="J533" s="4" t="s">
        <v>3191</v>
      </c>
      <c r="K533" s="4" t="s">
        <v>415</v>
      </c>
      <c r="L533" s="5" t="s">
        <v>122</v>
      </c>
      <c r="M533" s="4" t="s">
        <v>123</v>
      </c>
      <c r="N533" s="5" t="s">
        <v>227</v>
      </c>
      <c r="O533" s="4" t="s">
        <v>228</v>
      </c>
      <c r="P533" s="5" t="s">
        <v>229</v>
      </c>
      <c r="Q533" s="4" t="s">
        <v>230</v>
      </c>
      <c r="R533" s="5" t="s">
        <v>322</v>
      </c>
      <c r="S533" s="4" t="s">
        <v>323</v>
      </c>
      <c r="T533" s="5" t="s">
        <v>416</v>
      </c>
      <c r="U533" s="4" t="s">
        <v>417</v>
      </c>
      <c r="V533" s="5" t="s">
        <v>72</v>
      </c>
      <c r="W533" s="4" t="s">
        <v>73</v>
      </c>
      <c r="X533" s="4" t="s">
        <v>74</v>
      </c>
      <c r="Y533" s="5"/>
      <c r="Z533" s="4" t="s">
        <v>132</v>
      </c>
      <c r="AA533" s="6" t="n">
        <v>85000</v>
      </c>
      <c r="AB533" s="6" t="n">
        <v>82104</v>
      </c>
      <c r="AC533" s="6" t="n">
        <v>82104</v>
      </c>
      <c r="AD533" s="6" t="n">
        <v>82104</v>
      </c>
      <c r="AE533" s="4" t="s">
        <v>1463</v>
      </c>
      <c r="AF533" s="5" t="s">
        <v>3192</v>
      </c>
      <c r="AG533" s="4" t="s">
        <v>78</v>
      </c>
      <c r="AH533" s="4" t="s">
        <v>79</v>
      </c>
      <c r="AI533" s="5" t="s">
        <v>80</v>
      </c>
      <c r="AJ533" s="1" t="n">
        <v>0</v>
      </c>
      <c r="AK533" s="11" t="n">
        <v>0</v>
      </c>
      <c r="AL533" s="12" t="s">
        <v>328</v>
      </c>
      <c r="AM533" s="13" t="str">
        <f>IF(AL533="","",AL533&amp;" - "&amp;IFERROR(VLOOKUP(AL533,CODEBOOK_CAP!$C$2:$D$212,2,FALSE),""))</f>
        <v>1403 - REABILITAÇÃO URBANA, ECONOMIA URBANA</v>
      </c>
      <c r="AN533" s="13" t="str">
        <f>IF(AL533="","",IFERROR(VLOOKUP(AL533,CODEBOOK_CAP!$C$2:$E$212,3,FALSE),""))</f>
        <v>Reabilitação de áreas urbanas, revitalização urbana, modernização de áreas, mercados públicos, revitalização de praças, política urbana nacional, desenvolvimento urbano , desenvolvimento econômico de estados e cidades, modernização de espaços urbanos</v>
      </c>
      <c r="AO533" s="11" t="n">
        <v>1</v>
      </c>
      <c r="AP533" s="11" t="s">
        <v>3193</v>
      </c>
      <c r="AQ533" s="11" t="n">
        <v>1</v>
      </c>
      <c r="AR533" s="11" t="n">
        <v>1</v>
      </c>
      <c r="AS533" s="11" t="s">
        <v>3193</v>
      </c>
      <c r="AT533" s="11" t="n">
        <v>0</v>
      </c>
      <c r="AU533" s="11"/>
      <c r="AV533" s="11"/>
      <c r="AW533" s="11"/>
      <c r="AX533" s="7" t="s">
        <v>84</v>
      </c>
      <c r="AY533" s="7"/>
      <c r="AZ533" s="7"/>
      <c r="BA533" s="7"/>
    </row>
    <row r="534" ht="171" customHeight="1">
      <c r="A534" s="4" t="s">
        <v>3194</v>
      </c>
      <c r="B534" s="4" t="n">
        <v>2022</v>
      </c>
      <c r="C534" s="4" t="n">
        <v>4297</v>
      </c>
      <c r="D534" s="4" t="s">
        <v>54</v>
      </c>
      <c r="E534" s="4" t="s">
        <v>3169</v>
      </c>
      <c r="F534" s="5" t="s">
        <v>3195</v>
      </c>
      <c r="G534" s="4" t="s">
        <v>139</v>
      </c>
      <c r="H534" s="4" t="s">
        <v>3171</v>
      </c>
      <c r="I534" s="4" t="s">
        <v>3176</v>
      </c>
      <c r="J534" s="4" t="s">
        <v>3196</v>
      </c>
      <c r="K534" s="4" t="s">
        <v>115</v>
      </c>
      <c r="L534" s="5"/>
      <c r="M534" s="4"/>
      <c r="N534" s="5"/>
      <c r="O534" s="4"/>
      <c r="P534" s="5"/>
      <c r="Q534" s="4"/>
      <c r="R534" s="5"/>
      <c r="S534" s="4"/>
      <c r="T534" s="5"/>
      <c r="U534" s="4"/>
      <c r="V534" s="5"/>
      <c r="W534" s="4"/>
      <c r="X534" s="4"/>
      <c r="Y534" s="5"/>
      <c r="Z534" s="4" t="s">
        <v>139</v>
      </c>
      <c r="AA534" s="6" t="n">
        <v>82000</v>
      </c>
      <c r="AB534" s="6"/>
      <c r="AC534" s="6"/>
      <c r="AD534" s="6"/>
      <c r="AE534" s="4" t="s">
        <v>115</v>
      </c>
      <c r="AF534" s="5" t="s">
        <v>115</v>
      </c>
      <c r="AG534" s="4" t="s">
        <v>115</v>
      </c>
      <c r="AH534" s="4" t="s">
        <v>115</v>
      </c>
      <c r="AI534" s="5" t="s">
        <v>115</v>
      </c>
      <c r="AJ534" s="1" t="n">
        <v>0</v>
      </c>
      <c r="AK534" s="11" t="n">
        <v>0</v>
      </c>
      <c r="AL534" s="12" t="s">
        <v>135</v>
      </c>
      <c r="AM534" s="13" t="str">
        <f>IF(AL534="","",AL534&amp;" - "&amp;IFERROR(VLOOKUP(AL534,CODEBOOK_CAP!$C$2:$D$212,2,FALSE),""))</f>
        <v>1002 - CARROS, TRÂNSITO, CONSTRUÇÃO E MANUTENÇÃO DE RUAS E ESTRADAS</v>
      </c>
      <c r="AN534" s="13" t="str">
        <f>IF(AL534="","",IFERROR(VLOOKUP(AL534,CODEBOOK_CAP!$C$2:$E$212,3,FALSE),""))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534" s="11" t="n">
        <v>1</v>
      </c>
      <c r="AP534" s="11" t="s">
        <v>3197</v>
      </c>
      <c r="AQ534" s="11" t="n">
        <v>1</v>
      </c>
      <c r="AR534" s="11" t="n">
        <v>1</v>
      </c>
      <c r="AS534" s="11" t="s">
        <v>3197</v>
      </c>
      <c r="AT534" s="11" t="n">
        <v>0</v>
      </c>
      <c r="AU534" s="11"/>
      <c r="AV534" s="11"/>
      <c r="AW534" s="11"/>
      <c r="AX534" s="7" t="s">
        <v>84</v>
      </c>
      <c r="AY534" s="7"/>
      <c r="AZ534" s="7"/>
      <c r="BA534" s="7"/>
    </row>
    <row r="535" ht="85.5" customHeight="1">
      <c r="A535" s="4" t="s">
        <v>3198</v>
      </c>
      <c r="B535" s="4" t="n">
        <v>2022</v>
      </c>
      <c r="C535" s="4" t="n">
        <v>4298</v>
      </c>
      <c r="D535" s="4" t="s">
        <v>54</v>
      </c>
      <c r="E535" s="4" t="s">
        <v>3169</v>
      </c>
      <c r="F535" s="5" t="s">
        <v>3199</v>
      </c>
      <c r="G535" s="4" t="s">
        <v>57</v>
      </c>
      <c r="H535" s="4" t="s">
        <v>3171</v>
      </c>
      <c r="I535" s="4" t="s">
        <v>3172</v>
      </c>
      <c r="J535" s="4" t="s">
        <v>3200</v>
      </c>
      <c r="K535" s="4" t="s">
        <v>549</v>
      </c>
      <c r="L535" s="5" t="s">
        <v>62</v>
      </c>
      <c r="M535" s="4" t="s">
        <v>63</v>
      </c>
      <c r="N535" s="5" t="s">
        <v>64</v>
      </c>
      <c r="O535" s="4" t="s">
        <v>65</v>
      </c>
      <c r="P535" s="5" t="s">
        <v>193</v>
      </c>
      <c r="Q535" s="4" t="s">
        <v>194</v>
      </c>
      <c r="R535" s="5" t="s">
        <v>195</v>
      </c>
      <c r="S535" s="4" t="s">
        <v>196</v>
      </c>
      <c r="T535" s="5" t="s">
        <v>429</v>
      </c>
      <c r="U535" s="4" t="s">
        <v>430</v>
      </c>
      <c r="V535" s="5" t="s">
        <v>104</v>
      </c>
      <c r="W535" s="4" t="s">
        <v>105</v>
      </c>
      <c r="X535" s="4" t="s">
        <v>106</v>
      </c>
      <c r="Y535" s="5"/>
      <c r="Z535" s="4" t="s">
        <v>75</v>
      </c>
      <c r="AA535" s="6" t="n">
        <v>300000</v>
      </c>
      <c r="AB535" s="6" t="n">
        <v>300000</v>
      </c>
      <c r="AC535" s="6" t="n">
        <v>300000</v>
      </c>
      <c r="AD535" s="6" t="n">
        <v>300000</v>
      </c>
      <c r="AE535" s="4" t="s">
        <v>444</v>
      </c>
      <c r="AF535" s="5" t="s">
        <v>445</v>
      </c>
      <c r="AG535" s="4" t="s">
        <v>78</v>
      </c>
      <c r="AH535" s="4" t="s">
        <v>79</v>
      </c>
      <c r="AI535" s="5" t="s">
        <v>80</v>
      </c>
      <c r="AJ535" s="1" t="n">
        <v>1</v>
      </c>
      <c r="AK535" s="11" t="n">
        <v>1</v>
      </c>
      <c r="AL535" s="12" t="s">
        <v>81</v>
      </c>
      <c r="AM535" s="13" t="str">
        <f>IF(AL535="","",AL535&amp;" - "&amp;IFERROR(VLOOKUP(AL535,CODEBOOK_CAP!$C$2:$D$212,2,FALSE),""))</f>
        <v>0322 - ESTRUTURAS, HOSPITAIS, CLÍNICAS</v>
      </c>
      <c r="AN535" s="13" t="str">
        <f>IF(AL535="","",IFERROR(VLOOKUP(AL535,CODEBOOK_CAP!$C$2:$E$212,3,FALSE),""))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535" s="11" t="n">
        <v>0</v>
      </c>
      <c r="AP535" s="11"/>
      <c r="AQ535" s="11" t="n">
        <v>1</v>
      </c>
      <c r="AR535" s="11" t="n">
        <v>1</v>
      </c>
      <c r="AS535" s="11" t="s">
        <v>1489</v>
      </c>
      <c r="AT535" s="11" t="n">
        <v>0</v>
      </c>
      <c r="AU535" s="11"/>
      <c r="AV535" s="11"/>
      <c r="AW535" s="11"/>
      <c r="AX535" s="7" t="s">
        <v>84</v>
      </c>
      <c r="AY535" s="7"/>
      <c r="AZ535" s="7"/>
      <c r="BA535" s="7"/>
    </row>
    <row r="536" ht="71.25" customHeight="1">
      <c r="A536" s="4" t="s">
        <v>3201</v>
      </c>
      <c r="B536" s="4" t="n">
        <v>2022</v>
      </c>
      <c r="C536" s="4" t="n">
        <v>4299</v>
      </c>
      <c r="D536" s="4" t="s">
        <v>54</v>
      </c>
      <c r="E536" s="4" t="s">
        <v>3169</v>
      </c>
      <c r="F536" s="5" t="s">
        <v>3202</v>
      </c>
      <c r="G536" s="4" t="s">
        <v>57</v>
      </c>
      <c r="H536" s="4" t="s">
        <v>3171</v>
      </c>
      <c r="I536" s="4" t="s">
        <v>3172</v>
      </c>
      <c r="J536" s="4" t="s">
        <v>3203</v>
      </c>
      <c r="K536" s="4" t="s">
        <v>3204</v>
      </c>
      <c r="L536" s="5" t="s">
        <v>3205</v>
      </c>
      <c r="M536" s="4" t="s">
        <v>3206</v>
      </c>
      <c r="N536" s="5" t="s">
        <v>3207</v>
      </c>
      <c r="O536" s="4" t="s">
        <v>3208</v>
      </c>
      <c r="P536" s="5" t="s">
        <v>1616</v>
      </c>
      <c r="Q536" s="4" t="s">
        <v>3209</v>
      </c>
      <c r="R536" s="5" t="s">
        <v>3210</v>
      </c>
      <c r="S536" s="4" t="s">
        <v>3211</v>
      </c>
      <c r="T536" s="5" t="s">
        <v>3212</v>
      </c>
      <c r="U536" s="4" t="s">
        <v>3213</v>
      </c>
      <c r="V536" s="5" t="s">
        <v>310</v>
      </c>
      <c r="W536" s="4" t="s">
        <v>73</v>
      </c>
      <c r="X536" s="4" t="s">
        <v>74</v>
      </c>
      <c r="Y536" s="5"/>
      <c r="Z536" s="4" t="s">
        <v>3214</v>
      </c>
      <c r="AA536" s="6" t="n">
        <v>34000</v>
      </c>
      <c r="AB536" s="6" t="n">
        <v>29191</v>
      </c>
      <c r="AC536" s="6" t="n">
        <v>29191</v>
      </c>
      <c r="AD536" s="6" t="n">
        <v>29191</v>
      </c>
      <c r="AE536" s="4" t="s">
        <v>1000</v>
      </c>
      <c r="AF536" s="5" t="s">
        <v>1001</v>
      </c>
      <c r="AG536" s="4" t="s">
        <v>78</v>
      </c>
      <c r="AH536" s="4" t="s">
        <v>79</v>
      </c>
      <c r="AI536" s="5" t="s">
        <v>80</v>
      </c>
      <c r="AJ536" s="1" t="n">
        <v>0</v>
      </c>
      <c r="AK536" s="11" t="n">
        <v>0</v>
      </c>
      <c r="AL536" s="12" t="s">
        <v>188</v>
      </c>
      <c r="AM536" s="13" t="str">
        <f>IF(AL536="","",AL536&amp;" - "&amp;IFERROR(VLOOKUP(AL536,CODEBOOK_CAP!$C$2:$D$212,2,FALSE),""))</f>
        <v>2300 - GERAL</v>
      </c>
      <c r="AN536" s="13" t="str">
        <f>IF(AL536="","",IFERROR(VLOOKUP(AL536,CODEBOOK_CAP!$C$2:$E$212,3,FALSE),""))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536" s="11" t="n">
        <v>1</v>
      </c>
      <c r="AP536" s="11" t="s">
        <v>3215</v>
      </c>
      <c r="AQ536" s="11" t="n">
        <v>1</v>
      </c>
      <c r="AR536" s="11" t="n">
        <v>1</v>
      </c>
      <c r="AS536" s="11" t="s">
        <v>3215</v>
      </c>
      <c r="AT536" s="11" t="n">
        <v>1</v>
      </c>
      <c r="AU536" s="11" t="s">
        <v>503</v>
      </c>
      <c r="AV536" s="11"/>
      <c r="AW536" s="11"/>
      <c r="AX536" s="7" t="s">
        <v>84</v>
      </c>
      <c r="AY536" s="7"/>
      <c r="AZ536" s="7"/>
      <c r="BA536" s="7"/>
      <c r="BB536" s="3" t="s">
        <v>6564</v>
      </c>
    </row>
    <row r="537" ht="85.5" customHeight="1">
      <c r="A537" s="4" t="s">
        <v>3216</v>
      </c>
      <c r="B537" s="4" t="n">
        <v>2022</v>
      </c>
      <c r="C537" s="4" t="n">
        <v>4300</v>
      </c>
      <c r="D537" s="4" t="s">
        <v>54</v>
      </c>
      <c r="E537" s="4" t="s">
        <v>3169</v>
      </c>
      <c r="F537" s="5" t="s">
        <v>3217</v>
      </c>
      <c r="G537" s="4" t="s">
        <v>57</v>
      </c>
      <c r="H537" s="4" t="s">
        <v>3171</v>
      </c>
      <c r="I537" s="4" t="s">
        <v>3172</v>
      </c>
      <c r="J537" s="4" t="s">
        <v>3218</v>
      </c>
      <c r="K537" s="4" t="s">
        <v>3219</v>
      </c>
      <c r="L537" s="5" t="s">
        <v>1238</v>
      </c>
      <c r="M537" s="4" t="s">
        <v>1239</v>
      </c>
      <c r="N537" s="5" t="s">
        <v>227</v>
      </c>
      <c r="O537" s="4" t="s">
        <v>228</v>
      </c>
      <c r="P537" s="5" t="s">
        <v>229</v>
      </c>
      <c r="Q537" s="4" t="s">
        <v>230</v>
      </c>
      <c r="R537" s="5" t="s">
        <v>322</v>
      </c>
      <c r="S537" s="4" t="s">
        <v>323</v>
      </c>
      <c r="T537" s="5" t="s">
        <v>416</v>
      </c>
      <c r="U537" s="4" t="s">
        <v>417</v>
      </c>
      <c r="V537" s="5" t="s">
        <v>104</v>
      </c>
      <c r="W537" s="4" t="s">
        <v>105</v>
      </c>
      <c r="X537" s="4" t="s">
        <v>106</v>
      </c>
      <c r="Y537" s="5"/>
      <c r="Z537" s="4" t="s">
        <v>132</v>
      </c>
      <c r="AA537" s="6" t="n">
        <v>94000</v>
      </c>
      <c r="AB537" s="6" t="n">
        <v>41896</v>
      </c>
      <c r="AC537" s="6" t="n">
        <v>41896</v>
      </c>
      <c r="AD537" s="6" t="n">
        <v>41896</v>
      </c>
      <c r="AE537" s="4" t="s">
        <v>3220</v>
      </c>
      <c r="AF537" s="5" t="s">
        <v>3192</v>
      </c>
      <c r="AG537" s="4" t="s">
        <v>78</v>
      </c>
      <c r="AH537" s="4" t="s">
        <v>79</v>
      </c>
      <c r="AI537" s="5" t="s">
        <v>80</v>
      </c>
      <c r="AJ537" s="1" t="n">
        <v>0</v>
      </c>
      <c r="AK537" s="11" t="n">
        <v>0</v>
      </c>
      <c r="AL537" s="12" t="s">
        <v>328</v>
      </c>
      <c r="AM537" s="13" t="str">
        <f>IF(AL537="","",AL537&amp;" - "&amp;IFERROR(VLOOKUP(AL537,CODEBOOK_CAP!$C$2:$D$212,2,FALSE),""))</f>
        <v>1403 - REABILITAÇÃO URBANA, ECONOMIA URBANA</v>
      </c>
      <c r="AN537" s="13" t="str">
        <f>IF(AL537="","",IFERROR(VLOOKUP(AL537,CODEBOOK_CAP!$C$2:$E$212,3,FALSE),""))</f>
        <v>Reabilitação de áreas urbanas, revitalização urbana, modernização de áreas, mercados públicos, revitalização de praças, política urbana nacional, desenvolvimento urbano , desenvolvimento econômico de estados e cidades, modernização de espaços urbanos</v>
      </c>
      <c r="AO537" s="11" t="n">
        <v>1</v>
      </c>
      <c r="AP537" s="11" t="s">
        <v>3221</v>
      </c>
      <c r="AQ537" s="11" t="n">
        <v>1</v>
      </c>
      <c r="AR537" s="11" t="n">
        <v>1</v>
      </c>
      <c r="AS537" s="11" t="s">
        <v>3221</v>
      </c>
      <c r="AT537" s="11" t="n">
        <v>0</v>
      </c>
      <c r="AU537" s="11"/>
      <c r="AV537" s="11"/>
      <c r="AW537" s="11"/>
      <c r="AX537" s="7" t="s">
        <v>84</v>
      </c>
      <c r="AY537" s="7"/>
      <c r="AZ537" s="7"/>
      <c r="BA537" s="7"/>
    </row>
    <row r="538" ht="71.25" customHeight="1">
      <c r="A538" s="4" t="s">
        <v>3222</v>
      </c>
      <c r="B538" s="4" t="n">
        <v>2022</v>
      </c>
      <c r="C538" s="4" t="n">
        <v>4301</v>
      </c>
      <c r="D538" s="4" t="s">
        <v>54</v>
      </c>
      <c r="E538" s="4" t="s">
        <v>3169</v>
      </c>
      <c r="F538" s="5" t="s">
        <v>3223</v>
      </c>
      <c r="G538" s="4" t="s">
        <v>57</v>
      </c>
      <c r="H538" s="4" t="s">
        <v>3171</v>
      </c>
      <c r="I538" s="4" t="s">
        <v>3172</v>
      </c>
      <c r="J538" s="4" t="s">
        <v>3224</v>
      </c>
      <c r="K538" s="4" t="s">
        <v>415</v>
      </c>
      <c r="L538" s="5" t="s">
        <v>122</v>
      </c>
      <c r="M538" s="4" t="s">
        <v>123</v>
      </c>
      <c r="N538" s="5" t="s">
        <v>227</v>
      </c>
      <c r="O538" s="4" t="s">
        <v>228</v>
      </c>
      <c r="P538" s="5" t="s">
        <v>229</v>
      </c>
      <c r="Q538" s="4" t="s">
        <v>230</v>
      </c>
      <c r="R538" s="5" t="s">
        <v>322</v>
      </c>
      <c r="S538" s="4" t="s">
        <v>323</v>
      </c>
      <c r="T538" s="5" t="s">
        <v>416</v>
      </c>
      <c r="U538" s="4" t="s">
        <v>417</v>
      </c>
      <c r="V538" s="5" t="s">
        <v>72</v>
      </c>
      <c r="W538" s="4" t="s">
        <v>73</v>
      </c>
      <c r="X538" s="4" t="s">
        <v>74</v>
      </c>
      <c r="Y538" s="5"/>
      <c r="Z538" s="4" t="s">
        <v>132</v>
      </c>
      <c r="AA538" s="6" t="n">
        <v>75000</v>
      </c>
      <c r="AB538" s="6" t="n">
        <v>46321</v>
      </c>
      <c r="AC538" s="6" t="n">
        <v>46321</v>
      </c>
      <c r="AD538" s="6" t="n">
        <v>46321</v>
      </c>
      <c r="AE538" s="4" t="s">
        <v>3225</v>
      </c>
      <c r="AF538" s="5" t="s">
        <v>3226</v>
      </c>
      <c r="AG538" s="4" t="s">
        <v>78</v>
      </c>
      <c r="AH538" s="4" t="s">
        <v>79</v>
      </c>
      <c r="AI538" s="5" t="s">
        <v>80</v>
      </c>
      <c r="AJ538" s="1" t="n">
        <v>0</v>
      </c>
      <c r="AK538" s="11" t="n">
        <v>0</v>
      </c>
      <c r="AL538" s="12" t="s">
        <v>188</v>
      </c>
      <c r="AM538" s="13" t="str">
        <f>IF(AL538="","",AL538&amp;" - "&amp;IFERROR(VLOOKUP(AL538,CODEBOOK_CAP!$C$2:$D$212,2,FALSE),""))</f>
        <v>2300 - GERAL</v>
      </c>
      <c r="AN538" s="13" t="str">
        <f>IF(AL538="","",IFERROR(VLOOKUP(AL538,CODEBOOK_CAP!$C$2:$E$212,3,FALSE),""))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538" s="11" t="n">
        <v>1</v>
      </c>
      <c r="AP538" s="11" t="s">
        <v>3227</v>
      </c>
      <c r="AQ538" s="11" t="n">
        <v>1</v>
      </c>
      <c r="AR538" s="11" t="n">
        <v>1</v>
      </c>
      <c r="AS538" s="11" t="s">
        <v>3227</v>
      </c>
      <c r="AT538" s="11" t="n">
        <v>0</v>
      </c>
      <c r="AU538" s="11"/>
      <c r="AV538" s="11"/>
      <c r="AW538" s="11"/>
      <c r="AX538" s="7" t="s">
        <v>84</v>
      </c>
      <c r="AY538" s="7"/>
      <c r="AZ538" s="7"/>
      <c r="BA538" s="7"/>
      <c r="BB538" s="3" t="s">
        <v>6564</v>
      </c>
    </row>
    <row r="539" ht="142.5" customHeight="1">
      <c r="A539" s="4" t="s">
        <v>3228</v>
      </c>
      <c r="B539" s="4" t="n">
        <v>2022</v>
      </c>
      <c r="C539" s="4" t="n">
        <v>4302</v>
      </c>
      <c r="D539" s="4" t="s">
        <v>54</v>
      </c>
      <c r="E539" s="4" t="s">
        <v>3169</v>
      </c>
      <c r="F539" s="5" t="s">
        <v>3229</v>
      </c>
      <c r="G539" s="4" t="s">
        <v>57</v>
      </c>
      <c r="H539" s="4" t="s">
        <v>3171</v>
      </c>
      <c r="I539" s="4" t="s">
        <v>3172</v>
      </c>
      <c r="J539" s="4" t="s">
        <v>3230</v>
      </c>
      <c r="K539" s="4" t="s">
        <v>1754</v>
      </c>
      <c r="L539" s="5" t="s">
        <v>62</v>
      </c>
      <c r="M539" s="4" t="s">
        <v>63</v>
      </c>
      <c r="N539" s="5" t="s">
        <v>64</v>
      </c>
      <c r="O539" s="4" t="s">
        <v>65</v>
      </c>
      <c r="P539" s="5" t="s">
        <v>344</v>
      </c>
      <c r="Q539" s="4" t="s">
        <v>345</v>
      </c>
      <c r="R539" s="5" t="s">
        <v>346</v>
      </c>
      <c r="S539" s="4" t="s">
        <v>347</v>
      </c>
      <c r="T539" s="5" t="s">
        <v>555</v>
      </c>
      <c r="U539" s="4" t="s">
        <v>347</v>
      </c>
      <c r="V539" s="5" t="s">
        <v>706</v>
      </c>
      <c r="W539" s="4" t="s">
        <v>105</v>
      </c>
      <c r="X539" s="4" t="s">
        <v>106</v>
      </c>
      <c r="Y539" s="5"/>
      <c r="Z539" s="4" t="s">
        <v>75</v>
      </c>
      <c r="AA539" s="6" t="n">
        <v>100000</v>
      </c>
      <c r="AB539" s="6" t="n">
        <v>79485</v>
      </c>
      <c r="AC539" s="6" t="n">
        <v>79485</v>
      </c>
      <c r="AD539" s="6" t="n">
        <v>79485</v>
      </c>
      <c r="AE539" s="4" t="s">
        <v>1776</v>
      </c>
      <c r="AF539" s="5" t="s">
        <v>3231</v>
      </c>
      <c r="AG539" s="4" t="s">
        <v>78</v>
      </c>
      <c r="AH539" s="4" t="s">
        <v>79</v>
      </c>
      <c r="AI539" s="5" t="s">
        <v>80</v>
      </c>
      <c r="AJ539" s="1" t="n">
        <v>1</v>
      </c>
      <c r="AK539" s="11" t="n">
        <v>1</v>
      </c>
      <c r="AL539" s="12" t="s">
        <v>81</v>
      </c>
      <c r="AM539" s="13" t="str">
        <f>IF(AL539="","",AL539&amp;" - "&amp;IFERROR(VLOOKUP(AL539,CODEBOOK_CAP!$C$2:$D$212,2,FALSE),""))</f>
        <v>0322 - ESTRUTURAS, HOSPITAIS, CLÍNICAS</v>
      </c>
      <c r="AN539" s="13" t="str">
        <f>IF(AL539="","",IFERROR(VLOOKUP(AL539,CODEBOOK_CAP!$C$2:$E$212,3,FALSE),""))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539" s="11" t="n">
        <v>0</v>
      </c>
      <c r="AP539" s="11"/>
      <c r="AQ539" s="11" t="n">
        <v>1</v>
      </c>
      <c r="AR539" s="11" t="n">
        <v>1</v>
      </c>
      <c r="AS539" s="11" t="s">
        <v>3232</v>
      </c>
      <c r="AT539" s="11" t="n">
        <v>0</v>
      </c>
      <c r="AU539" s="11"/>
      <c r="AV539" s="11"/>
      <c r="AW539" s="11"/>
      <c r="AX539" s="7" t="s">
        <v>84</v>
      </c>
      <c r="AY539" s="7"/>
      <c r="AZ539" s="7"/>
      <c r="BA539" s="7"/>
    </row>
    <row r="540" ht="71.25" customHeight="1">
      <c r="A540" s="4" t="s">
        <v>3233</v>
      </c>
      <c r="B540" s="4" t="n">
        <v>2022</v>
      </c>
      <c r="C540" s="4" t="n">
        <v>4303</v>
      </c>
      <c r="D540" s="4" t="s">
        <v>54</v>
      </c>
      <c r="E540" s="4" t="s">
        <v>3169</v>
      </c>
      <c r="F540" s="5" t="s">
        <v>3234</v>
      </c>
      <c r="G540" s="4" t="s">
        <v>57</v>
      </c>
      <c r="H540" s="4" t="s">
        <v>3171</v>
      </c>
      <c r="I540" s="4" t="s">
        <v>3172</v>
      </c>
      <c r="J540" s="4" t="s">
        <v>3235</v>
      </c>
      <c r="K540" s="4" t="s">
        <v>2329</v>
      </c>
      <c r="L540" s="5" t="s">
        <v>122</v>
      </c>
      <c r="M540" s="4" t="s">
        <v>123</v>
      </c>
      <c r="N540" s="5" t="s">
        <v>227</v>
      </c>
      <c r="O540" s="4" t="s">
        <v>228</v>
      </c>
      <c r="P540" s="5" t="s">
        <v>229</v>
      </c>
      <c r="Q540" s="4" t="s">
        <v>230</v>
      </c>
      <c r="R540" s="5" t="s">
        <v>322</v>
      </c>
      <c r="S540" s="4" t="s">
        <v>323</v>
      </c>
      <c r="T540" s="5" t="s">
        <v>416</v>
      </c>
      <c r="U540" s="4" t="s">
        <v>417</v>
      </c>
      <c r="V540" s="5" t="s">
        <v>72</v>
      </c>
      <c r="W540" s="4" t="s">
        <v>73</v>
      </c>
      <c r="X540" s="4" t="s">
        <v>74</v>
      </c>
      <c r="Y540" s="5"/>
      <c r="Z540" s="4" t="s">
        <v>132</v>
      </c>
      <c r="AA540" s="6" t="n">
        <v>5000</v>
      </c>
      <c r="AB540" s="6" t="n">
        <v>5000</v>
      </c>
      <c r="AC540" s="6" t="n">
        <v>5000</v>
      </c>
      <c r="AD540" s="6" t="n">
        <v>5000</v>
      </c>
      <c r="AE540" s="4" t="s">
        <v>3236</v>
      </c>
      <c r="AF540" s="5" t="s">
        <v>3237</v>
      </c>
      <c r="AG540" s="4" t="s">
        <v>78</v>
      </c>
      <c r="AH540" s="4" t="s">
        <v>79</v>
      </c>
      <c r="AI540" s="5" t="s">
        <v>80</v>
      </c>
      <c r="AJ540" s="1" t="n">
        <v>0</v>
      </c>
      <c r="AK540" s="11" t="n">
        <v>0</v>
      </c>
      <c r="AL540" s="12" t="s">
        <v>188</v>
      </c>
      <c r="AM540" s="13" t="str">
        <f>IF(AL540="","",AL540&amp;" - "&amp;IFERROR(VLOOKUP(AL540,CODEBOOK_CAP!$C$2:$D$212,2,FALSE),""))</f>
        <v>2300 - GERAL</v>
      </c>
      <c r="AN540" s="13" t="str">
        <f>IF(AL540="","",IFERROR(VLOOKUP(AL540,CODEBOOK_CAP!$C$2:$E$212,3,FALSE),""))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540" s="11" t="n">
        <v>1</v>
      </c>
      <c r="AP540" s="11" t="s">
        <v>3238</v>
      </c>
      <c r="AQ540" s="11" t="n">
        <v>1</v>
      </c>
      <c r="AR540" s="11" t="n">
        <v>1</v>
      </c>
      <c r="AS540" s="11" t="s">
        <v>3239</v>
      </c>
      <c r="AT540" s="11" t="n">
        <v>0</v>
      </c>
      <c r="AU540" s="11"/>
      <c r="AV540" s="11"/>
      <c r="AW540" s="11"/>
      <c r="AX540" s="7" t="s">
        <v>84</v>
      </c>
      <c r="AY540" s="7"/>
      <c r="AZ540" s="7"/>
      <c r="BA540" s="7"/>
      <c r="BB540" s="3" t="s">
        <v>6564</v>
      </c>
    </row>
    <row r="541" ht="71.25" customHeight="1">
      <c r="A541" s="4" t="s">
        <v>3240</v>
      </c>
      <c r="B541" s="4" t="n">
        <v>2022</v>
      </c>
      <c r="C541" s="4" t="n">
        <v>4304</v>
      </c>
      <c r="D541" s="4" t="s">
        <v>54</v>
      </c>
      <c r="E541" s="4" t="s">
        <v>3169</v>
      </c>
      <c r="F541" s="5" t="s">
        <v>3241</v>
      </c>
      <c r="G541" s="4" t="s">
        <v>57</v>
      </c>
      <c r="H541" s="4" t="s">
        <v>3171</v>
      </c>
      <c r="I541" s="4" t="s">
        <v>3172</v>
      </c>
      <c r="J541" s="4" t="s">
        <v>3242</v>
      </c>
      <c r="K541" s="4" t="s">
        <v>115</v>
      </c>
      <c r="L541" s="5"/>
      <c r="M541" s="4"/>
      <c r="N541" s="5"/>
      <c r="O541" s="4"/>
      <c r="P541" s="5"/>
      <c r="Q541" s="4"/>
      <c r="R541" s="5"/>
      <c r="S541" s="4"/>
      <c r="T541" s="5"/>
      <c r="U541" s="4"/>
      <c r="V541" s="5"/>
      <c r="W541" s="4"/>
      <c r="X541" s="4"/>
      <c r="Y541" s="5"/>
      <c r="Z541" s="4" t="s">
        <v>132</v>
      </c>
      <c r="AA541" s="6" t="n">
        <v>115000</v>
      </c>
      <c r="AB541" s="6" t="n">
        <v>0</v>
      </c>
      <c r="AC541" s="6" t="n">
        <v>0</v>
      </c>
      <c r="AD541" s="6" t="n">
        <v>0</v>
      </c>
      <c r="AE541" s="4" t="s">
        <v>1463</v>
      </c>
      <c r="AF541" s="5" t="s">
        <v>3192</v>
      </c>
      <c r="AG541" s="4" t="s">
        <v>115</v>
      </c>
      <c r="AH541" s="4" t="s">
        <v>115</v>
      </c>
      <c r="AI541" s="5" t="s">
        <v>115</v>
      </c>
      <c r="AJ541" s="1" t="n">
        <v>0</v>
      </c>
      <c r="AK541" s="11" t="n">
        <v>0</v>
      </c>
      <c r="AL541" s="12" t="s">
        <v>188</v>
      </c>
      <c r="AM541" s="13" t="str">
        <f>IF(AL541="","",AL541&amp;" - "&amp;IFERROR(VLOOKUP(AL541,CODEBOOK_CAP!$C$2:$D$212,2,FALSE),""))</f>
        <v>2300 - GERAL</v>
      </c>
      <c r="AN541" s="13" t="str">
        <f>IF(AL541="","",IFERROR(VLOOKUP(AL541,CODEBOOK_CAP!$C$2:$E$212,3,FALSE),""))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541" s="11" t="n">
        <v>1</v>
      </c>
      <c r="AP541" s="11" t="s">
        <v>3243</v>
      </c>
      <c r="AQ541" s="11" t="n">
        <v>1</v>
      </c>
      <c r="AR541" s="11" t="n">
        <v>1</v>
      </c>
      <c r="AS541" s="11" t="s">
        <v>3244</v>
      </c>
      <c r="AT541" s="11" t="n">
        <v>0</v>
      </c>
      <c r="AU541" s="11"/>
      <c r="AV541" s="11"/>
      <c r="AW541" s="11"/>
      <c r="AX541" s="7" t="s">
        <v>84</v>
      </c>
      <c r="AY541" s="7"/>
      <c r="AZ541" s="7"/>
      <c r="BA541" s="7"/>
      <c r="BB541" s="3" t="s">
        <v>6564</v>
      </c>
    </row>
    <row r="542" ht="114" customHeight="1">
      <c r="A542" s="4" t="s">
        <v>3245</v>
      </c>
      <c r="B542" s="4" t="n">
        <v>2022</v>
      </c>
      <c r="C542" s="4" t="n">
        <v>4305</v>
      </c>
      <c r="D542" s="4" t="s">
        <v>54</v>
      </c>
      <c r="E542" s="4" t="s">
        <v>3169</v>
      </c>
      <c r="F542" s="5" t="s">
        <v>3246</v>
      </c>
      <c r="G542" s="4" t="s">
        <v>57</v>
      </c>
      <c r="H542" s="4" t="s">
        <v>3171</v>
      </c>
      <c r="I542" s="4" t="s">
        <v>3172</v>
      </c>
      <c r="J542" s="4" t="s">
        <v>3247</v>
      </c>
      <c r="K542" s="4" t="s">
        <v>3248</v>
      </c>
      <c r="L542" s="5" t="s">
        <v>225</v>
      </c>
      <c r="M542" s="4" t="s">
        <v>226</v>
      </c>
      <c r="N542" s="5" t="s">
        <v>227</v>
      </c>
      <c r="O542" s="4" t="s">
        <v>228</v>
      </c>
      <c r="P542" s="5" t="s">
        <v>1060</v>
      </c>
      <c r="Q542" s="4" t="s">
        <v>1061</v>
      </c>
      <c r="R542" s="5" t="s">
        <v>1062</v>
      </c>
      <c r="S542" s="4" t="s">
        <v>1063</v>
      </c>
      <c r="T542" s="5" t="s">
        <v>1064</v>
      </c>
      <c r="U542" s="4" t="s">
        <v>1065</v>
      </c>
      <c r="V542" s="5" t="s">
        <v>3249</v>
      </c>
      <c r="W542" s="4" t="s">
        <v>105</v>
      </c>
      <c r="X542" s="4" t="s">
        <v>106</v>
      </c>
      <c r="Y542" s="5"/>
      <c r="Z542" s="4" t="s">
        <v>235</v>
      </c>
      <c r="AA542" s="6" t="n">
        <v>169000</v>
      </c>
      <c r="AB542" s="6" t="n">
        <v>169000</v>
      </c>
      <c r="AC542" s="6" t="n">
        <v>169000</v>
      </c>
      <c r="AD542" s="6" t="n">
        <v>169000</v>
      </c>
      <c r="AE542" s="4" t="s">
        <v>3250</v>
      </c>
      <c r="AF542" s="5" t="s">
        <v>1067</v>
      </c>
      <c r="AG542" s="4" t="s">
        <v>78</v>
      </c>
      <c r="AH542" s="4" t="s">
        <v>79</v>
      </c>
      <c r="AI542" s="5" t="s">
        <v>80</v>
      </c>
      <c r="AJ542" s="1" t="n">
        <v>0</v>
      </c>
      <c r="AK542" s="11" t="n">
        <v>0</v>
      </c>
      <c r="AL542" s="12" t="s">
        <v>1068</v>
      </c>
      <c r="AM542" s="13" t="str">
        <f>IF(AL542="","",AL542&amp;" - "&amp;IFERROR(VLOOKUP(AL542,CODEBOOK_CAP!$C$2:$D$212,2,FALSE),""))</f>
        <v>0405 - CONTROLE DE DOENÇAS ANIMAIS</v>
      </c>
      <c r="AN542" s="13" t="str">
        <f>IF(AL542="","",IFERROR(VLOOKUP(AL542,CODEBOOK_CAP!$C$2:$E$212,3,FALSE),""))</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O542" s="11" t="n">
        <v>0</v>
      </c>
      <c r="AP542" s="11"/>
      <c r="AQ542" s="11" t="n">
        <v>0</v>
      </c>
      <c r="AR542" s="11" t="n">
        <v>0</v>
      </c>
      <c r="AS542" s="11"/>
      <c r="AT542" s="11" t="n">
        <v>1</v>
      </c>
      <c r="AU542" s="11" t="s">
        <v>1069</v>
      </c>
      <c r="AV542" s="11"/>
      <c r="AW542" s="11"/>
      <c r="AX542" s="7" t="s">
        <v>84</v>
      </c>
      <c r="AY542" s="7"/>
      <c r="AZ542" s="7"/>
      <c r="BA542" s="7"/>
    </row>
    <row r="543" ht="171" customHeight="1">
      <c r="A543" s="4" t="s">
        <v>3251</v>
      </c>
      <c r="B543" s="4" t="n">
        <v>2022</v>
      </c>
      <c r="C543" s="4" t="n">
        <v>4306</v>
      </c>
      <c r="D543" s="4" t="s">
        <v>54</v>
      </c>
      <c r="E543" s="4" t="s">
        <v>3169</v>
      </c>
      <c r="F543" s="5" t="s">
        <v>3252</v>
      </c>
      <c r="G543" s="4" t="s">
        <v>139</v>
      </c>
      <c r="H543" s="4" t="s">
        <v>3171</v>
      </c>
      <c r="I543" s="4" t="s">
        <v>3176</v>
      </c>
      <c r="J543" s="4" t="s">
        <v>3253</v>
      </c>
      <c r="K543" s="4" t="s">
        <v>115</v>
      </c>
      <c r="L543" s="5"/>
      <c r="M543" s="4"/>
      <c r="N543" s="5"/>
      <c r="O543" s="4"/>
      <c r="P543" s="5"/>
      <c r="Q543" s="4"/>
      <c r="R543" s="5"/>
      <c r="S543" s="4"/>
      <c r="T543" s="5"/>
      <c r="U543" s="4"/>
      <c r="V543" s="5"/>
      <c r="W543" s="4"/>
      <c r="X543" s="4"/>
      <c r="Y543" s="5"/>
      <c r="Z543" s="4" t="s">
        <v>139</v>
      </c>
      <c r="AA543" s="6" t="n">
        <v>57000</v>
      </c>
      <c r="AB543" s="6"/>
      <c r="AC543" s="6"/>
      <c r="AD543" s="6"/>
      <c r="AE543" s="4" t="s">
        <v>115</v>
      </c>
      <c r="AF543" s="5" t="s">
        <v>115</v>
      </c>
      <c r="AG543" s="4" t="s">
        <v>115</v>
      </c>
      <c r="AH543" s="4" t="s">
        <v>115</v>
      </c>
      <c r="AI543" s="5" t="s">
        <v>115</v>
      </c>
      <c r="AJ543" s="1" t="n">
        <v>0</v>
      </c>
      <c r="AK543" s="11" t="n">
        <v>0</v>
      </c>
      <c r="AL543" s="12" t="s">
        <v>135</v>
      </c>
      <c r="AM543" s="13" t="str">
        <f>IF(AL543="","",AL543&amp;" - "&amp;IFERROR(VLOOKUP(AL543,CODEBOOK_CAP!$C$2:$D$212,2,FALSE),""))</f>
        <v>1002 - CARROS, TRÂNSITO, CONSTRUÇÃO E MANUTENÇÃO DE RUAS E ESTRADAS</v>
      </c>
      <c r="AN543" s="13" t="str">
        <f>IF(AL543="","",IFERROR(VLOOKUP(AL543,CODEBOOK_CAP!$C$2:$E$212,3,FALSE),""))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543" s="11" t="n">
        <v>1</v>
      </c>
      <c r="AP543" s="11" t="s">
        <v>3254</v>
      </c>
      <c r="AQ543" s="11" t="n">
        <v>1</v>
      </c>
      <c r="AR543" s="11" t="n">
        <v>1</v>
      </c>
      <c r="AS543" s="11" t="s">
        <v>3254</v>
      </c>
      <c r="AT543" s="11" t="n">
        <v>0</v>
      </c>
      <c r="AU543" s="11"/>
      <c r="AV543" s="11"/>
      <c r="AW543" s="11"/>
      <c r="AX543" s="7" t="s">
        <v>84</v>
      </c>
      <c r="AY543" s="7"/>
      <c r="AZ543" s="7"/>
      <c r="BA543" s="7"/>
    </row>
    <row r="544" ht="71.25" customHeight="1">
      <c r="A544" s="4" t="s">
        <v>3255</v>
      </c>
      <c r="B544" s="4" t="n">
        <v>2022</v>
      </c>
      <c r="C544" s="4" t="n">
        <v>4307</v>
      </c>
      <c r="D544" s="4" t="s">
        <v>54</v>
      </c>
      <c r="E544" s="4" t="s">
        <v>3169</v>
      </c>
      <c r="F544" s="5" t="s">
        <v>3256</v>
      </c>
      <c r="G544" s="4" t="s">
        <v>57</v>
      </c>
      <c r="H544" s="4" t="s">
        <v>3171</v>
      </c>
      <c r="I544" s="4" t="s">
        <v>3172</v>
      </c>
      <c r="J544" s="4" t="s">
        <v>3257</v>
      </c>
      <c r="K544" s="4" t="s">
        <v>2329</v>
      </c>
      <c r="L544" s="5" t="s">
        <v>122</v>
      </c>
      <c r="M544" s="4" t="s">
        <v>123</v>
      </c>
      <c r="N544" s="5" t="s">
        <v>227</v>
      </c>
      <c r="O544" s="4" t="s">
        <v>228</v>
      </c>
      <c r="P544" s="5" t="s">
        <v>229</v>
      </c>
      <c r="Q544" s="4" t="s">
        <v>230</v>
      </c>
      <c r="R544" s="5" t="s">
        <v>322</v>
      </c>
      <c r="S544" s="4" t="s">
        <v>323</v>
      </c>
      <c r="T544" s="5" t="s">
        <v>416</v>
      </c>
      <c r="U544" s="4" t="s">
        <v>417</v>
      </c>
      <c r="V544" s="5" t="s">
        <v>72</v>
      </c>
      <c r="W544" s="4" t="s">
        <v>73</v>
      </c>
      <c r="X544" s="4" t="s">
        <v>74</v>
      </c>
      <c r="Y544" s="5"/>
      <c r="Z544" s="4" t="s">
        <v>132</v>
      </c>
      <c r="AA544" s="6" t="n">
        <v>73220</v>
      </c>
      <c r="AB544" s="6" t="n">
        <v>70441.39</v>
      </c>
      <c r="AC544" s="6" t="n">
        <v>68802.77</v>
      </c>
      <c r="AD544" s="6" t="n">
        <v>68802.77</v>
      </c>
      <c r="AE544" s="4" t="s">
        <v>3220</v>
      </c>
      <c r="AF544" s="5" t="s">
        <v>3192</v>
      </c>
      <c r="AG544" s="4" t="s">
        <v>78</v>
      </c>
      <c r="AH544" s="4" t="s">
        <v>79</v>
      </c>
      <c r="AI544" s="5" t="s">
        <v>80</v>
      </c>
      <c r="AJ544" s="1" t="n">
        <v>0</v>
      </c>
      <c r="AK544" s="11" t="n">
        <v>0</v>
      </c>
      <c r="AL544" s="12" t="s">
        <v>188</v>
      </c>
      <c r="AM544" s="13" t="str">
        <f>IF(AL544="","",AL544&amp;" - "&amp;IFERROR(VLOOKUP(AL544,CODEBOOK_CAP!$C$2:$D$212,2,FALSE),""))</f>
        <v>2300 - GERAL</v>
      </c>
      <c r="AN544" s="13" t="str">
        <f>IF(AL544="","",IFERROR(VLOOKUP(AL544,CODEBOOK_CAP!$C$2:$E$212,3,FALSE),""))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544" s="11" t="n">
        <v>1</v>
      </c>
      <c r="AP544" s="11" t="s">
        <v>3258</v>
      </c>
      <c r="AQ544" s="11" t="n">
        <v>1</v>
      </c>
      <c r="AR544" s="11" t="n">
        <v>1</v>
      </c>
      <c r="AS544" s="11" t="s">
        <v>3259</v>
      </c>
      <c r="AT544" s="11" t="n">
        <v>0</v>
      </c>
      <c r="AU544" s="11"/>
      <c r="AV544" s="11"/>
      <c r="AW544" s="11"/>
      <c r="AX544" s="7" t="s">
        <v>84</v>
      </c>
      <c r="AY544" s="7"/>
      <c r="AZ544" s="7"/>
      <c r="BA544" s="7"/>
      <c r="BB544" s="3" t="s">
        <v>6564</v>
      </c>
    </row>
    <row r="545" ht="71.25" customHeight="1">
      <c r="A545" s="4" t="s">
        <v>3260</v>
      </c>
      <c r="B545" s="4" t="n">
        <v>2022</v>
      </c>
      <c r="C545" s="4" t="n">
        <v>4308</v>
      </c>
      <c r="D545" s="4" t="s">
        <v>54</v>
      </c>
      <c r="E545" s="4" t="s">
        <v>3169</v>
      </c>
      <c r="F545" s="5" t="s">
        <v>3261</v>
      </c>
      <c r="G545" s="4" t="s">
        <v>57</v>
      </c>
      <c r="H545" s="4" t="s">
        <v>3171</v>
      </c>
      <c r="I545" s="4" t="s">
        <v>3172</v>
      </c>
      <c r="J545" s="4" t="s">
        <v>3262</v>
      </c>
      <c r="K545" s="4" t="s">
        <v>415</v>
      </c>
      <c r="L545" s="5" t="s">
        <v>122</v>
      </c>
      <c r="M545" s="4" t="s">
        <v>123</v>
      </c>
      <c r="N545" s="5" t="s">
        <v>227</v>
      </c>
      <c r="O545" s="4" t="s">
        <v>228</v>
      </c>
      <c r="P545" s="5" t="s">
        <v>229</v>
      </c>
      <c r="Q545" s="4" t="s">
        <v>230</v>
      </c>
      <c r="R545" s="5" t="s">
        <v>322</v>
      </c>
      <c r="S545" s="4" t="s">
        <v>323</v>
      </c>
      <c r="T545" s="5" t="s">
        <v>416</v>
      </c>
      <c r="U545" s="4" t="s">
        <v>417</v>
      </c>
      <c r="V545" s="5" t="s">
        <v>72</v>
      </c>
      <c r="W545" s="4" t="s">
        <v>73</v>
      </c>
      <c r="X545" s="4" t="s">
        <v>74</v>
      </c>
      <c r="Y545" s="5"/>
      <c r="Z545" s="4" t="s">
        <v>132</v>
      </c>
      <c r="AA545" s="6" t="n">
        <v>100000</v>
      </c>
      <c r="AB545" s="6" t="n">
        <v>99973</v>
      </c>
      <c r="AC545" s="6" t="n">
        <v>99973</v>
      </c>
      <c r="AD545" s="6" t="n">
        <v>99973</v>
      </c>
      <c r="AE545" s="4" t="s">
        <v>3263</v>
      </c>
      <c r="AF545" s="5" t="s">
        <v>3226</v>
      </c>
      <c r="AG545" s="4" t="s">
        <v>78</v>
      </c>
      <c r="AH545" s="4" t="s">
        <v>79</v>
      </c>
      <c r="AI545" s="5" t="s">
        <v>80</v>
      </c>
      <c r="AJ545" s="1" t="n">
        <v>0</v>
      </c>
      <c r="AK545" s="11" t="n">
        <v>0</v>
      </c>
      <c r="AL545" s="12" t="s">
        <v>188</v>
      </c>
      <c r="AM545" s="13" t="str">
        <f>IF(AL545="","",AL545&amp;" - "&amp;IFERROR(VLOOKUP(AL545,CODEBOOK_CAP!$C$2:$D$212,2,FALSE),""))</f>
        <v>2300 - GERAL</v>
      </c>
      <c r="AN545" s="13" t="str">
        <f>IF(AL545="","",IFERROR(VLOOKUP(AL545,CODEBOOK_CAP!$C$2:$E$212,3,FALSE),""))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545" s="11" t="n">
        <v>1</v>
      </c>
      <c r="AP545" s="11" t="s">
        <v>3264</v>
      </c>
      <c r="AQ545" s="11" t="n">
        <v>1</v>
      </c>
      <c r="AR545" s="11" t="n">
        <v>1</v>
      </c>
      <c r="AS545" s="11" t="s">
        <v>3265</v>
      </c>
      <c r="AT545" s="11" t="n">
        <v>0</v>
      </c>
      <c r="AU545" s="11"/>
      <c r="AV545" s="11"/>
      <c r="AW545" s="11"/>
      <c r="AX545" s="7" t="s">
        <v>84</v>
      </c>
      <c r="AY545" s="7"/>
      <c r="AZ545" s="7"/>
      <c r="BA545" s="7"/>
      <c r="BB545" s="3" t="s">
        <v>6564</v>
      </c>
    </row>
    <row r="546" ht="142.5" customHeight="1">
      <c r="A546" s="4" t="s">
        <v>3266</v>
      </c>
      <c r="B546" s="4" t="n">
        <v>2022</v>
      </c>
      <c r="C546" s="4" t="n">
        <v>4309</v>
      </c>
      <c r="D546" s="4" t="s">
        <v>54</v>
      </c>
      <c r="E546" s="4" t="s">
        <v>3169</v>
      </c>
      <c r="F546" s="5" t="s">
        <v>3267</v>
      </c>
      <c r="G546" s="4" t="s">
        <v>57</v>
      </c>
      <c r="H546" s="4" t="s">
        <v>3171</v>
      </c>
      <c r="I546" s="4" t="s">
        <v>3172</v>
      </c>
      <c r="J546" s="4" t="s">
        <v>3268</v>
      </c>
      <c r="K546" s="4" t="s">
        <v>773</v>
      </c>
      <c r="L546" s="5" t="s">
        <v>122</v>
      </c>
      <c r="M546" s="4" t="s">
        <v>123</v>
      </c>
      <c r="N546" s="5" t="s">
        <v>124</v>
      </c>
      <c r="O546" s="4" t="s">
        <v>125</v>
      </c>
      <c r="P546" s="5" t="s">
        <v>126</v>
      </c>
      <c r="Q546" s="4" t="s">
        <v>127</v>
      </c>
      <c r="R546" s="5" t="s">
        <v>322</v>
      </c>
      <c r="S546" s="4" t="s">
        <v>323</v>
      </c>
      <c r="T546" s="5" t="s">
        <v>774</v>
      </c>
      <c r="U546" s="4" t="s">
        <v>775</v>
      </c>
      <c r="V546" s="5" t="s">
        <v>72</v>
      </c>
      <c r="W546" s="4" t="s">
        <v>73</v>
      </c>
      <c r="X546" s="4" t="s">
        <v>74</v>
      </c>
      <c r="Y546" s="5"/>
      <c r="Z546" s="4" t="s">
        <v>132</v>
      </c>
      <c r="AA546" s="6" t="n">
        <v>20000</v>
      </c>
      <c r="AB546" s="6" t="n">
        <v>20000</v>
      </c>
      <c r="AC546" s="6" t="n">
        <v>17758</v>
      </c>
      <c r="AD546" s="6" t="n">
        <v>17758</v>
      </c>
      <c r="AE546" s="4" t="s">
        <v>3269</v>
      </c>
      <c r="AF546" s="5" t="s">
        <v>3270</v>
      </c>
      <c r="AG546" s="4" t="s">
        <v>78</v>
      </c>
      <c r="AH546" s="4" t="s">
        <v>79</v>
      </c>
      <c r="AI546" s="5" t="s">
        <v>80</v>
      </c>
      <c r="AJ546" s="1" t="n">
        <v>0</v>
      </c>
      <c r="AK546" s="11" t="n">
        <v>0</v>
      </c>
      <c r="AL546" s="12" t="s">
        <v>871</v>
      </c>
      <c r="AM546" s="13" t="str">
        <f>IF(AL546="","",AL546&amp;" - "&amp;IFERROR(VLOOKUP(AL546,CODEBOOK_CAP!$C$2:$D$212,2,FALSE),""))</f>
        <v>0711 - CONSERVAÇÃO DO SOLO, MAR, RIOS, PRAIAS E COSTAS</v>
      </c>
      <c r="AN546" s="13" t="str">
        <f>IF(AL546="","",IFERROR(VLOOKUP(AL546,CODEBOOK_CAP!$C$2:$E$212,3,FALSE),""))</f>
        <v>Poluição de oceanos, regulamentação de acesso e conservação da costa, ilhas, praias, mangues, e assuntos relacionados ao mar, oceanos e litoral. Erosão de terrenos, morros, promoção da qualidade do solo, conservação de rios, lagos e afluentes, questões vinculadas a enchentes, poluição urbana, margens, encostas de rios, chuvas, temporais, tempestades, terrenos contaminados, rios contamidados e poluidos, fertilizantes. Quando assunto for uso dos recursos naturais usar codigo 21. 2104 para recursos hídricos, 2103 para recursos naturais como minerais. Quando o assunto for tratamento de água potável, distribuição de água potável para residencias, 701.</v>
      </c>
      <c r="AO546" s="11" t="n">
        <v>1</v>
      </c>
      <c r="AP546" s="11" t="s">
        <v>3271</v>
      </c>
      <c r="AQ546" s="11" t="n">
        <v>1</v>
      </c>
      <c r="AR546" s="11" t="n">
        <v>1</v>
      </c>
      <c r="AS546" s="11" t="s">
        <v>3271</v>
      </c>
      <c r="AT546" s="11" t="n">
        <v>0</v>
      </c>
      <c r="AU546" s="11"/>
      <c r="AV546" s="11"/>
      <c r="AW546" s="11"/>
      <c r="AX546" s="7" t="s">
        <v>84</v>
      </c>
      <c r="AY546" s="7"/>
      <c r="AZ546" s="7"/>
      <c r="BA546" s="7"/>
    </row>
    <row r="547" ht="114" customHeight="1">
      <c r="A547" s="4" t="s">
        <v>3272</v>
      </c>
      <c r="B547" s="4" t="n">
        <v>2022</v>
      </c>
      <c r="C547" s="4" t="n">
        <v>4310</v>
      </c>
      <c r="D547" s="4" t="s">
        <v>54</v>
      </c>
      <c r="E547" s="4" t="s">
        <v>3169</v>
      </c>
      <c r="F547" s="5" t="s">
        <v>3273</v>
      </c>
      <c r="G547" s="4" t="s">
        <v>57</v>
      </c>
      <c r="H547" s="4" t="s">
        <v>3171</v>
      </c>
      <c r="I547" s="4" t="s">
        <v>3172</v>
      </c>
      <c r="J547" s="4" t="s">
        <v>3274</v>
      </c>
      <c r="K547" s="4" t="s">
        <v>3275</v>
      </c>
      <c r="L547" s="5" t="s">
        <v>62</v>
      </c>
      <c r="M547" s="4" t="s">
        <v>63</v>
      </c>
      <c r="N547" s="5" t="s">
        <v>64</v>
      </c>
      <c r="O547" s="4" t="s">
        <v>65</v>
      </c>
      <c r="P547" s="5" t="s">
        <v>66</v>
      </c>
      <c r="Q547" s="4" t="s">
        <v>67</v>
      </c>
      <c r="R547" s="5" t="s">
        <v>68</v>
      </c>
      <c r="S547" s="4" t="s">
        <v>69</v>
      </c>
      <c r="T547" s="5" t="s">
        <v>70</v>
      </c>
      <c r="U547" s="4" t="s">
        <v>71</v>
      </c>
      <c r="V547" s="5" t="s">
        <v>72</v>
      </c>
      <c r="W547" s="4" t="s">
        <v>73</v>
      </c>
      <c r="X547" s="4" t="s">
        <v>74</v>
      </c>
      <c r="Y547" s="5"/>
      <c r="Z547" s="4" t="s">
        <v>75</v>
      </c>
      <c r="AA547" s="6" t="n">
        <v>100000</v>
      </c>
      <c r="AB547" s="6" t="n">
        <v>100000</v>
      </c>
      <c r="AC547" s="6" t="n">
        <v>0</v>
      </c>
      <c r="AD547" s="6" t="n">
        <v>0</v>
      </c>
      <c r="AE547" s="4" t="s">
        <v>409</v>
      </c>
      <c r="AF547" s="5" t="s">
        <v>410</v>
      </c>
      <c r="AG547" s="4" t="s">
        <v>78</v>
      </c>
      <c r="AH547" s="4" t="s">
        <v>79</v>
      </c>
      <c r="AI547" s="5" t="s">
        <v>80</v>
      </c>
      <c r="AJ547" s="1" t="n">
        <v>1</v>
      </c>
      <c r="AK547" s="11" t="n">
        <v>0</v>
      </c>
      <c r="AL547" s="12" t="s">
        <v>1068</v>
      </c>
      <c r="AM547" s="13" t="str">
        <f>IF(AL547="","",AL547&amp;" - "&amp;IFERROR(VLOOKUP(AL547,CODEBOOK_CAP!$C$2:$D$212,2,FALSE),""))</f>
        <v>0405 - CONTROLE DE DOENÇAS ANIMAIS</v>
      </c>
      <c r="AN547" s="13" t="str">
        <f>IF(AL547="","",IFERROR(VLOOKUP(AL547,CODEBOOK_CAP!$C$2:$E$212,3,FALSE),""))</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O547" s="11" t="n">
        <v>1</v>
      </c>
      <c r="AP547" s="11" t="s">
        <v>3276</v>
      </c>
      <c r="AQ547" s="11" t="n">
        <v>1</v>
      </c>
      <c r="AR547" s="11" t="n">
        <v>1</v>
      </c>
      <c r="AS547" s="11" t="s">
        <v>3277</v>
      </c>
      <c r="AT547" s="11" t="n">
        <v>1</v>
      </c>
      <c r="AU547" s="11" t="s">
        <v>1069</v>
      </c>
      <c r="AV547" s="11"/>
      <c r="AW547" s="11"/>
      <c r="AX547" s="7" t="s">
        <v>84</v>
      </c>
      <c r="AY547" s="7"/>
      <c r="AZ547" s="7"/>
      <c r="BA547" s="7"/>
    </row>
    <row r="548" ht="85.5" customHeight="1">
      <c r="A548" s="4" t="s">
        <v>3278</v>
      </c>
      <c r="B548" s="4" t="n">
        <v>2022</v>
      </c>
      <c r="C548" s="4" t="n">
        <v>4311</v>
      </c>
      <c r="D548" s="4" t="s">
        <v>54</v>
      </c>
      <c r="E548" s="4" t="s">
        <v>3169</v>
      </c>
      <c r="F548" s="5" t="s">
        <v>3279</v>
      </c>
      <c r="G548" s="4" t="s">
        <v>57</v>
      </c>
      <c r="H548" s="4" t="s">
        <v>3171</v>
      </c>
      <c r="I548" s="4" t="s">
        <v>3172</v>
      </c>
      <c r="J548" s="4" t="s">
        <v>3280</v>
      </c>
      <c r="K548" s="4" t="s">
        <v>3281</v>
      </c>
      <c r="L548" s="5" t="s">
        <v>62</v>
      </c>
      <c r="M548" s="4" t="s">
        <v>63</v>
      </c>
      <c r="N548" s="5" t="s">
        <v>64</v>
      </c>
      <c r="O548" s="4" t="s">
        <v>65</v>
      </c>
      <c r="P548" s="5" t="s">
        <v>66</v>
      </c>
      <c r="Q548" s="4" t="s">
        <v>67</v>
      </c>
      <c r="R548" s="5" t="s">
        <v>68</v>
      </c>
      <c r="S548" s="4" t="s">
        <v>69</v>
      </c>
      <c r="T548" s="5" t="s">
        <v>70</v>
      </c>
      <c r="U548" s="4" t="s">
        <v>71</v>
      </c>
      <c r="V548" s="5" t="s">
        <v>72</v>
      </c>
      <c r="W548" s="4" t="s">
        <v>73</v>
      </c>
      <c r="X548" s="4" t="s">
        <v>74</v>
      </c>
      <c r="Y548" s="5"/>
      <c r="Z548" s="4" t="s">
        <v>75</v>
      </c>
      <c r="AA548" s="6" t="n">
        <v>100000</v>
      </c>
      <c r="AB548" s="6" t="n">
        <v>100000</v>
      </c>
      <c r="AC548" s="6" t="n">
        <v>100000</v>
      </c>
      <c r="AD548" s="6" t="n">
        <v>100000</v>
      </c>
      <c r="AE548" s="4" t="s">
        <v>894</v>
      </c>
      <c r="AF548" s="5" t="s">
        <v>396</v>
      </c>
      <c r="AG548" s="4" t="s">
        <v>78</v>
      </c>
      <c r="AH548" s="4" t="s">
        <v>79</v>
      </c>
      <c r="AI548" s="5" t="s">
        <v>80</v>
      </c>
      <c r="AJ548" s="1" t="n">
        <v>1</v>
      </c>
      <c r="AK548" s="11" t="n">
        <v>1</v>
      </c>
      <c r="AL548" s="12" t="s">
        <v>81</v>
      </c>
      <c r="AM548" s="13" t="str">
        <f>IF(AL548="","",AL548&amp;" - "&amp;IFERROR(VLOOKUP(AL548,CODEBOOK_CAP!$C$2:$D$212,2,FALSE),""))</f>
        <v>0322 - ESTRUTURAS, HOSPITAIS, CLÍNICAS</v>
      </c>
      <c r="AN548" s="13" t="str">
        <f>IF(AL548="","",IFERROR(VLOOKUP(AL548,CODEBOOK_CAP!$C$2:$E$212,3,FALSE),""))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548" s="11" t="n">
        <v>1</v>
      </c>
      <c r="AP548" s="11" t="s">
        <v>3282</v>
      </c>
      <c r="AQ548" s="11" t="n">
        <v>1</v>
      </c>
      <c r="AR548" s="11" t="n">
        <v>1</v>
      </c>
      <c r="AS548" s="11" t="s">
        <v>3283</v>
      </c>
      <c r="AT548" s="11" t="n">
        <v>0</v>
      </c>
      <c r="AU548" s="11"/>
      <c r="AV548" s="11"/>
      <c r="AW548" s="11"/>
      <c r="AX548" s="7" t="s">
        <v>84</v>
      </c>
      <c r="AY548" s="7"/>
      <c r="AZ548" s="7"/>
      <c r="BA548" s="7"/>
    </row>
    <row r="549" ht="85.5" customHeight="1">
      <c r="A549" s="4" t="s">
        <v>3284</v>
      </c>
      <c r="B549" s="4" t="n">
        <v>2022</v>
      </c>
      <c r="C549" s="4" t="n">
        <v>4312</v>
      </c>
      <c r="D549" s="4" t="s">
        <v>54</v>
      </c>
      <c r="E549" s="4" t="s">
        <v>3169</v>
      </c>
      <c r="F549" s="5" t="s">
        <v>3285</v>
      </c>
      <c r="G549" s="4" t="s">
        <v>57</v>
      </c>
      <c r="H549" s="4" t="s">
        <v>3171</v>
      </c>
      <c r="I549" s="4" t="s">
        <v>3172</v>
      </c>
      <c r="J549" s="4" t="s">
        <v>3286</v>
      </c>
      <c r="K549" s="4" t="s">
        <v>3281</v>
      </c>
      <c r="L549" s="5" t="s">
        <v>62</v>
      </c>
      <c r="M549" s="4" t="s">
        <v>63</v>
      </c>
      <c r="N549" s="5" t="s">
        <v>64</v>
      </c>
      <c r="O549" s="4" t="s">
        <v>65</v>
      </c>
      <c r="P549" s="5" t="s">
        <v>66</v>
      </c>
      <c r="Q549" s="4" t="s">
        <v>67</v>
      </c>
      <c r="R549" s="5" t="s">
        <v>68</v>
      </c>
      <c r="S549" s="4" t="s">
        <v>69</v>
      </c>
      <c r="T549" s="5" t="s">
        <v>70</v>
      </c>
      <c r="U549" s="4" t="s">
        <v>71</v>
      </c>
      <c r="V549" s="5" t="s">
        <v>72</v>
      </c>
      <c r="W549" s="4" t="s">
        <v>73</v>
      </c>
      <c r="X549" s="4" t="s">
        <v>74</v>
      </c>
      <c r="Y549" s="5"/>
      <c r="Z549" s="4" t="s">
        <v>75</v>
      </c>
      <c r="AA549" s="6" t="n">
        <v>100000</v>
      </c>
      <c r="AB549" s="6" t="n">
        <v>100000</v>
      </c>
      <c r="AC549" s="6" t="n">
        <v>100000</v>
      </c>
      <c r="AD549" s="6" t="n">
        <v>100000</v>
      </c>
      <c r="AE549" s="4" t="s">
        <v>76</v>
      </c>
      <c r="AF549" s="5" t="s">
        <v>77</v>
      </c>
      <c r="AG549" s="4" t="s">
        <v>78</v>
      </c>
      <c r="AH549" s="4" t="s">
        <v>79</v>
      </c>
      <c r="AI549" s="5" t="s">
        <v>80</v>
      </c>
      <c r="AJ549" s="1" t="n">
        <v>1</v>
      </c>
      <c r="AK549" s="11" t="n">
        <v>1</v>
      </c>
      <c r="AL549" s="12" t="s">
        <v>81</v>
      </c>
      <c r="AM549" s="13" t="str">
        <f>IF(AL549="","",AL549&amp;" - "&amp;IFERROR(VLOOKUP(AL549,CODEBOOK_CAP!$C$2:$D$212,2,FALSE),""))</f>
        <v>0322 - ESTRUTURAS, HOSPITAIS, CLÍNICAS</v>
      </c>
      <c r="AN549" s="13" t="str">
        <f>IF(AL549="","",IFERROR(VLOOKUP(AL549,CODEBOOK_CAP!$C$2:$E$212,3,FALSE),""))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549" s="11" t="n">
        <v>1</v>
      </c>
      <c r="AP549" s="11" t="s">
        <v>3287</v>
      </c>
      <c r="AQ549" s="11" t="n">
        <v>1</v>
      </c>
      <c r="AR549" s="11" t="n">
        <v>1</v>
      </c>
      <c r="AS549" s="11" t="s">
        <v>3288</v>
      </c>
      <c r="AT549" s="11" t="n">
        <v>0</v>
      </c>
      <c r="AU549" s="11"/>
      <c r="AV549" s="11"/>
      <c r="AW549" s="11"/>
      <c r="AX549" s="7" t="s">
        <v>84</v>
      </c>
      <c r="AY549" s="7"/>
      <c r="AZ549" s="7"/>
      <c r="BA549" s="7"/>
    </row>
    <row r="550" ht="85.5" customHeight="1">
      <c r="A550" s="4" t="s">
        <v>3289</v>
      </c>
      <c r="B550" s="4" t="n">
        <v>2022</v>
      </c>
      <c r="C550" s="4" t="n">
        <v>4313</v>
      </c>
      <c r="D550" s="4" t="s">
        <v>54</v>
      </c>
      <c r="E550" s="4" t="s">
        <v>3169</v>
      </c>
      <c r="F550" s="5" t="s">
        <v>3290</v>
      </c>
      <c r="G550" s="4" t="s">
        <v>57</v>
      </c>
      <c r="H550" s="4" t="s">
        <v>3171</v>
      </c>
      <c r="I550" s="4" t="s">
        <v>3172</v>
      </c>
      <c r="J550" s="4" t="s">
        <v>3291</v>
      </c>
      <c r="K550" s="4" t="s">
        <v>3292</v>
      </c>
      <c r="L550" s="5" t="s">
        <v>62</v>
      </c>
      <c r="M550" s="4" t="s">
        <v>63</v>
      </c>
      <c r="N550" s="5" t="s">
        <v>64</v>
      </c>
      <c r="O550" s="4" t="s">
        <v>65</v>
      </c>
      <c r="P550" s="5" t="s">
        <v>193</v>
      </c>
      <c r="Q550" s="4" t="s">
        <v>194</v>
      </c>
      <c r="R550" s="5" t="s">
        <v>195</v>
      </c>
      <c r="S550" s="4" t="s">
        <v>196</v>
      </c>
      <c r="T550" s="5" t="s">
        <v>429</v>
      </c>
      <c r="U550" s="4" t="s">
        <v>430</v>
      </c>
      <c r="V550" s="5" t="s">
        <v>104</v>
      </c>
      <c r="W550" s="4" t="s">
        <v>105</v>
      </c>
      <c r="X550" s="4" t="s">
        <v>106</v>
      </c>
      <c r="Y550" s="5"/>
      <c r="Z550" s="4" t="s">
        <v>75</v>
      </c>
      <c r="AA550" s="6" t="n">
        <v>44000</v>
      </c>
      <c r="AB550" s="6" t="n">
        <v>44000</v>
      </c>
      <c r="AC550" s="6" t="n">
        <v>0</v>
      </c>
      <c r="AD550" s="6" t="n">
        <v>0</v>
      </c>
      <c r="AE550" s="4" t="s">
        <v>438</v>
      </c>
      <c r="AF550" s="5" t="s">
        <v>439</v>
      </c>
      <c r="AG550" s="4" t="s">
        <v>78</v>
      </c>
      <c r="AH550" s="4" t="s">
        <v>79</v>
      </c>
      <c r="AI550" s="5" t="s">
        <v>80</v>
      </c>
      <c r="AJ550" s="1" t="n">
        <v>1</v>
      </c>
      <c r="AK550" s="11" t="n">
        <v>1</v>
      </c>
      <c r="AL550" s="12" t="s">
        <v>81</v>
      </c>
      <c r="AM550" s="13" t="str">
        <f>IF(AL550="","",AL550&amp;" - "&amp;IFERROR(VLOOKUP(AL550,CODEBOOK_CAP!$C$2:$D$212,2,FALSE),""))</f>
        <v>0322 - ESTRUTURAS, HOSPITAIS, CLÍNICAS</v>
      </c>
      <c r="AN550" s="13" t="str">
        <f>IF(AL550="","",IFERROR(VLOOKUP(AL550,CODEBOOK_CAP!$C$2:$E$212,3,FALSE),""))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550" s="11" t="n">
        <v>1</v>
      </c>
      <c r="AP550" s="11" t="s">
        <v>3293</v>
      </c>
      <c r="AQ550" s="11" t="n">
        <v>1</v>
      </c>
      <c r="AR550" s="11" t="n">
        <v>1</v>
      </c>
      <c r="AS550" s="11" t="s">
        <v>3294</v>
      </c>
      <c r="AT550" s="11" t="n">
        <v>0</v>
      </c>
      <c r="AU550" s="11"/>
      <c r="AV550" s="11"/>
      <c r="AW550" s="11"/>
      <c r="AX550" s="7" t="s">
        <v>84</v>
      </c>
      <c r="AY550" s="7"/>
      <c r="AZ550" s="7"/>
      <c r="BA550" s="7"/>
    </row>
    <row r="551" ht="85.5" customHeight="1">
      <c r="A551" s="4" t="s">
        <v>3295</v>
      </c>
      <c r="B551" s="4" t="n">
        <v>2022</v>
      </c>
      <c r="C551" s="4" t="n">
        <v>4314</v>
      </c>
      <c r="D551" s="4" t="s">
        <v>54</v>
      </c>
      <c r="E551" s="4" t="s">
        <v>3169</v>
      </c>
      <c r="F551" s="5" t="s">
        <v>3296</v>
      </c>
      <c r="G551" s="4" t="s">
        <v>57</v>
      </c>
      <c r="H551" s="4" t="s">
        <v>3171</v>
      </c>
      <c r="I551" s="4" t="s">
        <v>3172</v>
      </c>
      <c r="J551" s="4" t="s">
        <v>3297</v>
      </c>
      <c r="K551" s="4" t="s">
        <v>3298</v>
      </c>
      <c r="L551" s="5" t="s">
        <v>62</v>
      </c>
      <c r="M551" s="4" t="s">
        <v>63</v>
      </c>
      <c r="N551" s="5" t="s">
        <v>64</v>
      </c>
      <c r="O551" s="4" t="s">
        <v>65</v>
      </c>
      <c r="P551" s="5" t="s">
        <v>193</v>
      </c>
      <c r="Q551" s="4" t="s">
        <v>194</v>
      </c>
      <c r="R551" s="5" t="s">
        <v>195</v>
      </c>
      <c r="S551" s="4" t="s">
        <v>196</v>
      </c>
      <c r="T551" s="5" t="s">
        <v>429</v>
      </c>
      <c r="U551" s="4" t="s">
        <v>430</v>
      </c>
      <c r="V551" s="5" t="s">
        <v>104</v>
      </c>
      <c r="W551" s="4" t="s">
        <v>105</v>
      </c>
      <c r="X551" s="4" t="s">
        <v>106</v>
      </c>
      <c r="Y551" s="5"/>
      <c r="Z551" s="4" t="s">
        <v>75</v>
      </c>
      <c r="AA551" s="6" t="n">
        <v>60000</v>
      </c>
      <c r="AB551" s="6" t="n">
        <v>60000</v>
      </c>
      <c r="AC551" s="6" t="n">
        <v>60000</v>
      </c>
      <c r="AD551" s="6" t="n">
        <v>60000</v>
      </c>
      <c r="AE551" s="4" t="s">
        <v>743</v>
      </c>
      <c r="AF551" s="5" t="s">
        <v>744</v>
      </c>
      <c r="AG551" s="4" t="s">
        <v>78</v>
      </c>
      <c r="AH551" s="4" t="s">
        <v>79</v>
      </c>
      <c r="AI551" s="5" t="s">
        <v>80</v>
      </c>
      <c r="AJ551" s="1" t="n">
        <v>1</v>
      </c>
      <c r="AK551" s="11" t="n">
        <v>1</v>
      </c>
      <c r="AL551" s="12" t="s">
        <v>81</v>
      </c>
      <c r="AM551" s="13" t="str">
        <f>IF(AL551="","",AL551&amp;" - "&amp;IFERROR(VLOOKUP(AL551,CODEBOOK_CAP!$C$2:$D$212,2,FALSE),""))</f>
        <v>0322 - ESTRUTURAS, HOSPITAIS, CLÍNICAS</v>
      </c>
      <c r="AN551" s="13" t="str">
        <f>IF(AL551="","",IFERROR(VLOOKUP(AL551,CODEBOOK_CAP!$C$2:$E$212,3,FALSE),""))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551" s="11" t="n">
        <v>1</v>
      </c>
      <c r="AP551" s="11" t="s">
        <v>3299</v>
      </c>
      <c r="AQ551" s="11" t="n">
        <v>1</v>
      </c>
      <c r="AR551" s="11" t="n">
        <v>1</v>
      </c>
      <c r="AS551" s="11" t="s">
        <v>3300</v>
      </c>
      <c r="AT551" s="11" t="n">
        <v>0</v>
      </c>
      <c r="AU551" s="11"/>
      <c r="AV551" s="11"/>
      <c r="AW551" s="11"/>
      <c r="AX551" s="7" t="s">
        <v>84</v>
      </c>
      <c r="AY551" s="7"/>
      <c r="AZ551" s="7"/>
      <c r="BA551" s="7"/>
    </row>
    <row r="552" ht="85.5" customHeight="1">
      <c r="A552" s="4" t="s">
        <v>3301</v>
      </c>
      <c r="B552" s="4" t="n">
        <v>2022</v>
      </c>
      <c r="C552" s="4" t="n">
        <v>4315</v>
      </c>
      <c r="D552" s="4" t="s">
        <v>54</v>
      </c>
      <c r="E552" s="4" t="s">
        <v>3169</v>
      </c>
      <c r="F552" s="5" t="s">
        <v>3302</v>
      </c>
      <c r="G552" s="4" t="s">
        <v>57</v>
      </c>
      <c r="H552" s="4" t="s">
        <v>3171</v>
      </c>
      <c r="I552" s="4" t="s">
        <v>3172</v>
      </c>
      <c r="J552" s="4" t="s">
        <v>3303</v>
      </c>
      <c r="K552" s="4" t="s">
        <v>3298</v>
      </c>
      <c r="L552" s="5" t="s">
        <v>62</v>
      </c>
      <c r="M552" s="4" t="s">
        <v>63</v>
      </c>
      <c r="N552" s="5" t="s">
        <v>64</v>
      </c>
      <c r="O552" s="4" t="s">
        <v>65</v>
      </c>
      <c r="P552" s="5" t="s">
        <v>193</v>
      </c>
      <c r="Q552" s="4" t="s">
        <v>194</v>
      </c>
      <c r="R552" s="5" t="s">
        <v>195</v>
      </c>
      <c r="S552" s="4" t="s">
        <v>196</v>
      </c>
      <c r="T552" s="5" t="s">
        <v>429</v>
      </c>
      <c r="U552" s="4" t="s">
        <v>430</v>
      </c>
      <c r="V552" s="5" t="s">
        <v>104</v>
      </c>
      <c r="W552" s="4" t="s">
        <v>105</v>
      </c>
      <c r="X552" s="4" t="s">
        <v>106</v>
      </c>
      <c r="Y552" s="5"/>
      <c r="Z552" s="4" t="s">
        <v>75</v>
      </c>
      <c r="AA552" s="6" t="n">
        <v>60000</v>
      </c>
      <c r="AB552" s="6" t="n">
        <v>60000</v>
      </c>
      <c r="AC552" s="6" t="n">
        <v>60000</v>
      </c>
      <c r="AD552" s="6" t="n">
        <v>60000</v>
      </c>
      <c r="AE552" s="4" t="s">
        <v>743</v>
      </c>
      <c r="AF552" s="5" t="s">
        <v>966</v>
      </c>
      <c r="AG552" s="4" t="s">
        <v>78</v>
      </c>
      <c r="AH552" s="4" t="s">
        <v>79</v>
      </c>
      <c r="AI552" s="5" t="s">
        <v>80</v>
      </c>
      <c r="AJ552" s="1" t="n">
        <v>1</v>
      </c>
      <c r="AK552" s="11" t="n">
        <v>1</v>
      </c>
      <c r="AL552" s="12" t="s">
        <v>81</v>
      </c>
      <c r="AM552" s="13" t="str">
        <f>IF(AL552="","",AL552&amp;" - "&amp;IFERROR(VLOOKUP(AL552,CODEBOOK_CAP!$C$2:$D$212,2,FALSE),""))</f>
        <v>0322 - ESTRUTURAS, HOSPITAIS, CLÍNICAS</v>
      </c>
      <c r="AN552" s="13" t="str">
        <f>IF(AL552="","",IFERROR(VLOOKUP(AL552,CODEBOOK_CAP!$C$2:$E$212,3,FALSE),""))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552" s="11" t="n">
        <v>1</v>
      </c>
      <c r="AP552" s="11" t="s">
        <v>3304</v>
      </c>
      <c r="AQ552" s="11" t="n">
        <v>1</v>
      </c>
      <c r="AR552" s="11" t="n">
        <v>1</v>
      </c>
      <c r="AS552" s="11" t="s">
        <v>3304</v>
      </c>
      <c r="AT552" s="11" t="n">
        <v>0</v>
      </c>
      <c r="AU552" s="11"/>
      <c r="AV552" s="11"/>
      <c r="AW552" s="11"/>
      <c r="AX552" s="7" t="s">
        <v>84</v>
      </c>
      <c r="AY552" s="7"/>
      <c r="AZ552" s="7"/>
      <c r="BA552" s="7"/>
    </row>
    <row r="553" ht="85.5" customHeight="1">
      <c r="A553" s="4" t="s">
        <v>3305</v>
      </c>
      <c r="B553" s="4" t="n">
        <v>2022</v>
      </c>
      <c r="C553" s="4" t="n">
        <v>4316</v>
      </c>
      <c r="D553" s="4" t="s">
        <v>54</v>
      </c>
      <c r="E553" s="4" t="s">
        <v>3169</v>
      </c>
      <c r="F553" s="5" t="s">
        <v>3306</v>
      </c>
      <c r="G553" s="4" t="s">
        <v>57</v>
      </c>
      <c r="H553" s="4" t="s">
        <v>3171</v>
      </c>
      <c r="I553" s="4" t="s">
        <v>3172</v>
      </c>
      <c r="J553" s="4" t="s">
        <v>3307</v>
      </c>
      <c r="K553" s="4" t="s">
        <v>549</v>
      </c>
      <c r="L553" s="5" t="s">
        <v>62</v>
      </c>
      <c r="M553" s="4" t="s">
        <v>63</v>
      </c>
      <c r="N553" s="5" t="s">
        <v>64</v>
      </c>
      <c r="O553" s="4" t="s">
        <v>65</v>
      </c>
      <c r="P553" s="5" t="s">
        <v>193</v>
      </c>
      <c r="Q553" s="4" t="s">
        <v>194</v>
      </c>
      <c r="R553" s="5" t="s">
        <v>195</v>
      </c>
      <c r="S553" s="4" t="s">
        <v>196</v>
      </c>
      <c r="T553" s="5" t="s">
        <v>429</v>
      </c>
      <c r="U553" s="4" t="s">
        <v>430</v>
      </c>
      <c r="V553" s="5" t="s">
        <v>104</v>
      </c>
      <c r="W553" s="4" t="s">
        <v>105</v>
      </c>
      <c r="X553" s="4" t="s">
        <v>106</v>
      </c>
      <c r="Y553" s="5"/>
      <c r="Z553" s="4" t="s">
        <v>75</v>
      </c>
      <c r="AA553" s="6" t="n">
        <v>60000</v>
      </c>
      <c r="AB553" s="6" t="n">
        <v>60000</v>
      </c>
      <c r="AC553" s="6" t="n">
        <v>60000</v>
      </c>
      <c r="AD553" s="6" t="n">
        <v>60000</v>
      </c>
      <c r="AE553" s="4" t="s">
        <v>750</v>
      </c>
      <c r="AF553" s="5" t="s">
        <v>751</v>
      </c>
      <c r="AG553" s="4" t="s">
        <v>78</v>
      </c>
      <c r="AH553" s="4" t="s">
        <v>79</v>
      </c>
      <c r="AI553" s="5" t="s">
        <v>80</v>
      </c>
      <c r="AJ553" s="1" t="n">
        <v>1</v>
      </c>
      <c r="AK553" s="11" t="n">
        <v>1</v>
      </c>
      <c r="AL553" s="12" t="s">
        <v>81</v>
      </c>
      <c r="AM553" s="13" t="str">
        <f>IF(AL553="","",AL553&amp;" - "&amp;IFERROR(VLOOKUP(AL553,CODEBOOK_CAP!$C$2:$D$212,2,FALSE),""))</f>
        <v>0322 - ESTRUTURAS, HOSPITAIS, CLÍNICAS</v>
      </c>
      <c r="AN553" s="13" t="str">
        <f>IF(AL553="","",IFERROR(VLOOKUP(AL553,CODEBOOK_CAP!$C$2:$E$212,3,FALSE),""))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553" s="11" t="n">
        <v>1</v>
      </c>
      <c r="AP553" s="11" t="s">
        <v>3308</v>
      </c>
      <c r="AQ553" s="11" t="n">
        <v>1</v>
      </c>
      <c r="AR553" s="11" t="n">
        <v>1</v>
      </c>
      <c r="AS553" s="11" t="s">
        <v>3309</v>
      </c>
      <c r="AT553" s="11" t="n">
        <v>0</v>
      </c>
      <c r="AU553" s="11"/>
      <c r="AV553" s="11"/>
      <c r="AW553" s="11"/>
      <c r="AX553" s="7" t="s">
        <v>84</v>
      </c>
      <c r="AY553" s="7"/>
      <c r="AZ553" s="7"/>
      <c r="BA553" s="7"/>
    </row>
    <row r="554" ht="85.5" customHeight="1">
      <c r="A554" s="4" t="s">
        <v>3310</v>
      </c>
      <c r="B554" s="4" t="n">
        <v>2022</v>
      </c>
      <c r="C554" s="4" t="n">
        <v>4317</v>
      </c>
      <c r="D554" s="4" t="s">
        <v>54</v>
      </c>
      <c r="E554" s="4" t="s">
        <v>3169</v>
      </c>
      <c r="F554" s="5" t="s">
        <v>2794</v>
      </c>
      <c r="G554" s="4" t="s">
        <v>57</v>
      </c>
      <c r="H554" s="4" t="s">
        <v>3171</v>
      </c>
      <c r="I554" s="4" t="s">
        <v>3172</v>
      </c>
      <c r="J554" s="4" t="s">
        <v>3311</v>
      </c>
      <c r="K554" s="4" t="s">
        <v>549</v>
      </c>
      <c r="L554" s="5" t="s">
        <v>62</v>
      </c>
      <c r="M554" s="4" t="s">
        <v>63</v>
      </c>
      <c r="N554" s="5" t="s">
        <v>64</v>
      </c>
      <c r="O554" s="4" t="s">
        <v>65</v>
      </c>
      <c r="P554" s="5" t="s">
        <v>193</v>
      </c>
      <c r="Q554" s="4" t="s">
        <v>194</v>
      </c>
      <c r="R554" s="5" t="s">
        <v>195</v>
      </c>
      <c r="S554" s="4" t="s">
        <v>196</v>
      </c>
      <c r="T554" s="5" t="s">
        <v>429</v>
      </c>
      <c r="U554" s="4" t="s">
        <v>430</v>
      </c>
      <c r="V554" s="5" t="s">
        <v>104</v>
      </c>
      <c r="W554" s="4" t="s">
        <v>105</v>
      </c>
      <c r="X554" s="4" t="s">
        <v>106</v>
      </c>
      <c r="Y554" s="5"/>
      <c r="Z554" s="4" t="s">
        <v>75</v>
      </c>
      <c r="AA554" s="6" t="n">
        <v>60000</v>
      </c>
      <c r="AB554" s="6" t="n">
        <v>60000</v>
      </c>
      <c r="AC554" s="6" t="n">
        <v>60000</v>
      </c>
      <c r="AD554" s="6" t="n">
        <v>60000</v>
      </c>
      <c r="AE554" s="4" t="s">
        <v>3312</v>
      </c>
      <c r="AF554" s="5" t="s">
        <v>2598</v>
      </c>
      <c r="AG554" s="4" t="s">
        <v>78</v>
      </c>
      <c r="AH554" s="4" t="s">
        <v>79</v>
      </c>
      <c r="AI554" s="5" t="s">
        <v>80</v>
      </c>
      <c r="AJ554" s="1" t="n">
        <v>1</v>
      </c>
      <c r="AK554" s="11" t="n">
        <v>1</v>
      </c>
      <c r="AL554" s="12" t="s">
        <v>81</v>
      </c>
      <c r="AM554" s="13" t="str">
        <f>IF(AL554="","",AL554&amp;" - "&amp;IFERROR(VLOOKUP(AL554,CODEBOOK_CAP!$C$2:$D$212,2,FALSE),""))</f>
        <v>0322 - ESTRUTURAS, HOSPITAIS, CLÍNICAS</v>
      </c>
      <c r="AN554" s="13" t="str">
        <f>IF(AL554="","",IFERROR(VLOOKUP(AL554,CODEBOOK_CAP!$C$2:$E$212,3,FALSE),""))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554" s="11" t="n">
        <v>1</v>
      </c>
      <c r="AP554" s="11" t="s">
        <v>3313</v>
      </c>
      <c r="AQ554" s="11" t="n">
        <v>1</v>
      </c>
      <c r="AR554" s="11" t="n">
        <v>1</v>
      </c>
      <c r="AS554" s="11" t="s">
        <v>3314</v>
      </c>
      <c r="AT554" s="11" t="n">
        <v>0</v>
      </c>
      <c r="AU554" s="11"/>
      <c r="AV554" s="11"/>
      <c r="AW554" s="11"/>
      <c r="AX554" s="7" t="s">
        <v>84</v>
      </c>
      <c r="AY554" s="7"/>
      <c r="AZ554" s="7"/>
      <c r="BA554" s="7"/>
    </row>
    <row r="555" ht="85.5" customHeight="1">
      <c r="A555" s="4" t="s">
        <v>3315</v>
      </c>
      <c r="B555" s="4" t="n">
        <v>2022</v>
      </c>
      <c r="C555" s="4" t="n">
        <v>4318</v>
      </c>
      <c r="D555" s="4" t="s">
        <v>54</v>
      </c>
      <c r="E555" s="4" t="s">
        <v>3169</v>
      </c>
      <c r="F555" s="5" t="s">
        <v>512</v>
      </c>
      <c r="G555" s="4" t="s">
        <v>57</v>
      </c>
      <c r="H555" s="4" t="s">
        <v>3171</v>
      </c>
      <c r="I555" s="4" t="s">
        <v>3172</v>
      </c>
      <c r="J555" s="4" t="s">
        <v>3316</v>
      </c>
      <c r="K555" s="4" t="s">
        <v>1888</v>
      </c>
      <c r="L555" s="5" t="s">
        <v>62</v>
      </c>
      <c r="M555" s="4" t="s">
        <v>63</v>
      </c>
      <c r="N555" s="5" t="s">
        <v>64</v>
      </c>
      <c r="O555" s="4" t="s">
        <v>65</v>
      </c>
      <c r="P555" s="5" t="s">
        <v>193</v>
      </c>
      <c r="Q555" s="4" t="s">
        <v>194</v>
      </c>
      <c r="R555" s="5" t="s">
        <v>195</v>
      </c>
      <c r="S555" s="4" t="s">
        <v>196</v>
      </c>
      <c r="T555" s="5" t="s">
        <v>429</v>
      </c>
      <c r="U555" s="4" t="s">
        <v>430</v>
      </c>
      <c r="V555" s="5" t="s">
        <v>104</v>
      </c>
      <c r="W555" s="4" t="s">
        <v>105</v>
      </c>
      <c r="X555" s="4" t="s">
        <v>106</v>
      </c>
      <c r="Y555" s="5"/>
      <c r="Z555" s="4" t="s">
        <v>75</v>
      </c>
      <c r="AA555" s="6" t="n">
        <v>60000</v>
      </c>
      <c r="AB555" s="6" t="n">
        <v>60000</v>
      </c>
      <c r="AC555" s="6" t="n">
        <v>60000</v>
      </c>
      <c r="AD555" s="6" t="n">
        <v>60000</v>
      </c>
      <c r="AE555" s="4" t="s">
        <v>464</v>
      </c>
      <c r="AF555" s="5" t="s">
        <v>465</v>
      </c>
      <c r="AG555" s="4" t="s">
        <v>433</v>
      </c>
      <c r="AH555" s="4" t="s">
        <v>433</v>
      </c>
      <c r="AI555" s="5"/>
      <c r="AJ555" s="1" t="n">
        <v>1</v>
      </c>
      <c r="AK555" s="11" t="n">
        <v>1</v>
      </c>
      <c r="AL555" s="12" t="s">
        <v>81</v>
      </c>
      <c r="AM555" s="13" t="str">
        <f>IF(AL555="","",AL555&amp;" - "&amp;IFERROR(VLOOKUP(AL555,CODEBOOK_CAP!$C$2:$D$212,2,FALSE),""))</f>
        <v>0322 - ESTRUTURAS, HOSPITAIS, CLÍNICAS</v>
      </c>
      <c r="AN555" s="13" t="str">
        <f>IF(AL555="","",IFERROR(VLOOKUP(AL555,CODEBOOK_CAP!$C$2:$E$212,3,FALSE),""))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555" s="11" t="n">
        <v>1</v>
      </c>
      <c r="AP555" s="11" t="s">
        <v>3317</v>
      </c>
      <c r="AQ555" s="11" t="n">
        <v>1</v>
      </c>
      <c r="AR555" s="11" t="n">
        <v>1</v>
      </c>
      <c r="AS555" s="11" t="s">
        <v>3318</v>
      </c>
      <c r="AT555" s="11" t="n">
        <v>0</v>
      </c>
      <c r="AU555" s="11"/>
      <c r="AV555" s="11"/>
      <c r="AW555" s="11"/>
      <c r="AX555" s="7" t="s">
        <v>84</v>
      </c>
      <c r="AY555" s="7"/>
      <c r="AZ555" s="7"/>
      <c r="BA555" s="7"/>
    </row>
    <row r="556" ht="85.5" customHeight="1">
      <c r="A556" s="4" t="s">
        <v>3319</v>
      </c>
      <c r="B556" s="4" t="n">
        <v>2022</v>
      </c>
      <c r="C556" s="4" t="n">
        <v>4319</v>
      </c>
      <c r="D556" s="4" t="s">
        <v>54</v>
      </c>
      <c r="E556" s="4" t="s">
        <v>3169</v>
      </c>
      <c r="F556" s="5" t="s">
        <v>3320</v>
      </c>
      <c r="G556" s="4" t="s">
        <v>57</v>
      </c>
      <c r="H556" s="4" t="s">
        <v>3171</v>
      </c>
      <c r="I556" s="4" t="s">
        <v>3172</v>
      </c>
      <c r="J556" s="4" t="s">
        <v>3321</v>
      </c>
      <c r="K556" s="4" t="s">
        <v>3322</v>
      </c>
      <c r="L556" s="5" t="s">
        <v>62</v>
      </c>
      <c r="M556" s="4" t="s">
        <v>63</v>
      </c>
      <c r="N556" s="5" t="s">
        <v>64</v>
      </c>
      <c r="O556" s="4" t="s">
        <v>65</v>
      </c>
      <c r="P556" s="5" t="s">
        <v>193</v>
      </c>
      <c r="Q556" s="4" t="s">
        <v>194</v>
      </c>
      <c r="R556" s="5" t="s">
        <v>195</v>
      </c>
      <c r="S556" s="4" t="s">
        <v>196</v>
      </c>
      <c r="T556" s="5" t="s">
        <v>429</v>
      </c>
      <c r="U556" s="4" t="s">
        <v>430</v>
      </c>
      <c r="V556" s="5" t="s">
        <v>757</v>
      </c>
      <c r="W556" s="4" t="s">
        <v>105</v>
      </c>
      <c r="X556" s="4" t="s">
        <v>106</v>
      </c>
      <c r="Y556" s="5"/>
      <c r="Z556" s="4" t="s">
        <v>75</v>
      </c>
      <c r="AA556" s="6" t="n">
        <v>145220</v>
      </c>
      <c r="AB556" s="6" t="n">
        <v>145220</v>
      </c>
      <c r="AC556" s="6" t="n">
        <v>145220</v>
      </c>
      <c r="AD556" s="6" t="n">
        <v>145220</v>
      </c>
      <c r="AE556" s="4" t="s">
        <v>758</v>
      </c>
      <c r="AF556" s="5" t="s">
        <v>759</v>
      </c>
      <c r="AG556" s="4" t="s">
        <v>78</v>
      </c>
      <c r="AH556" s="4" t="s">
        <v>79</v>
      </c>
      <c r="AI556" s="5" t="s">
        <v>80</v>
      </c>
      <c r="AJ556" s="1" t="n">
        <v>1</v>
      </c>
      <c r="AK556" s="11" t="n">
        <v>1</v>
      </c>
      <c r="AL556" s="12" t="s">
        <v>81</v>
      </c>
      <c r="AM556" s="13" t="str">
        <f>IF(AL556="","",AL556&amp;" - "&amp;IFERROR(VLOOKUP(AL556,CODEBOOK_CAP!$C$2:$D$212,2,FALSE),""))</f>
        <v>0322 - ESTRUTURAS, HOSPITAIS, CLÍNICAS</v>
      </c>
      <c r="AN556" s="13" t="str">
        <f>IF(AL556="","",IFERROR(VLOOKUP(AL556,CODEBOOK_CAP!$C$2:$E$212,3,FALSE),""))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556" s="11" t="n">
        <v>1</v>
      </c>
      <c r="AP556" s="11" t="s">
        <v>3323</v>
      </c>
      <c r="AQ556" s="11" t="n">
        <v>1</v>
      </c>
      <c r="AR556" s="11" t="n">
        <v>1</v>
      </c>
      <c r="AS556" s="11" t="s">
        <v>3324</v>
      </c>
      <c r="AT556" s="11" t="n">
        <v>0</v>
      </c>
      <c r="AU556" s="11"/>
      <c r="AV556" s="11"/>
      <c r="AW556" s="11"/>
      <c r="AX556" s="7" t="s">
        <v>84</v>
      </c>
      <c r="AY556" s="7"/>
      <c r="AZ556" s="7"/>
      <c r="BA556" s="7"/>
    </row>
    <row r="557" ht="85.5" customHeight="1">
      <c r="A557" s="4" t="s">
        <v>3325</v>
      </c>
      <c r="B557" s="4" t="n">
        <v>2022</v>
      </c>
      <c r="C557" s="4" t="n">
        <v>4320</v>
      </c>
      <c r="D557" s="4" t="s">
        <v>54</v>
      </c>
      <c r="E557" s="4" t="s">
        <v>3169</v>
      </c>
      <c r="F557" s="5" t="s">
        <v>3326</v>
      </c>
      <c r="G557" s="4" t="s">
        <v>57</v>
      </c>
      <c r="H557" s="4" t="s">
        <v>3171</v>
      </c>
      <c r="I557" s="4" t="s">
        <v>3172</v>
      </c>
      <c r="J557" s="4" t="s">
        <v>3327</v>
      </c>
      <c r="K557" s="4" t="s">
        <v>3281</v>
      </c>
      <c r="L557" s="5" t="s">
        <v>62</v>
      </c>
      <c r="M557" s="4" t="s">
        <v>63</v>
      </c>
      <c r="N557" s="5" t="s">
        <v>64</v>
      </c>
      <c r="O557" s="4" t="s">
        <v>65</v>
      </c>
      <c r="P557" s="5" t="s">
        <v>66</v>
      </c>
      <c r="Q557" s="4" t="s">
        <v>67</v>
      </c>
      <c r="R557" s="5" t="s">
        <v>68</v>
      </c>
      <c r="S557" s="4" t="s">
        <v>69</v>
      </c>
      <c r="T557" s="5" t="s">
        <v>70</v>
      </c>
      <c r="U557" s="4" t="s">
        <v>71</v>
      </c>
      <c r="V557" s="5" t="s">
        <v>72</v>
      </c>
      <c r="W557" s="4" t="s">
        <v>73</v>
      </c>
      <c r="X557" s="4" t="s">
        <v>74</v>
      </c>
      <c r="Y557" s="5"/>
      <c r="Z557" s="4" t="s">
        <v>75</v>
      </c>
      <c r="AA557" s="6" t="n">
        <v>100000</v>
      </c>
      <c r="AB557" s="6" t="n">
        <v>100000</v>
      </c>
      <c r="AC557" s="6" t="n">
        <v>91385.83</v>
      </c>
      <c r="AD557" s="6" t="n">
        <v>91385.83</v>
      </c>
      <c r="AE557" s="4" t="s">
        <v>76</v>
      </c>
      <c r="AF557" s="5" t="s">
        <v>77</v>
      </c>
      <c r="AG557" s="4" t="s">
        <v>78</v>
      </c>
      <c r="AH557" s="4" t="s">
        <v>79</v>
      </c>
      <c r="AI557" s="5" t="s">
        <v>80</v>
      </c>
      <c r="AJ557" s="1" t="n">
        <v>1</v>
      </c>
      <c r="AK557" s="11" t="n">
        <v>1</v>
      </c>
      <c r="AL557" s="12" t="s">
        <v>81</v>
      </c>
      <c r="AM557" s="13" t="str">
        <f>IF(AL557="","",AL557&amp;" - "&amp;IFERROR(VLOOKUP(AL557,CODEBOOK_CAP!$C$2:$D$212,2,FALSE),""))</f>
        <v>0322 - ESTRUTURAS, HOSPITAIS, CLÍNICAS</v>
      </c>
      <c r="AN557" s="13" t="str">
        <f>IF(AL557="","",IFERROR(VLOOKUP(AL557,CODEBOOK_CAP!$C$2:$E$212,3,FALSE),""))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557" s="11" t="n">
        <v>1</v>
      </c>
      <c r="AP557" s="11" t="s">
        <v>3328</v>
      </c>
      <c r="AQ557" s="11" t="n">
        <v>1</v>
      </c>
      <c r="AR557" s="11" t="n">
        <v>1</v>
      </c>
      <c r="AS557" s="11" t="s">
        <v>3329</v>
      </c>
      <c r="AT557" s="11" t="n">
        <v>0</v>
      </c>
      <c r="AU557" s="11"/>
      <c r="AV557" s="11"/>
      <c r="AW557" s="11"/>
      <c r="AX557" s="7" t="s">
        <v>84</v>
      </c>
      <c r="AY557" s="7"/>
      <c r="AZ557" s="7"/>
      <c r="BA557" s="7"/>
    </row>
    <row r="558" ht="85.5" customHeight="1">
      <c r="A558" s="4" t="s">
        <v>3330</v>
      </c>
      <c r="B558" s="4" t="n">
        <v>2022</v>
      </c>
      <c r="C558" s="4" t="n">
        <v>4186</v>
      </c>
      <c r="D558" s="4" t="s">
        <v>54</v>
      </c>
      <c r="E558" s="4" t="s">
        <v>3331</v>
      </c>
      <c r="F558" s="5" t="s">
        <v>3332</v>
      </c>
      <c r="G558" s="4" t="s">
        <v>289</v>
      </c>
      <c r="H558" s="4" t="s">
        <v>3333</v>
      </c>
      <c r="I558" s="4" t="s">
        <v>3334</v>
      </c>
      <c r="J558" s="4" t="s">
        <v>3335</v>
      </c>
      <c r="K558" s="4" t="s">
        <v>115</v>
      </c>
      <c r="L558" s="5"/>
      <c r="M558" s="4"/>
      <c r="N558" s="5"/>
      <c r="O558" s="4"/>
      <c r="P558" s="5"/>
      <c r="Q558" s="4"/>
      <c r="R558" s="5"/>
      <c r="S558" s="4"/>
      <c r="T558" s="5"/>
      <c r="U558" s="4"/>
      <c r="V558" s="5"/>
      <c r="W558" s="4"/>
      <c r="X558" s="4"/>
      <c r="Y558" s="5"/>
      <c r="Z558" s="4" t="s">
        <v>289</v>
      </c>
      <c r="AA558" s="6" t="n">
        <v>10000</v>
      </c>
      <c r="AB558" s="6"/>
      <c r="AC558" s="6"/>
      <c r="AD558" s="6"/>
      <c r="AE558" s="4" t="s">
        <v>115</v>
      </c>
      <c r="AF558" s="5" t="s">
        <v>115</v>
      </c>
      <c r="AG558" s="4" t="s">
        <v>115</v>
      </c>
      <c r="AH558" s="4" t="s">
        <v>115</v>
      </c>
      <c r="AI558" s="5" t="s">
        <v>115</v>
      </c>
      <c r="AJ558" s="1" t="n">
        <v>1</v>
      </c>
      <c r="AK558" s="11" t="n">
        <v>1</v>
      </c>
      <c r="AL558" s="12" t="s">
        <v>81</v>
      </c>
      <c r="AM558" s="13" t="str">
        <f>IF(AL558="","",AL558&amp;" - "&amp;IFERROR(VLOOKUP(AL558,CODEBOOK_CAP!$C$2:$D$212,2,FALSE),""))</f>
        <v>0322 - ESTRUTURAS, HOSPITAIS, CLÍNICAS</v>
      </c>
      <c r="AN558" s="13" t="str">
        <f>IF(AL558="","",IFERROR(VLOOKUP(AL558,CODEBOOK_CAP!$C$2:$E$212,3,FALSE),""))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558" s="11" t="n">
        <v>1</v>
      </c>
      <c r="AP558" s="11" t="s">
        <v>3336</v>
      </c>
      <c r="AQ558" s="11" t="n">
        <v>1</v>
      </c>
      <c r="AR558" s="11" t="n">
        <v>1</v>
      </c>
      <c r="AS558" s="11" t="s">
        <v>3337</v>
      </c>
      <c r="AT558" s="11" t="n">
        <v>0</v>
      </c>
      <c r="AU558" s="11"/>
      <c r="AV558" s="11"/>
      <c r="AW558" s="11"/>
      <c r="AX558" s="7" t="s">
        <v>84</v>
      </c>
      <c r="AY558" s="7"/>
      <c r="AZ558" s="7"/>
      <c r="BA558" s="7"/>
    </row>
    <row r="559" ht="99.75" customHeight="1">
      <c r="A559" s="4" t="s">
        <v>3338</v>
      </c>
      <c r="B559" s="4" t="n">
        <v>2022</v>
      </c>
      <c r="C559" s="4" t="n">
        <v>4187</v>
      </c>
      <c r="D559" s="4" t="s">
        <v>54</v>
      </c>
      <c r="E559" s="4" t="s">
        <v>3331</v>
      </c>
      <c r="F559" s="5" t="s">
        <v>3339</v>
      </c>
      <c r="G559" s="4" t="s">
        <v>57</v>
      </c>
      <c r="H559" s="4" t="s">
        <v>3333</v>
      </c>
      <c r="I559" s="4" t="s">
        <v>3334</v>
      </c>
      <c r="J559" s="4" t="s">
        <v>3340</v>
      </c>
      <c r="K559" s="4" t="s">
        <v>1038</v>
      </c>
      <c r="L559" s="5" t="s">
        <v>122</v>
      </c>
      <c r="M559" s="4" t="s">
        <v>123</v>
      </c>
      <c r="N559" s="5" t="s">
        <v>124</v>
      </c>
      <c r="O559" s="4" t="s">
        <v>125</v>
      </c>
      <c r="P559" s="5" t="s">
        <v>126</v>
      </c>
      <c r="Q559" s="4" t="s">
        <v>127</v>
      </c>
      <c r="R559" s="5" t="s">
        <v>1039</v>
      </c>
      <c r="S559" s="4" t="s">
        <v>1040</v>
      </c>
      <c r="T559" s="5" t="s">
        <v>1041</v>
      </c>
      <c r="U559" s="4" t="s">
        <v>1042</v>
      </c>
      <c r="V559" s="5" t="s">
        <v>104</v>
      </c>
      <c r="W559" s="4" t="s">
        <v>105</v>
      </c>
      <c r="X559" s="4" t="s">
        <v>106</v>
      </c>
      <c r="Y559" s="5"/>
      <c r="Z559" s="4" t="s">
        <v>132</v>
      </c>
      <c r="AA559" s="6" t="n">
        <v>4000</v>
      </c>
      <c r="AB559" s="6" t="n">
        <v>0</v>
      </c>
      <c r="AC559" s="6" t="n">
        <v>0</v>
      </c>
      <c r="AD559" s="6" t="n">
        <v>0</v>
      </c>
      <c r="AE559" s="4"/>
      <c r="AF559" s="5"/>
      <c r="AG559" s="4" t="s">
        <v>78</v>
      </c>
      <c r="AH559" s="4" t="s">
        <v>79</v>
      </c>
      <c r="AI559" s="5" t="s">
        <v>80</v>
      </c>
      <c r="AJ559" s="1" t="n">
        <v>0</v>
      </c>
      <c r="AK559" s="11" t="n">
        <v>0</v>
      </c>
      <c r="AL559" s="12" t="s">
        <v>1043</v>
      </c>
      <c r="AM559" s="13" t="str">
        <f>IF(AL559="","",AL559&amp;" - "&amp;IFERROR(VLOOKUP(AL559,CODEBOOK_CAP!$C$2:$D$212,2,FALSE),""))</f>
        <v>0802 - ELETRICIDADE E HIDROELÉTRICAS</v>
      </c>
      <c r="AN559" s="13" t="str">
        <f>IF(AL559="","",IFERROR(VLOOKUP(AL559,CODEBOOK_CAP!$C$2:$E$212,3,FALSE),""))</f>
        <v>Planejamento de rede elétrica, postes, rede elétrica de fiação, distribuição de energia elétrica, privatizações e estataizações de companhias elétricas. Hidroelétricas, construção e manutenção de hidroeletricas, capacidade produtiva de hidroeletricas, licenciamento e normas de funcionamento de hidroeletricas, precos, taxas e tarifas de produção e distribuição de eletricidade, acidentes com producao e distribuicao de rede eletrica e hidroeletricas</v>
      </c>
      <c r="AO559" s="11" t="n">
        <v>1</v>
      </c>
      <c r="AP559" s="11" t="s">
        <v>3341</v>
      </c>
      <c r="AQ559" s="11" t="n">
        <v>1</v>
      </c>
      <c r="AR559" s="11" t="n">
        <v>1</v>
      </c>
      <c r="AS559" s="11" t="s">
        <v>3341</v>
      </c>
      <c r="AT559" s="11" t="n">
        <v>0</v>
      </c>
      <c r="AU559" s="11"/>
      <c r="AV559" s="11"/>
      <c r="AW559" s="11"/>
      <c r="AX559" s="7" t="s">
        <v>84</v>
      </c>
      <c r="AY559" s="7"/>
      <c r="AZ559" s="7"/>
      <c r="BA559" s="7"/>
    </row>
    <row r="560" ht="171" customHeight="1">
      <c r="A560" s="4" t="s">
        <v>3342</v>
      </c>
      <c r="B560" s="4" t="n">
        <v>2022</v>
      </c>
      <c r="C560" s="4" t="n">
        <v>4188</v>
      </c>
      <c r="D560" s="4" t="s">
        <v>54</v>
      </c>
      <c r="E560" s="4" t="s">
        <v>3331</v>
      </c>
      <c r="F560" s="5" t="s">
        <v>3343</v>
      </c>
      <c r="G560" s="4" t="s">
        <v>289</v>
      </c>
      <c r="H560" s="4" t="s">
        <v>3333</v>
      </c>
      <c r="I560" s="4" t="s">
        <v>3334</v>
      </c>
      <c r="J560" s="4" t="s">
        <v>3344</v>
      </c>
      <c r="K560" s="4" t="s">
        <v>115</v>
      </c>
      <c r="L560" s="5"/>
      <c r="M560" s="4"/>
      <c r="N560" s="5"/>
      <c r="O560" s="4"/>
      <c r="P560" s="5"/>
      <c r="Q560" s="4"/>
      <c r="R560" s="5"/>
      <c r="S560" s="4"/>
      <c r="T560" s="5"/>
      <c r="U560" s="4"/>
      <c r="V560" s="5"/>
      <c r="W560" s="4"/>
      <c r="X560" s="4"/>
      <c r="Y560" s="5"/>
      <c r="Z560" s="4" t="s">
        <v>289</v>
      </c>
      <c r="AA560" s="6" t="n">
        <v>129000</v>
      </c>
      <c r="AB560" s="6"/>
      <c r="AC560" s="6"/>
      <c r="AD560" s="6"/>
      <c r="AE560" s="4" t="s">
        <v>115</v>
      </c>
      <c r="AF560" s="5" t="s">
        <v>115</v>
      </c>
      <c r="AG560" s="4" t="s">
        <v>115</v>
      </c>
      <c r="AH560" s="4" t="s">
        <v>115</v>
      </c>
      <c r="AI560" s="5" t="s">
        <v>115</v>
      </c>
      <c r="AJ560" s="1" t="n">
        <v>0</v>
      </c>
      <c r="AK560" s="11" t="n">
        <v>0</v>
      </c>
      <c r="AL560" s="12" t="s">
        <v>135</v>
      </c>
      <c r="AM560" s="13" t="str">
        <f>IF(AL560="","",AL560&amp;" - "&amp;IFERROR(VLOOKUP(AL560,CODEBOOK_CAP!$C$2:$D$212,2,FALSE),""))</f>
        <v>1002 - CARROS, TRÂNSITO, CONSTRUÇÃO E MANUTENÇÃO DE RUAS E ESTRADAS</v>
      </c>
      <c r="AN560" s="13" t="str">
        <f>IF(AL560="","",IFERROR(VLOOKUP(AL560,CODEBOOK_CAP!$C$2:$E$212,3,FALSE),""))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560" s="11" t="n">
        <v>1</v>
      </c>
      <c r="AP560" s="11" t="s">
        <v>3345</v>
      </c>
      <c r="AQ560" s="11" t="n">
        <v>1</v>
      </c>
      <c r="AR560" s="11" t="n">
        <v>1</v>
      </c>
      <c r="AS560" s="11" t="s">
        <v>3345</v>
      </c>
      <c r="AT560" s="11" t="n">
        <v>0</v>
      </c>
      <c r="AU560" s="11"/>
      <c r="AV560" s="11"/>
      <c r="AW560" s="11"/>
      <c r="AX560" s="7" t="s">
        <v>84</v>
      </c>
      <c r="AY560" s="7"/>
      <c r="AZ560" s="7"/>
      <c r="BA560" s="7"/>
    </row>
    <row r="561" ht="85.5" customHeight="1">
      <c r="A561" s="4" t="s">
        <v>3346</v>
      </c>
      <c r="B561" s="4" t="n">
        <v>2022</v>
      </c>
      <c r="C561" s="4" t="n">
        <v>4222</v>
      </c>
      <c r="D561" s="4" t="s">
        <v>54</v>
      </c>
      <c r="E561" s="4" t="s">
        <v>3331</v>
      </c>
      <c r="F561" s="5" t="s">
        <v>3347</v>
      </c>
      <c r="G561" s="4" t="s">
        <v>57</v>
      </c>
      <c r="H561" s="4" t="s">
        <v>3333</v>
      </c>
      <c r="I561" s="4" t="s">
        <v>3334</v>
      </c>
      <c r="J561" s="4" t="s">
        <v>3348</v>
      </c>
      <c r="K561" s="4" t="s">
        <v>3349</v>
      </c>
      <c r="L561" s="5" t="s">
        <v>62</v>
      </c>
      <c r="M561" s="4" t="s">
        <v>63</v>
      </c>
      <c r="N561" s="5" t="s">
        <v>64</v>
      </c>
      <c r="O561" s="4" t="s">
        <v>65</v>
      </c>
      <c r="P561" s="5" t="s">
        <v>66</v>
      </c>
      <c r="Q561" s="4" t="s">
        <v>67</v>
      </c>
      <c r="R561" s="5" t="s">
        <v>68</v>
      </c>
      <c r="S561" s="4" t="s">
        <v>69</v>
      </c>
      <c r="T561" s="5" t="s">
        <v>3350</v>
      </c>
      <c r="U561" s="4" t="s">
        <v>69</v>
      </c>
      <c r="V561" s="5" t="s">
        <v>104</v>
      </c>
      <c r="W561" s="4" t="s">
        <v>105</v>
      </c>
      <c r="X561" s="4" t="s">
        <v>106</v>
      </c>
      <c r="Y561" s="5"/>
      <c r="Z561" s="4" t="s">
        <v>75</v>
      </c>
      <c r="AA561" s="6" t="n">
        <v>19000</v>
      </c>
      <c r="AB561" s="6" t="n">
        <v>19000</v>
      </c>
      <c r="AC561" s="6" t="n">
        <v>0</v>
      </c>
      <c r="AD561" s="6" t="n">
        <v>19000</v>
      </c>
      <c r="AE561" s="4" t="s">
        <v>3351</v>
      </c>
      <c r="AF561" s="5" t="s">
        <v>3352</v>
      </c>
      <c r="AG561" s="4" t="s">
        <v>78</v>
      </c>
      <c r="AH561" s="4" t="s">
        <v>79</v>
      </c>
      <c r="AI561" s="5" t="s">
        <v>80</v>
      </c>
      <c r="AJ561" s="1" t="n">
        <v>1</v>
      </c>
      <c r="AK561" s="11" t="n">
        <v>1</v>
      </c>
      <c r="AL561" s="12" t="s">
        <v>81</v>
      </c>
      <c r="AM561" s="13" t="str">
        <f>IF(AL561="","",AL561&amp;" - "&amp;IFERROR(VLOOKUP(AL561,CODEBOOK_CAP!$C$2:$D$212,2,FALSE),""))</f>
        <v>0322 - ESTRUTURAS, HOSPITAIS, CLÍNICAS</v>
      </c>
      <c r="AN561" s="13" t="str">
        <f>IF(AL561="","",IFERROR(VLOOKUP(AL561,CODEBOOK_CAP!$C$2:$E$212,3,FALSE),""))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561" s="11" t="n">
        <v>1</v>
      </c>
      <c r="AP561" s="11" t="s">
        <v>3353</v>
      </c>
      <c r="AQ561" s="11" t="n">
        <v>1</v>
      </c>
      <c r="AR561" s="11" t="n">
        <v>1</v>
      </c>
      <c r="AS561" s="11" t="s">
        <v>3354</v>
      </c>
      <c r="AT561" s="11" t="n">
        <v>0</v>
      </c>
      <c r="AU561" s="11"/>
      <c r="AV561" s="11"/>
      <c r="AW561" s="11"/>
      <c r="AX561" s="7" t="s">
        <v>84</v>
      </c>
      <c r="AY561" s="7"/>
      <c r="AZ561" s="7"/>
      <c r="BA561" s="7"/>
    </row>
    <row r="562" ht="85.5" customHeight="1">
      <c r="A562" s="4" t="s">
        <v>3355</v>
      </c>
      <c r="B562" s="4" t="n">
        <v>2022</v>
      </c>
      <c r="C562" s="4" t="n">
        <v>4223</v>
      </c>
      <c r="D562" s="4" t="s">
        <v>54</v>
      </c>
      <c r="E562" s="4" t="s">
        <v>3331</v>
      </c>
      <c r="F562" s="5" t="s">
        <v>3356</v>
      </c>
      <c r="G562" s="4" t="s">
        <v>57</v>
      </c>
      <c r="H562" s="4" t="s">
        <v>3333</v>
      </c>
      <c r="I562" s="4" t="s">
        <v>3334</v>
      </c>
      <c r="J562" s="4" t="s">
        <v>3357</v>
      </c>
      <c r="K562" s="4" t="s">
        <v>3349</v>
      </c>
      <c r="L562" s="5" t="s">
        <v>62</v>
      </c>
      <c r="M562" s="4" t="s">
        <v>63</v>
      </c>
      <c r="N562" s="5" t="s">
        <v>64</v>
      </c>
      <c r="O562" s="4" t="s">
        <v>65</v>
      </c>
      <c r="P562" s="5" t="s">
        <v>66</v>
      </c>
      <c r="Q562" s="4" t="s">
        <v>67</v>
      </c>
      <c r="R562" s="5" t="s">
        <v>68</v>
      </c>
      <c r="S562" s="4" t="s">
        <v>69</v>
      </c>
      <c r="T562" s="5" t="s">
        <v>3350</v>
      </c>
      <c r="U562" s="4" t="s">
        <v>69</v>
      </c>
      <c r="V562" s="5" t="s">
        <v>104</v>
      </c>
      <c r="W562" s="4" t="s">
        <v>105</v>
      </c>
      <c r="X562" s="4" t="s">
        <v>106</v>
      </c>
      <c r="Y562" s="5"/>
      <c r="Z562" s="4" t="s">
        <v>75</v>
      </c>
      <c r="AA562" s="6" t="n">
        <v>85000</v>
      </c>
      <c r="AB562" s="6" t="n">
        <v>19954</v>
      </c>
      <c r="AC562" s="6" t="n">
        <v>17258.939999999999</v>
      </c>
      <c r="AD562" s="6" t="n">
        <v>17258.939999999999</v>
      </c>
      <c r="AE562" s="4" t="s">
        <v>3358</v>
      </c>
      <c r="AF562" s="5" t="s">
        <v>3359</v>
      </c>
      <c r="AG562" s="4" t="s">
        <v>78</v>
      </c>
      <c r="AH562" s="4" t="s">
        <v>79</v>
      </c>
      <c r="AI562" s="5" t="s">
        <v>80</v>
      </c>
      <c r="AJ562" s="1" t="n">
        <v>1</v>
      </c>
      <c r="AK562" s="11" t="n">
        <v>1</v>
      </c>
      <c r="AL562" s="12" t="s">
        <v>81</v>
      </c>
      <c r="AM562" s="13" t="str">
        <f>IF(AL562="","",AL562&amp;" - "&amp;IFERROR(VLOOKUP(AL562,CODEBOOK_CAP!$C$2:$D$212,2,FALSE),""))</f>
        <v>0322 - ESTRUTURAS, HOSPITAIS, CLÍNICAS</v>
      </c>
      <c r="AN562" s="13" t="str">
        <f>IF(AL562="","",IFERROR(VLOOKUP(AL562,CODEBOOK_CAP!$C$2:$E$212,3,FALSE),""))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562" s="11" t="n">
        <v>1</v>
      </c>
      <c r="AP562" s="11" t="s">
        <v>3360</v>
      </c>
      <c r="AQ562" s="11" t="n">
        <v>1</v>
      </c>
      <c r="AR562" s="11" t="n">
        <v>1</v>
      </c>
      <c r="AS562" s="11" t="s">
        <v>3361</v>
      </c>
      <c r="AT562" s="11" t="n">
        <v>0</v>
      </c>
      <c r="AU562" s="11"/>
      <c r="AV562" s="11"/>
      <c r="AW562" s="11"/>
      <c r="AX562" s="7" t="s">
        <v>84</v>
      </c>
      <c r="AY562" s="7"/>
      <c r="AZ562" s="7"/>
      <c r="BA562" s="7"/>
    </row>
    <row r="563" ht="85.5" customHeight="1">
      <c r="A563" s="4" t="s">
        <v>3362</v>
      </c>
      <c r="B563" s="4" t="n">
        <v>2022</v>
      </c>
      <c r="C563" s="4" t="n">
        <v>4224</v>
      </c>
      <c r="D563" s="4" t="s">
        <v>54</v>
      </c>
      <c r="E563" s="4" t="s">
        <v>3331</v>
      </c>
      <c r="F563" s="5" t="s">
        <v>3363</v>
      </c>
      <c r="G563" s="4" t="s">
        <v>289</v>
      </c>
      <c r="H563" s="4" t="s">
        <v>3333</v>
      </c>
      <c r="I563" s="4" t="s">
        <v>3334</v>
      </c>
      <c r="J563" s="4" t="s">
        <v>3364</v>
      </c>
      <c r="K563" s="4" t="s">
        <v>3365</v>
      </c>
      <c r="L563" s="5" t="s">
        <v>595</v>
      </c>
      <c r="M563" s="4" t="s">
        <v>596</v>
      </c>
      <c r="N563" s="5" t="s">
        <v>597</v>
      </c>
      <c r="O563" s="4" t="s">
        <v>598</v>
      </c>
      <c r="P563" s="5" t="s">
        <v>599</v>
      </c>
      <c r="Q563" s="4" t="s">
        <v>600</v>
      </c>
      <c r="R563" s="5" t="s">
        <v>601</v>
      </c>
      <c r="S563" s="4" t="s">
        <v>602</v>
      </c>
      <c r="T563" s="5" t="s">
        <v>603</v>
      </c>
      <c r="U563" s="4" t="s">
        <v>604</v>
      </c>
      <c r="V563" s="5" t="s">
        <v>605</v>
      </c>
      <c r="W563" s="4" t="s">
        <v>73</v>
      </c>
      <c r="X563" s="4" t="s">
        <v>74</v>
      </c>
      <c r="Y563" s="5"/>
      <c r="Z563" s="4" t="s">
        <v>606</v>
      </c>
      <c r="AA563" s="6" t="n">
        <v>15000</v>
      </c>
      <c r="AB563" s="6" t="n">
        <v>15000</v>
      </c>
      <c r="AC563" s="6" t="n">
        <v>15000</v>
      </c>
      <c r="AD563" s="6" t="n">
        <v>0</v>
      </c>
      <c r="AE563" s="4" t="s">
        <v>3366</v>
      </c>
      <c r="AF563" s="5" t="s">
        <v>3367</v>
      </c>
      <c r="AG563" s="4" t="s">
        <v>78</v>
      </c>
      <c r="AH563" s="4" t="s">
        <v>79</v>
      </c>
      <c r="AI563" s="5" t="s">
        <v>80</v>
      </c>
      <c r="AJ563" s="1" t="n">
        <v>0</v>
      </c>
      <c r="AK563" s="11" t="n">
        <v>0</v>
      </c>
      <c r="AL563" s="12" t="s">
        <v>609</v>
      </c>
      <c r="AM563" s="13" t="str">
        <f>IF(AL563="","",AL563&amp;" - "&amp;IFERROR(VLOOKUP(AL563,CODEBOOK_CAP!$C$2:$D$212,2,FALSE),""))</f>
        <v>0607 - PROMOCAO DA QUALIDADE, ESTRUTURA E AÇÕES</v>
      </c>
      <c r="AN563" s="13" t="str">
        <f>IF(AL563="","",IFERROR(VLOOKUP(AL563,CODEBOOK_CAP!$C$2:$E$212,3,FALSE),""))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563" s="11" t="n">
        <v>1</v>
      </c>
      <c r="AP563" s="11" t="s">
        <v>3368</v>
      </c>
      <c r="AQ563" s="11" t="n">
        <v>1</v>
      </c>
      <c r="AR563" s="11" t="n">
        <v>1</v>
      </c>
      <c r="AS563" s="11" t="s">
        <v>3369</v>
      </c>
      <c r="AT563" s="11" t="n">
        <v>1</v>
      </c>
      <c r="AU563" s="11" t="s">
        <v>503</v>
      </c>
      <c r="AV563" s="11"/>
      <c r="AW563" s="11"/>
      <c r="AX563" s="7" t="s">
        <v>84</v>
      </c>
      <c r="AY563" s="7"/>
      <c r="AZ563" s="7"/>
      <c r="BA563" s="7"/>
    </row>
    <row r="564" ht="71.25" customHeight="1">
      <c r="A564" s="4" t="s">
        <v>3370</v>
      </c>
      <c r="B564" s="4" t="n">
        <v>2022</v>
      </c>
      <c r="C564" s="4" t="n">
        <v>4225</v>
      </c>
      <c r="D564" s="4" t="s">
        <v>54</v>
      </c>
      <c r="E564" s="4" t="s">
        <v>3331</v>
      </c>
      <c r="F564" s="5" t="s">
        <v>3371</v>
      </c>
      <c r="G564" s="4" t="s">
        <v>57</v>
      </c>
      <c r="H564" s="4" t="s">
        <v>3333</v>
      </c>
      <c r="I564" s="4" t="s">
        <v>3334</v>
      </c>
      <c r="J564" s="4" t="s">
        <v>3372</v>
      </c>
      <c r="K564" s="4" t="s">
        <v>2329</v>
      </c>
      <c r="L564" s="5" t="s">
        <v>122</v>
      </c>
      <c r="M564" s="4" t="s">
        <v>123</v>
      </c>
      <c r="N564" s="5" t="s">
        <v>227</v>
      </c>
      <c r="O564" s="4" t="s">
        <v>228</v>
      </c>
      <c r="P564" s="5" t="s">
        <v>229</v>
      </c>
      <c r="Q564" s="4" t="s">
        <v>230</v>
      </c>
      <c r="R564" s="5" t="s">
        <v>322</v>
      </c>
      <c r="S564" s="4" t="s">
        <v>323</v>
      </c>
      <c r="T564" s="5" t="s">
        <v>416</v>
      </c>
      <c r="U564" s="4" t="s">
        <v>417</v>
      </c>
      <c r="V564" s="5" t="s">
        <v>72</v>
      </c>
      <c r="W564" s="4" t="s">
        <v>73</v>
      </c>
      <c r="X564" s="4" t="s">
        <v>74</v>
      </c>
      <c r="Y564" s="5"/>
      <c r="Z564" s="4" t="s">
        <v>132</v>
      </c>
      <c r="AA564" s="6" t="n">
        <v>30000</v>
      </c>
      <c r="AB564" s="6" t="n">
        <v>30000</v>
      </c>
      <c r="AC564" s="6" t="n">
        <v>30000</v>
      </c>
      <c r="AD564" s="6" t="n">
        <v>30000</v>
      </c>
      <c r="AE564" s="4" t="s">
        <v>3373</v>
      </c>
      <c r="AF564" s="5" t="s">
        <v>3374</v>
      </c>
      <c r="AG564" s="4" t="s">
        <v>78</v>
      </c>
      <c r="AH564" s="4" t="s">
        <v>79</v>
      </c>
      <c r="AI564" s="5" t="s">
        <v>80</v>
      </c>
      <c r="AJ564" s="1" t="n">
        <v>0</v>
      </c>
      <c r="AK564" s="11" t="n">
        <v>0</v>
      </c>
      <c r="AL564" s="12" t="s">
        <v>188</v>
      </c>
      <c r="AM564" s="13" t="str">
        <f>IF(AL564="","",AL564&amp;" - "&amp;IFERROR(VLOOKUP(AL564,CODEBOOK_CAP!$C$2:$D$212,2,FALSE),""))</f>
        <v>2300 - GERAL</v>
      </c>
      <c r="AN564" s="13" t="str">
        <f>IF(AL564="","",IFERROR(VLOOKUP(AL564,CODEBOOK_CAP!$C$2:$E$212,3,FALSE),""))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564" s="11" t="n">
        <v>1</v>
      </c>
      <c r="AP564" s="11" t="s">
        <v>3375</v>
      </c>
      <c r="AQ564" s="11" t="n">
        <v>1</v>
      </c>
      <c r="AR564" s="11" t="n">
        <v>1</v>
      </c>
      <c r="AS564" s="11" t="s">
        <v>3376</v>
      </c>
      <c r="AT564" s="11" t="n">
        <v>0</v>
      </c>
      <c r="AU564" s="11"/>
      <c r="AV564" s="11"/>
      <c r="AW564" s="11"/>
      <c r="AX564" s="7" t="s">
        <v>84</v>
      </c>
      <c r="AY564" s="7"/>
      <c r="AZ564" s="7"/>
      <c r="BA564" s="7"/>
      <c r="BB564" s="3" t="s">
        <v>6564</v>
      </c>
    </row>
    <row r="565" ht="71.25" customHeight="1">
      <c r="A565" s="4" t="s">
        <v>3377</v>
      </c>
      <c r="B565" s="4" t="n">
        <v>2022</v>
      </c>
      <c r="C565" s="4" t="n">
        <v>4226</v>
      </c>
      <c r="D565" s="4" t="s">
        <v>54</v>
      </c>
      <c r="E565" s="4" t="s">
        <v>3331</v>
      </c>
      <c r="F565" s="5" t="s">
        <v>3378</v>
      </c>
      <c r="G565" s="4" t="s">
        <v>57</v>
      </c>
      <c r="H565" s="4" t="s">
        <v>3333</v>
      </c>
      <c r="I565" s="4" t="s">
        <v>3334</v>
      </c>
      <c r="J565" s="4" t="s">
        <v>3379</v>
      </c>
      <c r="K565" s="4" t="s">
        <v>415</v>
      </c>
      <c r="L565" s="5" t="s">
        <v>122</v>
      </c>
      <c r="M565" s="4" t="s">
        <v>123</v>
      </c>
      <c r="N565" s="5" t="s">
        <v>227</v>
      </c>
      <c r="O565" s="4" t="s">
        <v>228</v>
      </c>
      <c r="P565" s="5" t="s">
        <v>229</v>
      </c>
      <c r="Q565" s="4" t="s">
        <v>230</v>
      </c>
      <c r="R565" s="5" t="s">
        <v>322</v>
      </c>
      <c r="S565" s="4" t="s">
        <v>323</v>
      </c>
      <c r="T565" s="5" t="s">
        <v>416</v>
      </c>
      <c r="U565" s="4" t="s">
        <v>417</v>
      </c>
      <c r="V565" s="5" t="s">
        <v>72</v>
      </c>
      <c r="W565" s="4" t="s">
        <v>73</v>
      </c>
      <c r="X565" s="4" t="s">
        <v>74</v>
      </c>
      <c r="Y565" s="5"/>
      <c r="Z565" s="4" t="s">
        <v>132</v>
      </c>
      <c r="AA565" s="6" t="n">
        <v>90000</v>
      </c>
      <c r="AB565" s="6" t="n">
        <v>90000</v>
      </c>
      <c r="AC565" s="6" t="n">
        <v>0</v>
      </c>
      <c r="AD565" s="6" t="n">
        <v>0</v>
      </c>
      <c r="AE565" s="4" t="s">
        <v>3373</v>
      </c>
      <c r="AF565" s="5" t="s">
        <v>3373</v>
      </c>
      <c r="AG565" s="4" t="s">
        <v>78</v>
      </c>
      <c r="AH565" s="4" t="s">
        <v>79</v>
      </c>
      <c r="AI565" s="5" t="s">
        <v>80</v>
      </c>
      <c r="AJ565" s="1" t="n">
        <v>0</v>
      </c>
      <c r="AK565" s="11" t="n">
        <v>0</v>
      </c>
      <c r="AL565" s="12" t="s">
        <v>188</v>
      </c>
      <c r="AM565" s="13" t="str">
        <f>IF(AL565="","",AL565&amp;" - "&amp;IFERROR(VLOOKUP(AL565,CODEBOOK_CAP!$C$2:$D$212,2,FALSE),""))</f>
        <v>2300 - GERAL</v>
      </c>
      <c r="AN565" s="13" t="str">
        <f>IF(AL565="","",IFERROR(VLOOKUP(AL565,CODEBOOK_CAP!$C$2:$E$212,3,FALSE),""))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565" s="11" t="n">
        <v>1</v>
      </c>
      <c r="AP565" s="11" t="s">
        <v>3375</v>
      </c>
      <c r="AQ565" s="11" t="n">
        <v>1</v>
      </c>
      <c r="AR565" s="11" t="n">
        <v>1</v>
      </c>
      <c r="AS565" s="11" t="s">
        <v>3376</v>
      </c>
      <c r="AT565" s="11" t="n">
        <v>0</v>
      </c>
      <c r="AU565" s="11"/>
      <c r="AV565" s="11"/>
      <c r="AW565" s="11"/>
      <c r="AX565" s="7" t="s">
        <v>84</v>
      </c>
      <c r="AY565" s="7"/>
      <c r="AZ565" s="7"/>
      <c r="BA565" s="7"/>
      <c r="BB565" s="3" t="s">
        <v>6564</v>
      </c>
    </row>
    <row r="566" ht="57" customHeight="1">
      <c r="A566" s="4" t="s">
        <v>3380</v>
      </c>
      <c r="B566" s="4" t="n">
        <v>2022</v>
      </c>
      <c r="C566" s="4" t="n">
        <v>4227</v>
      </c>
      <c r="D566" s="4" t="s">
        <v>54</v>
      </c>
      <c r="E566" s="4" t="s">
        <v>3331</v>
      </c>
      <c r="F566" s="5" t="s">
        <v>3381</v>
      </c>
      <c r="G566" s="4" t="s">
        <v>57</v>
      </c>
      <c r="H566" s="4" t="s">
        <v>3333</v>
      </c>
      <c r="I566" s="4" t="s">
        <v>3334</v>
      </c>
      <c r="J566" s="4" t="s">
        <v>3382</v>
      </c>
      <c r="K566" s="4" t="s">
        <v>2329</v>
      </c>
      <c r="L566" s="5" t="s">
        <v>122</v>
      </c>
      <c r="M566" s="4" t="s">
        <v>123</v>
      </c>
      <c r="N566" s="5" t="s">
        <v>227</v>
      </c>
      <c r="O566" s="4" t="s">
        <v>228</v>
      </c>
      <c r="P566" s="5" t="s">
        <v>229</v>
      </c>
      <c r="Q566" s="4" t="s">
        <v>230</v>
      </c>
      <c r="R566" s="5" t="s">
        <v>322</v>
      </c>
      <c r="S566" s="4" t="s">
        <v>323</v>
      </c>
      <c r="T566" s="5" t="s">
        <v>416</v>
      </c>
      <c r="U566" s="4" t="s">
        <v>417</v>
      </c>
      <c r="V566" s="5" t="s">
        <v>72</v>
      </c>
      <c r="W566" s="4" t="s">
        <v>73</v>
      </c>
      <c r="X566" s="4" t="s">
        <v>74</v>
      </c>
      <c r="Y566" s="5"/>
      <c r="Z566" s="4" t="s">
        <v>132</v>
      </c>
      <c r="AA566" s="6" t="n">
        <v>160000</v>
      </c>
      <c r="AB566" s="6" t="n">
        <v>157745</v>
      </c>
      <c r="AC566" s="6" t="n">
        <v>157745</v>
      </c>
      <c r="AD566" s="6" t="n">
        <v>157745</v>
      </c>
      <c r="AE566" s="4" t="s">
        <v>3383</v>
      </c>
      <c r="AF566" s="5" t="s">
        <v>3384</v>
      </c>
      <c r="AG566" s="4" t="s">
        <v>78</v>
      </c>
      <c r="AH566" s="4" t="s">
        <v>79</v>
      </c>
      <c r="AI566" s="5" t="s">
        <v>80</v>
      </c>
      <c r="AJ566" s="1" t="n">
        <v>0</v>
      </c>
      <c r="AK566" s="11" t="n">
        <v>0</v>
      </c>
      <c r="AL566" s="12" t="s">
        <v>328</v>
      </c>
      <c r="AM566" s="13" t="str">
        <f>IF(AL566="","",AL566&amp;" - "&amp;IFERROR(VLOOKUP(AL566,CODEBOOK_CAP!$C$2:$D$212,2,FALSE),""))</f>
        <v>1403 - REABILITAÇÃO URBANA, ECONOMIA URBANA</v>
      </c>
      <c r="AN566" s="13" t="str">
        <f>IF(AL566="","",IFERROR(VLOOKUP(AL566,CODEBOOK_CAP!$C$2:$E$212,3,FALSE),""))</f>
        <v>Reabilitação de áreas urbanas, revitalização urbana, modernização de áreas, mercados públicos, revitalização de praças, política urbana nacional, desenvolvimento urbano , desenvolvimento econômico de estados e cidades, modernização de espaços urbanos</v>
      </c>
      <c r="AO566" s="11" t="n">
        <v>1</v>
      </c>
      <c r="AP566" s="11" t="s">
        <v>3385</v>
      </c>
      <c r="AQ566" s="11" t="n">
        <v>1</v>
      </c>
      <c r="AR566" s="11" t="n">
        <v>1</v>
      </c>
      <c r="AS566" s="11" t="s">
        <v>3385</v>
      </c>
      <c r="AT566" s="11" t="n">
        <v>0</v>
      </c>
      <c r="AU566" s="11"/>
      <c r="AV566" s="11"/>
      <c r="AW566" s="11"/>
      <c r="AX566" s="7" t="s">
        <v>84</v>
      </c>
      <c r="AY566" s="7"/>
      <c r="AZ566" s="7"/>
      <c r="BA566" s="7"/>
    </row>
    <row r="567" ht="85.5" customHeight="1">
      <c r="A567" s="4" t="s">
        <v>3386</v>
      </c>
      <c r="B567" s="4" t="n">
        <v>2022</v>
      </c>
      <c r="C567" s="4" t="n">
        <v>4228</v>
      </c>
      <c r="D567" s="4" t="s">
        <v>54</v>
      </c>
      <c r="E567" s="4" t="s">
        <v>3331</v>
      </c>
      <c r="F567" s="5" t="s">
        <v>3387</v>
      </c>
      <c r="G567" s="4" t="s">
        <v>57</v>
      </c>
      <c r="H567" s="4" t="s">
        <v>3333</v>
      </c>
      <c r="I567" s="4" t="s">
        <v>3334</v>
      </c>
      <c r="J567" s="4" t="s">
        <v>3388</v>
      </c>
      <c r="K567" s="4" t="s">
        <v>3389</v>
      </c>
      <c r="L567" s="5" t="s">
        <v>595</v>
      </c>
      <c r="M567" s="4" t="s">
        <v>596</v>
      </c>
      <c r="N567" s="5" t="s">
        <v>597</v>
      </c>
      <c r="O567" s="4" t="s">
        <v>598</v>
      </c>
      <c r="P567" s="5" t="s">
        <v>599</v>
      </c>
      <c r="Q567" s="4" t="s">
        <v>600</v>
      </c>
      <c r="R567" s="5" t="s">
        <v>601</v>
      </c>
      <c r="S567" s="4" t="s">
        <v>602</v>
      </c>
      <c r="T567" s="5" t="s">
        <v>603</v>
      </c>
      <c r="U567" s="4" t="s">
        <v>604</v>
      </c>
      <c r="V567" s="5" t="s">
        <v>104</v>
      </c>
      <c r="W567" s="4" t="s">
        <v>105</v>
      </c>
      <c r="X567" s="4" t="s">
        <v>106</v>
      </c>
      <c r="Y567" s="5"/>
      <c r="Z567" s="4" t="s">
        <v>606</v>
      </c>
      <c r="AA567" s="6" t="n">
        <v>42000</v>
      </c>
      <c r="AB567" s="6" t="n">
        <v>42000</v>
      </c>
      <c r="AC567" s="6" t="n">
        <v>42000</v>
      </c>
      <c r="AD567" s="6" t="n">
        <v>42000</v>
      </c>
      <c r="AE567" s="4" t="s">
        <v>3390</v>
      </c>
      <c r="AF567" s="5" t="s">
        <v>3391</v>
      </c>
      <c r="AG567" s="4" t="s">
        <v>78</v>
      </c>
      <c r="AH567" s="4" t="s">
        <v>79</v>
      </c>
      <c r="AI567" s="5" t="s">
        <v>80</v>
      </c>
      <c r="AJ567" s="1" t="n">
        <v>0</v>
      </c>
      <c r="AK567" s="11" t="n">
        <v>0</v>
      </c>
      <c r="AL567" s="12" t="s">
        <v>609</v>
      </c>
      <c r="AM567" s="13" t="str">
        <f>IF(AL567="","",AL567&amp;" - "&amp;IFERROR(VLOOKUP(AL567,CODEBOOK_CAP!$C$2:$D$212,2,FALSE),""))</f>
        <v>0607 - PROMOCAO DA QUALIDADE, ESTRUTURA E AÇÕES</v>
      </c>
      <c r="AN567" s="13" t="str">
        <f>IF(AL567="","",IFERROR(VLOOKUP(AL567,CODEBOOK_CAP!$C$2:$E$212,3,FALSE),""))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567" s="11" t="n">
        <v>1</v>
      </c>
      <c r="AP567" s="11" t="s">
        <v>3392</v>
      </c>
      <c r="AQ567" s="11" t="n">
        <v>1</v>
      </c>
      <c r="AR567" s="11" t="n">
        <v>1</v>
      </c>
      <c r="AS567" s="11" t="s">
        <v>3393</v>
      </c>
      <c r="AT567" s="11" t="n">
        <v>1</v>
      </c>
      <c r="AU567" s="11" t="s">
        <v>286</v>
      </c>
      <c r="AV567" s="11"/>
      <c r="AW567" s="11"/>
      <c r="AX567" s="7" t="s">
        <v>84</v>
      </c>
      <c r="AY567" s="7"/>
      <c r="AZ567" s="7"/>
      <c r="BA567" s="7"/>
    </row>
    <row r="568" ht="85.5" customHeight="1">
      <c r="A568" s="4" t="s">
        <v>3394</v>
      </c>
      <c r="B568" s="4" t="n">
        <v>2022</v>
      </c>
      <c r="C568" s="4" t="n">
        <v>4229</v>
      </c>
      <c r="D568" s="4" t="s">
        <v>54</v>
      </c>
      <c r="E568" s="4" t="s">
        <v>3331</v>
      </c>
      <c r="F568" s="5" t="s">
        <v>3395</v>
      </c>
      <c r="G568" s="4" t="s">
        <v>57</v>
      </c>
      <c r="H568" s="4" t="s">
        <v>3333</v>
      </c>
      <c r="I568" s="4" t="s">
        <v>3334</v>
      </c>
      <c r="J568" s="4" t="s">
        <v>3396</v>
      </c>
      <c r="K568" s="4" t="s">
        <v>3281</v>
      </c>
      <c r="L568" s="5" t="s">
        <v>62</v>
      </c>
      <c r="M568" s="4" t="s">
        <v>63</v>
      </c>
      <c r="N568" s="5" t="s">
        <v>64</v>
      </c>
      <c r="O568" s="4" t="s">
        <v>65</v>
      </c>
      <c r="P568" s="5" t="s">
        <v>66</v>
      </c>
      <c r="Q568" s="4" t="s">
        <v>67</v>
      </c>
      <c r="R568" s="5" t="s">
        <v>68</v>
      </c>
      <c r="S568" s="4" t="s">
        <v>69</v>
      </c>
      <c r="T568" s="5" t="s">
        <v>70</v>
      </c>
      <c r="U568" s="4" t="s">
        <v>71</v>
      </c>
      <c r="V568" s="5" t="s">
        <v>72</v>
      </c>
      <c r="W568" s="4" t="s">
        <v>73</v>
      </c>
      <c r="X568" s="4" t="s">
        <v>74</v>
      </c>
      <c r="Y568" s="5"/>
      <c r="Z568" s="4" t="s">
        <v>75</v>
      </c>
      <c r="AA568" s="6" t="n">
        <v>15000</v>
      </c>
      <c r="AB568" s="6" t="n">
        <v>15000</v>
      </c>
      <c r="AC568" s="6" t="n">
        <v>15000</v>
      </c>
      <c r="AD568" s="6" t="n">
        <v>15000</v>
      </c>
      <c r="AE568" s="4" t="s">
        <v>76</v>
      </c>
      <c r="AF568" s="5" t="s">
        <v>77</v>
      </c>
      <c r="AG568" s="4" t="s">
        <v>78</v>
      </c>
      <c r="AH568" s="4" t="s">
        <v>79</v>
      </c>
      <c r="AI568" s="5" t="s">
        <v>80</v>
      </c>
      <c r="AJ568" s="1" t="n">
        <v>1</v>
      </c>
      <c r="AK568" s="11" t="n">
        <v>1</v>
      </c>
      <c r="AL568" s="12" t="s">
        <v>81</v>
      </c>
      <c r="AM568" s="13" t="str">
        <f>IF(AL568="","",AL568&amp;" - "&amp;IFERROR(VLOOKUP(AL568,CODEBOOK_CAP!$C$2:$D$212,2,FALSE),""))</f>
        <v>0322 - ESTRUTURAS, HOSPITAIS, CLÍNICAS</v>
      </c>
      <c r="AN568" s="13" t="str">
        <f>IF(AL568="","",IFERROR(VLOOKUP(AL568,CODEBOOK_CAP!$C$2:$E$212,3,FALSE),""))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568" s="11" t="n">
        <v>1</v>
      </c>
      <c r="AP568" s="11" t="s">
        <v>3397</v>
      </c>
      <c r="AQ568" s="11" t="n">
        <v>1</v>
      </c>
      <c r="AR568" s="11" t="n">
        <v>1</v>
      </c>
      <c r="AS568" s="11" t="s">
        <v>3398</v>
      </c>
      <c r="AT568" s="11" t="n">
        <v>0</v>
      </c>
      <c r="AU568" s="11"/>
      <c r="AV568" s="11"/>
      <c r="AW568" s="11"/>
      <c r="AX568" s="7" t="s">
        <v>84</v>
      </c>
      <c r="AY568" s="7"/>
      <c r="AZ568" s="7"/>
      <c r="BA568" s="7"/>
    </row>
    <row r="569" ht="57" customHeight="1">
      <c r="A569" s="4" t="s">
        <v>3399</v>
      </c>
      <c r="B569" s="4" t="n">
        <v>2022</v>
      </c>
      <c r="C569" s="4" t="n">
        <v>4230</v>
      </c>
      <c r="D569" s="4" t="s">
        <v>54</v>
      </c>
      <c r="E569" s="4" t="s">
        <v>3331</v>
      </c>
      <c r="F569" s="5" t="s">
        <v>3400</v>
      </c>
      <c r="G569" s="4" t="s">
        <v>57</v>
      </c>
      <c r="H569" s="4" t="s">
        <v>3333</v>
      </c>
      <c r="I569" s="4" t="s">
        <v>3334</v>
      </c>
      <c r="J569" s="4" t="s">
        <v>3401</v>
      </c>
      <c r="K569" s="4" t="s">
        <v>2329</v>
      </c>
      <c r="L569" s="5" t="s">
        <v>122</v>
      </c>
      <c r="M569" s="4" t="s">
        <v>123</v>
      </c>
      <c r="N569" s="5" t="s">
        <v>227</v>
      </c>
      <c r="O569" s="4" t="s">
        <v>228</v>
      </c>
      <c r="P569" s="5" t="s">
        <v>229</v>
      </c>
      <c r="Q569" s="4" t="s">
        <v>230</v>
      </c>
      <c r="R569" s="5" t="s">
        <v>322</v>
      </c>
      <c r="S569" s="4" t="s">
        <v>323</v>
      </c>
      <c r="T569" s="5" t="s">
        <v>416</v>
      </c>
      <c r="U569" s="4" t="s">
        <v>417</v>
      </c>
      <c r="V569" s="5" t="s">
        <v>72</v>
      </c>
      <c r="W569" s="4" t="s">
        <v>73</v>
      </c>
      <c r="X569" s="4" t="s">
        <v>74</v>
      </c>
      <c r="Y569" s="5"/>
      <c r="Z569" s="4" t="s">
        <v>132</v>
      </c>
      <c r="AA569" s="6" t="n">
        <v>164200</v>
      </c>
      <c r="AB569" s="6" t="n">
        <v>146461</v>
      </c>
      <c r="AC569" s="6" t="n">
        <v>146461</v>
      </c>
      <c r="AD569" s="6" t="n">
        <v>146461</v>
      </c>
      <c r="AE569" s="4" t="s">
        <v>3383</v>
      </c>
      <c r="AF569" s="5" t="s">
        <v>3384</v>
      </c>
      <c r="AG569" s="4" t="s">
        <v>78</v>
      </c>
      <c r="AH569" s="4" t="s">
        <v>79</v>
      </c>
      <c r="AI569" s="5" t="s">
        <v>80</v>
      </c>
      <c r="AJ569" s="1" t="n">
        <v>0</v>
      </c>
      <c r="AK569" s="11" t="n">
        <v>0</v>
      </c>
      <c r="AL569" s="12" t="s">
        <v>328</v>
      </c>
      <c r="AM569" s="13" t="str">
        <f>IF(AL569="","",AL569&amp;" - "&amp;IFERROR(VLOOKUP(AL569,CODEBOOK_CAP!$C$2:$D$212,2,FALSE),""))</f>
        <v>1403 - REABILITAÇÃO URBANA, ECONOMIA URBANA</v>
      </c>
      <c r="AN569" s="13" t="str">
        <f>IF(AL569="","",IFERROR(VLOOKUP(AL569,CODEBOOK_CAP!$C$2:$E$212,3,FALSE),""))</f>
        <v>Reabilitação de áreas urbanas, revitalização urbana, modernização de áreas, mercados públicos, revitalização de praças, política urbana nacional, desenvolvimento urbano , desenvolvimento econômico de estados e cidades, modernização de espaços urbanos</v>
      </c>
      <c r="AO569" s="11" t="n">
        <v>1</v>
      </c>
      <c r="AP569" s="11" t="s">
        <v>3402</v>
      </c>
      <c r="AQ569" s="11" t="n">
        <v>1</v>
      </c>
      <c r="AR569" s="11" t="n">
        <v>1</v>
      </c>
      <c r="AS569" s="11" t="s">
        <v>3402</v>
      </c>
      <c r="AT569" s="11" t="n">
        <v>0</v>
      </c>
      <c r="AU569" s="11"/>
      <c r="AV569" s="11"/>
      <c r="AW569" s="11"/>
      <c r="AX569" s="7" t="s">
        <v>84</v>
      </c>
      <c r="AY569" s="7"/>
      <c r="AZ569" s="7"/>
      <c r="BA569" s="7"/>
    </row>
    <row r="570" ht="57" customHeight="1">
      <c r="A570" s="4" t="s">
        <v>3403</v>
      </c>
      <c r="B570" s="4" t="n">
        <v>2022</v>
      </c>
      <c r="C570" s="4" t="n">
        <v>4231</v>
      </c>
      <c r="D570" s="4" t="s">
        <v>54</v>
      </c>
      <c r="E570" s="4" t="s">
        <v>3331</v>
      </c>
      <c r="F570" s="5" t="s">
        <v>3404</v>
      </c>
      <c r="G570" s="4" t="s">
        <v>57</v>
      </c>
      <c r="H570" s="4" t="s">
        <v>3333</v>
      </c>
      <c r="I570" s="4" t="s">
        <v>3334</v>
      </c>
      <c r="J570" s="4" t="s">
        <v>3405</v>
      </c>
      <c r="K570" s="4" t="s">
        <v>2329</v>
      </c>
      <c r="L570" s="5" t="s">
        <v>122</v>
      </c>
      <c r="M570" s="4" t="s">
        <v>123</v>
      </c>
      <c r="N570" s="5" t="s">
        <v>227</v>
      </c>
      <c r="O570" s="4" t="s">
        <v>228</v>
      </c>
      <c r="P570" s="5" t="s">
        <v>229</v>
      </c>
      <c r="Q570" s="4" t="s">
        <v>230</v>
      </c>
      <c r="R570" s="5" t="s">
        <v>322</v>
      </c>
      <c r="S570" s="4" t="s">
        <v>323</v>
      </c>
      <c r="T570" s="5" t="s">
        <v>416</v>
      </c>
      <c r="U570" s="4" t="s">
        <v>417</v>
      </c>
      <c r="V570" s="5" t="s">
        <v>72</v>
      </c>
      <c r="W570" s="4" t="s">
        <v>73</v>
      </c>
      <c r="X570" s="4" t="s">
        <v>74</v>
      </c>
      <c r="Y570" s="5"/>
      <c r="Z570" s="4" t="s">
        <v>132</v>
      </c>
      <c r="AA570" s="6" t="n">
        <v>160000</v>
      </c>
      <c r="AB570" s="6" t="n">
        <v>125670</v>
      </c>
      <c r="AC570" s="6" t="n">
        <v>125670</v>
      </c>
      <c r="AD570" s="6" t="n">
        <v>125670</v>
      </c>
      <c r="AE570" s="4" t="s">
        <v>3383</v>
      </c>
      <c r="AF570" s="5" t="s">
        <v>3384</v>
      </c>
      <c r="AG570" s="4" t="s">
        <v>78</v>
      </c>
      <c r="AH570" s="4" t="s">
        <v>79</v>
      </c>
      <c r="AI570" s="5" t="s">
        <v>80</v>
      </c>
      <c r="AJ570" s="1" t="n">
        <v>0</v>
      </c>
      <c r="AK570" s="11" t="n">
        <v>0</v>
      </c>
      <c r="AL570" s="12" t="s">
        <v>328</v>
      </c>
      <c r="AM570" s="13" t="str">
        <f>IF(AL570="","",AL570&amp;" - "&amp;IFERROR(VLOOKUP(AL570,CODEBOOK_CAP!$C$2:$D$212,2,FALSE),""))</f>
        <v>1403 - REABILITAÇÃO URBANA, ECONOMIA URBANA</v>
      </c>
      <c r="AN570" s="13" t="str">
        <f>IF(AL570="","",IFERROR(VLOOKUP(AL570,CODEBOOK_CAP!$C$2:$E$212,3,FALSE),""))</f>
        <v>Reabilitação de áreas urbanas, revitalização urbana, modernização de áreas, mercados públicos, revitalização de praças, política urbana nacional, desenvolvimento urbano , desenvolvimento econômico de estados e cidades, modernização de espaços urbanos</v>
      </c>
      <c r="AO570" s="11" t="n">
        <v>1</v>
      </c>
      <c r="AP570" s="11" t="s">
        <v>3406</v>
      </c>
      <c r="AQ570" s="11" t="n">
        <v>1</v>
      </c>
      <c r="AR570" s="11" t="n">
        <v>1</v>
      </c>
      <c r="AS570" s="11" t="s">
        <v>3406</v>
      </c>
      <c r="AT570" s="11" t="n">
        <v>0</v>
      </c>
      <c r="AU570" s="11"/>
      <c r="AV570" s="11"/>
      <c r="AW570" s="11"/>
      <c r="AX570" s="7" t="s">
        <v>84</v>
      </c>
      <c r="AY570" s="7"/>
      <c r="AZ570" s="7"/>
      <c r="BA570" s="7"/>
    </row>
    <row r="571" ht="71.25" customHeight="1">
      <c r="A571" s="4" t="s">
        <v>3407</v>
      </c>
      <c r="B571" s="4" t="n">
        <v>2022</v>
      </c>
      <c r="C571" s="4" t="n">
        <v>4232</v>
      </c>
      <c r="D571" s="4" t="s">
        <v>54</v>
      </c>
      <c r="E571" s="4" t="s">
        <v>3331</v>
      </c>
      <c r="F571" s="5" t="s">
        <v>3408</v>
      </c>
      <c r="G571" s="4" t="s">
        <v>57</v>
      </c>
      <c r="H571" s="4" t="s">
        <v>3333</v>
      </c>
      <c r="I571" s="4" t="s">
        <v>3334</v>
      </c>
      <c r="J571" s="4" t="s">
        <v>3409</v>
      </c>
      <c r="K571" s="4" t="s">
        <v>415</v>
      </c>
      <c r="L571" s="5" t="s">
        <v>122</v>
      </c>
      <c r="M571" s="4" t="s">
        <v>123</v>
      </c>
      <c r="N571" s="5" t="s">
        <v>227</v>
      </c>
      <c r="O571" s="4" t="s">
        <v>228</v>
      </c>
      <c r="P571" s="5" t="s">
        <v>229</v>
      </c>
      <c r="Q571" s="4" t="s">
        <v>230</v>
      </c>
      <c r="R571" s="5" t="s">
        <v>322</v>
      </c>
      <c r="S571" s="4" t="s">
        <v>323</v>
      </c>
      <c r="T571" s="5" t="s">
        <v>416</v>
      </c>
      <c r="U571" s="4" t="s">
        <v>417</v>
      </c>
      <c r="V571" s="5" t="s">
        <v>72</v>
      </c>
      <c r="W571" s="4" t="s">
        <v>73</v>
      </c>
      <c r="X571" s="4" t="s">
        <v>74</v>
      </c>
      <c r="Y571" s="5"/>
      <c r="Z571" s="4" t="s">
        <v>132</v>
      </c>
      <c r="AA571" s="6" t="n">
        <v>198000</v>
      </c>
      <c r="AB571" s="6" t="n">
        <v>198000</v>
      </c>
      <c r="AC571" s="6" t="n">
        <v>0</v>
      </c>
      <c r="AD571" s="6" t="n">
        <v>0</v>
      </c>
      <c r="AE571" s="4" t="s">
        <v>3373</v>
      </c>
      <c r="AF571" s="5" t="s">
        <v>3374</v>
      </c>
      <c r="AG571" s="4" t="s">
        <v>115</v>
      </c>
      <c r="AH571" s="4" t="s">
        <v>115</v>
      </c>
      <c r="AI571" s="5" t="s">
        <v>115</v>
      </c>
      <c r="AJ571" s="1" t="n">
        <v>0</v>
      </c>
      <c r="AK571" s="11" t="n">
        <v>0</v>
      </c>
      <c r="AL571" s="12" t="s">
        <v>188</v>
      </c>
      <c r="AM571" s="13" t="str">
        <f>IF(AL571="","",AL571&amp;" - "&amp;IFERROR(VLOOKUP(AL571,CODEBOOK_CAP!$C$2:$D$212,2,FALSE),""))</f>
        <v>2300 - GERAL</v>
      </c>
      <c r="AN571" s="13" t="str">
        <f>IF(AL571="","",IFERROR(VLOOKUP(AL571,CODEBOOK_CAP!$C$2:$E$212,3,FALSE),""))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571" s="11" t="n">
        <v>1</v>
      </c>
      <c r="AP571" s="11" t="s">
        <v>3410</v>
      </c>
      <c r="AQ571" s="11" t="n">
        <v>1</v>
      </c>
      <c r="AR571" s="11" t="n">
        <v>1</v>
      </c>
      <c r="AS571" s="11" t="s">
        <v>3411</v>
      </c>
      <c r="AT571" s="11" t="n">
        <v>0</v>
      </c>
      <c r="AU571" s="11"/>
      <c r="AV571" s="11"/>
      <c r="AW571" s="11"/>
      <c r="AX571" s="7" t="s">
        <v>84</v>
      </c>
      <c r="AY571" s="7"/>
      <c r="AZ571" s="7"/>
      <c r="BA571" s="7"/>
      <c r="BB571" s="3" t="s">
        <v>6564</v>
      </c>
    </row>
    <row r="572" ht="85.5" customHeight="1">
      <c r="A572" s="4" t="s">
        <v>3412</v>
      </c>
      <c r="B572" s="4" t="n">
        <v>2022</v>
      </c>
      <c r="C572" s="4" t="n">
        <v>4233</v>
      </c>
      <c r="D572" s="4" t="s">
        <v>54</v>
      </c>
      <c r="E572" s="4" t="s">
        <v>3331</v>
      </c>
      <c r="F572" s="5" t="s">
        <v>3413</v>
      </c>
      <c r="G572" s="4" t="s">
        <v>57</v>
      </c>
      <c r="H572" s="4" t="s">
        <v>3333</v>
      </c>
      <c r="I572" s="4" t="s">
        <v>3334</v>
      </c>
      <c r="J572" s="4" t="s">
        <v>3414</v>
      </c>
      <c r="K572" s="4" t="s">
        <v>3415</v>
      </c>
      <c r="L572" s="5" t="s">
        <v>62</v>
      </c>
      <c r="M572" s="4" t="s">
        <v>63</v>
      </c>
      <c r="N572" s="5" t="s">
        <v>64</v>
      </c>
      <c r="O572" s="4" t="s">
        <v>65</v>
      </c>
      <c r="P572" s="5" t="s">
        <v>66</v>
      </c>
      <c r="Q572" s="4" t="s">
        <v>67</v>
      </c>
      <c r="R572" s="5" t="s">
        <v>68</v>
      </c>
      <c r="S572" s="4" t="s">
        <v>69</v>
      </c>
      <c r="T572" s="5" t="s">
        <v>3350</v>
      </c>
      <c r="U572" s="4" t="s">
        <v>69</v>
      </c>
      <c r="V572" s="5" t="s">
        <v>104</v>
      </c>
      <c r="W572" s="4" t="s">
        <v>105</v>
      </c>
      <c r="X572" s="4" t="s">
        <v>106</v>
      </c>
      <c r="Y572" s="5"/>
      <c r="Z572" s="4" t="s">
        <v>75</v>
      </c>
      <c r="AA572" s="6" t="n">
        <v>35000</v>
      </c>
      <c r="AB572" s="6" t="n">
        <v>35000</v>
      </c>
      <c r="AC572" s="6" t="n">
        <v>32938.74</v>
      </c>
      <c r="AD572" s="6" t="n">
        <v>32938.74</v>
      </c>
      <c r="AE572" s="4" t="s">
        <v>3358</v>
      </c>
      <c r="AF572" s="5" t="s">
        <v>3359</v>
      </c>
      <c r="AG572" s="4" t="s">
        <v>78</v>
      </c>
      <c r="AH572" s="4" t="s">
        <v>79</v>
      </c>
      <c r="AI572" s="5" t="s">
        <v>80</v>
      </c>
      <c r="AJ572" s="1" t="n">
        <v>1</v>
      </c>
      <c r="AK572" s="11" t="n">
        <v>1</v>
      </c>
      <c r="AL572" s="12" t="s">
        <v>81</v>
      </c>
      <c r="AM572" s="13" t="str">
        <f>IF(AL572="","",AL572&amp;" - "&amp;IFERROR(VLOOKUP(AL572,CODEBOOK_CAP!$C$2:$D$212,2,FALSE),""))</f>
        <v>0322 - ESTRUTURAS, HOSPITAIS, CLÍNICAS</v>
      </c>
      <c r="AN572" s="13" t="str">
        <f>IF(AL572="","",IFERROR(VLOOKUP(AL572,CODEBOOK_CAP!$C$2:$E$212,3,FALSE),""))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572" s="11" t="n">
        <v>1</v>
      </c>
      <c r="AP572" s="11" t="s">
        <v>3416</v>
      </c>
      <c r="AQ572" s="11" t="n">
        <v>1</v>
      </c>
      <c r="AR572" s="11" t="n">
        <v>1</v>
      </c>
      <c r="AS572" s="11" t="s">
        <v>3417</v>
      </c>
      <c r="AT572" s="11" t="n">
        <v>0</v>
      </c>
      <c r="AU572" s="11"/>
      <c r="AV572" s="11"/>
      <c r="AW572" s="11"/>
      <c r="AX572" s="7" t="s">
        <v>84</v>
      </c>
      <c r="AY572" s="7"/>
      <c r="AZ572" s="7"/>
      <c r="BA572" s="7"/>
    </row>
    <row r="573" ht="57" customHeight="1">
      <c r="A573" s="4" t="s">
        <v>3418</v>
      </c>
      <c r="B573" s="4" t="n">
        <v>2022</v>
      </c>
      <c r="C573" s="4" t="n">
        <v>4234</v>
      </c>
      <c r="D573" s="4" t="s">
        <v>54</v>
      </c>
      <c r="E573" s="4" t="s">
        <v>3331</v>
      </c>
      <c r="F573" s="5" t="s">
        <v>3419</v>
      </c>
      <c r="G573" s="4" t="s">
        <v>139</v>
      </c>
      <c r="H573" s="4" t="s">
        <v>3333</v>
      </c>
      <c r="I573" s="4" t="s">
        <v>3334</v>
      </c>
      <c r="J573" s="4" t="s">
        <v>3420</v>
      </c>
      <c r="K573" s="4" t="s">
        <v>115</v>
      </c>
      <c r="L573" s="5"/>
      <c r="M573" s="4"/>
      <c r="N573" s="5"/>
      <c r="O573" s="4"/>
      <c r="P573" s="5"/>
      <c r="Q573" s="4"/>
      <c r="R573" s="5"/>
      <c r="S573" s="4"/>
      <c r="T573" s="5"/>
      <c r="U573" s="4"/>
      <c r="V573" s="5"/>
      <c r="W573" s="4"/>
      <c r="X573" s="4"/>
      <c r="Y573" s="5"/>
      <c r="Z573" s="4" t="s">
        <v>139</v>
      </c>
      <c r="AA573" s="6" t="n">
        <v>78000</v>
      </c>
      <c r="AB573" s="6"/>
      <c r="AC573" s="6"/>
      <c r="AD573" s="6"/>
      <c r="AE573" s="4" t="s">
        <v>115</v>
      </c>
      <c r="AF573" s="5" t="s">
        <v>115</v>
      </c>
      <c r="AG573" s="4" t="s">
        <v>115</v>
      </c>
      <c r="AH573" s="4" t="s">
        <v>115</v>
      </c>
      <c r="AI573" s="5" t="s">
        <v>115</v>
      </c>
      <c r="AJ573" s="1" t="n">
        <v>0</v>
      </c>
      <c r="AK573" s="11" t="n">
        <v>0</v>
      </c>
      <c r="AL573" s="12" t="s">
        <v>328</v>
      </c>
      <c r="AM573" s="13" t="str">
        <f>IF(AL573="","",AL573&amp;" - "&amp;IFERROR(VLOOKUP(AL573,CODEBOOK_CAP!$C$2:$D$212,2,FALSE),""))</f>
        <v>1403 - REABILITAÇÃO URBANA, ECONOMIA URBANA</v>
      </c>
      <c r="AN573" s="13" t="str">
        <f>IF(AL573="","",IFERROR(VLOOKUP(AL573,CODEBOOK_CAP!$C$2:$E$212,3,FALSE),""))</f>
        <v>Reabilitação de áreas urbanas, revitalização urbana, modernização de áreas, mercados públicos, revitalização de praças, política urbana nacional, desenvolvimento urbano , desenvolvimento econômico de estados e cidades, modernização de espaços urbanos</v>
      </c>
      <c r="AO573" s="11" t="n">
        <v>1</v>
      </c>
      <c r="AP573" s="11" t="s">
        <v>3421</v>
      </c>
      <c r="AQ573" s="11" t="n">
        <v>1</v>
      </c>
      <c r="AR573" s="11" t="n">
        <v>1</v>
      </c>
      <c r="AS573" s="11" t="s">
        <v>3421</v>
      </c>
      <c r="AT573" s="11" t="n">
        <v>0</v>
      </c>
      <c r="AU573" s="11"/>
      <c r="AV573" s="11"/>
      <c r="AW573" s="11"/>
      <c r="AX573" s="7" t="s">
        <v>84</v>
      </c>
      <c r="AY573" s="7"/>
      <c r="AZ573" s="7"/>
      <c r="BA573" s="7"/>
    </row>
    <row r="574" ht="85.5" customHeight="1">
      <c r="A574" s="4" t="s">
        <v>3422</v>
      </c>
      <c r="B574" s="4" t="n">
        <v>2022</v>
      </c>
      <c r="C574" s="4" t="n">
        <v>4235</v>
      </c>
      <c r="D574" s="4" t="s">
        <v>54</v>
      </c>
      <c r="E574" s="4" t="s">
        <v>3331</v>
      </c>
      <c r="F574" s="5" t="s">
        <v>3423</v>
      </c>
      <c r="G574" s="4" t="s">
        <v>289</v>
      </c>
      <c r="H574" s="4" t="s">
        <v>3333</v>
      </c>
      <c r="I574" s="4" t="s">
        <v>3334</v>
      </c>
      <c r="J574" s="4" t="s">
        <v>3424</v>
      </c>
      <c r="K574" s="4" t="s">
        <v>115</v>
      </c>
      <c r="L574" s="5"/>
      <c r="M574" s="4"/>
      <c r="N574" s="5"/>
      <c r="O574" s="4"/>
      <c r="P574" s="5"/>
      <c r="Q574" s="4"/>
      <c r="R574" s="5"/>
      <c r="S574" s="4"/>
      <c r="T574" s="5"/>
      <c r="U574" s="4"/>
      <c r="V574" s="5"/>
      <c r="W574" s="4"/>
      <c r="X574" s="4"/>
      <c r="Y574" s="5"/>
      <c r="Z574" s="4" t="s">
        <v>289</v>
      </c>
      <c r="AA574" s="6" t="n">
        <v>60000</v>
      </c>
      <c r="AB574" s="6"/>
      <c r="AC574" s="6"/>
      <c r="AD574" s="6"/>
      <c r="AE574" s="4" t="s">
        <v>3425</v>
      </c>
      <c r="AF574" s="5" t="s">
        <v>3426</v>
      </c>
      <c r="AG574" s="4" t="s">
        <v>78</v>
      </c>
      <c r="AH574" s="4" t="s">
        <v>79</v>
      </c>
      <c r="AI574" s="5" t="s">
        <v>80</v>
      </c>
      <c r="AJ574" s="1" t="n">
        <v>0</v>
      </c>
      <c r="AK574" s="11" t="n">
        <v>0</v>
      </c>
      <c r="AL574" s="12" t="s">
        <v>609</v>
      </c>
      <c r="AM574" s="13" t="str">
        <f>IF(AL574="","",AL574&amp;" - "&amp;IFERROR(VLOOKUP(AL574,CODEBOOK_CAP!$C$2:$D$212,2,FALSE),""))</f>
        <v>0607 - PROMOCAO DA QUALIDADE, ESTRUTURA E AÇÕES</v>
      </c>
      <c r="AN574" s="13" t="str">
        <f>IF(AL574="","",IFERROR(VLOOKUP(AL574,CODEBOOK_CAP!$C$2:$E$212,3,FALSE),""))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574" s="11" t="n">
        <v>1</v>
      </c>
      <c r="AP574" s="11" t="s">
        <v>3427</v>
      </c>
      <c r="AQ574" s="11" t="n">
        <v>1</v>
      </c>
      <c r="AR574" s="11" t="n">
        <v>1</v>
      </c>
      <c r="AS574" s="11" t="s">
        <v>3428</v>
      </c>
      <c r="AT574" s="11" t="n">
        <v>1</v>
      </c>
      <c r="AU574" s="11" t="s">
        <v>503</v>
      </c>
      <c r="AV574" s="11"/>
      <c r="AW574" s="11"/>
      <c r="AX574" s="7" t="s">
        <v>84</v>
      </c>
      <c r="AY574" s="7"/>
      <c r="AZ574" s="7"/>
      <c r="BA574" s="7"/>
    </row>
    <row r="575" ht="85.5" customHeight="1">
      <c r="A575" s="4" t="s">
        <v>3429</v>
      </c>
      <c r="B575" s="4" t="n">
        <v>2022</v>
      </c>
      <c r="C575" s="4" t="n">
        <v>4236</v>
      </c>
      <c r="D575" s="4" t="s">
        <v>54</v>
      </c>
      <c r="E575" s="4" t="s">
        <v>3331</v>
      </c>
      <c r="F575" s="5" t="s">
        <v>3430</v>
      </c>
      <c r="G575" s="4" t="s">
        <v>57</v>
      </c>
      <c r="H575" s="4" t="s">
        <v>3333</v>
      </c>
      <c r="I575" s="4" t="s">
        <v>3334</v>
      </c>
      <c r="J575" s="4" t="s">
        <v>3431</v>
      </c>
      <c r="K575" s="4" t="s">
        <v>3415</v>
      </c>
      <c r="L575" s="5" t="s">
        <v>62</v>
      </c>
      <c r="M575" s="4" t="s">
        <v>63</v>
      </c>
      <c r="N575" s="5" t="s">
        <v>64</v>
      </c>
      <c r="O575" s="4" t="s">
        <v>65</v>
      </c>
      <c r="P575" s="5" t="s">
        <v>66</v>
      </c>
      <c r="Q575" s="4" t="s">
        <v>67</v>
      </c>
      <c r="R575" s="5" t="s">
        <v>68</v>
      </c>
      <c r="S575" s="4" t="s">
        <v>69</v>
      </c>
      <c r="T575" s="5" t="s">
        <v>3350</v>
      </c>
      <c r="U575" s="4" t="s">
        <v>69</v>
      </c>
      <c r="V575" s="5" t="s">
        <v>104</v>
      </c>
      <c r="W575" s="4" t="s">
        <v>105</v>
      </c>
      <c r="X575" s="4" t="s">
        <v>106</v>
      </c>
      <c r="Y575" s="5"/>
      <c r="Z575" s="4" t="s">
        <v>75</v>
      </c>
      <c r="AA575" s="6" t="n">
        <v>27000</v>
      </c>
      <c r="AB575" s="6" t="n">
        <v>22221</v>
      </c>
      <c r="AC575" s="6" t="n">
        <v>0</v>
      </c>
      <c r="AD575" s="6" t="n">
        <v>0</v>
      </c>
      <c r="AE575" s="4" t="s">
        <v>3351</v>
      </c>
      <c r="AF575" s="5" t="s">
        <v>3352</v>
      </c>
      <c r="AG575" s="4" t="s">
        <v>78</v>
      </c>
      <c r="AH575" s="4" t="s">
        <v>79</v>
      </c>
      <c r="AI575" s="5" t="s">
        <v>80</v>
      </c>
      <c r="AJ575" s="1" t="n">
        <v>1</v>
      </c>
      <c r="AK575" s="11" t="n">
        <v>1</v>
      </c>
      <c r="AL575" s="12" t="s">
        <v>81</v>
      </c>
      <c r="AM575" s="13" t="str">
        <f>IF(AL575="","",AL575&amp;" - "&amp;IFERROR(VLOOKUP(AL575,CODEBOOK_CAP!$C$2:$D$212,2,FALSE),""))</f>
        <v>0322 - ESTRUTURAS, HOSPITAIS, CLÍNICAS</v>
      </c>
      <c r="AN575" s="13" t="str">
        <f>IF(AL575="","",IFERROR(VLOOKUP(AL575,CODEBOOK_CAP!$C$2:$E$212,3,FALSE),""))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575" s="11" t="n">
        <v>1</v>
      </c>
      <c r="AP575" s="11" t="s">
        <v>3432</v>
      </c>
      <c r="AQ575" s="11" t="n">
        <v>1</v>
      </c>
      <c r="AR575" s="11" t="n">
        <v>1</v>
      </c>
      <c r="AS575" s="11" t="s">
        <v>3433</v>
      </c>
      <c r="AT575" s="11" t="n">
        <v>0</v>
      </c>
      <c r="AU575" s="11"/>
      <c r="AV575" s="11"/>
      <c r="AW575" s="11"/>
      <c r="AX575" s="7" t="s">
        <v>84</v>
      </c>
      <c r="AY575" s="7"/>
      <c r="AZ575" s="7"/>
      <c r="BA575" s="7"/>
    </row>
    <row r="576" ht="85.5" customHeight="1">
      <c r="A576" s="4" t="s">
        <v>3434</v>
      </c>
      <c r="B576" s="4" t="n">
        <v>2022</v>
      </c>
      <c r="C576" s="4" t="n">
        <v>4237</v>
      </c>
      <c r="D576" s="4" t="s">
        <v>54</v>
      </c>
      <c r="E576" s="4" t="s">
        <v>3331</v>
      </c>
      <c r="F576" s="5" t="s">
        <v>3435</v>
      </c>
      <c r="G576" s="4" t="s">
        <v>57</v>
      </c>
      <c r="H576" s="4" t="s">
        <v>3333</v>
      </c>
      <c r="I576" s="4" t="s">
        <v>3334</v>
      </c>
      <c r="J576" s="4" t="s">
        <v>3436</v>
      </c>
      <c r="K576" s="4" t="s">
        <v>3365</v>
      </c>
      <c r="L576" s="5" t="s">
        <v>595</v>
      </c>
      <c r="M576" s="4" t="s">
        <v>596</v>
      </c>
      <c r="N576" s="5" t="s">
        <v>597</v>
      </c>
      <c r="O576" s="4" t="s">
        <v>598</v>
      </c>
      <c r="P576" s="5" t="s">
        <v>599</v>
      </c>
      <c r="Q576" s="4" t="s">
        <v>600</v>
      </c>
      <c r="R576" s="5" t="s">
        <v>601</v>
      </c>
      <c r="S576" s="4" t="s">
        <v>602</v>
      </c>
      <c r="T576" s="5" t="s">
        <v>603</v>
      </c>
      <c r="U576" s="4" t="s">
        <v>604</v>
      </c>
      <c r="V576" s="5" t="s">
        <v>605</v>
      </c>
      <c r="W576" s="4" t="s">
        <v>73</v>
      </c>
      <c r="X576" s="4" t="s">
        <v>74</v>
      </c>
      <c r="Y576" s="5"/>
      <c r="Z576" s="4" t="s">
        <v>606</v>
      </c>
      <c r="AA576" s="6" t="n">
        <v>10000</v>
      </c>
      <c r="AB576" s="6" t="n">
        <v>10000</v>
      </c>
      <c r="AC576" s="6" t="n">
        <v>10000</v>
      </c>
      <c r="AD576" s="6" t="n">
        <v>10000</v>
      </c>
      <c r="AE576" s="4" t="s">
        <v>3437</v>
      </c>
      <c r="AF576" s="5" t="s">
        <v>3438</v>
      </c>
      <c r="AG576" s="4" t="s">
        <v>78</v>
      </c>
      <c r="AH576" s="4" t="s">
        <v>79</v>
      </c>
      <c r="AI576" s="5" t="s">
        <v>80</v>
      </c>
      <c r="AJ576" s="1" t="n">
        <v>0</v>
      </c>
      <c r="AK576" s="11" t="n">
        <v>0</v>
      </c>
      <c r="AL576" s="12" t="s">
        <v>609</v>
      </c>
      <c r="AM576" s="13" t="str">
        <f>IF(AL576="","",AL576&amp;" - "&amp;IFERROR(VLOOKUP(AL576,CODEBOOK_CAP!$C$2:$D$212,2,FALSE),""))</f>
        <v>0607 - PROMOCAO DA QUALIDADE, ESTRUTURA E AÇÕES</v>
      </c>
      <c r="AN576" s="13" t="str">
        <f>IF(AL576="","",IFERROR(VLOOKUP(AL576,CODEBOOK_CAP!$C$2:$E$212,3,FALSE),""))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576" s="11" t="n">
        <v>1</v>
      </c>
      <c r="AP576" s="11" t="s">
        <v>3439</v>
      </c>
      <c r="AQ576" s="11" t="n">
        <v>1</v>
      </c>
      <c r="AR576" s="11" t="n">
        <v>1</v>
      </c>
      <c r="AS576" s="11" t="s">
        <v>3440</v>
      </c>
      <c r="AT576" s="11" t="n">
        <v>1</v>
      </c>
      <c r="AU576" s="11" t="s">
        <v>286</v>
      </c>
      <c r="AV576" s="11"/>
      <c r="AW576" s="11"/>
      <c r="AX576" s="7" t="s">
        <v>84</v>
      </c>
      <c r="AY576" s="7"/>
      <c r="AZ576" s="7"/>
      <c r="BA576" s="7"/>
    </row>
    <row r="577" ht="85.5" customHeight="1">
      <c r="A577" s="4" t="s">
        <v>3441</v>
      </c>
      <c r="B577" s="4" t="n">
        <v>2022</v>
      </c>
      <c r="C577" s="4" t="n">
        <v>4238</v>
      </c>
      <c r="D577" s="4" t="s">
        <v>54</v>
      </c>
      <c r="E577" s="4" t="s">
        <v>3331</v>
      </c>
      <c r="F577" s="5" t="s">
        <v>3442</v>
      </c>
      <c r="G577" s="4" t="s">
        <v>57</v>
      </c>
      <c r="H577" s="4" t="s">
        <v>3333</v>
      </c>
      <c r="I577" s="4" t="s">
        <v>3334</v>
      </c>
      <c r="J577" s="4" t="s">
        <v>3443</v>
      </c>
      <c r="K577" s="4" t="s">
        <v>3389</v>
      </c>
      <c r="L577" s="5" t="s">
        <v>595</v>
      </c>
      <c r="M577" s="4" t="s">
        <v>596</v>
      </c>
      <c r="N577" s="5" t="s">
        <v>597</v>
      </c>
      <c r="O577" s="4" t="s">
        <v>598</v>
      </c>
      <c r="P577" s="5" t="s">
        <v>599</v>
      </c>
      <c r="Q577" s="4" t="s">
        <v>600</v>
      </c>
      <c r="R577" s="5" t="s">
        <v>601</v>
      </c>
      <c r="S577" s="4" t="s">
        <v>602</v>
      </c>
      <c r="T577" s="5" t="s">
        <v>603</v>
      </c>
      <c r="U577" s="4" t="s">
        <v>604</v>
      </c>
      <c r="V577" s="5" t="s">
        <v>104</v>
      </c>
      <c r="W577" s="4" t="s">
        <v>105</v>
      </c>
      <c r="X577" s="4" t="s">
        <v>106</v>
      </c>
      <c r="Y577" s="5"/>
      <c r="Z577" s="4" t="s">
        <v>606</v>
      </c>
      <c r="AA577" s="6" t="n">
        <v>42000</v>
      </c>
      <c r="AB577" s="6" t="n">
        <v>42000</v>
      </c>
      <c r="AC577" s="6" t="n">
        <v>42000</v>
      </c>
      <c r="AD577" s="6" t="n">
        <v>42000</v>
      </c>
      <c r="AE577" s="4" t="s">
        <v>3444</v>
      </c>
      <c r="AF577" s="5" t="s">
        <v>3445</v>
      </c>
      <c r="AG577" s="4" t="s">
        <v>78</v>
      </c>
      <c r="AH577" s="4" t="s">
        <v>79</v>
      </c>
      <c r="AI577" s="5" t="s">
        <v>80</v>
      </c>
      <c r="AJ577" s="1" t="n">
        <v>0</v>
      </c>
      <c r="AK577" s="11" t="n">
        <v>0</v>
      </c>
      <c r="AL577" s="12" t="s">
        <v>609</v>
      </c>
      <c r="AM577" s="13" t="str">
        <f>IF(AL577="","",AL577&amp;" - "&amp;IFERROR(VLOOKUP(AL577,CODEBOOK_CAP!$C$2:$D$212,2,FALSE),""))</f>
        <v>0607 - PROMOCAO DA QUALIDADE, ESTRUTURA E AÇÕES</v>
      </c>
      <c r="AN577" s="13" t="str">
        <f>IF(AL577="","",IFERROR(VLOOKUP(AL577,CODEBOOK_CAP!$C$2:$E$212,3,FALSE),""))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577" s="11" t="n">
        <v>1</v>
      </c>
      <c r="AP577" s="11" t="s">
        <v>3446</v>
      </c>
      <c r="AQ577" s="11" t="n">
        <v>1</v>
      </c>
      <c r="AR577" s="11" t="n">
        <v>1</v>
      </c>
      <c r="AS577" s="11" t="s">
        <v>3447</v>
      </c>
      <c r="AT577" s="11" t="n">
        <v>1</v>
      </c>
      <c r="AU577" s="11" t="s">
        <v>286</v>
      </c>
      <c r="AV577" s="11"/>
      <c r="AW577" s="11"/>
      <c r="AX577" s="7" t="s">
        <v>84</v>
      </c>
      <c r="AY577" s="7"/>
      <c r="AZ577" s="7"/>
      <c r="BA577" s="7"/>
    </row>
    <row r="578" ht="85.5" customHeight="1">
      <c r="A578" s="4" t="s">
        <v>3448</v>
      </c>
      <c r="B578" s="4" t="n">
        <v>2022</v>
      </c>
      <c r="C578" s="4" t="n">
        <v>4239</v>
      </c>
      <c r="D578" s="4" t="s">
        <v>54</v>
      </c>
      <c r="E578" s="4" t="s">
        <v>3331</v>
      </c>
      <c r="F578" s="5" t="s">
        <v>3449</v>
      </c>
      <c r="G578" s="4" t="s">
        <v>57</v>
      </c>
      <c r="H578" s="4" t="s">
        <v>3333</v>
      </c>
      <c r="I578" s="4" t="s">
        <v>3334</v>
      </c>
      <c r="J578" s="4" t="s">
        <v>3450</v>
      </c>
      <c r="K578" s="4" t="s">
        <v>1340</v>
      </c>
      <c r="L578" s="5" t="s">
        <v>595</v>
      </c>
      <c r="M578" s="4" t="s">
        <v>596</v>
      </c>
      <c r="N578" s="5" t="s">
        <v>597</v>
      </c>
      <c r="O578" s="4" t="s">
        <v>598</v>
      </c>
      <c r="P578" s="5" t="s">
        <v>599</v>
      </c>
      <c r="Q578" s="4" t="s">
        <v>600</v>
      </c>
      <c r="R578" s="5" t="s">
        <v>601</v>
      </c>
      <c r="S578" s="4" t="s">
        <v>602</v>
      </c>
      <c r="T578" s="5" t="s">
        <v>1341</v>
      </c>
      <c r="U578" s="4" t="s">
        <v>1342</v>
      </c>
      <c r="V578" s="5" t="s">
        <v>310</v>
      </c>
      <c r="W578" s="4" t="s">
        <v>73</v>
      </c>
      <c r="X578" s="4" t="s">
        <v>74</v>
      </c>
      <c r="Y578" s="5"/>
      <c r="Z578" s="4" t="s">
        <v>606</v>
      </c>
      <c r="AA578" s="6" t="n">
        <v>42000</v>
      </c>
      <c r="AB578" s="6" t="n">
        <v>42000</v>
      </c>
      <c r="AC578" s="6" t="n">
        <v>42000</v>
      </c>
      <c r="AD578" s="6" t="n">
        <v>42000</v>
      </c>
      <c r="AE578" s="4"/>
      <c r="AF578" s="5"/>
      <c r="AG578" s="4" t="s">
        <v>78</v>
      </c>
      <c r="AH578" s="4" t="s">
        <v>79</v>
      </c>
      <c r="AI578" s="5" t="s">
        <v>80</v>
      </c>
      <c r="AJ578" s="1" t="n">
        <v>0</v>
      </c>
      <c r="AK578" s="11" t="n">
        <v>0</v>
      </c>
      <c r="AL578" s="12" t="s">
        <v>609</v>
      </c>
      <c r="AM578" s="13" t="str">
        <f>IF(AL578="","",AL578&amp;" - "&amp;IFERROR(VLOOKUP(AL578,CODEBOOK_CAP!$C$2:$D$212,2,FALSE),""))</f>
        <v>0607 - PROMOCAO DA QUALIDADE, ESTRUTURA E AÇÕES</v>
      </c>
      <c r="AN578" s="13" t="str">
        <f>IF(AL578="","",IFERROR(VLOOKUP(AL578,CODEBOOK_CAP!$C$2:$E$212,3,FALSE),""))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578" s="11" t="n">
        <v>1</v>
      </c>
      <c r="AP578" s="11" t="s">
        <v>3451</v>
      </c>
      <c r="AQ578" s="11" t="n">
        <v>1</v>
      </c>
      <c r="AR578" s="11" t="n">
        <v>1</v>
      </c>
      <c r="AS578" s="11" t="s">
        <v>3452</v>
      </c>
      <c r="AT578" s="11" t="n">
        <v>1</v>
      </c>
      <c r="AU578" s="11" t="s">
        <v>286</v>
      </c>
      <c r="AV578" s="11"/>
      <c r="AW578" s="11"/>
      <c r="AX578" s="7" t="s">
        <v>84</v>
      </c>
      <c r="AY578" s="7"/>
      <c r="AZ578" s="7"/>
      <c r="BA578" s="7"/>
    </row>
    <row r="579" ht="71.25" customHeight="1">
      <c r="A579" s="4" t="s">
        <v>3453</v>
      </c>
      <c r="B579" s="4" t="n">
        <v>2022</v>
      </c>
      <c r="C579" s="4" t="n">
        <v>4240</v>
      </c>
      <c r="D579" s="4" t="s">
        <v>54</v>
      </c>
      <c r="E579" s="4" t="s">
        <v>3331</v>
      </c>
      <c r="F579" s="5" t="s">
        <v>3454</v>
      </c>
      <c r="G579" s="4" t="s">
        <v>57</v>
      </c>
      <c r="H579" s="4" t="s">
        <v>3333</v>
      </c>
      <c r="I579" s="4" t="s">
        <v>3334</v>
      </c>
      <c r="J579" s="4" t="s">
        <v>3455</v>
      </c>
      <c r="K579" s="4" t="s">
        <v>415</v>
      </c>
      <c r="L579" s="5" t="s">
        <v>122</v>
      </c>
      <c r="M579" s="4" t="s">
        <v>123</v>
      </c>
      <c r="N579" s="5" t="s">
        <v>227</v>
      </c>
      <c r="O579" s="4" t="s">
        <v>228</v>
      </c>
      <c r="P579" s="5" t="s">
        <v>229</v>
      </c>
      <c r="Q579" s="4" t="s">
        <v>230</v>
      </c>
      <c r="R579" s="5" t="s">
        <v>322</v>
      </c>
      <c r="S579" s="4" t="s">
        <v>323</v>
      </c>
      <c r="T579" s="5" t="s">
        <v>416</v>
      </c>
      <c r="U579" s="4" t="s">
        <v>417</v>
      </c>
      <c r="V579" s="5" t="s">
        <v>72</v>
      </c>
      <c r="W579" s="4" t="s">
        <v>73</v>
      </c>
      <c r="X579" s="4" t="s">
        <v>74</v>
      </c>
      <c r="Y579" s="5"/>
      <c r="Z579" s="4" t="s">
        <v>132</v>
      </c>
      <c r="AA579" s="6" t="n">
        <v>170000</v>
      </c>
      <c r="AB579" s="6" t="n">
        <v>53217</v>
      </c>
      <c r="AC579" s="6" t="n">
        <v>53217</v>
      </c>
      <c r="AD579" s="6" t="n">
        <v>53217</v>
      </c>
      <c r="AE579" s="4" t="s">
        <v>3456</v>
      </c>
      <c r="AF579" s="5" t="s">
        <v>3457</v>
      </c>
      <c r="AG579" s="4" t="s">
        <v>78</v>
      </c>
      <c r="AH579" s="4" t="s">
        <v>79</v>
      </c>
      <c r="AI579" s="5" t="s">
        <v>80</v>
      </c>
      <c r="AJ579" s="1" t="n">
        <v>0</v>
      </c>
      <c r="AK579" s="11" t="n">
        <v>0</v>
      </c>
      <c r="AL579" s="12" t="s">
        <v>188</v>
      </c>
      <c r="AM579" s="13" t="str">
        <f>IF(AL579="","",AL579&amp;" - "&amp;IFERROR(VLOOKUP(AL579,CODEBOOK_CAP!$C$2:$D$212,2,FALSE),""))</f>
        <v>2300 - GERAL</v>
      </c>
      <c r="AN579" s="13" t="str">
        <f>IF(AL579="","",IFERROR(VLOOKUP(AL579,CODEBOOK_CAP!$C$2:$E$212,3,FALSE),""))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579" s="11" t="n">
        <v>1</v>
      </c>
      <c r="AP579" s="11" t="s">
        <v>3458</v>
      </c>
      <c r="AQ579" s="11" t="n">
        <v>1</v>
      </c>
      <c r="AR579" s="11" t="n">
        <v>1</v>
      </c>
      <c r="AS579" s="11" t="s">
        <v>3459</v>
      </c>
      <c r="AT579" s="11" t="n">
        <v>0</v>
      </c>
      <c r="AU579" s="11"/>
      <c r="AV579" s="11"/>
      <c r="AW579" s="11"/>
      <c r="AX579" s="7" t="s">
        <v>84</v>
      </c>
      <c r="AY579" s="7"/>
      <c r="AZ579" s="7"/>
      <c r="BA579" s="7"/>
      <c r="BB579" s="3" t="s">
        <v>6564</v>
      </c>
    </row>
    <row r="580" ht="114" customHeight="1">
      <c r="A580" s="4" t="s">
        <v>3460</v>
      </c>
      <c r="B580" s="4" t="n">
        <v>2022</v>
      </c>
      <c r="C580" s="4" t="n">
        <v>4253</v>
      </c>
      <c r="D580" s="4" t="s">
        <v>54</v>
      </c>
      <c r="E580" s="4" t="s">
        <v>3331</v>
      </c>
      <c r="F580" s="5" t="s">
        <v>3461</v>
      </c>
      <c r="G580" s="4" t="s">
        <v>139</v>
      </c>
      <c r="H580" s="4" t="s">
        <v>3333</v>
      </c>
      <c r="I580" s="4" t="s">
        <v>3334</v>
      </c>
      <c r="J580" s="4" t="s">
        <v>3462</v>
      </c>
      <c r="K580" s="4" t="s">
        <v>115</v>
      </c>
      <c r="L580" s="5"/>
      <c r="M580" s="4"/>
      <c r="N580" s="5"/>
      <c r="O580" s="4"/>
      <c r="P580" s="5"/>
      <c r="Q580" s="4"/>
      <c r="R580" s="5"/>
      <c r="S580" s="4"/>
      <c r="T580" s="5"/>
      <c r="U580" s="4"/>
      <c r="V580" s="5"/>
      <c r="W580" s="4"/>
      <c r="X580" s="4"/>
      <c r="Y580" s="5"/>
      <c r="Z580" s="4" t="s">
        <v>139</v>
      </c>
      <c r="AA580" s="6" t="n">
        <v>65000</v>
      </c>
      <c r="AB580" s="6"/>
      <c r="AC580" s="6"/>
      <c r="AD580" s="6"/>
      <c r="AE580" s="4" t="s">
        <v>115</v>
      </c>
      <c r="AF580" s="5" t="s">
        <v>115</v>
      </c>
      <c r="AG580" s="4" t="s">
        <v>115</v>
      </c>
      <c r="AH580" s="4" t="s">
        <v>115</v>
      </c>
      <c r="AI580" s="5" t="s">
        <v>115</v>
      </c>
      <c r="AJ580" s="1" t="n">
        <v>0</v>
      </c>
      <c r="AK580" s="11" t="n">
        <v>0</v>
      </c>
      <c r="AL580" s="12" t="s">
        <v>1068</v>
      </c>
      <c r="AM580" s="13" t="str">
        <f>IF(AL580="","",AL580&amp;" - "&amp;IFERROR(VLOOKUP(AL580,CODEBOOK_CAP!$C$2:$D$212,2,FALSE),""))</f>
        <v>0405 - CONTROLE DE DOENÇAS ANIMAIS</v>
      </c>
      <c r="AN580" s="13" t="str">
        <f>IF(AL580="","",IFERROR(VLOOKUP(AL580,CODEBOOK_CAP!$C$2:$E$212,3,FALSE),""))</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O580" s="11" t="n">
        <v>1</v>
      </c>
      <c r="AP580" s="11" t="s">
        <v>3463</v>
      </c>
      <c r="AQ580" s="11" t="n">
        <v>1</v>
      </c>
      <c r="AR580" s="11" t="n">
        <v>1</v>
      </c>
      <c r="AS580" s="11" t="s">
        <v>3464</v>
      </c>
      <c r="AT580" s="11" t="n">
        <v>1</v>
      </c>
      <c r="AU580" s="11" t="s">
        <v>1069</v>
      </c>
      <c r="AV580" s="11"/>
      <c r="AW580" s="11"/>
      <c r="AX580" s="7" t="s">
        <v>84</v>
      </c>
      <c r="AY580" s="7"/>
      <c r="AZ580" s="7"/>
      <c r="BA580" s="7"/>
    </row>
    <row r="581" ht="85.5" customHeight="1">
      <c r="A581" s="4" t="s">
        <v>3465</v>
      </c>
      <c r="B581" s="4" t="n">
        <v>2022</v>
      </c>
      <c r="C581" s="4" t="n">
        <v>4254</v>
      </c>
      <c r="D581" s="4" t="s">
        <v>54</v>
      </c>
      <c r="E581" s="4" t="s">
        <v>3331</v>
      </c>
      <c r="F581" s="5" t="s">
        <v>3466</v>
      </c>
      <c r="G581" s="4" t="s">
        <v>57</v>
      </c>
      <c r="H581" s="4" t="s">
        <v>3333</v>
      </c>
      <c r="I581" s="4" t="s">
        <v>3334</v>
      </c>
      <c r="J581" s="4" t="s">
        <v>3467</v>
      </c>
      <c r="K581" s="4" t="s">
        <v>549</v>
      </c>
      <c r="L581" s="5" t="s">
        <v>62</v>
      </c>
      <c r="M581" s="4" t="s">
        <v>63</v>
      </c>
      <c r="N581" s="5" t="s">
        <v>64</v>
      </c>
      <c r="O581" s="4" t="s">
        <v>65</v>
      </c>
      <c r="P581" s="5" t="s">
        <v>193</v>
      </c>
      <c r="Q581" s="4" t="s">
        <v>194</v>
      </c>
      <c r="R581" s="5" t="s">
        <v>195</v>
      </c>
      <c r="S581" s="4" t="s">
        <v>196</v>
      </c>
      <c r="T581" s="5" t="s">
        <v>429</v>
      </c>
      <c r="U581" s="4" t="s">
        <v>430</v>
      </c>
      <c r="V581" s="5" t="s">
        <v>104</v>
      </c>
      <c r="W581" s="4" t="s">
        <v>105</v>
      </c>
      <c r="X581" s="4" t="s">
        <v>106</v>
      </c>
      <c r="Y581" s="5"/>
      <c r="Z581" s="4" t="s">
        <v>75</v>
      </c>
      <c r="AA581" s="6" t="n">
        <v>303410</v>
      </c>
      <c r="AB581" s="6" t="n">
        <v>303410</v>
      </c>
      <c r="AC581" s="6" t="n">
        <v>303410</v>
      </c>
      <c r="AD581" s="6" t="n">
        <v>303410</v>
      </c>
      <c r="AE581" s="4" t="s">
        <v>743</v>
      </c>
      <c r="AF581" s="5" t="s">
        <v>744</v>
      </c>
      <c r="AG581" s="4" t="s">
        <v>78</v>
      </c>
      <c r="AH581" s="4" t="s">
        <v>79</v>
      </c>
      <c r="AI581" s="5" t="s">
        <v>80</v>
      </c>
      <c r="AJ581" s="1" t="n">
        <v>1</v>
      </c>
      <c r="AK581" s="11" t="n">
        <v>1</v>
      </c>
      <c r="AL581" s="12" t="s">
        <v>81</v>
      </c>
      <c r="AM581" s="13" t="str">
        <f>IF(AL581="","",AL581&amp;" - "&amp;IFERROR(VLOOKUP(AL581,CODEBOOK_CAP!$C$2:$D$212,2,FALSE),""))</f>
        <v>0322 - ESTRUTURAS, HOSPITAIS, CLÍNICAS</v>
      </c>
      <c r="AN581" s="13" t="str">
        <f>IF(AL581="","",IFERROR(VLOOKUP(AL581,CODEBOOK_CAP!$C$2:$E$212,3,FALSE),""))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581" s="11" t="n">
        <v>1</v>
      </c>
      <c r="AP581" s="11" t="s">
        <v>3468</v>
      </c>
      <c r="AQ581" s="11" t="n">
        <v>1</v>
      </c>
      <c r="AR581" s="11" t="n">
        <v>1</v>
      </c>
      <c r="AS581" s="11" t="s">
        <v>3469</v>
      </c>
      <c r="AT581" s="11" t="n">
        <v>0</v>
      </c>
      <c r="AU581" s="11"/>
      <c r="AV581" s="11"/>
      <c r="AW581" s="11"/>
      <c r="AX581" s="7" t="s">
        <v>84</v>
      </c>
      <c r="AY581" s="7"/>
      <c r="AZ581" s="7"/>
      <c r="BA581" s="7"/>
    </row>
    <row r="582" ht="114" customHeight="1">
      <c r="A582" s="4" t="s">
        <v>3470</v>
      </c>
      <c r="B582" s="4" t="n">
        <v>2022</v>
      </c>
      <c r="C582" s="4" t="n">
        <v>4255</v>
      </c>
      <c r="D582" s="4" t="s">
        <v>54</v>
      </c>
      <c r="E582" s="4" t="s">
        <v>3331</v>
      </c>
      <c r="F582" s="5" t="s">
        <v>3471</v>
      </c>
      <c r="G582" s="4" t="s">
        <v>57</v>
      </c>
      <c r="H582" s="4" t="s">
        <v>3333</v>
      </c>
      <c r="I582" s="4" t="s">
        <v>3334</v>
      </c>
      <c r="J582" s="4" t="s">
        <v>3472</v>
      </c>
      <c r="K582" s="4" t="s">
        <v>549</v>
      </c>
      <c r="L582" s="5" t="s">
        <v>62</v>
      </c>
      <c r="M582" s="4" t="s">
        <v>63</v>
      </c>
      <c r="N582" s="5" t="s">
        <v>64</v>
      </c>
      <c r="O582" s="4" t="s">
        <v>65</v>
      </c>
      <c r="P582" s="5" t="s">
        <v>193</v>
      </c>
      <c r="Q582" s="4" t="s">
        <v>194</v>
      </c>
      <c r="R582" s="5" t="s">
        <v>195</v>
      </c>
      <c r="S582" s="4" t="s">
        <v>196</v>
      </c>
      <c r="T582" s="5" t="s">
        <v>429</v>
      </c>
      <c r="U582" s="4" t="s">
        <v>430</v>
      </c>
      <c r="V582" s="5" t="s">
        <v>104</v>
      </c>
      <c r="W582" s="4" t="s">
        <v>105</v>
      </c>
      <c r="X582" s="4" t="s">
        <v>106</v>
      </c>
      <c r="Y582" s="5"/>
      <c r="Z582" s="4" t="s">
        <v>75</v>
      </c>
      <c r="AA582" s="6" t="n">
        <v>300000</v>
      </c>
      <c r="AB582" s="6" t="n">
        <v>300000</v>
      </c>
      <c r="AC582" s="6" t="n">
        <v>300000</v>
      </c>
      <c r="AD582" s="6" t="n">
        <v>300000</v>
      </c>
      <c r="AE582" s="4" t="s">
        <v>690</v>
      </c>
      <c r="AF582" s="5" t="s">
        <v>451</v>
      </c>
      <c r="AG582" s="4" t="s">
        <v>78</v>
      </c>
      <c r="AH582" s="4" t="s">
        <v>79</v>
      </c>
      <c r="AI582" s="5" t="s">
        <v>80</v>
      </c>
      <c r="AJ582" s="1" t="n">
        <v>1</v>
      </c>
      <c r="AK582" s="11" t="n">
        <v>1</v>
      </c>
      <c r="AL582" s="12" t="s">
        <v>452</v>
      </c>
      <c r="AM582" s="13" t="str">
        <f>IF(AL582="","",AL582&amp;" - "&amp;IFERROR(VLOOKUP(AL582,CODEBOOK_CAP!$C$2:$D$212,2,FALSE),""))</f>
        <v>0332 - SAÚDE INFANTIL, GRAVIDEZ E PRÉ-NATAL</v>
      </c>
      <c r="AN582" s="13" t="str">
        <f>IF(AL582="","",IFERROR(VLOOKUP(AL582,CODEBOOK_CAP!$C$2:$E$212,3,FALSE),""))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582" s="11" t="n">
        <v>1</v>
      </c>
      <c r="AP582" s="11" t="s">
        <v>3473</v>
      </c>
      <c r="AQ582" s="11" t="n">
        <v>1</v>
      </c>
      <c r="AR582" s="11" t="n">
        <v>1</v>
      </c>
      <c r="AS582" s="11" t="s">
        <v>3474</v>
      </c>
      <c r="AT582" s="11" t="n">
        <v>1</v>
      </c>
      <c r="AU582" s="11" t="s">
        <v>454</v>
      </c>
      <c r="AV582" s="11"/>
      <c r="AW582" s="11"/>
      <c r="AX582" s="7" t="s">
        <v>84</v>
      </c>
      <c r="AY582" s="7"/>
      <c r="AZ582" s="7"/>
      <c r="BA582" s="7"/>
    </row>
    <row r="583" ht="85.5" customHeight="1">
      <c r="A583" s="4" t="s">
        <v>3475</v>
      </c>
      <c r="B583" s="4" t="n">
        <v>2022</v>
      </c>
      <c r="C583" s="4" t="n">
        <v>4256</v>
      </c>
      <c r="D583" s="4" t="s">
        <v>54</v>
      </c>
      <c r="E583" s="4" t="s">
        <v>3331</v>
      </c>
      <c r="F583" s="5" t="s">
        <v>3476</v>
      </c>
      <c r="G583" s="4" t="s">
        <v>57</v>
      </c>
      <c r="H583" s="4" t="s">
        <v>3333</v>
      </c>
      <c r="I583" s="4" t="s">
        <v>3334</v>
      </c>
      <c r="J583" s="4" t="s">
        <v>3477</v>
      </c>
      <c r="K583" s="4" t="s">
        <v>549</v>
      </c>
      <c r="L583" s="5" t="s">
        <v>62</v>
      </c>
      <c r="M583" s="4" t="s">
        <v>63</v>
      </c>
      <c r="N583" s="5" t="s">
        <v>64</v>
      </c>
      <c r="O583" s="4" t="s">
        <v>65</v>
      </c>
      <c r="P583" s="5" t="s">
        <v>193</v>
      </c>
      <c r="Q583" s="4" t="s">
        <v>194</v>
      </c>
      <c r="R583" s="5" t="s">
        <v>195</v>
      </c>
      <c r="S583" s="4" t="s">
        <v>196</v>
      </c>
      <c r="T583" s="5" t="s">
        <v>429</v>
      </c>
      <c r="U583" s="4" t="s">
        <v>430</v>
      </c>
      <c r="V583" s="5" t="s">
        <v>104</v>
      </c>
      <c r="W583" s="4" t="s">
        <v>105</v>
      </c>
      <c r="X583" s="4" t="s">
        <v>106</v>
      </c>
      <c r="Y583" s="5"/>
      <c r="Z583" s="4" t="s">
        <v>75</v>
      </c>
      <c r="AA583" s="6" t="n">
        <v>200000</v>
      </c>
      <c r="AB583" s="6" t="n">
        <v>200000</v>
      </c>
      <c r="AC583" s="6" t="n">
        <v>200000</v>
      </c>
      <c r="AD583" s="6" t="n">
        <v>200000</v>
      </c>
      <c r="AE583" s="4" t="s">
        <v>526</v>
      </c>
      <c r="AF583" s="5" t="s">
        <v>527</v>
      </c>
      <c r="AG583" s="4" t="s">
        <v>78</v>
      </c>
      <c r="AH583" s="4" t="s">
        <v>79</v>
      </c>
      <c r="AI583" s="5" t="s">
        <v>80</v>
      </c>
      <c r="AJ583" s="1" t="n">
        <v>1</v>
      </c>
      <c r="AK583" s="11" t="n">
        <v>1</v>
      </c>
      <c r="AL583" s="12" t="s">
        <v>81</v>
      </c>
      <c r="AM583" s="13" t="str">
        <f>IF(AL583="","",AL583&amp;" - "&amp;IFERROR(VLOOKUP(AL583,CODEBOOK_CAP!$C$2:$D$212,2,FALSE),""))</f>
        <v>0322 - ESTRUTURAS, HOSPITAIS, CLÍNICAS</v>
      </c>
      <c r="AN583" s="13" t="str">
        <f>IF(AL583="","",IFERROR(VLOOKUP(AL583,CODEBOOK_CAP!$C$2:$E$212,3,FALSE),""))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583" s="11" t="n">
        <v>1</v>
      </c>
      <c r="AP583" s="11" t="s">
        <v>3478</v>
      </c>
      <c r="AQ583" s="11" t="n">
        <v>1</v>
      </c>
      <c r="AR583" s="11" t="n">
        <v>1</v>
      </c>
      <c r="AS583" s="11" t="s">
        <v>3479</v>
      </c>
      <c r="AT583" s="11" t="n">
        <v>0</v>
      </c>
      <c r="AU583" s="11"/>
      <c r="AV583" s="11"/>
      <c r="AW583" s="11"/>
      <c r="AX583" s="7" t="s">
        <v>84</v>
      </c>
      <c r="AY583" s="7"/>
      <c r="AZ583" s="7"/>
      <c r="BA583" s="7"/>
    </row>
    <row r="584" ht="85.5" customHeight="1">
      <c r="A584" s="4" t="s">
        <v>3480</v>
      </c>
      <c r="B584" s="4" t="n">
        <v>2022</v>
      </c>
      <c r="C584" s="4" t="n">
        <v>4257</v>
      </c>
      <c r="D584" s="4" t="s">
        <v>54</v>
      </c>
      <c r="E584" s="4" t="s">
        <v>3331</v>
      </c>
      <c r="F584" s="5" t="s">
        <v>3481</v>
      </c>
      <c r="G584" s="4" t="s">
        <v>57</v>
      </c>
      <c r="H584" s="4" t="s">
        <v>3333</v>
      </c>
      <c r="I584" s="4" t="s">
        <v>3334</v>
      </c>
      <c r="J584" s="4" t="s">
        <v>3482</v>
      </c>
      <c r="K584" s="4" t="s">
        <v>549</v>
      </c>
      <c r="L584" s="5" t="s">
        <v>62</v>
      </c>
      <c r="M584" s="4" t="s">
        <v>63</v>
      </c>
      <c r="N584" s="5" t="s">
        <v>64</v>
      </c>
      <c r="O584" s="4" t="s">
        <v>65</v>
      </c>
      <c r="P584" s="5" t="s">
        <v>193</v>
      </c>
      <c r="Q584" s="4" t="s">
        <v>194</v>
      </c>
      <c r="R584" s="5" t="s">
        <v>195</v>
      </c>
      <c r="S584" s="4" t="s">
        <v>196</v>
      </c>
      <c r="T584" s="5" t="s">
        <v>429</v>
      </c>
      <c r="U584" s="4" t="s">
        <v>430</v>
      </c>
      <c r="V584" s="5" t="s">
        <v>104</v>
      </c>
      <c r="W584" s="4" t="s">
        <v>105</v>
      </c>
      <c r="X584" s="4" t="s">
        <v>106</v>
      </c>
      <c r="Y584" s="5"/>
      <c r="Z584" s="4" t="s">
        <v>75</v>
      </c>
      <c r="AA584" s="6" t="n">
        <v>106590</v>
      </c>
      <c r="AB584" s="6" t="n">
        <v>106590</v>
      </c>
      <c r="AC584" s="6" t="n">
        <v>106590</v>
      </c>
      <c r="AD584" s="6" t="n">
        <v>106590</v>
      </c>
      <c r="AE584" s="4" t="s">
        <v>444</v>
      </c>
      <c r="AF584" s="5" t="s">
        <v>445</v>
      </c>
      <c r="AG584" s="4" t="s">
        <v>78</v>
      </c>
      <c r="AH584" s="4" t="s">
        <v>79</v>
      </c>
      <c r="AI584" s="5" t="s">
        <v>80</v>
      </c>
      <c r="AJ584" s="1" t="n">
        <v>1</v>
      </c>
      <c r="AK584" s="11" t="n">
        <v>1</v>
      </c>
      <c r="AL584" s="12" t="s">
        <v>81</v>
      </c>
      <c r="AM584" s="13" t="str">
        <f>IF(AL584="","",AL584&amp;" - "&amp;IFERROR(VLOOKUP(AL584,CODEBOOK_CAP!$C$2:$D$212,2,FALSE),""))</f>
        <v>0322 - ESTRUTURAS, HOSPITAIS, CLÍNICAS</v>
      </c>
      <c r="AN584" s="13" t="str">
        <f>IF(AL584="","",IFERROR(VLOOKUP(AL584,CODEBOOK_CAP!$C$2:$E$212,3,FALSE),""))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584" s="11" t="n">
        <v>1</v>
      </c>
      <c r="AP584" s="11" t="s">
        <v>3483</v>
      </c>
      <c r="AQ584" s="11" t="n">
        <v>1</v>
      </c>
      <c r="AR584" s="11" t="n">
        <v>1</v>
      </c>
      <c r="AS584" s="11" t="s">
        <v>3484</v>
      </c>
      <c r="AT584" s="11" t="n">
        <v>0</v>
      </c>
      <c r="AU584" s="11"/>
      <c r="AV584" s="11"/>
      <c r="AW584" s="11"/>
      <c r="AX584" s="7" t="s">
        <v>84</v>
      </c>
      <c r="AY584" s="7"/>
      <c r="AZ584" s="7"/>
      <c r="BA584" s="7"/>
    </row>
    <row r="585" ht="85.5" customHeight="1">
      <c r="A585" s="4" t="s">
        <v>3485</v>
      </c>
      <c r="B585" s="4" t="n">
        <v>2022</v>
      </c>
      <c r="C585" s="4" t="n">
        <v>4258</v>
      </c>
      <c r="D585" s="4" t="s">
        <v>54</v>
      </c>
      <c r="E585" s="4" t="s">
        <v>3331</v>
      </c>
      <c r="F585" s="5" t="s">
        <v>3486</v>
      </c>
      <c r="G585" s="4" t="s">
        <v>57</v>
      </c>
      <c r="H585" s="4" t="s">
        <v>3333</v>
      </c>
      <c r="I585" s="4" t="s">
        <v>3334</v>
      </c>
      <c r="J585" s="4" t="s">
        <v>3487</v>
      </c>
      <c r="K585" s="4" t="s">
        <v>549</v>
      </c>
      <c r="L585" s="5" t="s">
        <v>62</v>
      </c>
      <c r="M585" s="4" t="s">
        <v>63</v>
      </c>
      <c r="N585" s="5" t="s">
        <v>64</v>
      </c>
      <c r="O585" s="4" t="s">
        <v>65</v>
      </c>
      <c r="P585" s="5" t="s">
        <v>193</v>
      </c>
      <c r="Q585" s="4" t="s">
        <v>194</v>
      </c>
      <c r="R585" s="5" t="s">
        <v>195</v>
      </c>
      <c r="S585" s="4" t="s">
        <v>196</v>
      </c>
      <c r="T585" s="5" t="s">
        <v>429</v>
      </c>
      <c r="U585" s="4" t="s">
        <v>430</v>
      </c>
      <c r="V585" s="5" t="s">
        <v>104</v>
      </c>
      <c r="W585" s="4" t="s">
        <v>105</v>
      </c>
      <c r="X585" s="4" t="s">
        <v>106</v>
      </c>
      <c r="Y585" s="5"/>
      <c r="Z585" s="4" t="s">
        <v>75</v>
      </c>
      <c r="AA585" s="6" t="n">
        <v>123220</v>
      </c>
      <c r="AB585" s="6" t="n">
        <v>123220</v>
      </c>
      <c r="AC585" s="6" t="n">
        <v>123220</v>
      </c>
      <c r="AD585" s="6" t="n">
        <v>123220</v>
      </c>
      <c r="AE585" s="4" t="s">
        <v>3488</v>
      </c>
      <c r="AF585" s="5" t="s">
        <v>966</v>
      </c>
      <c r="AG585" s="4" t="s">
        <v>78</v>
      </c>
      <c r="AH585" s="4" t="s">
        <v>79</v>
      </c>
      <c r="AI585" s="5" t="s">
        <v>80</v>
      </c>
      <c r="AJ585" s="1" t="n">
        <v>1</v>
      </c>
      <c r="AK585" s="11" t="n">
        <v>1</v>
      </c>
      <c r="AL585" s="12" t="s">
        <v>81</v>
      </c>
      <c r="AM585" s="13" t="str">
        <f>IF(AL585="","",AL585&amp;" - "&amp;IFERROR(VLOOKUP(AL585,CODEBOOK_CAP!$C$2:$D$212,2,FALSE),""))</f>
        <v>0322 - ESTRUTURAS, HOSPITAIS, CLÍNICAS</v>
      </c>
      <c r="AN585" s="13" t="str">
        <f>IF(AL585="","",IFERROR(VLOOKUP(AL585,CODEBOOK_CAP!$C$2:$E$212,3,FALSE),""))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585" s="11" t="n">
        <v>1</v>
      </c>
      <c r="AP585" s="11" t="s">
        <v>3489</v>
      </c>
      <c r="AQ585" s="11" t="n">
        <v>1</v>
      </c>
      <c r="AR585" s="11" t="n">
        <v>1</v>
      </c>
      <c r="AS585" s="11" t="s">
        <v>3490</v>
      </c>
      <c r="AT585" s="11" t="n">
        <v>0</v>
      </c>
      <c r="AU585" s="11"/>
      <c r="AV585" s="11"/>
      <c r="AW585" s="11"/>
      <c r="AX585" s="7" t="s">
        <v>84</v>
      </c>
      <c r="AY585" s="7"/>
      <c r="AZ585" s="7"/>
      <c r="BA585" s="7"/>
    </row>
    <row r="586" ht="156.75" customHeight="1">
      <c r="A586" s="4" t="s">
        <v>3491</v>
      </c>
      <c r="B586" s="4" t="n">
        <v>2022</v>
      </c>
      <c r="C586" s="4" t="n">
        <v>4259</v>
      </c>
      <c r="D586" s="4" t="s">
        <v>54</v>
      </c>
      <c r="E586" s="4" t="s">
        <v>3331</v>
      </c>
      <c r="F586" s="5" t="s">
        <v>3492</v>
      </c>
      <c r="G586" s="4" t="s">
        <v>57</v>
      </c>
      <c r="H586" s="4" t="s">
        <v>3333</v>
      </c>
      <c r="I586" s="4" t="s">
        <v>3334</v>
      </c>
      <c r="J586" s="4" t="s">
        <v>3493</v>
      </c>
      <c r="K586" s="4" t="s">
        <v>93</v>
      </c>
      <c r="L586" s="5" t="s">
        <v>94</v>
      </c>
      <c r="M586" s="4" t="s">
        <v>95</v>
      </c>
      <c r="N586" s="5" t="s">
        <v>96</v>
      </c>
      <c r="O586" s="4" t="s">
        <v>97</v>
      </c>
      <c r="P586" s="5" t="s">
        <v>98</v>
      </c>
      <c r="Q586" s="4" t="s">
        <v>99</v>
      </c>
      <c r="R586" s="5" t="s">
        <v>100</v>
      </c>
      <c r="S586" s="4" t="s">
        <v>101</v>
      </c>
      <c r="T586" s="5" t="s">
        <v>102</v>
      </c>
      <c r="U586" s="4" t="s">
        <v>103</v>
      </c>
      <c r="V586" s="5" t="s">
        <v>104</v>
      </c>
      <c r="W586" s="4" t="s">
        <v>105</v>
      </c>
      <c r="X586" s="4" t="s">
        <v>106</v>
      </c>
      <c r="Y586" s="5"/>
      <c r="Z586" s="4" t="s">
        <v>107</v>
      </c>
      <c r="AA586" s="6" t="n">
        <v>38020</v>
      </c>
      <c r="AB586" s="6" t="n">
        <v>38020</v>
      </c>
      <c r="AC586" s="6" t="n">
        <v>38020</v>
      </c>
      <c r="AD586" s="6" t="n">
        <v>38020</v>
      </c>
      <c r="AE586" s="4" t="s">
        <v>3494</v>
      </c>
      <c r="AF586" s="5" t="s">
        <v>3495</v>
      </c>
      <c r="AG586" s="4" t="s">
        <v>110</v>
      </c>
      <c r="AH586" s="4" t="s">
        <v>110</v>
      </c>
      <c r="AI586" s="5"/>
      <c r="AJ586" s="1" t="n">
        <v>0</v>
      </c>
      <c r="AK586" s="11" t="n">
        <v>0</v>
      </c>
      <c r="AL586" s="12" t="s">
        <v>111</v>
      </c>
      <c r="AM586" s="13" t="str">
        <f>IF(AL586="","",AL586&amp;" - "&amp;IFERROR(VLOOKUP(AL586,CODEBOOK_CAP!$C$2:$D$212,2,FALSE),""))</f>
        <v>1300 - GERAL</v>
      </c>
      <c r="AN586" s="13" t="str">
        <f>IF(AL586="","",IFERROR(VLOOKUP(AL586,CODEBOOK_CAP!$C$2:$E$212,3,FALSE),""))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586" s="11" t="n">
        <v>0</v>
      </c>
      <c r="AP586" s="11"/>
      <c r="AQ586" s="11" t="n">
        <v>0</v>
      </c>
      <c r="AR586" s="11" t="n">
        <v>0</v>
      </c>
      <c r="AS586" s="11"/>
      <c r="AT586" s="11" t="n">
        <v>0</v>
      </c>
      <c r="AU586" s="11"/>
      <c r="AV586" s="11"/>
      <c r="AW586" s="11"/>
      <c r="AX586" s="7" t="s">
        <v>84</v>
      </c>
      <c r="AY586" s="7"/>
      <c r="AZ586" s="7"/>
      <c r="BA586" s="7"/>
    </row>
    <row r="587" ht="114" customHeight="1">
      <c r="A587" s="4" t="s">
        <v>3496</v>
      </c>
      <c r="B587" s="4" t="n">
        <v>2022</v>
      </c>
      <c r="C587" s="4" t="n">
        <v>4391</v>
      </c>
      <c r="D587" s="4" t="s">
        <v>54</v>
      </c>
      <c r="E587" s="4" t="s">
        <v>3497</v>
      </c>
      <c r="F587" s="5" t="s">
        <v>3498</v>
      </c>
      <c r="G587" s="4" t="s">
        <v>289</v>
      </c>
      <c r="H587" s="4" t="s">
        <v>3499</v>
      </c>
      <c r="I587" s="4" t="s">
        <v>1666</v>
      </c>
      <c r="J587" s="4" t="s">
        <v>3500</v>
      </c>
      <c r="K587" s="4" t="s">
        <v>549</v>
      </c>
      <c r="L587" s="5" t="s">
        <v>62</v>
      </c>
      <c r="M587" s="4" t="s">
        <v>63</v>
      </c>
      <c r="N587" s="5" t="s">
        <v>64</v>
      </c>
      <c r="O587" s="4" t="s">
        <v>65</v>
      </c>
      <c r="P587" s="5" t="s">
        <v>193</v>
      </c>
      <c r="Q587" s="4" t="s">
        <v>194</v>
      </c>
      <c r="R587" s="5" t="s">
        <v>195</v>
      </c>
      <c r="S587" s="4" t="s">
        <v>196</v>
      </c>
      <c r="T587" s="5" t="s">
        <v>429</v>
      </c>
      <c r="U587" s="4" t="s">
        <v>430</v>
      </c>
      <c r="V587" s="5" t="s">
        <v>104</v>
      </c>
      <c r="W587" s="4" t="s">
        <v>105</v>
      </c>
      <c r="X587" s="4" t="s">
        <v>106</v>
      </c>
      <c r="Y587" s="5"/>
      <c r="Z587" s="4" t="s">
        <v>289</v>
      </c>
      <c r="AA587" s="6" t="n">
        <v>80000</v>
      </c>
      <c r="AB587" s="6" t="n">
        <v>80000</v>
      </c>
      <c r="AC587" s="6" t="n">
        <v>80000</v>
      </c>
      <c r="AD587" s="6" t="n">
        <v>80000</v>
      </c>
      <c r="AE587" s="4" t="s">
        <v>690</v>
      </c>
      <c r="AF587" s="5" t="s">
        <v>451</v>
      </c>
      <c r="AG587" s="4" t="s">
        <v>78</v>
      </c>
      <c r="AH587" s="4" t="s">
        <v>79</v>
      </c>
      <c r="AI587" s="5" t="s">
        <v>80</v>
      </c>
      <c r="AJ587" s="1" t="n">
        <v>1</v>
      </c>
      <c r="AK587" s="11" t="n">
        <v>1</v>
      </c>
      <c r="AL587" s="12" t="s">
        <v>452</v>
      </c>
      <c r="AM587" s="13" t="str">
        <f>IF(AL587="","",AL587&amp;" - "&amp;IFERROR(VLOOKUP(AL587,CODEBOOK_CAP!$C$2:$D$212,2,FALSE),""))</f>
        <v>0332 - SAÚDE INFANTIL, GRAVIDEZ E PRÉ-NATAL</v>
      </c>
      <c r="AN587" s="13" t="str">
        <f>IF(AL587="","",IFERROR(VLOOKUP(AL587,CODEBOOK_CAP!$C$2:$E$212,3,FALSE),""))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587" s="11" t="n">
        <v>0</v>
      </c>
      <c r="AP587" s="11"/>
      <c r="AQ587" s="11" t="n">
        <v>1</v>
      </c>
      <c r="AR587" s="11" t="n">
        <v>1</v>
      </c>
      <c r="AS587" s="11" t="s">
        <v>453</v>
      </c>
      <c r="AT587" s="11" t="n">
        <v>1</v>
      </c>
      <c r="AU587" s="11" t="s">
        <v>454</v>
      </c>
      <c r="AV587" s="11"/>
      <c r="AW587" s="11"/>
      <c r="AX587" s="7" t="s">
        <v>84</v>
      </c>
      <c r="AY587" s="7"/>
      <c r="AZ587" s="7"/>
      <c r="BA587" s="7"/>
    </row>
    <row r="588" ht="99.75" customHeight="1">
      <c r="A588" s="4" t="s">
        <v>3501</v>
      </c>
      <c r="B588" s="4" t="n">
        <v>2022</v>
      </c>
      <c r="C588" s="4" t="n">
        <v>4397</v>
      </c>
      <c r="D588" s="4" t="s">
        <v>54</v>
      </c>
      <c r="E588" s="4" t="s">
        <v>3497</v>
      </c>
      <c r="F588" s="5" t="s">
        <v>3502</v>
      </c>
      <c r="G588" s="4" t="s">
        <v>57</v>
      </c>
      <c r="H588" s="4" t="s">
        <v>3499</v>
      </c>
      <c r="I588" s="4" t="s">
        <v>1666</v>
      </c>
      <c r="J588" s="4" t="s">
        <v>3503</v>
      </c>
      <c r="K588" s="4" t="s">
        <v>3504</v>
      </c>
      <c r="L588" s="5" t="s">
        <v>62</v>
      </c>
      <c r="M588" s="4" t="s">
        <v>63</v>
      </c>
      <c r="N588" s="5" t="s">
        <v>64</v>
      </c>
      <c r="O588" s="4" t="s">
        <v>65</v>
      </c>
      <c r="P588" s="5" t="s">
        <v>344</v>
      </c>
      <c r="Q588" s="4" t="s">
        <v>345</v>
      </c>
      <c r="R588" s="5" t="s">
        <v>346</v>
      </c>
      <c r="S588" s="4" t="s">
        <v>347</v>
      </c>
      <c r="T588" s="5" t="s">
        <v>555</v>
      </c>
      <c r="U588" s="4" t="s">
        <v>347</v>
      </c>
      <c r="V588" s="5" t="s">
        <v>310</v>
      </c>
      <c r="W588" s="4" t="s">
        <v>73</v>
      </c>
      <c r="X588" s="4" t="s">
        <v>74</v>
      </c>
      <c r="Y588" s="5"/>
      <c r="Z588" s="4" t="s">
        <v>75</v>
      </c>
      <c r="AA588" s="6" t="n">
        <v>80000</v>
      </c>
      <c r="AB588" s="6" t="n">
        <v>38346</v>
      </c>
      <c r="AC588" s="6" t="n">
        <v>38346</v>
      </c>
      <c r="AD588" s="6" t="n">
        <v>38346</v>
      </c>
      <c r="AE588" s="4" t="s">
        <v>3505</v>
      </c>
      <c r="AF588" s="5" t="s">
        <v>3506</v>
      </c>
      <c r="AG588" s="4" t="s">
        <v>78</v>
      </c>
      <c r="AH588" s="4" t="s">
        <v>79</v>
      </c>
      <c r="AI588" s="5" t="s">
        <v>80</v>
      </c>
      <c r="AJ588" s="1" t="n">
        <v>1</v>
      </c>
      <c r="AK588" s="11" t="n">
        <v>1</v>
      </c>
      <c r="AL588" s="12" t="s">
        <v>81</v>
      </c>
      <c r="AM588" s="13" t="str">
        <f>IF(AL588="","",AL588&amp;" - "&amp;IFERROR(VLOOKUP(AL588,CODEBOOK_CAP!$C$2:$D$212,2,FALSE),""))</f>
        <v>0322 - ESTRUTURAS, HOSPITAIS, CLÍNICAS</v>
      </c>
      <c r="AN588" s="13" t="str">
        <f>IF(AL588="","",IFERROR(VLOOKUP(AL588,CODEBOOK_CAP!$C$2:$E$212,3,FALSE),""))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588" s="11" t="n">
        <v>1</v>
      </c>
      <c r="AP588" s="11" t="s">
        <v>3507</v>
      </c>
      <c r="AQ588" s="11" t="n">
        <v>1</v>
      </c>
      <c r="AR588" s="11" t="n">
        <v>1</v>
      </c>
      <c r="AS588" s="11" t="s">
        <v>3508</v>
      </c>
      <c r="AT588" s="11" t="n">
        <v>0</v>
      </c>
      <c r="AU588" s="11"/>
      <c r="AV588" s="11"/>
      <c r="AW588" s="11"/>
      <c r="AX588" s="7" t="s">
        <v>84</v>
      </c>
      <c r="AY588" s="7"/>
      <c r="AZ588" s="7"/>
      <c r="BA588" s="7"/>
    </row>
    <row r="589" ht="171" customHeight="1">
      <c r="A589" s="4" t="s">
        <v>3509</v>
      </c>
      <c r="B589" s="4" t="n">
        <v>2022</v>
      </c>
      <c r="C589" s="4" t="n">
        <v>4398</v>
      </c>
      <c r="D589" s="4" t="s">
        <v>54</v>
      </c>
      <c r="E589" s="4" t="s">
        <v>3497</v>
      </c>
      <c r="F589" s="5" t="s">
        <v>3510</v>
      </c>
      <c r="G589" s="4" t="s">
        <v>57</v>
      </c>
      <c r="H589" s="4" t="s">
        <v>3499</v>
      </c>
      <c r="I589" s="4" t="s">
        <v>1666</v>
      </c>
      <c r="J589" s="4" t="s">
        <v>3511</v>
      </c>
      <c r="K589" s="4" t="s">
        <v>3063</v>
      </c>
      <c r="L589" s="5" t="s">
        <v>122</v>
      </c>
      <c r="M589" s="4" t="s">
        <v>123</v>
      </c>
      <c r="N589" s="5" t="s">
        <v>124</v>
      </c>
      <c r="O589" s="4" t="s">
        <v>125</v>
      </c>
      <c r="P589" s="5" t="s">
        <v>126</v>
      </c>
      <c r="Q589" s="4" t="s">
        <v>127</v>
      </c>
      <c r="R589" s="5" t="s">
        <v>128</v>
      </c>
      <c r="S589" s="4" t="s">
        <v>129</v>
      </c>
      <c r="T589" s="5" t="s">
        <v>130</v>
      </c>
      <c r="U589" s="4" t="s">
        <v>131</v>
      </c>
      <c r="V589" s="5" t="s">
        <v>72</v>
      </c>
      <c r="W589" s="4" t="s">
        <v>73</v>
      </c>
      <c r="X589" s="4" t="s">
        <v>74</v>
      </c>
      <c r="Y589" s="5"/>
      <c r="Z589" s="4" t="s">
        <v>132</v>
      </c>
      <c r="AA589" s="6" t="n">
        <v>300000</v>
      </c>
      <c r="AB589" s="6" t="n">
        <v>300000</v>
      </c>
      <c r="AC589" s="6" t="n">
        <v>300000</v>
      </c>
      <c r="AD589" s="6" t="n">
        <v>300000</v>
      </c>
      <c r="AE589" s="4" t="s">
        <v>3512</v>
      </c>
      <c r="AF589" s="5" t="s">
        <v>3513</v>
      </c>
      <c r="AG589" s="4" t="s">
        <v>78</v>
      </c>
      <c r="AH589" s="4" t="s">
        <v>79</v>
      </c>
      <c r="AI589" s="5" t="s">
        <v>80</v>
      </c>
      <c r="AJ589" s="1" t="n">
        <v>0</v>
      </c>
      <c r="AK589" s="11" t="n">
        <v>0</v>
      </c>
      <c r="AL589" s="12" t="s">
        <v>135</v>
      </c>
      <c r="AM589" s="13" t="str">
        <f>IF(AL589="","",AL589&amp;" - "&amp;IFERROR(VLOOKUP(AL589,CODEBOOK_CAP!$C$2:$D$212,2,FALSE),""))</f>
        <v>1002 - CARROS, TRÂNSITO, CONSTRUÇÃO E MANUTENÇÃO DE RUAS E ESTRADAS</v>
      </c>
      <c r="AN589" s="13" t="str">
        <f>IF(AL589="","",IFERROR(VLOOKUP(AL589,CODEBOOK_CAP!$C$2:$E$212,3,FALSE),""))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589" s="11" t="n">
        <v>1</v>
      </c>
      <c r="AP589" s="11" t="s">
        <v>9318</v>
      </c>
      <c r="AQ589" s="11" t="n">
        <v>1</v>
      </c>
      <c r="AR589" s="11" t="n">
        <v>1</v>
      </c>
      <c r="AS589" s="11" t="s">
        <v>9319</v>
      </c>
      <c r="AT589" s="11" t="n">
        <v>0</v>
      </c>
      <c r="AU589" s="11"/>
      <c r="AV589" s="11"/>
      <c r="AW589" s="11"/>
      <c r="AX589" s="7" t="s">
        <v>84</v>
      </c>
      <c r="AY589" s="7"/>
      <c r="AZ589" s="7"/>
      <c r="BA589" s="7"/>
    </row>
    <row r="590" ht="171" customHeight="1">
      <c r="A590" s="4" t="s">
        <v>3515</v>
      </c>
      <c r="B590" s="4" t="n">
        <v>2022</v>
      </c>
      <c r="C590" s="4" t="n">
        <v>4399</v>
      </c>
      <c r="D590" s="4" t="s">
        <v>54</v>
      </c>
      <c r="E590" s="4" t="s">
        <v>3497</v>
      </c>
      <c r="F590" s="5" t="s">
        <v>3516</v>
      </c>
      <c r="G590" s="4" t="s">
        <v>57</v>
      </c>
      <c r="H590" s="4" t="s">
        <v>3499</v>
      </c>
      <c r="I590" s="4" t="s">
        <v>1666</v>
      </c>
      <c r="J590" s="4" t="s">
        <v>3517</v>
      </c>
      <c r="K590" s="4" t="s">
        <v>121</v>
      </c>
      <c r="L590" s="5" t="s">
        <v>122</v>
      </c>
      <c r="M590" s="4" t="s">
        <v>123</v>
      </c>
      <c r="N590" s="5" t="s">
        <v>124</v>
      </c>
      <c r="O590" s="4" t="s">
        <v>125</v>
      </c>
      <c r="P590" s="5" t="s">
        <v>126</v>
      </c>
      <c r="Q590" s="4" t="s">
        <v>127</v>
      </c>
      <c r="R590" s="5" t="s">
        <v>128</v>
      </c>
      <c r="S590" s="4" t="s">
        <v>129</v>
      </c>
      <c r="T590" s="5" t="s">
        <v>130</v>
      </c>
      <c r="U590" s="4" t="s">
        <v>131</v>
      </c>
      <c r="V590" s="5" t="s">
        <v>72</v>
      </c>
      <c r="W590" s="4" t="s">
        <v>73</v>
      </c>
      <c r="X590" s="4" t="s">
        <v>74</v>
      </c>
      <c r="Y590" s="5"/>
      <c r="Z590" s="4" t="s">
        <v>132</v>
      </c>
      <c r="AA590" s="6" t="n">
        <v>300000</v>
      </c>
      <c r="AB590" s="6" t="n">
        <v>15083</v>
      </c>
      <c r="AC590" s="6" t="n">
        <v>15083</v>
      </c>
      <c r="AD590" s="6" t="n">
        <v>15083</v>
      </c>
      <c r="AE590" s="4" t="s">
        <v>3518</v>
      </c>
      <c r="AF590" s="5" t="s">
        <v>3519</v>
      </c>
      <c r="AG590" s="4" t="s">
        <v>78</v>
      </c>
      <c r="AH590" s="4" t="s">
        <v>79</v>
      </c>
      <c r="AI590" s="5" t="s">
        <v>80</v>
      </c>
      <c r="AJ590" s="1" t="n">
        <v>0</v>
      </c>
      <c r="AK590" s="11" t="n">
        <v>0</v>
      </c>
      <c r="AL590" s="12" t="s">
        <v>135</v>
      </c>
      <c r="AM590" s="13" t="str">
        <f>IF(AL590="","",AL590&amp;" - "&amp;IFERROR(VLOOKUP(AL590,CODEBOOK_CAP!$C$2:$D$212,2,FALSE),""))</f>
        <v>1002 - CARROS, TRÂNSITO, CONSTRUÇÃO E MANUTENÇÃO DE RUAS E ESTRADAS</v>
      </c>
      <c r="AN590" s="13" t="str">
        <f>IF(AL590="","",IFERROR(VLOOKUP(AL590,CODEBOOK_CAP!$C$2:$E$212,3,FALSE),""))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590" s="11" t="n">
        <v>1</v>
      </c>
      <c r="AP590" s="11" t="s">
        <v>3520</v>
      </c>
      <c r="AQ590" s="11" t="n">
        <v>1</v>
      </c>
      <c r="AR590" s="11" t="n">
        <v>1</v>
      </c>
      <c r="AS590" s="11" t="s">
        <v>3521</v>
      </c>
      <c r="AT590" s="11" t="n">
        <v>0</v>
      </c>
      <c r="AU590" s="11"/>
      <c r="AV590" s="11"/>
      <c r="AW590" s="11"/>
      <c r="AX590" s="7" t="s">
        <v>84</v>
      </c>
      <c r="AY590" s="7"/>
      <c r="AZ590" s="7"/>
      <c r="BA590" s="7"/>
    </row>
    <row r="591" ht="142.5" customHeight="1">
      <c r="A591" s="4" t="s">
        <v>3522</v>
      </c>
      <c r="B591" s="4" t="n">
        <v>2022</v>
      </c>
      <c r="C591" s="4" t="n">
        <v>4400</v>
      </c>
      <c r="D591" s="4" t="s">
        <v>54</v>
      </c>
      <c r="E591" s="4" t="s">
        <v>3497</v>
      </c>
      <c r="F591" s="5" t="s">
        <v>3523</v>
      </c>
      <c r="G591" s="4" t="s">
        <v>289</v>
      </c>
      <c r="H591" s="4" t="s">
        <v>3499</v>
      </c>
      <c r="I591" s="4" t="s">
        <v>1666</v>
      </c>
      <c r="J591" s="4" t="s">
        <v>3524</v>
      </c>
      <c r="K591" s="4" t="s">
        <v>3063</v>
      </c>
      <c r="L591" s="5" t="s">
        <v>122</v>
      </c>
      <c r="M591" s="4" t="s">
        <v>123</v>
      </c>
      <c r="N591" s="5" t="s">
        <v>124</v>
      </c>
      <c r="O591" s="4" t="s">
        <v>125</v>
      </c>
      <c r="P591" s="5" t="s">
        <v>126</v>
      </c>
      <c r="Q591" s="4" t="s">
        <v>127</v>
      </c>
      <c r="R591" s="5" t="s">
        <v>128</v>
      </c>
      <c r="S591" s="4" t="s">
        <v>129</v>
      </c>
      <c r="T591" s="5" t="s">
        <v>130</v>
      </c>
      <c r="U591" s="4" t="s">
        <v>131</v>
      </c>
      <c r="V591" s="5" t="s">
        <v>72</v>
      </c>
      <c r="W591" s="4" t="s">
        <v>73</v>
      </c>
      <c r="X591" s="4" t="s">
        <v>74</v>
      </c>
      <c r="Y591" s="5"/>
      <c r="Z591" s="4" t="s">
        <v>289</v>
      </c>
      <c r="AA591" s="6" t="n">
        <v>40000</v>
      </c>
      <c r="AB591" s="6" t="n">
        <v>40000</v>
      </c>
      <c r="AC591" s="6" t="n">
        <v>40000</v>
      </c>
      <c r="AD591" s="6" t="n">
        <v>40000</v>
      </c>
      <c r="AE591" s="4" t="s">
        <v>3525</v>
      </c>
      <c r="AF591" s="5" t="s">
        <v>3526</v>
      </c>
      <c r="AG591" s="4" t="s">
        <v>78</v>
      </c>
      <c r="AH591" s="4" t="s">
        <v>79</v>
      </c>
      <c r="AI591" s="5" t="s">
        <v>80</v>
      </c>
      <c r="AJ591" s="1" t="n">
        <v>0</v>
      </c>
      <c r="AK591" s="11" t="n">
        <v>0</v>
      </c>
      <c r="AL591" s="12" t="s">
        <v>871</v>
      </c>
      <c r="AM591" s="13" t="str">
        <f>IF(AL591="","",AL591&amp;" - "&amp;IFERROR(VLOOKUP(AL591,CODEBOOK_CAP!$C$2:$D$212,2,FALSE),""))</f>
        <v>0711 - CONSERVAÇÃO DO SOLO, MAR, RIOS, PRAIAS E COSTAS</v>
      </c>
      <c r="AN591" s="13" t="str">
        <f>IF(AL591="","",IFERROR(VLOOKUP(AL591,CODEBOOK_CAP!$C$2:$E$212,3,FALSE),""))</f>
        <v>Poluição de oceanos, regulamentação de acesso e conservação da costa, ilhas, praias, mangues, e assuntos relacionados ao mar, oceanos e litoral. Erosão de terrenos, morros, promoção da qualidade do solo, conservação de rios, lagos e afluentes, questões vinculadas a enchentes, poluição urbana, margens, encostas de rios, chuvas, temporais, tempestades, terrenos contaminados, rios contamidados e poluidos, fertilizantes. Quando assunto for uso dos recursos naturais usar codigo 21. 2104 para recursos hídricos, 2103 para recursos naturais como minerais. Quando o assunto for tratamento de água potável, distribuição de água potável para residencias, 701.</v>
      </c>
      <c r="AO591" s="11" t="n">
        <v>1</v>
      </c>
      <c r="AP591" s="11" t="s">
        <v>3527</v>
      </c>
      <c r="AQ591" s="11" t="n">
        <v>1</v>
      </c>
      <c r="AR591" s="11" t="n">
        <v>1</v>
      </c>
      <c r="AS591" s="11" t="s">
        <v>3528</v>
      </c>
      <c r="AT591" s="11" t="n">
        <v>0</v>
      </c>
      <c r="AU591" s="11"/>
      <c r="AV591" s="11"/>
      <c r="AW591" s="11"/>
      <c r="AX591" s="7" t="s">
        <v>84</v>
      </c>
      <c r="AY591" s="7"/>
      <c r="AZ591" s="7"/>
      <c r="BA591" s="7"/>
    </row>
    <row r="592" ht="142.5" customHeight="1">
      <c r="A592" s="4" t="s">
        <v>3529</v>
      </c>
      <c r="B592" s="4" t="n">
        <v>2022</v>
      </c>
      <c r="C592" s="4" t="n">
        <v>4401</v>
      </c>
      <c r="D592" s="4" t="s">
        <v>54</v>
      </c>
      <c r="E592" s="4" t="s">
        <v>3497</v>
      </c>
      <c r="F592" s="5" t="s">
        <v>3530</v>
      </c>
      <c r="G592" s="4" t="s">
        <v>57</v>
      </c>
      <c r="H592" s="4" t="s">
        <v>3499</v>
      </c>
      <c r="I592" s="4" t="s">
        <v>1666</v>
      </c>
      <c r="J592" s="4" t="s">
        <v>3531</v>
      </c>
      <c r="K592" s="4" t="s">
        <v>3063</v>
      </c>
      <c r="L592" s="5" t="s">
        <v>122</v>
      </c>
      <c r="M592" s="4" t="s">
        <v>123</v>
      </c>
      <c r="N592" s="5" t="s">
        <v>124</v>
      </c>
      <c r="O592" s="4" t="s">
        <v>125</v>
      </c>
      <c r="P592" s="5" t="s">
        <v>126</v>
      </c>
      <c r="Q592" s="4" t="s">
        <v>127</v>
      </c>
      <c r="R592" s="5" t="s">
        <v>128</v>
      </c>
      <c r="S592" s="4" t="s">
        <v>129</v>
      </c>
      <c r="T592" s="5" t="s">
        <v>130</v>
      </c>
      <c r="U592" s="4" t="s">
        <v>131</v>
      </c>
      <c r="V592" s="5" t="s">
        <v>72</v>
      </c>
      <c r="W592" s="4" t="s">
        <v>73</v>
      </c>
      <c r="X592" s="4" t="s">
        <v>74</v>
      </c>
      <c r="Y592" s="5"/>
      <c r="Z592" s="4" t="s">
        <v>132</v>
      </c>
      <c r="AA592" s="6" t="n">
        <v>40000</v>
      </c>
      <c r="AB592" s="6" t="n">
        <v>40000</v>
      </c>
      <c r="AC592" s="6" t="n">
        <v>0</v>
      </c>
      <c r="AD592" s="6" t="n">
        <v>0</v>
      </c>
      <c r="AE592" s="4" t="s">
        <v>3532</v>
      </c>
      <c r="AF592" s="5" t="s">
        <v>3533</v>
      </c>
      <c r="AG592" s="4" t="s">
        <v>78</v>
      </c>
      <c r="AH592" s="4" t="s">
        <v>79</v>
      </c>
      <c r="AI592" s="5" t="s">
        <v>80</v>
      </c>
      <c r="AJ592" s="1" t="n">
        <v>0</v>
      </c>
      <c r="AK592" s="11" t="n">
        <v>0</v>
      </c>
      <c r="AL592" s="12" t="s">
        <v>871</v>
      </c>
      <c r="AM592" s="13" t="str">
        <f>IF(AL592="","",AL592&amp;" - "&amp;IFERROR(VLOOKUP(AL592,CODEBOOK_CAP!$C$2:$D$212,2,FALSE),""))</f>
        <v>0711 - CONSERVAÇÃO DO SOLO, MAR, RIOS, PRAIAS E COSTAS</v>
      </c>
      <c r="AN592" s="13" t="str">
        <f>IF(AL592="","",IFERROR(VLOOKUP(AL592,CODEBOOK_CAP!$C$2:$E$212,3,FALSE),""))</f>
        <v>Poluição de oceanos, regulamentação de acesso e conservação da costa, ilhas, praias, mangues, e assuntos relacionados ao mar, oceanos e litoral. Erosão de terrenos, morros, promoção da qualidade do solo, conservação de rios, lagos e afluentes, questões vinculadas a enchentes, poluição urbana, margens, encostas de rios, chuvas, temporais, tempestades, terrenos contaminados, rios contamidados e poluidos, fertilizantes. Quando assunto for uso dos recursos naturais usar codigo 21. 2104 para recursos hídricos, 2103 para recursos naturais como minerais. Quando o assunto for tratamento de água potável, distribuição de água potável para residencias, 701.</v>
      </c>
      <c r="AO592" s="11" t="n">
        <v>1</v>
      </c>
      <c r="AP592" s="11" t="s">
        <v>3534</v>
      </c>
      <c r="AQ592" s="11" t="n">
        <v>1</v>
      </c>
      <c r="AR592" s="11" t="n">
        <v>1</v>
      </c>
      <c r="AS592" s="11" t="s">
        <v>3535</v>
      </c>
      <c r="AT592" s="11" t="n">
        <v>0</v>
      </c>
      <c r="AU592" s="11"/>
      <c r="AV592" s="11"/>
      <c r="AW592" s="11"/>
      <c r="AX592" s="7" t="s">
        <v>84</v>
      </c>
      <c r="AY592" s="7"/>
      <c r="AZ592" s="7"/>
      <c r="BA592" s="7"/>
    </row>
    <row r="593" ht="57" customHeight="1">
      <c r="A593" s="4" t="s">
        <v>3536</v>
      </c>
      <c r="B593" s="4" t="n">
        <v>2022</v>
      </c>
      <c r="C593" s="4" t="n">
        <v>4402</v>
      </c>
      <c r="D593" s="4" t="s">
        <v>54</v>
      </c>
      <c r="E593" s="4" t="s">
        <v>3497</v>
      </c>
      <c r="F593" s="5" t="s">
        <v>3537</v>
      </c>
      <c r="G593" s="4" t="s">
        <v>289</v>
      </c>
      <c r="H593" s="4" t="s">
        <v>3499</v>
      </c>
      <c r="I593" s="4" t="s">
        <v>1666</v>
      </c>
      <c r="J593" s="4" t="s">
        <v>3538</v>
      </c>
      <c r="K593" s="4" t="s">
        <v>115</v>
      </c>
      <c r="L593" s="5"/>
      <c r="M593" s="4"/>
      <c r="N593" s="5"/>
      <c r="O593" s="4"/>
      <c r="P593" s="5"/>
      <c r="Q593" s="4"/>
      <c r="R593" s="5"/>
      <c r="S593" s="4"/>
      <c r="T593" s="5"/>
      <c r="U593" s="4"/>
      <c r="V593" s="5"/>
      <c r="W593" s="4"/>
      <c r="X593" s="4"/>
      <c r="Y593" s="5"/>
      <c r="Z593" s="4" t="s">
        <v>289</v>
      </c>
      <c r="AA593" s="6" t="n">
        <v>80000</v>
      </c>
      <c r="AB593" s="6"/>
      <c r="AC593" s="6"/>
      <c r="AD593" s="6"/>
      <c r="AE593" s="4" t="s">
        <v>115</v>
      </c>
      <c r="AF593" s="5"/>
      <c r="AG593" s="4" t="s">
        <v>78</v>
      </c>
      <c r="AH593" s="4" t="s">
        <v>79</v>
      </c>
      <c r="AI593" s="5" t="s">
        <v>80</v>
      </c>
      <c r="AJ593" s="1" t="n">
        <v>0</v>
      </c>
      <c r="AK593" s="11" t="n">
        <v>0</v>
      </c>
      <c r="AL593" s="12" t="s">
        <v>328</v>
      </c>
      <c r="AM593" s="13" t="str">
        <f>IF(AL593="","",AL593&amp;" - "&amp;IFERROR(VLOOKUP(AL593,CODEBOOK_CAP!$C$2:$D$212,2,FALSE),""))</f>
        <v>1403 - REABILITAÇÃO URBANA, ECONOMIA URBANA</v>
      </c>
      <c r="AN593" s="13" t="str">
        <f>IF(AL593="","",IFERROR(VLOOKUP(AL593,CODEBOOK_CAP!$C$2:$E$212,3,FALSE),""))</f>
        <v>Reabilitação de áreas urbanas, revitalização urbana, modernização de áreas, mercados públicos, revitalização de praças, política urbana nacional, desenvolvimento urbano , desenvolvimento econômico de estados e cidades, modernização de espaços urbanos</v>
      </c>
      <c r="AO593" s="11" t="n">
        <v>1</v>
      </c>
      <c r="AP593" s="11" t="s">
        <v>3539</v>
      </c>
      <c r="AQ593" s="11" t="n">
        <v>1</v>
      </c>
      <c r="AR593" s="11" t="n">
        <v>1</v>
      </c>
      <c r="AS593" s="11" t="s">
        <v>3539</v>
      </c>
      <c r="AT593" s="11" t="n">
        <v>0</v>
      </c>
      <c r="AU593" s="11"/>
      <c r="AV593" s="11"/>
      <c r="AW593" s="11"/>
      <c r="AX593" s="7" t="s">
        <v>84</v>
      </c>
      <c r="AY593" s="7"/>
      <c r="AZ593" s="7"/>
      <c r="BA593" s="7"/>
    </row>
    <row r="594" ht="142.5" customHeight="1">
      <c r="A594" s="4" t="s">
        <v>3540</v>
      </c>
      <c r="B594" s="4" t="n">
        <v>2022</v>
      </c>
      <c r="C594" s="4" t="n">
        <v>4403</v>
      </c>
      <c r="D594" s="4" t="s">
        <v>54</v>
      </c>
      <c r="E594" s="4" t="s">
        <v>3497</v>
      </c>
      <c r="F594" s="5" t="s">
        <v>3541</v>
      </c>
      <c r="G594" s="4" t="s">
        <v>57</v>
      </c>
      <c r="H594" s="4" t="s">
        <v>3499</v>
      </c>
      <c r="I594" s="4" t="s">
        <v>1666</v>
      </c>
      <c r="J594" s="4" t="s">
        <v>3542</v>
      </c>
      <c r="K594" s="4" t="s">
        <v>3543</v>
      </c>
      <c r="L594" s="5" t="s">
        <v>122</v>
      </c>
      <c r="M594" s="4" t="s">
        <v>123</v>
      </c>
      <c r="N594" s="5" t="s">
        <v>124</v>
      </c>
      <c r="O594" s="4" t="s">
        <v>125</v>
      </c>
      <c r="P594" s="5" t="s">
        <v>126</v>
      </c>
      <c r="Q594" s="4" t="s">
        <v>127</v>
      </c>
      <c r="R594" s="5" t="s">
        <v>3544</v>
      </c>
      <c r="S594" s="4" t="s">
        <v>3545</v>
      </c>
      <c r="T594" s="5" t="s">
        <v>3546</v>
      </c>
      <c r="U594" s="4" t="s">
        <v>3547</v>
      </c>
      <c r="V594" s="5" t="s">
        <v>72</v>
      </c>
      <c r="W594" s="4" t="s">
        <v>73</v>
      </c>
      <c r="X594" s="4" t="s">
        <v>74</v>
      </c>
      <c r="Y594" s="5"/>
      <c r="Z594" s="4" t="s">
        <v>132</v>
      </c>
      <c r="AA594" s="6" t="n">
        <v>100000</v>
      </c>
      <c r="AB594" s="6" t="n">
        <v>100000</v>
      </c>
      <c r="AC594" s="6" t="n">
        <v>11000</v>
      </c>
      <c r="AD594" s="6" t="n">
        <v>11000</v>
      </c>
      <c r="AE594" s="4" t="s">
        <v>3548</v>
      </c>
      <c r="AF594" s="5" t="s">
        <v>3549</v>
      </c>
      <c r="AG594" s="4" t="s">
        <v>78</v>
      </c>
      <c r="AH594" s="4" t="s">
        <v>79</v>
      </c>
      <c r="AI594" s="5" t="s">
        <v>80</v>
      </c>
      <c r="AJ594" s="1" t="n">
        <v>0</v>
      </c>
      <c r="AK594" s="11" t="n">
        <v>0</v>
      </c>
      <c r="AL594" s="12" t="s">
        <v>871</v>
      </c>
      <c r="AM594" s="13" t="str">
        <f>IF(AL594="","",AL594&amp;" - "&amp;IFERROR(VLOOKUP(AL594,CODEBOOK_CAP!$C$2:$D$212,2,FALSE),""))</f>
        <v>0711 - CONSERVAÇÃO DO SOLO, MAR, RIOS, PRAIAS E COSTAS</v>
      </c>
      <c r="AN594" s="13" t="str">
        <f>IF(AL594="","",IFERROR(VLOOKUP(AL594,CODEBOOK_CAP!$C$2:$E$212,3,FALSE),""))</f>
        <v>Poluição de oceanos, regulamentação de acesso e conservação da costa, ilhas, praias, mangues, e assuntos relacionados ao mar, oceanos e litoral. Erosão de terrenos, morros, promoção da qualidade do solo, conservação de rios, lagos e afluentes, questões vinculadas a enchentes, poluição urbana, margens, encostas de rios, chuvas, temporais, tempestades, terrenos contaminados, rios contamidados e poluidos, fertilizantes. Quando assunto for uso dos recursos naturais usar codigo 21. 2104 para recursos hídricos, 2103 para recursos naturais como minerais. Quando o assunto for tratamento de água potável, distribuição de água potável para residencias, 701.</v>
      </c>
      <c r="AO594" s="11" t="n">
        <v>1</v>
      </c>
      <c r="AP594" s="11" t="s">
        <v>3550</v>
      </c>
      <c r="AQ594" s="11" t="n">
        <v>1</v>
      </c>
      <c r="AR594" s="11" t="n">
        <v>1</v>
      </c>
      <c r="AS594" s="11" t="s">
        <v>3550</v>
      </c>
      <c r="AT594" s="11" t="n">
        <v>0</v>
      </c>
      <c r="AU594" s="11"/>
      <c r="AV594" s="11"/>
      <c r="AW594" s="11"/>
      <c r="AX594" s="7" t="s">
        <v>84</v>
      </c>
      <c r="AY594" s="7"/>
      <c r="AZ594" s="7"/>
      <c r="BA594" s="7"/>
    </row>
    <row r="595" ht="171" customHeight="1">
      <c r="A595" s="4" t="s">
        <v>3551</v>
      </c>
      <c r="B595" s="4" t="n">
        <v>2022</v>
      </c>
      <c r="C595" s="4" t="n">
        <v>4404</v>
      </c>
      <c r="D595" s="4" t="s">
        <v>54</v>
      </c>
      <c r="E595" s="4" t="s">
        <v>3497</v>
      </c>
      <c r="F595" s="5" t="s">
        <v>126</v>
      </c>
      <c r="G595" s="4" t="s">
        <v>57</v>
      </c>
      <c r="H595" s="4" t="s">
        <v>3499</v>
      </c>
      <c r="I595" s="4" t="s">
        <v>1666</v>
      </c>
      <c r="J595" s="4" t="s">
        <v>3552</v>
      </c>
      <c r="K595" s="4" t="s">
        <v>3553</v>
      </c>
      <c r="L595" s="5" t="s">
        <v>122</v>
      </c>
      <c r="M595" s="4" t="s">
        <v>123</v>
      </c>
      <c r="N595" s="5" t="s">
        <v>124</v>
      </c>
      <c r="O595" s="4" t="s">
        <v>125</v>
      </c>
      <c r="P595" s="5" t="s">
        <v>126</v>
      </c>
      <c r="Q595" s="4" t="s">
        <v>127</v>
      </c>
      <c r="R595" s="5" t="s">
        <v>128</v>
      </c>
      <c r="S595" s="4" t="s">
        <v>129</v>
      </c>
      <c r="T595" s="5" t="s">
        <v>3554</v>
      </c>
      <c r="U595" s="4" t="s">
        <v>3555</v>
      </c>
      <c r="V595" s="5" t="s">
        <v>72</v>
      </c>
      <c r="W595" s="4" t="s">
        <v>73</v>
      </c>
      <c r="X595" s="4" t="s">
        <v>74</v>
      </c>
      <c r="Y595" s="5"/>
      <c r="Z595" s="4" t="s">
        <v>132</v>
      </c>
      <c r="AA595" s="6" t="n">
        <v>70000</v>
      </c>
      <c r="AB595" s="6" t="n">
        <v>0</v>
      </c>
      <c r="AC595" s="6" t="n">
        <v>0</v>
      </c>
      <c r="AD595" s="6" t="n">
        <v>0</v>
      </c>
      <c r="AE595" s="4"/>
      <c r="AF595" s="5"/>
      <c r="AG595" s="4" t="s">
        <v>78</v>
      </c>
      <c r="AH595" s="4" t="s">
        <v>79</v>
      </c>
      <c r="AI595" s="5" t="s">
        <v>80</v>
      </c>
      <c r="AJ595" s="1" t="n">
        <v>0</v>
      </c>
      <c r="AK595" s="11" t="n">
        <v>0</v>
      </c>
      <c r="AL595" s="12" t="s">
        <v>135</v>
      </c>
      <c r="AM595" s="13" t="str">
        <f>IF(AL595="","",AL595&amp;" - "&amp;IFERROR(VLOOKUP(AL595,CODEBOOK_CAP!$C$2:$D$212,2,FALSE),""))</f>
        <v>1002 - CARROS, TRÂNSITO, CONSTRUÇÃO E MANUTENÇÃO DE RUAS E ESTRADAS</v>
      </c>
      <c r="AN595" s="13" t="str">
        <f>IF(AL595="","",IFERROR(VLOOKUP(AL595,CODEBOOK_CAP!$C$2:$E$212,3,FALSE),""))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595" s="11" t="n">
        <v>1</v>
      </c>
      <c r="AP595" s="11" t="s">
        <v>3556</v>
      </c>
      <c r="AQ595" s="11" t="n">
        <v>1</v>
      </c>
      <c r="AR595" s="11" t="n">
        <v>1</v>
      </c>
      <c r="AS595" s="11" t="s">
        <v>3557</v>
      </c>
      <c r="AT595" s="11" t="n">
        <v>0</v>
      </c>
      <c r="AU595" s="11"/>
      <c r="AV595" s="11"/>
      <c r="AW595" s="11"/>
      <c r="AX595" s="7" t="s">
        <v>84</v>
      </c>
      <c r="AY595" s="7"/>
      <c r="AZ595" s="7"/>
      <c r="BA595" s="7"/>
    </row>
    <row r="596" ht="114" customHeight="1">
      <c r="A596" s="4" t="s">
        <v>3558</v>
      </c>
      <c r="B596" s="4" t="n">
        <v>2022</v>
      </c>
      <c r="C596" s="4" t="n">
        <v>4405</v>
      </c>
      <c r="D596" s="4" t="s">
        <v>54</v>
      </c>
      <c r="E596" s="4" t="s">
        <v>3497</v>
      </c>
      <c r="F596" s="5" t="s">
        <v>3559</v>
      </c>
      <c r="G596" s="4" t="s">
        <v>57</v>
      </c>
      <c r="H596" s="4" t="s">
        <v>3499</v>
      </c>
      <c r="I596" s="4" t="s">
        <v>1666</v>
      </c>
      <c r="J596" s="4" t="s">
        <v>3560</v>
      </c>
      <c r="K596" s="4" t="s">
        <v>3561</v>
      </c>
      <c r="L596" s="5" t="s">
        <v>225</v>
      </c>
      <c r="M596" s="4" t="s">
        <v>226</v>
      </c>
      <c r="N596" s="5" t="s">
        <v>227</v>
      </c>
      <c r="O596" s="4" t="s">
        <v>228</v>
      </c>
      <c r="P596" s="5" t="s">
        <v>1060</v>
      </c>
      <c r="Q596" s="4" t="s">
        <v>1061</v>
      </c>
      <c r="R596" s="5" t="s">
        <v>1062</v>
      </c>
      <c r="S596" s="4" t="s">
        <v>1063</v>
      </c>
      <c r="T596" s="5" t="s">
        <v>1064</v>
      </c>
      <c r="U596" s="4" t="s">
        <v>1065</v>
      </c>
      <c r="V596" s="5" t="s">
        <v>104</v>
      </c>
      <c r="W596" s="4" t="s">
        <v>105</v>
      </c>
      <c r="X596" s="4" t="s">
        <v>106</v>
      </c>
      <c r="Y596" s="5"/>
      <c r="Z596" s="4" t="s">
        <v>235</v>
      </c>
      <c r="AA596" s="6" t="n">
        <v>100000</v>
      </c>
      <c r="AB596" s="6" t="n">
        <v>100000</v>
      </c>
      <c r="AC596" s="6" t="n">
        <v>100000</v>
      </c>
      <c r="AD596" s="6" t="n">
        <v>100000</v>
      </c>
      <c r="AE596" s="4" t="s">
        <v>3250</v>
      </c>
      <c r="AF596" s="5" t="s">
        <v>1067</v>
      </c>
      <c r="AG596" s="4" t="s">
        <v>78</v>
      </c>
      <c r="AH596" s="4" t="s">
        <v>79</v>
      </c>
      <c r="AI596" s="5" t="s">
        <v>80</v>
      </c>
      <c r="AJ596" s="1" t="n">
        <v>0</v>
      </c>
      <c r="AK596" s="11" t="n">
        <v>0</v>
      </c>
      <c r="AL596" s="12" t="s">
        <v>1068</v>
      </c>
      <c r="AM596" s="13" t="str">
        <f>IF(AL596="","",AL596&amp;" - "&amp;IFERROR(VLOOKUP(AL596,CODEBOOK_CAP!$C$2:$D$212,2,FALSE),""))</f>
        <v>0405 - CONTROLE DE DOENÇAS ANIMAIS</v>
      </c>
      <c r="AN596" s="13" t="str">
        <f>IF(AL596="","",IFERROR(VLOOKUP(AL596,CODEBOOK_CAP!$C$2:$E$212,3,FALSE),""))</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O596" s="11" t="n">
        <v>0</v>
      </c>
      <c r="AP596" s="11"/>
      <c r="AQ596" s="11" t="n">
        <v>0</v>
      </c>
      <c r="AR596" s="11" t="n">
        <v>0</v>
      </c>
      <c r="AS596" s="11"/>
      <c r="AT596" s="11" t="n">
        <v>1</v>
      </c>
      <c r="AU596" s="11" t="s">
        <v>1069</v>
      </c>
      <c r="AV596" s="11"/>
      <c r="AW596" s="11"/>
      <c r="AX596" s="7" t="s">
        <v>84</v>
      </c>
      <c r="AY596" s="7"/>
      <c r="AZ596" s="7"/>
      <c r="BA596" s="7"/>
    </row>
    <row r="597" ht="114" customHeight="1">
      <c r="A597" s="4" t="s">
        <v>3562</v>
      </c>
      <c r="B597" s="4" t="n">
        <v>2022</v>
      </c>
      <c r="C597" s="4" t="n">
        <v>4406</v>
      </c>
      <c r="D597" s="4" t="s">
        <v>54</v>
      </c>
      <c r="E597" s="4" t="s">
        <v>3497</v>
      </c>
      <c r="F597" s="5" t="s">
        <v>3563</v>
      </c>
      <c r="G597" s="4" t="s">
        <v>57</v>
      </c>
      <c r="H597" s="4" t="s">
        <v>3499</v>
      </c>
      <c r="I597" s="4" t="s">
        <v>1666</v>
      </c>
      <c r="J597" s="4" t="s">
        <v>3564</v>
      </c>
      <c r="K597" s="4" t="s">
        <v>3565</v>
      </c>
      <c r="L597" s="5" t="s">
        <v>62</v>
      </c>
      <c r="M597" s="4" t="s">
        <v>63</v>
      </c>
      <c r="N597" s="5" t="s">
        <v>64</v>
      </c>
      <c r="O597" s="4" t="s">
        <v>65</v>
      </c>
      <c r="P597" s="5" t="s">
        <v>344</v>
      </c>
      <c r="Q597" s="4" t="s">
        <v>345</v>
      </c>
      <c r="R597" s="5" t="s">
        <v>346</v>
      </c>
      <c r="S597" s="4" t="s">
        <v>347</v>
      </c>
      <c r="T597" s="5" t="s">
        <v>555</v>
      </c>
      <c r="U597" s="4" t="s">
        <v>347</v>
      </c>
      <c r="V597" s="5" t="s">
        <v>274</v>
      </c>
      <c r="W597" s="4" t="s">
        <v>105</v>
      </c>
      <c r="X597" s="4" t="s">
        <v>106</v>
      </c>
      <c r="Y597" s="5"/>
      <c r="Z597" s="4" t="s">
        <v>75</v>
      </c>
      <c r="AA597" s="6" t="n">
        <v>80000</v>
      </c>
      <c r="AB597" s="6" t="n">
        <v>22940</v>
      </c>
      <c r="AC597" s="6" t="n">
        <v>22940</v>
      </c>
      <c r="AD597" s="6" t="n">
        <v>22940</v>
      </c>
      <c r="AE597" s="4" t="s">
        <v>3566</v>
      </c>
      <c r="AF597" s="5" t="s">
        <v>2206</v>
      </c>
      <c r="AG597" s="4" t="s">
        <v>78</v>
      </c>
      <c r="AH597" s="4" t="s">
        <v>79</v>
      </c>
      <c r="AI597" s="5" t="s">
        <v>80</v>
      </c>
      <c r="AJ597" s="1" t="n">
        <v>1</v>
      </c>
      <c r="AK597" s="11" t="n">
        <v>1</v>
      </c>
      <c r="AL597" s="12" t="s">
        <v>452</v>
      </c>
      <c r="AM597" s="13" t="str">
        <f>IF(AL597="","",AL597&amp;" - "&amp;IFERROR(VLOOKUP(AL597,CODEBOOK_CAP!$C$2:$D$212,2,FALSE),""))</f>
        <v>0332 - SAÚDE INFANTIL, GRAVIDEZ E PRÉ-NATAL</v>
      </c>
      <c r="AN597" s="13" t="str">
        <f>IF(AL597="","",IFERROR(VLOOKUP(AL597,CODEBOOK_CAP!$C$2:$E$212,3,FALSE),""))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597" s="11" t="n">
        <v>0</v>
      </c>
      <c r="AP597" s="11"/>
      <c r="AQ597" s="11" t="n">
        <v>0</v>
      </c>
      <c r="AR597" s="11" t="n">
        <v>0</v>
      </c>
      <c r="AS597" s="11"/>
      <c r="AT597" s="11" t="n">
        <v>0</v>
      </c>
      <c r="AU597" s="11"/>
      <c r="AV597" s="11"/>
      <c r="AW597" s="11"/>
      <c r="AX597" s="7" t="s">
        <v>84</v>
      </c>
      <c r="AY597" s="7"/>
      <c r="AZ597" s="7"/>
      <c r="BA597" s="7"/>
    </row>
    <row r="598" ht="71.25" customHeight="1">
      <c r="A598" s="4" t="s">
        <v>3567</v>
      </c>
      <c r="B598" s="4" t="n">
        <v>2022</v>
      </c>
      <c r="C598" s="4" t="n">
        <v>4407</v>
      </c>
      <c r="D598" s="4" t="s">
        <v>54</v>
      </c>
      <c r="E598" s="4" t="s">
        <v>3497</v>
      </c>
      <c r="F598" s="5" t="s">
        <v>3568</v>
      </c>
      <c r="G598" s="4" t="s">
        <v>57</v>
      </c>
      <c r="H598" s="4" t="s">
        <v>3499</v>
      </c>
      <c r="I598" s="4" t="s">
        <v>1666</v>
      </c>
      <c r="J598" s="4" t="s">
        <v>3569</v>
      </c>
      <c r="K598" s="4" t="s">
        <v>828</v>
      </c>
      <c r="L598" s="5" t="s">
        <v>62</v>
      </c>
      <c r="M598" s="4" t="s">
        <v>63</v>
      </c>
      <c r="N598" s="5" t="s">
        <v>64</v>
      </c>
      <c r="O598" s="4" t="s">
        <v>65</v>
      </c>
      <c r="P598" s="5" t="s">
        <v>193</v>
      </c>
      <c r="Q598" s="4" t="s">
        <v>194</v>
      </c>
      <c r="R598" s="5" t="s">
        <v>195</v>
      </c>
      <c r="S598" s="4" t="s">
        <v>196</v>
      </c>
      <c r="T598" s="5" t="s">
        <v>197</v>
      </c>
      <c r="U598" s="4" t="s">
        <v>198</v>
      </c>
      <c r="V598" s="5" t="s">
        <v>274</v>
      </c>
      <c r="W598" s="4" t="s">
        <v>105</v>
      </c>
      <c r="X598" s="4" t="s">
        <v>106</v>
      </c>
      <c r="Y598" s="5"/>
      <c r="Z598" s="4" t="s">
        <v>75</v>
      </c>
      <c r="AA598" s="6" t="n">
        <v>48000</v>
      </c>
      <c r="AB598" s="6" t="n">
        <v>48000</v>
      </c>
      <c r="AC598" s="6" t="n">
        <v>48000</v>
      </c>
      <c r="AD598" s="6" t="n">
        <v>48000</v>
      </c>
      <c r="AE598" s="4" t="s">
        <v>829</v>
      </c>
      <c r="AF598" s="5" t="s">
        <v>830</v>
      </c>
      <c r="AG598" s="4" t="s">
        <v>78</v>
      </c>
      <c r="AH598" s="4" t="s">
        <v>79</v>
      </c>
      <c r="AI598" s="5" t="s">
        <v>80</v>
      </c>
      <c r="AJ598" s="1" t="n">
        <v>1</v>
      </c>
      <c r="AK598" s="11" t="n">
        <v>1</v>
      </c>
      <c r="AL598" s="12" t="s">
        <v>201</v>
      </c>
      <c r="AM598" s="13" t="str">
        <f>IF(AL598="","",AL598&amp;" - "&amp;IFERROR(VLOOKUP(AL598,CODEBOOK_CAP!$C$2:$D$212,2,FALSE),""))</f>
        <v>0333 - SAÚDE MENTAL</v>
      </c>
      <c r="AN598" s="13" t="str">
        <f>IF(AL598="","",IFERROR(VLOOKUP(AL598,CODEBOOK_CAP!$C$2:$E$212,3,FALSE),""))</f>
        <v>Serviços de atendimento a saúde mental e psico-social. CAPS, Controle de qualidade mental, esquizofrenia, bipolaridade, transtornos mentais, ansiedade, alucinançao, depressão, suicídio, CVV, atendimento psicológico e psiquiátrico, sanatório, manicomio. Não confundir com dependências de alcool (342) e drogas (343)</v>
      </c>
      <c r="AO598" s="11" t="n">
        <v>0</v>
      </c>
      <c r="AP598" s="11"/>
      <c r="AQ598" s="11" t="n">
        <v>0</v>
      </c>
      <c r="AR598" s="11" t="n">
        <v>0</v>
      </c>
      <c r="AS598" s="11"/>
      <c r="AT598" s="11" t="n">
        <v>0</v>
      </c>
      <c r="AU598" s="11"/>
      <c r="AV598" s="11"/>
      <c r="AW598" s="11"/>
      <c r="AX598" s="7" t="s">
        <v>84</v>
      </c>
      <c r="AY598" s="7"/>
      <c r="AZ598" s="7"/>
      <c r="BA598" s="7"/>
    </row>
    <row r="599" ht="85.5" customHeight="1">
      <c r="A599" s="4" t="s">
        <v>3570</v>
      </c>
      <c r="B599" s="4" t="n">
        <v>2022</v>
      </c>
      <c r="C599" s="4" t="n">
        <v>4408</v>
      </c>
      <c r="D599" s="4" t="s">
        <v>54</v>
      </c>
      <c r="E599" s="4" t="s">
        <v>3497</v>
      </c>
      <c r="F599" s="5" t="s">
        <v>3571</v>
      </c>
      <c r="G599" s="4" t="s">
        <v>57</v>
      </c>
      <c r="H599" s="4" t="s">
        <v>3499</v>
      </c>
      <c r="I599" s="4" t="s">
        <v>1666</v>
      </c>
      <c r="J599" s="4" t="s">
        <v>3572</v>
      </c>
      <c r="K599" s="4" t="s">
        <v>549</v>
      </c>
      <c r="L599" s="5" t="s">
        <v>62</v>
      </c>
      <c r="M599" s="4" t="s">
        <v>63</v>
      </c>
      <c r="N599" s="5" t="s">
        <v>64</v>
      </c>
      <c r="O599" s="4" t="s">
        <v>65</v>
      </c>
      <c r="P599" s="5" t="s">
        <v>193</v>
      </c>
      <c r="Q599" s="4" t="s">
        <v>194</v>
      </c>
      <c r="R599" s="5" t="s">
        <v>195</v>
      </c>
      <c r="S599" s="4" t="s">
        <v>196</v>
      </c>
      <c r="T599" s="5" t="s">
        <v>429</v>
      </c>
      <c r="U599" s="4" t="s">
        <v>430</v>
      </c>
      <c r="V599" s="5" t="s">
        <v>104</v>
      </c>
      <c r="W599" s="4" t="s">
        <v>105</v>
      </c>
      <c r="X599" s="4" t="s">
        <v>106</v>
      </c>
      <c r="Y599" s="5"/>
      <c r="Z599" s="4" t="s">
        <v>75</v>
      </c>
      <c r="AA599" s="6" t="n">
        <v>50000</v>
      </c>
      <c r="AB599" s="6" t="n">
        <v>50000</v>
      </c>
      <c r="AC599" s="6" t="n">
        <v>50000</v>
      </c>
      <c r="AD599" s="6" t="n">
        <v>50000</v>
      </c>
      <c r="AE599" s="4" t="s">
        <v>750</v>
      </c>
      <c r="AF599" s="5" t="s">
        <v>751</v>
      </c>
      <c r="AG599" s="4" t="s">
        <v>78</v>
      </c>
      <c r="AH599" s="4" t="s">
        <v>79</v>
      </c>
      <c r="AI599" s="5" t="s">
        <v>80</v>
      </c>
      <c r="AJ599" s="1" t="n">
        <v>1</v>
      </c>
      <c r="AK599" s="11" t="n">
        <v>1</v>
      </c>
      <c r="AL599" s="12" t="s">
        <v>81</v>
      </c>
      <c r="AM599" s="13" t="str">
        <f>IF(AL599="","",AL599&amp;" - "&amp;IFERROR(VLOOKUP(AL599,CODEBOOK_CAP!$C$2:$D$212,2,FALSE),""))</f>
        <v>0322 - ESTRUTURAS, HOSPITAIS, CLÍNICAS</v>
      </c>
      <c r="AN599" s="13" t="str">
        <f>IF(AL599="","",IFERROR(VLOOKUP(AL599,CODEBOOK_CAP!$C$2:$E$212,3,FALSE),""))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599" s="11" t="n">
        <v>0</v>
      </c>
      <c r="AP599" s="11"/>
      <c r="AQ599" s="11" t="n">
        <v>1</v>
      </c>
      <c r="AR599" s="11" t="n">
        <v>1</v>
      </c>
      <c r="AS599" s="11" t="s">
        <v>2593</v>
      </c>
      <c r="AT599" s="11" t="n">
        <v>0</v>
      </c>
      <c r="AU599" s="11"/>
      <c r="AV599" s="11"/>
      <c r="AW599" s="11"/>
      <c r="AX599" s="7" t="s">
        <v>84</v>
      </c>
      <c r="AY599" s="7"/>
      <c r="AZ599" s="7"/>
      <c r="BA599" s="7"/>
    </row>
    <row r="600" ht="85.5" customHeight="1">
      <c r="A600" s="4" t="s">
        <v>3573</v>
      </c>
      <c r="B600" s="4" t="n">
        <v>2022</v>
      </c>
      <c r="C600" s="4" t="n">
        <v>4409</v>
      </c>
      <c r="D600" s="4" t="s">
        <v>54</v>
      </c>
      <c r="E600" s="4" t="s">
        <v>3497</v>
      </c>
      <c r="F600" s="5" t="s">
        <v>3574</v>
      </c>
      <c r="G600" s="4" t="s">
        <v>57</v>
      </c>
      <c r="H600" s="4" t="s">
        <v>3499</v>
      </c>
      <c r="I600" s="4" t="s">
        <v>1666</v>
      </c>
      <c r="J600" s="4" t="s">
        <v>3575</v>
      </c>
      <c r="K600" s="4" t="s">
        <v>549</v>
      </c>
      <c r="L600" s="5" t="s">
        <v>62</v>
      </c>
      <c r="M600" s="4" t="s">
        <v>63</v>
      </c>
      <c r="N600" s="5" t="s">
        <v>64</v>
      </c>
      <c r="O600" s="4" t="s">
        <v>65</v>
      </c>
      <c r="P600" s="5" t="s">
        <v>193</v>
      </c>
      <c r="Q600" s="4" t="s">
        <v>194</v>
      </c>
      <c r="R600" s="5" t="s">
        <v>195</v>
      </c>
      <c r="S600" s="4" t="s">
        <v>196</v>
      </c>
      <c r="T600" s="5" t="s">
        <v>429</v>
      </c>
      <c r="U600" s="4" t="s">
        <v>430</v>
      </c>
      <c r="V600" s="5" t="s">
        <v>104</v>
      </c>
      <c r="W600" s="4" t="s">
        <v>105</v>
      </c>
      <c r="X600" s="4" t="s">
        <v>106</v>
      </c>
      <c r="Y600" s="5"/>
      <c r="Z600" s="4" t="s">
        <v>75</v>
      </c>
      <c r="AA600" s="6" t="n">
        <v>50000</v>
      </c>
      <c r="AB600" s="6" t="n">
        <v>50000</v>
      </c>
      <c r="AC600" s="6" t="n">
        <v>50000</v>
      </c>
      <c r="AD600" s="6" t="n">
        <v>50000</v>
      </c>
      <c r="AE600" s="4" t="s">
        <v>458</v>
      </c>
      <c r="AF600" s="5" t="s">
        <v>459</v>
      </c>
      <c r="AG600" s="4" t="s">
        <v>78</v>
      </c>
      <c r="AH600" s="4" t="s">
        <v>79</v>
      </c>
      <c r="AI600" s="5" t="s">
        <v>80</v>
      </c>
      <c r="AJ600" s="1" t="n">
        <v>1</v>
      </c>
      <c r="AK600" s="11" t="n">
        <v>1</v>
      </c>
      <c r="AL600" s="12" t="s">
        <v>81</v>
      </c>
      <c r="AM600" s="13" t="str">
        <f>IF(AL600="","",AL600&amp;" - "&amp;IFERROR(VLOOKUP(AL600,CODEBOOK_CAP!$C$2:$D$212,2,FALSE),""))</f>
        <v>0322 - ESTRUTURAS, HOSPITAIS, CLÍNICAS</v>
      </c>
      <c r="AN600" s="13" t="str">
        <f>IF(AL600="","",IFERROR(VLOOKUP(AL600,CODEBOOK_CAP!$C$2:$E$212,3,FALSE),""))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600" s="11" t="n">
        <v>0</v>
      </c>
      <c r="AP600" s="11"/>
      <c r="AQ600" s="11" t="n">
        <v>1</v>
      </c>
      <c r="AR600" s="11" t="n">
        <v>1</v>
      </c>
      <c r="AS600" s="11" t="s">
        <v>460</v>
      </c>
      <c r="AT600" s="11" t="n">
        <v>0</v>
      </c>
      <c r="AU600" s="11"/>
      <c r="AV600" s="11"/>
      <c r="AW600" s="11"/>
      <c r="AX600" s="7" t="s">
        <v>84</v>
      </c>
      <c r="AY600" s="7"/>
      <c r="AZ600" s="7"/>
      <c r="BA600" s="7"/>
    </row>
    <row r="601" ht="85.5" customHeight="1">
      <c r="A601" s="4" t="s">
        <v>3576</v>
      </c>
      <c r="B601" s="4" t="n">
        <v>2022</v>
      </c>
      <c r="C601" s="4" t="n">
        <v>4410</v>
      </c>
      <c r="D601" s="4" t="s">
        <v>54</v>
      </c>
      <c r="E601" s="4" t="s">
        <v>3497</v>
      </c>
      <c r="F601" s="5" t="s">
        <v>3577</v>
      </c>
      <c r="G601" s="4" t="s">
        <v>57</v>
      </c>
      <c r="H601" s="4" t="s">
        <v>3499</v>
      </c>
      <c r="I601" s="4" t="s">
        <v>1666</v>
      </c>
      <c r="J601" s="4" t="s">
        <v>3578</v>
      </c>
      <c r="K601" s="4" t="s">
        <v>549</v>
      </c>
      <c r="L601" s="5" t="s">
        <v>62</v>
      </c>
      <c r="M601" s="4" t="s">
        <v>63</v>
      </c>
      <c r="N601" s="5" t="s">
        <v>64</v>
      </c>
      <c r="O601" s="4" t="s">
        <v>65</v>
      </c>
      <c r="P601" s="5" t="s">
        <v>193</v>
      </c>
      <c r="Q601" s="4" t="s">
        <v>194</v>
      </c>
      <c r="R601" s="5" t="s">
        <v>195</v>
      </c>
      <c r="S601" s="4" t="s">
        <v>196</v>
      </c>
      <c r="T601" s="5" t="s">
        <v>429</v>
      </c>
      <c r="U601" s="4" t="s">
        <v>430</v>
      </c>
      <c r="V601" s="5" t="s">
        <v>104</v>
      </c>
      <c r="W601" s="4" t="s">
        <v>105</v>
      </c>
      <c r="X601" s="4" t="s">
        <v>106</v>
      </c>
      <c r="Y601" s="5"/>
      <c r="Z601" s="4" t="s">
        <v>75</v>
      </c>
      <c r="AA601" s="6" t="n">
        <v>50000</v>
      </c>
      <c r="AB601" s="6" t="n">
        <v>50000</v>
      </c>
      <c r="AC601" s="6" t="n">
        <v>50000</v>
      </c>
      <c r="AD601" s="6" t="n">
        <v>50000</v>
      </c>
      <c r="AE601" s="4" t="s">
        <v>438</v>
      </c>
      <c r="AF601" s="5" t="s">
        <v>439</v>
      </c>
      <c r="AG601" s="4" t="s">
        <v>78</v>
      </c>
      <c r="AH601" s="4" t="s">
        <v>79</v>
      </c>
      <c r="AI601" s="5" t="s">
        <v>80</v>
      </c>
      <c r="AJ601" s="1" t="n">
        <v>1</v>
      </c>
      <c r="AK601" s="11" t="n">
        <v>1</v>
      </c>
      <c r="AL601" s="12" t="s">
        <v>81</v>
      </c>
      <c r="AM601" s="13" t="str">
        <f>IF(AL601="","",AL601&amp;" - "&amp;IFERROR(VLOOKUP(AL601,CODEBOOK_CAP!$C$2:$D$212,2,FALSE),""))</f>
        <v>0322 - ESTRUTURAS, HOSPITAIS, CLÍNICAS</v>
      </c>
      <c r="AN601" s="13" t="str">
        <f>IF(AL601="","",IFERROR(VLOOKUP(AL601,CODEBOOK_CAP!$C$2:$E$212,3,FALSE),""))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601" s="11" t="n">
        <v>0</v>
      </c>
      <c r="AP601" s="11"/>
      <c r="AQ601" s="11" t="n">
        <v>1</v>
      </c>
      <c r="AR601" s="11" t="n">
        <v>1</v>
      </c>
      <c r="AS601" s="11" t="s">
        <v>1538</v>
      </c>
      <c r="AT601" s="11" t="n">
        <v>0</v>
      </c>
      <c r="AU601" s="11"/>
      <c r="AV601" s="11"/>
      <c r="AW601" s="11"/>
      <c r="AX601" s="7" t="s">
        <v>84</v>
      </c>
      <c r="AY601" s="7"/>
      <c r="AZ601" s="7"/>
      <c r="BA601" s="7"/>
    </row>
    <row r="602" ht="85.5" customHeight="1">
      <c r="A602" s="4" t="s">
        <v>3579</v>
      </c>
      <c r="B602" s="4" t="n">
        <v>2022</v>
      </c>
      <c r="C602" s="4" t="n">
        <v>4411</v>
      </c>
      <c r="D602" s="4" t="s">
        <v>54</v>
      </c>
      <c r="E602" s="4" t="s">
        <v>3497</v>
      </c>
      <c r="F602" s="5" t="s">
        <v>3580</v>
      </c>
      <c r="G602" s="4" t="s">
        <v>57</v>
      </c>
      <c r="H602" s="4" t="s">
        <v>3499</v>
      </c>
      <c r="I602" s="4" t="s">
        <v>1666</v>
      </c>
      <c r="J602" s="4" t="s">
        <v>3581</v>
      </c>
      <c r="K602" s="4" t="s">
        <v>549</v>
      </c>
      <c r="L602" s="5" t="s">
        <v>62</v>
      </c>
      <c r="M602" s="4" t="s">
        <v>63</v>
      </c>
      <c r="N602" s="5" t="s">
        <v>64</v>
      </c>
      <c r="O602" s="4" t="s">
        <v>65</v>
      </c>
      <c r="P602" s="5" t="s">
        <v>193</v>
      </c>
      <c r="Q602" s="4" t="s">
        <v>194</v>
      </c>
      <c r="R602" s="5" t="s">
        <v>195</v>
      </c>
      <c r="S602" s="4" t="s">
        <v>196</v>
      </c>
      <c r="T602" s="5" t="s">
        <v>429</v>
      </c>
      <c r="U602" s="4" t="s">
        <v>430</v>
      </c>
      <c r="V602" s="5" t="s">
        <v>104</v>
      </c>
      <c r="W602" s="4" t="s">
        <v>105</v>
      </c>
      <c r="X602" s="4" t="s">
        <v>106</v>
      </c>
      <c r="Y602" s="5"/>
      <c r="Z602" s="4" t="s">
        <v>75</v>
      </c>
      <c r="AA602" s="6" t="n">
        <v>50000</v>
      </c>
      <c r="AB602" s="6" t="n">
        <v>50000</v>
      </c>
      <c r="AC602" s="6" t="n">
        <v>50000</v>
      </c>
      <c r="AD602" s="6" t="n">
        <v>50000</v>
      </c>
      <c r="AE602" s="4" t="s">
        <v>464</v>
      </c>
      <c r="AF602" s="5" t="s">
        <v>465</v>
      </c>
      <c r="AG602" s="4" t="s">
        <v>78</v>
      </c>
      <c r="AH602" s="4" t="s">
        <v>79</v>
      </c>
      <c r="AI602" s="5" t="s">
        <v>80</v>
      </c>
      <c r="AJ602" s="1" t="n">
        <v>1</v>
      </c>
      <c r="AK602" s="11" t="n">
        <v>1</v>
      </c>
      <c r="AL602" s="12" t="s">
        <v>81</v>
      </c>
      <c r="AM602" s="13" t="str">
        <f>IF(AL602="","",AL602&amp;" - "&amp;IFERROR(VLOOKUP(AL602,CODEBOOK_CAP!$C$2:$D$212,2,FALSE),""))</f>
        <v>0322 - ESTRUTURAS, HOSPITAIS, CLÍNICAS</v>
      </c>
      <c r="AN602" s="13" t="str">
        <f>IF(AL602="","",IFERROR(VLOOKUP(AL602,CODEBOOK_CAP!$C$2:$E$212,3,FALSE),""))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602" s="11" t="n">
        <v>0</v>
      </c>
      <c r="AP602" s="11"/>
      <c r="AQ602" s="11" t="n">
        <v>1</v>
      </c>
      <c r="AR602" s="11" t="n">
        <v>1</v>
      </c>
      <c r="AS602" s="11" t="s">
        <v>1276</v>
      </c>
      <c r="AT602" s="11" t="n">
        <v>0</v>
      </c>
      <c r="AU602" s="11"/>
      <c r="AV602" s="11"/>
      <c r="AW602" s="11"/>
      <c r="AX602" s="7" t="s">
        <v>84</v>
      </c>
      <c r="AY602" s="7"/>
      <c r="AZ602" s="7"/>
      <c r="BA602" s="7"/>
    </row>
    <row r="603" ht="71.25" customHeight="1">
      <c r="A603" s="4" t="s">
        <v>3582</v>
      </c>
      <c r="B603" s="4" t="n">
        <v>2022</v>
      </c>
      <c r="C603" s="4" t="n">
        <v>4412</v>
      </c>
      <c r="D603" s="4" t="s">
        <v>54</v>
      </c>
      <c r="E603" s="4" t="s">
        <v>3497</v>
      </c>
      <c r="F603" s="5" t="s">
        <v>3583</v>
      </c>
      <c r="G603" s="4" t="s">
        <v>57</v>
      </c>
      <c r="H603" s="4" t="s">
        <v>3499</v>
      </c>
      <c r="I603" s="4" t="s">
        <v>1666</v>
      </c>
      <c r="J603" s="4" t="s">
        <v>3584</v>
      </c>
      <c r="K603" s="4" t="s">
        <v>773</v>
      </c>
      <c r="L603" s="5" t="s">
        <v>122</v>
      </c>
      <c r="M603" s="4" t="s">
        <v>123</v>
      </c>
      <c r="N603" s="5" t="s">
        <v>124</v>
      </c>
      <c r="O603" s="4" t="s">
        <v>125</v>
      </c>
      <c r="P603" s="5" t="s">
        <v>126</v>
      </c>
      <c r="Q603" s="4" t="s">
        <v>127</v>
      </c>
      <c r="R603" s="5" t="s">
        <v>322</v>
      </c>
      <c r="S603" s="4" t="s">
        <v>323</v>
      </c>
      <c r="T603" s="5" t="s">
        <v>774</v>
      </c>
      <c r="U603" s="4" t="s">
        <v>775</v>
      </c>
      <c r="V603" s="5" t="s">
        <v>72</v>
      </c>
      <c r="W603" s="4" t="s">
        <v>73</v>
      </c>
      <c r="X603" s="4" t="s">
        <v>74</v>
      </c>
      <c r="Y603" s="5"/>
      <c r="Z603" s="4" t="s">
        <v>132</v>
      </c>
      <c r="AA603" s="6" t="n">
        <v>70000</v>
      </c>
      <c r="AB603" s="6" t="n">
        <v>59187</v>
      </c>
      <c r="AC603" s="6" t="n">
        <v>59187</v>
      </c>
      <c r="AD603" s="6" t="n">
        <v>59187</v>
      </c>
      <c r="AE603" s="4" t="s">
        <v>3585</v>
      </c>
      <c r="AF603" s="5" t="s">
        <v>3586</v>
      </c>
      <c r="AG603" s="4" t="s">
        <v>78</v>
      </c>
      <c r="AH603" s="4" t="s">
        <v>79</v>
      </c>
      <c r="AI603" s="5" t="s">
        <v>80</v>
      </c>
      <c r="AJ603" s="1" t="n">
        <v>0</v>
      </c>
      <c r="AK603" s="11" t="n">
        <v>0</v>
      </c>
      <c r="AL603" s="12" t="s">
        <v>1107</v>
      </c>
      <c r="AM603" s="13" t="str">
        <f>IF(AL603="","",AL603&amp;" - "&amp;IFERROR(VLOOKUP(AL603,CODEBOOK_CAP!$C$2:$D$212,2,FALSE),""))</f>
        <v>2101 - PARQUES PÚBLICOS E RESERVAS DE PRESERVAÇÃO</v>
      </c>
      <c r="AN603" s="13" t="str">
        <f>IF(AL603="","",IFERROR(VLOOKUP(AL603,CODEBOOK_CAP!$C$2:$E$212,3,FALSE),""))</f>
        <v>Regulação, normas, orinetações, manutenção em território publico aberto, como parques, reservas ambientais, áreas protegidas e de preservação ambiental. Regulação de parques naturais e áreas protegidas. Utilização de bosques e florestas públicas</v>
      </c>
      <c r="AO603" s="11" t="n">
        <v>1</v>
      </c>
      <c r="AP603" s="11" t="s">
        <v>3587</v>
      </c>
      <c r="AQ603" s="11" t="n">
        <v>1</v>
      </c>
      <c r="AR603" s="11" t="n">
        <v>1</v>
      </c>
      <c r="AS603" s="11" t="s">
        <v>3588</v>
      </c>
      <c r="AT603" s="11" t="n">
        <v>1</v>
      </c>
      <c r="AU603" s="11" t="s">
        <v>1069</v>
      </c>
      <c r="AV603" s="11"/>
      <c r="AW603" s="11"/>
      <c r="AX603" s="7" t="s">
        <v>84</v>
      </c>
      <c r="AY603" s="7"/>
      <c r="AZ603" s="7"/>
      <c r="BA603" s="7"/>
    </row>
    <row r="604" ht="85.5" customHeight="1">
      <c r="A604" s="4" t="s">
        <v>3589</v>
      </c>
      <c r="B604" s="4" t="n">
        <v>2022</v>
      </c>
      <c r="C604" s="4" t="n">
        <v>4413</v>
      </c>
      <c r="D604" s="4" t="s">
        <v>54</v>
      </c>
      <c r="E604" s="4" t="s">
        <v>3497</v>
      </c>
      <c r="F604" s="5" t="s">
        <v>3590</v>
      </c>
      <c r="G604" s="4" t="s">
        <v>57</v>
      </c>
      <c r="H604" s="4" t="s">
        <v>3499</v>
      </c>
      <c r="I604" s="4" t="s">
        <v>1666</v>
      </c>
      <c r="J604" s="4" t="s">
        <v>3591</v>
      </c>
      <c r="K604" s="4" t="s">
        <v>428</v>
      </c>
      <c r="L604" s="5" t="s">
        <v>62</v>
      </c>
      <c r="M604" s="4" t="s">
        <v>63</v>
      </c>
      <c r="N604" s="5" t="s">
        <v>64</v>
      </c>
      <c r="O604" s="4" t="s">
        <v>65</v>
      </c>
      <c r="P604" s="5" t="s">
        <v>193</v>
      </c>
      <c r="Q604" s="4" t="s">
        <v>194</v>
      </c>
      <c r="R604" s="5" t="s">
        <v>195</v>
      </c>
      <c r="S604" s="4" t="s">
        <v>196</v>
      </c>
      <c r="T604" s="5" t="s">
        <v>429</v>
      </c>
      <c r="U604" s="4" t="s">
        <v>430</v>
      </c>
      <c r="V604" s="5" t="s">
        <v>104</v>
      </c>
      <c r="W604" s="4" t="s">
        <v>105</v>
      </c>
      <c r="X604" s="4" t="s">
        <v>106</v>
      </c>
      <c r="Y604" s="5"/>
      <c r="Z604" s="4" t="s">
        <v>75</v>
      </c>
      <c r="AA604" s="6" t="n">
        <v>200000</v>
      </c>
      <c r="AB604" s="6" t="n">
        <v>200000</v>
      </c>
      <c r="AC604" s="6" t="n">
        <v>200000</v>
      </c>
      <c r="AD604" s="6" t="n">
        <v>200000</v>
      </c>
      <c r="AE604" s="4" t="s">
        <v>743</v>
      </c>
      <c r="AF604" s="5"/>
      <c r="AG604" s="4" t="s">
        <v>78</v>
      </c>
      <c r="AH604" s="4" t="s">
        <v>79</v>
      </c>
      <c r="AI604" s="5" t="s">
        <v>80</v>
      </c>
      <c r="AJ604" s="1" t="n">
        <v>1</v>
      </c>
      <c r="AK604" s="11" t="n">
        <v>1</v>
      </c>
      <c r="AL604" s="12" t="s">
        <v>81</v>
      </c>
      <c r="AM604" s="13" t="str">
        <f>IF(AL604="","",AL604&amp;" - "&amp;IFERROR(VLOOKUP(AL604,CODEBOOK_CAP!$C$2:$D$212,2,FALSE),""))</f>
        <v>0322 - ESTRUTURAS, HOSPITAIS, CLÍNICAS</v>
      </c>
      <c r="AN604" s="13" t="str">
        <f>IF(AL604="","",IFERROR(VLOOKUP(AL604,CODEBOOK_CAP!$C$2:$E$212,3,FALSE),""))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604" s="11" t="n">
        <v>0</v>
      </c>
      <c r="AP604" s="11"/>
      <c r="AQ604" s="11" t="n">
        <v>1</v>
      </c>
      <c r="AR604" s="11" t="n">
        <v>1</v>
      </c>
      <c r="AS604" s="11" t="s">
        <v>2813</v>
      </c>
      <c r="AT604" s="11" t="n">
        <v>0</v>
      </c>
      <c r="AU604" s="11"/>
      <c r="AV604" s="11"/>
      <c r="AW604" s="11"/>
      <c r="AX604" s="7" t="s">
        <v>84</v>
      </c>
      <c r="AY604" s="7"/>
      <c r="AZ604" s="7"/>
      <c r="BA604" s="7"/>
    </row>
    <row r="605" ht="71.25" customHeight="1">
      <c r="A605" s="4" t="s">
        <v>3592</v>
      </c>
      <c r="B605" s="4" t="n">
        <v>2022</v>
      </c>
      <c r="C605" s="4" t="n">
        <v>4414</v>
      </c>
      <c r="D605" s="4" t="s">
        <v>54</v>
      </c>
      <c r="E605" s="4" t="s">
        <v>3497</v>
      </c>
      <c r="F605" s="5" t="s">
        <v>3593</v>
      </c>
      <c r="G605" s="4" t="s">
        <v>57</v>
      </c>
      <c r="H605" s="4" t="s">
        <v>3499</v>
      </c>
      <c r="I605" s="4" t="s">
        <v>1666</v>
      </c>
      <c r="J605" s="4" t="s">
        <v>3594</v>
      </c>
      <c r="K605" s="4" t="s">
        <v>3595</v>
      </c>
      <c r="L605" s="5" t="s">
        <v>122</v>
      </c>
      <c r="M605" s="4" t="s">
        <v>123</v>
      </c>
      <c r="N605" s="5" t="s">
        <v>3207</v>
      </c>
      <c r="O605" s="4" t="s">
        <v>3208</v>
      </c>
      <c r="P605" s="5" t="s">
        <v>1616</v>
      </c>
      <c r="Q605" s="4" t="s">
        <v>3209</v>
      </c>
      <c r="R605" s="5" t="s">
        <v>3210</v>
      </c>
      <c r="S605" s="4" t="s">
        <v>3211</v>
      </c>
      <c r="T605" s="5" t="s">
        <v>3596</v>
      </c>
      <c r="U605" s="4" t="s">
        <v>3597</v>
      </c>
      <c r="V605" s="5" t="s">
        <v>72</v>
      </c>
      <c r="W605" s="4" t="s">
        <v>73</v>
      </c>
      <c r="X605" s="4" t="s">
        <v>74</v>
      </c>
      <c r="Y605" s="5"/>
      <c r="Z605" s="4" t="s">
        <v>132</v>
      </c>
      <c r="AA605" s="6" t="n">
        <v>40000</v>
      </c>
      <c r="AB605" s="6" t="n">
        <v>31578</v>
      </c>
      <c r="AC605" s="6" t="n">
        <v>31578</v>
      </c>
      <c r="AD605" s="6" t="n">
        <v>31578</v>
      </c>
      <c r="AE605" s="4" t="s">
        <v>3598</v>
      </c>
      <c r="AF605" s="5"/>
      <c r="AG605" s="4" t="s">
        <v>78</v>
      </c>
      <c r="AH605" s="4" t="s">
        <v>79</v>
      </c>
      <c r="AI605" s="5" t="s">
        <v>80</v>
      </c>
      <c r="AJ605" s="1" t="n">
        <v>0</v>
      </c>
      <c r="AK605" s="11" t="n">
        <v>0</v>
      </c>
      <c r="AL605" s="12" t="s">
        <v>188</v>
      </c>
      <c r="AM605" s="13" t="str">
        <f>IF(AL605="","",AL605&amp;" - "&amp;IFERROR(VLOOKUP(AL605,CODEBOOK_CAP!$C$2:$D$212,2,FALSE),""))</f>
        <v>2300 - GERAL</v>
      </c>
      <c r="AN605" s="13" t="str">
        <f>IF(AL605="","",IFERROR(VLOOKUP(AL605,CODEBOOK_CAP!$C$2:$E$212,3,FALSE),""))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605" s="11" t="n">
        <v>1</v>
      </c>
      <c r="AP605" s="11" t="s">
        <v>3599</v>
      </c>
      <c r="AQ605" s="11" t="n">
        <v>1</v>
      </c>
      <c r="AR605" s="11" t="n">
        <v>1</v>
      </c>
      <c r="AS605" s="11" t="s">
        <v>3600</v>
      </c>
      <c r="AT605" s="11" t="n">
        <v>0</v>
      </c>
      <c r="AU605" s="11"/>
      <c r="AV605" s="11"/>
      <c r="AW605" s="11"/>
      <c r="AX605" s="7" t="s">
        <v>84</v>
      </c>
      <c r="AY605" s="7"/>
      <c r="AZ605" s="7"/>
      <c r="BA605" s="7"/>
      <c r="BB605" s="3" t="s">
        <v>6564</v>
      </c>
    </row>
    <row r="606" ht="185.25" customHeight="1">
      <c r="A606" s="4" t="s">
        <v>3601</v>
      </c>
      <c r="B606" s="4" t="n">
        <v>2022</v>
      </c>
      <c r="C606" s="4" t="n">
        <v>4415</v>
      </c>
      <c r="D606" s="4" t="s">
        <v>54</v>
      </c>
      <c r="E606" s="4" t="s">
        <v>3497</v>
      </c>
      <c r="F606" s="5" t="s">
        <v>3602</v>
      </c>
      <c r="G606" s="4" t="s">
        <v>57</v>
      </c>
      <c r="H606" s="4" t="s">
        <v>3499</v>
      </c>
      <c r="I606" s="4" t="s">
        <v>1666</v>
      </c>
      <c r="J606" s="4" t="s">
        <v>3603</v>
      </c>
      <c r="K606" s="4" t="s">
        <v>554</v>
      </c>
      <c r="L606" s="5" t="s">
        <v>62</v>
      </c>
      <c r="M606" s="4" t="s">
        <v>63</v>
      </c>
      <c r="N606" s="5" t="s">
        <v>64</v>
      </c>
      <c r="O606" s="4" t="s">
        <v>65</v>
      </c>
      <c r="P606" s="5" t="s">
        <v>344</v>
      </c>
      <c r="Q606" s="4" t="s">
        <v>345</v>
      </c>
      <c r="R606" s="5" t="s">
        <v>346</v>
      </c>
      <c r="S606" s="4" t="s">
        <v>347</v>
      </c>
      <c r="T606" s="5" t="s">
        <v>555</v>
      </c>
      <c r="U606" s="4" t="s">
        <v>347</v>
      </c>
      <c r="V606" s="5" t="s">
        <v>310</v>
      </c>
      <c r="W606" s="4" t="s">
        <v>73</v>
      </c>
      <c r="X606" s="4" t="s">
        <v>74</v>
      </c>
      <c r="Y606" s="5"/>
      <c r="Z606" s="4" t="s">
        <v>75</v>
      </c>
      <c r="AA606" s="6" t="n">
        <v>80000</v>
      </c>
      <c r="AB606" s="6" t="n">
        <v>37638</v>
      </c>
      <c r="AC606" s="6" t="n">
        <v>37638</v>
      </c>
      <c r="AD606" s="6" t="n">
        <v>37638</v>
      </c>
      <c r="AE606" s="4" t="s">
        <v>3604</v>
      </c>
      <c r="AF606" s="5"/>
      <c r="AG606" s="4" t="s">
        <v>78</v>
      </c>
      <c r="AH606" s="4" t="s">
        <v>79</v>
      </c>
      <c r="AI606" s="5" t="s">
        <v>80</v>
      </c>
      <c r="AJ606" s="1" t="n">
        <v>1</v>
      </c>
      <c r="AK606" s="11" t="n">
        <v>1</v>
      </c>
      <c r="AL606" s="12" t="s">
        <v>81</v>
      </c>
      <c r="AM606" s="13" t="str">
        <f>IF(AL606="","",AL606&amp;" - "&amp;IFERROR(VLOOKUP(AL606,CODEBOOK_CAP!$C$2:$D$212,2,FALSE),""))</f>
        <v>0322 - ESTRUTURAS, HOSPITAIS, CLÍNICAS</v>
      </c>
      <c r="AN606" s="13" t="str">
        <f>IF(AL606="","",IFERROR(VLOOKUP(AL606,CODEBOOK_CAP!$C$2:$E$212,3,FALSE),""))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606" s="11" t="n">
        <v>1</v>
      </c>
      <c r="AP606" s="11" t="s">
        <v>3605</v>
      </c>
      <c r="AQ606" s="11" t="n">
        <v>1</v>
      </c>
      <c r="AR606" s="11" t="n">
        <v>1</v>
      </c>
      <c r="AS606" s="11" t="s">
        <v>3606</v>
      </c>
      <c r="AT606" s="11" t="n">
        <v>0</v>
      </c>
      <c r="AU606" s="11"/>
      <c r="AV606" s="11"/>
      <c r="AW606" s="11"/>
      <c r="AX606" s="7" t="s">
        <v>84</v>
      </c>
      <c r="AY606" s="7"/>
      <c r="AZ606" s="7"/>
      <c r="BA606" s="7"/>
    </row>
    <row r="607" ht="199.5" customHeight="1">
      <c r="A607" s="4" t="s">
        <v>3607</v>
      </c>
      <c r="B607" s="4" t="n">
        <v>2022</v>
      </c>
      <c r="C607" s="4" t="n">
        <v>4416</v>
      </c>
      <c r="D607" s="4" t="s">
        <v>54</v>
      </c>
      <c r="E607" s="4" t="s">
        <v>3497</v>
      </c>
      <c r="F607" s="5" t="s">
        <v>3608</v>
      </c>
      <c r="G607" s="4" t="s">
        <v>57</v>
      </c>
      <c r="H607" s="4" t="s">
        <v>3499</v>
      </c>
      <c r="I607" s="4" t="s">
        <v>1666</v>
      </c>
      <c r="J607" s="4" t="s">
        <v>3609</v>
      </c>
      <c r="K607" s="4" t="s">
        <v>554</v>
      </c>
      <c r="L607" s="5" t="s">
        <v>62</v>
      </c>
      <c r="M607" s="4" t="s">
        <v>63</v>
      </c>
      <c r="N607" s="5" t="s">
        <v>64</v>
      </c>
      <c r="O607" s="4" t="s">
        <v>65</v>
      </c>
      <c r="P607" s="5" t="s">
        <v>344</v>
      </c>
      <c r="Q607" s="4" t="s">
        <v>345</v>
      </c>
      <c r="R607" s="5" t="s">
        <v>346</v>
      </c>
      <c r="S607" s="4" t="s">
        <v>347</v>
      </c>
      <c r="T607" s="5" t="s">
        <v>555</v>
      </c>
      <c r="U607" s="4" t="s">
        <v>347</v>
      </c>
      <c r="V607" s="5" t="s">
        <v>310</v>
      </c>
      <c r="W607" s="4" t="s">
        <v>73</v>
      </c>
      <c r="X607" s="4" t="s">
        <v>74</v>
      </c>
      <c r="Y607" s="5"/>
      <c r="Z607" s="4" t="s">
        <v>75</v>
      </c>
      <c r="AA607" s="6" t="n">
        <v>150000</v>
      </c>
      <c r="AB607" s="6" t="n">
        <v>45994</v>
      </c>
      <c r="AC607" s="6" t="n">
        <v>45994</v>
      </c>
      <c r="AD607" s="6" t="n">
        <v>45994</v>
      </c>
      <c r="AE607" s="4" t="s">
        <v>3610</v>
      </c>
      <c r="AF607" s="5"/>
      <c r="AG607" s="4" t="s">
        <v>78</v>
      </c>
      <c r="AH607" s="4" t="s">
        <v>79</v>
      </c>
      <c r="AI607" s="5" t="s">
        <v>80</v>
      </c>
      <c r="AJ607" s="1" t="n">
        <v>1</v>
      </c>
      <c r="AK607" s="11" t="n">
        <v>1</v>
      </c>
      <c r="AL607" s="12" t="s">
        <v>81</v>
      </c>
      <c r="AM607" s="13" t="str">
        <f>IF(AL607="","",AL607&amp;" - "&amp;IFERROR(VLOOKUP(AL607,CODEBOOK_CAP!$C$2:$D$212,2,FALSE),""))</f>
        <v>0322 - ESTRUTURAS, HOSPITAIS, CLÍNICAS</v>
      </c>
      <c r="AN607" s="13" t="str">
        <f>IF(AL607="","",IFERROR(VLOOKUP(AL607,CODEBOOK_CAP!$C$2:$E$212,3,FALSE),""))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607" s="11" t="n">
        <v>1</v>
      </c>
      <c r="AP607" s="11" t="s">
        <v>3611</v>
      </c>
      <c r="AQ607" s="11" t="n">
        <v>1</v>
      </c>
      <c r="AR607" s="11" t="n">
        <v>1</v>
      </c>
      <c r="AS607" s="11" t="s">
        <v>3612</v>
      </c>
      <c r="AT607" s="11" t="n">
        <v>0</v>
      </c>
      <c r="AU607" s="11"/>
      <c r="AV607" s="11"/>
      <c r="AW607" s="11"/>
      <c r="AX607" s="7" t="s">
        <v>84</v>
      </c>
      <c r="AY607" s="7"/>
      <c r="AZ607" s="7"/>
      <c r="BA607" s="7"/>
    </row>
    <row r="608" ht="185.25" customHeight="1">
      <c r="A608" s="4" t="s">
        <v>3613</v>
      </c>
      <c r="B608" s="4" t="n">
        <v>2022</v>
      </c>
      <c r="C608" s="4" t="n">
        <v>4417</v>
      </c>
      <c r="D608" s="4" t="s">
        <v>54</v>
      </c>
      <c r="E608" s="4" t="s">
        <v>3497</v>
      </c>
      <c r="F608" s="5" t="s">
        <v>3614</v>
      </c>
      <c r="G608" s="4" t="s">
        <v>57</v>
      </c>
      <c r="H608" s="4" t="s">
        <v>3499</v>
      </c>
      <c r="I608" s="4" t="s">
        <v>1666</v>
      </c>
      <c r="J608" s="4" t="s">
        <v>3615</v>
      </c>
      <c r="K608" s="4" t="s">
        <v>554</v>
      </c>
      <c r="L608" s="5" t="s">
        <v>62</v>
      </c>
      <c r="M608" s="4" t="s">
        <v>63</v>
      </c>
      <c r="N608" s="5" t="s">
        <v>64</v>
      </c>
      <c r="O608" s="4" t="s">
        <v>65</v>
      </c>
      <c r="P608" s="5" t="s">
        <v>344</v>
      </c>
      <c r="Q608" s="4" t="s">
        <v>345</v>
      </c>
      <c r="R608" s="5" t="s">
        <v>346</v>
      </c>
      <c r="S608" s="4" t="s">
        <v>347</v>
      </c>
      <c r="T608" s="5" t="s">
        <v>555</v>
      </c>
      <c r="U608" s="4" t="s">
        <v>347</v>
      </c>
      <c r="V608" s="5" t="s">
        <v>310</v>
      </c>
      <c r="W608" s="4" t="s">
        <v>73</v>
      </c>
      <c r="X608" s="4" t="s">
        <v>74</v>
      </c>
      <c r="Y608" s="5"/>
      <c r="Z608" s="4" t="s">
        <v>75</v>
      </c>
      <c r="AA608" s="6" t="n">
        <v>80000</v>
      </c>
      <c r="AB608" s="6" t="n">
        <v>31849</v>
      </c>
      <c r="AC608" s="6" t="n">
        <v>31849</v>
      </c>
      <c r="AD608" s="6" t="n">
        <v>31849</v>
      </c>
      <c r="AE608" s="4" t="s">
        <v>3604</v>
      </c>
      <c r="AF608" s="5"/>
      <c r="AG608" s="4" t="s">
        <v>78</v>
      </c>
      <c r="AH608" s="4" t="s">
        <v>79</v>
      </c>
      <c r="AI608" s="5" t="s">
        <v>80</v>
      </c>
      <c r="AJ608" s="1" t="n">
        <v>1</v>
      </c>
      <c r="AK608" s="11" t="n">
        <v>1</v>
      </c>
      <c r="AL608" s="12" t="s">
        <v>81</v>
      </c>
      <c r="AM608" s="13" t="str">
        <f>IF(AL608="","",AL608&amp;" - "&amp;IFERROR(VLOOKUP(AL608,CODEBOOK_CAP!$C$2:$D$212,2,FALSE),""))</f>
        <v>0322 - ESTRUTURAS, HOSPITAIS, CLÍNICAS</v>
      </c>
      <c r="AN608" s="13" t="str">
        <f>IF(AL608="","",IFERROR(VLOOKUP(AL608,CODEBOOK_CAP!$C$2:$E$212,3,FALSE),""))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608" s="11" t="n">
        <v>1</v>
      </c>
      <c r="AP608" s="11" t="s">
        <v>3616</v>
      </c>
      <c r="AQ608" s="11" t="n">
        <v>1</v>
      </c>
      <c r="AR608" s="11" t="n">
        <v>1</v>
      </c>
      <c r="AS608" s="11" t="s">
        <v>3617</v>
      </c>
      <c r="AT608" s="11" t="n">
        <v>0</v>
      </c>
      <c r="AU608" s="11"/>
      <c r="AV608" s="11"/>
      <c r="AW608" s="11"/>
      <c r="AX608" s="7" t="s">
        <v>84</v>
      </c>
      <c r="AY608" s="7"/>
      <c r="AZ608" s="7"/>
      <c r="BA608" s="7"/>
    </row>
    <row r="609" ht="85.5" customHeight="1">
      <c r="A609" s="4" t="s">
        <v>3618</v>
      </c>
      <c r="B609" s="4" t="n">
        <v>2022</v>
      </c>
      <c r="C609" s="4" t="n">
        <v>4418</v>
      </c>
      <c r="D609" s="4" t="s">
        <v>54</v>
      </c>
      <c r="E609" s="4" t="s">
        <v>3497</v>
      </c>
      <c r="F609" s="5" t="s">
        <v>3619</v>
      </c>
      <c r="G609" s="4" t="s">
        <v>57</v>
      </c>
      <c r="H609" s="4" t="s">
        <v>3499</v>
      </c>
      <c r="I609" s="4" t="s">
        <v>1666</v>
      </c>
      <c r="J609" s="4" t="s">
        <v>3620</v>
      </c>
      <c r="K609" s="4" t="s">
        <v>115</v>
      </c>
      <c r="L609" s="5"/>
      <c r="M609" s="4"/>
      <c r="N609" s="5"/>
      <c r="O609" s="4"/>
      <c r="P609" s="5"/>
      <c r="Q609" s="4"/>
      <c r="R609" s="5"/>
      <c r="S609" s="4"/>
      <c r="T609" s="5"/>
      <c r="U609" s="4"/>
      <c r="V609" s="5"/>
      <c r="W609" s="4"/>
      <c r="X609" s="4"/>
      <c r="Y609" s="5"/>
      <c r="Z609" s="4" t="s">
        <v>75</v>
      </c>
      <c r="AA609" s="6" t="n">
        <v>150000</v>
      </c>
      <c r="AB609" s="6" t="n">
        <v>0</v>
      </c>
      <c r="AC609" s="6" t="n">
        <v>0</v>
      </c>
      <c r="AD609" s="6" t="n">
        <v>0</v>
      </c>
      <c r="AE609" s="4" t="s">
        <v>351</v>
      </c>
      <c r="AF609" s="5" t="s">
        <v>115</v>
      </c>
      <c r="AG609" s="4" t="s">
        <v>115</v>
      </c>
      <c r="AH609" s="4" t="s">
        <v>115</v>
      </c>
      <c r="AI609" s="5" t="s">
        <v>115</v>
      </c>
      <c r="AJ609" s="1" t="n">
        <v>1</v>
      </c>
      <c r="AK609" s="11" t="n">
        <v>1</v>
      </c>
      <c r="AL609" s="12" t="s">
        <v>81</v>
      </c>
      <c r="AM609" s="13" t="str">
        <f>IF(AL609="","",AL609&amp;" - "&amp;IFERROR(VLOOKUP(AL609,CODEBOOK_CAP!$C$2:$D$212,2,FALSE),""))</f>
        <v>0322 - ESTRUTURAS, HOSPITAIS, CLÍNICAS</v>
      </c>
      <c r="AN609" s="13" t="str">
        <f>IF(AL609="","",IFERROR(VLOOKUP(AL609,CODEBOOK_CAP!$C$2:$E$212,3,FALSE),""))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609" s="11" t="n">
        <v>1</v>
      </c>
      <c r="AP609" s="11" t="s">
        <v>3621</v>
      </c>
      <c r="AQ609" s="11" t="n">
        <v>1</v>
      </c>
      <c r="AR609" s="11" t="n">
        <v>1</v>
      </c>
      <c r="AS609" s="11" t="s">
        <v>3622</v>
      </c>
      <c r="AT609" s="11" t="n">
        <v>0</v>
      </c>
      <c r="AU609" s="11"/>
      <c r="AV609" s="11"/>
      <c r="AW609" s="11"/>
      <c r="AX609" s="7" t="s">
        <v>84</v>
      </c>
      <c r="AY609" s="7"/>
      <c r="AZ609" s="7"/>
      <c r="BA609" s="7"/>
    </row>
    <row r="610" ht="85.5" customHeight="1">
      <c r="A610" s="4" t="s">
        <v>3623</v>
      </c>
      <c r="B610" s="4" t="n">
        <v>2022</v>
      </c>
      <c r="C610" s="4" t="n">
        <v>4419</v>
      </c>
      <c r="D610" s="4" t="s">
        <v>54</v>
      </c>
      <c r="E610" s="4" t="s">
        <v>3497</v>
      </c>
      <c r="F610" s="5" t="s">
        <v>3624</v>
      </c>
      <c r="G610" s="4" t="s">
        <v>57</v>
      </c>
      <c r="H610" s="4" t="s">
        <v>3499</v>
      </c>
      <c r="I610" s="4" t="s">
        <v>1666</v>
      </c>
      <c r="J610" s="4" t="s">
        <v>3625</v>
      </c>
      <c r="K610" s="4" t="s">
        <v>554</v>
      </c>
      <c r="L610" s="5" t="s">
        <v>62</v>
      </c>
      <c r="M610" s="4" t="s">
        <v>63</v>
      </c>
      <c r="N610" s="5" t="s">
        <v>64</v>
      </c>
      <c r="O610" s="4" t="s">
        <v>65</v>
      </c>
      <c r="P610" s="5" t="s">
        <v>344</v>
      </c>
      <c r="Q610" s="4" t="s">
        <v>345</v>
      </c>
      <c r="R610" s="5" t="s">
        <v>346</v>
      </c>
      <c r="S610" s="4" t="s">
        <v>347</v>
      </c>
      <c r="T610" s="5" t="s">
        <v>555</v>
      </c>
      <c r="U610" s="4" t="s">
        <v>347</v>
      </c>
      <c r="V610" s="5" t="s">
        <v>310</v>
      </c>
      <c r="W610" s="4" t="s">
        <v>73</v>
      </c>
      <c r="X610" s="4" t="s">
        <v>74</v>
      </c>
      <c r="Y610" s="5"/>
      <c r="Z610" s="4" t="s">
        <v>75</v>
      </c>
      <c r="AA610" s="6" t="n">
        <v>40000</v>
      </c>
      <c r="AB610" s="6" t="n">
        <v>21054</v>
      </c>
      <c r="AC610" s="6" t="n">
        <v>21054</v>
      </c>
      <c r="AD610" s="6" t="n">
        <v>21054</v>
      </c>
      <c r="AE610" s="4" t="s">
        <v>3626</v>
      </c>
      <c r="AF610" s="5"/>
      <c r="AG610" s="4" t="s">
        <v>78</v>
      </c>
      <c r="AH610" s="4" t="s">
        <v>79</v>
      </c>
      <c r="AI610" s="5" t="s">
        <v>80</v>
      </c>
      <c r="AJ610" s="1" t="n">
        <v>1</v>
      </c>
      <c r="AK610" s="11" t="n">
        <v>1</v>
      </c>
      <c r="AL610" s="12" t="s">
        <v>81</v>
      </c>
      <c r="AM610" s="13" t="str">
        <f>IF(AL610="","",AL610&amp;" - "&amp;IFERROR(VLOOKUP(AL610,CODEBOOK_CAP!$C$2:$D$212,2,FALSE),""))</f>
        <v>0322 - ESTRUTURAS, HOSPITAIS, CLÍNICAS</v>
      </c>
      <c r="AN610" s="13" t="str">
        <f>IF(AL610="","",IFERROR(VLOOKUP(AL610,CODEBOOK_CAP!$C$2:$E$212,3,FALSE),""))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610" s="11" t="n">
        <v>1</v>
      </c>
      <c r="AP610" s="11" t="s">
        <v>3627</v>
      </c>
      <c r="AQ610" s="11" t="n">
        <v>1</v>
      </c>
      <c r="AR610" s="11" t="n">
        <v>1</v>
      </c>
      <c r="AS610" s="11" t="s">
        <v>3628</v>
      </c>
      <c r="AT610" s="11" t="n">
        <v>0</v>
      </c>
      <c r="AU610" s="11"/>
      <c r="AV610" s="11"/>
      <c r="AW610" s="11"/>
      <c r="AX610" s="7" t="s">
        <v>84</v>
      </c>
      <c r="AY610" s="7"/>
      <c r="AZ610" s="7"/>
      <c r="BA610" s="7"/>
    </row>
    <row r="611" ht="185.25" customHeight="1">
      <c r="A611" s="4" t="s">
        <v>3629</v>
      </c>
      <c r="B611" s="4" t="n">
        <v>2022</v>
      </c>
      <c r="C611" s="4" t="n">
        <v>4514</v>
      </c>
      <c r="D611" s="4" t="s">
        <v>54</v>
      </c>
      <c r="E611" s="4" t="s">
        <v>3497</v>
      </c>
      <c r="F611" s="5" t="s">
        <v>3630</v>
      </c>
      <c r="G611" s="4" t="s">
        <v>57</v>
      </c>
      <c r="H611" s="4" t="s">
        <v>3499</v>
      </c>
      <c r="I611" s="4" t="s">
        <v>1666</v>
      </c>
      <c r="J611" s="4" t="s">
        <v>3631</v>
      </c>
      <c r="K611" s="4" t="s">
        <v>572</v>
      </c>
      <c r="L611" s="5" t="s">
        <v>62</v>
      </c>
      <c r="M611" s="4" t="s">
        <v>63</v>
      </c>
      <c r="N611" s="5" t="s">
        <v>64</v>
      </c>
      <c r="O611" s="4" t="s">
        <v>65</v>
      </c>
      <c r="P611" s="5" t="s">
        <v>193</v>
      </c>
      <c r="Q611" s="4" t="s">
        <v>194</v>
      </c>
      <c r="R611" s="5" t="s">
        <v>195</v>
      </c>
      <c r="S611" s="4" t="s">
        <v>196</v>
      </c>
      <c r="T611" s="5" t="s">
        <v>573</v>
      </c>
      <c r="U611" s="4" t="s">
        <v>574</v>
      </c>
      <c r="V611" s="5" t="s">
        <v>310</v>
      </c>
      <c r="W611" s="4" t="s">
        <v>73</v>
      </c>
      <c r="X611" s="4" t="s">
        <v>74</v>
      </c>
      <c r="Y611" s="5"/>
      <c r="Z611" s="4" t="s">
        <v>75</v>
      </c>
      <c r="AA611" s="6" t="n">
        <v>100000</v>
      </c>
      <c r="AB611" s="6" t="n">
        <v>99268</v>
      </c>
      <c r="AC611" s="6" t="n">
        <v>99268</v>
      </c>
      <c r="AD611" s="6" t="n">
        <v>99268</v>
      </c>
      <c r="AE611" s="4" t="s">
        <v>3632</v>
      </c>
      <c r="AF611" s="5" t="s">
        <v>3633</v>
      </c>
      <c r="AG611" s="4" t="s">
        <v>78</v>
      </c>
      <c r="AH611" s="4" t="s">
        <v>79</v>
      </c>
      <c r="AI611" s="5" t="s">
        <v>80</v>
      </c>
      <c r="AJ611" s="1" t="n">
        <v>1</v>
      </c>
      <c r="AK611" s="11" t="n">
        <v>1</v>
      </c>
      <c r="AL611" s="12" t="s">
        <v>81</v>
      </c>
      <c r="AM611" s="13" t="str">
        <f>IF(AL611="","",AL611&amp;" - "&amp;IFERROR(VLOOKUP(AL611,CODEBOOK_CAP!$C$2:$D$212,2,FALSE),""))</f>
        <v>0322 - ESTRUTURAS, HOSPITAIS, CLÍNICAS</v>
      </c>
      <c r="AN611" s="13" t="str">
        <f>IF(AL611="","",IFERROR(VLOOKUP(AL611,CODEBOOK_CAP!$C$2:$E$212,3,FALSE),""))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611" s="11" t="n">
        <v>1</v>
      </c>
      <c r="AP611" s="11" t="s">
        <v>1299</v>
      </c>
      <c r="AQ611" s="11" t="n">
        <v>1</v>
      </c>
      <c r="AR611" s="11" t="n">
        <v>1</v>
      </c>
      <c r="AS611" s="11" t="s">
        <v>3634</v>
      </c>
      <c r="AT611" s="11" t="n">
        <v>0</v>
      </c>
      <c r="AU611" s="11"/>
      <c r="AV611" s="11"/>
      <c r="AW611" s="11"/>
      <c r="AX611" s="7" t="s">
        <v>84</v>
      </c>
      <c r="AY611" s="7"/>
      <c r="AZ611" s="7"/>
      <c r="BA611" s="7"/>
      <c r="BB611" s="9"/>
    </row>
  </sheetData>
  <dataValidations count="3">
    <dataValidation type="list" sqref="AK2:AK611 AV2:AV611 AT2:AT611 AR2:AR611 AO2:AO611" xr:uid="{00000000-0002-0000-0000-000000000000}">
      <formula1>"0,1"</formula1>
    </dataValidation>
    <dataValidation type="list" sqref="AX2:AX611" xr:uid="{00000000-0002-0000-0000-000001000000}">
      <formula1>"Pendente,Revisar,Revisado"</formula1>
    </dataValidation>
    <dataValidation type="list" sqref="AY2:AY611" xr:uid="{00000000-0002-0000-0000-000002000000}">
      <formula1>"Alta,Média,Baixa"</formula1>
    </dataValidation>
  </dataValidations>
  <hyperlinks>
    <hyperlink ref="AS508" r:id="rId1h"/>
  </hyperlinks>
  <pageMargins left="0.7" right="0.7" top="0.75" bottom="0.75" header="0.3" footer="0.3"/>
  <pageSetup paperSize="9" orientation="portrait" horizontalDpi="300" verticalDpi="300"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cols>
    <col min="1" max="1" width="12" hidden="0" customWidth="1"/>
    <col min="2" max="2" width="34" hidden="0" customWidth="1"/>
    <col min="3" max="3" width="12" hidden="0" customWidth="1"/>
    <col min="4" max="4" width="42" hidden="0" customWidth="1"/>
    <col min="5" max="5" width="75" hidden="0" customWidth="1"/>
    <col min="6" max="6" width="35" hidden="0" customWidth="1"/>
    <col min="7" max="7" width="35" hidden="0" customWidth="1"/>
    <col min="8" max="8" width="35" hidden="0" customWidth="1"/>
    <col min="9" max="9" width="35" hidden="0" customWidth="1"/>
    <col min="10" max="10" width="10" hidden="0" customWidth="1"/>
  </cols>
  <sheetData>
    <row r="1" ht="30" customHeight="1">
      <c r="A1" s="10" t="s">
        <v>3635</v>
      </c>
      <c r="B1" s="10" t="s">
        <v>3636</v>
      </c>
      <c r="C1" s="10" t="s">
        <v>3637</v>
      </c>
      <c r="D1" s="10" t="s">
        <v>3638</v>
      </c>
      <c r="E1" s="10" t="s">
        <v>3639</v>
      </c>
      <c r="F1" s="10" t="s">
        <v>3640</v>
      </c>
      <c r="G1" s="10" t="s">
        <v>3641</v>
      </c>
      <c r="H1" s="10" t="s">
        <v>3642</v>
      </c>
      <c r="I1" s="10" t="s">
        <v>3643</v>
      </c>
      <c r="J1" s="10" t="s">
        <v>3644</v>
      </c>
    </row>
    <row r="2" ht="114" customHeight="1">
      <c r="A2" s="19" t="s">
        <v>3645</v>
      </c>
      <c r="B2" s="20" t="s">
        <v>3646</v>
      </c>
      <c r="C2" s="19" t="s">
        <v>3647</v>
      </c>
      <c r="D2" s="20" t="s">
        <v>3648</v>
      </c>
      <c r="E2" s="20" t="s">
        <v>3649</v>
      </c>
      <c r="F2" s="20"/>
      <c r="G2" s="20"/>
      <c r="H2" s="20"/>
      <c r="I2" s="20"/>
      <c r="J2" s="20" t="s">
        <v>3650</v>
      </c>
    </row>
    <row r="3" ht="142.5" customHeight="1">
      <c r="A3" s="19" t="s">
        <v>3645</v>
      </c>
      <c r="B3" s="20" t="s">
        <v>3646</v>
      </c>
      <c r="C3" s="19" t="s">
        <v>3210</v>
      </c>
      <c r="D3" s="20" t="s">
        <v>3651</v>
      </c>
      <c r="E3" s="20" t="s">
        <v>3652</v>
      </c>
      <c r="F3" s="20"/>
      <c r="G3" s="20"/>
      <c r="H3" s="20"/>
      <c r="I3" s="20"/>
      <c r="J3" s="20" t="s">
        <v>3650</v>
      </c>
    </row>
    <row r="4" ht="85.5" customHeight="1">
      <c r="A4" s="19" t="s">
        <v>3645</v>
      </c>
      <c r="B4" s="20" t="s">
        <v>3646</v>
      </c>
      <c r="C4" s="19" t="s">
        <v>3653</v>
      </c>
      <c r="D4" s="20" t="s">
        <v>3654</v>
      </c>
      <c r="E4" s="20" t="s">
        <v>3655</v>
      </c>
      <c r="F4" s="20"/>
      <c r="G4" s="20"/>
      <c r="H4" s="20"/>
      <c r="I4" s="20"/>
      <c r="J4" s="20" t="s">
        <v>3650</v>
      </c>
    </row>
    <row r="5" ht="71.25" customHeight="1">
      <c r="A5" s="19" t="s">
        <v>3645</v>
      </c>
      <c r="B5" s="20" t="s">
        <v>3646</v>
      </c>
      <c r="C5" s="19" t="s">
        <v>3656</v>
      </c>
      <c r="D5" s="20" t="s">
        <v>3657</v>
      </c>
      <c r="E5" s="20" t="s">
        <v>3658</v>
      </c>
      <c r="F5" s="20"/>
      <c r="G5" s="20"/>
      <c r="H5" s="20"/>
      <c r="I5" s="20"/>
      <c r="J5" s="20" t="s">
        <v>3650</v>
      </c>
    </row>
    <row r="6" ht="142.5" customHeight="1">
      <c r="A6" s="19" t="s">
        <v>3645</v>
      </c>
      <c r="B6" s="20" t="s">
        <v>3646</v>
      </c>
      <c r="C6" s="19" t="s">
        <v>3659</v>
      </c>
      <c r="D6" s="20" t="s">
        <v>3660</v>
      </c>
      <c r="E6" s="20" t="s">
        <v>3661</v>
      </c>
      <c r="F6" s="20"/>
      <c r="G6" s="20"/>
      <c r="H6" s="20"/>
      <c r="I6" s="20"/>
      <c r="J6" s="20" t="s">
        <v>3650</v>
      </c>
    </row>
    <row r="7" ht="171" customHeight="1">
      <c r="A7" s="19" t="s">
        <v>3645</v>
      </c>
      <c r="B7" s="20" t="s">
        <v>3646</v>
      </c>
      <c r="C7" s="19" t="s">
        <v>3662</v>
      </c>
      <c r="D7" s="20" t="s">
        <v>3663</v>
      </c>
      <c r="E7" s="20" t="s">
        <v>3664</v>
      </c>
      <c r="F7" s="20"/>
      <c r="G7" s="20"/>
      <c r="H7" s="20"/>
      <c r="I7" s="20"/>
      <c r="J7" s="20" t="s">
        <v>3650</v>
      </c>
    </row>
    <row r="8" ht="99.75" customHeight="1">
      <c r="A8" s="19" t="s">
        <v>3645</v>
      </c>
      <c r="B8" s="20" t="s">
        <v>3646</v>
      </c>
      <c r="C8" s="19" t="s">
        <v>3665</v>
      </c>
      <c r="D8" s="20" t="s">
        <v>3666</v>
      </c>
      <c r="E8" s="20" t="s">
        <v>3667</v>
      </c>
      <c r="F8" s="20"/>
      <c r="G8" s="20"/>
      <c r="H8" s="20"/>
      <c r="I8" s="20"/>
      <c r="J8" s="20" t="s">
        <v>3650</v>
      </c>
    </row>
    <row r="9" ht="99.75" customHeight="1">
      <c r="A9" s="19" t="s">
        <v>3645</v>
      </c>
      <c r="B9" s="20" t="s">
        <v>3646</v>
      </c>
      <c r="C9" s="19" t="s">
        <v>3668</v>
      </c>
      <c r="D9" s="20" t="s">
        <v>3669</v>
      </c>
      <c r="E9" s="20" t="s">
        <v>3670</v>
      </c>
      <c r="F9" s="20"/>
      <c r="G9" s="20"/>
      <c r="H9" s="20"/>
      <c r="I9" s="20"/>
      <c r="J9" s="20" t="s">
        <v>3650</v>
      </c>
    </row>
    <row r="10" ht="28.5" customHeight="1">
      <c r="A10" s="19" t="s">
        <v>3645</v>
      </c>
      <c r="B10" s="20" t="s">
        <v>3646</v>
      </c>
      <c r="C10" s="19" t="s">
        <v>3671</v>
      </c>
      <c r="D10" s="20" t="s">
        <v>3672</v>
      </c>
      <c r="E10" s="20" t="s">
        <v>3673</v>
      </c>
      <c r="F10" s="20"/>
      <c r="G10" s="20"/>
      <c r="H10" s="20"/>
      <c r="I10" s="20"/>
      <c r="J10" s="20" t="s">
        <v>3650</v>
      </c>
    </row>
    <row r="11" ht="156.75" customHeight="1">
      <c r="A11" s="19" t="s">
        <v>3674</v>
      </c>
      <c r="B11" s="20" t="s">
        <v>3675</v>
      </c>
      <c r="C11" s="19" t="s">
        <v>269</v>
      </c>
      <c r="D11" s="20" t="s">
        <v>3648</v>
      </c>
      <c r="E11" s="20" t="s">
        <v>3676</v>
      </c>
      <c r="F11" s="20"/>
      <c r="G11" s="20"/>
      <c r="H11" s="20"/>
      <c r="I11" s="20"/>
      <c r="J11" s="20" t="s">
        <v>3650</v>
      </c>
    </row>
    <row r="12" ht="114" customHeight="1">
      <c r="A12" s="19" t="s">
        <v>3674</v>
      </c>
      <c r="B12" s="20" t="s">
        <v>3675</v>
      </c>
      <c r="C12" s="19" t="s">
        <v>2177</v>
      </c>
      <c r="D12" s="20" t="s">
        <v>3677</v>
      </c>
      <c r="E12" s="20" t="s">
        <v>3678</v>
      </c>
      <c r="F12" s="20"/>
      <c r="G12" s="20"/>
      <c r="H12" s="20"/>
      <c r="I12" s="20"/>
      <c r="J12" s="20" t="s">
        <v>3650</v>
      </c>
    </row>
    <row r="13" ht="85.5" customHeight="1">
      <c r="A13" s="19" t="s">
        <v>3674</v>
      </c>
      <c r="B13" s="20" t="s">
        <v>3675</v>
      </c>
      <c r="C13" s="19" t="s">
        <v>252</v>
      </c>
      <c r="D13" s="20" t="s">
        <v>3679</v>
      </c>
      <c r="E13" s="20" t="s">
        <v>3680</v>
      </c>
      <c r="F13" s="20"/>
      <c r="G13" s="20"/>
      <c r="H13" s="20"/>
      <c r="I13" s="20"/>
      <c r="J13" s="20" t="s">
        <v>3650</v>
      </c>
    </row>
    <row r="14" ht="42.75" customHeight="1">
      <c r="A14" s="19" t="s">
        <v>3674</v>
      </c>
      <c r="B14" s="20" t="s">
        <v>3675</v>
      </c>
      <c r="C14" s="19" t="s">
        <v>3681</v>
      </c>
      <c r="D14" s="20" t="s">
        <v>3682</v>
      </c>
      <c r="E14" s="20" t="s">
        <v>3683</v>
      </c>
      <c r="F14" s="20"/>
      <c r="G14" s="20"/>
      <c r="H14" s="20"/>
      <c r="I14" s="20"/>
      <c r="J14" s="20" t="s">
        <v>3650</v>
      </c>
    </row>
    <row r="15" ht="57" customHeight="1">
      <c r="A15" s="19" t="s">
        <v>3674</v>
      </c>
      <c r="B15" s="20" t="s">
        <v>3675</v>
      </c>
      <c r="C15" s="19" t="s">
        <v>3684</v>
      </c>
      <c r="D15" s="20" t="s">
        <v>3685</v>
      </c>
      <c r="E15" s="20" t="s">
        <v>3686</v>
      </c>
      <c r="F15" s="20"/>
      <c r="G15" s="20"/>
      <c r="H15" s="20"/>
      <c r="I15" s="20"/>
      <c r="J15" s="20" t="s">
        <v>3650</v>
      </c>
    </row>
    <row r="16" ht="142.5" customHeight="1">
      <c r="A16" s="19" t="s">
        <v>3674</v>
      </c>
      <c r="B16" s="20" t="s">
        <v>3675</v>
      </c>
      <c r="C16" s="19" t="s">
        <v>3687</v>
      </c>
      <c r="D16" s="20" t="s">
        <v>3688</v>
      </c>
      <c r="E16" s="20" t="s">
        <v>3689</v>
      </c>
      <c r="F16" s="20"/>
      <c r="G16" s="20"/>
      <c r="H16" s="20"/>
      <c r="I16" s="20"/>
      <c r="J16" s="20" t="s">
        <v>3650</v>
      </c>
    </row>
    <row r="17" ht="71.25" customHeight="1">
      <c r="A17" s="19" t="s">
        <v>3674</v>
      </c>
      <c r="B17" s="20" t="s">
        <v>3675</v>
      </c>
      <c r="C17" s="19" t="s">
        <v>3690</v>
      </c>
      <c r="D17" s="20" t="s">
        <v>3691</v>
      </c>
      <c r="E17" s="20" t="s">
        <v>3692</v>
      </c>
      <c r="F17" s="20"/>
      <c r="G17" s="20"/>
      <c r="H17" s="20"/>
      <c r="I17" s="20"/>
      <c r="J17" s="20" t="s">
        <v>3650</v>
      </c>
    </row>
    <row r="18" ht="114" customHeight="1">
      <c r="A18" s="19" t="s">
        <v>3674</v>
      </c>
      <c r="B18" s="20" t="s">
        <v>3675</v>
      </c>
      <c r="C18" s="19" t="s">
        <v>3693</v>
      </c>
      <c r="D18" s="20" t="s">
        <v>3694</v>
      </c>
      <c r="E18" s="20" t="s">
        <v>3695</v>
      </c>
      <c r="F18" s="20"/>
      <c r="G18" s="20"/>
      <c r="H18" s="20"/>
      <c r="I18" s="20"/>
      <c r="J18" s="20" t="s">
        <v>3650</v>
      </c>
    </row>
    <row r="19" ht="57" customHeight="1">
      <c r="A19" s="19" t="s">
        <v>3674</v>
      </c>
      <c r="B19" s="20" t="s">
        <v>3675</v>
      </c>
      <c r="C19" s="19" t="s">
        <v>3696</v>
      </c>
      <c r="D19" s="20" t="s">
        <v>3697</v>
      </c>
      <c r="E19" s="20" t="s">
        <v>3698</v>
      </c>
      <c r="F19" s="20"/>
      <c r="G19" s="20"/>
      <c r="H19" s="20"/>
      <c r="I19" s="20"/>
      <c r="J19" s="20" t="s">
        <v>3650</v>
      </c>
    </row>
    <row r="20" ht="28.5" customHeight="1">
      <c r="A20" s="19" t="s">
        <v>3674</v>
      </c>
      <c r="B20" s="20" t="s">
        <v>3675</v>
      </c>
      <c r="C20" s="19" t="s">
        <v>3699</v>
      </c>
      <c r="D20" s="20" t="s">
        <v>3672</v>
      </c>
      <c r="E20" s="20" t="s">
        <v>3700</v>
      </c>
      <c r="F20" s="20"/>
      <c r="G20" s="20"/>
      <c r="H20" s="20"/>
      <c r="I20" s="20"/>
      <c r="J20" s="20" t="s">
        <v>3650</v>
      </c>
    </row>
    <row r="21" ht="71.25" customHeight="1">
      <c r="A21" s="19" t="s">
        <v>3701</v>
      </c>
      <c r="B21" s="20" t="s">
        <v>3702</v>
      </c>
      <c r="C21" s="19" t="s">
        <v>3703</v>
      </c>
      <c r="D21" s="20" t="s">
        <v>3648</v>
      </c>
      <c r="E21" s="20" t="s">
        <v>3704</v>
      </c>
      <c r="F21" s="20"/>
      <c r="G21" s="20"/>
      <c r="H21" s="20"/>
      <c r="I21" s="20"/>
      <c r="J21" s="20" t="s">
        <v>3650</v>
      </c>
    </row>
    <row r="22" ht="71.25" customHeight="1">
      <c r="A22" s="19" t="s">
        <v>3701</v>
      </c>
      <c r="B22" s="20" t="s">
        <v>3702</v>
      </c>
      <c r="C22" s="19" t="s">
        <v>2124</v>
      </c>
      <c r="D22" s="20" t="s">
        <v>3705</v>
      </c>
      <c r="E22" s="20" t="s">
        <v>3706</v>
      </c>
      <c r="F22" s="20"/>
      <c r="G22" s="20"/>
      <c r="H22" s="20"/>
      <c r="I22" s="20"/>
      <c r="J22" s="20" t="s">
        <v>3650</v>
      </c>
    </row>
    <row r="23" ht="57" customHeight="1">
      <c r="A23" s="19" t="s">
        <v>3701</v>
      </c>
      <c r="B23" s="20" t="s">
        <v>3702</v>
      </c>
      <c r="C23" s="19" t="s">
        <v>2094</v>
      </c>
      <c r="D23" s="20" t="s">
        <v>3707</v>
      </c>
      <c r="E23" s="20" t="s">
        <v>3708</v>
      </c>
      <c r="F23" s="20"/>
      <c r="G23" s="20"/>
      <c r="H23" s="20"/>
      <c r="I23" s="20"/>
      <c r="J23" s="20" t="s">
        <v>3650</v>
      </c>
    </row>
    <row r="24" ht="142.5" customHeight="1">
      <c r="A24" s="19" t="s">
        <v>3701</v>
      </c>
      <c r="B24" s="20" t="s">
        <v>3702</v>
      </c>
      <c r="C24" s="19" t="s">
        <v>556</v>
      </c>
      <c r="D24" s="20" t="s">
        <v>3709</v>
      </c>
      <c r="E24" s="20" t="s">
        <v>3710</v>
      </c>
      <c r="F24" s="20"/>
      <c r="G24" s="20"/>
      <c r="H24" s="20"/>
      <c r="I24" s="20"/>
      <c r="J24" s="20" t="s">
        <v>3650</v>
      </c>
    </row>
    <row r="25" ht="85.5" customHeight="1">
      <c r="A25" s="19" t="s">
        <v>3701</v>
      </c>
      <c r="B25" s="20" t="s">
        <v>3702</v>
      </c>
      <c r="C25" s="19" t="s">
        <v>3711</v>
      </c>
      <c r="D25" s="20" t="s">
        <v>3712</v>
      </c>
      <c r="E25" s="20" t="s">
        <v>3713</v>
      </c>
      <c r="F25" s="20"/>
      <c r="G25" s="20"/>
      <c r="H25" s="20"/>
      <c r="I25" s="20"/>
      <c r="J25" s="20" t="s">
        <v>3650</v>
      </c>
    </row>
    <row r="26" ht="71.25" customHeight="1">
      <c r="A26" s="19" t="s">
        <v>3701</v>
      </c>
      <c r="B26" s="20" t="s">
        <v>3702</v>
      </c>
      <c r="C26" s="19" t="s">
        <v>81</v>
      </c>
      <c r="D26" s="20" t="s">
        <v>3714</v>
      </c>
      <c r="E26" s="20" t="s">
        <v>3715</v>
      </c>
      <c r="F26" s="20"/>
      <c r="G26" s="20"/>
      <c r="H26" s="20"/>
      <c r="I26" s="20"/>
      <c r="J26" s="20" t="s">
        <v>3650</v>
      </c>
    </row>
    <row r="27" ht="57" customHeight="1">
      <c r="A27" s="19" t="s">
        <v>3701</v>
      </c>
      <c r="B27" s="20" t="s">
        <v>3702</v>
      </c>
      <c r="C27" s="19" t="s">
        <v>2754</v>
      </c>
      <c r="D27" s="20" t="s">
        <v>3716</v>
      </c>
      <c r="E27" s="20" t="s">
        <v>3717</v>
      </c>
      <c r="F27" s="20"/>
      <c r="G27" s="20"/>
      <c r="H27" s="20"/>
      <c r="I27" s="20"/>
      <c r="J27" s="20" t="s">
        <v>3650</v>
      </c>
    </row>
    <row r="28" ht="42.75" customHeight="1">
      <c r="A28" s="19" t="s">
        <v>3701</v>
      </c>
      <c r="B28" s="20" t="s">
        <v>3702</v>
      </c>
      <c r="C28" s="19" t="s">
        <v>3718</v>
      </c>
      <c r="D28" s="20" t="s">
        <v>3719</v>
      </c>
      <c r="E28" s="20" t="s">
        <v>3720</v>
      </c>
      <c r="F28" s="20"/>
      <c r="G28" s="20"/>
      <c r="H28" s="20"/>
      <c r="I28" s="20"/>
      <c r="J28" s="20" t="s">
        <v>3650</v>
      </c>
    </row>
    <row r="29" ht="71.25" customHeight="1">
      <c r="A29" s="19" t="s">
        <v>3701</v>
      </c>
      <c r="B29" s="20" t="s">
        <v>3702</v>
      </c>
      <c r="C29" s="19" t="s">
        <v>2207</v>
      </c>
      <c r="D29" s="20" t="s">
        <v>3721</v>
      </c>
      <c r="E29" s="20" t="s">
        <v>3722</v>
      </c>
      <c r="F29" s="20"/>
      <c r="G29" s="20"/>
      <c r="H29" s="20"/>
      <c r="I29" s="20"/>
      <c r="J29" s="20" t="s">
        <v>3650</v>
      </c>
    </row>
    <row r="30" ht="142.5" customHeight="1">
      <c r="A30" s="19" t="s">
        <v>3701</v>
      </c>
      <c r="B30" s="20" t="s">
        <v>3702</v>
      </c>
      <c r="C30" s="19" t="s">
        <v>1837</v>
      </c>
      <c r="D30" s="20" t="s">
        <v>3723</v>
      </c>
      <c r="E30" s="20" t="s">
        <v>3724</v>
      </c>
      <c r="F30" s="20"/>
      <c r="G30" s="20"/>
      <c r="H30" s="20"/>
      <c r="I30" s="20"/>
      <c r="J30" s="20" t="s">
        <v>3650</v>
      </c>
    </row>
    <row r="31" ht="85.5" customHeight="1">
      <c r="A31" s="19" t="s">
        <v>3701</v>
      </c>
      <c r="B31" s="20" t="s">
        <v>3702</v>
      </c>
      <c r="C31" s="19" t="s">
        <v>452</v>
      </c>
      <c r="D31" s="20" t="s">
        <v>3725</v>
      </c>
      <c r="E31" s="20" t="s">
        <v>3726</v>
      </c>
      <c r="F31" s="20"/>
      <c r="G31" s="20"/>
      <c r="H31" s="20"/>
      <c r="I31" s="20"/>
      <c r="J31" s="20" t="s">
        <v>3650</v>
      </c>
    </row>
    <row r="32" ht="57" customHeight="1">
      <c r="A32" s="19" t="s">
        <v>3701</v>
      </c>
      <c r="B32" s="20" t="s">
        <v>3702</v>
      </c>
      <c r="C32" s="19" t="s">
        <v>201</v>
      </c>
      <c r="D32" s="20" t="s">
        <v>3727</v>
      </c>
      <c r="E32" s="20" t="s">
        <v>3728</v>
      </c>
      <c r="F32" s="20"/>
      <c r="G32" s="20"/>
      <c r="H32" s="20"/>
      <c r="I32" s="20"/>
      <c r="J32" s="20" t="s">
        <v>3650</v>
      </c>
    </row>
    <row r="33" ht="71.25" customHeight="1">
      <c r="A33" s="19" t="s">
        <v>3701</v>
      </c>
      <c r="B33" s="20" t="s">
        <v>3702</v>
      </c>
      <c r="C33" s="19" t="s">
        <v>1275</v>
      </c>
      <c r="D33" s="20" t="s">
        <v>3729</v>
      </c>
      <c r="E33" s="20" t="s">
        <v>3730</v>
      </c>
      <c r="F33" s="20"/>
      <c r="G33" s="20"/>
      <c r="H33" s="20"/>
      <c r="I33" s="20"/>
      <c r="J33" s="20" t="s">
        <v>3650</v>
      </c>
    </row>
    <row r="34" ht="114" customHeight="1">
      <c r="A34" s="19" t="s">
        <v>3701</v>
      </c>
      <c r="B34" s="20" t="s">
        <v>3702</v>
      </c>
      <c r="C34" s="19" t="s">
        <v>1715</v>
      </c>
      <c r="D34" s="20" t="s">
        <v>3731</v>
      </c>
      <c r="E34" s="20" t="s">
        <v>3732</v>
      </c>
      <c r="F34" s="20"/>
      <c r="G34" s="20"/>
      <c r="H34" s="20"/>
      <c r="I34" s="20"/>
      <c r="J34" s="20" t="s">
        <v>3650</v>
      </c>
    </row>
    <row r="35" ht="71.25" customHeight="1">
      <c r="A35" s="19" t="s">
        <v>3701</v>
      </c>
      <c r="B35" s="20" t="s">
        <v>3702</v>
      </c>
      <c r="C35" s="19" t="s">
        <v>3733</v>
      </c>
      <c r="D35" s="20" t="s">
        <v>3734</v>
      </c>
      <c r="E35" s="20" t="s">
        <v>3735</v>
      </c>
      <c r="F35" s="20"/>
      <c r="G35" s="20"/>
      <c r="H35" s="20"/>
      <c r="I35" s="20"/>
      <c r="J35" s="20" t="s">
        <v>3650</v>
      </c>
    </row>
    <row r="36" ht="114" customHeight="1">
      <c r="A36" s="19" t="s">
        <v>3701</v>
      </c>
      <c r="B36" s="20" t="s">
        <v>3702</v>
      </c>
      <c r="C36" s="19" t="s">
        <v>831</v>
      </c>
      <c r="D36" s="20" t="s">
        <v>3736</v>
      </c>
      <c r="E36" s="20" t="s">
        <v>3737</v>
      </c>
      <c r="F36" s="20"/>
      <c r="G36" s="20"/>
      <c r="H36" s="20"/>
      <c r="I36" s="20"/>
      <c r="J36" s="20" t="s">
        <v>3650</v>
      </c>
    </row>
    <row r="37" ht="57" customHeight="1">
      <c r="A37" s="19" t="s">
        <v>3701</v>
      </c>
      <c r="B37" s="20" t="s">
        <v>3702</v>
      </c>
      <c r="C37" s="19" t="s">
        <v>3738</v>
      </c>
      <c r="D37" s="20" t="s">
        <v>3739</v>
      </c>
      <c r="E37" s="20" t="s">
        <v>3740</v>
      </c>
      <c r="F37" s="20"/>
      <c r="G37" s="20"/>
      <c r="H37" s="20"/>
      <c r="I37" s="20"/>
      <c r="J37" s="20" t="s">
        <v>3650</v>
      </c>
    </row>
    <row r="38" ht="28.5" customHeight="1">
      <c r="A38" s="19" t="s">
        <v>3701</v>
      </c>
      <c r="B38" s="20" t="s">
        <v>3702</v>
      </c>
      <c r="C38" s="19" t="s">
        <v>531</v>
      </c>
      <c r="D38" s="20" t="s">
        <v>3672</v>
      </c>
      <c r="E38" s="20" t="s">
        <v>3741</v>
      </c>
      <c r="F38" s="20"/>
      <c r="G38" s="20"/>
      <c r="H38" s="20"/>
      <c r="I38" s="20"/>
      <c r="J38" s="20" t="s">
        <v>3650</v>
      </c>
    </row>
    <row r="39" ht="85.5" customHeight="1">
      <c r="A39" s="19" t="s">
        <v>479</v>
      </c>
      <c r="B39" s="20" t="s">
        <v>3742</v>
      </c>
      <c r="C39" s="19" t="s">
        <v>3743</v>
      </c>
      <c r="D39" s="20" t="s">
        <v>3648</v>
      </c>
      <c r="E39" s="20" t="s">
        <v>3744</v>
      </c>
      <c r="F39" s="20"/>
      <c r="G39" s="20"/>
      <c r="H39" s="20"/>
      <c r="I39" s="20"/>
      <c r="J39" s="20" t="s">
        <v>3650</v>
      </c>
    </row>
    <row r="40" ht="57" customHeight="1">
      <c r="A40" s="19" t="s">
        <v>479</v>
      </c>
      <c r="B40" s="20" t="s">
        <v>3742</v>
      </c>
      <c r="C40" s="19" t="s">
        <v>3745</v>
      </c>
      <c r="D40" s="20" t="s">
        <v>3746</v>
      </c>
      <c r="E40" s="20" t="s">
        <v>3747</v>
      </c>
      <c r="F40" s="20"/>
      <c r="G40" s="20"/>
      <c r="H40" s="20"/>
      <c r="I40" s="20"/>
      <c r="J40" s="20" t="s">
        <v>3650</v>
      </c>
    </row>
    <row r="41" ht="99.75" customHeight="1">
      <c r="A41" s="19" t="s">
        <v>479</v>
      </c>
      <c r="B41" s="20" t="s">
        <v>3742</v>
      </c>
      <c r="C41" s="19" t="s">
        <v>3748</v>
      </c>
      <c r="D41" s="20" t="s">
        <v>3749</v>
      </c>
      <c r="E41" s="20" t="s">
        <v>3750</v>
      </c>
      <c r="F41" s="20"/>
      <c r="G41" s="20"/>
      <c r="H41" s="20"/>
      <c r="I41" s="20"/>
      <c r="J41" s="20" t="s">
        <v>3650</v>
      </c>
    </row>
    <row r="42" ht="99.75" customHeight="1">
      <c r="A42" s="19" t="s">
        <v>479</v>
      </c>
      <c r="B42" s="20" t="s">
        <v>3742</v>
      </c>
      <c r="C42" s="19" t="s">
        <v>3751</v>
      </c>
      <c r="D42" s="20" t="s">
        <v>3752</v>
      </c>
      <c r="E42" s="20" t="s">
        <v>3753</v>
      </c>
      <c r="F42" s="20"/>
      <c r="G42" s="20"/>
      <c r="H42" s="20"/>
      <c r="I42" s="20"/>
      <c r="J42" s="20" t="s">
        <v>3650</v>
      </c>
    </row>
    <row r="43" ht="28.5" customHeight="1">
      <c r="A43" s="19" t="s">
        <v>479</v>
      </c>
      <c r="B43" s="20" t="s">
        <v>3742</v>
      </c>
      <c r="C43" s="19" t="s">
        <v>3754</v>
      </c>
      <c r="D43" s="20" t="s">
        <v>3755</v>
      </c>
      <c r="E43" s="20" t="s">
        <v>3756</v>
      </c>
      <c r="F43" s="20"/>
      <c r="G43" s="20"/>
      <c r="H43" s="20"/>
      <c r="I43" s="20"/>
      <c r="J43" s="20" t="s">
        <v>3650</v>
      </c>
    </row>
    <row r="44" ht="99.75" customHeight="1">
      <c r="A44" s="19" t="s">
        <v>479</v>
      </c>
      <c r="B44" s="20" t="s">
        <v>3742</v>
      </c>
      <c r="C44" s="19" t="s">
        <v>1068</v>
      </c>
      <c r="D44" s="20" t="s">
        <v>3757</v>
      </c>
      <c r="E44" s="20" t="s">
        <v>3758</v>
      </c>
      <c r="F44" s="20"/>
      <c r="G44" s="20"/>
      <c r="H44" s="20"/>
      <c r="I44" s="20"/>
      <c r="J44" s="20" t="s">
        <v>3650</v>
      </c>
    </row>
    <row r="45" ht="42.75" customHeight="1">
      <c r="A45" s="19" t="s">
        <v>479</v>
      </c>
      <c r="B45" s="20" t="s">
        <v>3742</v>
      </c>
      <c r="C45" s="19" t="s">
        <v>3759</v>
      </c>
      <c r="D45" s="20" t="s">
        <v>3760</v>
      </c>
      <c r="E45" s="20" t="s">
        <v>3761</v>
      </c>
      <c r="F45" s="20"/>
      <c r="G45" s="20"/>
      <c r="H45" s="20"/>
      <c r="I45" s="20"/>
      <c r="J45" s="20" t="s">
        <v>3650</v>
      </c>
    </row>
    <row r="46" ht="42.75" customHeight="1">
      <c r="A46" s="19" t="s">
        <v>479</v>
      </c>
      <c r="B46" s="20" t="s">
        <v>3742</v>
      </c>
      <c r="C46" s="19" t="s">
        <v>3762</v>
      </c>
      <c r="D46" s="20" t="s">
        <v>3763</v>
      </c>
      <c r="E46" s="20" t="s">
        <v>3764</v>
      </c>
      <c r="F46" s="20"/>
      <c r="G46" s="20"/>
      <c r="H46" s="20"/>
      <c r="I46" s="20"/>
      <c r="J46" s="20" t="s">
        <v>3650</v>
      </c>
    </row>
    <row r="47" ht="28.5" customHeight="1">
      <c r="A47" s="19" t="s">
        <v>479</v>
      </c>
      <c r="B47" s="20" t="s">
        <v>3742</v>
      </c>
      <c r="C47" s="19" t="s">
        <v>961</v>
      </c>
      <c r="D47" s="20" t="s">
        <v>3672</v>
      </c>
      <c r="E47" s="20" t="s">
        <v>3765</v>
      </c>
      <c r="F47" s="20"/>
      <c r="G47" s="20"/>
      <c r="H47" s="20"/>
      <c r="I47" s="20"/>
      <c r="J47" s="20" t="s">
        <v>3650</v>
      </c>
    </row>
    <row r="48" ht="71.25" customHeight="1">
      <c r="A48" s="19" t="s">
        <v>3766</v>
      </c>
      <c r="B48" s="20" t="s">
        <v>3767</v>
      </c>
      <c r="C48" s="19" t="s">
        <v>3768</v>
      </c>
      <c r="D48" s="20" t="s">
        <v>3648</v>
      </c>
      <c r="E48" s="20" t="s">
        <v>3769</v>
      </c>
      <c r="F48" s="20"/>
      <c r="G48" s="20"/>
      <c r="H48" s="20"/>
      <c r="I48" s="20"/>
      <c r="J48" s="20" t="s">
        <v>3650</v>
      </c>
    </row>
    <row r="49" ht="71.25" customHeight="1">
      <c r="A49" s="19" t="s">
        <v>3766</v>
      </c>
      <c r="B49" s="20" t="s">
        <v>3767</v>
      </c>
      <c r="C49" s="19" t="s">
        <v>3770</v>
      </c>
      <c r="D49" s="20" t="s">
        <v>3771</v>
      </c>
      <c r="E49" s="20" t="s">
        <v>3772</v>
      </c>
      <c r="F49" s="20"/>
      <c r="G49" s="20"/>
      <c r="H49" s="20"/>
      <c r="I49" s="20"/>
      <c r="J49" s="20" t="s">
        <v>3650</v>
      </c>
    </row>
    <row r="50" ht="42.75" customHeight="1">
      <c r="A50" s="19" t="s">
        <v>3766</v>
      </c>
      <c r="B50" s="20" t="s">
        <v>3767</v>
      </c>
      <c r="C50" s="19" t="s">
        <v>520</v>
      </c>
      <c r="D50" s="20" t="s">
        <v>3773</v>
      </c>
      <c r="E50" s="20" t="s">
        <v>3774</v>
      </c>
      <c r="F50" s="20"/>
      <c r="G50" s="20"/>
      <c r="H50" s="20"/>
      <c r="I50" s="20"/>
      <c r="J50" s="20" t="s">
        <v>3650</v>
      </c>
    </row>
    <row r="51" ht="171" customHeight="1">
      <c r="A51" s="19" t="s">
        <v>3766</v>
      </c>
      <c r="B51" s="20" t="s">
        <v>3767</v>
      </c>
      <c r="C51" s="19" t="s">
        <v>3775</v>
      </c>
      <c r="D51" s="20" t="s">
        <v>3776</v>
      </c>
      <c r="E51" s="20" t="s">
        <v>3777</v>
      </c>
      <c r="F51" s="20"/>
      <c r="G51" s="20"/>
      <c r="H51" s="20"/>
      <c r="I51" s="20"/>
      <c r="J51" s="20" t="s">
        <v>3650</v>
      </c>
    </row>
    <row r="52" ht="71.25" customHeight="1">
      <c r="A52" s="19" t="s">
        <v>3766</v>
      </c>
      <c r="B52" s="20" t="s">
        <v>3767</v>
      </c>
      <c r="C52" s="19" t="s">
        <v>3778</v>
      </c>
      <c r="D52" s="20" t="s">
        <v>3779</v>
      </c>
      <c r="E52" s="20" t="s">
        <v>3780</v>
      </c>
      <c r="F52" s="20"/>
      <c r="G52" s="20"/>
      <c r="H52" s="20"/>
      <c r="I52" s="20"/>
      <c r="J52" s="20" t="s">
        <v>3650</v>
      </c>
    </row>
    <row r="53" ht="114" customHeight="1">
      <c r="A53" s="19" t="s">
        <v>3766</v>
      </c>
      <c r="B53" s="20" t="s">
        <v>3767</v>
      </c>
      <c r="C53" s="19" t="s">
        <v>3781</v>
      </c>
      <c r="D53" s="20" t="s">
        <v>3782</v>
      </c>
      <c r="E53" s="20" t="s">
        <v>3783</v>
      </c>
      <c r="F53" s="20"/>
      <c r="G53" s="20"/>
      <c r="H53" s="20"/>
      <c r="I53" s="20"/>
      <c r="J53" s="20" t="s">
        <v>3650</v>
      </c>
    </row>
    <row r="54" ht="42.75" customHeight="1">
      <c r="A54" s="19" t="s">
        <v>3766</v>
      </c>
      <c r="B54" s="20" t="s">
        <v>3767</v>
      </c>
      <c r="C54" s="19" t="s">
        <v>2741</v>
      </c>
      <c r="D54" s="20" t="s">
        <v>3784</v>
      </c>
      <c r="E54" s="20" t="s">
        <v>3785</v>
      </c>
      <c r="F54" s="20"/>
      <c r="G54" s="20"/>
      <c r="H54" s="20"/>
      <c r="I54" s="20"/>
      <c r="J54" s="20" t="s">
        <v>3650</v>
      </c>
    </row>
    <row r="55" ht="42.75" customHeight="1">
      <c r="A55" s="19" t="s">
        <v>3766</v>
      </c>
      <c r="B55" s="20" t="s">
        <v>3767</v>
      </c>
      <c r="C55" s="19" t="s">
        <v>3786</v>
      </c>
      <c r="D55" s="20" t="s">
        <v>3787</v>
      </c>
      <c r="E55" s="20" t="s">
        <v>3788</v>
      </c>
      <c r="F55" s="20"/>
      <c r="G55" s="20"/>
      <c r="H55" s="20"/>
      <c r="I55" s="20"/>
      <c r="J55" s="20" t="s">
        <v>3650</v>
      </c>
    </row>
    <row r="56" ht="28.5" customHeight="1">
      <c r="A56" s="19" t="s">
        <v>3766</v>
      </c>
      <c r="B56" s="20" t="s">
        <v>3767</v>
      </c>
      <c r="C56" s="19" t="s">
        <v>3789</v>
      </c>
      <c r="D56" s="20" t="s">
        <v>3672</v>
      </c>
      <c r="E56" s="20" t="s">
        <v>3790</v>
      </c>
      <c r="F56" s="20"/>
      <c r="G56" s="20"/>
      <c r="H56" s="20"/>
      <c r="I56" s="20"/>
      <c r="J56" s="20" t="s">
        <v>3650</v>
      </c>
    </row>
    <row r="57" ht="71.25" customHeight="1">
      <c r="A57" s="19" t="s">
        <v>304</v>
      </c>
      <c r="B57" s="20" t="s">
        <v>3791</v>
      </c>
      <c r="C57" s="19" t="s">
        <v>3792</v>
      </c>
      <c r="D57" s="20" t="s">
        <v>3648</v>
      </c>
      <c r="E57" s="20" t="s">
        <v>3793</v>
      </c>
      <c r="F57" s="20"/>
      <c r="G57" s="20"/>
      <c r="H57" s="20"/>
      <c r="I57" s="20"/>
      <c r="J57" s="20" t="s">
        <v>3650</v>
      </c>
    </row>
    <row r="58" ht="185.25" customHeight="1">
      <c r="A58" s="19" t="s">
        <v>304</v>
      </c>
      <c r="B58" s="20" t="s">
        <v>3791</v>
      </c>
      <c r="C58" s="19" t="s">
        <v>3794</v>
      </c>
      <c r="D58" s="20" t="s">
        <v>3795</v>
      </c>
      <c r="E58" s="20" t="s">
        <v>3796</v>
      </c>
      <c r="F58" s="20"/>
      <c r="G58" s="20"/>
      <c r="H58" s="20"/>
      <c r="I58" s="20"/>
      <c r="J58" s="20" t="s">
        <v>3650</v>
      </c>
    </row>
    <row r="59" ht="128.25" customHeight="1">
      <c r="A59" s="19" t="s">
        <v>304</v>
      </c>
      <c r="B59" s="20" t="s">
        <v>3791</v>
      </c>
      <c r="C59" s="19" t="s">
        <v>3797</v>
      </c>
      <c r="D59" s="20" t="s">
        <v>3798</v>
      </c>
      <c r="E59" s="20" t="s">
        <v>3799</v>
      </c>
      <c r="F59" s="20"/>
      <c r="G59" s="20"/>
      <c r="H59" s="20"/>
      <c r="I59" s="20"/>
      <c r="J59" s="20" t="s">
        <v>3650</v>
      </c>
    </row>
    <row r="60" ht="57" customHeight="1">
      <c r="A60" s="19" t="s">
        <v>304</v>
      </c>
      <c r="B60" s="20" t="s">
        <v>3791</v>
      </c>
      <c r="C60" s="19" t="s">
        <v>1054</v>
      </c>
      <c r="D60" s="20" t="s">
        <v>3800</v>
      </c>
      <c r="E60" s="20" t="s">
        <v>3801</v>
      </c>
      <c r="F60" s="20"/>
      <c r="G60" s="20"/>
      <c r="H60" s="20"/>
      <c r="I60" s="20"/>
      <c r="J60" s="20" t="s">
        <v>3650</v>
      </c>
    </row>
    <row r="61" ht="42.75" customHeight="1">
      <c r="A61" s="19" t="s">
        <v>304</v>
      </c>
      <c r="B61" s="20" t="s">
        <v>3791</v>
      </c>
      <c r="C61" s="19" t="s">
        <v>2088</v>
      </c>
      <c r="D61" s="20" t="s">
        <v>3802</v>
      </c>
      <c r="E61" s="20" t="s">
        <v>3803</v>
      </c>
      <c r="F61" s="20"/>
      <c r="G61" s="20"/>
      <c r="H61" s="20"/>
      <c r="I61" s="20"/>
      <c r="J61" s="20" t="s">
        <v>3650</v>
      </c>
    </row>
    <row r="62" ht="85.5" customHeight="1">
      <c r="A62" s="19" t="s">
        <v>304</v>
      </c>
      <c r="B62" s="20" t="s">
        <v>3791</v>
      </c>
      <c r="C62" s="19" t="s">
        <v>609</v>
      </c>
      <c r="D62" s="20" t="s">
        <v>3804</v>
      </c>
      <c r="E62" s="20" t="s">
        <v>3805</v>
      </c>
      <c r="F62" s="20"/>
      <c r="G62" s="20"/>
      <c r="H62" s="20"/>
      <c r="I62" s="20"/>
      <c r="J62" s="20" t="s">
        <v>3650</v>
      </c>
    </row>
    <row r="63" ht="42.75" customHeight="1">
      <c r="A63" s="19" t="s">
        <v>304</v>
      </c>
      <c r="B63" s="20" t="s">
        <v>3791</v>
      </c>
      <c r="C63" s="19" t="s">
        <v>3806</v>
      </c>
      <c r="D63" s="20" t="s">
        <v>3739</v>
      </c>
      <c r="E63" s="20" t="s">
        <v>3807</v>
      </c>
      <c r="F63" s="20"/>
      <c r="G63" s="20"/>
      <c r="H63" s="20"/>
      <c r="I63" s="20"/>
      <c r="J63" s="20" t="s">
        <v>3650</v>
      </c>
    </row>
    <row r="64" ht="28.5" customHeight="1">
      <c r="A64" s="19" t="s">
        <v>304</v>
      </c>
      <c r="B64" s="20" t="s">
        <v>3791</v>
      </c>
      <c r="C64" s="19" t="s">
        <v>3808</v>
      </c>
      <c r="D64" s="20" t="s">
        <v>3672</v>
      </c>
      <c r="E64" s="20" t="s">
        <v>3809</v>
      </c>
      <c r="F64" s="20"/>
      <c r="G64" s="20"/>
      <c r="H64" s="20"/>
      <c r="I64" s="20"/>
      <c r="J64" s="20" t="s">
        <v>3650</v>
      </c>
    </row>
    <row r="65" ht="128.25" customHeight="1">
      <c r="A65" s="19" t="s">
        <v>3810</v>
      </c>
      <c r="B65" s="20" t="s">
        <v>3811</v>
      </c>
      <c r="C65" s="19" t="s">
        <v>2457</v>
      </c>
      <c r="D65" s="20" t="s">
        <v>3648</v>
      </c>
      <c r="E65" s="20" t="s">
        <v>3812</v>
      </c>
      <c r="F65" s="20"/>
      <c r="G65" s="20"/>
      <c r="H65" s="20"/>
      <c r="I65" s="20"/>
      <c r="J65" s="20" t="s">
        <v>3650</v>
      </c>
    </row>
    <row r="66" ht="99.75" customHeight="1">
      <c r="A66" s="19" t="s">
        <v>3810</v>
      </c>
      <c r="B66" s="20" t="s">
        <v>3811</v>
      </c>
      <c r="C66" s="19" t="s">
        <v>3813</v>
      </c>
      <c r="D66" s="20" t="s">
        <v>3814</v>
      </c>
      <c r="E66" s="20" t="s">
        <v>3815</v>
      </c>
      <c r="F66" s="20"/>
      <c r="G66" s="20"/>
      <c r="H66" s="20"/>
      <c r="I66" s="20"/>
      <c r="J66" s="20" t="s">
        <v>3650</v>
      </c>
    </row>
    <row r="67" ht="42.75" customHeight="1">
      <c r="A67" s="19" t="s">
        <v>3810</v>
      </c>
      <c r="B67" s="20" t="s">
        <v>3811</v>
      </c>
      <c r="C67" s="19" t="s">
        <v>3816</v>
      </c>
      <c r="D67" s="20" t="s">
        <v>3817</v>
      </c>
      <c r="E67" s="20" t="s">
        <v>3818</v>
      </c>
      <c r="F67" s="20"/>
      <c r="G67" s="20"/>
      <c r="H67" s="20"/>
      <c r="I67" s="20"/>
      <c r="J67" s="20" t="s">
        <v>3650</v>
      </c>
    </row>
    <row r="68" ht="57" customHeight="1">
      <c r="A68" s="19" t="s">
        <v>3810</v>
      </c>
      <c r="B68" s="20" t="s">
        <v>3811</v>
      </c>
      <c r="C68" s="19" t="s">
        <v>3819</v>
      </c>
      <c r="D68" s="20" t="s">
        <v>3820</v>
      </c>
      <c r="E68" s="20" t="s">
        <v>3821</v>
      </c>
      <c r="F68" s="20"/>
      <c r="G68" s="20"/>
      <c r="H68" s="20"/>
      <c r="I68" s="20"/>
      <c r="J68" s="20" t="s">
        <v>3650</v>
      </c>
    </row>
    <row r="69" ht="85.5" customHeight="1">
      <c r="A69" s="19" t="s">
        <v>3810</v>
      </c>
      <c r="B69" s="20" t="s">
        <v>3811</v>
      </c>
      <c r="C69" s="19" t="s">
        <v>1086</v>
      </c>
      <c r="D69" s="20" t="s">
        <v>3822</v>
      </c>
      <c r="E69" s="20" t="s">
        <v>3823</v>
      </c>
      <c r="F69" s="20"/>
      <c r="G69" s="20"/>
      <c r="H69" s="20"/>
      <c r="I69" s="20"/>
      <c r="J69" s="20" t="s">
        <v>3650</v>
      </c>
    </row>
    <row r="70" ht="42.75" customHeight="1">
      <c r="A70" s="19" t="s">
        <v>3810</v>
      </c>
      <c r="B70" s="20" t="s">
        <v>3811</v>
      </c>
      <c r="C70" s="19" t="s">
        <v>2783</v>
      </c>
      <c r="D70" s="20" t="s">
        <v>3824</v>
      </c>
      <c r="E70" s="20" t="s">
        <v>3825</v>
      </c>
      <c r="F70" s="20"/>
      <c r="G70" s="20"/>
      <c r="H70" s="20"/>
      <c r="I70" s="20"/>
      <c r="J70" s="20" t="s">
        <v>3650</v>
      </c>
    </row>
    <row r="71" ht="57" customHeight="1">
      <c r="A71" s="19" t="s">
        <v>3810</v>
      </c>
      <c r="B71" s="20" t="s">
        <v>3811</v>
      </c>
      <c r="C71" s="19" t="s">
        <v>3826</v>
      </c>
      <c r="D71" s="20" t="s">
        <v>3827</v>
      </c>
      <c r="E71" s="20" t="s">
        <v>3828</v>
      </c>
      <c r="F71" s="20"/>
      <c r="G71" s="20"/>
      <c r="H71" s="20"/>
      <c r="I71" s="20"/>
      <c r="J71" s="20" t="s">
        <v>3650</v>
      </c>
    </row>
    <row r="72" ht="85.5" customHeight="1">
      <c r="A72" s="19" t="s">
        <v>3810</v>
      </c>
      <c r="B72" s="20" t="s">
        <v>3811</v>
      </c>
      <c r="C72" s="19" t="s">
        <v>1101</v>
      </c>
      <c r="D72" s="20" t="s">
        <v>3829</v>
      </c>
      <c r="E72" s="20" t="s">
        <v>3830</v>
      </c>
      <c r="F72" s="20"/>
      <c r="G72" s="20"/>
      <c r="H72" s="20"/>
      <c r="I72" s="20"/>
      <c r="J72" s="20" t="s">
        <v>3650</v>
      </c>
    </row>
    <row r="73" ht="114" customHeight="1">
      <c r="A73" s="19" t="s">
        <v>3810</v>
      </c>
      <c r="B73" s="20" t="s">
        <v>3811</v>
      </c>
      <c r="C73" s="19" t="s">
        <v>871</v>
      </c>
      <c r="D73" s="20" t="s">
        <v>3831</v>
      </c>
      <c r="E73" s="20" t="s">
        <v>3832</v>
      </c>
      <c r="F73" s="20"/>
      <c r="G73" s="20"/>
      <c r="H73" s="20"/>
      <c r="I73" s="20"/>
      <c r="J73" s="20" t="s">
        <v>3650</v>
      </c>
    </row>
    <row r="74" ht="42.75" customHeight="1">
      <c r="A74" s="19" t="s">
        <v>3810</v>
      </c>
      <c r="B74" s="20" t="s">
        <v>3811</v>
      </c>
      <c r="C74" s="19" t="s">
        <v>3833</v>
      </c>
      <c r="D74" s="20" t="s">
        <v>3739</v>
      </c>
      <c r="E74" s="20" t="s">
        <v>3834</v>
      </c>
      <c r="F74" s="20"/>
      <c r="G74" s="20"/>
      <c r="H74" s="20"/>
      <c r="I74" s="20"/>
      <c r="J74" s="20" t="s">
        <v>3650</v>
      </c>
    </row>
    <row r="75" ht="28.5" customHeight="1">
      <c r="A75" s="19" t="s">
        <v>3810</v>
      </c>
      <c r="B75" s="20" t="s">
        <v>3811</v>
      </c>
      <c r="C75" s="19" t="s">
        <v>3835</v>
      </c>
      <c r="D75" s="20" t="s">
        <v>3672</v>
      </c>
      <c r="E75" s="20" t="s">
        <v>3836</v>
      </c>
      <c r="F75" s="20"/>
      <c r="G75" s="20"/>
      <c r="H75" s="20"/>
      <c r="I75" s="20"/>
      <c r="J75" s="20" t="s">
        <v>3650</v>
      </c>
    </row>
    <row r="76" ht="57" customHeight="1">
      <c r="A76" s="19" t="s">
        <v>96</v>
      </c>
      <c r="B76" s="20" t="s">
        <v>3837</v>
      </c>
      <c r="C76" s="19" t="s">
        <v>3838</v>
      </c>
      <c r="D76" s="20" t="s">
        <v>3648</v>
      </c>
      <c r="E76" s="20" t="s">
        <v>3839</v>
      </c>
      <c r="F76" s="20"/>
      <c r="G76" s="20"/>
      <c r="H76" s="20"/>
      <c r="I76" s="20"/>
      <c r="J76" s="20" t="s">
        <v>3650</v>
      </c>
    </row>
    <row r="77" ht="57" customHeight="1">
      <c r="A77" s="19" t="s">
        <v>96</v>
      </c>
      <c r="B77" s="20" t="s">
        <v>3837</v>
      </c>
      <c r="C77" s="19" t="s">
        <v>3840</v>
      </c>
      <c r="D77" s="20" t="s">
        <v>3841</v>
      </c>
      <c r="E77" s="20" t="s">
        <v>3842</v>
      </c>
      <c r="F77" s="20"/>
      <c r="G77" s="20"/>
      <c r="H77" s="20"/>
      <c r="I77" s="20"/>
      <c r="J77" s="20" t="s">
        <v>3650</v>
      </c>
    </row>
    <row r="78" ht="85.5" customHeight="1">
      <c r="A78" s="19" t="s">
        <v>96</v>
      </c>
      <c r="B78" s="20" t="s">
        <v>3837</v>
      </c>
      <c r="C78" s="19" t="s">
        <v>1043</v>
      </c>
      <c r="D78" s="20" t="s">
        <v>3843</v>
      </c>
      <c r="E78" s="20" t="s">
        <v>3844</v>
      </c>
      <c r="F78" s="20"/>
      <c r="G78" s="20"/>
      <c r="H78" s="20"/>
      <c r="I78" s="20"/>
      <c r="J78" s="20" t="s">
        <v>3650</v>
      </c>
    </row>
    <row r="79" ht="185.25" customHeight="1">
      <c r="A79" s="19" t="s">
        <v>96</v>
      </c>
      <c r="B79" s="20" t="s">
        <v>3837</v>
      </c>
      <c r="C79" s="19" t="s">
        <v>3845</v>
      </c>
      <c r="D79" s="20" t="s">
        <v>3846</v>
      </c>
      <c r="E79" s="20" t="s">
        <v>3847</v>
      </c>
      <c r="F79" s="20"/>
      <c r="G79" s="20"/>
      <c r="H79" s="20"/>
      <c r="I79" s="20"/>
      <c r="J79" s="20" t="s">
        <v>3650</v>
      </c>
    </row>
    <row r="80" ht="99.75" customHeight="1">
      <c r="A80" s="19" t="s">
        <v>96</v>
      </c>
      <c r="B80" s="20" t="s">
        <v>3837</v>
      </c>
      <c r="C80" s="19" t="s">
        <v>3848</v>
      </c>
      <c r="D80" s="20" t="s">
        <v>3849</v>
      </c>
      <c r="E80" s="20" t="s">
        <v>3850</v>
      </c>
      <c r="F80" s="20"/>
      <c r="G80" s="20"/>
      <c r="H80" s="20"/>
      <c r="I80" s="20"/>
      <c r="J80" s="20" t="s">
        <v>3650</v>
      </c>
    </row>
    <row r="81" ht="128.25" customHeight="1">
      <c r="A81" s="19" t="s">
        <v>96</v>
      </c>
      <c r="B81" s="20" t="s">
        <v>3837</v>
      </c>
      <c r="C81" s="19" t="s">
        <v>1634</v>
      </c>
      <c r="D81" s="20" t="s">
        <v>3851</v>
      </c>
      <c r="E81" s="20" t="s">
        <v>3852</v>
      </c>
      <c r="F81" s="20"/>
      <c r="G81" s="20"/>
      <c r="H81" s="20"/>
      <c r="I81" s="20"/>
      <c r="J81" s="20" t="s">
        <v>3650</v>
      </c>
    </row>
    <row r="82" ht="42.75" customHeight="1">
      <c r="A82" s="19" t="s">
        <v>96</v>
      </c>
      <c r="B82" s="20" t="s">
        <v>3837</v>
      </c>
      <c r="C82" s="19" t="s">
        <v>3853</v>
      </c>
      <c r="D82" s="20" t="s">
        <v>3854</v>
      </c>
      <c r="E82" s="20" t="s">
        <v>3855</v>
      </c>
      <c r="F82" s="20"/>
      <c r="G82" s="20"/>
      <c r="H82" s="20"/>
      <c r="I82" s="20"/>
      <c r="J82" s="20" t="s">
        <v>3650</v>
      </c>
    </row>
    <row r="83" ht="28.5" customHeight="1">
      <c r="A83" s="19" t="s">
        <v>96</v>
      </c>
      <c r="B83" s="20" t="s">
        <v>3837</v>
      </c>
      <c r="C83" s="19" t="s">
        <v>3856</v>
      </c>
      <c r="D83" s="20" t="s">
        <v>3739</v>
      </c>
      <c r="E83" s="20" t="s">
        <v>3857</v>
      </c>
      <c r="F83" s="20"/>
      <c r="G83" s="20"/>
      <c r="H83" s="20"/>
      <c r="I83" s="20"/>
      <c r="J83" s="20" t="s">
        <v>3650</v>
      </c>
    </row>
    <row r="84" ht="28.5" customHeight="1">
      <c r="A84" s="19" t="s">
        <v>96</v>
      </c>
      <c r="B84" s="20" t="s">
        <v>3837</v>
      </c>
      <c r="C84" s="19" t="s">
        <v>3858</v>
      </c>
      <c r="D84" s="20" t="s">
        <v>3672</v>
      </c>
      <c r="E84" s="20" t="s">
        <v>3859</v>
      </c>
      <c r="F84" s="20"/>
      <c r="G84" s="20"/>
      <c r="H84" s="20"/>
      <c r="I84" s="20"/>
      <c r="J84" s="20" t="s">
        <v>3650</v>
      </c>
    </row>
    <row r="85" ht="57" customHeight="1">
      <c r="A85" s="19" t="s">
        <v>3860</v>
      </c>
      <c r="B85" s="20" t="s">
        <v>3861</v>
      </c>
      <c r="C85" s="19" t="s">
        <v>3862</v>
      </c>
      <c r="D85" s="20" t="s">
        <v>3648</v>
      </c>
      <c r="E85" s="20" t="s">
        <v>3863</v>
      </c>
      <c r="F85" s="20"/>
      <c r="G85" s="20"/>
      <c r="H85" s="20"/>
      <c r="I85" s="20"/>
      <c r="J85" s="20" t="s">
        <v>3650</v>
      </c>
    </row>
    <row r="86" ht="42.75" customHeight="1">
      <c r="A86" s="19" t="s">
        <v>64</v>
      </c>
      <c r="B86" s="20" t="s">
        <v>3864</v>
      </c>
      <c r="C86" s="19" t="s">
        <v>240</v>
      </c>
      <c r="D86" s="20" t="s">
        <v>3648</v>
      </c>
      <c r="E86" s="20" t="s">
        <v>3865</v>
      </c>
      <c r="F86" s="20"/>
      <c r="G86" s="20"/>
      <c r="H86" s="20"/>
      <c r="I86" s="20"/>
      <c r="J86" s="20" t="s">
        <v>3650</v>
      </c>
    </row>
    <row r="87" ht="99.75" customHeight="1">
      <c r="A87" s="19" t="s">
        <v>64</v>
      </c>
      <c r="B87" s="20" t="s">
        <v>3864</v>
      </c>
      <c r="C87" s="19" t="s">
        <v>3866</v>
      </c>
      <c r="D87" s="20" t="s">
        <v>3867</v>
      </c>
      <c r="E87" s="20" t="s">
        <v>3868</v>
      </c>
      <c r="F87" s="20"/>
      <c r="G87" s="20"/>
      <c r="H87" s="20"/>
      <c r="I87" s="20"/>
      <c r="J87" s="20" t="s">
        <v>3650</v>
      </c>
    </row>
    <row r="88" ht="156.75" customHeight="1">
      <c r="A88" s="19" t="s">
        <v>64</v>
      </c>
      <c r="B88" s="20" t="s">
        <v>3864</v>
      </c>
      <c r="C88" s="19" t="s">
        <v>135</v>
      </c>
      <c r="D88" s="20" t="s">
        <v>3869</v>
      </c>
      <c r="E88" s="20" t="s">
        <v>3870</v>
      </c>
      <c r="F88" s="20"/>
      <c r="G88" s="20"/>
      <c r="H88" s="20"/>
      <c r="I88" s="20"/>
      <c r="J88" s="20" t="s">
        <v>3650</v>
      </c>
    </row>
    <row r="89" ht="85.5" customHeight="1">
      <c r="A89" s="19" t="s">
        <v>64</v>
      </c>
      <c r="B89" s="20" t="s">
        <v>3864</v>
      </c>
      <c r="C89" s="19" t="s">
        <v>3871</v>
      </c>
      <c r="D89" s="20" t="s">
        <v>3872</v>
      </c>
      <c r="E89" s="20" t="s">
        <v>3873</v>
      </c>
      <c r="F89" s="20"/>
      <c r="G89" s="20"/>
      <c r="H89" s="20"/>
      <c r="I89" s="20"/>
      <c r="J89" s="20" t="s">
        <v>3650</v>
      </c>
    </row>
    <row r="90" ht="57" customHeight="1">
      <c r="A90" s="19" t="s">
        <v>64</v>
      </c>
      <c r="B90" s="20" t="s">
        <v>3864</v>
      </c>
      <c r="C90" s="19" t="s">
        <v>3874</v>
      </c>
      <c r="D90" s="20" t="s">
        <v>3875</v>
      </c>
      <c r="E90" s="20" t="s">
        <v>3876</v>
      </c>
      <c r="F90" s="20"/>
      <c r="G90" s="20"/>
      <c r="H90" s="20"/>
      <c r="I90" s="20"/>
      <c r="J90" s="20" t="s">
        <v>3650</v>
      </c>
    </row>
    <row r="91" ht="85.5" customHeight="1">
      <c r="A91" s="19" t="s">
        <v>64</v>
      </c>
      <c r="B91" s="20" t="s">
        <v>3864</v>
      </c>
      <c r="C91" s="19" t="s">
        <v>3877</v>
      </c>
      <c r="D91" s="20" t="s">
        <v>3878</v>
      </c>
      <c r="E91" s="20" t="s">
        <v>3879</v>
      </c>
      <c r="F91" s="20"/>
      <c r="G91" s="20"/>
      <c r="H91" s="20"/>
      <c r="I91" s="20"/>
      <c r="J91" s="20" t="s">
        <v>3650</v>
      </c>
    </row>
    <row r="92" ht="28.5" customHeight="1">
      <c r="A92" s="19" t="s">
        <v>64</v>
      </c>
      <c r="B92" s="20" t="s">
        <v>3864</v>
      </c>
      <c r="C92" s="19" t="s">
        <v>3880</v>
      </c>
      <c r="D92" s="20" t="s">
        <v>3739</v>
      </c>
      <c r="E92" s="20" t="s">
        <v>3881</v>
      </c>
      <c r="F92" s="20"/>
      <c r="G92" s="20"/>
      <c r="H92" s="20"/>
      <c r="I92" s="20"/>
      <c r="J92" s="20" t="s">
        <v>3650</v>
      </c>
    </row>
    <row r="93" ht="28.5" customHeight="1">
      <c r="A93" s="19" t="s">
        <v>64</v>
      </c>
      <c r="B93" s="20" t="s">
        <v>3864</v>
      </c>
      <c r="C93" s="19" t="s">
        <v>3882</v>
      </c>
      <c r="D93" s="20" t="s">
        <v>3672</v>
      </c>
      <c r="E93" s="20" t="s">
        <v>3883</v>
      </c>
      <c r="F93" s="20"/>
      <c r="G93" s="20"/>
      <c r="H93" s="20"/>
      <c r="I93" s="20"/>
      <c r="J93" s="20" t="s">
        <v>3650</v>
      </c>
    </row>
    <row r="94" ht="71.25" customHeight="1">
      <c r="A94" s="19" t="s">
        <v>597</v>
      </c>
      <c r="B94" s="20" t="s">
        <v>3884</v>
      </c>
      <c r="C94" s="19" t="s">
        <v>3885</v>
      </c>
      <c r="D94" s="20" t="s">
        <v>3648</v>
      </c>
      <c r="E94" s="20" t="s">
        <v>3886</v>
      </c>
      <c r="F94" s="20"/>
      <c r="G94" s="20"/>
      <c r="H94" s="20"/>
      <c r="I94" s="20"/>
      <c r="J94" s="20" t="s">
        <v>3650</v>
      </c>
    </row>
    <row r="95" ht="114" customHeight="1">
      <c r="A95" s="19" t="s">
        <v>597</v>
      </c>
      <c r="B95" s="20" t="s">
        <v>3884</v>
      </c>
      <c r="C95" s="19" t="s">
        <v>314</v>
      </c>
      <c r="D95" s="20" t="s">
        <v>3887</v>
      </c>
      <c r="E95" s="20" t="s">
        <v>3888</v>
      </c>
      <c r="F95" s="20"/>
      <c r="G95" s="20"/>
      <c r="H95" s="20"/>
      <c r="I95" s="20"/>
      <c r="J95" s="20" t="s">
        <v>3650</v>
      </c>
    </row>
    <row r="96" ht="99.75" customHeight="1">
      <c r="A96" s="19" t="s">
        <v>597</v>
      </c>
      <c r="B96" s="20" t="s">
        <v>3884</v>
      </c>
      <c r="C96" s="19" t="s">
        <v>1153</v>
      </c>
      <c r="D96" s="20" t="s">
        <v>3889</v>
      </c>
      <c r="E96" s="20" t="s">
        <v>3890</v>
      </c>
      <c r="F96" s="20"/>
      <c r="G96" s="20"/>
      <c r="H96" s="20"/>
      <c r="I96" s="20"/>
      <c r="J96" s="20" t="s">
        <v>3650</v>
      </c>
    </row>
    <row r="97" ht="85.5" customHeight="1">
      <c r="A97" s="19" t="s">
        <v>597</v>
      </c>
      <c r="B97" s="20" t="s">
        <v>3884</v>
      </c>
      <c r="C97" s="19" t="s">
        <v>3891</v>
      </c>
      <c r="D97" s="20" t="s">
        <v>3892</v>
      </c>
      <c r="E97" s="20" t="s">
        <v>3893</v>
      </c>
      <c r="F97" s="20"/>
      <c r="G97" s="20"/>
      <c r="H97" s="20"/>
      <c r="I97" s="20"/>
      <c r="J97" s="20" t="s">
        <v>3650</v>
      </c>
    </row>
    <row r="98" ht="71.25" customHeight="1">
      <c r="A98" s="19" t="s">
        <v>597</v>
      </c>
      <c r="B98" s="20" t="s">
        <v>3884</v>
      </c>
      <c r="C98" s="19" t="s">
        <v>3894</v>
      </c>
      <c r="D98" s="20" t="s">
        <v>3895</v>
      </c>
      <c r="E98" s="20" t="s">
        <v>3896</v>
      </c>
      <c r="F98" s="20"/>
      <c r="G98" s="20"/>
      <c r="H98" s="20"/>
      <c r="I98" s="20"/>
      <c r="J98" s="20" t="s">
        <v>3650</v>
      </c>
    </row>
    <row r="99" ht="71.25" customHeight="1">
      <c r="A99" s="19" t="s">
        <v>597</v>
      </c>
      <c r="B99" s="20" t="s">
        <v>3884</v>
      </c>
      <c r="C99" s="19" t="s">
        <v>3897</v>
      </c>
      <c r="D99" s="20" t="s">
        <v>3898</v>
      </c>
      <c r="E99" s="20" t="s">
        <v>3899</v>
      </c>
      <c r="F99" s="20"/>
      <c r="G99" s="20"/>
      <c r="H99" s="20"/>
      <c r="I99" s="20"/>
      <c r="J99" s="20" t="s">
        <v>3650</v>
      </c>
    </row>
    <row r="100" ht="57" customHeight="1">
      <c r="A100" s="19" t="s">
        <v>597</v>
      </c>
      <c r="B100" s="20" t="s">
        <v>3884</v>
      </c>
      <c r="C100" s="19" t="s">
        <v>3900</v>
      </c>
      <c r="D100" s="20" t="s">
        <v>3901</v>
      </c>
      <c r="E100" s="20" t="s">
        <v>3902</v>
      </c>
      <c r="F100" s="20"/>
      <c r="G100" s="20"/>
      <c r="H100" s="20"/>
      <c r="I100" s="20"/>
      <c r="J100" s="20" t="s">
        <v>3650</v>
      </c>
    </row>
    <row r="101" ht="57" customHeight="1">
      <c r="A101" s="19" t="s">
        <v>597</v>
      </c>
      <c r="B101" s="20" t="s">
        <v>3884</v>
      </c>
      <c r="C101" s="19" t="s">
        <v>3903</v>
      </c>
      <c r="D101" s="20" t="s">
        <v>3904</v>
      </c>
      <c r="E101" s="20" t="s">
        <v>3905</v>
      </c>
      <c r="F101" s="20"/>
      <c r="G101" s="20"/>
      <c r="H101" s="20"/>
      <c r="I101" s="20"/>
      <c r="J101" s="20" t="s">
        <v>3650</v>
      </c>
    </row>
    <row r="102" ht="71.25" customHeight="1">
      <c r="A102" s="19" t="s">
        <v>597</v>
      </c>
      <c r="B102" s="20" t="s">
        <v>3884</v>
      </c>
      <c r="C102" s="19" t="s">
        <v>324</v>
      </c>
      <c r="D102" s="20" t="s">
        <v>3906</v>
      </c>
      <c r="E102" s="20" t="s">
        <v>3907</v>
      </c>
      <c r="F102" s="20"/>
      <c r="G102" s="20"/>
      <c r="H102" s="20"/>
      <c r="I102" s="20"/>
      <c r="J102" s="20" t="s">
        <v>3650</v>
      </c>
    </row>
    <row r="103" ht="57" customHeight="1">
      <c r="A103" s="19" t="s">
        <v>597</v>
      </c>
      <c r="B103" s="20" t="s">
        <v>3884</v>
      </c>
      <c r="C103" s="19" t="s">
        <v>3908</v>
      </c>
      <c r="D103" s="20" t="s">
        <v>3909</v>
      </c>
      <c r="E103" s="20" t="s">
        <v>3910</v>
      </c>
      <c r="F103" s="20"/>
      <c r="G103" s="20"/>
      <c r="H103" s="20"/>
      <c r="I103" s="20"/>
      <c r="J103" s="20" t="s">
        <v>3650</v>
      </c>
    </row>
    <row r="104" ht="42.75" customHeight="1">
      <c r="A104" s="19" t="s">
        <v>597</v>
      </c>
      <c r="B104" s="20" t="s">
        <v>3884</v>
      </c>
      <c r="C104" s="19" t="s">
        <v>2444</v>
      </c>
      <c r="D104" s="20" t="s">
        <v>3911</v>
      </c>
      <c r="E104" s="20" t="s">
        <v>3912</v>
      </c>
      <c r="F104" s="20"/>
      <c r="G104" s="20"/>
      <c r="H104" s="20"/>
      <c r="I104" s="20"/>
      <c r="J104" s="20" t="s">
        <v>3650</v>
      </c>
    </row>
    <row r="105" ht="28.5" customHeight="1">
      <c r="A105" s="19" t="s">
        <v>597</v>
      </c>
      <c r="B105" s="20" t="s">
        <v>3884</v>
      </c>
      <c r="C105" s="19" t="s">
        <v>3913</v>
      </c>
      <c r="D105" s="20" t="s">
        <v>3914</v>
      </c>
      <c r="E105" s="20" t="s">
        <v>3915</v>
      </c>
      <c r="F105" s="20"/>
      <c r="G105" s="20"/>
      <c r="H105" s="20"/>
      <c r="I105" s="20"/>
      <c r="J105" s="20" t="s">
        <v>3650</v>
      </c>
    </row>
    <row r="106" ht="28.5" customHeight="1">
      <c r="A106" s="19" t="s">
        <v>597</v>
      </c>
      <c r="B106" s="20" t="s">
        <v>3884</v>
      </c>
      <c r="C106" s="19" t="s">
        <v>3916</v>
      </c>
      <c r="D106" s="20" t="s">
        <v>3672</v>
      </c>
      <c r="E106" s="20" t="s">
        <v>3917</v>
      </c>
      <c r="F106" s="20"/>
      <c r="G106" s="20"/>
      <c r="H106" s="20"/>
      <c r="I106" s="20"/>
      <c r="J106" s="20" t="s">
        <v>3650</v>
      </c>
    </row>
    <row r="107" ht="128.25" customHeight="1">
      <c r="A107" s="19" t="s">
        <v>177</v>
      </c>
      <c r="B107" s="20" t="s">
        <v>3918</v>
      </c>
      <c r="C107" s="19" t="s">
        <v>111</v>
      </c>
      <c r="D107" s="20" t="s">
        <v>3648</v>
      </c>
      <c r="E107" s="20" t="s">
        <v>3919</v>
      </c>
      <c r="F107" s="20"/>
      <c r="G107" s="20"/>
      <c r="H107" s="20"/>
      <c r="I107" s="20"/>
      <c r="J107" s="20" t="s">
        <v>3650</v>
      </c>
    </row>
    <row r="108" ht="71.25" customHeight="1">
      <c r="A108" s="19" t="s">
        <v>177</v>
      </c>
      <c r="B108" s="20" t="s">
        <v>3918</v>
      </c>
      <c r="C108" s="19" t="s">
        <v>637</v>
      </c>
      <c r="D108" s="20" t="s">
        <v>3920</v>
      </c>
      <c r="E108" s="20" t="s">
        <v>3921</v>
      </c>
      <c r="F108" s="20"/>
      <c r="G108" s="20"/>
      <c r="H108" s="20"/>
      <c r="I108" s="20"/>
      <c r="J108" s="20" t="s">
        <v>3650</v>
      </c>
    </row>
    <row r="109" ht="85.5" customHeight="1">
      <c r="A109" s="19" t="s">
        <v>177</v>
      </c>
      <c r="B109" s="20" t="s">
        <v>3918</v>
      </c>
      <c r="C109" s="19" t="s">
        <v>3922</v>
      </c>
      <c r="D109" s="20" t="s">
        <v>3923</v>
      </c>
      <c r="E109" s="20" t="s">
        <v>3924</v>
      </c>
      <c r="F109" s="20"/>
      <c r="G109" s="20"/>
      <c r="H109" s="20"/>
      <c r="I109" s="20"/>
      <c r="J109" s="20" t="s">
        <v>3650</v>
      </c>
    </row>
    <row r="110" ht="57" customHeight="1">
      <c r="A110" s="19" t="s">
        <v>177</v>
      </c>
      <c r="B110" s="20" t="s">
        <v>3918</v>
      </c>
      <c r="C110" s="19" t="s">
        <v>1696</v>
      </c>
      <c r="D110" s="20" t="s">
        <v>3925</v>
      </c>
      <c r="E110" s="20" t="s">
        <v>3926</v>
      </c>
      <c r="F110" s="20"/>
      <c r="G110" s="20"/>
      <c r="H110" s="20"/>
      <c r="I110" s="20"/>
      <c r="J110" s="20" t="s">
        <v>3650</v>
      </c>
    </row>
    <row r="111" ht="71.25" customHeight="1">
      <c r="A111" s="19" t="s">
        <v>177</v>
      </c>
      <c r="B111" s="20" t="s">
        <v>3918</v>
      </c>
      <c r="C111" s="19" t="s">
        <v>1145</v>
      </c>
      <c r="D111" s="20" t="s">
        <v>3927</v>
      </c>
      <c r="E111" s="20" t="s">
        <v>3928</v>
      </c>
      <c r="F111" s="20"/>
      <c r="G111" s="20"/>
      <c r="H111" s="20"/>
      <c r="I111" s="20"/>
      <c r="J111" s="20" t="s">
        <v>3650</v>
      </c>
    </row>
    <row r="112" ht="71.25" customHeight="1">
      <c r="A112" s="19" t="s">
        <v>177</v>
      </c>
      <c r="B112" s="20" t="s">
        <v>3918</v>
      </c>
      <c r="C112" s="19" t="s">
        <v>3929</v>
      </c>
      <c r="D112" s="20" t="s">
        <v>3930</v>
      </c>
      <c r="E112" s="20" t="s">
        <v>3931</v>
      </c>
      <c r="F112" s="20"/>
      <c r="G112" s="20"/>
      <c r="H112" s="20"/>
      <c r="I112" s="20"/>
      <c r="J112" s="20" t="s">
        <v>3650</v>
      </c>
    </row>
    <row r="113" ht="57" customHeight="1">
      <c r="A113" s="19" t="s">
        <v>177</v>
      </c>
      <c r="B113" s="20" t="s">
        <v>3918</v>
      </c>
      <c r="C113" s="19" t="s">
        <v>712</v>
      </c>
      <c r="D113" s="20" t="s">
        <v>3932</v>
      </c>
      <c r="E113" s="20" t="s">
        <v>3933</v>
      </c>
      <c r="F113" s="20"/>
      <c r="G113" s="20"/>
      <c r="H113" s="20"/>
      <c r="I113" s="20"/>
      <c r="J113" s="20" t="s">
        <v>3650</v>
      </c>
    </row>
    <row r="114" ht="28.5" customHeight="1">
      <c r="A114" s="19" t="s">
        <v>177</v>
      </c>
      <c r="B114" s="20" t="s">
        <v>3918</v>
      </c>
      <c r="C114" s="19" t="s">
        <v>3546</v>
      </c>
      <c r="D114" s="20" t="s">
        <v>3672</v>
      </c>
      <c r="E114" s="20" t="s">
        <v>3934</v>
      </c>
      <c r="F114" s="20"/>
      <c r="G114" s="20"/>
      <c r="H114" s="20"/>
      <c r="I114" s="20"/>
      <c r="J114" s="20" t="s">
        <v>3650</v>
      </c>
    </row>
    <row r="115" ht="99.75" customHeight="1">
      <c r="A115" s="19" t="s">
        <v>242</v>
      </c>
      <c r="B115" s="20" t="s">
        <v>3935</v>
      </c>
      <c r="C115" s="19" t="s">
        <v>3936</v>
      </c>
      <c r="D115" s="20" t="s">
        <v>3648</v>
      </c>
      <c r="E115" s="20" t="s">
        <v>3937</v>
      </c>
      <c r="F115" s="20"/>
      <c r="G115" s="20"/>
      <c r="H115" s="20"/>
      <c r="I115" s="20"/>
      <c r="J115" s="20" t="s">
        <v>3650</v>
      </c>
    </row>
    <row r="116" ht="57" customHeight="1">
      <c r="A116" s="19" t="s">
        <v>242</v>
      </c>
      <c r="B116" s="20" t="s">
        <v>3935</v>
      </c>
      <c r="C116" s="19" t="s">
        <v>3938</v>
      </c>
      <c r="D116" s="20" t="s">
        <v>3939</v>
      </c>
      <c r="E116" s="20" t="s">
        <v>3940</v>
      </c>
      <c r="F116" s="20"/>
      <c r="G116" s="20"/>
      <c r="H116" s="20"/>
      <c r="I116" s="20"/>
      <c r="J116" s="20" t="s">
        <v>3650</v>
      </c>
    </row>
    <row r="117" ht="42.75" customHeight="1">
      <c r="A117" s="19" t="s">
        <v>242</v>
      </c>
      <c r="B117" s="20" t="s">
        <v>3935</v>
      </c>
      <c r="C117" s="19" t="s">
        <v>328</v>
      </c>
      <c r="D117" s="20" t="s">
        <v>3941</v>
      </c>
      <c r="E117" s="20" t="s">
        <v>3942</v>
      </c>
      <c r="F117" s="20"/>
      <c r="G117" s="20"/>
      <c r="H117" s="20"/>
      <c r="I117" s="20"/>
      <c r="J117" s="20" t="s">
        <v>3650</v>
      </c>
    </row>
    <row r="118" ht="42.75" customHeight="1">
      <c r="A118" s="19" t="s">
        <v>242</v>
      </c>
      <c r="B118" s="20" t="s">
        <v>3935</v>
      </c>
      <c r="C118" s="19" t="s">
        <v>3943</v>
      </c>
      <c r="D118" s="20" t="s">
        <v>3944</v>
      </c>
      <c r="E118" s="20" t="s">
        <v>3945</v>
      </c>
      <c r="F118" s="20"/>
      <c r="G118" s="20"/>
      <c r="H118" s="20"/>
      <c r="I118" s="20"/>
      <c r="J118" s="20" t="s">
        <v>3650</v>
      </c>
    </row>
    <row r="119" ht="114" customHeight="1">
      <c r="A119" s="19" t="s">
        <v>242</v>
      </c>
      <c r="B119" s="20" t="s">
        <v>3935</v>
      </c>
      <c r="C119" s="19" t="s">
        <v>3946</v>
      </c>
      <c r="D119" s="20" t="s">
        <v>3947</v>
      </c>
      <c r="E119" s="20" t="s">
        <v>3948</v>
      </c>
      <c r="F119" s="20"/>
      <c r="G119" s="20"/>
      <c r="H119" s="20"/>
      <c r="I119" s="20"/>
      <c r="J119" s="20" t="s">
        <v>3650</v>
      </c>
    </row>
    <row r="120" ht="71.25" customHeight="1">
      <c r="A120" s="19" t="s">
        <v>242</v>
      </c>
      <c r="B120" s="20" t="s">
        <v>3935</v>
      </c>
      <c r="C120" s="19" t="s">
        <v>3949</v>
      </c>
      <c r="D120" s="20" t="s">
        <v>3950</v>
      </c>
      <c r="E120" s="20" t="s">
        <v>3951</v>
      </c>
      <c r="F120" s="20"/>
      <c r="G120" s="20"/>
      <c r="H120" s="20"/>
      <c r="I120" s="20"/>
      <c r="J120" s="20" t="s">
        <v>3650</v>
      </c>
    </row>
    <row r="121" ht="57" customHeight="1">
      <c r="A121" s="19" t="s">
        <v>242</v>
      </c>
      <c r="B121" s="20" t="s">
        <v>3935</v>
      </c>
      <c r="C121" s="19" t="s">
        <v>3952</v>
      </c>
      <c r="D121" s="20" t="s">
        <v>3953</v>
      </c>
      <c r="E121" s="20" t="s">
        <v>3954</v>
      </c>
      <c r="F121" s="20"/>
      <c r="G121" s="20"/>
      <c r="H121" s="20"/>
      <c r="I121" s="20"/>
      <c r="J121" s="20" t="s">
        <v>3650</v>
      </c>
    </row>
    <row r="122" ht="28.5" customHeight="1">
      <c r="A122" s="19" t="s">
        <v>242</v>
      </c>
      <c r="B122" s="20" t="s">
        <v>3935</v>
      </c>
      <c r="C122" s="19" t="s">
        <v>3955</v>
      </c>
      <c r="D122" s="20" t="s">
        <v>3956</v>
      </c>
      <c r="E122" s="20" t="s">
        <v>3957</v>
      </c>
      <c r="F122" s="20"/>
      <c r="G122" s="20"/>
      <c r="H122" s="20"/>
      <c r="I122" s="20"/>
      <c r="J122" s="20" t="s">
        <v>3650</v>
      </c>
    </row>
    <row r="123" ht="42.75" customHeight="1">
      <c r="A123" s="19" t="s">
        <v>242</v>
      </c>
      <c r="B123" s="20" t="s">
        <v>3935</v>
      </c>
      <c r="C123" s="19" t="s">
        <v>3958</v>
      </c>
      <c r="D123" s="20" t="s">
        <v>3959</v>
      </c>
      <c r="E123" s="20" t="s">
        <v>3960</v>
      </c>
      <c r="F123" s="20"/>
      <c r="G123" s="20"/>
      <c r="H123" s="20"/>
      <c r="I123" s="20"/>
      <c r="J123" s="20" t="s">
        <v>3650</v>
      </c>
    </row>
    <row r="124" ht="28.5" customHeight="1">
      <c r="A124" s="19" t="s">
        <v>242</v>
      </c>
      <c r="B124" s="20" t="s">
        <v>3935</v>
      </c>
      <c r="C124" s="19" t="s">
        <v>3961</v>
      </c>
      <c r="D124" s="20" t="s">
        <v>3672</v>
      </c>
      <c r="E124" s="20" t="s">
        <v>3962</v>
      </c>
      <c r="F124" s="20"/>
      <c r="G124" s="20"/>
      <c r="H124" s="20"/>
      <c r="I124" s="20"/>
      <c r="J124" s="20" t="s">
        <v>3650</v>
      </c>
    </row>
    <row r="125" ht="71.25" customHeight="1">
      <c r="A125" s="19" t="s">
        <v>124</v>
      </c>
      <c r="B125" s="20" t="s">
        <v>3963</v>
      </c>
      <c r="C125" s="19" t="s">
        <v>3964</v>
      </c>
      <c r="D125" s="20" t="s">
        <v>3648</v>
      </c>
      <c r="E125" s="20" t="s">
        <v>3965</v>
      </c>
      <c r="F125" s="20"/>
      <c r="G125" s="20"/>
      <c r="H125" s="20"/>
      <c r="I125" s="20"/>
      <c r="J125" s="20" t="s">
        <v>3650</v>
      </c>
    </row>
    <row r="126" ht="57" customHeight="1">
      <c r="A126" s="19" t="s">
        <v>124</v>
      </c>
      <c r="B126" s="20" t="s">
        <v>3963</v>
      </c>
      <c r="C126" s="19" t="s">
        <v>3966</v>
      </c>
      <c r="D126" s="20" t="s">
        <v>3967</v>
      </c>
      <c r="E126" s="20" t="s">
        <v>3968</v>
      </c>
      <c r="F126" s="20"/>
      <c r="G126" s="20"/>
      <c r="H126" s="20"/>
      <c r="I126" s="20"/>
      <c r="J126" s="20" t="s">
        <v>3650</v>
      </c>
    </row>
    <row r="127" ht="42.75" customHeight="1">
      <c r="A127" s="19" t="s">
        <v>124</v>
      </c>
      <c r="B127" s="20" t="s">
        <v>3963</v>
      </c>
      <c r="C127" s="19" t="s">
        <v>3969</v>
      </c>
      <c r="D127" s="20" t="s">
        <v>3970</v>
      </c>
      <c r="E127" s="20" t="s">
        <v>3971</v>
      </c>
      <c r="F127" s="20"/>
      <c r="G127" s="20"/>
      <c r="H127" s="20"/>
      <c r="I127" s="20"/>
      <c r="J127" s="20" t="s">
        <v>3650</v>
      </c>
    </row>
    <row r="128" ht="99.75" customHeight="1">
      <c r="A128" s="19" t="s">
        <v>124</v>
      </c>
      <c r="B128" s="20" t="s">
        <v>3963</v>
      </c>
      <c r="C128" s="19" t="s">
        <v>3972</v>
      </c>
      <c r="D128" s="20" t="s">
        <v>3973</v>
      </c>
      <c r="E128" s="20" t="s">
        <v>3974</v>
      </c>
      <c r="F128" s="20"/>
      <c r="G128" s="20"/>
      <c r="H128" s="20"/>
      <c r="I128" s="20"/>
      <c r="J128" s="20" t="s">
        <v>3650</v>
      </c>
    </row>
    <row r="129" ht="42.75" customHeight="1">
      <c r="A129" s="19" t="s">
        <v>124</v>
      </c>
      <c r="B129" s="20" t="s">
        <v>3963</v>
      </c>
      <c r="C129" s="19" t="s">
        <v>3975</v>
      </c>
      <c r="D129" s="20" t="s">
        <v>3976</v>
      </c>
      <c r="E129" s="20" t="s">
        <v>3977</v>
      </c>
      <c r="F129" s="20"/>
      <c r="G129" s="20"/>
      <c r="H129" s="20"/>
      <c r="I129" s="20"/>
      <c r="J129" s="20" t="s">
        <v>3650</v>
      </c>
    </row>
    <row r="130" ht="42.75" customHeight="1">
      <c r="A130" s="19" t="s">
        <v>124</v>
      </c>
      <c r="B130" s="20" t="s">
        <v>3963</v>
      </c>
      <c r="C130" s="19" t="s">
        <v>3978</v>
      </c>
      <c r="D130" s="20" t="s">
        <v>3979</v>
      </c>
      <c r="E130" s="20" t="s">
        <v>3980</v>
      </c>
      <c r="F130" s="20"/>
      <c r="G130" s="20"/>
      <c r="H130" s="20"/>
      <c r="I130" s="20"/>
      <c r="J130" s="20" t="s">
        <v>3650</v>
      </c>
    </row>
    <row r="131" ht="71.25" customHeight="1">
      <c r="A131" s="19" t="s">
        <v>124</v>
      </c>
      <c r="B131" s="20" t="s">
        <v>3963</v>
      </c>
      <c r="C131" s="19" t="s">
        <v>3981</v>
      </c>
      <c r="D131" s="20" t="s">
        <v>3982</v>
      </c>
      <c r="E131" s="20" t="s">
        <v>3983</v>
      </c>
      <c r="F131" s="20"/>
      <c r="G131" s="20"/>
      <c r="H131" s="20"/>
      <c r="I131" s="20"/>
      <c r="J131" s="20" t="s">
        <v>3650</v>
      </c>
    </row>
    <row r="132" ht="42.75" customHeight="1">
      <c r="A132" s="19" t="s">
        <v>124</v>
      </c>
      <c r="B132" s="20" t="s">
        <v>3963</v>
      </c>
      <c r="C132" s="19" t="s">
        <v>3984</v>
      </c>
      <c r="D132" s="20" t="s">
        <v>3985</v>
      </c>
      <c r="E132" s="20" t="s">
        <v>3986</v>
      </c>
      <c r="F132" s="20"/>
      <c r="G132" s="20"/>
      <c r="H132" s="20"/>
      <c r="I132" s="20"/>
      <c r="J132" s="20" t="s">
        <v>3650</v>
      </c>
    </row>
    <row r="133" ht="42.75" customHeight="1">
      <c r="A133" s="19" t="s">
        <v>124</v>
      </c>
      <c r="B133" s="20" t="s">
        <v>3963</v>
      </c>
      <c r="C133" s="19" t="s">
        <v>3987</v>
      </c>
      <c r="D133" s="20" t="s">
        <v>3988</v>
      </c>
      <c r="E133" s="20" t="s">
        <v>3989</v>
      </c>
      <c r="F133" s="20"/>
      <c r="G133" s="20"/>
      <c r="H133" s="20"/>
      <c r="I133" s="20"/>
      <c r="J133" s="20" t="s">
        <v>3650</v>
      </c>
    </row>
    <row r="134" ht="85.5" customHeight="1">
      <c r="A134" s="19" t="s">
        <v>124</v>
      </c>
      <c r="B134" s="20" t="s">
        <v>3963</v>
      </c>
      <c r="C134" s="19" t="s">
        <v>3990</v>
      </c>
      <c r="D134" s="20" t="s">
        <v>3991</v>
      </c>
      <c r="E134" s="20" t="s">
        <v>3992</v>
      </c>
      <c r="F134" s="20"/>
      <c r="G134" s="20"/>
      <c r="H134" s="20"/>
      <c r="I134" s="20"/>
      <c r="J134" s="20" t="s">
        <v>3650</v>
      </c>
    </row>
    <row r="135" ht="42.75" customHeight="1">
      <c r="A135" s="19" t="s">
        <v>124</v>
      </c>
      <c r="B135" s="20" t="s">
        <v>3963</v>
      </c>
      <c r="C135" s="19" t="s">
        <v>167</v>
      </c>
      <c r="D135" s="20" t="s">
        <v>3993</v>
      </c>
      <c r="E135" s="20" t="s">
        <v>3994</v>
      </c>
      <c r="F135" s="20"/>
      <c r="G135" s="20"/>
      <c r="H135" s="20"/>
      <c r="I135" s="20"/>
      <c r="J135" s="20" t="s">
        <v>3650</v>
      </c>
    </row>
    <row r="136" ht="42.75" customHeight="1">
      <c r="A136" s="19" t="s">
        <v>124</v>
      </c>
      <c r="B136" s="20" t="s">
        <v>3963</v>
      </c>
      <c r="C136" s="19" t="s">
        <v>3995</v>
      </c>
      <c r="D136" s="20" t="s">
        <v>3996</v>
      </c>
      <c r="E136" s="20" t="s">
        <v>3997</v>
      </c>
      <c r="F136" s="20"/>
      <c r="G136" s="20"/>
      <c r="H136" s="20"/>
      <c r="I136" s="20"/>
      <c r="J136" s="20" t="s">
        <v>3650</v>
      </c>
    </row>
    <row r="137" ht="85.5" customHeight="1">
      <c r="A137" s="19" t="s">
        <v>124</v>
      </c>
      <c r="B137" s="20" t="s">
        <v>3963</v>
      </c>
      <c r="C137" s="19" t="s">
        <v>3998</v>
      </c>
      <c r="D137" s="20" t="s">
        <v>3999</v>
      </c>
      <c r="E137" s="20" t="s">
        <v>4000</v>
      </c>
      <c r="F137" s="20"/>
      <c r="G137" s="20"/>
      <c r="H137" s="20"/>
      <c r="I137" s="20"/>
      <c r="J137" s="20" t="s">
        <v>3650</v>
      </c>
    </row>
    <row r="138" ht="42.75" customHeight="1">
      <c r="A138" s="19" t="s">
        <v>124</v>
      </c>
      <c r="B138" s="20" t="s">
        <v>3963</v>
      </c>
      <c r="C138" s="19" t="s">
        <v>4001</v>
      </c>
      <c r="D138" s="20" t="s">
        <v>3672</v>
      </c>
      <c r="E138" s="20" t="s">
        <v>4002</v>
      </c>
      <c r="F138" s="20"/>
      <c r="G138" s="20"/>
      <c r="H138" s="20"/>
      <c r="I138" s="20"/>
      <c r="J138" s="20" t="s">
        <v>3650</v>
      </c>
    </row>
    <row r="139" ht="42.75" customHeight="1">
      <c r="A139" s="19" t="s">
        <v>1450</v>
      </c>
      <c r="B139" s="20" t="s">
        <v>4003</v>
      </c>
      <c r="C139" s="19" t="s">
        <v>4004</v>
      </c>
      <c r="D139" s="20" t="s">
        <v>3648</v>
      </c>
      <c r="E139" s="20" t="s">
        <v>4005</v>
      </c>
      <c r="F139" s="20"/>
      <c r="G139" s="20"/>
      <c r="H139" s="20"/>
      <c r="I139" s="20"/>
      <c r="J139" s="20" t="s">
        <v>3650</v>
      </c>
    </row>
    <row r="140" ht="42.75" customHeight="1">
      <c r="A140" s="19" t="s">
        <v>1450</v>
      </c>
      <c r="B140" s="20" t="s">
        <v>4003</v>
      </c>
      <c r="C140" s="19" t="s">
        <v>4006</v>
      </c>
      <c r="D140" s="20" t="s">
        <v>4007</v>
      </c>
      <c r="E140" s="20" t="s">
        <v>4008</v>
      </c>
      <c r="F140" s="20"/>
      <c r="G140" s="20"/>
      <c r="H140" s="20"/>
      <c r="I140" s="20"/>
      <c r="J140" s="20" t="s">
        <v>3650</v>
      </c>
    </row>
    <row r="141" ht="57" customHeight="1">
      <c r="A141" s="19" t="s">
        <v>1450</v>
      </c>
      <c r="B141" s="20" t="s">
        <v>4003</v>
      </c>
      <c r="C141" s="19" t="s">
        <v>4009</v>
      </c>
      <c r="D141" s="20" t="s">
        <v>4010</v>
      </c>
      <c r="E141" s="20" t="s">
        <v>4011</v>
      </c>
      <c r="F141" s="20"/>
      <c r="G141" s="20"/>
      <c r="H141" s="20"/>
      <c r="I141" s="20"/>
      <c r="J141" s="20" t="s">
        <v>3650</v>
      </c>
    </row>
    <row r="142" ht="57" customHeight="1">
      <c r="A142" s="19" t="s">
        <v>1450</v>
      </c>
      <c r="B142" s="20" t="s">
        <v>4003</v>
      </c>
      <c r="C142" s="19" t="s">
        <v>4012</v>
      </c>
      <c r="D142" s="20" t="s">
        <v>4013</v>
      </c>
      <c r="E142" s="20" t="s">
        <v>4014</v>
      </c>
      <c r="F142" s="20"/>
      <c r="G142" s="20"/>
      <c r="H142" s="20"/>
      <c r="I142" s="20"/>
      <c r="J142" s="20" t="s">
        <v>3650</v>
      </c>
    </row>
    <row r="143" ht="57" customHeight="1">
      <c r="A143" s="19" t="s">
        <v>1450</v>
      </c>
      <c r="B143" s="20" t="s">
        <v>4003</v>
      </c>
      <c r="C143" s="19" t="s">
        <v>4015</v>
      </c>
      <c r="D143" s="20" t="s">
        <v>4016</v>
      </c>
      <c r="E143" s="20" t="s">
        <v>4017</v>
      </c>
      <c r="F143" s="20"/>
      <c r="G143" s="20"/>
      <c r="H143" s="20"/>
      <c r="I143" s="20"/>
      <c r="J143" s="20" t="s">
        <v>3650</v>
      </c>
    </row>
    <row r="144" ht="57" customHeight="1">
      <c r="A144" s="19" t="s">
        <v>1450</v>
      </c>
      <c r="B144" s="20" t="s">
        <v>4003</v>
      </c>
      <c r="C144" s="19" t="s">
        <v>4018</v>
      </c>
      <c r="D144" s="20" t="s">
        <v>4019</v>
      </c>
      <c r="E144" s="20" t="s">
        <v>4020</v>
      </c>
      <c r="F144" s="20"/>
      <c r="G144" s="20"/>
      <c r="H144" s="20"/>
      <c r="I144" s="20"/>
      <c r="J144" s="20" t="s">
        <v>3650</v>
      </c>
    </row>
    <row r="145" ht="85.5" customHeight="1">
      <c r="A145" s="19" t="s">
        <v>1450</v>
      </c>
      <c r="B145" s="20" t="s">
        <v>4003</v>
      </c>
      <c r="C145" s="19" t="s">
        <v>4021</v>
      </c>
      <c r="D145" s="20" t="s">
        <v>4022</v>
      </c>
      <c r="E145" s="20" t="s">
        <v>4023</v>
      </c>
      <c r="F145" s="20"/>
      <c r="G145" s="20"/>
      <c r="H145" s="20"/>
      <c r="I145" s="20"/>
      <c r="J145" s="20" t="s">
        <v>3650</v>
      </c>
    </row>
    <row r="146" ht="57" customHeight="1">
      <c r="A146" s="19" t="s">
        <v>1450</v>
      </c>
      <c r="B146" s="20" t="s">
        <v>4003</v>
      </c>
      <c r="C146" s="19" t="s">
        <v>4024</v>
      </c>
      <c r="D146" s="20" t="s">
        <v>4025</v>
      </c>
      <c r="E146" s="20" t="s">
        <v>4026</v>
      </c>
      <c r="F146" s="20"/>
      <c r="G146" s="20"/>
      <c r="H146" s="20"/>
      <c r="I146" s="20"/>
      <c r="J146" s="20" t="s">
        <v>3650</v>
      </c>
    </row>
    <row r="147" ht="99.75" customHeight="1">
      <c r="A147" s="19" t="s">
        <v>1450</v>
      </c>
      <c r="B147" s="20" t="s">
        <v>4003</v>
      </c>
      <c r="C147" s="19" t="s">
        <v>4027</v>
      </c>
      <c r="D147" s="20" t="s">
        <v>4028</v>
      </c>
      <c r="E147" s="20" t="s">
        <v>4029</v>
      </c>
      <c r="F147" s="20"/>
      <c r="G147" s="20"/>
      <c r="H147" s="20"/>
      <c r="I147" s="20"/>
      <c r="J147" s="20" t="s">
        <v>3650</v>
      </c>
    </row>
    <row r="148" ht="28.5" customHeight="1">
      <c r="A148" s="19" t="s">
        <v>1450</v>
      </c>
      <c r="B148" s="20" t="s">
        <v>4003</v>
      </c>
      <c r="C148" s="19" t="s">
        <v>4030</v>
      </c>
      <c r="D148" s="20" t="s">
        <v>4031</v>
      </c>
      <c r="E148" s="20" t="s">
        <v>4032</v>
      </c>
      <c r="F148" s="20"/>
      <c r="G148" s="20"/>
      <c r="H148" s="20"/>
      <c r="I148" s="20"/>
      <c r="J148" s="20" t="s">
        <v>3650</v>
      </c>
    </row>
    <row r="149" ht="28.5" customHeight="1">
      <c r="A149" s="19" t="s">
        <v>1450</v>
      </c>
      <c r="B149" s="20" t="s">
        <v>4003</v>
      </c>
      <c r="C149" s="19" t="s">
        <v>4033</v>
      </c>
      <c r="D149" s="20" t="s">
        <v>4034</v>
      </c>
      <c r="E149" s="20" t="s">
        <v>4035</v>
      </c>
      <c r="F149" s="20"/>
      <c r="G149" s="20"/>
      <c r="H149" s="20"/>
      <c r="I149" s="20"/>
      <c r="J149" s="20" t="s">
        <v>3650</v>
      </c>
    </row>
    <row r="150" ht="99.75" customHeight="1">
      <c r="A150" s="19" t="s">
        <v>1450</v>
      </c>
      <c r="B150" s="20" t="s">
        <v>4003</v>
      </c>
      <c r="C150" s="19" t="s">
        <v>4036</v>
      </c>
      <c r="D150" s="20" t="s">
        <v>4037</v>
      </c>
      <c r="E150" s="20" t="s">
        <v>4038</v>
      </c>
      <c r="F150" s="20"/>
      <c r="G150" s="20"/>
      <c r="H150" s="20"/>
      <c r="I150" s="20"/>
      <c r="J150" s="20" t="s">
        <v>3650</v>
      </c>
    </row>
    <row r="151" ht="42.75" customHeight="1">
      <c r="A151" s="19" t="s">
        <v>1450</v>
      </c>
      <c r="B151" s="20" t="s">
        <v>4003</v>
      </c>
      <c r="C151" s="19" t="s">
        <v>4039</v>
      </c>
      <c r="D151" s="20" t="s">
        <v>4040</v>
      </c>
      <c r="E151" s="20" t="s">
        <v>4041</v>
      </c>
      <c r="F151" s="20"/>
      <c r="G151" s="20"/>
      <c r="H151" s="20"/>
      <c r="I151" s="20"/>
      <c r="J151" s="20" t="s">
        <v>3650</v>
      </c>
    </row>
    <row r="152" ht="28.5" customHeight="1">
      <c r="A152" s="19" t="s">
        <v>1450</v>
      </c>
      <c r="B152" s="20" t="s">
        <v>4003</v>
      </c>
      <c r="C152" s="19" t="s">
        <v>4042</v>
      </c>
      <c r="D152" s="20" t="s">
        <v>4043</v>
      </c>
      <c r="E152" s="20" t="s">
        <v>4044</v>
      </c>
      <c r="F152" s="20"/>
      <c r="G152" s="20"/>
      <c r="H152" s="20"/>
      <c r="I152" s="20"/>
      <c r="J152" s="20" t="s">
        <v>3650</v>
      </c>
    </row>
    <row r="153" ht="28.5" customHeight="1">
      <c r="A153" s="19" t="s">
        <v>1450</v>
      </c>
      <c r="B153" s="20" t="s">
        <v>4003</v>
      </c>
      <c r="C153" s="19" t="s">
        <v>4045</v>
      </c>
      <c r="D153" s="20" t="s">
        <v>4046</v>
      </c>
      <c r="E153" s="20" t="s">
        <v>4047</v>
      </c>
      <c r="F153" s="20"/>
      <c r="G153" s="20"/>
      <c r="H153" s="20"/>
      <c r="I153" s="20"/>
      <c r="J153" s="20" t="s">
        <v>3650</v>
      </c>
    </row>
    <row r="154" ht="42.75" customHeight="1">
      <c r="A154" s="19" t="s">
        <v>1450</v>
      </c>
      <c r="B154" s="20" t="s">
        <v>4003</v>
      </c>
      <c r="C154" s="19" t="s">
        <v>4048</v>
      </c>
      <c r="D154" s="20" t="s">
        <v>4049</v>
      </c>
      <c r="E154" s="20" t="s">
        <v>4050</v>
      </c>
      <c r="F154" s="20"/>
      <c r="G154" s="20"/>
      <c r="H154" s="20"/>
      <c r="I154" s="20"/>
      <c r="J154" s="20" t="s">
        <v>3650</v>
      </c>
    </row>
    <row r="155" ht="28.5" customHeight="1">
      <c r="A155" s="19" t="s">
        <v>1450</v>
      </c>
      <c r="B155" s="20" t="s">
        <v>4003</v>
      </c>
      <c r="C155" s="19" t="s">
        <v>4051</v>
      </c>
      <c r="D155" s="20" t="s">
        <v>4052</v>
      </c>
      <c r="E155" s="20" t="s">
        <v>4053</v>
      </c>
      <c r="F155" s="20"/>
      <c r="G155" s="20"/>
      <c r="H155" s="20"/>
      <c r="I155" s="20"/>
      <c r="J155" s="20" t="s">
        <v>3650</v>
      </c>
    </row>
    <row r="156" ht="28.5" customHeight="1">
      <c r="A156" s="19" t="s">
        <v>1450</v>
      </c>
      <c r="B156" s="20" t="s">
        <v>4003</v>
      </c>
      <c r="C156" s="19" t="s">
        <v>4054</v>
      </c>
      <c r="D156" s="20" t="s">
        <v>3672</v>
      </c>
      <c r="E156" s="20" t="s">
        <v>4055</v>
      </c>
      <c r="F156" s="20"/>
      <c r="G156" s="20"/>
      <c r="H156" s="20"/>
      <c r="I156" s="20"/>
      <c r="J156" s="20" t="s">
        <v>3650</v>
      </c>
    </row>
    <row r="157" ht="71.25" customHeight="1">
      <c r="A157" s="19" t="s">
        <v>2576</v>
      </c>
      <c r="B157" s="20" t="s">
        <v>4056</v>
      </c>
      <c r="C157" s="19" t="s">
        <v>4057</v>
      </c>
      <c r="D157" s="20" t="s">
        <v>3648</v>
      </c>
      <c r="E157" s="20" t="s">
        <v>4058</v>
      </c>
      <c r="F157" s="20"/>
      <c r="G157" s="20"/>
      <c r="H157" s="20"/>
      <c r="I157" s="20"/>
      <c r="J157" s="20" t="s">
        <v>3650</v>
      </c>
    </row>
    <row r="158" ht="42.75" customHeight="1">
      <c r="A158" s="19" t="s">
        <v>2576</v>
      </c>
      <c r="B158" s="20" t="s">
        <v>4056</v>
      </c>
      <c r="C158" s="19" t="s">
        <v>4059</v>
      </c>
      <c r="D158" s="20" t="s">
        <v>4060</v>
      </c>
      <c r="E158" s="20" t="s">
        <v>4061</v>
      </c>
      <c r="F158" s="20"/>
      <c r="G158" s="20"/>
      <c r="H158" s="20"/>
      <c r="I158" s="20"/>
      <c r="J158" s="20" t="s">
        <v>3650</v>
      </c>
    </row>
    <row r="159" ht="28.5" customHeight="1">
      <c r="A159" s="19" t="s">
        <v>2576</v>
      </c>
      <c r="B159" s="20" t="s">
        <v>4056</v>
      </c>
      <c r="C159" s="19" t="s">
        <v>4062</v>
      </c>
      <c r="D159" s="20" t="s">
        <v>4063</v>
      </c>
      <c r="E159" s="20" t="s">
        <v>4064</v>
      </c>
      <c r="F159" s="20"/>
      <c r="G159" s="20"/>
      <c r="H159" s="20"/>
      <c r="I159" s="20"/>
      <c r="J159" s="20" t="s">
        <v>3650</v>
      </c>
    </row>
    <row r="160" ht="57" customHeight="1">
      <c r="A160" s="19" t="s">
        <v>2576</v>
      </c>
      <c r="B160" s="20" t="s">
        <v>4056</v>
      </c>
      <c r="C160" s="19" t="s">
        <v>4065</v>
      </c>
      <c r="D160" s="20" t="s">
        <v>4066</v>
      </c>
      <c r="E160" s="20" t="s">
        <v>4067</v>
      </c>
      <c r="F160" s="20"/>
      <c r="G160" s="20"/>
      <c r="H160" s="20"/>
      <c r="I160" s="20"/>
      <c r="J160" s="20" t="s">
        <v>3650</v>
      </c>
    </row>
    <row r="161" ht="57" customHeight="1">
      <c r="A161" s="19" t="s">
        <v>2576</v>
      </c>
      <c r="B161" s="20" t="s">
        <v>4056</v>
      </c>
      <c r="C161" s="19" t="s">
        <v>2099</v>
      </c>
      <c r="D161" s="20" t="s">
        <v>4068</v>
      </c>
      <c r="E161" s="20" t="s">
        <v>4069</v>
      </c>
      <c r="F161" s="20"/>
      <c r="G161" s="20"/>
      <c r="H161" s="20"/>
      <c r="I161" s="20"/>
      <c r="J161" s="20" t="s">
        <v>3650</v>
      </c>
    </row>
    <row r="162" ht="85.5" customHeight="1">
      <c r="A162" s="19" t="s">
        <v>2576</v>
      </c>
      <c r="B162" s="20" t="s">
        <v>4056</v>
      </c>
      <c r="C162" s="19" t="s">
        <v>4070</v>
      </c>
      <c r="D162" s="20" t="s">
        <v>4071</v>
      </c>
      <c r="E162" s="20" t="s">
        <v>4072</v>
      </c>
      <c r="F162" s="20"/>
      <c r="G162" s="20"/>
      <c r="H162" s="20"/>
      <c r="I162" s="20"/>
      <c r="J162" s="20" t="s">
        <v>3650</v>
      </c>
    </row>
    <row r="163" ht="42.75" customHeight="1">
      <c r="A163" s="19" t="s">
        <v>2576</v>
      </c>
      <c r="B163" s="20" t="s">
        <v>4056</v>
      </c>
      <c r="C163" s="19" t="s">
        <v>4073</v>
      </c>
      <c r="D163" s="20" t="s">
        <v>4074</v>
      </c>
      <c r="E163" s="20" t="s">
        <v>4075</v>
      </c>
      <c r="F163" s="20"/>
      <c r="G163" s="20"/>
      <c r="H163" s="20"/>
      <c r="I163" s="20"/>
      <c r="J163" s="20" t="s">
        <v>3650</v>
      </c>
    </row>
    <row r="164" ht="85.5" customHeight="1">
      <c r="A164" s="19" t="s">
        <v>2576</v>
      </c>
      <c r="B164" s="20" t="s">
        <v>4056</v>
      </c>
      <c r="C164" s="19" t="s">
        <v>4076</v>
      </c>
      <c r="D164" s="20" t="s">
        <v>4077</v>
      </c>
      <c r="E164" s="20" t="s">
        <v>4078</v>
      </c>
      <c r="F164" s="20"/>
      <c r="G164" s="20"/>
      <c r="H164" s="20"/>
      <c r="I164" s="20"/>
      <c r="J164" s="20" t="s">
        <v>3650</v>
      </c>
    </row>
    <row r="165" ht="42.75" customHeight="1">
      <c r="A165" s="19" t="s">
        <v>2576</v>
      </c>
      <c r="B165" s="20" t="s">
        <v>4056</v>
      </c>
      <c r="C165" s="19" t="s">
        <v>4079</v>
      </c>
      <c r="D165" s="20" t="s">
        <v>4080</v>
      </c>
      <c r="E165" s="20" t="s">
        <v>4081</v>
      </c>
      <c r="F165" s="20"/>
      <c r="G165" s="20"/>
      <c r="H165" s="20"/>
      <c r="I165" s="20"/>
      <c r="J165" s="20" t="s">
        <v>3650</v>
      </c>
    </row>
    <row r="166" ht="28.5" customHeight="1">
      <c r="A166" s="19" t="s">
        <v>2576</v>
      </c>
      <c r="B166" s="20" t="s">
        <v>4056</v>
      </c>
      <c r="C166" s="19" t="s">
        <v>4082</v>
      </c>
      <c r="D166" s="20" t="s">
        <v>3672</v>
      </c>
      <c r="E166" s="20" t="s">
        <v>4083</v>
      </c>
      <c r="F166" s="20"/>
      <c r="G166" s="20"/>
      <c r="H166" s="20"/>
      <c r="I166" s="20"/>
      <c r="J166" s="20" t="s">
        <v>3650</v>
      </c>
    </row>
    <row r="167" ht="42.75" customHeight="1">
      <c r="A167" s="19" t="s">
        <v>227</v>
      </c>
      <c r="B167" s="20" t="s">
        <v>4084</v>
      </c>
      <c r="C167" s="19" t="s">
        <v>4085</v>
      </c>
      <c r="D167" s="20" t="s">
        <v>3648</v>
      </c>
      <c r="E167" s="20" t="s">
        <v>4086</v>
      </c>
      <c r="F167" s="20"/>
      <c r="G167" s="20"/>
      <c r="H167" s="20"/>
      <c r="I167" s="20"/>
      <c r="J167" s="20" t="s">
        <v>3650</v>
      </c>
    </row>
    <row r="168" ht="57" customHeight="1">
      <c r="A168" s="19" t="s">
        <v>227</v>
      </c>
      <c r="B168" s="20" t="s">
        <v>4084</v>
      </c>
      <c r="C168" s="19" t="s">
        <v>4087</v>
      </c>
      <c r="D168" s="20" t="s">
        <v>4088</v>
      </c>
      <c r="E168" s="20" t="s">
        <v>4089</v>
      </c>
      <c r="F168" s="20"/>
      <c r="G168" s="20"/>
      <c r="H168" s="20"/>
      <c r="I168" s="20"/>
      <c r="J168" s="20" t="s">
        <v>3650</v>
      </c>
    </row>
    <row r="169" ht="71.25" customHeight="1">
      <c r="A169" s="19" t="s">
        <v>227</v>
      </c>
      <c r="B169" s="20" t="s">
        <v>4084</v>
      </c>
      <c r="C169" s="19" t="s">
        <v>4090</v>
      </c>
      <c r="D169" s="20" t="s">
        <v>4091</v>
      </c>
      <c r="E169" s="20" t="s">
        <v>4092</v>
      </c>
      <c r="F169" s="20"/>
      <c r="G169" s="20"/>
      <c r="H169" s="20"/>
      <c r="I169" s="20"/>
      <c r="J169" s="20" t="s">
        <v>3650</v>
      </c>
    </row>
    <row r="170" ht="57" customHeight="1">
      <c r="A170" s="19" t="s">
        <v>227</v>
      </c>
      <c r="B170" s="20" t="s">
        <v>4084</v>
      </c>
      <c r="C170" s="19" t="s">
        <v>4093</v>
      </c>
      <c r="D170" s="20" t="s">
        <v>4094</v>
      </c>
      <c r="E170" s="20" t="s">
        <v>4095</v>
      </c>
      <c r="F170" s="20"/>
      <c r="G170" s="20"/>
      <c r="H170" s="20"/>
      <c r="I170" s="20"/>
      <c r="J170" s="20" t="s">
        <v>3650</v>
      </c>
    </row>
    <row r="171" ht="57" customHeight="1">
      <c r="A171" s="19" t="s">
        <v>227</v>
      </c>
      <c r="B171" s="20" t="s">
        <v>4084</v>
      </c>
      <c r="C171" s="19" t="s">
        <v>4096</v>
      </c>
      <c r="D171" s="20" t="s">
        <v>4097</v>
      </c>
      <c r="E171" s="20" t="s">
        <v>4098</v>
      </c>
      <c r="F171" s="20"/>
      <c r="G171" s="20"/>
      <c r="H171" s="20"/>
      <c r="I171" s="20"/>
      <c r="J171" s="20" t="s">
        <v>3650</v>
      </c>
    </row>
    <row r="172" ht="85.5" customHeight="1">
      <c r="A172" s="19" t="s">
        <v>227</v>
      </c>
      <c r="B172" s="20" t="s">
        <v>4084</v>
      </c>
      <c r="C172" s="19" t="s">
        <v>4099</v>
      </c>
      <c r="D172" s="20" t="s">
        <v>4100</v>
      </c>
      <c r="E172" s="20" t="s">
        <v>4101</v>
      </c>
      <c r="F172" s="20"/>
      <c r="G172" s="20"/>
      <c r="H172" s="20"/>
      <c r="I172" s="20"/>
      <c r="J172" s="20" t="s">
        <v>3650</v>
      </c>
    </row>
    <row r="173" ht="42.75" customHeight="1">
      <c r="A173" s="19" t="s">
        <v>227</v>
      </c>
      <c r="B173" s="20" t="s">
        <v>4084</v>
      </c>
      <c r="C173" s="19" t="s">
        <v>4102</v>
      </c>
      <c r="D173" s="20" t="s">
        <v>4103</v>
      </c>
      <c r="E173" s="20" t="s">
        <v>4104</v>
      </c>
      <c r="F173" s="20"/>
      <c r="G173" s="20"/>
      <c r="H173" s="20"/>
      <c r="I173" s="20"/>
      <c r="J173" s="20" t="s">
        <v>3650</v>
      </c>
    </row>
    <row r="174" ht="28.5" customHeight="1">
      <c r="A174" s="19" t="s">
        <v>227</v>
      </c>
      <c r="B174" s="20" t="s">
        <v>4084</v>
      </c>
      <c r="C174" s="19" t="s">
        <v>4105</v>
      </c>
      <c r="D174" s="20" t="s">
        <v>3672</v>
      </c>
      <c r="E174" s="20" t="s">
        <v>4106</v>
      </c>
      <c r="F174" s="20"/>
      <c r="G174" s="20"/>
      <c r="H174" s="20"/>
      <c r="I174" s="20"/>
      <c r="J174" s="20" t="s">
        <v>3650</v>
      </c>
    </row>
    <row r="175" ht="57" customHeight="1">
      <c r="A175" s="19" t="s">
        <v>2090</v>
      </c>
      <c r="B175" s="20" t="s">
        <v>4107</v>
      </c>
      <c r="C175" s="19" t="s">
        <v>4108</v>
      </c>
      <c r="D175" s="20" t="s">
        <v>3648</v>
      </c>
      <c r="E175" s="20" t="s">
        <v>4109</v>
      </c>
      <c r="F175" s="20"/>
      <c r="G175" s="20"/>
      <c r="H175" s="20"/>
      <c r="I175" s="20"/>
      <c r="J175" s="20" t="s">
        <v>3650</v>
      </c>
    </row>
    <row r="176" ht="57" customHeight="1">
      <c r="A176" s="19" t="s">
        <v>2090</v>
      </c>
      <c r="B176" s="20" t="s">
        <v>4107</v>
      </c>
      <c r="C176" s="19" t="s">
        <v>4110</v>
      </c>
      <c r="D176" s="20" t="s">
        <v>4111</v>
      </c>
      <c r="E176" s="20" t="s">
        <v>4112</v>
      </c>
      <c r="F176" s="20"/>
      <c r="G176" s="20"/>
      <c r="H176" s="20"/>
      <c r="I176" s="20"/>
      <c r="J176" s="20" t="s">
        <v>3650</v>
      </c>
    </row>
    <row r="177" ht="57" customHeight="1">
      <c r="A177" s="19" t="s">
        <v>2090</v>
      </c>
      <c r="B177" s="20" t="s">
        <v>4107</v>
      </c>
      <c r="C177" s="19" t="s">
        <v>4113</v>
      </c>
      <c r="D177" s="20" t="s">
        <v>4114</v>
      </c>
      <c r="E177" s="20" t="s">
        <v>4115</v>
      </c>
      <c r="F177" s="20"/>
      <c r="G177" s="20"/>
      <c r="H177" s="20"/>
      <c r="I177" s="20"/>
      <c r="J177" s="20" t="s">
        <v>3650</v>
      </c>
    </row>
    <row r="178" ht="128.25" customHeight="1">
      <c r="A178" s="19" t="s">
        <v>2090</v>
      </c>
      <c r="B178" s="20" t="s">
        <v>4107</v>
      </c>
      <c r="C178" s="19" t="s">
        <v>4116</v>
      </c>
      <c r="D178" s="20" t="s">
        <v>4117</v>
      </c>
      <c r="E178" s="20" t="s">
        <v>4118</v>
      </c>
      <c r="F178" s="20"/>
      <c r="G178" s="20"/>
      <c r="H178" s="20"/>
      <c r="I178" s="20"/>
      <c r="J178" s="20" t="s">
        <v>3650</v>
      </c>
    </row>
    <row r="179" ht="28.5" customHeight="1">
      <c r="A179" s="19" t="s">
        <v>2090</v>
      </c>
      <c r="B179" s="20" t="s">
        <v>4107</v>
      </c>
      <c r="C179" s="19" t="s">
        <v>4119</v>
      </c>
      <c r="D179" s="20" t="s">
        <v>4120</v>
      </c>
      <c r="E179" s="20" t="s">
        <v>4121</v>
      </c>
      <c r="F179" s="20"/>
      <c r="G179" s="20"/>
      <c r="H179" s="20"/>
      <c r="I179" s="20"/>
      <c r="J179" s="20" t="s">
        <v>3650</v>
      </c>
    </row>
    <row r="180" ht="71.25" customHeight="1">
      <c r="A180" s="19" t="s">
        <v>2090</v>
      </c>
      <c r="B180" s="20" t="s">
        <v>4107</v>
      </c>
      <c r="C180" s="19" t="s">
        <v>4122</v>
      </c>
      <c r="D180" s="20" t="s">
        <v>4123</v>
      </c>
      <c r="E180" s="20" t="s">
        <v>4124</v>
      </c>
      <c r="F180" s="20"/>
      <c r="G180" s="20"/>
      <c r="H180" s="20"/>
      <c r="I180" s="20"/>
      <c r="J180" s="20" t="s">
        <v>3650</v>
      </c>
    </row>
    <row r="181" ht="42.75" customHeight="1">
      <c r="A181" s="19" t="s">
        <v>2090</v>
      </c>
      <c r="B181" s="20" t="s">
        <v>4107</v>
      </c>
      <c r="C181" s="19" t="s">
        <v>4125</v>
      </c>
      <c r="D181" s="20" t="s">
        <v>4126</v>
      </c>
      <c r="E181" s="20" t="s">
        <v>4127</v>
      </c>
      <c r="F181" s="20"/>
      <c r="G181" s="20"/>
      <c r="H181" s="20"/>
      <c r="I181" s="20"/>
      <c r="J181" s="20" t="s">
        <v>3650</v>
      </c>
    </row>
    <row r="182" ht="71.25" customHeight="1">
      <c r="A182" s="19" t="s">
        <v>2090</v>
      </c>
      <c r="B182" s="20" t="s">
        <v>4107</v>
      </c>
      <c r="C182" s="19" t="s">
        <v>4128</v>
      </c>
      <c r="D182" s="20" t="s">
        <v>4129</v>
      </c>
      <c r="E182" s="20" t="s">
        <v>4130</v>
      </c>
      <c r="F182" s="20"/>
      <c r="G182" s="20"/>
      <c r="H182" s="20"/>
      <c r="I182" s="20"/>
      <c r="J182" s="20" t="s">
        <v>3650</v>
      </c>
    </row>
    <row r="183" ht="42.75" customHeight="1">
      <c r="A183" s="19" t="s">
        <v>2090</v>
      </c>
      <c r="B183" s="20" t="s">
        <v>4107</v>
      </c>
      <c r="C183" s="19" t="s">
        <v>4131</v>
      </c>
      <c r="D183" s="20" t="s">
        <v>4132</v>
      </c>
      <c r="E183" s="20" t="s">
        <v>4133</v>
      </c>
      <c r="F183" s="20"/>
      <c r="G183" s="20"/>
      <c r="H183" s="20"/>
      <c r="I183" s="20"/>
      <c r="J183" s="20" t="s">
        <v>3650</v>
      </c>
    </row>
    <row r="184" ht="28.5" customHeight="1">
      <c r="A184" s="19" t="s">
        <v>2090</v>
      </c>
      <c r="B184" s="20" t="s">
        <v>4107</v>
      </c>
      <c r="C184" s="19" t="s">
        <v>4134</v>
      </c>
      <c r="D184" s="20" t="s">
        <v>4135</v>
      </c>
      <c r="E184" s="20" t="s">
        <v>4136</v>
      </c>
      <c r="F184" s="20"/>
      <c r="G184" s="20"/>
      <c r="H184" s="20"/>
      <c r="I184" s="20"/>
      <c r="J184" s="20" t="s">
        <v>3650</v>
      </c>
    </row>
    <row r="185" ht="42.75" customHeight="1">
      <c r="A185" s="19" t="s">
        <v>2090</v>
      </c>
      <c r="B185" s="20" t="s">
        <v>4107</v>
      </c>
      <c r="C185" s="19" t="s">
        <v>4137</v>
      </c>
      <c r="D185" s="20" t="s">
        <v>4138</v>
      </c>
      <c r="E185" s="20" t="s">
        <v>4139</v>
      </c>
      <c r="F185" s="20"/>
      <c r="G185" s="20"/>
      <c r="H185" s="20"/>
      <c r="I185" s="20"/>
      <c r="J185" s="20" t="s">
        <v>3650</v>
      </c>
    </row>
    <row r="186" ht="28.5" customHeight="1">
      <c r="A186" s="19" t="s">
        <v>2090</v>
      </c>
      <c r="B186" s="20" t="s">
        <v>4107</v>
      </c>
      <c r="C186" s="19" t="s">
        <v>4140</v>
      </c>
      <c r="D186" s="20" t="s">
        <v>3672</v>
      </c>
      <c r="E186" s="20" t="s">
        <v>4141</v>
      </c>
      <c r="F186" s="20"/>
      <c r="G186" s="20"/>
      <c r="H186" s="20"/>
      <c r="I186" s="20"/>
      <c r="J186" s="20" t="s">
        <v>3650</v>
      </c>
    </row>
    <row r="187" ht="85.5" customHeight="1">
      <c r="A187" s="19" t="s">
        <v>208</v>
      </c>
      <c r="B187" s="20" t="s">
        <v>4142</v>
      </c>
      <c r="C187" s="19" t="s">
        <v>4143</v>
      </c>
      <c r="D187" s="20" t="s">
        <v>3648</v>
      </c>
      <c r="E187" s="20" t="s">
        <v>4144</v>
      </c>
      <c r="F187" s="20"/>
      <c r="G187" s="20"/>
      <c r="H187" s="20"/>
      <c r="I187" s="20"/>
      <c r="J187" s="20" t="s">
        <v>3650</v>
      </c>
    </row>
    <row r="188" ht="85.5" customHeight="1">
      <c r="A188" s="19" t="s">
        <v>208</v>
      </c>
      <c r="B188" s="20" t="s">
        <v>4142</v>
      </c>
      <c r="C188" s="19" t="s">
        <v>4145</v>
      </c>
      <c r="D188" s="20" t="s">
        <v>4146</v>
      </c>
      <c r="E188" s="20" t="s">
        <v>4147</v>
      </c>
      <c r="F188" s="20"/>
      <c r="G188" s="20"/>
      <c r="H188" s="20"/>
      <c r="I188" s="20"/>
      <c r="J188" s="20" t="s">
        <v>3650</v>
      </c>
    </row>
    <row r="189" ht="71.25" customHeight="1">
      <c r="A189" s="19" t="s">
        <v>208</v>
      </c>
      <c r="B189" s="20" t="s">
        <v>4142</v>
      </c>
      <c r="C189" s="19" t="s">
        <v>4148</v>
      </c>
      <c r="D189" s="20" t="s">
        <v>4149</v>
      </c>
      <c r="E189" s="20" t="s">
        <v>4150</v>
      </c>
      <c r="F189" s="20"/>
      <c r="G189" s="20"/>
      <c r="H189" s="20"/>
      <c r="I189" s="20"/>
      <c r="J189" s="20" t="s">
        <v>3650</v>
      </c>
    </row>
    <row r="190" ht="42.75" customHeight="1">
      <c r="A190" s="19" t="s">
        <v>208</v>
      </c>
      <c r="B190" s="20" t="s">
        <v>4142</v>
      </c>
      <c r="C190" s="19" t="s">
        <v>4151</v>
      </c>
      <c r="D190" s="20" t="s">
        <v>4152</v>
      </c>
      <c r="E190" s="20" t="s">
        <v>4153</v>
      </c>
      <c r="F190" s="20"/>
      <c r="G190" s="20"/>
      <c r="H190" s="20"/>
      <c r="I190" s="20"/>
      <c r="J190" s="20" t="s">
        <v>3650</v>
      </c>
    </row>
    <row r="191" ht="85.5" customHeight="1">
      <c r="A191" s="19" t="s">
        <v>208</v>
      </c>
      <c r="B191" s="20" t="s">
        <v>4142</v>
      </c>
      <c r="C191" s="19" t="s">
        <v>4154</v>
      </c>
      <c r="D191" s="20" t="s">
        <v>4155</v>
      </c>
      <c r="E191" s="20" t="s">
        <v>4156</v>
      </c>
      <c r="F191" s="20"/>
      <c r="G191" s="20"/>
      <c r="H191" s="20"/>
      <c r="I191" s="20"/>
      <c r="J191" s="20" t="s">
        <v>3650</v>
      </c>
    </row>
    <row r="192" ht="57" customHeight="1">
      <c r="A192" s="19" t="s">
        <v>208</v>
      </c>
      <c r="B192" s="20" t="s">
        <v>4142</v>
      </c>
      <c r="C192" s="19" t="s">
        <v>4157</v>
      </c>
      <c r="D192" s="20" t="s">
        <v>4158</v>
      </c>
      <c r="E192" s="20" t="s">
        <v>4159</v>
      </c>
      <c r="F192" s="20"/>
      <c r="G192" s="20"/>
      <c r="H192" s="20"/>
      <c r="I192" s="20"/>
      <c r="J192" s="20" t="s">
        <v>3650</v>
      </c>
    </row>
    <row r="193" ht="28.5" customHeight="1">
      <c r="A193" s="19" t="s">
        <v>208</v>
      </c>
      <c r="B193" s="20" t="s">
        <v>4142</v>
      </c>
      <c r="C193" s="19" t="s">
        <v>4160</v>
      </c>
      <c r="D193" s="20" t="s">
        <v>4161</v>
      </c>
      <c r="E193" s="20" t="s">
        <v>4162</v>
      </c>
      <c r="F193" s="20"/>
      <c r="G193" s="20"/>
      <c r="H193" s="20"/>
      <c r="I193" s="20"/>
      <c r="J193" s="20" t="s">
        <v>3650</v>
      </c>
    </row>
    <row r="194" ht="85.5" customHeight="1">
      <c r="A194" s="19" t="s">
        <v>208</v>
      </c>
      <c r="B194" s="20" t="s">
        <v>4142</v>
      </c>
      <c r="C194" s="19" t="s">
        <v>4163</v>
      </c>
      <c r="D194" s="20" t="s">
        <v>4164</v>
      </c>
      <c r="E194" s="20" t="s">
        <v>4165</v>
      </c>
      <c r="F194" s="20"/>
      <c r="G194" s="20"/>
      <c r="H194" s="20"/>
      <c r="I194" s="20"/>
      <c r="J194" s="20" t="s">
        <v>3650</v>
      </c>
    </row>
    <row r="195" ht="57" customHeight="1">
      <c r="A195" s="19" t="s">
        <v>208</v>
      </c>
      <c r="B195" s="20" t="s">
        <v>4142</v>
      </c>
      <c r="C195" s="19" t="s">
        <v>4166</v>
      </c>
      <c r="D195" s="20" t="s">
        <v>4167</v>
      </c>
      <c r="E195" s="20" t="s">
        <v>4168</v>
      </c>
      <c r="F195" s="20"/>
      <c r="G195" s="20"/>
      <c r="H195" s="20"/>
      <c r="I195" s="20"/>
      <c r="J195" s="20" t="s">
        <v>3650</v>
      </c>
    </row>
    <row r="196" ht="71.25" customHeight="1">
      <c r="A196" s="19" t="s">
        <v>208</v>
      </c>
      <c r="B196" s="20" t="s">
        <v>4142</v>
      </c>
      <c r="C196" s="19" t="s">
        <v>4169</v>
      </c>
      <c r="D196" s="20" t="s">
        <v>4170</v>
      </c>
      <c r="E196" s="20" t="s">
        <v>4171</v>
      </c>
      <c r="F196" s="20"/>
      <c r="G196" s="20"/>
      <c r="H196" s="20"/>
      <c r="I196" s="20"/>
      <c r="J196" s="20" t="s">
        <v>3650</v>
      </c>
    </row>
    <row r="197" ht="42.75" customHeight="1">
      <c r="A197" s="19" t="s">
        <v>208</v>
      </c>
      <c r="B197" s="20" t="s">
        <v>4142</v>
      </c>
      <c r="C197" s="19" t="s">
        <v>4172</v>
      </c>
      <c r="D197" s="20" t="s">
        <v>4173</v>
      </c>
      <c r="E197" s="20" t="s">
        <v>4174</v>
      </c>
      <c r="F197" s="20"/>
      <c r="G197" s="20"/>
      <c r="H197" s="20"/>
      <c r="I197" s="20"/>
      <c r="J197" s="20" t="s">
        <v>3650</v>
      </c>
    </row>
    <row r="198" ht="57" customHeight="1">
      <c r="A198" s="19" t="s">
        <v>208</v>
      </c>
      <c r="B198" s="20" t="s">
        <v>4142</v>
      </c>
      <c r="C198" s="19" t="s">
        <v>4175</v>
      </c>
      <c r="D198" s="20" t="s">
        <v>4176</v>
      </c>
      <c r="E198" s="20" t="s">
        <v>4177</v>
      </c>
      <c r="F198" s="20"/>
      <c r="G198" s="20"/>
      <c r="H198" s="20"/>
      <c r="I198" s="20"/>
      <c r="J198" s="20" t="s">
        <v>3650</v>
      </c>
    </row>
    <row r="199" ht="57" customHeight="1">
      <c r="A199" s="19" t="s">
        <v>208</v>
      </c>
      <c r="B199" s="20" t="s">
        <v>4142</v>
      </c>
      <c r="C199" s="19" t="s">
        <v>4178</v>
      </c>
      <c r="D199" s="20" t="s">
        <v>4179</v>
      </c>
      <c r="E199" s="20" t="s">
        <v>4180</v>
      </c>
      <c r="F199" s="20"/>
      <c r="G199" s="20"/>
      <c r="H199" s="20"/>
      <c r="I199" s="20"/>
      <c r="J199" s="20" t="s">
        <v>3650</v>
      </c>
    </row>
    <row r="200" ht="57" customHeight="1">
      <c r="A200" s="19" t="s">
        <v>208</v>
      </c>
      <c r="B200" s="20" t="s">
        <v>4142</v>
      </c>
      <c r="C200" s="19" t="s">
        <v>4181</v>
      </c>
      <c r="D200" s="20" t="s">
        <v>4182</v>
      </c>
      <c r="E200" s="20" t="s">
        <v>4183</v>
      </c>
      <c r="F200" s="20"/>
      <c r="G200" s="20"/>
      <c r="H200" s="20"/>
      <c r="I200" s="20"/>
      <c r="J200" s="20" t="s">
        <v>3650</v>
      </c>
    </row>
    <row r="201" ht="28.5" customHeight="1">
      <c r="A201" s="19" t="s">
        <v>208</v>
      </c>
      <c r="B201" s="20" t="s">
        <v>4142</v>
      </c>
      <c r="C201" s="19" t="s">
        <v>4184</v>
      </c>
      <c r="D201" s="20" t="s">
        <v>4185</v>
      </c>
      <c r="E201" s="20" t="s">
        <v>4186</v>
      </c>
      <c r="F201" s="20"/>
      <c r="G201" s="20"/>
      <c r="H201" s="20"/>
      <c r="I201" s="20"/>
      <c r="J201" s="20" t="s">
        <v>3650</v>
      </c>
    </row>
    <row r="202" ht="57" customHeight="1">
      <c r="A202" s="19" t="s">
        <v>208</v>
      </c>
      <c r="B202" s="20" t="s">
        <v>4142</v>
      </c>
      <c r="C202" s="19" t="s">
        <v>4187</v>
      </c>
      <c r="D202" s="20" t="s">
        <v>4188</v>
      </c>
      <c r="E202" s="20" t="s">
        <v>4189</v>
      </c>
      <c r="F202" s="20"/>
      <c r="G202" s="20"/>
      <c r="H202" s="20"/>
      <c r="I202" s="20"/>
      <c r="J202" s="20" t="s">
        <v>3650</v>
      </c>
    </row>
    <row r="203" ht="28.5" customHeight="1">
      <c r="A203" s="19" t="s">
        <v>208</v>
      </c>
      <c r="B203" s="20" t="s">
        <v>4142</v>
      </c>
      <c r="C203" s="19" t="s">
        <v>4190</v>
      </c>
      <c r="D203" s="20" t="s">
        <v>4191</v>
      </c>
      <c r="E203" s="20" t="s">
        <v>4192</v>
      </c>
      <c r="F203" s="20"/>
      <c r="G203" s="20"/>
      <c r="H203" s="20"/>
      <c r="I203" s="20"/>
      <c r="J203" s="20" t="s">
        <v>3650</v>
      </c>
    </row>
    <row r="204" ht="28.5" customHeight="1">
      <c r="A204" s="19" t="s">
        <v>208</v>
      </c>
      <c r="B204" s="20" t="s">
        <v>4142</v>
      </c>
      <c r="C204" s="19" t="s">
        <v>4193</v>
      </c>
      <c r="D204" s="20" t="s">
        <v>3672</v>
      </c>
      <c r="E204" s="20" t="s">
        <v>4194</v>
      </c>
      <c r="F204" s="20"/>
      <c r="G204" s="20"/>
      <c r="H204" s="20"/>
      <c r="I204" s="20"/>
      <c r="J204" s="20" t="s">
        <v>3650</v>
      </c>
    </row>
    <row r="205" ht="85.5" customHeight="1">
      <c r="A205" s="19" t="s">
        <v>4195</v>
      </c>
      <c r="B205" s="20" t="s">
        <v>4196</v>
      </c>
      <c r="C205" s="19" t="s">
        <v>302</v>
      </c>
      <c r="D205" s="20" t="s">
        <v>3648</v>
      </c>
      <c r="E205" s="20" t="s">
        <v>4197</v>
      </c>
      <c r="F205" s="20"/>
      <c r="G205" s="20"/>
      <c r="H205" s="20"/>
      <c r="I205" s="20"/>
      <c r="J205" s="20" t="s">
        <v>3650</v>
      </c>
    </row>
    <row r="206" ht="42.75" customHeight="1">
      <c r="A206" s="19" t="s">
        <v>4195</v>
      </c>
      <c r="B206" s="20" t="s">
        <v>4196</v>
      </c>
      <c r="C206" s="19" t="s">
        <v>1107</v>
      </c>
      <c r="D206" s="20" t="s">
        <v>4198</v>
      </c>
      <c r="E206" s="20" t="s">
        <v>4199</v>
      </c>
      <c r="F206" s="20"/>
      <c r="G206" s="20"/>
      <c r="H206" s="20"/>
      <c r="I206" s="20"/>
      <c r="J206" s="20" t="s">
        <v>3650</v>
      </c>
    </row>
    <row r="207" ht="71.25" customHeight="1">
      <c r="A207" s="19" t="s">
        <v>4195</v>
      </c>
      <c r="B207" s="20" t="s">
        <v>4196</v>
      </c>
      <c r="C207" s="19" t="s">
        <v>218</v>
      </c>
      <c r="D207" s="20" t="s">
        <v>4200</v>
      </c>
      <c r="E207" s="20" t="s">
        <v>4201</v>
      </c>
      <c r="F207" s="20"/>
      <c r="G207" s="20"/>
      <c r="H207" s="20"/>
      <c r="I207" s="20"/>
      <c r="J207" s="20" t="s">
        <v>3650</v>
      </c>
    </row>
    <row r="208" ht="114" customHeight="1">
      <c r="A208" s="19" t="s">
        <v>4195</v>
      </c>
      <c r="B208" s="20" t="s">
        <v>4196</v>
      </c>
      <c r="C208" s="19" t="s">
        <v>4202</v>
      </c>
      <c r="D208" s="20" t="s">
        <v>4203</v>
      </c>
      <c r="E208" s="20" t="s">
        <v>4204</v>
      </c>
      <c r="F208" s="20"/>
      <c r="G208" s="20"/>
      <c r="H208" s="20"/>
      <c r="I208" s="20"/>
      <c r="J208" s="20" t="s">
        <v>3650</v>
      </c>
    </row>
    <row r="209" ht="28.5" customHeight="1">
      <c r="A209" s="19" t="s">
        <v>4195</v>
      </c>
      <c r="B209" s="20" t="s">
        <v>4196</v>
      </c>
      <c r="C209" s="19" t="s">
        <v>4205</v>
      </c>
      <c r="D209" s="20" t="s">
        <v>4206</v>
      </c>
      <c r="E209" s="20" t="s">
        <v>4207</v>
      </c>
      <c r="F209" s="20"/>
      <c r="G209" s="20"/>
      <c r="H209" s="20"/>
      <c r="I209" s="20"/>
      <c r="J209" s="20" t="s">
        <v>3650</v>
      </c>
    </row>
    <row r="210" ht="28.5" customHeight="1">
      <c r="A210" s="19" t="s">
        <v>4195</v>
      </c>
      <c r="B210" s="20" t="s">
        <v>4196</v>
      </c>
      <c r="C210" s="19" t="s">
        <v>4208</v>
      </c>
      <c r="D210" s="20" t="s">
        <v>4209</v>
      </c>
      <c r="E210" s="20" t="s">
        <v>4210</v>
      </c>
      <c r="F210" s="20"/>
      <c r="G210" s="20"/>
      <c r="H210" s="20"/>
      <c r="I210" s="20"/>
      <c r="J210" s="20" t="s">
        <v>3650</v>
      </c>
    </row>
    <row r="211" ht="28.5" customHeight="1">
      <c r="A211" s="19" t="s">
        <v>4195</v>
      </c>
      <c r="B211" s="20" t="s">
        <v>4196</v>
      </c>
      <c r="C211" s="19" t="s">
        <v>4211</v>
      </c>
      <c r="D211" s="20" t="s">
        <v>3672</v>
      </c>
      <c r="E211" s="20" t="s">
        <v>4212</v>
      </c>
      <c r="F211" s="20"/>
      <c r="G211" s="20"/>
      <c r="H211" s="20"/>
      <c r="I211" s="20"/>
      <c r="J211" s="20" t="s">
        <v>3650</v>
      </c>
    </row>
    <row r="212" ht="71.25" customHeight="1">
      <c r="A212" s="19" t="s">
        <v>156</v>
      </c>
      <c r="B212" s="20" t="s">
        <v>4213</v>
      </c>
      <c r="C212" s="19" t="s">
        <v>188</v>
      </c>
      <c r="D212" s="20" t="s">
        <v>3648</v>
      </c>
      <c r="E212" s="20" t="s">
        <v>4214</v>
      </c>
      <c r="F212" s="20"/>
      <c r="G212" s="20"/>
      <c r="H212" s="20"/>
      <c r="I212" s="20"/>
      <c r="J212" s="20" t="s">
        <v>3650</v>
      </c>
    </row>
  </sheetData>
  <pageMargins left="0.7" right="0.7" top="0.75" bottom="0.75" header="0.3" footer="0.3"/>
  <pageSetup paperSize="9" orientation="portrait" horizontalDpi="300" verticalDpi="300" r:id="rId2"/>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cols>
    <col min="1" max="1" width="4.875" hidden="0" customWidth="1"/>
    <col min="2" max="2" width="36.625" hidden="0" customWidth="1"/>
    <col min="3" max="3" width="27" hidden="0" customWidth="1"/>
    <col min="4" max="4" width="18" hidden="0" customWidth="1"/>
    <col min="5" max="5" width="34.375" hidden="0" customWidth="1"/>
    <col min="6" max="6" width="12.375" hidden="0" customWidth="1"/>
    <col min="7" max="7" width="29.75" hidden="0" customWidth="1"/>
    <col min="8" max="8" width="9" hidden="0" customWidth="1"/>
  </cols>
  <sheetData>
    <row r="1" ht="57" customHeight="1">
      <c r="A1" s="43" t="s">
        <v>1</v>
      </c>
      <c r="B1" s="44" t="s">
        <v>4</v>
      </c>
      <c r="C1" s="44" t="s">
        <v>7</v>
      </c>
      <c r="D1" s="44" t="s">
        <v>4215</v>
      </c>
      <c r="E1" s="44" t="s">
        <v>8</v>
      </c>
      <c r="F1" s="44" t="s">
        <v>4216</v>
      </c>
      <c r="G1" s="44" t="s">
        <v>4217</v>
      </c>
      <c r="H1" s="45" t="s">
        <v>4218</v>
      </c>
    </row>
    <row r="2">
      <c r="A2" s="41" t="s">
        <v>4219</v>
      </c>
      <c r="B2" s="21" t="s">
        <v>55</v>
      </c>
      <c r="C2" s="21" t="s">
        <v>58</v>
      </c>
      <c r="D2" s="21" t="s">
        <v>59</v>
      </c>
      <c r="E2" s="22" t="s">
        <v>4220</v>
      </c>
      <c r="F2" s="23" t="s">
        <v>4221</v>
      </c>
      <c r="G2" s="23"/>
      <c r="H2" s="42" t="s">
        <v>4222</v>
      </c>
    </row>
    <row r="3">
      <c r="A3" s="41" t="s">
        <v>4219</v>
      </c>
      <c r="B3" s="21" t="s">
        <v>169</v>
      </c>
      <c r="C3" s="21" t="s">
        <v>171</v>
      </c>
      <c r="D3" s="21" t="s">
        <v>172</v>
      </c>
      <c r="E3" s="22" t="s">
        <v>4223</v>
      </c>
      <c r="F3" s="23" t="s">
        <v>4224</v>
      </c>
      <c r="G3" s="23"/>
      <c r="H3" s="42" t="s">
        <v>4225</v>
      </c>
    </row>
    <row r="4">
      <c r="A4" s="41" t="s">
        <v>4219</v>
      </c>
      <c r="B4" s="21" t="s">
        <v>278</v>
      </c>
      <c r="C4" s="21" t="s">
        <v>280</v>
      </c>
      <c r="D4" s="21" t="s">
        <v>281</v>
      </c>
      <c r="E4" s="22" t="s">
        <v>4226</v>
      </c>
      <c r="F4" s="23" t="s">
        <v>4227</v>
      </c>
      <c r="G4" s="23"/>
      <c r="H4" s="42" t="s">
        <v>4222</v>
      </c>
    </row>
    <row r="5">
      <c r="A5" s="41" t="s">
        <v>4219</v>
      </c>
      <c r="B5" s="21" t="s">
        <v>316</v>
      </c>
      <c r="C5" s="21" t="s">
        <v>318</v>
      </c>
      <c r="D5" s="21" t="s">
        <v>319</v>
      </c>
      <c r="E5" s="22" t="s">
        <v>4228</v>
      </c>
      <c r="F5" s="23" t="s">
        <v>4229</v>
      </c>
      <c r="G5" s="23"/>
      <c r="H5" s="42" t="s">
        <v>4222</v>
      </c>
    </row>
    <row r="6">
      <c r="A6" s="41" t="s">
        <v>4219</v>
      </c>
      <c r="B6" s="21" t="s">
        <v>497</v>
      </c>
      <c r="C6" s="21" t="s">
        <v>499</v>
      </c>
      <c r="D6" s="21" t="s">
        <v>500</v>
      </c>
      <c r="E6" s="22" t="s">
        <v>4230</v>
      </c>
      <c r="F6" s="23" t="s">
        <v>4231</v>
      </c>
      <c r="G6" s="23"/>
      <c r="H6" s="42" t="s">
        <v>4225</v>
      </c>
    </row>
    <row r="7">
      <c r="A7" s="41" t="s">
        <v>4219</v>
      </c>
      <c r="B7" s="21" t="s">
        <v>539</v>
      </c>
      <c r="C7" s="21" t="s">
        <v>541</v>
      </c>
      <c r="D7" s="21" t="s">
        <v>542</v>
      </c>
      <c r="E7" s="22" t="s">
        <v>4232</v>
      </c>
      <c r="F7" s="23" t="s">
        <v>4233</v>
      </c>
      <c r="G7" s="23"/>
      <c r="H7" s="42" t="s">
        <v>4222</v>
      </c>
    </row>
    <row r="8">
      <c r="A8" s="41" t="s">
        <v>4219</v>
      </c>
      <c r="B8" s="21" t="s">
        <v>590</v>
      </c>
      <c r="C8" s="21" t="s">
        <v>592</v>
      </c>
      <c r="D8" s="21" t="s">
        <v>281</v>
      </c>
      <c r="E8" s="22" t="s">
        <v>4226</v>
      </c>
      <c r="F8" s="23" t="s">
        <v>4227</v>
      </c>
      <c r="G8" s="23"/>
      <c r="H8" s="42" t="s">
        <v>4222</v>
      </c>
    </row>
    <row r="9">
      <c r="A9" s="41" t="s">
        <v>4219</v>
      </c>
      <c r="B9" s="21" t="s">
        <v>873</v>
      </c>
      <c r="C9" s="21" t="s">
        <v>875</v>
      </c>
      <c r="D9" s="21" t="s">
        <v>876</v>
      </c>
      <c r="E9" s="22" t="s">
        <v>4234</v>
      </c>
      <c r="F9" s="23" t="s">
        <v>4235</v>
      </c>
      <c r="G9" s="23"/>
      <c r="H9" s="42" t="s">
        <v>4236</v>
      </c>
    </row>
    <row r="10">
      <c r="A10" s="41" t="s">
        <v>4219</v>
      </c>
      <c r="B10" s="21" t="s">
        <v>955</v>
      </c>
      <c r="C10" s="21" t="s">
        <v>957</v>
      </c>
      <c r="D10" s="21" t="s">
        <v>500</v>
      </c>
      <c r="E10" s="22" t="s">
        <v>4230</v>
      </c>
      <c r="F10" s="23" t="s">
        <v>4231</v>
      </c>
      <c r="G10" s="23"/>
      <c r="H10" s="42" t="s">
        <v>4225</v>
      </c>
    </row>
    <row r="11">
      <c r="A11" s="41" t="s">
        <v>4219</v>
      </c>
      <c r="B11" s="21" t="s">
        <v>1139</v>
      </c>
      <c r="C11" s="21" t="s">
        <v>1141</v>
      </c>
      <c r="D11" s="21" t="s">
        <v>319</v>
      </c>
      <c r="E11" s="22" t="s">
        <v>4228</v>
      </c>
      <c r="F11" s="23" t="s">
        <v>4229</v>
      </c>
      <c r="G11" s="23"/>
      <c r="H11" s="42" t="s">
        <v>4222</v>
      </c>
    </row>
    <row r="12">
      <c r="A12" s="41" t="s">
        <v>4219</v>
      </c>
      <c r="B12" s="21" t="s">
        <v>1158</v>
      </c>
      <c r="C12" s="21" t="s">
        <v>1160</v>
      </c>
      <c r="D12" s="21" t="s">
        <v>281</v>
      </c>
      <c r="E12" s="22" t="s">
        <v>4226</v>
      </c>
      <c r="F12" s="23" t="s">
        <v>4227</v>
      </c>
      <c r="G12" s="23"/>
      <c r="H12" s="42" t="s">
        <v>4222</v>
      </c>
    </row>
    <row r="13">
      <c r="A13" s="41" t="s">
        <v>4219</v>
      </c>
      <c r="B13" s="21" t="s">
        <v>1211</v>
      </c>
      <c r="C13" s="21" t="s">
        <v>1213</v>
      </c>
      <c r="D13" s="21" t="s">
        <v>1214</v>
      </c>
      <c r="E13" s="22" t="s">
        <v>4237</v>
      </c>
      <c r="F13" s="23"/>
      <c r="G13" s="23"/>
      <c r="H13" s="42"/>
    </row>
    <row r="14">
      <c r="A14" s="41" t="s">
        <v>4219</v>
      </c>
      <c r="B14" s="21" t="s">
        <v>1278</v>
      </c>
      <c r="C14" s="21" t="s">
        <v>1280</v>
      </c>
      <c r="D14" s="21" t="s">
        <v>1281</v>
      </c>
      <c r="E14" s="22" t="s">
        <v>4238</v>
      </c>
      <c r="F14" s="23"/>
      <c r="G14" s="23" t="s">
        <v>4239</v>
      </c>
      <c r="H14" s="42" t="s">
        <v>4225</v>
      </c>
    </row>
    <row r="15">
      <c r="A15" s="41" t="s">
        <v>4219</v>
      </c>
      <c r="B15" s="21" t="s">
        <v>1402</v>
      </c>
      <c r="C15" s="21" t="s">
        <v>1404</v>
      </c>
      <c r="D15" s="21" t="s">
        <v>281</v>
      </c>
      <c r="E15" s="22" t="s">
        <v>4226</v>
      </c>
      <c r="F15" s="23" t="s">
        <v>4227</v>
      </c>
      <c r="G15" s="23"/>
      <c r="H15" s="42" t="s">
        <v>4222</v>
      </c>
    </row>
    <row r="16">
      <c r="A16" s="41" t="s">
        <v>4219</v>
      </c>
      <c r="B16" s="21" t="s">
        <v>1476</v>
      </c>
      <c r="C16" s="21" t="s">
        <v>1478</v>
      </c>
      <c r="D16" s="21" t="s">
        <v>1479</v>
      </c>
      <c r="E16" s="22" t="s">
        <v>4240</v>
      </c>
      <c r="F16" s="23" t="s">
        <v>4241</v>
      </c>
      <c r="G16" s="23"/>
      <c r="H16" s="42" t="s">
        <v>4236</v>
      </c>
    </row>
    <row r="17">
      <c r="A17" s="41" t="s">
        <v>4219</v>
      </c>
      <c r="B17" s="21" t="s">
        <v>1520</v>
      </c>
      <c r="C17" s="21" t="s">
        <v>1522</v>
      </c>
      <c r="D17" s="21" t="s">
        <v>281</v>
      </c>
      <c r="E17" s="22" t="s">
        <v>4226</v>
      </c>
      <c r="F17" s="23" t="s">
        <v>4227</v>
      </c>
      <c r="G17" s="23"/>
      <c r="H17" s="42" t="s">
        <v>4222</v>
      </c>
    </row>
    <row r="18">
      <c r="A18" s="41" t="s">
        <v>4219</v>
      </c>
      <c r="B18" s="21" t="s">
        <v>1583</v>
      </c>
      <c r="C18" s="21" t="s">
        <v>1585</v>
      </c>
      <c r="D18" s="21" t="s">
        <v>172</v>
      </c>
      <c r="E18" s="22" t="s">
        <v>4223</v>
      </c>
      <c r="F18" s="23" t="s">
        <v>4224</v>
      </c>
      <c r="G18" s="23"/>
      <c r="H18" s="42" t="s">
        <v>4225</v>
      </c>
    </row>
    <row r="19">
      <c r="A19" s="41" t="s">
        <v>4219</v>
      </c>
      <c r="B19" s="21" t="s">
        <v>1625</v>
      </c>
      <c r="C19" s="21" t="s">
        <v>1627</v>
      </c>
      <c r="D19" s="21" t="s">
        <v>1643</v>
      </c>
      <c r="E19" s="22" t="s">
        <v>4242</v>
      </c>
      <c r="F19" s="23" t="s">
        <v>4243</v>
      </c>
      <c r="G19" s="23"/>
      <c r="H19" s="42" t="s">
        <v>4222</v>
      </c>
    </row>
    <row r="20">
      <c r="A20" s="41" t="s">
        <v>4219</v>
      </c>
      <c r="B20" s="21" t="s">
        <v>1663</v>
      </c>
      <c r="C20" s="21" t="s">
        <v>1665</v>
      </c>
      <c r="D20" s="21" t="s">
        <v>1666</v>
      </c>
      <c r="E20" s="22" t="s">
        <v>4244</v>
      </c>
      <c r="F20" s="23" t="s">
        <v>4245</v>
      </c>
      <c r="G20" s="23"/>
      <c r="H20" s="42" t="s">
        <v>4222</v>
      </c>
    </row>
    <row r="21">
      <c r="A21" s="41" t="s">
        <v>4219</v>
      </c>
      <c r="B21" s="21" t="s">
        <v>1744</v>
      </c>
      <c r="C21" s="21" t="s">
        <v>1746</v>
      </c>
      <c r="D21" s="21" t="s">
        <v>1214</v>
      </c>
      <c r="E21" s="22" t="s">
        <v>4237</v>
      </c>
      <c r="F21" s="23"/>
      <c r="G21" s="23"/>
      <c r="H21" s="42"/>
    </row>
    <row r="22">
      <c r="A22" s="41" t="s">
        <v>4219</v>
      </c>
      <c r="B22" s="21" t="s">
        <v>2070</v>
      </c>
      <c r="C22" s="21" t="s">
        <v>2072</v>
      </c>
      <c r="D22" s="21" t="s">
        <v>2073</v>
      </c>
      <c r="E22" s="22" t="s">
        <v>4246</v>
      </c>
      <c r="F22" s="23" t="s">
        <v>4247</v>
      </c>
      <c r="G22" s="23"/>
      <c r="H22" s="42" t="s">
        <v>4222</v>
      </c>
    </row>
    <row r="23">
      <c r="A23" s="41" t="s">
        <v>4219</v>
      </c>
      <c r="B23" s="21" t="s">
        <v>2118</v>
      </c>
      <c r="C23" s="21" t="s">
        <v>2120</v>
      </c>
      <c r="D23" s="21" t="s">
        <v>2121</v>
      </c>
      <c r="E23" s="22" t="s">
        <v>4248</v>
      </c>
      <c r="F23" s="23" t="s">
        <v>4249</v>
      </c>
      <c r="G23" s="23"/>
      <c r="H23" s="42" t="s">
        <v>4225</v>
      </c>
    </row>
    <row r="24">
      <c r="A24" s="41" t="s">
        <v>4219</v>
      </c>
      <c r="B24" s="21" t="s">
        <v>2297</v>
      </c>
      <c r="C24" s="21" t="s">
        <v>2299</v>
      </c>
      <c r="D24" s="21" t="s">
        <v>319</v>
      </c>
      <c r="E24" s="22" t="s">
        <v>4228</v>
      </c>
      <c r="F24" s="23" t="s">
        <v>4229</v>
      </c>
      <c r="G24" s="23"/>
      <c r="H24" s="42" t="s">
        <v>4222</v>
      </c>
    </row>
    <row r="25">
      <c r="A25" s="41" t="s">
        <v>4219</v>
      </c>
      <c r="B25" s="21" t="s">
        <v>2312</v>
      </c>
      <c r="C25" s="21" t="s">
        <v>2314</v>
      </c>
      <c r="D25" s="21" t="s">
        <v>2315</v>
      </c>
      <c r="E25" s="22" t="s">
        <v>4250</v>
      </c>
      <c r="F25" s="23" t="s">
        <v>4251</v>
      </c>
      <c r="G25" s="23"/>
      <c r="H25" s="42" t="s">
        <v>4222</v>
      </c>
    </row>
    <row r="26">
      <c r="A26" s="41" t="s">
        <v>4219</v>
      </c>
      <c r="B26" s="21" t="s">
        <v>2362</v>
      </c>
      <c r="C26" s="21" t="s">
        <v>2364</v>
      </c>
      <c r="D26" s="21" t="s">
        <v>876</v>
      </c>
      <c r="E26" s="22" t="s">
        <v>4234</v>
      </c>
      <c r="F26" s="23" t="s">
        <v>4235</v>
      </c>
      <c r="G26" s="23"/>
      <c r="H26" s="42" t="s">
        <v>4236</v>
      </c>
    </row>
    <row r="27">
      <c r="A27" s="41" t="s">
        <v>4219</v>
      </c>
      <c r="B27" s="21" t="s">
        <v>2446</v>
      </c>
      <c r="C27" s="21" t="s">
        <v>2448</v>
      </c>
      <c r="D27" s="21" t="s">
        <v>500</v>
      </c>
      <c r="E27" s="22" t="s">
        <v>4230</v>
      </c>
      <c r="F27" s="23" t="s">
        <v>4231</v>
      </c>
      <c r="G27" s="23"/>
      <c r="H27" s="42" t="s">
        <v>4225</v>
      </c>
    </row>
    <row r="28">
      <c r="A28" s="41" t="s">
        <v>4219</v>
      </c>
      <c r="B28" s="21" t="s">
        <v>2552</v>
      </c>
      <c r="C28" s="21" t="s">
        <v>2554</v>
      </c>
      <c r="D28" s="21" t="s">
        <v>2555</v>
      </c>
      <c r="E28" s="22" t="s">
        <v>4252</v>
      </c>
      <c r="F28" s="23" t="s">
        <v>4253</v>
      </c>
      <c r="G28" s="23"/>
      <c r="H28" s="42" t="s">
        <v>4222</v>
      </c>
    </row>
    <row r="29">
      <c r="A29" s="41" t="s">
        <v>4219</v>
      </c>
      <c r="B29" s="21" t="s">
        <v>2632</v>
      </c>
      <c r="C29" s="21" t="s">
        <v>2634</v>
      </c>
      <c r="D29" s="21" t="s">
        <v>2635</v>
      </c>
      <c r="E29" s="24" t="s">
        <v>4254</v>
      </c>
      <c r="F29" s="23"/>
      <c r="G29" s="23"/>
      <c r="H29" s="42"/>
    </row>
    <row r="30">
      <c r="A30" s="41" t="s">
        <v>4219</v>
      </c>
      <c r="B30" s="21" t="s">
        <v>2707</v>
      </c>
      <c r="C30" s="21" t="s">
        <v>2709</v>
      </c>
      <c r="D30" s="21" t="s">
        <v>2121</v>
      </c>
      <c r="E30" s="22" t="s">
        <v>4248</v>
      </c>
      <c r="F30" s="23" t="s">
        <v>4249</v>
      </c>
      <c r="G30" s="23"/>
      <c r="H30" s="42" t="s">
        <v>4225</v>
      </c>
    </row>
    <row r="31">
      <c r="A31" s="41" t="s">
        <v>4219</v>
      </c>
      <c r="B31" s="21" t="s">
        <v>2809</v>
      </c>
      <c r="C31" s="21" t="s">
        <v>2811</v>
      </c>
      <c r="D31" s="21" t="s">
        <v>1666</v>
      </c>
      <c r="E31" s="22" t="s">
        <v>4244</v>
      </c>
      <c r="F31" s="23" t="s">
        <v>4245</v>
      </c>
      <c r="G31" s="23"/>
      <c r="H31" s="42" t="s">
        <v>4222</v>
      </c>
    </row>
    <row r="32">
      <c r="A32" s="41" t="s">
        <v>4219</v>
      </c>
      <c r="B32" s="21" t="s">
        <v>2815</v>
      </c>
      <c r="C32" s="21" t="s">
        <v>2817</v>
      </c>
      <c r="D32" s="21" t="s">
        <v>1214</v>
      </c>
      <c r="E32" s="22" t="s">
        <v>4237</v>
      </c>
      <c r="F32" s="23"/>
      <c r="G32" s="23"/>
      <c r="H32" s="42"/>
    </row>
    <row r="33">
      <c r="A33" s="41" t="s">
        <v>4219</v>
      </c>
      <c r="B33" s="21" t="s">
        <v>2885</v>
      </c>
      <c r="C33" s="21" t="s">
        <v>2887</v>
      </c>
      <c r="D33" s="21" t="s">
        <v>2888</v>
      </c>
      <c r="E33" s="24" t="s">
        <v>4255</v>
      </c>
      <c r="F33" s="23"/>
      <c r="G33" s="23"/>
      <c r="H33" s="42"/>
    </row>
    <row r="34" ht="28.5" customHeight="1">
      <c r="A34" s="41" t="s">
        <v>4219</v>
      </c>
      <c r="B34" s="21" t="s">
        <v>2940</v>
      </c>
      <c r="C34" s="21" t="s">
        <v>2942</v>
      </c>
      <c r="D34" s="21" t="s">
        <v>281</v>
      </c>
      <c r="E34" s="22" t="s">
        <v>4226</v>
      </c>
      <c r="F34" s="23" t="s">
        <v>4227</v>
      </c>
      <c r="G34" s="23"/>
      <c r="H34" s="42" t="s">
        <v>4222</v>
      </c>
    </row>
    <row r="35" ht="28.5" customHeight="1">
      <c r="A35" s="41" t="s">
        <v>4219</v>
      </c>
      <c r="B35" s="21" t="s">
        <v>2982</v>
      </c>
      <c r="C35" s="21" t="s">
        <v>2984</v>
      </c>
      <c r="D35" s="21" t="s">
        <v>2985</v>
      </c>
      <c r="E35" s="22" t="s">
        <v>4256</v>
      </c>
      <c r="F35" s="23" t="s">
        <v>4257</v>
      </c>
      <c r="G35" s="23"/>
      <c r="H35" s="42" t="s">
        <v>4236</v>
      </c>
    </row>
    <row r="36">
      <c r="A36" s="41" t="s">
        <v>4219</v>
      </c>
      <c r="B36" s="21" t="s">
        <v>3047</v>
      </c>
      <c r="C36" s="21" t="s">
        <v>3049</v>
      </c>
      <c r="D36" s="21" t="s">
        <v>3050</v>
      </c>
      <c r="E36" s="22" t="s">
        <v>4258</v>
      </c>
      <c r="F36" s="23"/>
      <c r="G36" s="23"/>
      <c r="H36" s="42"/>
    </row>
    <row r="37">
      <c r="A37" s="41" t="s">
        <v>4219</v>
      </c>
      <c r="B37" s="21" t="s">
        <v>3059</v>
      </c>
      <c r="C37" s="21" t="s">
        <v>3061</v>
      </c>
      <c r="D37" s="21" t="s">
        <v>1666</v>
      </c>
      <c r="E37" s="22" t="s">
        <v>4244</v>
      </c>
      <c r="F37" s="23" t="s">
        <v>4245</v>
      </c>
      <c r="G37" s="23"/>
      <c r="H37" s="42" t="s">
        <v>4222</v>
      </c>
    </row>
    <row r="38">
      <c r="A38" s="41" t="s">
        <v>4219</v>
      </c>
      <c r="B38" s="21" t="s">
        <v>3105</v>
      </c>
      <c r="C38" s="21" t="s">
        <v>3107</v>
      </c>
      <c r="D38" s="21" t="s">
        <v>3113</v>
      </c>
      <c r="E38" s="22" t="s">
        <v>4259</v>
      </c>
      <c r="F38" s="23" t="s">
        <v>4260</v>
      </c>
      <c r="G38" s="23"/>
      <c r="H38" s="42" t="s">
        <v>4222</v>
      </c>
    </row>
    <row r="39">
      <c r="A39" s="41" t="s">
        <v>4219</v>
      </c>
      <c r="B39" s="21" t="s">
        <v>3169</v>
      </c>
      <c r="C39" s="21" t="s">
        <v>3171</v>
      </c>
      <c r="D39" s="21" t="s">
        <v>3172</v>
      </c>
      <c r="E39" s="22" t="s">
        <v>4261</v>
      </c>
      <c r="F39" s="23"/>
      <c r="G39" s="23"/>
      <c r="H39" s="42"/>
    </row>
    <row r="40">
      <c r="A40" s="41" t="s">
        <v>4219</v>
      </c>
      <c r="B40" s="21" t="s">
        <v>3331</v>
      </c>
      <c r="C40" s="21" t="s">
        <v>3333</v>
      </c>
      <c r="D40" s="21" t="s">
        <v>3334</v>
      </c>
      <c r="E40" s="24" t="s">
        <v>4262</v>
      </c>
      <c r="F40" s="23" t="s">
        <v>4263</v>
      </c>
      <c r="G40" s="23"/>
      <c r="H40" s="42" t="s">
        <v>4236</v>
      </c>
    </row>
    <row r="41">
      <c r="A41" s="46" t="s">
        <v>4219</v>
      </c>
      <c r="B41" s="47" t="s">
        <v>3497</v>
      </c>
      <c r="C41" s="47" t="s">
        <v>3499</v>
      </c>
      <c r="D41" s="47" t="s">
        <v>1666</v>
      </c>
      <c r="E41" s="48" t="s">
        <v>4244</v>
      </c>
      <c r="F41" s="49" t="s">
        <v>4245</v>
      </c>
      <c r="G41" s="49"/>
      <c r="H41" s="50" t="s">
        <v>4222</v>
      </c>
    </row>
    <row r="42" ht="15" customHeight="1">
      <c r="A42" s="25" t="n">
        <v>2023</v>
      </c>
      <c r="B42" s="26" t="s">
        <v>4264</v>
      </c>
      <c r="C42" s="26" t="s">
        <v>171</v>
      </c>
      <c r="D42" s="26" t="s">
        <v>172</v>
      </c>
      <c r="E42" s="26" t="s">
        <v>4223</v>
      </c>
      <c r="F42" s="27" t="s">
        <v>4224</v>
      </c>
      <c r="G42" s="27"/>
      <c r="H42" s="28" t="s">
        <v>4225</v>
      </c>
    </row>
    <row r="43" ht="15" customHeight="1">
      <c r="A43" s="25" t="n">
        <v>2023</v>
      </c>
      <c r="B43" s="26" t="s">
        <v>4265</v>
      </c>
      <c r="C43" s="26" t="s">
        <v>280</v>
      </c>
      <c r="D43" s="26" t="s">
        <v>1214</v>
      </c>
      <c r="E43" s="26" t="s">
        <v>4237</v>
      </c>
      <c r="F43" s="27"/>
      <c r="G43" s="27"/>
      <c r="H43" s="28"/>
    </row>
    <row r="44" ht="15" customHeight="1">
      <c r="A44" s="25" t="n">
        <v>2023</v>
      </c>
      <c r="B44" s="26" t="s">
        <v>4266</v>
      </c>
      <c r="C44" s="26" t="s">
        <v>318</v>
      </c>
      <c r="D44" s="26" t="s">
        <v>319</v>
      </c>
      <c r="E44" s="26" t="s">
        <v>4228</v>
      </c>
      <c r="F44" s="27" t="s">
        <v>4229</v>
      </c>
      <c r="G44" s="27"/>
      <c r="H44" s="28" t="s">
        <v>4222</v>
      </c>
    </row>
    <row r="45" ht="15" customHeight="1">
      <c r="A45" s="25" t="n">
        <v>2023</v>
      </c>
      <c r="B45" s="26" t="s">
        <v>4267</v>
      </c>
      <c r="C45" s="26" t="s">
        <v>499</v>
      </c>
      <c r="D45" s="26" t="s">
        <v>500</v>
      </c>
      <c r="E45" s="26" t="s">
        <v>4230</v>
      </c>
      <c r="F45" s="27" t="s">
        <v>4231</v>
      </c>
      <c r="G45" s="27"/>
      <c r="H45" s="28" t="s">
        <v>4225</v>
      </c>
    </row>
    <row r="46" ht="15" customHeight="1">
      <c r="A46" s="25" t="n">
        <v>2023</v>
      </c>
      <c r="B46" s="26" t="s">
        <v>4268</v>
      </c>
      <c r="C46" s="26" t="s">
        <v>541</v>
      </c>
      <c r="D46" s="26" t="s">
        <v>542</v>
      </c>
      <c r="E46" s="26" t="s">
        <v>4232</v>
      </c>
      <c r="F46" s="27" t="s">
        <v>4233</v>
      </c>
      <c r="G46" s="27"/>
      <c r="H46" s="28" t="s">
        <v>4222</v>
      </c>
    </row>
    <row r="47" ht="15" customHeight="1">
      <c r="A47" s="25" t="n">
        <v>2023</v>
      </c>
      <c r="B47" s="26" t="s">
        <v>4269</v>
      </c>
      <c r="C47" s="26" t="s">
        <v>4270</v>
      </c>
      <c r="D47" s="26" t="s">
        <v>3050</v>
      </c>
      <c r="E47" s="26" t="s">
        <v>4258</v>
      </c>
      <c r="F47" s="27"/>
      <c r="G47" s="27"/>
      <c r="H47" s="28"/>
    </row>
    <row r="48" ht="15" customHeight="1">
      <c r="A48" s="25" t="n">
        <v>2023</v>
      </c>
      <c r="B48" s="26" t="s">
        <v>4271</v>
      </c>
      <c r="C48" s="26" t="s">
        <v>592</v>
      </c>
      <c r="D48" s="26" t="s">
        <v>281</v>
      </c>
      <c r="E48" s="26" t="s">
        <v>4226</v>
      </c>
      <c r="F48" s="27" t="s">
        <v>4227</v>
      </c>
      <c r="G48" s="27"/>
      <c r="H48" s="28" t="s">
        <v>4222</v>
      </c>
    </row>
    <row r="49" ht="15" customHeight="1">
      <c r="A49" s="25" t="n">
        <v>2023</v>
      </c>
      <c r="B49" s="26" t="s">
        <v>4272</v>
      </c>
      <c r="C49" s="26" t="s">
        <v>4273</v>
      </c>
      <c r="D49" s="26" t="s">
        <v>4274</v>
      </c>
      <c r="E49" s="26" t="s">
        <v>4275</v>
      </c>
      <c r="F49" s="27" t="s">
        <v>4276</v>
      </c>
      <c r="G49" s="27"/>
      <c r="H49" s="28" t="s">
        <v>4236</v>
      </c>
    </row>
    <row r="50" ht="15" customHeight="1">
      <c r="A50" s="25" t="n">
        <v>2023</v>
      </c>
      <c r="B50" s="26" t="s">
        <v>4277</v>
      </c>
      <c r="C50" s="26" t="s">
        <v>875</v>
      </c>
      <c r="D50" s="26" t="s">
        <v>2315</v>
      </c>
      <c r="E50" s="26" t="s">
        <v>4250</v>
      </c>
      <c r="F50" s="27" t="s">
        <v>4251</v>
      </c>
      <c r="G50" s="27"/>
      <c r="H50" s="28" t="s">
        <v>4222</v>
      </c>
    </row>
    <row r="51" ht="15" customHeight="1">
      <c r="A51" s="25" t="n">
        <v>2023</v>
      </c>
      <c r="B51" s="26" t="s">
        <v>4278</v>
      </c>
      <c r="C51" s="26" t="s">
        <v>957</v>
      </c>
      <c r="D51" s="26" t="s">
        <v>500</v>
      </c>
      <c r="E51" s="26" t="s">
        <v>4230</v>
      </c>
      <c r="F51" s="27" t="s">
        <v>4231</v>
      </c>
      <c r="G51" s="27"/>
      <c r="H51" s="28" t="s">
        <v>4225</v>
      </c>
    </row>
    <row r="52" ht="15" customHeight="1">
      <c r="A52" s="25" t="n">
        <v>2023</v>
      </c>
      <c r="B52" s="26" t="s">
        <v>4279</v>
      </c>
      <c r="C52" s="26" t="s">
        <v>1141</v>
      </c>
      <c r="D52" s="26" t="s">
        <v>319</v>
      </c>
      <c r="E52" s="26" t="s">
        <v>4228</v>
      </c>
      <c r="F52" s="27" t="s">
        <v>4229</v>
      </c>
      <c r="G52" s="27"/>
      <c r="H52" s="28" t="s">
        <v>4222</v>
      </c>
    </row>
    <row r="53" ht="15" customHeight="1">
      <c r="A53" s="25" t="n">
        <v>2023</v>
      </c>
      <c r="B53" s="26" t="s">
        <v>4280</v>
      </c>
      <c r="C53" s="26" t="s">
        <v>1160</v>
      </c>
      <c r="D53" s="26" t="s">
        <v>281</v>
      </c>
      <c r="E53" s="26" t="s">
        <v>4226</v>
      </c>
      <c r="F53" s="27" t="s">
        <v>4227</v>
      </c>
      <c r="G53" s="27"/>
      <c r="H53" s="28" t="s">
        <v>4222</v>
      </c>
    </row>
    <row r="54" ht="15" customHeight="1">
      <c r="A54" s="25" t="n">
        <v>2023</v>
      </c>
      <c r="B54" s="26" t="s">
        <v>4281</v>
      </c>
      <c r="C54" s="26" t="s">
        <v>1213</v>
      </c>
      <c r="D54" s="26" t="s">
        <v>1666</v>
      </c>
      <c r="E54" s="26" t="s">
        <v>4244</v>
      </c>
      <c r="F54" s="27" t="s">
        <v>4245</v>
      </c>
      <c r="G54" s="27"/>
      <c r="H54" s="28" t="s">
        <v>4222</v>
      </c>
    </row>
    <row r="55" ht="15" customHeight="1">
      <c r="A55" s="25" t="n">
        <v>2023</v>
      </c>
      <c r="B55" s="26" t="s">
        <v>4282</v>
      </c>
      <c r="C55" s="26" t="s">
        <v>4283</v>
      </c>
      <c r="D55" s="26" t="s">
        <v>4284</v>
      </c>
      <c r="E55" s="26" t="s">
        <v>4284</v>
      </c>
      <c r="F55" s="27"/>
      <c r="G55" s="27"/>
      <c r="H55" s="28"/>
    </row>
    <row r="56" ht="15" customHeight="1">
      <c r="A56" s="25" t="n">
        <v>2023</v>
      </c>
      <c r="B56" s="26" t="s">
        <v>4285</v>
      </c>
      <c r="C56" s="26" t="s">
        <v>1280</v>
      </c>
      <c r="D56" s="26" t="s">
        <v>1281</v>
      </c>
      <c r="E56" s="26" t="s">
        <v>4238</v>
      </c>
      <c r="F56" s="27"/>
      <c r="G56" s="27" t="s">
        <v>4239</v>
      </c>
      <c r="H56" s="28" t="s">
        <v>4225</v>
      </c>
    </row>
    <row r="57" ht="15" customHeight="1">
      <c r="A57" s="25" t="n">
        <v>2023</v>
      </c>
      <c r="B57" s="26" t="s">
        <v>4286</v>
      </c>
      <c r="C57" s="26" t="s">
        <v>1404</v>
      </c>
      <c r="D57" s="26" t="s">
        <v>281</v>
      </c>
      <c r="E57" s="26" t="s">
        <v>4226</v>
      </c>
      <c r="F57" s="27" t="s">
        <v>4227</v>
      </c>
      <c r="G57" s="27"/>
      <c r="H57" s="28" t="s">
        <v>4222</v>
      </c>
    </row>
    <row r="58" ht="15" customHeight="1">
      <c r="A58" s="25" t="n">
        <v>2023</v>
      </c>
      <c r="B58" s="26" t="s">
        <v>4287</v>
      </c>
      <c r="C58" s="26" t="s">
        <v>1478</v>
      </c>
      <c r="D58" s="26" t="s">
        <v>1479</v>
      </c>
      <c r="E58" s="26" t="s">
        <v>4240</v>
      </c>
      <c r="F58" s="27" t="s">
        <v>4241</v>
      </c>
      <c r="G58" s="27"/>
      <c r="H58" s="28" t="s">
        <v>4236</v>
      </c>
    </row>
    <row r="59" ht="15" customHeight="1">
      <c r="A59" s="25" t="n">
        <v>2023</v>
      </c>
      <c r="B59" s="26" t="s">
        <v>4288</v>
      </c>
      <c r="C59" s="26" t="s">
        <v>1522</v>
      </c>
      <c r="D59" s="26" t="s">
        <v>3172</v>
      </c>
      <c r="E59" s="26" t="s">
        <v>4261</v>
      </c>
      <c r="F59" s="27"/>
      <c r="G59" s="27"/>
      <c r="H59" s="28"/>
    </row>
    <row r="60" ht="15" customHeight="1">
      <c r="A60" s="25" t="n">
        <v>2023</v>
      </c>
      <c r="B60" s="26" t="s">
        <v>4289</v>
      </c>
      <c r="C60" s="26" t="s">
        <v>1585</v>
      </c>
      <c r="D60" s="26" t="s">
        <v>172</v>
      </c>
      <c r="E60" s="26" t="s">
        <v>4223</v>
      </c>
      <c r="F60" s="27" t="s">
        <v>4224</v>
      </c>
      <c r="G60" s="27"/>
      <c r="H60" s="28" t="s">
        <v>4225</v>
      </c>
    </row>
    <row r="61" ht="15" customHeight="1">
      <c r="A61" s="25" t="n">
        <v>2023</v>
      </c>
      <c r="B61" s="26" t="s">
        <v>4290</v>
      </c>
      <c r="C61" s="26" t="s">
        <v>4291</v>
      </c>
      <c r="D61" s="26" t="s">
        <v>4292</v>
      </c>
      <c r="E61" s="26" t="s">
        <v>4293</v>
      </c>
      <c r="F61" s="27" t="s">
        <v>4294</v>
      </c>
      <c r="G61" s="27"/>
      <c r="H61" s="28" t="s">
        <v>4222</v>
      </c>
    </row>
    <row r="62" ht="15" customHeight="1">
      <c r="A62" s="25" t="n">
        <v>2023</v>
      </c>
      <c r="B62" s="26" t="s">
        <v>4295</v>
      </c>
      <c r="C62" s="26" t="s">
        <v>1627</v>
      </c>
      <c r="D62" s="26" t="s">
        <v>1643</v>
      </c>
      <c r="E62" s="26" t="s">
        <v>4242</v>
      </c>
      <c r="F62" s="27" t="s">
        <v>4243</v>
      </c>
      <c r="G62" s="27"/>
      <c r="H62" s="28" t="s">
        <v>4222</v>
      </c>
    </row>
    <row r="63" ht="15" customHeight="1">
      <c r="A63" s="25" t="n">
        <v>2023</v>
      </c>
      <c r="B63" s="26" t="s">
        <v>4296</v>
      </c>
      <c r="C63" s="26" t="s">
        <v>1665</v>
      </c>
      <c r="D63" s="26" t="s">
        <v>1666</v>
      </c>
      <c r="E63" s="26" t="s">
        <v>4244</v>
      </c>
      <c r="F63" s="27" t="s">
        <v>4245</v>
      </c>
      <c r="G63" s="27"/>
      <c r="H63" s="28" t="s">
        <v>4222</v>
      </c>
    </row>
    <row r="64" ht="15" customHeight="1">
      <c r="A64" s="25" t="n">
        <v>2023</v>
      </c>
      <c r="B64" s="26" t="s">
        <v>4297</v>
      </c>
      <c r="C64" s="26" t="s">
        <v>1746</v>
      </c>
      <c r="D64" s="26" t="s">
        <v>1214</v>
      </c>
      <c r="E64" s="26" t="s">
        <v>4237</v>
      </c>
      <c r="F64" s="27"/>
      <c r="G64" s="27"/>
      <c r="H64" s="28"/>
    </row>
    <row r="65" ht="15" customHeight="1">
      <c r="A65" s="25" t="n">
        <v>2023</v>
      </c>
      <c r="B65" s="26" t="s">
        <v>4298</v>
      </c>
      <c r="C65" s="26" t="s">
        <v>2072</v>
      </c>
      <c r="D65" s="26" t="s">
        <v>4292</v>
      </c>
      <c r="E65" s="26" t="s">
        <v>4293</v>
      </c>
      <c r="F65" s="27" t="s">
        <v>4294</v>
      </c>
      <c r="G65" s="27"/>
      <c r="H65" s="28" t="s">
        <v>4222</v>
      </c>
    </row>
    <row r="66" ht="15" customHeight="1">
      <c r="A66" s="25" t="n">
        <v>2023</v>
      </c>
      <c r="B66" s="26" t="s">
        <v>4299</v>
      </c>
      <c r="C66" s="26" t="s">
        <v>2120</v>
      </c>
      <c r="D66" s="26" t="s">
        <v>2121</v>
      </c>
      <c r="E66" s="26" t="s">
        <v>4248</v>
      </c>
      <c r="F66" s="27" t="s">
        <v>4249</v>
      </c>
      <c r="G66" s="27"/>
      <c r="H66" s="28" t="s">
        <v>4225</v>
      </c>
    </row>
    <row r="67" ht="15" customHeight="1">
      <c r="A67" s="25" t="n">
        <v>2023</v>
      </c>
      <c r="B67" s="26" t="s">
        <v>4300</v>
      </c>
      <c r="C67" s="26" t="s">
        <v>2299</v>
      </c>
      <c r="D67" s="26" t="s">
        <v>319</v>
      </c>
      <c r="E67" s="26" t="s">
        <v>4228</v>
      </c>
      <c r="F67" s="27" t="s">
        <v>4229</v>
      </c>
      <c r="G67" s="27"/>
      <c r="H67" s="28" t="s">
        <v>4222</v>
      </c>
    </row>
    <row r="68" ht="15" customHeight="1">
      <c r="A68" s="25" t="n">
        <v>2023</v>
      </c>
      <c r="B68" s="26" t="s">
        <v>4301</v>
      </c>
      <c r="C68" s="26" t="s">
        <v>2314</v>
      </c>
      <c r="D68" s="26" t="s">
        <v>1666</v>
      </c>
      <c r="E68" s="26" t="s">
        <v>4244</v>
      </c>
      <c r="F68" s="27" t="s">
        <v>4245</v>
      </c>
      <c r="G68" s="27"/>
      <c r="H68" s="28" t="s">
        <v>4222</v>
      </c>
    </row>
    <row r="69" ht="15" customHeight="1">
      <c r="A69" s="25" t="n">
        <v>2023</v>
      </c>
      <c r="B69" s="26" t="s">
        <v>4302</v>
      </c>
      <c r="C69" s="26" t="s">
        <v>2364</v>
      </c>
      <c r="D69" s="26" t="s">
        <v>876</v>
      </c>
      <c r="E69" s="26" t="s">
        <v>4234</v>
      </c>
      <c r="F69" s="27" t="s">
        <v>4235</v>
      </c>
      <c r="G69" s="27"/>
      <c r="H69" s="28" t="s">
        <v>4236</v>
      </c>
    </row>
    <row r="70" ht="15" customHeight="1">
      <c r="A70" s="25" t="n">
        <v>2023</v>
      </c>
      <c r="B70" s="26" t="s">
        <v>4303</v>
      </c>
      <c r="C70" s="26" t="s">
        <v>2448</v>
      </c>
      <c r="D70" s="26" t="s">
        <v>500</v>
      </c>
      <c r="E70" s="26" t="s">
        <v>4230</v>
      </c>
      <c r="F70" s="27" t="s">
        <v>4231</v>
      </c>
      <c r="G70" s="27"/>
      <c r="H70" s="28" t="s">
        <v>4225</v>
      </c>
    </row>
    <row r="71" ht="15" customHeight="1">
      <c r="A71" s="25" t="n">
        <v>2023</v>
      </c>
      <c r="B71" s="26" t="s">
        <v>4304</v>
      </c>
      <c r="C71" s="26" t="s">
        <v>2554</v>
      </c>
      <c r="D71" s="26" t="s">
        <v>2555</v>
      </c>
      <c r="E71" s="26" t="s">
        <v>4252</v>
      </c>
      <c r="F71" s="27" t="s">
        <v>4253</v>
      </c>
      <c r="G71" s="27"/>
      <c r="H71" s="28" t="s">
        <v>4222</v>
      </c>
    </row>
    <row r="72" ht="15" customHeight="1">
      <c r="A72" s="25" t="n">
        <v>2023</v>
      </c>
      <c r="B72" s="26" t="s">
        <v>4305</v>
      </c>
      <c r="C72" s="26" t="s">
        <v>2634</v>
      </c>
      <c r="D72" s="26" t="s">
        <v>3113</v>
      </c>
      <c r="E72" s="26" t="s">
        <v>4259</v>
      </c>
      <c r="F72" s="27" t="s">
        <v>4260</v>
      </c>
      <c r="G72" s="27"/>
      <c r="H72" s="28" t="s">
        <v>4222</v>
      </c>
    </row>
    <row r="73" ht="15" customHeight="1">
      <c r="A73" s="25" t="n">
        <v>2023</v>
      </c>
      <c r="B73" s="26" t="s">
        <v>4306</v>
      </c>
      <c r="C73" s="26" t="s">
        <v>2709</v>
      </c>
      <c r="D73" s="26" t="s">
        <v>2121</v>
      </c>
      <c r="E73" s="26" t="s">
        <v>4248</v>
      </c>
      <c r="F73" s="27" t="s">
        <v>4249</v>
      </c>
      <c r="G73" s="27"/>
      <c r="H73" s="28" t="s">
        <v>4225</v>
      </c>
    </row>
    <row r="74" ht="15" customHeight="1">
      <c r="A74" s="25" t="n">
        <v>2023</v>
      </c>
      <c r="B74" s="26" t="s">
        <v>4307</v>
      </c>
      <c r="C74" s="26" t="s">
        <v>2817</v>
      </c>
      <c r="D74" s="26" t="s">
        <v>1214</v>
      </c>
      <c r="E74" s="26" t="s">
        <v>4237</v>
      </c>
      <c r="F74" s="27"/>
      <c r="G74" s="27"/>
      <c r="H74" s="28"/>
    </row>
    <row r="75" ht="15" customHeight="1">
      <c r="A75" s="25" t="n">
        <v>2023</v>
      </c>
      <c r="B75" s="26" t="s">
        <v>4308</v>
      </c>
      <c r="C75" s="26" t="s">
        <v>2887</v>
      </c>
      <c r="D75" s="26" t="s">
        <v>4309</v>
      </c>
      <c r="E75" s="26" t="s">
        <v>4310</v>
      </c>
      <c r="F75" s="27"/>
      <c r="G75" s="27"/>
      <c r="H75" s="28"/>
    </row>
    <row r="76" ht="15" customHeight="1">
      <c r="A76" s="25" t="n">
        <v>2023</v>
      </c>
      <c r="B76" s="26" t="s">
        <v>4311</v>
      </c>
      <c r="C76" s="26" t="s">
        <v>2811</v>
      </c>
      <c r="D76" s="26" t="s">
        <v>1666</v>
      </c>
      <c r="E76" s="26" t="s">
        <v>4244</v>
      </c>
      <c r="F76" s="27" t="s">
        <v>4245</v>
      </c>
      <c r="G76" s="27"/>
      <c r="H76" s="28" t="s">
        <v>4222</v>
      </c>
    </row>
    <row r="77" ht="15" customHeight="1">
      <c r="A77" s="25" t="n">
        <v>2023</v>
      </c>
      <c r="B77" s="26" t="s">
        <v>4312</v>
      </c>
      <c r="C77" s="26" t="s">
        <v>2942</v>
      </c>
      <c r="D77" s="26" t="s">
        <v>281</v>
      </c>
      <c r="E77" s="26" t="s">
        <v>4226</v>
      </c>
      <c r="F77" s="27" t="s">
        <v>4227</v>
      </c>
      <c r="G77" s="27"/>
      <c r="H77" s="28" t="s">
        <v>4222</v>
      </c>
    </row>
    <row r="78" ht="15" customHeight="1">
      <c r="A78" s="25" t="n">
        <v>2023</v>
      </c>
      <c r="B78" s="26" t="s">
        <v>4313</v>
      </c>
      <c r="C78" s="26" t="s">
        <v>2984</v>
      </c>
      <c r="D78" s="26" t="s">
        <v>2985</v>
      </c>
      <c r="E78" s="26" t="s">
        <v>4256</v>
      </c>
      <c r="F78" s="27" t="s">
        <v>4257</v>
      </c>
      <c r="G78" s="27"/>
      <c r="H78" s="28" t="s">
        <v>4236</v>
      </c>
    </row>
    <row r="79" ht="15" customHeight="1">
      <c r="A79" s="25" t="n">
        <v>2023</v>
      </c>
      <c r="B79" s="26" t="s">
        <v>4314</v>
      </c>
      <c r="C79" s="26" t="s">
        <v>3061</v>
      </c>
      <c r="D79" s="26" t="s">
        <v>1666</v>
      </c>
      <c r="E79" s="26" t="s">
        <v>4244</v>
      </c>
      <c r="F79" s="27" t="s">
        <v>4245</v>
      </c>
      <c r="G79" s="27"/>
      <c r="H79" s="28" t="s">
        <v>4222</v>
      </c>
    </row>
    <row r="80" ht="15" customHeight="1">
      <c r="A80" s="25" t="n">
        <v>2023</v>
      </c>
      <c r="B80" s="26" t="s">
        <v>4315</v>
      </c>
      <c r="C80" s="26" t="s">
        <v>4316</v>
      </c>
      <c r="D80" s="26" t="s">
        <v>3113</v>
      </c>
      <c r="E80" s="26" t="s">
        <v>4259</v>
      </c>
      <c r="F80" s="27" t="s">
        <v>4260</v>
      </c>
      <c r="G80" s="27"/>
      <c r="H80" s="28" t="s">
        <v>4222</v>
      </c>
    </row>
    <row r="81" ht="15" customHeight="1">
      <c r="A81" s="25" t="n">
        <v>2023</v>
      </c>
      <c r="B81" s="26" t="s">
        <v>4317</v>
      </c>
      <c r="C81" s="26" t="s">
        <v>3107</v>
      </c>
      <c r="D81" s="26" t="s">
        <v>3113</v>
      </c>
      <c r="E81" s="26" t="s">
        <v>4259</v>
      </c>
      <c r="F81" s="27" t="s">
        <v>4260</v>
      </c>
      <c r="G81" s="27"/>
      <c r="H81" s="28" t="s">
        <v>4222</v>
      </c>
    </row>
    <row r="82" ht="15" customHeight="1">
      <c r="A82" s="25" t="n">
        <v>2023</v>
      </c>
      <c r="B82" s="26" t="s">
        <v>4318</v>
      </c>
      <c r="C82" s="26" t="s">
        <v>3171</v>
      </c>
      <c r="D82" s="26" t="s">
        <v>3172</v>
      </c>
      <c r="E82" s="26" t="s">
        <v>4261</v>
      </c>
      <c r="F82" s="27"/>
      <c r="G82" s="27"/>
      <c r="H82" s="28"/>
    </row>
    <row r="83" ht="15" customHeight="1">
      <c r="A83" s="25" t="n">
        <v>2023</v>
      </c>
      <c r="B83" s="26" t="s">
        <v>4319</v>
      </c>
      <c r="C83" s="26" t="s">
        <v>3333</v>
      </c>
      <c r="D83" s="26" t="s">
        <v>1666</v>
      </c>
      <c r="E83" s="26" t="s">
        <v>4244</v>
      </c>
      <c r="F83" s="27" t="s">
        <v>4245</v>
      </c>
      <c r="G83" s="27"/>
      <c r="H83" s="28" t="s">
        <v>4222</v>
      </c>
    </row>
    <row r="84" ht="15" customHeight="1">
      <c r="A84" s="25" t="n">
        <v>2023</v>
      </c>
      <c r="B84" s="26" t="s">
        <v>4320</v>
      </c>
      <c r="C84" s="26" t="s">
        <v>3499</v>
      </c>
      <c r="D84" s="26" t="s">
        <v>1666</v>
      </c>
      <c r="E84" s="26" t="s">
        <v>4244</v>
      </c>
      <c r="F84" s="27" t="s">
        <v>4245</v>
      </c>
      <c r="G84" s="27"/>
      <c r="H84" s="28" t="s">
        <v>4222</v>
      </c>
    </row>
    <row r="85" ht="15" customHeight="1">
      <c r="A85" s="25" t="n">
        <v>2023</v>
      </c>
      <c r="B85" s="26" t="s">
        <v>4321</v>
      </c>
      <c r="C85" s="26" t="s">
        <v>58</v>
      </c>
      <c r="D85" s="26" t="s">
        <v>4292</v>
      </c>
      <c r="E85" s="26" t="s">
        <v>4293</v>
      </c>
      <c r="F85" s="27" t="s">
        <v>4294</v>
      </c>
      <c r="G85" s="27"/>
      <c r="H85" s="28" t="s">
        <v>4222</v>
      </c>
    </row>
    <row r="86" ht="15" customHeight="1">
      <c r="A86" s="29" t="n">
        <v>2024</v>
      </c>
      <c r="B86" s="30" t="s">
        <v>4322</v>
      </c>
      <c r="C86" s="30" t="s">
        <v>318</v>
      </c>
      <c r="D86" s="30" t="s">
        <v>319</v>
      </c>
      <c r="E86" s="30" t="s">
        <v>4228</v>
      </c>
      <c r="F86" s="31" t="s">
        <v>4229</v>
      </c>
      <c r="G86" s="31"/>
      <c r="H86" s="32" t="s">
        <v>4222</v>
      </c>
    </row>
    <row r="87" ht="15" customHeight="1">
      <c r="A87" s="29" t="n">
        <v>2024</v>
      </c>
      <c r="B87" s="30" t="s">
        <v>4323</v>
      </c>
      <c r="C87" s="30" t="s">
        <v>499</v>
      </c>
      <c r="D87" s="30" t="s">
        <v>500</v>
      </c>
      <c r="E87" s="30" t="s">
        <v>4230</v>
      </c>
      <c r="F87" s="31" t="s">
        <v>4231</v>
      </c>
      <c r="G87" s="31"/>
      <c r="H87" s="32" t="s">
        <v>4225</v>
      </c>
    </row>
    <row r="88" ht="15" customHeight="1">
      <c r="A88" s="29" t="n">
        <v>2024</v>
      </c>
      <c r="B88" s="30" t="s">
        <v>4324</v>
      </c>
      <c r="C88" s="30" t="s">
        <v>4325</v>
      </c>
      <c r="D88" s="30" t="s">
        <v>2121</v>
      </c>
      <c r="E88" s="30" t="s">
        <v>4248</v>
      </c>
      <c r="F88" s="31" t="s">
        <v>4249</v>
      </c>
      <c r="G88" s="31"/>
      <c r="H88" s="32" t="s">
        <v>4225</v>
      </c>
    </row>
    <row r="89" ht="15" customHeight="1">
      <c r="A89" s="29" t="n">
        <v>2024</v>
      </c>
      <c r="B89" s="30" t="s">
        <v>4326</v>
      </c>
      <c r="C89" s="30" t="s">
        <v>4327</v>
      </c>
      <c r="D89" s="30" t="s">
        <v>172</v>
      </c>
      <c r="E89" s="30" t="s">
        <v>4223</v>
      </c>
      <c r="F89" s="31" t="s">
        <v>4224</v>
      </c>
      <c r="G89" s="31"/>
      <c r="H89" s="32" t="s">
        <v>4225</v>
      </c>
    </row>
    <row r="90" ht="15" customHeight="1">
      <c r="A90" s="29" t="n">
        <v>2024</v>
      </c>
      <c r="B90" s="30" t="s">
        <v>4328</v>
      </c>
      <c r="C90" s="30" t="s">
        <v>541</v>
      </c>
      <c r="D90" s="30" t="s">
        <v>542</v>
      </c>
      <c r="E90" s="30" t="s">
        <v>4232</v>
      </c>
      <c r="F90" s="31" t="s">
        <v>4233</v>
      </c>
      <c r="G90" s="31"/>
      <c r="H90" s="32" t="s">
        <v>4222</v>
      </c>
    </row>
    <row r="91" ht="15" customHeight="1">
      <c r="A91" s="29" t="n">
        <v>2024</v>
      </c>
      <c r="B91" s="30" t="s">
        <v>4329</v>
      </c>
      <c r="C91" s="30" t="s">
        <v>4270</v>
      </c>
      <c r="D91" s="30" t="s">
        <v>3050</v>
      </c>
      <c r="E91" s="30" t="s">
        <v>4258</v>
      </c>
      <c r="F91" s="31"/>
      <c r="G91" s="31"/>
      <c r="H91" s="32"/>
    </row>
    <row r="92" ht="15" customHeight="1">
      <c r="A92" s="29" t="n">
        <v>2024</v>
      </c>
      <c r="B92" s="30" t="s">
        <v>4330</v>
      </c>
      <c r="C92" s="30" t="s">
        <v>592</v>
      </c>
      <c r="D92" s="30" t="s">
        <v>281</v>
      </c>
      <c r="E92" s="30" t="s">
        <v>4226</v>
      </c>
      <c r="F92" s="31" t="s">
        <v>4227</v>
      </c>
      <c r="G92" s="31"/>
      <c r="H92" s="32" t="s">
        <v>4222</v>
      </c>
    </row>
    <row r="93" ht="15" customHeight="1">
      <c r="A93" s="29" t="n">
        <v>2024</v>
      </c>
      <c r="B93" s="30" t="s">
        <v>4331</v>
      </c>
      <c r="C93" s="30" t="s">
        <v>4273</v>
      </c>
      <c r="D93" s="30" t="s">
        <v>4274</v>
      </c>
      <c r="E93" s="30" t="s">
        <v>4275</v>
      </c>
      <c r="F93" s="31" t="s">
        <v>4276</v>
      </c>
      <c r="G93" s="31"/>
      <c r="H93" s="32" t="s">
        <v>4236</v>
      </c>
    </row>
    <row r="94" ht="15" customHeight="1">
      <c r="A94" s="29" t="n">
        <v>2024</v>
      </c>
      <c r="B94" s="30" t="s">
        <v>4332</v>
      </c>
      <c r="C94" s="30" t="s">
        <v>875</v>
      </c>
      <c r="D94" s="30" t="s">
        <v>4333</v>
      </c>
      <c r="E94" s="30" t="s">
        <v>4334</v>
      </c>
      <c r="F94" s="31"/>
      <c r="G94" s="31" t="s">
        <v>4335</v>
      </c>
      <c r="H94" s="32" t="s">
        <v>4236</v>
      </c>
    </row>
    <row r="95" ht="15" customHeight="1">
      <c r="A95" s="29" t="n">
        <v>2024</v>
      </c>
      <c r="B95" s="30" t="s">
        <v>4336</v>
      </c>
      <c r="C95" s="30" t="s">
        <v>1141</v>
      </c>
      <c r="D95" s="30" t="s">
        <v>319</v>
      </c>
      <c r="E95" s="30" t="s">
        <v>4228</v>
      </c>
      <c r="F95" s="31" t="s">
        <v>4229</v>
      </c>
      <c r="G95" s="31"/>
      <c r="H95" s="32" t="s">
        <v>4222</v>
      </c>
    </row>
    <row r="96" ht="15" customHeight="1">
      <c r="A96" s="29" t="n">
        <v>2024</v>
      </c>
      <c r="B96" s="30" t="s">
        <v>4337</v>
      </c>
      <c r="C96" s="30" t="s">
        <v>1160</v>
      </c>
      <c r="D96" s="30" t="s">
        <v>281</v>
      </c>
      <c r="E96" s="30" t="s">
        <v>4226</v>
      </c>
      <c r="F96" s="31" t="s">
        <v>4227</v>
      </c>
      <c r="G96" s="31"/>
      <c r="H96" s="32" t="s">
        <v>4222</v>
      </c>
    </row>
    <row r="97" ht="15" customHeight="1">
      <c r="A97" s="29" t="n">
        <v>2024</v>
      </c>
      <c r="B97" s="30" t="s">
        <v>4338</v>
      </c>
      <c r="C97" s="30" t="s">
        <v>1213</v>
      </c>
      <c r="D97" s="30" t="s">
        <v>1666</v>
      </c>
      <c r="E97" s="30" t="s">
        <v>4244</v>
      </c>
      <c r="F97" s="31" t="s">
        <v>4245</v>
      </c>
      <c r="G97" s="31"/>
      <c r="H97" s="32" t="s">
        <v>4222</v>
      </c>
    </row>
    <row r="98" ht="15" customHeight="1">
      <c r="A98" s="29" t="n">
        <v>2024</v>
      </c>
      <c r="B98" s="30" t="s">
        <v>4339</v>
      </c>
      <c r="C98" s="30" t="s">
        <v>4283</v>
      </c>
      <c r="D98" s="30" t="s">
        <v>4284</v>
      </c>
      <c r="E98" s="30" t="s">
        <v>4284</v>
      </c>
      <c r="F98" s="31"/>
      <c r="G98" s="31"/>
      <c r="H98" s="32"/>
    </row>
    <row r="99" ht="15" customHeight="1">
      <c r="A99" s="29" t="n">
        <v>2024</v>
      </c>
      <c r="B99" s="30" t="s">
        <v>4340</v>
      </c>
      <c r="C99" s="30" t="s">
        <v>1280</v>
      </c>
      <c r="D99" s="30" t="s">
        <v>1281</v>
      </c>
      <c r="E99" s="30" t="s">
        <v>4238</v>
      </c>
      <c r="F99" s="31"/>
      <c r="G99" s="31" t="s">
        <v>4239</v>
      </c>
      <c r="H99" s="32" t="s">
        <v>4225</v>
      </c>
    </row>
    <row r="100" ht="15" customHeight="1">
      <c r="A100" s="29" t="n">
        <v>2024</v>
      </c>
      <c r="B100" s="30" t="s">
        <v>4341</v>
      </c>
      <c r="C100" s="30" t="s">
        <v>1404</v>
      </c>
      <c r="D100" s="30" t="s">
        <v>281</v>
      </c>
      <c r="E100" s="30" t="s">
        <v>4226</v>
      </c>
      <c r="F100" s="31" t="s">
        <v>4227</v>
      </c>
      <c r="G100" s="31"/>
      <c r="H100" s="32" t="s">
        <v>4222</v>
      </c>
    </row>
    <row r="101" ht="15" customHeight="1">
      <c r="A101" s="29" t="n">
        <v>2024</v>
      </c>
      <c r="B101" s="30" t="s">
        <v>4342</v>
      </c>
      <c r="C101" s="30" t="s">
        <v>1478</v>
      </c>
      <c r="D101" s="30" t="s">
        <v>1479</v>
      </c>
      <c r="E101" s="30" t="s">
        <v>4240</v>
      </c>
      <c r="F101" s="31" t="s">
        <v>4241</v>
      </c>
      <c r="G101" s="31"/>
      <c r="H101" s="32" t="s">
        <v>4236</v>
      </c>
    </row>
    <row r="102" ht="15" customHeight="1">
      <c r="A102" s="29" t="n">
        <v>2024</v>
      </c>
      <c r="B102" s="30" t="s">
        <v>4343</v>
      </c>
      <c r="C102" s="30" t="s">
        <v>1522</v>
      </c>
      <c r="D102" s="30" t="s">
        <v>3172</v>
      </c>
      <c r="E102" s="30" t="s">
        <v>4261</v>
      </c>
      <c r="F102" s="31"/>
      <c r="G102" s="31"/>
      <c r="H102" s="32"/>
    </row>
    <row r="103" ht="15" customHeight="1">
      <c r="A103" s="29" t="n">
        <v>2024</v>
      </c>
      <c r="B103" s="30" t="s">
        <v>4344</v>
      </c>
      <c r="C103" s="30" t="s">
        <v>1585</v>
      </c>
      <c r="D103" s="30" t="s">
        <v>172</v>
      </c>
      <c r="E103" s="30" t="s">
        <v>4223</v>
      </c>
      <c r="F103" s="31" t="s">
        <v>4224</v>
      </c>
      <c r="G103" s="31"/>
      <c r="H103" s="32" t="s">
        <v>4225</v>
      </c>
    </row>
    <row r="104" ht="15" customHeight="1">
      <c r="A104" s="29" t="n">
        <v>2024</v>
      </c>
      <c r="B104" s="30" t="s">
        <v>4345</v>
      </c>
      <c r="C104" s="30" t="s">
        <v>4291</v>
      </c>
      <c r="D104" s="30" t="s">
        <v>4292</v>
      </c>
      <c r="E104" s="30" t="s">
        <v>4293</v>
      </c>
      <c r="F104" s="31" t="s">
        <v>4294</v>
      </c>
      <c r="G104" s="31"/>
      <c r="H104" s="32" t="s">
        <v>4222</v>
      </c>
    </row>
    <row r="105" ht="15" customHeight="1">
      <c r="A105" s="29" t="n">
        <v>2024</v>
      </c>
      <c r="B105" s="30" t="s">
        <v>4346</v>
      </c>
      <c r="C105" s="30" t="s">
        <v>1627</v>
      </c>
      <c r="D105" s="30" t="s">
        <v>1643</v>
      </c>
      <c r="E105" s="30" t="s">
        <v>4242</v>
      </c>
      <c r="F105" s="31" t="s">
        <v>4243</v>
      </c>
      <c r="G105" s="31"/>
      <c r="H105" s="32" t="s">
        <v>4222</v>
      </c>
    </row>
    <row r="106" ht="15" customHeight="1">
      <c r="A106" s="29" t="n">
        <v>2024</v>
      </c>
      <c r="B106" s="30" t="s">
        <v>4347</v>
      </c>
      <c r="C106" s="30" t="s">
        <v>1665</v>
      </c>
      <c r="D106" s="30" t="s">
        <v>1666</v>
      </c>
      <c r="E106" s="30" t="s">
        <v>4244</v>
      </c>
      <c r="F106" s="31" t="s">
        <v>4245</v>
      </c>
      <c r="G106" s="31"/>
      <c r="H106" s="32" t="s">
        <v>4222</v>
      </c>
    </row>
    <row r="107" ht="15" customHeight="1">
      <c r="A107" s="29" t="n">
        <v>2024</v>
      </c>
      <c r="B107" s="30" t="s">
        <v>4348</v>
      </c>
      <c r="C107" s="30" t="s">
        <v>1746</v>
      </c>
      <c r="D107" s="30" t="s">
        <v>1214</v>
      </c>
      <c r="E107" s="30" t="s">
        <v>4237</v>
      </c>
      <c r="F107" s="31"/>
      <c r="G107" s="31"/>
      <c r="H107" s="32"/>
    </row>
    <row r="108" ht="15" customHeight="1">
      <c r="A108" s="29" t="n">
        <v>2024</v>
      </c>
      <c r="B108" s="30" t="s">
        <v>4349</v>
      </c>
      <c r="C108" s="30" t="s">
        <v>4350</v>
      </c>
      <c r="D108" s="30" t="s">
        <v>2555</v>
      </c>
      <c r="E108" s="30" t="s">
        <v>4252</v>
      </c>
      <c r="F108" s="31" t="s">
        <v>4253</v>
      </c>
      <c r="G108" s="31"/>
      <c r="H108" s="32" t="s">
        <v>4222</v>
      </c>
    </row>
    <row r="109" ht="15" customHeight="1">
      <c r="A109" s="29" t="n">
        <v>2024</v>
      </c>
      <c r="B109" s="30" t="s">
        <v>4351</v>
      </c>
      <c r="C109" s="30" t="s">
        <v>4352</v>
      </c>
      <c r="D109" s="30" t="s">
        <v>281</v>
      </c>
      <c r="E109" s="30" t="s">
        <v>4226</v>
      </c>
      <c r="F109" s="31" t="s">
        <v>4227</v>
      </c>
      <c r="G109" s="31"/>
      <c r="H109" s="32" t="s">
        <v>4222</v>
      </c>
    </row>
    <row r="110" ht="15" customHeight="1">
      <c r="A110" s="29" t="n">
        <v>2024</v>
      </c>
      <c r="B110" s="30" t="s">
        <v>4353</v>
      </c>
      <c r="C110" s="30" t="s">
        <v>2299</v>
      </c>
      <c r="D110" s="30" t="s">
        <v>319</v>
      </c>
      <c r="E110" s="30" t="s">
        <v>4228</v>
      </c>
      <c r="F110" s="31" t="s">
        <v>4229</v>
      </c>
      <c r="G110" s="31"/>
      <c r="H110" s="32" t="s">
        <v>4222</v>
      </c>
    </row>
    <row r="111" ht="15" customHeight="1">
      <c r="A111" s="29" t="n">
        <v>2024</v>
      </c>
      <c r="B111" s="30" t="s">
        <v>4354</v>
      </c>
      <c r="C111" s="30" t="s">
        <v>2314</v>
      </c>
      <c r="D111" s="30" t="s">
        <v>2555</v>
      </c>
      <c r="E111" s="30" t="s">
        <v>4252</v>
      </c>
      <c r="F111" s="31" t="s">
        <v>4253</v>
      </c>
      <c r="G111" s="31"/>
      <c r="H111" s="32" t="s">
        <v>4222</v>
      </c>
    </row>
    <row r="112" ht="15" customHeight="1">
      <c r="A112" s="29" t="n">
        <v>2024</v>
      </c>
      <c r="B112" s="30" t="s">
        <v>4355</v>
      </c>
      <c r="C112" s="30" t="s">
        <v>2364</v>
      </c>
      <c r="D112" s="30" t="s">
        <v>876</v>
      </c>
      <c r="E112" s="30" t="s">
        <v>4234</v>
      </c>
      <c r="F112" s="31" t="s">
        <v>4235</v>
      </c>
      <c r="G112" s="31"/>
      <c r="H112" s="32" t="s">
        <v>4236</v>
      </c>
    </row>
    <row r="113" ht="15" customHeight="1">
      <c r="A113" s="29" t="n">
        <v>2024</v>
      </c>
      <c r="B113" s="30" t="s">
        <v>4356</v>
      </c>
      <c r="C113" s="30" t="s">
        <v>2448</v>
      </c>
      <c r="D113" s="30" t="s">
        <v>500</v>
      </c>
      <c r="E113" s="30" t="s">
        <v>4230</v>
      </c>
      <c r="F113" s="31" t="s">
        <v>4231</v>
      </c>
      <c r="G113" s="31"/>
      <c r="H113" s="32" t="s">
        <v>4225</v>
      </c>
    </row>
    <row r="114" ht="15" customHeight="1">
      <c r="A114" s="29" t="n">
        <v>2024</v>
      </c>
      <c r="B114" s="30" t="s">
        <v>4357</v>
      </c>
      <c r="C114" s="30" t="s">
        <v>2709</v>
      </c>
      <c r="D114" s="30" t="s">
        <v>2121</v>
      </c>
      <c r="E114" s="30" t="s">
        <v>4248</v>
      </c>
      <c r="F114" s="31" t="s">
        <v>4249</v>
      </c>
      <c r="G114" s="31"/>
      <c r="H114" s="32" t="s">
        <v>4225</v>
      </c>
    </row>
    <row r="115" ht="15" customHeight="1">
      <c r="A115" s="29" t="n">
        <v>2024</v>
      </c>
      <c r="B115" s="30" t="s">
        <v>4358</v>
      </c>
      <c r="C115" s="30" t="s">
        <v>2887</v>
      </c>
      <c r="D115" s="30" t="s">
        <v>4309</v>
      </c>
      <c r="E115" s="30" t="s">
        <v>4310</v>
      </c>
      <c r="F115" s="31"/>
      <c r="G115" s="31"/>
      <c r="H115" s="32"/>
    </row>
    <row r="116" ht="15" customHeight="1">
      <c r="A116" s="29" t="n">
        <v>2024</v>
      </c>
      <c r="B116" s="30" t="s">
        <v>4359</v>
      </c>
      <c r="C116" s="30" t="s">
        <v>2811</v>
      </c>
      <c r="D116" s="30" t="s">
        <v>1666</v>
      </c>
      <c r="E116" s="30" t="s">
        <v>4244</v>
      </c>
      <c r="F116" s="31" t="s">
        <v>4245</v>
      </c>
      <c r="G116" s="31"/>
      <c r="H116" s="32" t="s">
        <v>4222</v>
      </c>
    </row>
    <row r="117" ht="15" customHeight="1">
      <c r="A117" s="29" t="n">
        <v>2024</v>
      </c>
      <c r="B117" s="30" t="s">
        <v>4360</v>
      </c>
      <c r="C117" s="30" t="s">
        <v>2942</v>
      </c>
      <c r="D117" s="30" t="s">
        <v>281</v>
      </c>
      <c r="E117" s="30" t="s">
        <v>4226</v>
      </c>
      <c r="F117" s="31" t="s">
        <v>4227</v>
      </c>
      <c r="G117" s="31"/>
      <c r="H117" s="32" t="s">
        <v>4222</v>
      </c>
    </row>
    <row r="118" ht="15" customHeight="1">
      <c r="A118" s="29" t="n">
        <v>2024</v>
      </c>
      <c r="B118" s="30" t="s">
        <v>4361</v>
      </c>
      <c r="C118" s="30" t="s">
        <v>2984</v>
      </c>
      <c r="D118" s="30" t="s">
        <v>2985</v>
      </c>
      <c r="E118" s="30" t="s">
        <v>4256</v>
      </c>
      <c r="F118" s="31" t="s">
        <v>4257</v>
      </c>
      <c r="G118" s="31"/>
      <c r="H118" s="32" t="s">
        <v>4236</v>
      </c>
    </row>
    <row r="119" ht="15" customHeight="1">
      <c r="A119" s="29" t="n">
        <v>2024</v>
      </c>
      <c r="B119" s="30" t="s">
        <v>4362</v>
      </c>
      <c r="C119" s="30" t="s">
        <v>4363</v>
      </c>
      <c r="D119" s="30" t="s">
        <v>1214</v>
      </c>
      <c r="E119" s="30" t="s">
        <v>4237</v>
      </c>
      <c r="F119" s="31"/>
      <c r="G119" s="31"/>
      <c r="H119" s="32"/>
    </row>
    <row r="120" ht="15" customHeight="1">
      <c r="A120" s="29" t="n">
        <v>2024</v>
      </c>
      <c r="B120" s="30" t="s">
        <v>4364</v>
      </c>
      <c r="C120" s="30" t="s">
        <v>3061</v>
      </c>
      <c r="D120" s="30" t="s">
        <v>1666</v>
      </c>
      <c r="E120" s="30" t="s">
        <v>4244</v>
      </c>
      <c r="F120" s="31" t="s">
        <v>4245</v>
      </c>
      <c r="G120" s="31"/>
      <c r="H120" s="32" t="s">
        <v>4222</v>
      </c>
    </row>
    <row r="121" ht="15" customHeight="1">
      <c r="A121" s="29" t="n">
        <v>2024</v>
      </c>
      <c r="B121" s="30" t="s">
        <v>4365</v>
      </c>
      <c r="C121" s="30" t="s">
        <v>4316</v>
      </c>
      <c r="D121" s="30" t="s">
        <v>3113</v>
      </c>
      <c r="E121" s="30" t="s">
        <v>4259</v>
      </c>
      <c r="F121" s="31" t="s">
        <v>4260</v>
      </c>
      <c r="G121" s="31"/>
      <c r="H121" s="32" t="s">
        <v>4222</v>
      </c>
    </row>
    <row r="122" ht="15" customHeight="1">
      <c r="A122" s="29" t="n">
        <v>2024</v>
      </c>
      <c r="B122" s="30" t="s">
        <v>4366</v>
      </c>
      <c r="C122" s="30" t="s">
        <v>4367</v>
      </c>
      <c r="D122" s="30" t="s">
        <v>500</v>
      </c>
      <c r="E122" s="30" t="s">
        <v>4230</v>
      </c>
      <c r="F122" s="31" t="s">
        <v>4231</v>
      </c>
      <c r="G122" s="31"/>
      <c r="H122" s="32" t="s">
        <v>4225</v>
      </c>
    </row>
    <row r="123" ht="15" customHeight="1">
      <c r="A123" s="29" t="n">
        <v>2024</v>
      </c>
      <c r="B123" s="30" t="s">
        <v>4368</v>
      </c>
      <c r="C123" s="30" t="s">
        <v>3171</v>
      </c>
      <c r="D123" s="30" t="s">
        <v>3172</v>
      </c>
      <c r="E123" s="30" t="s">
        <v>4261</v>
      </c>
      <c r="F123" s="31"/>
      <c r="G123" s="31"/>
      <c r="H123" s="32"/>
    </row>
    <row r="124" ht="15" customHeight="1">
      <c r="A124" s="29" t="n">
        <v>2024</v>
      </c>
      <c r="B124" s="30" t="s">
        <v>4369</v>
      </c>
      <c r="C124" s="30" t="s">
        <v>3333</v>
      </c>
      <c r="D124" s="30" t="s">
        <v>1666</v>
      </c>
      <c r="E124" s="30" t="s">
        <v>4244</v>
      </c>
      <c r="F124" s="31" t="s">
        <v>4245</v>
      </c>
      <c r="G124" s="31"/>
      <c r="H124" s="32" t="s">
        <v>4222</v>
      </c>
    </row>
    <row r="125" ht="15" customHeight="1">
      <c r="A125" s="29" t="n">
        <v>2024</v>
      </c>
      <c r="B125" s="30" t="s">
        <v>4370</v>
      </c>
      <c r="C125" s="30" t="s">
        <v>3499</v>
      </c>
      <c r="D125" s="30" t="s">
        <v>1666</v>
      </c>
      <c r="E125" s="30" t="s">
        <v>4244</v>
      </c>
      <c r="F125" s="31" t="s">
        <v>4245</v>
      </c>
      <c r="G125" s="31"/>
      <c r="H125" s="32" t="s">
        <v>4222</v>
      </c>
    </row>
    <row r="126" ht="15" customHeight="1">
      <c r="A126" s="29" t="n">
        <v>2024</v>
      </c>
      <c r="B126" s="30" t="s">
        <v>4371</v>
      </c>
      <c r="C126" s="30" t="s">
        <v>58</v>
      </c>
      <c r="D126" s="30" t="s">
        <v>4292</v>
      </c>
      <c r="E126" s="30" t="s">
        <v>4293</v>
      </c>
      <c r="F126" s="31" t="s">
        <v>4294</v>
      </c>
      <c r="G126" s="31"/>
      <c r="H126" s="32" t="s">
        <v>4222</v>
      </c>
    </row>
    <row r="127" ht="15" customHeight="1">
      <c r="A127" s="33" t="n">
        <v>2025</v>
      </c>
      <c r="B127" s="34" t="s">
        <v>4372</v>
      </c>
      <c r="C127" s="34" t="s">
        <v>318</v>
      </c>
      <c r="D127" s="34" t="s">
        <v>319</v>
      </c>
      <c r="E127" s="34" t="s">
        <v>4228</v>
      </c>
      <c r="F127" s="35" t="s">
        <v>4229</v>
      </c>
      <c r="G127" s="35"/>
      <c r="H127" s="36" t="s">
        <v>4222</v>
      </c>
    </row>
    <row r="128" ht="15" customHeight="1">
      <c r="A128" s="33" t="n">
        <v>2025</v>
      </c>
      <c r="B128" s="34" t="s">
        <v>4373</v>
      </c>
      <c r="C128" s="34" t="s">
        <v>499</v>
      </c>
      <c r="D128" s="34" t="s">
        <v>500</v>
      </c>
      <c r="E128" s="34" t="s">
        <v>4230</v>
      </c>
      <c r="F128" s="35" t="s">
        <v>4231</v>
      </c>
      <c r="G128" s="35"/>
      <c r="H128" s="36" t="s">
        <v>4225</v>
      </c>
    </row>
    <row r="129" ht="15" customHeight="1">
      <c r="A129" s="33" t="n">
        <v>2025</v>
      </c>
      <c r="B129" s="34" t="s">
        <v>4374</v>
      </c>
      <c r="C129" s="34" t="s">
        <v>4325</v>
      </c>
      <c r="D129" s="34" t="s">
        <v>2121</v>
      </c>
      <c r="E129" s="34" t="s">
        <v>4248</v>
      </c>
      <c r="F129" s="35" t="s">
        <v>4249</v>
      </c>
      <c r="G129" s="35"/>
      <c r="H129" s="36" t="s">
        <v>4225</v>
      </c>
    </row>
    <row r="130" ht="15" customHeight="1">
      <c r="A130" s="33" t="n">
        <v>2025</v>
      </c>
      <c r="B130" s="34" t="s">
        <v>4375</v>
      </c>
      <c r="C130" s="34" t="s">
        <v>4327</v>
      </c>
      <c r="D130" s="34" t="s">
        <v>172</v>
      </c>
      <c r="E130" s="34" t="s">
        <v>4223</v>
      </c>
      <c r="F130" s="35" t="s">
        <v>4224</v>
      </c>
      <c r="G130" s="35"/>
      <c r="H130" s="36" t="s">
        <v>4225</v>
      </c>
    </row>
    <row r="131" ht="15" customHeight="1">
      <c r="A131" s="33" t="n">
        <v>2025</v>
      </c>
      <c r="B131" s="34" t="s">
        <v>4376</v>
      </c>
      <c r="C131" s="34" t="s">
        <v>541</v>
      </c>
      <c r="D131" s="34" t="s">
        <v>1643</v>
      </c>
      <c r="E131" s="34" t="s">
        <v>4242</v>
      </c>
      <c r="F131" s="35" t="s">
        <v>4243</v>
      </c>
      <c r="G131" s="35"/>
      <c r="H131" s="36" t="s">
        <v>4222</v>
      </c>
    </row>
    <row r="132" ht="15" customHeight="1">
      <c r="A132" s="33" t="n">
        <v>2025</v>
      </c>
      <c r="B132" s="34" t="s">
        <v>4377</v>
      </c>
      <c r="C132" s="34" t="s">
        <v>4270</v>
      </c>
      <c r="D132" s="34" t="s">
        <v>2985</v>
      </c>
      <c r="E132" s="34" t="s">
        <v>4256</v>
      </c>
      <c r="F132" s="35" t="s">
        <v>4257</v>
      </c>
      <c r="G132" s="35"/>
      <c r="H132" s="36" t="s">
        <v>4236</v>
      </c>
    </row>
    <row r="133" ht="15" customHeight="1">
      <c r="A133" s="33" t="n">
        <v>2025</v>
      </c>
      <c r="B133" s="34" t="s">
        <v>4378</v>
      </c>
      <c r="C133" s="34" t="s">
        <v>592</v>
      </c>
      <c r="D133" s="34" t="s">
        <v>3113</v>
      </c>
      <c r="E133" s="34" t="s">
        <v>4259</v>
      </c>
      <c r="F133" s="35" t="s">
        <v>4260</v>
      </c>
      <c r="G133" s="35"/>
      <c r="H133" s="36" t="s">
        <v>4222</v>
      </c>
    </row>
    <row r="134" ht="15" customHeight="1">
      <c r="A134" s="33" t="n">
        <v>2025</v>
      </c>
      <c r="B134" s="34" t="s">
        <v>4379</v>
      </c>
      <c r="C134" s="34" t="s">
        <v>875</v>
      </c>
      <c r="D134" s="34" t="s">
        <v>4333</v>
      </c>
      <c r="E134" s="34" t="s">
        <v>4334</v>
      </c>
      <c r="F134" s="35"/>
      <c r="G134" s="35" t="s">
        <v>4335</v>
      </c>
      <c r="H134" s="36" t="s">
        <v>4236</v>
      </c>
    </row>
    <row r="135" ht="15" customHeight="1">
      <c r="A135" s="33" t="n">
        <v>2025</v>
      </c>
      <c r="B135" s="34" t="s">
        <v>4380</v>
      </c>
      <c r="C135" s="34" t="s">
        <v>1141</v>
      </c>
      <c r="D135" s="34" t="s">
        <v>319</v>
      </c>
      <c r="E135" s="34" t="s">
        <v>4228</v>
      </c>
      <c r="F135" s="35" t="s">
        <v>4229</v>
      </c>
      <c r="G135" s="35"/>
      <c r="H135" s="36" t="s">
        <v>4222</v>
      </c>
    </row>
    <row r="136" ht="15" customHeight="1">
      <c r="A136" s="33" t="n">
        <v>2025</v>
      </c>
      <c r="B136" s="34" t="s">
        <v>4381</v>
      </c>
      <c r="C136" s="34" t="s">
        <v>1160</v>
      </c>
      <c r="D136" s="34" t="s">
        <v>1643</v>
      </c>
      <c r="E136" s="34" t="s">
        <v>4242</v>
      </c>
      <c r="F136" s="35" t="s">
        <v>4243</v>
      </c>
      <c r="G136" s="35"/>
      <c r="H136" s="36" t="s">
        <v>4222</v>
      </c>
    </row>
    <row r="137" ht="15" customHeight="1">
      <c r="A137" s="33" t="n">
        <v>2025</v>
      </c>
      <c r="B137" s="34" t="s">
        <v>4382</v>
      </c>
      <c r="C137" s="34" t="s">
        <v>1213</v>
      </c>
      <c r="D137" s="34" t="s">
        <v>4383</v>
      </c>
      <c r="E137" s="34" t="s">
        <v>4384</v>
      </c>
      <c r="F137" s="35"/>
      <c r="G137" s="35"/>
      <c r="H137" s="36"/>
    </row>
    <row r="138" ht="15" customHeight="1">
      <c r="A138" s="33" t="n">
        <v>2025</v>
      </c>
      <c r="B138" s="34" t="s">
        <v>4385</v>
      </c>
      <c r="C138" s="34" t="s">
        <v>4283</v>
      </c>
      <c r="D138" s="34" t="s">
        <v>2985</v>
      </c>
      <c r="E138" s="34" t="s">
        <v>4256</v>
      </c>
      <c r="F138" s="35" t="s">
        <v>4257</v>
      </c>
      <c r="G138" s="35"/>
      <c r="H138" s="36" t="s">
        <v>4236</v>
      </c>
    </row>
    <row r="139" ht="15" customHeight="1">
      <c r="A139" s="33" t="n">
        <v>2025</v>
      </c>
      <c r="B139" s="34" t="s">
        <v>4386</v>
      </c>
      <c r="C139" s="34" t="s">
        <v>1280</v>
      </c>
      <c r="D139" s="34" t="s">
        <v>4387</v>
      </c>
      <c r="E139" s="34" t="s">
        <v>4388</v>
      </c>
      <c r="F139" s="35" t="s">
        <v>4389</v>
      </c>
      <c r="G139" s="35"/>
      <c r="H139" s="36" t="s">
        <v>4225</v>
      </c>
    </row>
    <row r="140" ht="15" customHeight="1">
      <c r="A140" s="33" t="n">
        <v>2025</v>
      </c>
      <c r="B140" s="34" t="s">
        <v>4390</v>
      </c>
      <c r="C140" s="34" t="s">
        <v>1404</v>
      </c>
      <c r="D140" s="34" t="s">
        <v>281</v>
      </c>
      <c r="E140" s="34" t="s">
        <v>4226</v>
      </c>
      <c r="F140" s="35" t="s">
        <v>4227</v>
      </c>
      <c r="G140" s="35"/>
      <c r="H140" s="36" t="s">
        <v>4222</v>
      </c>
    </row>
    <row r="141" ht="15" customHeight="1">
      <c r="A141" s="33" t="n">
        <v>2025</v>
      </c>
      <c r="B141" s="34" t="s">
        <v>4391</v>
      </c>
      <c r="C141" s="34" t="s">
        <v>1478</v>
      </c>
      <c r="D141" s="34" t="s">
        <v>2985</v>
      </c>
      <c r="E141" s="34" t="s">
        <v>4256</v>
      </c>
      <c r="F141" s="35" t="s">
        <v>4257</v>
      </c>
      <c r="G141" s="35"/>
      <c r="H141" s="36" t="s">
        <v>4236</v>
      </c>
    </row>
    <row r="142" ht="15" customHeight="1">
      <c r="A142" s="33" t="n">
        <v>2025</v>
      </c>
      <c r="B142" s="34" t="s">
        <v>4392</v>
      </c>
      <c r="C142" s="34" t="s">
        <v>1522</v>
      </c>
      <c r="D142" s="34" t="s">
        <v>1643</v>
      </c>
      <c r="E142" s="34" t="s">
        <v>4242</v>
      </c>
      <c r="F142" s="35" t="s">
        <v>4243</v>
      </c>
      <c r="G142" s="35"/>
      <c r="H142" s="36" t="s">
        <v>4222</v>
      </c>
    </row>
    <row r="143" ht="15" customHeight="1">
      <c r="A143" s="33" t="n">
        <v>2025</v>
      </c>
      <c r="B143" s="34" t="s">
        <v>4393</v>
      </c>
      <c r="C143" s="34" t="s">
        <v>1585</v>
      </c>
      <c r="D143" s="34" t="s">
        <v>172</v>
      </c>
      <c r="E143" s="34" t="s">
        <v>4223</v>
      </c>
      <c r="F143" s="35" t="s">
        <v>4224</v>
      </c>
      <c r="G143" s="35"/>
      <c r="H143" s="36" t="s">
        <v>4225</v>
      </c>
    </row>
    <row r="144" ht="15" customHeight="1">
      <c r="A144" s="33" t="n">
        <v>2025</v>
      </c>
      <c r="B144" s="34" t="s">
        <v>4394</v>
      </c>
      <c r="C144" s="34" t="s">
        <v>4291</v>
      </c>
      <c r="D144" s="34" t="s">
        <v>4292</v>
      </c>
      <c r="E144" s="34" t="s">
        <v>4293</v>
      </c>
      <c r="F144" s="35" t="s">
        <v>4294</v>
      </c>
      <c r="G144" s="35"/>
      <c r="H144" s="36" t="s">
        <v>4222</v>
      </c>
    </row>
    <row r="145" ht="15" customHeight="1">
      <c r="A145" s="33" t="n">
        <v>2025</v>
      </c>
      <c r="B145" s="34" t="s">
        <v>4395</v>
      </c>
      <c r="C145" s="34" t="s">
        <v>1627</v>
      </c>
      <c r="D145" s="34" t="s">
        <v>1643</v>
      </c>
      <c r="E145" s="34" t="s">
        <v>4242</v>
      </c>
      <c r="F145" s="35" t="s">
        <v>4243</v>
      </c>
      <c r="G145" s="35"/>
      <c r="H145" s="36" t="s">
        <v>4222</v>
      </c>
    </row>
    <row r="146" ht="15" customHeight="1">
      <c r="A146" s="33" t="n">
        <v>2025</v>
      </c>
      <c r="B146" s="34" t="s">
        <v>4396</v>
      </c>
      <c r="C146" s="34" t="s">
        <v>1665</v>
      </c>
      <c r="D146" s="34" t="s">
        <v>2555</v>
      </c>
      <c r="E146" s="34" t="s">
        <v>4252</v>
      </c>
      <c r="F146" s="35" t="s">
        <v>4253</v>
      </c>
      <c r="G146" s="35"/>
      <c r="H146" s="36" t="s">
        <v>4222</v>
      </c>
    </row>
    <row r="147" ht="15" customHeight="1">
      <c r="A147" s="33" t="n">
        <v>2025</v>
      </c>
      <c r="B147" s="34" t="s">
        <v>4397</v>
      </c>
      <c r="C147" s="34" t="s">
        <v>1746</v>
      </c>
      <c r="D147" s="34" t="s">
        <v>1214</v>
      </c>
      <c r="E147" s="34" t="s">
        <v>4237</v>
      </c>
      <c r="F147" s="35"/>
      <c r="G147" s="35"/>
      <c r="H147" s="36"/>
    </row>
    <row r="148" ht="15" customHeight="1">
      <c r="A148" s="33" t="n">
        <v>2025</v>
      </c>
      <c r="B148" s="34" t="s">
        <v>4398</v>
      </c>
      <c r="C148" s="34" t="s">
        <v>4350</v>
      </c>
      <c r="D148" s="34" t="s">
        <v>2985</v>
      </c>
      <c r="E148" s="34" t="s">
        <v>4256</v>
      </c>
      <c r="F148" s="35" t="s">
        <v>4257</v>
      </c>
      <c r="G148" s="35"/>
      <c r="H148" s="36" t="s">
        <v>4236</v>
      </c>
    </row>
    <row r="149" ht="15" customHeight="1">
      <c r="A149" s="33" t="n">
        <v>2025</v>
      </c>
      <c r="B149" s="34" t="s">
        <v>4399</v>
      </c>
      <c r="C149" s="34" t="s">
        <v>4352</v>
      </c>
      <c r="D149" s="34" t="s">
        <v>281</v>
      </c>
      <c r="E149" s="34" t="s">
        <v>4226</v>
      </c>
      <c r="F149" s="35" t="s">
        <v>4227</v>
      </c>
      <c r="G149" s="35"/>
      <c r="H149" s="36" t="s">
        <v>4222</v>
      </c>
    </row>
    <row r="150" ht="15" customHeight="1">
      <c r="A150" s="33" t="n">
        <v>2025</v>
      </c>
      <c r="B150" s="34" t="s">
        <v>4400</v>
      </c>
      <c r="C150" s="34" t="s">
        <v>2299</v>
      </c>
      <c r="D150" s="34" t="s">
        <v>319</v>
      </c>
      <c r="E150" s="34" t="s">
        <v>4228</v>
      </c>
      <c r="F150" s="35" t="s">
        <v>4229</v>
      </c>
      <c r="G150" s="35"/>
      <c r="H150" s="36" t="s">
        <v>4222</v>
      </c>
    </row>
    <row r="151" ht="15" customHeight="1">
      <c r="A151" s="33" t="n">
        <v>2025</v>
      </c>
      <c r="B151" s="34" t="s">
        <v>4401</v>
      </c>
      <c r="C151" s="34" t="s">
        <v>2314</v>
      </c>
      <c r="D151" s="34" t="s">
        <v>4383</v>
      </c>
      <c r="E151" s="34" t="s">
        <v>4384</v>
      </c>
      <c r="F151" s="35"/>
      <c r="G151" s="35"/>
      <c r="H151" s="36"/>
    </row>
    <row r="152" ht="15" customHeight="1">
      <c r="A152" s="33" t="n">
        <v>2025</v>
      </c>
      <c r="B152" s="34" t="s">
        <v>4402</v>
      </c>
      <c r="C152" s="34" t="s">
        <v>2364</v>
      </c>
      <c r="D152" s="34" t="s">
        <v>3113</v>
      </c>
      <c r="E152" s="34" t="s">
        <v>4259</v>
      </c>
      <c r="F152" s="35" t="s">
        <v>4260</v>
      </c>
      <c r="G152" s="35"/>
      <c r="H152" s="36" t="s">
        <v>4222</v>
      </c>
    </row>
    <row r="153" ht="15" customHeight="1">
      <c r="A153" s="33" t="n">
        <v>2025</v>
      </c>
      <c r="B153" s="34" t="s">
        <v>4403</v>
      </c>
      <c r="C153" s="34" t="s">
        <v>2448</v>
      </c>
      <c r="D153" s="34" t="s">
        <v>500</v>
      </c>
      <c r="E153" s="34" t="s">
        <v>4230</v>
      </c>
      <c r="F153" s="35" t="s">
        <v>4231</v>
      </c>
      <c r="G153" s="35"/>
      <c r="H153" s="36" t="s">
        <v>4225</v>
      </c>
    </row>
    <row r="154" ht="15" customHeight="1">
      <c r="A154" s="33" t="n">
        <v>2025</v>
      </c>
      <c r="B154" s="34" t="s">
        <v>4404</v>
      </c>
      <c r="C154" s="34" t="s">
        <v>2709</v>
      </c>
      <c r="D154" s="34" t="s">
        <v>2121</v>
      </c>
      <c r="E154" s="34" t="s">
        <v>4248</v>
      </c>
      <c r="F154" s="35" t="s">
        <v>4249</v>
      </c>
      <c r="G154" s="35"/>
      <c r="H154" s="36" t="s">
        <v>4225</v>
      </c>
    </row>
    <row r="155" ht="15" customHeight="1">
      <c r="A155" s="33" t="n">
        <v>2025</v>
      </c>
      <c r="B155" s="34" t="s">
        <v>4405</v>
      </c>
      <c r="C155" s="34" t="s">
        <v>4406</v>
      </c>
      <c r="D155" s="34" t="s">
        <v>4292</v>
      </c>
      <c r="E155" s="34" t="s">
        <v>4293</v>
      </c>
      <c r="F155" s="35" t="s">
        <v>4294</v>
      </c>
      <c r="G155" s="35"/>
      <c r="H155" s="36" t="s">
        <v>4222</v>
      </c>
    </row>
    <row r="156" ht="15" customHeight="1">
      <c r="A156" s="33" t="n">
        <v>2025</v>
      </c>
      <c r="B156" s="34" t="s">
        <v>4407</v>
      </c>
      <c r="C156" s="34" t="s">
        <v>2817</v>
      </c>
      <c r="D156" s="34" t="s">
        <v>1214</v>
      </c>
      <c r="E156" s="34" t="s">
        <v>4237</v>
      </c>
      <c r="F156" s="35"/>
      <c r="G156" s="35"/>
      <c r="H156" s="36"/>
    </row>
    <row r="157" ht="15" customHeight="1">
      <c r="A157" s="33" t="n">
        <v>2025</v>
      </c>
      <c r="B157" s="34" t="s">
        <v>4408</v>
      </c>
      <c r="C157" s="34" t="s">
        <v>2887</v>
      </c>
      <c r="D157" s="34" t="s">
        <v>2555</v>
      </c>
      <c r="E157" s="34" t="s">
        <v>4252</v>
      </c>
      <c r="F157" s="35" t="s">
        <v>4253</v>
      </c>
      <c r="G157" s="35"/>
      <c r="H157" s="36" t="s">
        <v>4222</v>
      </c>
    </row>
    <row r="158" ht="15" customHeight="1">
      <c r="A158" s="33" t="n">
        <v>2025</v>
      </c>
      <c r="B158" s="34" t="s">
        <v>4409</v>
      </c>
      <c r="C158" s="34" t="s">
        <v>2811</v>
      </c>
      <c r="D158" s="34" t="s">
        <v>1666</v>
      </c>
      <c r="E158" s="34" t="s">
        <v>4244</v>
      </c>
      <c r="F158" s="35" t="s">
        <v>4245</v>
      </c>
      <c r="G158" s="35"/>
      <c r="H158" s="36" t="s">
        <v>4222</v>
      </c>
    </row>
    <row r="159" ht="15" customHeight="1">
      <c r="A159" s="33" t="n">
        <v>2025</v>
      </c>
      <c r="B159" s="34" t="s">
        <v>4410</v>
      </c>
      <c r="C159" s="34" t="s">
        <v>4411</v>
      </c>
      <c r="D159" s="34" t="s">
        <v>1281</v>
      </c>
      <c r="E159" s="34" t="s">
        <v>4238</v>
      </c>
      <c r="F159" s="35"/>
      <c r="G159" s="35" t="s">
        <v>4239</v>
      </c>
      <c r="H159" s="36" t="s">
        <v>4225</v>
      </c>
    </row>
    <row r="160" ht="15" customHeight="1">
      <c r="A160" s="33" t="n">
        <v>2025</v>
      </c>
      <c r="B160" s="34" t="s">
        <v>4412</v>
      </c>
      <c r="C160" s="34" t="s">
        <v>2942</v>
      </c>
      <c r="D160" s="34" t="s">
        <v>1643</v>
      </c>
      <c r="E160" s="34" t="s">
        <v>4242</v>
      </c>
      <c r="F160" s="35" t="s">
        <v>4243</v>
      </c>
      <c r="G160" s="35"/>
      <c r="H160" s="36" t="s">
        <v>4222</v>
      </c>
    </row>
    <row r="161" ht="15" customHeight="1">
      <c r="A161" s="33" t="n">
        <v>2025</v>
      </c>
      <c r="B161" s="34" t="s">
        <v>4413</v>
      </c>
      <c r="C161" s="34" t="s">
        <v>2984</v>
      </c>
      <c r="D161" s="34" t="s">
        <v>4383</v>
      </c>
      <c r="E161" s="34" t="s">
        <v>4384</v>
      </c>
      <c r="F161" s="35"/>
      <c r="G161" s="35"/>
      <c r="H161" s="36"/>
    </row>
    <row r="162" ht="15" customHeight="1">
      <c r="A162" s="33" t="n">
        <v>2025</v>
      </c>
      <c r="B162" s="34" t="s">
        <v>4414</v>
      </c>
      <c r="C162" s="34" t="s">
        <v>3061</v>
      </c>
      <c r="D162" s="34" t="s">
        <v>2555</v>
      </c>
      <c r="E162" s="34" t="s">
        <v>4252</v>
      </c>
      <c r="F162" s="35" t="s">
        <v>4253</v>
      </c>
      <c r="G162" s="35"/>
      <c r="H162" s="36" t="s">
        <v>4222</v>
      </c>
    </row>
    <row r="163" ht="15" customHeight="1">
      <c r="A163" s="33" t="n">
        <v>2025</v>
      </c>
      <c r="B163" s="34" t="s">
        <v>4415</v>
      </c>
      <c r="C163" s="34" t="s">
        <v>4316</v>
      </c>
      <c r="D163" s="34" t="s">
        <v>2985</v>
      </c>
      <c r="E163" s="34" t="s">
        <v>4256</v>
      </c>
      <c r="F163" s="35" t="s">
        <v>4257</v>
      </c>
      <c r="G163" s="35"/>
      <c r="H163" s="36" t="s">
        <v>4236</v>
      </c>
    </row>
    <row r="164" ht="15" customHeight="1">
      <c r="A164" s="33" t="n">
        <v>2025</v>
      </c>
      <c r="B164" s="34" t="s">
        <v>4416</v>
      </c>
      <c r="C164" s="34" t="s">
        <v>4367</v>
      </c>
      <c r="D164" s="34" t="s">
        <v>4333</v>
      </c>
      <c r="E164" s="34" t="s">
        <v>4334</v>
      </c>
      <c r="F164" s="35"/>
      <c r="G164" s="35" t="s">
        <v>4335</v>
      </c>
      <c r="H164" s="36" t="s">
        <v>4236</v>
      </c>
    </row>
    <row r="165" ht="15" customHeight="1">
      <c r="A165" s="33" t="n">
        <v>2025</v>
      </c>
      <c r="B165" s="34" t="s">
        <v>4417</v>
      </c>
      <c r="C165" s="34" t="s">
        <v>3171</v>
      </c>
      <c r="D165" s="34" t="s">
        <v>4418</v>
      </c>
      <c r="E165" s="34" t="s">
        <v>4419</v>
      </c>
      <c r="F165" s="35"/>
      <c r="G165" s="35"/>
      <c r="H165" s="36"/>
    </row>
    <row r="166" ht="15" customHeight="1">
      <c r="A166" s="33" t="n">
        <v>2025</v>
      </c>
      <c r="B166" s="34" t="s">
        <v>4420</v>
      </c>
      <c r="C166" s="34" t="s">
        <v>3499</v>
      </c>
      <c r="D166" s="34" t="s">
        <v>2555</v>
      </c>
      <c r="E166" s="34" t="s">
        <v>4252</v>
      </c>
      <c r="F166" s="35" t="s">
        <v>4253</v>
      </c>
      <c r="G166" s="35"/>
      <c r="H166" s="36" t="s">
        <v>4222</v>
      </c>
    </row>
    <row r="167" ht="15" customHeight="1">
      <c r="A167" s="33" t="n">
        <v>2025</v>
      </c>
      <c r="B167" s="34" t="s">
        <v>4421</v>
      </c>
      <c r="C167" s="34" t="s">
        <v>58</v>
      </c>
      <c r="D167" s="34" t="s">
        <v>4292</v>
      </c>
      <c r="E167" s="34" t="s">
        <v>4293</v>
      </c>
      <c r="F167" s="35" t="s">
        <v>4294</v>
      </c>
      <c r="G167" s="35"/>
      <c r="H167" s="36" t="s">
        <v>4222</v>
      </c>
    </row>
    <row r="168">
      <c r="A168" s="37" t="s">
        <v>4422</v>
      </c>
      <c r="B168" s="38" t="s">
        <v>4423</v>
      </c>
      <c r="C168" s="38" t="s">
        <v>4424</v>
      </c>
      <c r="D168" s="38" t="s">
        <v>1643</v>
      </c>
      <c r="E168" s="39" t="s">
        <v>4242</v>
      </c>
      <c r="F168" s="40" t="s">
        <v>4243</v>
      </c>
      <c r="G168" s="40"/>
      <c r="H168" s="40" t="s">
        <v>4222</v>
      </c>
    </row>
    <row r="169">
      <c r="A169" s="37" t="s">
        <v>4422</v>
      </c>
      <c r="B169" s="38" t="s">
        <v>4425</v>
      </c>
      <c r="C169" s="38" t="s">
        <v>4426</v>
      </c>
      <c r="D169" s="38" t="s">
        <v>319</v>
      </c>
      <c r="E169" s="39" t="s">
        <v>4228</v>
      </c>
      <c r="F169" s="40" t="s">
        <v>4229</v>
      </c>
      <c r="G169" s="40"/>
      <c r="H169" s="40" t="s">
        <v>4222</v>
      </c>
    </row>
    <row r="170">
      <c r="A170" s="37" t="s">
        <v>4422</v>
      </c>
      <c r="B170" s="38" t="s">
        <v>4427</v>
      </c>
      <c r="C170" s="38" t="s">
        <v>499</v>
      </c>
      <c r="D170" s="38" t="s">
        <v>500</v>
      </c>
      <c r="E170" s="39" t="s">
        <v>4230</v>
      </c>
      <c r="F170" s="40" t="s">
        <v>4231</v>
      </c>
      <c r="G170" s="40"/>
      <c r="H170" s="40" t="s">
        <v>4225</v>
      </c>
    </row>
    <row r="171">
      <c r="A171" s="37" t="s">
        <v>4422</v>
      </c>
      <c r="B171" s="38" t="s">
        <v>4428</v>
      </c>
      <c r="C171" s="38" t="s">
        <v>4325</v>
      </c>
      <c r="D171" s="38" t="s">
        <v>2121</v>
      </c>
      <c r="E171" s="39" t="s">
        <v>4248</v>
      </c>
      <c r="F171" s="40" t="s">
        <v>4249</v>
      </c>
      <c r="G171" s="40"/>
      <c r="H171" s="40" t="s">
        <v>4225</v>
      </c>
    </row>
    <row r="172">
      <c r="A172" s="37" t="s">
        <v>4422</v>
      </c>
      <c r="B172" s="38" t="s">
        <v>4429</v>
      </c>
      <c r="C172" s="38" t="s">
        <v>4327</v>
      </c>
      <c r="D172" s="38" t="s">
        <v>172</v>
      </c>
      <c r="E172" s="39" t="s">
        <v>4223</v>
      </c>
      <c r="F172" s="40" t="s">
        <v>4224</v>
      </c>
      <c r="G172" s="40"/>
      <c r="H172" s="40" t="s">
        <v>4225</v>
      </c>
    </row>
    <row r="173">
      <c r="A173" s="37" t="s">
        <v>4422</v>
      </c>
      <c r="B173" s="38" t="s">
        <v>4430</v>
      </c>
      <c r="C173" s="38" t="s">
        <v>592</v>
      </c>
      <c r="D173" s="38" t="s">
        <v>3113</v>
      </c>
      <c r="E173" s="39" t="s">
        <v>4259</v>
      </c>
      <c r="F173" s="40" t="s">
        <v>4260</v>
      </c>
      <c r="G173" s="40"/>
      <c r="H173" s="40" t="s">
        <v>4222</v>
      </c>
    </row>
    <row r="174">
      <c r="A174" s="37" t="s">
        <v>4422</v>
      </c>
      <c r="B174" s="38" t="s">
        <v>4431</v>
      </c>
      <c r="C174" s="38" t="s">
        <v>4270</v>
      </c>
      <c r="D174" s="38" t="s">
        <v>2985</v>
      </c>
      <c r="E174" s="39" t="s">
        <v>4256</v>
      </c>
      <c r="F174" s="40" t="s">
        <v>4257</v>
      </c>
      <c r="G174" s="40"/>
      <c r="H174" s="40" t="s">
        <v>4236</v>
      </c>
    </row>
    <row r="175">
      <c r="A175" s="37" t="s">
        <v>4422</v>
      </c>
      <c r="B175" s="38" t="s">
        <v>4432</v>
      </c>
      <c r="C175" s="38" t="s">
        <v>4433</v>
      </c>
      <c r="D175" s="38" t="s">
        <v>4274</v>
      </c>
      <c r="E175" s="39" t="s">
        <v>4275</v>
      </c>
      <c r="F175" s="40" t="s">
        <v>4276</v>
      </c>
      <c r="G175" s="40"/>
      <c r="H175" s="40" t="s">
        <v>4236</v>
      </c>
    </row>
    <row r="176">
      <c r="A176" s="37" t="s">
        <v>4422</v>
      </c>
      <c r="B176" s="38" t="s">
        <v>4434</v>
      </c>
      <c r="C176" s="38" t="s">
        <v>4435</v>
      </c>
      <c r="D176" s="38" t="s">
        <v>4418</v>
      </c>
      <c r="E176" s="39" t="s">
        <v>4419</v>
      </c>
      <c r="F176" s="40"/>
      <c r="G176" s="40"/>
      <c r="H176" s="40"/>
    </row>
    <row r="177">
      <c r="A177" s="37" t="s">
        <v>4422</v>
      </c>
      <c r="B177" s="38" t="s">
        <v>4436</v>
      </c>
      <c r="C177" s="38" t="s">
        <v>4437</v>
      </c>
      <c r="D177" s="38" t="s">
        <v>4438</v>
      </c>
      <c r="E177" s="39" t="s">
        <v>4439</v>
      </c>
      <c r="F177" s="40" t="s">
        <v>4440</v>
      </c>
      <c r="G177" s="40"/>
      <c r="H177" s="40" t="s">
        <v>4225</v>
      </c>
    </row>
    <row r="178">
      <c r="A178" s="37" t="s">
        <v>4422</v>
      </c>
      <c r="B178" s="38" t="s">
        <v>4441</v>
      </c>
      <c r="C178" s="38" t="s">
        <v>4442</v>
      </c>
      <c r="D178" s="38" t="s">
        <v>319</v>
      </c>
      <c r="E178" s="39" t="s">
        <v>4228</v>
      </c>
      <c r="F178" s="40" t="s">
        <v>4229</v>
      </c>
      <c r="G178" s="40"/>
      <c r="H178" s="40" t="s">
        <v>4222</v>
      </c>
    </row>
    <row r="179">
      <c r="A179" s="37" t="s">
        <v>4422</v>
      </c>
      <c r="B179" s="38" t="s">
        <v>4443</v>
      </c>
      <c r="C179" s="38" t="s">
        <v>1213</v>
      </c>
      <c r="D179" s="38" t="s">
        <v>4383</v>
      </c>
      <c r="E179" s="39" t="s">
        <v>4384</v>
      </c>
      <c r="F179" s="40"/>
      <c r="G179" s="40"/>
      <c r="H179" s="40"/>
    </row>
    <row r="180">
      <c r="A180" s="37" t="s">
        <v>4422</v>
      </c>
      <c r="B180" s="38" t="s">
        <v>4444</v>
      </c>
      <c r="C180" s="38" t="s">
        <v>1404</v>
      </c>
      <c r="D180" s="38" t="s">
        <v>281</v>
      </c>
      <c r="E180" s="39" t="s">
        <v>4226</v>
      </c>
      <c r="F180" s="40" t="s">
        <v>4227</v>
      </c>
      <c r="G180" s="40"/>
      <c r="H180" s="40" t="s">
        <v>4222</v>
      </c>
    </row>
    <row r="181">
      <c r="A181" s="37" t="s">
        <v>4422</v>
      </c>
      <c r="B181" s="38" t="s">
        <v>4445</v>
      </c>
      <c r="C181" s="38" t="s">
        <v>4446</v>
      </c>
      <c r="D181" s="38" t="s">
        <v>281</v>
      </c>
      <c r="E181" s="39" t="s">
        <v>4226</v>
      </c>
      <c r="F181" s="40" t="s">
        <v>4227</v>
      </c>
      <c r="G181" s="40"/>
      <c r="H181" s="40" t="s">
        <v>4222</v>
      </c>
    </row>
    <row r="182">
      <c r="A182" s="37" t="s">
        <v>4422</v>
      </c>
      <c r="B182" s="38" t="s">
        <v>4447</v>
      </c>
      <c r="C182" s="38" t="s">
        <v>1522</v>
      </c>
      <c r="D182" s="38" t="s">
        <v>1643</v>
      </c>
      <c r="E182" s="39" t="s">
        <v>4242</v>
      </c>
      <c r="F182" s="40" t="s">
        <v>4243</v>
      </c>
      <c r="G182" s="40"/>
      <c r="H182" s="40" t="s">
        <v>4222</v>
      </c>
    </row>
    <row r="183">
      <c r="A183" s="37" t="s">
        <v>4422</v>
      </c>
      <c r="B183" s="38" t="s">
        <v>4448</v>
      </c>
      <c r="C183" s="38" t="s">
        <v>1585</v>
      </c>
      <c r="D183" s="38" t="s">
        <v>172</v>
      </c>
      <c r="E183" s="39" t="s">
        <v>4223</v>
      </c>
      <c r="F183" s="40" t="s">
        <v>4224</v>
      </c>
      <c r="G183" s="40"/>
      <c r="H183" s="40" t="s">
        <v>4225</v>
      </c>
    </row>
    <row r="184">
      <c r="A184" s="37" t="s">
        <v>4422</v>
      </c>
      <c r="B184" s="38" t="s">
        <v>4449</v>
      </c>
      <c r="C184" s="38" t="s">
        <v>4450</v>
      </c>
      <c r="D184" s="38" t="s">
        <v>4292</v>
      </c>
      <c r="E184" s="39" t="s">
        <v>4293</v>
      </c>
      <c r="F184" s="40" t="s">
        <v>4294</v>
      </c>
      <c r="G184" s="40"/>
      <c r="H184" s="40" t="s">
        <v>4222</v>
      </c>
    </row>
    <row r="185">
      <c r="A185" s="37" t="s">
        <v>4422</v>
      </c>
      <c r="B185" s="38" t="s">
        <v>4451</v>
      </c>
      <c r="C185" s="38" t="s">
        <v>1665</v>
      </c>
      <c r="D185" s="38" t="s">
        <v>2555</v>
      </c>
      <c r="E185" s="39" t="s">
        <v>4252</v>
      </c>
      <c r="F185" s="40" t="s">
        <v>4253</v>
      </c>
      <c r="G185" s="40"/>
      <c r="H185" s="40" t="s">
        <v>4222</v>
      </c>
    </row>
    <row r="186">
      <c r="A186" s="37" t="s">
        <v>4422</v>
      </c>
      <c r="B186" s="38" t="s">
        <v>4452</v>
      </c>
      <c r="C186" s="38" t="s">
        <v>4453</v>
      </c>
      <c r="D186" s="38" t="s">
        <v>172</v>
      </c>
      <c r="E186" s="39" t="s">
        <v>4223</v>
      </c>
      <c r="F186" s="40" t="s">
        <v>4224</v>
      </c>
      <c r="G186" s="40"/>
      <c r="H186" s="40" t="s">
        <v>4225</v>
      </c>
    </row>
    <row r="187">
      <c r="A187" s="37" t="s">
        <v>4422</v>
      </c>
      <c r="B187" s="38" t="s">
        <v>4454</v>
      </c>
      <c r="C187" s="38" t="s">
        <v>1746</v>
      </c>
      <c r="D187" s="38" t="s">
        <v>1214</v>
      </c>
      <c r="E187" s="39" t="s">
        <v>4237</v>
      </c>
      <c r="F187" s="40"/>
      <c r="G187" s="40"/>
      <c r="H187" s="40"/>
    </row>
    <row r="188" ht="28.5" customHeight="1">
      <c r="A188" s="37" t="s">
        <v>4422</v>
      </c>
      <c r="B188" s="38" t="s">
        <v>4455</v>
      </c>
      <c r="C188" s="38" t="s">
        <v>4456</v>
      </c>
      <c r="D188" s="38" t="s">
        <v>876</v>
      </c>
      <c r="E188" s="39" t="s">
        <v>4234</v>
      </c>
      <c r="F188" s="40" t="s">
        <v>4235</v>
      </c>
      <c r="G188" s="40"/>
      <c r="H188" s="40" t="s">
        <v>4236</v>
      </c>
    </row>
    <row r="189">
      <c r="A189" s="37" t="s">
        <v>4422</v>
      </c>
      <c r="B189" s="38" t="s">
        <v>4457</v>
      </c>
      <c r="C189" s="38" t="s">
        <v>4350</v>
      </c>
      <c r="D189" s="38" t="s">
        <v>2985</v>
      </c>
      <c r="E189" s="39" t="s">
        <v>4256</v>
      </c>
      <c r="F189" s="40" t="s">
        <v>4257</v>
      </c>
      <c r="G189" s="40"/>
      <c r="H189" s="40" t="s">
        <v>4236</v>
      </c>
    </row>
    <row r="190">
      <c r="A190" s="37" t="s">
        <v>4422</v>
      </c>
      <c r="B190" s="38" t="s">
        <v>4458</v>
      </c>
      <c r="C190" s="38" t="s">
        <v>4459</v>
      </c>
      <c r="D190" s="38" t="s">
        <v>2555</v>
      </c>
      <c r="E190" s="39" t="s">
        <v>4252</v>
      </c>
      <c r="F190" s="40" t="s">
        <v>4253</v>
      </c>
      <c r="G190" s="40"/>
      <c r="H190" s="40" t="s">
        <v>4222</v>
      </c>
    </row>
    <row r="191">
      <c r="A191" s="37" t="s">
        <v>4422</v>
      </c>
      <c r="B191" s="38" t="s">
        <v>4460</v>
      </c>
      <c r="C191" s="38" t="s">
        <v>4461</v>
      </c>
      <c r="D191" s="38" t="s">
        <v>2121</v>
      </c>
      <c r="E191" s="39" t="s">
        <v>4248</v>
      </c>
      <c r="F191" s="40" t="s">
        <v>4249</v>
      </c>
      <c r="G191" s="40"/>
      <c r="H191" s="40" t="s">
        <v>4225</v>
      </c>
    </row>
    <row r="192">
      <c r="A192" s="37" t="s">
        <v>4422</v>
      </c>
      <c r="B192" s="38" t="s">
        <v>4462</v>
      </c>
      <c r="C192" s="38" t="s">
        <v>4463</v>
      </c>
      <c r="D192" s="38" t="s">
        <v>281</v>
      </c>
      <c r="E192" s="39" t="s">
        <v>4226</v>
      </c>
      <c r="F192" s="40" t="s">
        <v>4227</v>
      </c>
      <c r="G192" s="40"/>
      <c r="H192" s="40" t="s">
        <v>4222</v>
      </c>
    </row>
    <row r="193">
      <c r="A193" s="37" t="s">
        <v>4422</v>
      </c>
      <c r="B193" s="38" t="s">
        <v>4464</v>
      </c>
      <c r="C193" s="38" t="s">
        <v>2299</v>
      </c>
      <c r="D193" s="38" t="s">
        <v>319</v>
      </c>
      <c r="E193" s="39" t="s">
        <v>4228</v>
      </c>
      <c r="F193" s="40" t="s">
        <v>4229</v>
      </c>
      <c r="G193" s="40"/>
      <c r="H193" s="40" t="s">
        <v>4222</v>
      </c>
    </row>
    <row r="194">
      <c r="A194" s="37" t="s">
        <v>4422</v>
      </c>
      <c r="B194" s="38" t="s">
        <v>4465</v>
      </c>
      <c r="C194" s="38" t="s">
        <v>2364</v>
      </c>
      <c r="D194" s="38" t="s">
        <v>3113</v>
      </c>
      <c r="E194" s="39" t="s">
        <v>4259</v>
      </c>
      <c r="F194" s="40" t="s">
        <v>4260</v>
      </c>
      <c r="G194" s="40"/>
      <c r="H194" s="40" t="s">
        <v>4222</v>
      </c>
    </row>
    <row r="195">
      <c r="A195" s="37" t="s">
        <v>4422</v>
      </c>
      <c r="B195" s="38" t="s">
        <v>4466</v>
      </c>
      <c r="C195" s="38" t="s">
        <v>4467</v>
      </c>
      <c r="D195" s="38" t="s">
        <v>3050</v>
      </c>
      <c r="E195" s="39" t="s">
        <v>4258</v>
      </c>
      <c r="F195" s="40"/>
      <c r="G195" s="40"/>
      <c r="H195" s="40"/>
    </row>
    <row r="196">
      <c r="A196" s="37" t="s">
        <v>4422</v>
      </c>
      <c r="B196" s="38" t="s">
        <v>4468</v>
      </c>
      <c r="C196" s="38" t="s">
        <v>4469</v>
      </c>
      <c r="D196" s="38" t="s">
        <v>1643</v>
      </c>
      <c r="E196" s="39" t="s">
        <v>4242</v>
      </c>
      <c r="F196" s="40" t="s">
        <v>4243</v>
      </c>
      <c r="G196" s="40"/>
      <c r="H196" s="40" t="s">
        <v>4222</v>
      </c>
    </row>
    <row r="197">
      <c r="A197" s="37" t="s">
        <v>4422</v>
      </c>
      <c r="B197" s="38" t="s">
        <v>4470</v>
      </c>
      <c r="C197" s="38" t="s">
        <v>4471</v>
      </c>
      <c r="D197" s="38" t="s">
        <v>3113</v>
      </c>
      <c r="E197" s="39" t="s">
        <v>4259</v>
      </c>
      <c r="F197" s="40" t="s">
        <v>4260</v>
      </c>
      <c r="G197" s="40"/>
      <c r="H197" s="40" t="s">
        <v>4222</v>
      </c>
    </row>
    <row r="198">
      <c r="A198" s="37" t="s">
        <v>4422</v>
      </c>
      <c r="B198" s="38" t="s">
        <v>4472</v>
      </c>
      <c r="C198" s="38" t="s">
        <v>2709</v>
      </c>
      <c r="D198" s="38" t="s">
        <v>2121</v>
      </c>
      <c r="E198" s="39" t="s">
        <v>4248</v>
      </c>
      <c r="F198" s="40" t="s">
        <v>4249</v>
      </c>
      <c r="G198" s="40"/>
      <c r="H198" s="40" t="s">
        <v>4225</v>
      </c>
    </row>
    <row r="199">
      <c r="A199" s="37" t="s">
        <v>4422</v>
      </c>
      <c r="B199" s="38" t="s">
        <v>4473</v>
      </c>
      <c r="C199" s="38" t="s">
        <v>4474</v>
      </c>
      <c r="D199" s="38" t="s">
        <v>2121</v>
      </c>
      <c r="E199" s="39" t="s">
        <v>4248</v>
      </c>
      <c r="F199" s="40" t="s">
        <v>4249</v>
      </c>
      <c r="G199" s="40"/>
      <c r="H199" s="40" t="s">
        <v>4225</v>
      </c>
    </row>
    <row r="200">
      <c r="A200" s="37" t="s">
        <v>4422</v>
      </c>
      <c r="B200" s="38" t="s">
        <v>4475</v>
      </c>
      <c r="C200" s="38" t="s">
        <v>2811</v>
      </c>
      <c r="D200" s="38" t="s">
        <v>1666</v>
      </c>
      <c r="E200" s="39" t="s">
        <v>4244</v>
      </c>
      <c r="F200" s="40" t="s">
        <v>4245</v>
      </c>
      <c r="G200" s="40"/>
      <c r="H200" s="40" t="s">
        <v>4222</v>
      </c>
    </row>
    <row r="201">
      <c r="A201" s="37" t="s">
        <v>4422</v>
      </c>
      <c r="B201" s="38" t="s">
        <v>4476</v>
      </c>
      <c r="C201" s="38" t="s">
        <v>2887</v>
      </c>
      <c r="D201" s="38" t="s">
        <v>2555</v>
      </c>
      <c r="E201" s="39" t="s">
        <v>4252</v>
      </c>
      <c r="F201" s="40" t="s">
        <v>4253</v>
      </c>
      <c r="G201" s="40"/>
      <c r="H201" s="40" t="s">
        <v>4222</v>
      </c>
    </row>
    <row r="202">
      <c r="A202" s="37" t="s">
        <v>4422</v>
      </c>
      <c r="B202" s="38" t="s">
        <v>4477</v>
      </c>
      <c r="C202" s="38" t="s">
        <v>4478</v>
      </c>
      <c r="D202" s="38" t="s">
        <v>4274</v>
      </c>
      <c r="E202" s="39" t="s">
        <v>4275</v>
      </c>
      <c r="F202" s="40" t="s">
        <v>4276</v>
      </c>
      <c r="G202" s="40"/>
      <c r="H202" s="40" t="s">
        <v>4236</v>
      </c>
    </row>
    <row r="203">
      <c r="A203" s="37" t="s">
        <v>4422</v>
      </c>
      <c r="B203" s="38" t="s">
        <v>4479</v>
      </c>
      <c r="C203" s="38" t="s">
        <v>4480</v>
      </c>
      <c r="D203" s="38" t="s">
        <v>3113</v>
      </c>
      <c r="E203" s="39" t="s">
        <v>4259</v>
      </c>
      <c r="F203" s="40" t="s">
        <v>4260</v>
      </c>
      <c r="G203" s="40"/>
      <c r="H203" s="40" t="s">
        <v>4222</v>
      </c>
    </row>
    <row r="204">
      <c r="A204" s="37" t="s">
        <v>4422</v>
      </c>
      <c r="B204" s="38" t="s">
        <v>4481</v>
      </c>
      <c r="C204" s="38" t="s">
        <v>4482</v>
      </c>
      <c r="D204" s="38" t="s">
        <v>1666</v>
      </c>
      <c r="E204" s="39" t="s">
        <v>4244</v>
      </c>
      <c r="F204" s="40" t="s">
        <v>4245</v>
      </c>
      <c r="G204" s="40"/>
      <c r="H204" s="40" t="s">
        <v>4222</v>
      </c>
    </row>
    <row r="205">
      <c r="A205" s="37" t="s">
        <v>4422</v>
      </c>
      <c r="B205" s="38" t="s">
        <v>4483</v>
      </c>
      <c r="C205" s="38" t="s">
        <v>4484</v>
      </c>
      <c r="D205" s="38" t="s">
        <v>3113</v>
      </c>
      <c r="E205" s="39" t="s">
        <v>4259</v>
      </c>
      <c r="F205" s="40" t="s">
        <v>4260</v>
      </c>
      <c r="G205" s="40"/>
      <c r="H205" s="40" t="s">
        <v>4222</v>
      </c>
    </row>
    <row r="206">
      <c r="A206" s="37" t="s">
        <v>4422</v>
      </c>
      <c r="B206" s="38" t="s">
        <v>4485</v>
      </c>
      <c r="C206" s="38" t="s">
        <v>4486</v>
      </c>
      <c r="D206" s="38" t="s">
        <v>3113</v>
      </c>
      <c r="E206" s="39" t="s">
        <v>4259</v>
      </c>
      <c r="F206" s="40" t="s">
        <v>4260</v>
      </c>
      <c r="G206" s="40"/>
      <c r="H206" s="40" t="s">
        <v>4222</v>
      </c>
    </row>
    <row r="207">
      <c r="A207" s="37" t="s">
        <v>4422</v>
      </c>
      <c r="B207" s="38" t="s">
        <v>4487</v>
      </c>
      <c r="C207" s="38" t="s">
        <v>4367</v>
      </c>
      <c r="D207" s="38" t="s">
        <v>4333</v>
      </c>
      <c r="E207" s="39" t="s">
        <v>4334</v>
      </c>
      <c r="F207" s="40"/>
      <c r="G207" s="40" t="s">
        <v>4335</v>
      </c>
      <c r="H207" s="40" t="s">
        <v>4236</v>
      </c>
    </row>
    <row r="208">
      <c r="A208" s="37" t="s">
        <v>4422</v>
      </c>
      <c r="B208" s="38" t="s">
        <v>4488</v>
      </c>
      <c r="C208" s="38" t="s">
        <v>3171</v>
      </c>
      <c r="D208" s="38" t="s">
        <v>4418</v>
      </c>
      <c r="E208" s="39" t="s">
        <v>4419</v>
      </c>
      <c r="F208" s="40"/>
      <c r="G208" s="40"/>
      <c r="H208" s="40"/>
    </row>
  </sheetData>
  <pageMargins left="0.7" right="0.7" top="0.75" bottom="0.75" header="0.3" footer="0.3"/>
  <pageSetup paperSize="9" orientation="portrait" horizontalDpi="300" verticalDpi="300" r:id="rId2"/>
  <tableParts count="1">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cols>
    <col min="1" max="1" width="49.75" hidden="0" customWidth="1"/>
    <col min="2" max="2" width="50.75" hidden="0" customWidth="1"/>
    <col min="3" max="3" width="69.375" hidden="0" customWidth="1"/>
    <col min="4" max="4" width="22.625" hidden="0" customWidth="1"/>
    <col min="5" max="5" width="23.75" hidden="0" customWidth="1"/>
    <col min="6" max="6" width="18" hidden="0" customWidth="1"/>
    <col min="7" max="7" width="36" hidden="0" customWidth="1"/>
    <col min="8" max="8" width="18" hidden="0" customWidth="1"/>
    <col min="9" max="9" width="18" hidden="0" customWidth="1"/>
    <col min="10" max="10" width="18" hidden="0" customWidth="1"/>
    <col min="11" max="11" width="18" hidden="0" customWidth="1"/>
    <col min="12" max="12" width="18" hidden="0" customWidth="1"/>
    <col min="13" max="13" width="18" hidden="0" customWidth="1"/>
  </cols>
  <sheetData>
    <row r="1" ht="15" customHeight="1">
      <c r="A1" s="10" t="s">
        <v>4489</v>
      </c>
      <c r="B1" s="10" t="s">
        <v>0</v>
      </c>
      <c r="C1" s="10" t="s">
        <v>4490</v>
      </c>
      <c r="D1" s="10" t="s">
        <v>4491</v>
      </c>
      <c r="E1" s="10" t="s">
        <v>4492</v>
      </c>
      <c r="F1" s="10" t="s">
        <v>4493</v>
      </c>
      <c r="G1" s="10" t="s">
        <v>4494</v>
      </c>
      <c r="H1" s="10" t="s">
        <v>4495</v>
      </c>
      <c r="I1" s="10" t="s">
        <v>4496</v>
      </c>
      <c r="J1" s="10" t="s">
        <v>4497</v>
      </c>
      <c r="K1" s="10" t="s">
        <v>4498</v>
      </c>
      <c r="L1" s="10" t="s">
        <v>4499</v>
      </c>
      <c r="M1" s="10" t="s">
        <v>4500</v>
      </c>
    </row>
    <row r="2">
      <c r="A2" s="20" t="s">
        <v>4501</v>
      </c>
      <c r="B2" s="20" t="s">
        <v>2697</v>
      </c>
      <c r="C2" s="60" t="s">
        <v>4502</v>
      </c>
      <c r="D2" s="61" t="s">
        <v>4503</v>
      </c>
      <c r="E2" s="61" t="s">
        <v>4504</v>
      </c>
      <c r="F2" s="61" t="s">
        <v>4505</v>
      </c>
      <c r="G2" s="60" t="s">
        <v>4506</v>
      </c>
      <c r="H2" s="61" t="n">
        <v>2391</v>
      </c>
    </row>
    <row r="3">
      <c r="A3" s="20" t="s">
        <v>4507</v>
      </c>
      <c r="B3" s="20" t="s">
        <v>1840</v>
      </c>
      <c r="C3" s="60" t="s">
        <v>1843</v>
      </c>
      <c r="D3" s="60" t="s">
        <v>4508</v>
      </c>
      <c r="E3" s="60" t="s">
        <v>4504</v>
      </c>
      <c r="F3" s="60" t="s">
        <v>4509</v>
      </c>
      <c r="G3" s="60" t="s">
        <v>4510</v>
      </c>
      <c r="H3" s="60" t="n">
        <v>570</v>
      </c>
      <c r="I3" s="60"/>
      <c r="J3" s="20"/>
      <c r="K3" s="20"/>
      <c r="L3" s="20"/>
      <c r="M3" s="20"/>
    </row>
    <row r="4">
      <c r="A4" s="20" t="s">
        <v>4511</v>
      </c>
      <c r="B4" s="20" t="s">
        <v>1845</v>
      </c>
      <c r="C4" s="61" t="s">
        <v>4512</v>
      </c>
      <c r="D4" s="60" t="s">
        <v>4513</v>
      </c>
      <c r="E4" s="60" t="s">
        <v>4504</v>
      </c>
      <c r="F4" s="60" t="s">
        <v>4509</v>
      </c>
      <c r="G4" s="60" t="s">
        <v>4514</v>
      </c>
      <c r="H4" s="60" t="n">
        <v>514</v>
      </c>
      <c r="I4" s="60" t="s">
        <v>4515</v>
      </c>
      <c r="J4" s="20"/>
      <c r="K4" s="20"/>
      <c r="L4" s="20"/>
      <c r="M4" s="20"/>
    </row>
    <row r="5">
      <c r="A5" s="20" t="s">
        <v>4516</v>
      </c>
      <c r="B5" s="20" t="s">
        <v>1859</v>
      </c>
      <c r="C5" s="60" t="s">
        <v>1864</v>
      </c>
      <c r="D5" s="60" t="s">
        <v>4517</v>
      </c>
      <c r="E5" s="60" t="s">
        <v>4504</v>
      </c>
      <c r="F5" s="60" t="s">
        <v>4509</v>
      </c>
      <c r="G5" s="60" t="s">
        <v>4518</v>
      </c>
      <c r="H5" s="60" t="n">
        <v>1485</v>
      </c>
      <c r="I5" s="60"/>
      <c r="J5" s="20"/>
      <c r="K5" s="20"/>
      <c r="L5" s="20"/>
      <c r="M5" s="20"/>
    </row>
    <row r="6">
      <c r="A6" s="20" t="s">
        <v>4519</v>
      </c>
      <c r="B6" s="20" t="s">
        <v>1849</v>
      </c>
      <c r="C6" s="61" t="s">
        <v>4520</v>
      </c>
      <c r="D6" s="60" t="s">
        <v>4521</v>
      </c>
      <c r="E6" s="60" t="s">
        <v>4522</v>
      </c>
      <c r="F6" s="60" t="s">
        <v>4523</v>
      </c>
      <c r="G6" s="60" t="s">
        <v>4524</v>
      </c>
      <c r="H6" s="60" t="n">
        <v>445</v>
      </c>
      <c r="I6" s="60" t="s">
        <v>4525</v>
      </c>
      <c r="J6" s="20"/>
      <c r="K6" s="20"/>
      <c r="L6" s="20"/>
      <c r="M6" s="20"/>
    </row>
    <row r="7">
      <c r="A7" s="20" t="s">
        <v>4526</v>
      </c>
      <c r="B7" s="20" t="s">
        <v>1834</v>
      </c>
      <c r="C7" s="61" t="s">
        <v>4527</v>
      </c>
      <c r="D7" s="60" t="s">
        <v>4528</v>
      </c>
      <c r="E7" s="60" t="s">
        <v>4504</v>
      </c>
      <c r="F7" s="60" t="s">
        <v>4509</v>
      </c>
      <c r="G7" s="60" t="s">
        <v>4529</v>
      </c>
      <c r="H7" s="60" t="n">
        <v>102</v>
      </c>
      <c r="I7" s="60" t="s">
        <v>4530</v>
      </c>
      <c r="J7" s="20"/>
      <c r="K7" s="20"/>
      <c r="L7" s="20"/>
      <c r="M7" s="20"/>
    </row>
    <row r="8">
      <c r="A8" s="20" t="s">
        <v>4531</v>
      </c>
      <c r="B8" s="20" t="s">
        <v>2701</v>
      </c>
      <c r="C8" s="60" t="s">
        <v>2704</v>
      </c>
      <c r="D8" s="61" t="s">
        <v>4532</v>
      </c>
      <c r="E8" s="61" t="s">
        <v>4533</v>
      </c>
      <c r="F8" s="61" t="s">
        <v>4534</v>
      </c>
      <c r="G8" s="60" t="s">
        <v>4535</v>
      </c>
      <c r="H8" s="61" t="n">
        <v>320</v>
      </c>
      <c r="I8" s="61" t="s">
        <v>4536</v>
      </c>
    </row>
    <row r="9">
      <c r="A9" s="20" t="s">
        <v>4537</v>
      </c>
      <c r="B9" s="20" t="s">
        <v>3088</v>
      </c>
      <c r="C9" s="60" t="s">
        <v>3091</v>
      </c>
      <c r="D9" s="61" t="s">
        <v>4538</v>
      </c>
      <c r="E9" s="61" t="s">
        <v>4539</v>
      </c>
      <c r="F9" s="61" t="s">
        <v>4540</v>
      </c>
      <c r="G9" s="60" t="s">
        <v>4541</v>
      </c>
      <c r="H9" s="61" t="n">
        <v>25</v>
      </c>
    </row>
    <row r="10" ht="28.5" customHeight="1">
      <c r="A10" s="20" t="s">
        <v>4542</v>
      </c>
      <c r="B10" s="20" t="s">
        <v>1898</v>
      </c>
      <c r="C10" s="60" t="s">
        <v>1902</v>
      </c>
      <c r="D10" s="60" t="s">
        <v>4513</v>
      </c>
      <c r="E10" s="60" t="s">
        <v>4504</v>
      </c>
      <c r="F10" s="60" t="s">
        <v>4509</v>
      </c>
      <c r="G10" s="60" t="s">
        <v>4543</v>
      </c>
      <c r="H10" s="60"/>
      <c r="I10" s="60"/>
      <c r="J10" s="20"/>
      <c r="K10" s="20"/>
      <c r="L10" s="20"/>
      <c r="M10" s="20"/>
    </row>
    <row r="11" ht="28.5" customHeight="1">
      <c r="A11" s="20" t="s">
        <v>4544</v>
      </c>
      <c r="B11" s="20" t="s">
        <v>3551</v>
      </c>
      <c r="C11" s="60" t="s">
        <v>4544</v>
      </c>
      <c r="D11" s="61" t="s">
        <v>4545</v>
      </c>
      <c r="E11" s="61" t="s">
        <v>4546</v>
      </c>
      <c r="F11" s="61" t="s">
        <v>4547</v>
      </c>
      <c r="G11" s="60" t="s">
        <v>4548</v>
      </c>
    </row>
    <row r="12" ht="28.5" customHeight="1">
      <c r="A12" s="20" t="s">
        <v>4549</v>
      </c>
      <c r="B12" s="20" t="s">
        <v>4550</v>
      </c>
      <c r="C12" s="60" t="s">
        <v>2304</v>
      </c>
      <c r="D12" s="60" t="s">
        <v>4551</v>
      </c>
      <c r="E12" s="60" t="s">
        <v>4522</v>
      </c>
      <c r="F12" s="60" t="s">
        <v>4552</v>
      </c>
      <c r="G12" s="60" t="s">
        <v>4553</v>
      </c>
      <c r="H12" s="60"/>
      <c r="I12" s="60"/>
      <c r="J12" s="20"/>
      <c r="K12" s="20"/>
      <c r="L12" s="20"/>
      <c r="M12" s="20"/>
    </row>
    <row r="13" ht="28.5" customHeight="1">
      <c r="A13" s="20" t="s">
        <v>4554</v>
      </c>
      <c r="B13" s="20" t="s">
        <v>4555</v>
      </c>
      <c r="C13" s="60" t="s">
        <v>2686</v>
      </c>
      <c r="D13" s="61" t="s">
        <v>4556</v>
      </c>
      <c r="E13" s="61" t="s">
        <v>4557</v>
      </c>
      <c r="F13" s="61" t="s">
        <v>4558</v>
      </c>
      <c r="G13" s="60" t="s">
        <v>4559</v>
      </c>
      <c r="H13" s="61" t="n">
        <v>777</v>
      </c>
    </row>
    <row r="14" ht="28.5" customHeight="1">
      <c r="A14" s="20" t="s">
        <v>4560</v>
      </c>
      <c r="B14" s="20" t="s">
        <v>2332</v>
      </c>
      <c r="C14" s="60" t="s">
        <v>2338</v>
      </c>
      <c r="D14" s="60" t="s">
        <v>4561</v>
      </c>
      <c r="E14" s="60" t="s">
        <v>4546</v>
      </c>
      <c r="F14" s="60" t="s">
        <v>4547</v>
      </c>
      <c r="G14" s="60" t="s">
        <v>4562</v>
      </c>
      <c r="H14" s="60" t="n">
        <v>1094</v>
      </c>
      <c r="I14" s="60"/>
      <c r="J14" s="20"/>
      <c r="K14" s="20"/>
      <c r="L14" s="20"/>
      <c r="M14" s="20"/>
    </row>
    <row r="15">
      <c r="A15" s="56" t="s">
        <v>4563</v>
      </c>
      <c r="B15" s="20" t="s">
        <v>293</v>
      </c>
      <c r="C15" s="60" t="s">
        <v>4564</v>
      </c>
      <c r="D15" s="60" t="s">
        <v>4565</v>
      </c>
      <c r="E15" s="60" t="s">
        <v>4539</v>
      </c>
      <c r="F15" s="60" t="s">
        <v>4566</v>
      </c>
      <c r="G15" s="60" t="s">
        <v>4567</v>
      </c>
      <c r="H15" s="60" t="n">
        <v>501</v>
      </c>
      <c r="I15" s="60"/>
      <c r="J15" s="20"/>
      <c r="K15" s="20"/>
      <c r="L15" s="20"/>
      <c r="M15" s="20"/>
    </row>
    <row r="16">
      <c r="A16" s="56" t="s">
        <v>4568</v>
      </c>
      <c r="B16" s="20" t="s">
        <v>475</v>
      </c>
      <c r="C16" s="60" t="s">
        <v>4569</v>
      </c>
      <c r="D16" s="60" t="s">
        <v>4570</v>
      </c>
      <c r="E16" s="60" t="s">
        <v>4533</v>
      </c>
      <c r="F16" s="60" t="s">
        <v>4571</v>
      </c>
      <c r="G16" s="60" t="s">
        <v>4572</v>
      </c>
      <c r="H16" s="60" t="n">
        <v>189</v>
      </c>
      <c r="I16" s="61" t="s">
        <v>4573</v>
      </c>
      <c r="J16" s="20"/>
      <c r="K16" s="20"/>
      <c r="L16" s="20"/>
      <c r="M16" s="20"/>
    </row>
    <row r="17">
      <c r="A17" s="56" t="s">
        <v>4574</v>
      </c>
      <c r="B17" s="20" t="s">
        <v>4575</v>
      </c>
      <c r="C17" s="60" t="s">
        <v>3375</v>
      </c>
      <c r="D17" s="61" t="s">
        <v>4576</v>
      </c>
      <c r="E17" s="61" t="s">
        <v>4577</v>
      </c>
      <c r="F17" s="61" t="s">
        <v>4578</v>
      </c>
      <c r="G17" s="60" t="s">
        <v>4579</v>
      </c>
      <c r="H17" s="61" t="n">
        <v>916</v>
      </c>
    </row>
    <row r="18">
      <c r="A18" s="56" t="s">
        <v>4580</v>
      </c>
      <c r="B18" s="20" t="s">
        <v>3407</v>
      </c>
      <c r="C18" s="60" t="s">
        <v>3410</v>
      </c>
      <c r="D18" s="61" t="s">
        <v>4581</v>
      </c>
      <c r="E18" s="61" t="s">
        <v>4577</v>
      </c>
      <c r="F18" s="61" t="s">
        <v>4578</v>
      </c>
      <c r="G18" s="60" t="s">
        <v>4582</v>
      </c>
      <c r="H18" s="61" t="n">
        <v>48</v>
      </c>
    </row>
    <row r="19">
      <c r="A19" s="56" t="s">
        <v>4583</v>
      </c>
      <c r="B19" s="20" t="s">
        <v>287</v>
      </c>
      <c r="C19" s="60" t="s">
        <v>4584</v>
      </c>
      <c r="D19" s="60" t="s">
        <v>4565</v>
      </c>
      <c r="E19" s="60" t="s">
        <v>4539</v>
      </c>
      <c r="F19" s="60" t="s">
        <v>4566</v>
      </c>
      <c r="G19" s="60" t="s">
        <v>4585</v>
      </c>
      <c r="H19" s="60" t="n">
        <v>408</v>
      </c>
      <c r="I19" s="60" t="s">
        <v>4586</v>
      </c>
      <c r="J19" s="20"/>
      <c r="K19" s="20"/>
      <c r="L19" s="20"/>
      <c r="M19" s="20"/>
    </row>
    <row r="20">
      <c r="A20" s="56" t="s">
        <v>4587</v>
      </c>
      <c r="B20" s="20" t="s">
        <v>488</v>
      </c>
      <c r="C20" s="60" t="s">
        <v>4588</v>
      </c>
      <c r="D20" s="60" t="s">
        <v>4589</v>
      </c>
      <c r="E20" s="60" t="s">
        <v>4533</v>
      </c>
      <c r="F20" s="60" t="s">
        <v>4571</v>
      </c>
      <c r="G20" s="60" t="s">
        <v>4590</v>
      </c>
      <c r="H20" s="60" t="n">
        <v>7883</v>
      </c>
      <c r="I20" s="60"/>
      <c r="J20" s="20"/>
      <c r="K20" s="20"/>
      <c r="L20" s="20"/>
      <c r="M20" s="20"/>
    </row>
    <row r="21" ht="28.5" customHeight="1">
      <c r="A21" s="56" t="s">
        <v>4591</v>
      </c>
      <c r="B21" s="20" t="s">
        <v>1688</v>
      </c>
      <c r="C21" s="60" t="s">
        <v>1692</v>
      </c>
      <c r="D21" s="60" t="s">
        <v>1832</v>
      </c>
      <c r="E21" s="60" t="s">
        <v>4504</v>
      </c>
      <c r="F21" s="60" t="s">
        <v>4509</v>
      </c>
      <c r="G21" s="60" t="s">
        <v>4592</v>
      </c>
      <c r="H21" s="60" t="n">
        <v>579</v>
      </c>
      <c r="I21" s="60" t="s">
        <v>4593</v>
      </c>
      <c r="J21" s="20"/>
      <c r="K21" s="20"/>
      <c r="L21" s="20"/>
      <c r="M21" s="20"/>
    </row>
    <row r="22">
      <c r="A22" s="56" t="s">
        <v>4594</v>
      </c>
      <c r="B22" s="20" t="s">
        <v>2954</v>
      </c>
      <c r="C22" s="61" t="s">
        <v>4595</v>
      </c>
      <c r="D22" s="61" t="s">
        <v>4596</v>
      </c>
      <c r="E22" s="61" t="s">
        <v>4597</v>
      </c>
      <c r="F22" s="61" t="s">
        <v>4598</v>
      </c>
      <c r="G22" s="60" t="s">
        <v>4599</v>
      </c>
      <c r="H22" s="61" t="n">
        <v>1001</v>
      </c>
      <c r="I22" s="61" t="s">
        <v>4600</v>
      </c>
    </row>
    <row r="23">
      <c r="A23" s="56" t="s">
        <v>4601</v>
      </c>
      <c r="B23" s="20" t="s">
        <v>3453</v>
      </c>
      <c r="C23" s="60" t="s">
        <v>3458</v>
      </c>
      <c r="D23" s="71" t="s">
        <v>4602</v>
      </c>
      <c r="E23" s="71" t="s">
        <v>4577</v>
      </c>
      <c r="F23" s="71" t="s">
        <v>4578</v>
      </c>
      <c r="G23" s="62" t="s">
        <v>4603</v>
      </c>
      <c r="H23" s="71" t="n">
        <v>20</v>
      </c>
      <c r="I23" s="71"/>
    </row>
    <row r="24" ht="28.5" customHeight="1">
      <c r="A24" s="56" t="s">
        <v>4604</v>
      </c>
      <c r="B24" s="20" t="s">
        <v>1718</v>
      </c>
      <c r="C24" s="60" t="s">
        <v>1724</v>
      </c>
      <c r="D24" s="60" t="s">
        <v>4605</v>
      </c>
      <c r="E24" s="60" t="s">
        <v>4504</v>
      </c>
      <c r="F24" s="60" t="s">
        <v>4509</v>
      </c>
      <c r="G24" s="60" t="s">
        <v>4606</v>
      </c>
      <c r="H24" s="60" t="n">
        <v>2218</v>
      </c>
      <c r="I24" s="60" t="s">
        <v>4607</v>
      </c>
      <c r="J24" s="20"/>
      <c r="K24" s="20"/>
      <c r="L24" s="20"/>
      <c r="M24" s="20"/>
    </row>
    <row r="25">
      <c r="A25" s="20" t="s">
        <v>656</v>
      </c>
      <c r="B25" s="20" t="s">
        <v>653</v>
      </c>
      <c r="C25" s="61" t="s">
        <v>4608</v>
      </c>
      <c r="D25" s="60" t="s">
        <v>4609</v>
      </c>
      <c r="E25" s="60" t="s">
        <v>4504</v>
      </c>
      <c r="F25" s="60" t="s">
        <v>4610</v>
      </c>
      <c r="G25" s="60" t="s">
        <v>4611</v>
      </c>
      <c r="H25" s="60" t="n">
        <v>51</v>
      </c>
      <c r="I25" s="60" t="s">
        <v>4612</v>
      </c>
      <c r="J25" s="20"/>
      <c r="K25" s="20"/>
      <c r="L25" s="20"/>
      <c r="M25" s="20"/>
    </row>
    <row r="26">
      <c r="A26" s="20" t="s">
        <v>4613</v>
      </c>
      <c r="B26" s="20" t="s">
        <v>3460</v>
      </c>
      <c r="C26" s="60" t="s">
        <v>3463</v>
      </c>
      <c r="D26" s="61" t="s">
        <v>4614</v>
      </c>
      <c r="E26" s="61" t="s">
        <v>4577</v>
      </c>
      <c r="F26" s="61" t="s">
        <v>4578</v>
      </c>
      <c r="G26" s="60" t="s">
        <v>4615</v>
      </c>
      <c r="H26" s="61" t="n">
        <v>56</v>
      </c>
    </row>
    <row r="27" ht="28.5" customHeight="1">
      <c r="A27" s="20" t="s">
        <v>2171</v>
      </c>
      <c r="B27" s="20" t="s">
        <v>4616</v>
      </c>
      <c r="C27" s="61" t="s">
        <v>4617</v>
      </c>
      <c r="D27" s="60" t="s">
        <v>4618</v>
      </c>
      <c r="E27" s="60" t="s">
        <v>4546</v>
      </c>
      <c r="F27" s="60" t="s">
        <v>4619</v>
      </c>
      <c r="G27" s="60" t="s">
        <v>4620</v>
      </c>
      <c r="H27" s="60" t="n">
        <v>1577</v>
      </c>
      <c r="I27" s="60" t="s">
        <v>4621</v>
      </c>
      <c r="J27" s="20"/>
      <c r="K27" s="20"/>
      <c r="L27" s="20"/>
      <c r="M27" s="20"/>
    </row>
    <row r="28" ht="28.5" customHeight="1">
      <c r="A28" s="20" t="s">
        <v>2166</v>
      </c>
      <c r="B28" s="20" t="s">
        <v>4622</v>
      </c>
      <c r="C28" s="61" t="s">
        <v>4623</v>
      </c>
      <c r="D28" s="60" t="s">
        <v>4624</v>
      </c>
      <c r="E28" s="60" t="s">
        <v>4504</v>
      </c>
      <c r="F28" s="60" t="s">
        <v>4625</v>
      </c>
      <c r="G28" s="60" t="s">
        <v>4626</v>
      </c>
      <c r="H28" s="60" t="n">
        <v>550</v>
      </c>
      <c r="I28" s="60" t="s">
        <v>4627</v>
      </c>
      <c r="J28" s="20"/>
      <c r="K28" s="20"/>
      <c r="L28" s="20"/>
      <c r="M28" s="20"/>
    </row>
    <row r="29" ht="28.5" customHeight="1">
      <c r="A29" s="20" t="s">
        <v>2156</v>
      </c>
      <c r="B29" s="20" t="s">
        <v>4628</v>
      </c>
      <c r="C29" s="61" t="s">
        <v>4629</v>
      </c>
      <c r="D29" s="60" t="s">
        <v>4630</v>
      </c>
      <c r="E29" s="60" t="s">
        <v>4533</v>
      </c>
      <c r="F29" s="60" t="s">
        <v>4534</v>
      </c>
      <c r="G29" s="60" t="s">
        <v>4631</v>
      </c>
      <c r="H29" s="60" t="n">
        <v>22</v>
      </c>
      <c r="I29" s="60" t="s">
        <v>4632</v>
      </c>
      <c r="J29" s="20"/>
      <c r="K29" s="20"/>
      <c r="L29" s="20"/>
      <c r="M29" s="20"/>
    </row>
    <row r="30" ht="28.5" customHeight="1">
      <c r="A30" s="20" t="s">
        <v>2161</v>
      </c>
      <c r="B30" s="20" t="s">
        <v>4633</v>
      </c>
      <c r="C30" s="61" t="s">
        <v>4634</v>
      </c>
      <c r="D30" s="60" t="s">
        <v>4581</v>
      </c>
      <c r="E30" s="60" t="s">
        <v>4577</v>
      </c>
      <c r="F30" s="60" t="s">
        <v>4578</v>
      </c>
      <c r="G30" s="60" t="s">
        <v>4635</v>
      </c>
      <c r="H30" s="60" t="n">
        <v>149</v>
      </c>
      <c r="I30" s="60" t="s">
        <v>4636</v>
      </c>
      <c r="J30" s="20"/>
      <c r="K30" s="20"/>
      <c r="L30" s="20"/>
      <c r="M30" s="20"/>
    </row>
    <row r="31">
      <c r="A31" s="20" t="s">
        <v>2137</v>
      </c>
      <c r="B31" s="20" t="s">
        <v>2131</v>
      </c>
      <c r="C31" s="61" t="s">
        <v>4637</v>
      </c>
      <c r="D31" s="60" t="s">
        <v>4638</v>
      </c>
      <c r="E31" s="60" t="s">
        <v>4546</v>
      </c>
      <c r="F31" s="60" t="s">
        <v>4547</v>
      </c>
      <c r="G31" s="60" t="s">
        <v>4639</v>
      </c>
      <c r="H31" s="60" t="n">
        <v>548</v>
      </c>
      <c r="I31" s="60" t="s">
        <v>4640</v>
      </c>
      <c r="J31" s="20"/>
      <c r="K31" s="20"/>
      <c r="L31" s="20"/>
      <c r="M31" s="20"/>
    </row>
    <row r="32" ht="28.5" customHeight="1">
      <c r="A32" s="20" t="s">
        <v>2151</v>
      </c>
      <c r="B32" s="20" t="s">
        <v>4641</v>
      </c>
      <c r="C32" s="61" t="s">
        <v>4642</v>
      </c>
      <c r="D32" s="60" t="s">
        <v>4643</v>
      </c>
      <c r="E32" s="60" t="s">
        <v>4644</v>
      </c>
      <c r="F32" s="60" t="s">
        <v>4645</v>
      </c>
      <c r="G32" s="60" t="s">
        <v>4646</v>
      </c>
      <c r="H32" s="60" t="n">
        <v>765</v>
      </c>
      <c r="I32" s="60" t="s">
        <v>4647</v>
      </c>
      <c r="J32" s="20"/>
      <c r="K32" s="20"/>
      <c r="L32" s="20"/>
      <c r="M32" s="20"/>
    </row>
    <row r="33">
      <c r="A33" s="20" t="s">
        <v>2144</v>
      </c>
      <c r="B33" s="20" t="s">
        <v>2138</v>
      </c>
      <c r="C33" s="61" t="s">
        <v>4648</v>
      </c>
      <c r="D33" s="60" t="s">
        <v>4649</v>
      </c>
      <c r="E33" s="60" t="s">
        <v>4557</v>
      </c>
      <c r="F33" s="60" t="s">
        <v>4650</v>
      </c>
      <c r="G33" s="60" t="s">
        <v>4651</v>
      </c>
      <c r="H33" s="60" t="n">
        <v>215</v>
      </c>
      <c r="I33" s="60" t="s">
        <v>4652</v>
      </c>
      <c r="J33" s="20"/>
      <c r="K33" s="20"/>
      <c r="L33" s="20"/>
      <c r="M33" s="20"/>
    </row>
    <row r="34">
      <c r="A34" s="20" t="s">
        <v>2130</v>
      </c>
      <c r="B34" s="20" t="s">
        <v>2117</v>
      </c>
      <c r="C34" s="61" t="s">
        <v>4653</v>
      </c>
      <c r="D34" s="60" t="s">
        <v>4654</v>
      </c>
      <c r="E34" s="60" t="s">
        <v>4557</v>
      </c>
      <c r="F34" s="60" t="s">
        <v>4650</v>
      </c>
      <c r="G34" s="60" t="s">
        <v>4655</v>
      </c>
      <c r="H34" s="60" t="n">
        <v>320</v>
      </c>
      <c r="I34" s="60" t="s">
        <v>4656</v>
      </c>
      <c r="J34" s="20"/>
      <c r="K34" s="20"/>
      <c r="L34" s="20"/>
      <c r="M34" s="20"/>
    </row>
    <row r="35" ht="28.5" customHeight="1">
      <c r="A35" s="20" t="s">
        <v>4657</v>
      </c>
      <c r="B35" s="20" t="s">
        <v>4658</v>
      </c>
      <c r="C35" s="60" t="s">
        <v>1884</v>
      </c>
      <c r="D35" s="60" t="s">
        <v>4659</v>
      </c>
      <c r="E35" s="60" t="s">
        <v>4597</v>
      </c>
      <c r="F35" s="60" t="s">
        <v>4660</v>
      </c>
      <c r="G35" s="60" t="s">
        <v>4661</v>
      </c>
      <c r="H35" s="60" t="n">
        <v>173</v>
      </c>
      <c r="I35" s="60"/>
      <c r="J35" s="20"/>
      <c r="K35" s="20"/>
      <c r="L35" s="20"/>
      <c r="M35" s="20"/>
    </row>
    <row r="36">
      <c r="A36" s="20" t="s">
        <v>4662</v>
      </c>
      <c r="B36" s="20" t="s">
        <v>2199</v>
      </c>
      <c r="C36" s="61" t="s">
        <v>4663</v>
      </c>
      <c r="D36" s="60" t="s">
        <v>4664</v>
      </c>
      <c r="E36" s="60" t="s">
        <v>4546</v>
      </c>
      <c r="F36" s="60" t="s">
        <v>4665</v>
      </c>
      <c r="G36" s="60" t="s">
        <v>4666</v>
      </c>
      <c r="H36" s="60" t="n">
        <v>356</v>
      </c>
      <c r="I36" s="60" t="s">
        <v>4667</v>
      </c>
      <c r="J36" s="20"/>
      <c r="K36" s="20"/>
      <c r="L36" s="20"/>
      <c r="M36" s="20"/>
    </row>
    <row r="37">
      <c r="A37" s="20" t="s">
        <v>4668</v>
      </c>
      <c r="B37" s="20" t="s">
        <v>1866</v>
      </c>
      <c r="C37" s="60" t="s">
        <v>1869</v>
      </c>
      <c r="D37" s="60" t="s">
        <v>4503</v>
      </c>
      <c r="E37" s="60" t="s">
        <v>4504</v>
      </c>
      <c r="F37" s="60" t="s">
        <v>4505</v>
      </c>
      <c r="G37" s="60" t="s">
        <v>4669</v>
      </c>
      <c r="H37" s="60" t="n">
        <v>33</v>
      </c>
      <c r="I37" s="60"/>
      <c r="J37" s="20"/>
      <c r="K37" s="20"/>
      <c r="L37" s="20"/>
      <c r="M37" s="20"/>
    </row>
    <row r="38">
      <c r="A38" s="20" t="s">
        <v>4670</v>
      </c>
      <c r="B38" s="20" t="s">
        <v>3052</v>
      </c>
      <c r="C38" s="60" t="s">
        <v>4671</v>
      </c>
      <c r="D38" s="61" t="s">
        <v>4672</v>
      </c>
      <c r="E38" s="61" t="s">
        <v>4539</v>
      </c>
      <c r="F38" s="61" t="s">
        <v>4673</v>
      </c>
      <c r="G38" s="60" t="s">
        <v>4674</v>
      </c>
      <c r="H38" s="61" t="n">
        <v>349</v>
      </c>
      <c r="I38" s="61" t="s">
        <v>4675</v>
      </c>
    </row>
    <row r="39">
      <c r="A39" s="20" t="s">
        <v>4676</v>
      </c>
      <c r="B39" s="20" t="s">
        <v>1371</v>
      </c>
      <c r="C39" s="60" t="s">
        <v>1377</v>
      </c>
      <c r="D39" s="60" t="s">
        <v>4677</v>
      </c>
      <c r="E39" s="60" t="s">
        <v>4557</v>
      </c>
      <c r="F39" s="60" t="s">
        <v>4678</v>
      </c>
      <c r="G39" s="60" t="s">
        <v>4679</v>
      </c>
      <c r="H39" s="60" t="n">
        <v>145</v>
      </c>
      <c r="I39" s="60"/>
      <c r="J39" s="20"/>
      <c r="K39" s="20"/>
      <c r="L39" s="20"/>
      <c r="M39" s="20"/>
    </row>
    <row r="40">
      <c r="A40" s="20" t="s">
        <v>4680</v>
      </c>
      <c r="B40" s="20" t="s">
        <v>1379</v>
      </c>
      <c r="C40" s="60" t="s">
        <v>4681</v>
      </c>
      <c r="D40" s="60" t="s">
        <v>4677</v>
      </c>
      <c r="E40" s="60" t="s">
        <v>4557</v>
      </c>
      <c r="F40" s="60" t="s">
        <v>4678</v>
      </c>
      <c r="G40" s="60" t="s">
        <v>4682</v>
      </c>
      <c r="H40" s="60" t="n">
        <v>73</v>
      </c>
      <c r="I40" s="60"/>
      <c r="J40" s="20"/>
      <c r="K40" s="20"/>
      <c r="L40" s="20"/>
      <c r="M40" s="20"/>
    </row>
    <row r="41" ht="29.25" customHeight="1">
      <c r="A41" s="20" t="s">
        <v>1416</v>
      </c>
      <c r="B41" s="20" t="s">
        <v>1412</v>
      </c>
      <c r="C41" s="63" t="s">
        <v>4683</v>
      </c>
      <c r="D41" s="64" t="s">
        <v>4684</v>
      </c>
      <c r="E41" s="64" t="s">
        <v>4577</v>
      </c>
      <c r="F41" s="65" t="s">
        <v>4685</v>
      </c>
      <c r="G41" s="60" t="s">
        <v>4686</v>
      </c>
      <c r="H41" s="61" t="n">
        <v>100</v>
      </c>
      <c r="I41" s="61" t="s">
        <v>4687</v>
      </c>
      <c r="J41" s="20"/>
      <c r="K41" s="20"/>
      <c r="L41" s="20"/>
      <c r="M41" s="20"/>
    </row>
    <row r="42">
      <c r="A42" s="20" t="s">
        <v>4688</v>
      </c>
      <c r="B42" s="20" t="s">
        <v>977</v>
      </c>
      <c r="C42" s="61" t="s">
        <v>4689</v>
      </c>
      <c r="D42" s="60" t="s">
        <v>4690</v>
      </c>
      <c r="E42" s="60" t="s">
        <v>4533</v>
      </c>
      <c r="F42" s="60" t="s">
        <v>4534</v>
      </c>
      <c r="G42" s="60" t="s">
        <v>4691</v>
      </c>
      <c r="H42" s="60" t="n">
        <v>1325</v>
      </c>
      <c r="I42" s="60" t="s">
        <v>4692</v>
      </c>
      <c r="J42" s="20"/>
      <c r="K42" s="20"/>
      <c r="L42" s="20"/>
      <c r="M42" s="20"/>
    </row>
    <row r="43" ht="28.5" customHeight="1">
      <c r="A43" s="20" t="s">
        <v>4693</v>
      </c>
      <c r="B43" s="20" t="s">
        <v>2209</v>
      </c>
      <c r="C43" s="60" t="s">
        <v>4694</v>
      </c>
      <c r="D43" s="60" t="s">
        <v>4556</v>
      </c>
      <c r="E43" s="60" t="s">
        <v>4557</v>
      </c>
      <c r="F43" s="60" t="s">
        <v>4558</v>
      </c>
      <c r="G43" s="60" t="s">
        <v>4695</v>
      </c>
      <c r="H43" s="60" t="n">
        <v>365</v>
      </c>
      <c r="I43" s="60" t="s">
        <v>4696</v>
      </c>
      <c r="J43" s="20"/>
      <c r="K43" s="20"/>
      <c r="L43" s="20"/>
      <c r="M43" s="20"/>
    </row>
    <row r="44" ht="28.5" customHeight="1">
      <c r="A44" s="20" t="s">
        <v>4697</v>
      </c>
      <c r="B44" s="20" t="s">
        <v>825</v>
      </c>
      <c r="C44" s="61" t="s">
        <v>4698</v>
      </c>
      <c r="D44" s="60" t="s">
        <v>4699</v>
      </c>
      <c r="E44" s="60" t="s">
        <v>4644</v>
      </c>
      <c r="F44" s="60" t="s">
        <v>4700</v>
      </c>
      <c r="G44" s="60" t="s">
        <v>4701</v>
      </c>
      <c r="H44" s="60" t="n">
        <v>600</v>
      </c>
      <c r="I44" s="60" t="s">
        <v>4702</v>
      </c>
      <c r="J44" s="20"/>
      <c r="K44" s="20"/>
      <c r="L44" s="20"/>
      <c r="M44" s="20"/>
    </row>
    <row r="45" ht="28.5" customHeight="1">
      <c r="A45" s="20" t="s">
        <v>4703</v>
      </c>
      <c r="B45" s="20" t="s">
        <v>2790</v>
      </c>
      <c r="C45" s="60" t="s">
        <v>4704</v>
      </c>
      <c r="D45" s="61" t="s">
        <v>4705</v>
      </c>
      <c r="E45" s="61" t="s">
        <v>4504</v>
      </c>
      <c r="F45" s="61" t="s">
        <v>4610</v>
      </c>
      <c r="G45" s="60" t="s">
        <v>4706</v>
      </c>
      <c r="H45" s="61" t="n">
        <v>821</v>
      </c>
      <c r="I45" s="61" t="s">
        <v>4707</v>
      </c>
    </row>
    <row r="46" ht="15" customHeight="1">
      <c r="A46" s="52" t="s">
        <v>4708</v>
      </c>
      <c r="B46" s="20" t="s">
        <v>782</v>
      </c>
      <c r="C46" s="66" t="s">
        <v>4709</v>
      </c>
      <c r="D46" s="61" t="s">
        <v>4710</v>
      </c>
      <c r="E46" s="61" t="s">
        <v>4539</v>
      </c>
      <c r="F46" s="67" t="s">
        <v>4673</v>
      </c>
      <c r="G46" s="60" t="s">
        <v>4711</v>
      </c>
      <c r="H46" s="61" t="n">
        <v>1186</v>
      </c>
      <c r="I46" s="68" t="s">
        <v>4712</v>
      </c>
      <c r="J46" s="20"/>
      <c r="K46" s="20"/>
      <c r="L46" s="20"/>
      <c r="M46" s="20"/>
    </row>
    <row r="47">
      <c r="A47" s="52" t="s">
        <v>4713</v>
      </c>
      <c r="B47" s="20" t="s">
        <v>53</v>
      </c>
      <c r="C47" s="60" t="s">
        <v>4714</v>
      </c>
      <c r="D47" s="61" t="s">
        <v>4715</v>
      </c>
      <c r="E47" s="61" t="s">
        <v>4644</v>
      </c>
      <c r="F47" s="67" t="s">
        <v>4716</v>
      </c>
      <c r="G47" s="60" t="s">
        <v>4717</v>
      </c>
      <c r="H47" s="61" t="n">
        <v>275</v>
      </c>
      <c r="I47" s="68" t="s">
        <v>4718</v>
      </c>
      <c r="J47" s="20"/>
      <c r="K47" s="20"/>
      <c r="L47" s="20"/>
      <c r="M47" s="20"/>
    </row>
    <row r="48" ht="28.5" customHeight="1">
      <c r="A48" s="52" t="s">
        <v>2545</v>
      </c>
      <c r="B48" s="20" t="s">
        <v>4719</v>
      </c>
      <c r="C48" s="61" t="s">
        <v>4720</v>
      </c>
      <c r="D48" s="60" t="s">
        <v>4618</v>
      </c>
      <c r="E48" s="60" t="s">
        <v>4546</v>
      </c>
      <c r="F48" s="60" t="s">
        <v>4619</v>
      </c>
      <c r="G48" s="60" t="s">
        <v>4721</v>
      </c>
      <c r="H48" s="60" t="n">
        <v>959</v>
      </c>
      <c r="I48" s="60" t="s">
        <v>4722</v>
      </c>
      <c r="J48" s="20"/>
      <c r="K48" s="20"/>
      <c r="L48" s="20"/>
      <c r="M48" s="20"/>
    </row>
    <row r="49">
      <c r="A49" s="52" t="s">
        <v>373</v>
      </c>
      <c r="B49" s="20" t="s">
        <v>370</v>
      </c>
      <c r="C49" s="61" t="s">
        <v>4723</v>
      </c>
      <c r="D49" s="60" t="s">
        <v>4724</v>
      </c>
      <c r="E49" s="60" t="s">
        <v>4533</v>
      </c>
      <c r="F49" s="60" t="s">
        <v>4571</v>
      </c>
      <c r="G49" s="60" t="s">
        <v>4725</v>
      </c>
      <c r="H49" s="60" t="n">
        <v>678</v>
      </c>
      <c r="I49" s="60"/>
      <c r="J49" s="20"/>
      <c r="K49" s="20"/>
      <c r="L49" s="20"/>
      <c r="M49" s="20"/>
    </row>
    <row r="50">
      <c r="A50" s="52" t="s">
        <v>4726</v>
      </c>
      <c r="B50" s="20" t="s">
        <v>3078</v>
      </c>
      <c r="C50" s="60" t="s">
        <v>4727</v>
      </c>
      <c r="D50" s="61" t="s">
        <v>4728</v>
      </c>
      <c r="E50" s="61" t="s">
        <v>4546</v>
      </c>
      <c r="F50" s="61" t="s">
        <v>4547</v>
      </c>
      <c r="G50" s="60" t="s">
        <v>4729</v>
      </c>
      <c r="H50" s="61" t="n">
        <v>833</v>
      </c>
      <c r="I50" s="61" t="s">
        <v>4730</v>
      </c>
    </row>
    <row r="51" ht="42.75" customHeight="1">
      <c r="A51" s="52" t="s">
        <v>2541</v>
      </c>
      <c r="B51" s="20" t="s">
        <v>4731</v>
      </c>
      <c r="C51" s="60" t="s">
        <v>4732</v>
      </c>
      <c r="D51" s="60" t="s">
        <v>4733</v>
      </c>
      <c r="E51" s="60" t="s">
        <v>4533</v>
      </c>
      <c r="F51" s="60" t="s">
        <v>4734</v>
      </c>
      <c r="G51" s="60" t="s">
        <v>4735</v>
      </c>
      <c r="H51" s="60" t="n">
        <v>536</v>
      </c>
      <c r="I51" s="60" t="s">
        <v>4736</v>
      </c>
      <c r="J51" s="20"/>
      <c r="K51" s="20"/>
      <c r="L51" s="20"/>
      <c r="M51" s="20"/>
    </row>
    <row r="52">
      <c r="A52" s="52" t="s">
        <v>4737</v>
      </c>
      <c r="B52" s="20" t="s">
        <v>4738</v>
      </c>
      <c r="C52" s="60" t="s">
        <v>4739</v>
      </c>
      <c r="D52" s="60" t="s">
        <v>4740</v>
      </c>
      <c r="E52" s="60" t="s">
        <v>4644</v>
      </c>
      <c r="F52" s="60" t="s">
        <v>4716</v>
      </c>
      <c r="G52" s="60" t="s">
        <v>4741</v>
      </c>
      <c r="H52" s="60" t="n">
        <v>1325</v>
      </c>
      <c r="I52" s="60" t="s">
        <v>4742</v>
      </c>
      <c r="J52" s="20"/>
      <c r="K52" s="20"/>
      <c r="L52" s="20"/>
      <c r="M52" s="20"/>
    </row>
    <row r="53" ht="15" customHeight="1">
      <c r="A53" s="52" t="s">
        <v>4743</v>
      </c>
      <c r="B53" s="20" t="s">
        <v>1287</v>
      </c>
      <c r="C53" s="63" t="s">
        <v>4744</v>
      </c>
      <c r="D53" s="64" t="s">
        <v>4677</v>
      </c>
      <c r="E53" s="64" t="s">
        <v>4557</v>
      </c>
      <c r="F53" s="65" t="s">
        <v>4678</v>
      </c>
      <c r="G53" s="63" t="s">
        <v>4745</v>
      </c>
      <c r="H53" s="61" t="n">
        <v>30</v>
      </c>
      <c r="I53" s="68" t="s">
        <v>4746</v>
      </c>
      <c r="J53" s="20"/>
      <c r="K53" s="20"/>
      <c r="L53" s="20"/>
      <c r="M53" s="20"/>
    </row>
    <row r="54">
      <c r="A54" s="52" t="s">
        <v>4747</v>
      </c>
      <c r="B54" s="20" t="s">
        <v>1798</v>
      </c>
      <c r="C54" s="61" t="s">
        <v>4748</v>
      </c>
      <c r="D54" s="60" t="s">
        <v>4749</v>
      </c>
      <c r="E54" s="60" t="s">
        <v>4504</v>
      </c>
      <c r="F54" s="60" t="s">
        <v>4509</v>
      </c>
      <c r="G54" s="60" t="s">
        <v>4750</v>
      </c>
      <c r="H54" s="60" t="n">
        <v>277</v>
      </c>
      <c r="I54" s="60" t="s">
        <v>4751</v>
      </c>
      <c r="J54" s="20"/>
      <c r="K54" s="20"/>
      <c r="L54" s="20"/>
      <c r="M54" s="20"/>
    </row>
    <row r="55">
      <c r="A55" s="52" t="s">
        <v>4752</v>
      </c>
      <c r="B55" s="20" t="s">
        <v>2080</v>
      </c>
      <c r="C55" s="61" t="s">
        <v>4753</v>
      </c>
      <c r="D55" s="60" t="s">
        <v>4754</v>
      </c>
      <c r="E55" s="60" t="s">
        <v>4533</v>
      </c>
      <c r="F55" s="60" t="s">
        <v>4734</v>
      </c>
      <c r="G55" s="60" t="s">
        <v>4755</v>
      </c>
      <c r="H55" s="60" t="n">
        <v>413</v>
      </c>
      <c r="I55" s="60" t="s">
        <v>4756</v>
      </c>
      <c r="J55" s="20"/>
      <c r="K55" s="20"/>
      <c r="L55" s="20"/>
      <c r="M55" s="20"/>
    </row>
    <row r="56">
      <c r="A56" s="52" t="s">
        <v>4757</v>
      </c>
      <c r="B56" s="20" t="s">
        <v>2109</v>
      </c>
      <c r="C56" s="61" t="s">
        <v>4758</v>
      </c>
      <c r="D56" s="60" t="s">
        <v>4759</v>
      </c>
      <c r="E56" s="60" t="s">
        <v>4644</v>
      </c>
      <c r="F56" s="60" t="s">
        <v>4760</v>
      </c>
      <c r="G56" s="60" t="s">
        <v>4761</v>
      </c>
      <c r="H56" s="60" t="n">
        <v>10</v>
      </c>
      <c r="I56" s="60" t="s">
        <v>4762</v>
      </c>
      <c r="J56" s="20"/>
      <c r="K56" s="20"/>
      <c r="L56" s="20"/>
      <c r="M56" s="20"/>
    </row>
    <row r="57" ht="28.5" customHeight="1">
      <c r="A57" s="52" t="s">
        <v>2585</v>
      </c>
      <c r="B57" s="20" t="s">
        <v>4763</v>
      </c>
      <c r="C57" s="66" t="s">
        <v>4764</v>
      </c>
      <c r="D57" s="61" t="s">
        <v>4765</v>
      </c>
      <c r="E57" s="61" t="s">
        <v>4539</v>
      </c>
      <c r="F57" s="67" t="s">
        <v>4766</v>
      </c>
      <c r="G57" s="60" t="s">
        <v>4767</v>
      </c>
      <c r="H57" s="61" t="n">
        <v>187</v>
      </c>
      <c r="I57" s="68" t="s">
        <v>4768</v>
      </c>
      <c r="J57" s="20"/>
      <c r="K57" s="20"/>
      <c r="L57" s="20"/>
      <c r="M57" s="20"/>
    </row>
    <row r="58" ht="28.5" customHeight="1">
      <c r="A58" s="52" t="s">
        <v>4769</v>
      </c>
      <c r="B58" s="20" t="s">
        <v>4770</v>
      </c>
      <c r="C58" s="60" t="s">
        <v>2654</v>
      </c>
      <c r="D58" s="61" t="s">
        <v>4771</v>
      </c>
      <c r="E58" s="61" t="s">
        <v>4533</v>
      </c>
      <c r="F58" s="61" t="s">
        <v>4734</v>
      </c>
      <c r="G58" s="60" t="s">
        <v>4772</v>
      </c>
      <c r="H58" s="61" t="n">
        <v>77</v>
      </c>
    </row>
    <row r="59">
      <c r="A59" s="52" t="s">
        <v>4773</v>
      </c>
      <c r="B59" s="20" t="s">
        <v>1743</v>
      </c>
      <c r="C59" s="61" t="s">
        <v>4774</v>
      </c>
      <c r="D59" s="60" t="s">
        <v>4517</v>
      </c>
      <c r="E59" s="60" t="s">
        <v>4504</v>
      </c>
      <c r="F59" s="60" t="s">
        <v>4509</v>
      </c>
      <c r="G59" s="60" t="s">
        <v>4518</v>
      </c>
      <c r="H59" s="60" t="n">
        <v>1583</v>
      </c>
      <c r="I59" s="60" t="s">
        <v>4775</v>
      </c>
      <c r="J59" s="20"/>
      <c r="K59" s="20"/>
      <c r="L59" s="20"/>
      <c r="M59" s="20"/>
    </row>
    <row r="60">
      <c r="A60" s="52" t="s">
        <v>4776</v>
      </c>
      <c r="B60" s="20" t="s">
        <v>374</v>
      </c>
      <c r="C60" s="61" t="s">
        <v>4777</v>
      </c>
      <c r="D60" s="60" t="s">
        <v>4778</v>
      </c>
      <c r="E60" s="60" t="s">
        <v>4533</v>
      </c>
      <c r="F60" s="60" t="s">
        <v>4571</v>
      </c>
      <c r="G60" s="60" t="s">
        <v>4779</v>
      </c>
      <c r="H60" s="60" t="n">
        <v>90</v>
      </c>
      <c r="I60" s="60" t="s">
        <v>4780</v>
      </c>
      <c r="J60" s="20"/>
      <c r="K60" s="20"/>
      <c r="L60" s="20"/>
      <c r="M60" s="20"/>
    </row>
    <row r="61">
      <c r="A61" s="52" t="s">
        <v>915</v>
      </c>
      <c r="B61" s="20" t="s">
        <v>911</v>
      </c>
      <c r="C61" s="61" t="s">
        <v>4781</v>
      </c>
      <c r="D61" s="60" t="s">
        <v>4782</v>
      </c>
      <c r="E61" s="60" t="s">
        <v>4577</v>
      </c>
      <c r="F61" s="60" t="s">
        <v>4783</v>
      </c>
      <c r="G61" s="60" t="s">
        <v>4784</v>
      </c>
      <c r="H61" s="60" t="n">
        <v>80</v>
      </c>
      <c r="I61" s="60" t="s">
        <v>4785</v>
      </c>
      <c r="J61" s="20"/>
      <c r="K61" s="20"/>
      <c r="L61" s="20"/>
      <c r="M61" s="20"/>
    </row>
    <row r="62" ht="28.5" customHeight="1">
      <c r="A62" s="52" t="s">
        <v>4786</v>
      </c>
      <c r="B62" s="20" t="s">
        <v>4787</v>
      </c>
      <c r="C62" s="60" t="s">
        <v>4788</v>
      </c>
      <c r="D62" s="61" t="s">
        <v>4789</v>
      </c>
      <c r="E62" s="61" t="s">
        <v>4577</v>
      </c>
      <c r="F62" s="61" t="s">
        <v>4790</v>
      </c>
      <c r="G62" s="60" t="s">
        <v>4791</v>
      </c>
      <c r="H62" s="61" t="n">
        <v>15</v>
      </c>
    </row>
    <row r="63" ht="15" customHeight="1">
      <c r="A63" s="52" t="s">
        <v>4792</v>
      </c>
      <c r="B63" s="20" t="s">
        <v>1759</v>
      </c>
      <c r="C63" s="63" t="s">
        <v>4793</v>
      </c>
      <c r="D63" s="64" t="s">
        <v>4513</v>
      </c>
      <c r="E63" s="64" t="s">
        <v>4504</v>
      </c>
      <c r="F63" s="65" t="s">
        <v>4509</v>
      </c>
      <c r="G63" s="60" t="s">
        <v>4794</v>
      </c>
      <c r="H63" s="61" t="n">
        <v>1939</v>
      </c>
      <c r="I63" s="68" t="s">
        <v>4795</v>
      </c>
      <c r="J63" s="20"/>
      <c r="K63" s="20"/>
      <c r="L63" s="20"/>
      <c r="M63" s="20"/>
    </row>
    <row r="64">
      <c r="A64" s="52" t="s">
        <v>4796</v>
      </c>
      <c r="B64" s="20" t="s">
        <v>1773</v>
      </c>
      <c r="C64" s="61" t="s">
        <v>4797</v>
      </c>
      <c r="D64" s="60" t="s">
        <v>4798</v>
      </c>
      <c r="E64" s="60" t="s">
        <v>4504</v>
      </c>
      <c r="F64" s="60" t="s">
        <v>4625</v>
      </c>
      <c r="G64" s="60" t="s">
        <v>4799</v>
      </c>
      <c r="H64" s="60" t="n">
        <v>50</v>
      </c>
      <c r="I64" s="60" t="s">
        <v>4800</v>
      </c>
      <c r="J64" s="20"/>
      <c r="K64" s="20"/>
      <c r="L64" s="20"/>
      <c r="M64" s="20"/>
    </row>
    <row r="65">
      <c r="A65" s="52" t="s">
        <v>4801</v>
      </c>
      <c r="B65" s="20" t="s">
        <v>112</v>
      </c>
      <c r="C65" s="60" t="s">
        <v>4802</v>
      </c>
      <c r="D65" s="60" t="s">
        <v>4803</v>
      </c>
      <c r="E65" s="60" t="s">
        <v>4644</v>
      </c>
      <c r="F65" s="60" t="s">
        <v>4760</v>
      </c>
      <c r="G65" s="60" t="s">
        <v>4804</v>
      </c>
      <c r="H65" s="60" t="n">
        <v>170</v>
      </c>
      <c r="I65" s="60" t="s">
        <v>4805</v>
      </c>
      <c r="J65" s="20"/>
      <c r="K65" s="20"/>
      <c r="L65" s="20"/>
      <c r="M65" s="20"/>
    </row>
    <row r="66">
      <c r="A66" s="52" t="s">
        <v>4806</v>
      </c>
      <c r="B66" s="20" t="s">
        <v>3429</v>
      </c>
      <c r="C66" s="60" t="s">
        <v>4807</v>
      </c>
      <c r="D66" s="61" t="s">
        <v>4808</v>
      </c>
      <c r="E66" s="61" t="s">
        <v>4644</v>
      </c>
      <c r="F66" s="61" t="s">
        <v>4716</v>
      </c>
      <c r="G66" s="60" t="s">
        <v>4809</v>
      </c>
      <c r="H66" s="61" t="n">
        <v>580</v>
      </c>
      <c r="I66" s="61" t="s">
        <v>4810</v>
      </c>
    </row>
    <row r="67" ht="43.5" customHeight="1">
      <c r="A67" s="52" t="s">
        <v>4811</v>
      </c>
      <c r="B67" s="20" t="s">
        <v>4812</v>
      </c>
      <c r="C67" s="63" t="s">
        <v>4813</v>
      </c>
      <c r="D67" s="64" t="s">
        <v>4814</v>
      </c>
      <c r="E67" s="64" t="s">
        <v>4504</v>
      </c>
      <c r="F67" s="65" t="s">
        <v>4509</v>
      </c>
      <c r="G67" s="63" t="s">
        <v>4518</v>
      </c>
      <c r="H67" s="61" t="n">
        <v>955</v>
      </c>
      <c r="I67" s="69" t="s">
        <v>4815</v>
      </c>
      <c r="J67" s="20"/>
      <c r="K67" s="20"/>
      <c r="L67" s="20"/>
      <c r="M67" s="20"/>
    </row>
    <row r="68">
      <c r="A68" s="52" t="s">
        <v>4816</v>
      </c>
      <c r="B68" s="20" t="s">
        <v>4817</v>
      </c>
      <c r="C68" s="61" t="s">
        <v>4818</v>
      </c>
      <c r="D68" s="60" t="s">
        <v>4819</v>
      </c>
      <c r="E68" s="60" t="s">
        <v>4644</v>
      </c>
      <c r="F68" s="60" t="s">
        <v>4820</v>
      </c>
      <c r="G68" s="60" t="s">
        <v>4821</v>
      </c>
      <c r="H68" s="60" t="n">
        <v>677</v>
      </c>
      <c r="I68" s="60" t="s">
        <v>4822</v>
      </c>
      <c r="J68" s="20"/>
      <c r="K68" s="20"/>
      <c r="L68" s="20"/>
      <c r="M68" s="20"/>
    </row>
    <row r="69">
      <c r="A69" s="52" t="s">
        <v>4823</v>
      </c>
      <c r="B69" s="20" t="s">
        <v>2346</v>
      </c>
      <c r="C69" s="61" t="s">
        <v>4824</v>
      </c>
      <c r="D69" s="60" t="s">
        <v>4825</v>
      </c>
      <c r="E69" s="60" t="s">
        <v>4546</v>
      </c>
      <c r="F69" s="60" t="s">
        <v>4619</v>
      </c>
      <c r="G69" s="60" t="s">
        <v>4826</v>
      </c>
      <c r="H69" s="60" t="n">
        <v>405</v>
      </c>
      <c r="I69" s="60" t="s">
        <v>4827</v>
      </c>
      <c r="J69" s="20"/>
      <c r="K69" s="20"/>
      <c r="L69" s="20"/>
      <c r="M69" s="20"/>
    </row>
    <row r="70">
      <c r="A70" s="52" t="s">
        <v>4828</v>
      </c>
      <c r="B70" s="20" t="s">
        <v>340</v>
      </c>
      <c r="C70" s="60" t="s">
        <v>4829</v>
      </c>
      <c r="D70" s="60" t="s">
        <v>4830</v>
      </c>
      <c r="E70" s="60" t="s">
        <v>4533</v>
      </c>
      <c r="F70" s="60" t="s">
        <v>4571</v>
      </c>
      <c r="G70" s="60" t="s">
        <v>4831</v>
      </c>
      <c r="H70" s="60" t="n">
        <v>432</v>
      </c>
      <c r="I70" s="60" t="s">
        <v>4832</v>
      </c>
      <c r="J70" s="20"/>
      <c r="K70" s="20"/>
      <c r="L70" s="20"/>
      <c r="M70" s="20"/>
    </row>
    <row r="71" ht="28.5" customHeight="1">
      <c r="A71" s="52" t="s">
        <v>4833</v>
      </c>
      <c r="B71" s="20" t="s">
        <v>4834</v>
      </c>
      <c r="C71" s="61" t="s">
        <v>4835</v>
      </c>
      <c r="D71" s="61" t="s">
        <v>4836</v>
      </c>
      <c r="E71" s="61" t="s">
        <v>4597</v>
      </c>
      <c r="F71" s="61" t="s">
        <v>4660</v>
      </c>
      <c r="G71" s="60" t="s">
        <v>4837</v>
      </c>
      <c r="H71" s="61" t="n">
        <v>120</v>
      </c>
      <c r="I71" s="61" t="s">
        <v>4838</v>
      </c>
    </row>
    <row r="72">
      <c r="A72" s="52" t="s">
        <v>4839</v>
      </c>
      <c r="B72" s="20" t="s">
        <v>3618</v>
      </c>
      <c r="C72" s="60" t="s">
        <v>3621</v>
      </c>
      <c r="D72" s="61" t="s">
        <v>4840</v>
      </c>
      <c r="E72" s="61" t="s">
        <v>4546</v>
      </c>
      <c r="F72" s="61" t="s">
        <v>4665</v>
      </c>
      <c r="G72" s="60" t="s">
        <v>4666</v>
      </c>
      <c r="H72" s="61" t="n">
        <v>224</v>
      </c>
    </row>
    <row r="73">
      <c r="A73" s="52" t="s">
        <v>4841</v>
      </c>
      <c r="B73" s="20" t="s">
        <v>3278</v>
      </c>
      <c r="C73" s="60" t="s">
        <v>4842</v>
      </c>
      <c r="D73" s="61" t="s">
        <v>4843</v>
      </c>
      <c r="E73" s="61" t="s">
        <v>4577</v>
      </c>
      <c r="F73" s="61" t="s">
        <v>4578</v>
      </c>
      <c r="G73" s="60" t="s">
        <v>4844</v>
      </c>
      <c r="H73" s="61" t="n">
        <v>154</v>
      </c>
    </row>
    <row r="74">
      <c r="A74" s="52" t="s">
        <v>4845</v>
      </c>
      <c r="B74" s="20" t="s">
        <v>2080</v>
      </c>
      <c r="C74" s="61" t="s">
        <v>4846</v>
      </c>
      <c r="D74" s="60" t="s">
        <v>4847</v>
      </c>
      <c r="E74" s="60" t="s">
        <v>4597</v>
      </c>
      <c r="F74" s="60" t="s">
        <v>4848</v>
      </c>
      <c r="G74" s="60" t="s">
        <v>4849</v>
      </c>
      <c r="H74" s="60" t="n">
        <v>200</v>
      </c>
      <c r="I74" s="60" t="s">
        <v>4850</v>
      </c>
      <c r="J74" s="20"/>
      <c r="K74" s="20"/>
      <c r="L74" s="20"/>
      <c r="M74" s="20"/>
    </row>
    <row r="75">
      <c r="A75" s="52" t="s">
        <v>2391</v>
      </c>
      <c r="B75" s="20" t="s">
        <v>2386</v>
      </c>
      <c r="C75" s="60" t="s">
        <v>4851</v>
      </c>
      <c r="D75" s="60" t="s">
        <v>4852</v>
      </c>
      <c r="E75" s="60" t="s">
        <v>4597</v>
      </c>
      <c r="F75" s="60" t="s">
        <v>4598</v>
      </c>
      <c r="G75" s="60" t="s">
        <v>4853</v>
      </c>
      <c r="H75" s="60" t="n">
        <v>201</v>
      </c>
      <c r="I75" s="60" t="s">
        <v>4854</v>
      </c>
      <c r="J75" s="20"/>
      <c r="K75" s="20"/>
      <c r="L75" s="20"/>
      <c r="M75" s="20"/>
    </row>
    <row r="76" ht="28.5" customHeight="1">
      <c r="A76" s="52" t="s">
        <v>4855</v>
      </c>
      <c r="B76" s="20" t="s">
        <v>4856</v>
      </c>
      <c r="C76" s="61" t="s">
        <v>4857</v>
      </c>
      <c r="D76" s="60" t="s">
        <v>4858</v>
      </c>
      <c r="E76" s="60" t="s">
        <v>4504</v>
      </c>
      <c r="F76" s="60" t="s">
        <v>4509</v>
      </c>
      <c r="G76" s="60" t="s">
        <v>4859</v>
      </c>
      <c r="H76" s="60" t="n">
        <v>309</v>
      </c>
      <c r="I76" s="60" t="s">
        <v>4860</v>
      </c>
      <c r="J76" s="20"/>
      <c r="K76" s="20"/>
      <c r="L76" s="20"/>
      <c r="M76" s="20"/>
    </row>
    <row r="77" ht="28.5" customHeight="1">
      <c r="A77" s="52" t="s">
        <v>4861</v>
      </c>
      <c r="B77" s="20" t="s">
        <v>4862</v>
      </c>
      <c r="C77" s="60" t="s">
        <v>4863</v>
      </c>
      <c r="D77" s="61" t="s">
        <v>4864</v>
      </c>
      <c r="E77" s="61" t="s">
        <v>4504</v>
      </c>
      <c r="F77" s="67" t="s">
        <v>4505</v>
      </c>
      <c r="G77" s="60" t="s">
        <v>4865</v>
      </c>
      <c r="H77" s="61" t="n">
        <v>407</v>
      </c>
      <c r="I77" s="68" t="s">
        <v>4866</v>
      </c>
      <c r="J77" s="20"/>
      <c r="K77" s="20"/>
      <c r="L77" s="20"/>
      <c r="M77" s="20"/>
    </row>
    <row r="78">
      <c r="A78" s="52" t="s">
        <v>4867</v>
      </c>
      <c r="B78" s="20" t="s">
        <v>1809</v>
      </c>
      <c r="C78" s="61" t="s">
        <v>4868</v>
      </c>
      <c r="D78" s="60" t="s">
        <v>4869</v>
      </c>
      <c r="E78" s="60" t="s">
        <v>4504</v>
      </c>
      <c r="F78" s="60" t="s">
        <v>4625</v>
      </c>
      <c r="G78" s="60" t="s">
        <v>4870</v>
      </c>
      <c r="H78" s="60" t="n">
        <v>811</v>
      </c>
      <c r="I78" s="60" t="s">
        <v>4871</v>
      </c>
      <c r="J78" s="20"/>
      <c r="K78" s="20"/>
      <c r="L78" s="20"/>
      <c r="M78" s="20"/>
    </row>
    <row r="79" ht="28.5" customHeight="1">
      <c r="A79" s="52" t="s">
        <v>2526</v>
      </c>
      <c r="B79" s="20" t="s">
        <v>2523</v>
      </c>
      <c r="C79" s="60" t="s">
        <v>4872</v>
      </c>
      <c r="D79" s="61" t="s">
        <v>4873</v>
      </c>
      <c r="E79" s="61" t="s">
        <v>4644</v>
      </c>
      <c r="F79" s="61" t="s">
        <v>4820</v>
      </c>
      <c r="G79" s="60" t="s">
        <v>4874</v>
      </c>
      <c r="H79" s="61" t="n">
        <v>30</v>
      </c>
      <c r="I79" s="61" t="s">
        <v>4875</v>
      </c>
    </row>
    <row r="80">
      <c r="A80" s="52" t="s">
        <v>4876</v>
      </c>
      <c r="B80" s="20" t="s">
        <v>4877</v>
      </c>
      <c r="C80" s="61" t="s">
        <v>4878</v>
      </c>
      <c r="D80" s="60" t="s">
        <v>4843</v>
      </c>
      <c r="E80" s="60" t="s">
        <v>4577</v>
      </c>
      <c r="F80" s="60" t="s">
        <v>4578</v>
      </c>
      <c r="G80" s="60" t="s">
        <v>4879</v>
      </c>
      <c r="H80" s="60" t="n">
        <v>4</v>
      </c>
      <c r="I80" s="60" t="s">
        <v>4880</v>
      </c>
      <c r="J80" s="20"/>
      <c r="K80" s="20"/>
      <c r="L80" s="20"/>
      <c r="M80" s="20"/>
    </row>
    <row r="81">
      <c r="A81" s="52" t="s">
        <v>4881</v>
      </c>
      <c r="B81" s="20" t="s">
        <v>3607</v>
      </c>
      <c r="C81" s="60" t="s">
        <v>3611</v>
      </c>
      <c r="D81" s="61" t="s">
        <v>4840</v>
      </c>
      <c r="E81" s="61" t="s">
        <v>4546</v>
      </c>
      <c r="F81" s="61" t="s">
        <v>4665</v>
      </c>
      <c r="G81" s="60" t="s">
        <v>4882</v>
      </c>
      <c r="H81" s="61" t="n">
        <v>869</v>
      </c>
    </row>
    <row r="82">
      <c r="A82" s="52" t="s">
        <v>4883</v>
      </c>
      <c r="B82" s="20" t="s">
        <v>3325</v>
      </c>
      <c r="C82" s="60" t="s">
        <v>3328</v>
      </c>
      <c r="D82" s="61" t="s">
        <v>4884</v>
      </c>
      <c r="E82" s="61" t="s">
        <v>4577</v>
      </c>
      <c r="F82" s="61" t="s">
        <v>4790</v>
      </c>
      <c r="G82" s="60" t="s">
        <v>4885</v>
      </c>
      <c r="H82" s="61" t="n">
        <v>172</v>
      </c>
    </row>
    <row r="83">
      <c r="A83" s="52" t="s">
        <v>4886</v>
      </c>
      <c r="B83" s="20" t="s">
        <v>2927</v>
      </c>
      <c r="C83" s="60" t="s">
        <v>4887</v>
      </c>
      <c r="D83" s="61" t="s">
        <v>4888</v>
      </c>
      <c r="E83" s="61" t="s">
        <v>4577</v>
      </c>
      <c r="F83" s="61" t="s">
        <v>4783</v>
      </c>
      <c r="G83" s="60" t="s">
        <v>4889</v>
      </c>
      <c r="H83" s="61" t="n">
        <v>30</v>
      </c>
    </row>
    <row r="84" ht="28.5" customHeight="1">
      <c r="A84" s="52" t="s">
        <v>4890</v>
      </c>
      <c r="B84" s="20" t="s">
        <v>4891</v>
      </c>
      <c r="C84" s="66" t="s">
        <v>4892</v>
      </c>
      <c r="D84" s="61" t="s">
        <v>4893</v>
      </c>
      <c r="E84" s="61" t="s">
        <v>4539</v>
      </c>
      <c r="F84" s="67" t="s">
        <v>4566</v>
      </c>
      <c r="G84" s="60" t="s">
        <v>4894</v>
      </c>
      <c r="H84" s="61" t="n">
        <v>226</v>
      </c>
      <c r="I84" s="68" t="s">
        <v>4895</v>
      </c>
      <c r="J84" s="20"/>
      <c r="K84" s="20"/>
      <c r="L84" s="20"/>
      <c r="M84" s="20"/>
    </row>
    <row r="85">
      <c r="A85" s="52" t="s">
        <v>4896</v>
      </c>
      <c r="B85" s="20" t="s">
        <v>421</v>
      </c>
      <c r="C85" s="60" t="s">
        <v>4897</v>
      </c>
      <c r="D85" s="60" t="s">
        <v>4898</v>
      </c>
      <c r="E85" s="60" t="s">
        <v>4533</v>
      </c>
      <c r="F85" s="60" t="s">
        <v>4534</v>
      </c>
      <c r="G85" s="60" t="s">
        <v>4899</v>
      </c>
      <c r="H85" s="60" t="n">
        <v>4373</v>
      </c>
      <c r="I85" s="60" t="s">
        <v>4900</v>
      </c>
      <c r="J85" s="20"/>
      <c r="K85" s="20"/>
      <c r="L85" s="20"/>
      <c r="M85" s="20"/>
    </row>
    <row r="86">
      <c r="A86" s="52" t="s">
        <v>4901</v>
      </c>
      <c r="B86" s="20" t="s">
        <v>1301</v>
      </c>
      <c r="C86" s="60" t="s">
        <v>4902</v>
      </c>
      <c r="D86" s="60" t="s">
        <v>4677</v>
      </c>
      <c r="E86" s="60" t="s">
        <v>4557</v>
      </c>
      <c r="F86" s="60" t="s">
        <v>4678</v>
      </c>
      <c r="G86" s="60" t="s">
        <v>4903</v>
      </c>
      <c r="H86" s="60" t="n">
        <v>450</v>
      </c>
      <c r="I86" s="60" t="s">
        <v>4904</v>
      </c>
      <c r="J86" s="20"/>
      <c r="K86" s="20"/>
      <c r="L86" s="20"/>
      <c r="M86" s="20"/>
    </row>
    <row r="87" ht="30" customHeight="1">
      <c r="A87" s="52" t="s">
        <v>4905</v>
      </c>
      <c r="B87" s="20" t="s">
        <v>2076</v>
      </c>
      <c r="C87" s="63" t="s">
        <v>4906</v>
      </c>
      <c r="D87" s="64" t="s">
        <v>4907</v>
      </c>
      <c r="E87" s="64" t="s">
        <v>4597</v>
      </c>
      <c r="F87" s="65" t="s">
        <v>4598</v>
      </c>
      <c r="G87" s="63" t="s">
        <v>4908</v>
      </c>
      <c r="H87" s="61" t="n">
        <v>200</v>
      </c>
      <c r="I87" s="68" t="s">
        <v>4909</v>
      </c>
      <c r="J87" s="20"/>
      <c r="K87" s="20"/>
      <c r="L87" s="20"/>
      <c r="M87" s="20"/>
    </row>
    <row r="88" ht="28.5" customHeight="1">
      <c r="A88" s="52" t="s">
        <v>4910</v>
      </c>
      <c r="B88" s="20" t="s">
        <v>3078</v>
      </c>
      <c r="C88" s="60" t="s">
        <v>4911</v>
      </c>
      <c r="D88" s="61" t="s">
        <v>4912</v>
      </c>
      <c r="E88" s="61" t="s">
        <v>4546</v>
      </c>
      <c r="F88" s="61" t="s">
        <v>4619</v>
      </c>
      <c r="G88" s="60" t="s">
        <v>4913</v>
      </c>
      <c r="H88" s="61" t="n">
        <v>12</v>
      </c>
      <c r="I88" s="61" t="s">
        <v>4914</v>
      </c>
    </row>
    <row r="89">
      <c r="A89" s="52" t="s">
        <v>4915</v>
      </c>
      <c r="B89" s="20" t="s">
        <v>2076</v>
      </c>
      <c r="C89" s="61" t="s">
        <v>4916</v>
      </c>
      <c r="D89" s="60" t="s">
        <v>4917</v>
      </c>
      <c r="E89" s="60" t="s">
        <v>4644</v>
      </c>
      <c r="F89" s="60" t="s">
        <v>4760</v>
      </c>
      <c r="G89" s="60" t="s">
        <v>4918</v>
      </c>
      <c r="H89" s="60" t="n">
        <v>8</v>
      </c>
      <c r="I89" s="60" t="s">
        <v>4919</v>
      </c>
      <c r="J89" s="20"/>
      <c r="K89" s="20"/>
      <c r="L89" s="20"/>
      <c r="M89" s="20"/>
    </row>
    <row r="90" ht="28.5" customHeight="1">
      <c r="A90" s="52" t="s">
        <v>4920</v>
      </c>
      <c r="B90" s="20" t="s">
        <v>4921</v>
      </c>
      <c r="C90" s="60" t="s">
        <v>4922</v>
      </c>
      <c r="D90" s="60" t="s">
        <v>4923</v>
      </c>
      <c r="E90" s="60" t="s">
        <v>4522</v>
      </c>
      <c r="F90" s="60" t="s">
        <v>4924</v>
      </c>
      <c r="G90" s="60" t="s">
        <v>4925</v>
      </c>
      <c r="H90" s="60" t="n">
        <v>77</v>
      </c>
      <c r="I90" s="60" t="s">
        <v>4926</v>
      </c>
      <c r="J90" s="20"/>
      <c r="K90" s="20"/>
      <c r="L90" s="20"/>
      <c r="M90" s="20"/>
    </row>
    <row r="91">
      <c r="A91" s="52" t="s">
        <v>4927</v>
      </c>
      <c r="B91" s="20" t="s">
        <v>2109</v>
      </c>
      <c r="C91" s="61" t="s">
        <v>4928</v>
      </c>
      <c r="D91" s="60" t="s">
        <v>4929</v>
      </c>
      <c r="E91" s="60" t="s">
        <v>4644</v>
      </c>
      <c r="F91" s="60" t="s">
        <v>4645</v>
      </c>
      <c r="G91" s="60" t="s">
        <v>4930</v>
      </c>
      <c r="H91" s="60" t="n">
        <v>150</v>
      </c>
      <c r="I91" s="60" t="s">
        <v>4931</v>
      </c>
      <c r="J91" s="20"/>
      <c r="K91" s="20"/>
      <c r="L91" s="20"/>
      <c r="M91" s="20"/>
    </row>
    <row r="92" ht="15" customHeight="1">
      <c r="A92" s="52" t="s">
        <v>4932</v>
      </c>
      <c r="B92" s="20" t="s">
        <v>797</v>
      </c>
      <c r="C92" s="63" t="s">
        <v>4933</v>
      </c>
      <c r="D92" s="64" t="s">
        <v>4934</v>
      </c>
      <c r="E92" s="61" t="s">
        <v>4522</v>
      </c>
      <c r="F92" s="65" t="s">
        <v>4552</v>
      </c>
      <c r="G92" s="63" t="s">
        <v>4935</v>
      </c>
      <c r="H92" s="61" t="n">
        <v>1900</v>
      </c>
      <c r="I92" s="68" t="s">
        <v>4936</v>
      </c>
      <c r="J92" s="20"/>
      <c r="K92" s="20"/>
      <c r="L92" s="20"/>
      <c r="M92" s="20"/>
    </row>
    <row r="93">
      <c r="A93" s="52" t="s">
        <v>4937</v>
      </c>
      <c r="B93" s="20" t="s">
        <v>1306</v>
      </c>
      <c r="C93" s="61" t="s">
        <v>4938</v>
      </c>
      <c r="D93" s="60" t="s">
        <v>4677</v>
      </c>
      <c r="E93" s="60" t="s">
        <v>4557</v>
      </c>
      <c r="F93" s="60" t="s">
        <v>4678</v>
      </c>
      <c r="G93" s="60" t="s">
        <v>4939</v>
      </c>
      <c r="H93" s="60" t="n">
        <v>500</v>
      </c>
      <c r="I93" s="60" t="s">
        <v>4940</v>
      </c>
      <c r="J93" s="20"/>
      <c r="K93" s="20"/>
      <c r="L93" s="20"/>
      <c r="M93" s="20"/>
    </row>
    <row r="94" ht="15" customHeight="1">
      <c r="A94" s="52" t="s">
        <v>4941</v>
      </c>
      <c r="B94" s="20" t="s">
        <v>1820</v>
      </c>
      <c r="C94" s="63" t="s">
        <v>4942</v>
      </c>
      <c r="D94" s="64" t="s">
        <v>4943</v>
      </c>
      <c r="E94" s="64" t="s">
        <v>4522</v>
      </c>
      <c r="F94" s="65" t="s">
        <v>4523</v>
      </c>
      <c r="G94" s="60" t="s">
        <v>4944</v>
      </c>
      <c r="H94" s="61" t="n">
        <v>1233</v>
      </c>
      <c r="I94" s="68" t="s">
        <v>4945</v>
      </c>
      <c r="J94" s="20"/>
      <c r="K94" s="20"/>
      <c r="L94" s="20"/>
      <c r="M94" s="20"/>
    </row>
    <row r="95">
      <c r="A95" s="52" t="s">
        <v>4946</v>
      </c>
      <c r="B95" s="20" t="s">
        <v>354</v>
      </c>
      <c r="C95" s="60" t="s">
        <v>4947</v>
      </c>
      <c r="D95" s="60" t="s">
        <v>4948</v>
      </c>
      <c r="E95" s="60" t="s">
        <v>4533</v>
      </c>
      <c r="F95" s="60" t="s">
        <v>4571</v>
      </c>
      <c r="G95" s="60" t="s">
        <v>4949</v>
      </c>
      <c r="H95" s="60" t="n">
        <v>1821</v>
      </c>
      <c r="I95" s="60" t="s">
        <v>4950</v>
      </c>
      <c r="J95" s="20"/>
      <c r="K95" s="20"/>
      <c r="L95" s="20"/>
      <c r="M95" s="20"/>
    </row>
    <row r="96" ht="29.25" customHeight="1">
      <c r="A96" s="52" t="s">
        <v>4951</v>
      </c>
      <c r="B96" s="20" t="s">
        <v>4952</v>
      </c>
      <c r="C96" s="63" t="s">
        <v>4953</v>
      </c>
      <c r="D96" s="64" t="s">
        <v>4954</v>
      </c>
      <c r="E96" s="64" t="s">
        <v>4546</v>
      </c>
      <c r="F96" s="65" t="s">
        <v>4955</v>
      </c>
      <c r="G96" s="63" t="s">
        <v>4956</v>
      </c>
      <c r="H96" s="61" t="n">
        <v>1001</v>
      </c>
      <c r="I96" s="68" t="s">
        <v>4957</v>
      </c>
      <c r="J96" s="20"/>
      <c r="K96" s="20"/>
      <c r="L96" s="20"/>
      <c r="M96" s="20"/>
    </row>
    <row r="97">
      <c r="A97" s="52" t="s">
        <v>4958</v>
      </c>
      <c r="B97" s="20" t="s">
        <v>2069</v>
      </c>
      <c r="C97" s="60" t="s">
        <v>4959</v>
      </c>
      <c r="D97" s="60" t="s">
        <v>4960</v>
      </c>
      <c r="E97" s="60" t="s">
        <v>4644</v>
      </c>
      <c r="F97" s="60" t="s">
        <v>4760</v>
      </c>
      <c r="G97" s="60" t="s">
        <v>4961</v>
      </c>
      <c r="H97" s="60" t="n">
        <v>122</v>
      </c>
      <c r="I97" s="60" t="s">
        <v>4962</v>
      </c>
      <c r="J97" s="20"/>
      <c r="K97" s="20"/>
      <c r="L97" s="20"/>
      <c r="M97" s="20"/>
    </row>
    <row r="98">
      <c r="A98" s="52" t="s">
        <v>4963</v>
      </c>
      <c r="B98" s="20" t="s">
        <v>4964</v>
      </c>
      <c r="C98" s="60" t="s">
        <v>4965</v>
      </c>
      <c r="D98" s="60" t="s">
        <v>4966</v>
      </c>
      <c r="E98" s="60" t="s">
        <v>4577</v>
      </c>
      <c r="F98" s="60" t="s">
        <v>4783</v>
      </c>
      <c r="G98" s="60" t="s">
        <v>4967</v>
      </c>
      <c r="H98" s="60" t="n">
        <v>55</v>
      </c>
      <c r="I98" s="60" t="s">
        <v>4968</v>
      </c>
      <c r="J98" s="20"/>
      <c r="K98" s="20"/>
      <c r="L98" s="20"/>
      <c r="M98" s="20"/>
    </row>
    <row r="99" ht="28.5" customHeight="1">
      <c r="A99" s="52" t="s">
        <v>4969</v>
      </c>
      <c r="B99" s="20" t="s">
        <v>4970</v>
      </c>
      <c r="C99" s="60" t="s">
        <v>4971</v>
      </c>
      <c r="D99" s="60" t="s">
        <v>1832</v>
      </c>
      <c r="E99" s="60" t="s">
        <v>4504</v>
      </c>
      <c r="F99" s="60" t="s">
        <v>4509</v>
      </c>
      <c r="G99" s="60" t="s">
        <v>4972</v>
      </c>
      <c r="H99" s="60" t="n">
        <v>96</v>
      </c>
      <c r="I99" s="60" t="s">
        <v>4973</v>
      </c>
      <c r="J99" s="20"/>
      <c r="K99" s="20"/>
      <c r="L99" s="20"/>
      <c r="M99" s="20"/>
    </row>
    <row r="100" ht="42.75" customHeight="1">
      <c r="A100" s="52" t="s">
        <v>4974</v>
      </c>
      <c r="B100" s="20" t="s">
        <v>4975</v>
      </c>
      <c r="C100" s="61" t="s">
        <v>4976</v>
      </c>
      <c r="D100" s="60" t="s">
        <v>4977</v>
      </c>
      <c r="E100" s="60" t="s">
        <v>4546</v>
      </c>
      <c r="F100" s="60" t="s">
        <v>4955</v>
      </c>
      <c r="G100" s="60" t="s">
        <v>4978</v>
      </c>
      <c r="H100" s="60" t="n">
        <v>440</v>
      </c>
      <c r="I100" s="60" t="s">
        <v>4979</v>
      </c>
      <c r="J100" s="20"/>
      <c r="K100" s="20"/>
      <c r="L100" s="20"/>
      <c r="M100" s="20"/>
    </row>
    <row r="101">
      <c r="A101" s="52" t="s">
        <v>2397</v>
      </c>
      <c r="B101" s="20" t="s">
        <v>2392</v>
      </c>
      <c r="C101" s="61" t="s">
        <v>4980</v>
      </c>
      <c r="D101" s="60" t="s">
        <v>4981</v>
      </c>
      <c r="E101" s="60" t="s">
        <v>4597</v>
      </c>
      <c r="F101" s="60" t="s">
        <v>4982</v>
      </c>
      <c r="G101" s="60" t="s">
        <v>4983</v>
      </c>
      <c r="H101" s="60" t="n">
        <v>207</v>
      </c>
      <c r="I101" s="60" t="s">
        <v>4984</v>
      </c>
      <c r="J101" s="20"/>
      <c r="K101" s="20"/>
      <c r="L101" s="20"/>
      <c r="M101" s="20"/>
    </row>
    <row r="102" ht="28.5" customHeight="1">
      <c r="A102" s="52" t="s">
        <v>4985</v>
      </c>
      <c r="B102" s="20" t="s">
        <v>4986</v>
      </c>
      <c r="C102" s="61" t="s">
        <v>4987</v>
      </c>
      <c r="D102" s="60" t="s">
        <v>4803</v>
      </c>
      <c r="E102" s="60" t="s">
        <v>4644</v>
      </c>
      <c r="F102" s="60" t="s">
        <v>4760</v>
      </c>
      <c r="G102" s="60" t="s">
        <v>4988</v>
      </c>
      <c r="H102" s="60" t="n">
        <v>180</v>
      </c>
      <c r="I102" s="60" t="s">
        <v>4989</v>
      </c>
      <c r="J102" s="20"/>
      <c r="K102" s="20"/>
      <c r="L102" s="20"/>
      <c r="M102" s="20"/>
    </row>
    <row r="103">
      <c r="A103" s="52" t="s">
        <v>4990</v>
      </c>
      <c r="B103" s="20" t="s">
        <v>366</v>
      </c>
      <c r="C103" s="61" t="s">
        <v>4991</v>
      </c>
      <c r="D103" s="60" t="s">
        <v>4630</v>
      </c>
      <c r="E103" s="60" t="s">
        <v>4533</v>
      </c>
      <c r="F103" s="60" t="s">
        <v>4534</v>
      </c>
      <c r="G103" s="60" t="s">
        <v>4992</v>
      </c>
      <c r="H103" s="60" t="n">
        <v>375</v>
      </c>
      <c r="I103" s="60" t="s">
        <v>4993</v>
      </c>
      <c r="J103" s="20"/>
      <c r="K103" s="20"/>
      <c r="L103" s="20"/>
      <c r="M103" s="20"/>
    </row>
    <row r="104" ht="28.5" customHeight="1">
      <c r="A104" s="52" t="s">
        <v>4994</v>
      </c>
      <c r="B104" s="20" t="s">
        <v>3346</v>
      </c>
      <c r="C104" s="60" t="s">
        <v>4995</v>
      </c>
      <c r="D104" s="61" t="s">
        <v>4614</v>
      </c>
      <c r="E104" s="61" t="s">
        <v>4577</v>
      </c>
      <c r="F104" s="61" t="s">
        <v>4578</v>
      </c>
      <c r="G104" s="60" t="s">
        <v>4996</v>
      </c>
      <c r="H104" s="61" t="n">
        <v>280</v>
      </c>
      <c r="I104" s="72" t="s">
        <v>4997</v>
      </c>
    </row>
    <row r="105">
      <c r="A105" s="52" t="s">
        <v>4998</v>
      </c>
      <c r="B105" s="20" t="s">
        <v>3613</v>
      </c>
      <c r="C105" s="60" t="s">
        <v>3616</v>
      </c>
      <c r="D105" s="61" t="s">
        <v>4545</v>
      </c>
      <c r="E105" s="61" t="s">
        <v>4546</v>
      </c>
      <c r="F105" s="61" t="s">
        <v>4547</v>
      </c>
      <c r="G105" s="60" t="s">
        <v>4999</v>
      </c>
      <c r="H105" s="61" t="n">
        <v>50</v>
      </c>
    </row>
    <row r="106">
      <c r="A106" s="52" t="s">
        <v>5000</v>
      </c>
      <c r="B106" s="20" t="s">
        <v>2109</v>
      </c>
      <c r="C106" s="61" t="s">
        <v>5001</v>
      </c>
      <c r="D106" s="60" t="s">
        <v>5002</v>
      </c>
      <c r="E106" s="60" t="s">
        <v>4557</v>
      </c>
      <c r="F106" s="60" t="s">
        <v>5003</v>
      </c>
      <c r="G106" s="60" t="s">
        <v>5004</v>
      </c>
      <c r="H106" s="60" t="n">
        <v>961</v>
      </c>
      <c r="I106" s="60" t="s">
        <v>5005</v>
      </c>
      <c r="J106" s="20"/>
      <c r="K106" s="20"/>
      <c r="L106" s="20"/>
      <c r="M106" s="20"/>
    </row>
    <row r="107">
      <c r="A107" s="52" t="s">
        <v>5006</v>
      </c>
      <c r="B107" s="20" t="s">
        <v>811</v>
      </c>
      <c r="C107" s="60" t="s">
        <v>5007</v>
      </c>
      <c r="D107" s="61" t="s">
        <v>5008</v>
      </c>
      <c r="E107" s="61" t="s">
        <v>4522</v>
      </c>
      <c r="F107" s="67" t="s">
        <v>4552</v>
      </c>
      <c r="G107" s="60" t="s">
        <v>5009</v>
      </c>
      <c r="H107" s="61" t="n">
        <v>100</v>
      </c>
      <c r="I107" s="68" t="s">
        <v>5010</v>
      </c>
      <c r="J107" s="20"/>
      <c r="K107" s="20"/>
      <c r="L107" s="20"/>
      <c r="M107" s="20"/>
    </row>
    <row r="108" ht="42.75" customHeight="1">
      <c r="A108" s="52" t="s">
        <v>5011</v>
      </c>
      <c r="B108" s="20" t="s">
        <v>5012</v>
      </c>
      <c r="C108" s="60" t="s">
        <v>5013</v>
      </c>
      <c r="D108" s="60" t="s">
        <v>5014</v>
      </c>
      <c r="E108" s="60" t="s">
        <v>4522</v>
      </c>
      <c r="F108" s="60" t="s">
        <v>4523</v>
      </c>
      <c r="G108" s="60" t="s">
        <v>5015</v>
      </c>
      <c r="H108" s="60" t="n">
        <v>157</v>
      </c>
      <c r="I108" s="60" t="s">
        <v>5016</v>
      </c>
      <c r="J108" s="20"/>
      <c r="K108" s="20"/>
      <c r="L108" s="20"/>
      <c r="M108" s="20"/>
    </row>
    <row r="109">
      <c r="A109" s="52" t="s">
        <v>5017</v>
      </c>
      <c r="B109" s="20" t="s">
        <v>2100</v>
      </c>
      <c r="C109" s="60" t="s">
        <v>5018</v>
      </c>
      <c r="D109" s="60" t="s">
        <v>4672</v>
      </c>
      <c r="E109" s="60" t="s">
        <v>4539</v>
      </c>
      <c r="F109" s="60" t="s">
        <v>4673</v>
      </c>
      <c r="G109" s="60" t="s">
        <v>5019</v>
      </c>
      <c r="H109" s="60" t="n">
        <v>255</v>
      </c>
      <c r="I109" s="60" t="s">
        <v>5020</v>
      </c>
      <c r="J109" s="20"/>
      <c r="K109" s="20"/>
      <c r="L109" s="20"/>
      <c r="M109" s="20"/>
    </row>
    <row r="110">
      <c r="A110" s="52" t="s">
        <v>5021</v>
      </c>
      <c r="B110" s="20" t="s">
        <v>2076</v>
      </c>
      <c r="C110" s="60" t="s">
        <v>5022</v>
      </c>
      <c r="D110" s="61" t="s">
        <v>5023</v>
      </c>
      <c r="E110" s="61" t="s">
        <v>4504</v>
      </c>
      <c r="F110" s="67" t="s">
        <v>4505</v>
      </c>
      <c r="G110" s="60" t="s">
        <v>5024</v>
      </c>
      <c r="H110" s="61" t="n">
        <v>15</v>
      </c>
      <c r="I110" s="68" t="s">
        <v>5025</v>
      </c>
      <c r="J110" s="20"/>
      <c r="K110" s="20"/>
      <c r="L110" s="20"/>
      <c r="M110" s="20"/>
    </row>
    <row r="111">
      <c r="A111" s="52" t="s">
        <v>5026</v>
      </c>
      <c r="B111" s="20" t="s">
        <v>3019</v>
      </c>
      <c r="C111" s="60" t="s">
        <v>5027</v>
      </c>
      <c r="D111" s="61" t="s">
        <v>5028</v>
      </c>
      <c r="E111" s="61" t="s">
        <v>4644</v>
      </c>
      <c r="F111" s="61" t="s">
        <v>4760</v>
      </c>
      <c r="G111" s="60" t="s">
        <v>5029</v>
      </c>
      <c r="H111" s="61" t="n">
        <v>353</v>
      </c>
      <c r="I111" s="61" t="s">
        <v>5030</v>
      </c>
    </row>
    <row r="112">
      <c r="A112" s="52" t="s">
        <v>5031</v>
      </c>
      <c r="B112" s="20" t="s">
        <v>3078</v>
      </c>
      <c r="C112" s="60" t="s">
        <v>5032</v>
      </c>
      <c r="D112" s="61" t="s">
        <v>4638</v>
      </c>
      <c r="E112" s="61" t="s">
        <v>4546</v>
      </c>
      <c r="F112" s="61" t="s">
        <v>4547</v>
      </c>
      <c r="G112" s="60" t="s">
        <v>5033</v>
      </c>
      <c r="H112" s="61" t="n">
        <v>318</v>
      </c>
      <c r="I112" s="61" t="s">
        <v>5034</v>
      </c>
    </row>
    <row r="113">
      <c r="A113" s="52" t="s">
        <v>5035</v>
      </c>
      <c r="B113" s="20" t="s">
        <v>3163</v>
      </c>
      <c r="C113" s="60" t="s">
        <v>5036</v>
      </c>
      <c r="D113" s="61" t="s">
        <v>4690</v>
      </c>
      <c r="E113" s="61" t="s">
        <v>4533</v>
      </c>
      <c r="F113" s="61" t="s">
        <v>4534</v>
      </c>
      <c r="G113" s="60" t="s">
        <v>5037</v>
      </c>
      <c r="H113" s="61" t="n">
        <v>45</v>
      </c>
      <c r="I113" s="61" t="s">
        <v>5038</v>
      </c>
    </row>
    <row r="114" ht="28.5" customHeight="1">
      <c r="A114" s="52" t="s">
        <v>5039</v>
      </c>
      <c r="B114" s="20" t="s">
        <v>5040</v>
      </c>
      <c r="C114" s="61" t="s">
        <v>5041</v>
      </c>
      <c r="D114" s="60" t="s">
        <v>5042</v>
      </c>
      <c r="E114" s="60" t="s">
        <v>4522</v>
      </c>
      <c r="F114" s="60" t="s">
        <v>4523</v>
      </c>
      <c r="G114" s="60" t="s">
        <v>5043</v>
      </c>
      <c r="H114" s="60" t="n">
        <v>655</v>
      </c>
      <c r="I114" s="60" t="s">
        <v>5044</v>
      </c>
      <c r="J114" s="20"/>
      <c r="K114" s="20"/>
      <c r="L114" s="20"/>
      <c r="M114" s="20"/>
    </row>
    <row r="115">
      <c r="A115" s="52" t="s">
        <v>5045</v>
      </c>
      <c r="B115" s="20" t="s">
        <v>3078</v>
      </c>
      <c r="C115" s="60" t="s">
        <v>5046</v>
      </c>
      <c r="D115" s="61" t="s">
        <v>5047</v>
      </c>
      <c r="E115" s="61" t="s">
        <v>4546</v>
      </c>
      <c r="F115" s="61" t="s">
        <v>4547</v>
      </c>
      <c r="G115" s="60" t="s">
        <v>5048</v>
      </c>
      <c r="H115" s="61" t="n">
        <v>73</v>
      </c>
      <c r="I115" s="61" t="s">
        <v>5049</v>
      </c>
    </row>
    <row r="116" ht="30" customHeight="1">
      <c r="A116" s="52" t="s">
        <v>1286</v>
      </c>
      <c r="B116" s="20" t="s">
        <v>5050</v>
      </c>
      <c r="C116" s="63" t="s">
        <v>5051</v>
      </c>
      <c r="D116" s="64" t="s">
        <v>4649</v>
      </c>
      <c r="E116" s="61" t="s">
        <v>4557</v>
      </c>
      <c r="F116" s="65" t="s">
        <v>4650</v>
      </c>
      <c r="G116" s="63" t="s">
        <v>5052</v>
      </c>
      <c r="H116" s="61" t="n">
        <v>2240</v>
      </c>
      <c r="I116" s="68" t="s">
        <v>5053</v>
      </c>
      <c r="J116" s="20"/>
      <c r="K116" s="20"/>
      <c r="L116" s="20"/>
      <c r="M116" s="20"/>
    </row>
    <row r="117" ht="15" customHeight="1">
      <c r="A117" s="52" t="s">
        <v>5054</v>
      </c>
      <c r="B117" s="20" t="s">
        <v>818</v>
      </c>
      <c r="C117" s="63" t="s">
        <v>5055</v>
      </c>
      <c r="D117" s="64" t="s">
        <v>5056</v>
      </c>
      <c r="E117" s="64" t="s">
        <v>4597</v>
      </c>
      <c r="F117" s="65" t="s">
        <v>4660</v>
      </c>
      <c r="G117" s="63" t="s">
        <v>5057</v>
      </c>
      <c r="H117" s="61" t="n">
        <v>54</v>
      </c>
      <c r="I117" s="68" t="s">
        <v>5058</v>
      </c>
      <c r="J117" s="20"/>
      <c r="K117" s="20"/>
      <c r="L117" s="20"/>
      <c r="M117" s="20"/>
    </row>
    <row r="118" ht="28.5" customHeight="1">
      <c r="A118" s="52" t="s">
        <v>401</v>
      </c>
      <c r="B118" s="20" t="s">
        <v>5059</v>
      </c>
      <c r="C118" s="61" t="s">
        <v>5060</v>
      </c>
      <c r="D118" s="60" t="s">
        <v>5061</v>
      </c>
      <c r="E118" s="60" t="s">
        <v>4522</v>
      </c>
      <c r="F118" s="60" t="s">
        <v>4523</v>
      </c>
      <c r="G118" s="60" t="s">
        <v>4524</v>
      </c>
      <c r="H118" s="60" t="n">
        <v>471</v>
      </c>
      <c r="I118" s="60" t="s">
        <v>5062</v>
      </c>
      <c r="J118" s="20"/>
      <c r="K118" s="20"/>
      <c r="L118" s="20"/>
      <c r="M118" s="20"/>
    </row>
    <row r="119">
      <c r="A119" s="52" t="s">
        <v>5063</v>
      </c>
      <c r="B119" s="20" t="s">
        <v>5064</v>
      </c>
      <c r="C119" s="61" t="s">
        <v>5065</v>
      </c>
      <c r="D119" s="60" t="s">
        <v>4912</v>
      </c>
      <c r="E119" s="60" t="s">
        <v>4546</v>
      </c>
      <c r="F119" s="60" t="s">
        <v>4619</v>
      </c>
      <c r="G119" s="60" t="s">
        <v>5066</v>
      </c>
      <c r="H119" s="60" t="n">
        <v>2200</v>
      </c>
      <c r="I119" s="60" t="s">
        <v>5067</v>
      </c>
      <c r="J119" s="20"/>
      <c r="K119" s="20"/>
      <c r="L119" s="20"/>
      <c r="M119" s="20"/>
    </row>
    <row r="120">
      <c r="A120" s="52" t="s">
        <v>5068</v>
      </c>
      <c r="B120" s="20" t="s">
        <v>5069</v>
      </c>
      <c r="C120" s="61" t="s">
        <v>5070</v>
      </c>
      <c r="D120" s="60" t="s">
        <v>5071</v>
      </c>
      <c r="E120" s="60" t="s">
        <v>4577</v>
      </c>
      <c r="F120" s="60" t="s">
        <v>4578</v>
      </c>
      <c r="G120" s="60" t="s">
        <v>5072</v>
      </c>
      <c r="H120" s="60" t="n">
        <v>171</v>
      </c>
      <c r="I120" s="60" t="s">
        <v>5073</v>
      </c>
      <c r="J120" s="20"/>
      <c r="K120" s="20"/>
      <c r="L120" s="20"/>
      <c r="M120" s="20"/>
    </row>
    <row r="121" ht="28.5" customHeight="1">
      <c r="A121" s="52" t="s">
        <v>391</v>
      </c>
      <c r="B121" s="20" t="s">
        <v>5074</v>
      </c>
      <c r="C121" s="61" t="s">
        <v>5075</v>
      </c>
      <c r="D121" s="60" t="s">
        <v>5076</v>
      </c>
      <c r="E121" s="60" t="s">
        <v>4533</v>
      </c>
      <c r="F121" s="60" t="s">
        <v>4534</v>
      </c>
      <c r="G121" s="60" t="s">
        <v>5077</v>
      </c>
      <c r="H121" s="60" t="n">
        <v>1782</v>
      </c>
      <c r="I121" s="60" t="s">
        <v>5078</v>
      </c>
      <c r="J121" s="20"/>
      <c r="K121" s="20"/>
      <c r="L121" s="20"/>
      <c r="M121" s="20"/>
    </row>
    <row r="122">
      <c r="A122" s="52" t="s">
        <v>5079</v>
      </c>
      <c r="B122" s="20" t="s">
        <v>2109</v>
      </c>
      <c r="C122" s="61" t="s">
        <v>5080</v>
      </c>
      <c r="D122" s="60" t="s">
        <v>5081</v>
      </c>
      <c r="E122" s="60" t="s">
        <v>4546</v>
      </c>
      <c r="F122" s="60" t="s">
        <v>4955</v>
      </c>
      <c r="G122" s="60" t="s">
        <v>5082</v>
      </c>
      <c r="H122" s="60" t="n">
        <v>36</v>
      </c>
      <c r="I122" s="60" t="s">
        <v>5083</v>
      </c>
      <c r="J122" s="20"/>
      <c r="K122" s="20"/>
      <c r="L122" s="20"/>
      <c r="M122" s="20"/>
    </row>
    <row r="123" ht="28.5" customHeight="1">
      <c r="A123" s="52" t="s">
        <v>5084</v>
      </c>
      <c r="B123" s="20" t="s">
        <v>5085</v>
      </c>
      <c r="C123" s="60" t="s">
        <v>5086</v>
      </c>
      <c r="D123" s="60" t="s">
        <v>5087</v>
      </c>
      <c r="E123" s="60" t="s">
        <v>4533</v>
      </c>
      <c r="F123" s="60" t="s">
        <v>4734</v>
      </c>
      <c r="G123" s="60" t="s">
        <v>5088</v>
      </c>
      <c r="H123" s="60" t="n">
        <v>350</v>
      </c>
      <c r="I123" s="60" t="s">
        <v>5089</v>
      </c>
      <c r="J123" s="20"/>
      <c r="K123" s="20"/>
      <c r="L123" s="20"/>
      <c r="M123" s="20"/>
    </row>
    <row r="124">
      <c r="A124" s="52" t="s">
        <v>5090</v>
      </c>
      <c r="B124" s="20" t="s">
        <v>360</v>
      </c>
      <c r="C124" s="61" t="s">
        <v>5091</v>
      </c>
      <c r="D124" s="60" t="s">
        <v>5092</v>
      </c>
      <c r="E124" s="60" t="s">
        <v>4533</v>
      </c>
      <c r="F124" s="60" t="s">
        <v>5093</v>
      </c>
      <c r="G124" s="60" t="s">
        <v>5094</v>
      </c>
      <c r="H124" s="60" t="n">
        <v>240</v>
      </c>
      <c r="I124" s="60" t="s">
        <v>5095</v>
      </c>
      <c r="J124" s="20"/>
      <c r="K124" s="20"/>
      <c r="L124" s="20"/>
      <c r="M124" s="20"/>
    </row>
    <row r="125">
      <c r="A125" s="52" t="s">
        <v>5096</v>
      </c>
      <c r="B125" s="20" t="s">
        <v>2069</v>
      </c>
      <c r="C125" s="60" t="s">
        <v>5097</v>
      </c>
      <c r="D125" s="60" t="s">
        <v>4873</v>
      </c>
      <c r="E125" s="60" t="s">
        <v>4644</v>
      </c>
      <c r="F125" s="60" t="s">
        <v>4820</v>
      </c>
      <c r="G125" s="60" t="s">
        <v>5098</v>
      </c>
      <c r="H125" s="60" t="n">
        <v>305</v>
      </c>
      <c r="I125" s="60" t="s">
        <v>5099</v>
      </c>
      <c r="J125" s="20"/>
      <c r="K125" s="20"/>
      <c r="L125" s="20"/>
      <c r="M125" s="20"/>
    </row>
    <row r="126">
      <c r="A126" s="52" t="s">
        <v>5100</v>
      </c>
      <c r="B126" s="20" t="s">
        <v>5101</v>
      </c>
      <c r="C126" s="61" t="s">
        <v>5102</v>
      </c>
      <c r="D126" s="60" t="s">
        <v>5103</v>
      </c>
      <c r="E126" s="60" t="s">
        <v>4533</v>
      </c>
      <c r="F126" s="60" t="s">
        <v>4734</v>
      </c>
      <c r="G126" s="60" t="s">
        <v>5104</v>
      </c>
      <c r="H126" s="60" t="n">
        <v>9</v>
      </c>
      <c r="I126" s="60" t="s">
        <v>5105</v>
      </c>
      <c r="J126" s="20"/>
      <c r="K126" s="20"/>
      <c r="L126" s="20"/>
      <c r="M126" s="20"/>
    </row>
    <row r="127">
      <c r="A127" s="20" t="s">
        <v>5106</v>
      </c>
      <c r="B127" s="20" t="s">
        <v>532</v>
      </c>
      <c r="C127" s="60" t="s">
        <v>5107</v>
      </c>
      <c r="D127" s="60" t="s">
        <v>4517</v>
      </c>
      <c r="E127" s="60" t="s">
        <v>4504</v>
      </c>
      <c r="F127" s="60" t="s">
        <v>4509</v>
      </c>
      <c r="G127" s="60" t="s">
        <v>4518</v>
      </c>
      <c r="H127" s="60" t="n">
        <v>1589</v>
      </c>
      <c r="I127" s="60"/>
      <c r="J127" s="20"/>
      <c r="K127" s="20"/>
      <c r="L127" s="20"/>
      <c r="M127" s="20"/>
    </row>
    <row r="128" ht="28.5" customHeight="1">
      <c r="A128" s="20" t="s">
        <v>5108</v>
      </c>
      <c r="B128" s="20" t="s">
        <v>1854</v>
      </c>
      <c r="C128" s="60" t="s">
        <v>1858</v>
      </c>
      <c r="D128" s="60" t="s">
        <v>4798</v>
      </c>
      <c r="E128" s="60" t="s">
        <v>4504</v>
      </c>
      <c r="F128" s="60" t="s">
        <v>4625</v>
      </c>
      <c r="G128" s="60" t="s">
        <v>5109</v>
      </c>
      <c r="H128" s="60" t="n">
        <v>325</v>
      </c>
      <c r="I128" s="60"/>
      <c r="J128" s="20"/>
      <c r="K128" s="20"/>
      <c r="L128" s="20"/>
      <c r="M128" s="20"/>
    </row>
    <row r="129">
      <c r="A129" s="20" t="s">
        <v>5110</v>
      </c>
      <c r="B129" s="20" t="s">
        <v>2179</v>
      </c>
      <c r="C129" s="60" t="s">
        <v>5111</v>
      </c>
      <c r="D129" s="60" t="s">
        <v>4664</v>
      </c>
      <c r="E129" s="60" t="s">
        <v>4546</v>
      </c>
      <c r="F129" s="60" t="s">
        <v>4665</v>
      </c>
      <c r="G129" s="60" t="s">
        <v>5112</v>
      </c>
      <c r="H129" s="60" t="n">
        <v>34</v>
      </c>
      <c r="I129" s="60" t="s">
        <v>5113</v>
      </c>
      <c r="J129" s="20"/>
      <c r="K129" s="20"/>
      <c r="L129" s="20"/>
      <c r="M129" s="20"/>
    </row>
    <row r="130">
      <c r="A130" s="20" t="s">
        <v>5114</v>
      </c>
      <c r="B130" s="20" t="s">
        <v>3260</v>
      </c>
      <c r="C130" s="60" t="s">
        <v>3264</v>
      </c>
      <c r="D130" s="61" t="s">
        <v>5071</v>
      </c>
      <c r="E130" s="61" t="s">
        <v>4577</v>
      </c>
      <c r="F130" s="61" t="s">
        <v>4578</v>
      </c>
      <c r="G130" s="60" t="s">
        <v>5115</v>
      </c>
      <c r="H130" s="61" t="n">
        <v>2280</v>
      </c>
    </row>
    <row r="131" ht="28.5" customHeight="1">
      <c r="A131" s="20" t="s">
        <v>5116</v>
      </c>
      <c r="B131" s="20" t="s">
        <v>1631</v>
      </c>
      <c r="C131" s="60" t="s">
        <v>1635</v>
      </c>
      <c r="D131" s="60" t="s">
        <v>4852</v>
      </c>
      <c r="E131" s="60" t="s">
        <v>4597</v>
      </c>
      <c r="F131" s="60" t="s">
        <v>4598</v>
      </c>
      <c r="G131" s="60" t="s">
        <v>5117</v>
      </c>
      <c r="H131" s="60" t="n">
        <v>2545</v>
      </c>
      <c r="I131" s="60"/>
      <c r="J131" s="20"/>
      <c r="K131" s="20"/>
      <c r="L131" s="20"/>
      <c r="M131" s="20"/>
    </row>
    <row r="132">
      <c r="A132" s="20" t="s">
        <v>5118</v>
      </c>
      <c r="B132" s="20" t="s">
        <v>2559</v>
      </c>
      <c r="C132" s="61" t="s">
        <v>5119</v>
      </c>
      <c r="D132" s="61" t="s">
        <v>5120</v>
      </c>
      <c r="E132" s="61" t="s">
        <v>4539</v>
      </c>
      <c r="F132" s="61" t="s">
        <v>4766</v>
      </c>
      <c r="G132" s="60" t="s">
        <v>5121</v>
      </c>
      <c r="H132" s="61" t="n">
        <v>191</v>
      </c>
      <c r="I132" s="61" t="s">
        <v>5122</v>
      </c>
    </row>
    <row r="133">
      <c r="A133" s="20" t="s">
        <v>5123</v>
      </c>
      <c r="B133" s="20" t="s">
        <v>1827</v>
      </c>
      <c r="C133" s="60" t="s">
        <v>5124</v>
      </c>
      <c r="D133" s="61" t="s">
        <v>5125</v>
      </c>
      <c r="E133" s="61" t="s">
        <v>4644</v>
      </c>
      <c r="F133" s="61" t="s">
        <v>4716</v>
      </c>
      <c r="G133" s="60" t="s">
        <v>5126</v>
      </c>
      <c r="H133" s="61" t="n">
        <v>183</v>
      </c>
      <c r="I133" s="61" t="s">
        <v>5127</v>
      </c>
      <c r="J133" s="20"/>
      <c r="K133" s="20"/>
      <c r="L133" s="20"/>
      <c r="M133" s="20"/>
    </row>
    <row r="134">
      <c r="A134" s="20" t="s">
        <v>713</v>
      </c>
      <c r="B134" s="20" t="s">
        <v>709</v>
      </c>
      <c r="C134" s="61" t="s">
        <v>5128</v>
      </c>
      <c r="D134" s="60" t="s">
        <v>4825</v>
      </c>
      <c r="E134" s="60" t="s">
        <v>4546</v>
      </c>
      <c r="F134" s="60" t="s">
        <v>4619</v>
      </c>
      <c r="G134" s="60" t="s">
        <v>5129</v>
      </c>
      <c r="H134" s="60" t="n">
        <v>60</v>
      </c>
      <c r="I134" s="60" t="s">
        <v>5130</v>
      </c>
      <c r="J134" s="20"/>
      <c r="K134" s="20"/>
      <c r="L134" s="20"/>
      <c r="M134" s="20"/>
    </row>
    <row r="135" ht="28.5" customHeight="1">
      <c r="A135" s="20" t="s">
        <v>3271</v>
      </c>
      <c r="B135" s="20" t="s">
        <v>3266</v>
      </c>
      <c r="C135" s="60" t="s">
        <v>3271</v>
      </c>
      <c r="D135" s="61" t="s">
        <v>5131</v>
      </c>
      <c r="E135" s="61" t="s">
        <v>4577</v>
      </c>
      <c r="F135" s="61" t="s">
        <v>5132</v>
      </c>
      <c r="G135" s="60" t="s">
        <v>5133</v>
      </c>
      <c r="H135" s="61" t="n">
        <v>5</v>
      </c>
    </row>
    <row r="136" ht="28.5" customHeight="1">
      <c r="A136" s="55" t="s">
        <v>5134</v>
      </c>
      <c r="B136" s="20" t="s">
        <v>1941</v>
      </c>
      <c r="C136" s="60" t="s">
        <v>1944</v>
      </c>
      <c r="D136" s="60" t="s">
        <v>5135</v>
      </c>
      <c r="E136" s="60" t="s">
        <v>4522</v>
      </c>
      <c r="F136" s="60" t="s">
        <v>4523</v>
      </c>
      <c r="G136" s="60" t="s">
        <v>5136</v>
      </c>
      <c r="H136" s="60" t="n">
        <v>721</v>
      </c>
      <c r="I136" s="60"/>
      <c r="J136" s="20"/>
      <c r="K136" s="20"/>
      <c r="L136" s="20"/>
      <c r="M136" s="20"/>
    </row>
    <row r="137">
      <c r="A137" s="55" t="s">
        <v>5137</v>
      </c>
      <c r="B137" s="20" t="s">
        <v>1908</v>
      </c>
      <c r="C137" s="60" t="s">
        <v>1914</v>
      </c>
      <c r="D137" s="60" t="s">
        <v>5135</v>
      </c>
      <c r="E137" s="60" t="s">
        <v>4522</v>
      </c>
      <c r="F137" s="60" t="s">
        <v>4523</v>
      </c>
      <c r="G137" s="60" t="s">
        <v>5138</v>
      </c>
      <c r="H137" s="60" t="n">
        <v>445</v>
      </c>
      <c r="I137" s="61" t="s">
        <v>5139</v>
      </c>
      <c r="J137" s="20"/>
      <c r="K137" s="20"/>
      <c r="L137" s="20"/>
      <c r="M137" s="20"/>
    </row>
    <row r="138">
      <c r="A138" s="55" t="s">
        <v>5140</v>
      </c>
      <c r="B138" s="20" t="s">
        <v>627</v>
      </c>
      <c r="C138" s="60" t="s">
        <v>632</v>
      </c>
      <c r="D138" s="60" t="s">
        <v>5141</v>
      </c>
      <c r="E138" s="60" t="s">
        <v>4539</v>
      </c>
      <c r="F138" s="60" t="s">
        <v>4566</v>
      </c>
      <c r="G138" s="60" t="s">
        <v>5142</v>
      </c>
      <c r="H138" s="60" t="n">
        <v>161</v>
      </c>
      <c r="I138" s="60"/>
      <c r="J138" s="20"/>
      <c r="K138" s="20"/>
      <c r="L138" s="20"/>
      <c r="M138" s="20"/>
    </row>
    <row r="139">
      <c r="A139" s="55" t="s">
        <v>5143</v>
      </c>
      <c r="B139" s="20" t="s">
        <v>1966</v>
      </c>
      <c r="C139" s="60" t="s">
        <v>1969</v>
      </c>
      <c r="D139" s="60" t="s">
        <v>5144</v>
      </c>
      <c r="E139" s="60" t="s">
        <v>4504</v>
      </c>
      <c r="F139" s="60" t="s">
        <v>4509</v>
      </c>
      <c r="G139" s="60" t="s">
        <v>5145</v>
      </c>
      <c r="H139" s="60" t="n">
        <v>28</v>
      </c>
      <c r="I139" s="60"/>
      <c r="J139" s="20"/>
      <c r="K139" s="20"/>
      <c r="L139" s="20"/>
      <c r="M139" s="20"/>
    </row>
    <row r="140">
      <c r="A140" s="55" t="s">
        <v>5146</v>
      </c>
      <c r="B140" s="20" t="s">
        <v>612</v>
      </c>
      <c r="C140" s="60" t="s">
        <v>5147</v>
      </c>
      <c r="D140" s="60" t="s">
        <v>4934</v>
      </c>
      <c r="E140" s="60" t="s">
        <v>4522</v>
      </c>
      <c r="F140" s="60" t="s">
        <v>4552</v>
      </c>
      <c r="G140" s="60" t="s">
        <v>5148</v>
      </c>
      <c r="H140" s="60" t="n">
        <v>171</v>
      </c>
      <c r="I140" s="60"/>
      <c r="J140" s="20"/>
      <c r="K140" s="20"/>
      <c r="L140" s="20"/>
      <c r="M140" s="20"/>
    </row>
    <row r="141">
      <c r="A141" s="55" t="s">
        <v>5149</v>
      </c>
      <c r="B141" s="20" t="s">
        <v>3434</v>
      </c>
      <c r="C141" s="60" t="s">
        <v>5150</v>
      </c>
      <c r="D141" s="61" t="s">
        <v>4843</v>
      </c>
      <c r="E141" s="61" t="s">
        <v>4577</v>
      </c>
      <c r="F141" s="61" t="s">
        <v>4578</v>
      </c>
      <c r="G141" s="60" t="s">
        <v>5151</v>
      </c>
      <c r="H141" s="61" t="n">
        <v>40</v>
      </c>
      <c r="I141" s="61" t="s">
        <v>5152</v>
      </c>
    </row>
    <row r="142">
      <c r="A142" s="55" t="s">
        <v>5153</v>
      </c>
      <c r="B142" s="20" t="s">
        <v>3441</v>
      </c>
      <c r="C142" s="60" t="s">
        <v>3446</v>
      </c>
      <c r="D142" s="61" t="s">
        <v>4576</v>
      </c>
      <c r="E142" s="61" t="s">
        <v>4577</v>
      </c>
      <c r="F142" s="61" t="s">
        <v>4578</v>
      </c>
      <c r="G142" s="60" t="s">
        <v>4579</v>
      </c>
      <c r="H142" s="61" t="n">
        <v>956</v>
      </c>
    </row>
    <row r="143" ht="28.5" customHeight="1">
      <c r="A143" s="55" t="s">
        <v>5154</v>
      </c>
      <c r="B143" s="20" t="s">
        <v>1992</v>
      </c>
      <c r="C143" s="60" t="s">
        <v>1998</v>
      </c>
      <c r="D143" s="60" t="s">
        <v>4749</v>
      </c>
      <c r="E143" s="60" t="s">
        <v>4504</v>
      </c>
      <c r="F143" s="60" t="s">
        <v>4509</v>
      </c>
      <c r="G143" s="60" t="s">
        <v>5155</v>
      </c>
      <c r="H143" s="60" t="n">
        <v>155</v>
      </c>
      <c r="I143" s="60"/>
      <c r="J143" s="20"/>
      <c r="K143" s="20"/>
      <c r="L143" s="20"/>
      <c r="M143" s="20"/>
    </row>
    <row r="144" ht="28.5" customHeight="1">
      <c r="A144" s="55" t="s">
        <v>5156</v>
      </c>
      <c r="B144" s="20" t="s">
        <v>5157</v>
      </c>
      <c r="C144" s="60" t="s">
        <v>5158</v>
      </c>
      <c r="D144" s="60" t="s">
        <v>4749</v>
      </c>
      <c r="E144" s="60" t="s">
        <v>4504</v>
      </c>
      <c r="F144" s="60" t="s">
        <v>4509</v>
      </c>
      <c r="G144" s="60" t="s">
        <v>5159</v>
      </c>
      <c r="H144" s="60" t="n">
        <v>550</v>
      </c>
      <c r="I144" s="60" t="s">
        <v>5160</v>
      </c>
      <c r="J144" s="20"/>
      <c r="K144" s="20"/>
      <c r="L144" s="20"/>
      <c r="M144" s="20"/>
    </row>
    <row r="145">
      <c r="A145" s="55" t="s">
        <v>5161</v>
      </c>
      <c r="B145" s="20" t="s">
        <v>2039</v>
      </c>
      <c r="C145" s="60" t="s">
        <v>2042</v>
      </c>
      <c r="D145" s="60" t="s">
        <v>5162</v>
      </c>
      <c r="E145" s="60" t="s">
        <v>4522</v>
      </c>
      <c r="F145" s="60" t="s">
        <v>4924</v>
      </c>
      <c r="G145" s="60" t="s">
        <v>5163</v>
      </c>
      <c r="H145" s="60" t="n">
        <v>10</v>
      </c>
      <c r="I145" s="60"/>
      <c r="J145" s="20"/>
      <c r="K145" s="20"/>
      <c r="L145" s="20"/>
      <c r="M145" s="20"/>
    </row>
    <row r="146" ht="28.5" customHeight="1">
      <c r="A146" s="55" t="s">
        <v>5164</v>
      </c>
      <c r="B146" s="20" t="s">
        <v>2044</v>
      </c>
      <c r="C146" s="60" t="s">
        <v>2047</v>
      </c>
      <c r="D146" s="60" t="s">
        <v>5162</v>
      </c>
      <c r="E146" s="60" t="s">
        <v>4522</v>
      </c>
      <c r="F146" s="60" t="s">
        <v>4924</v>
      </c>
      <c r="G146" s="60" t="s">
        <v>5165</v>
      </c>
      <c r="H146" s="60" t="n">
        <v>101</v>
      </c>
      <c r="I146" s="60"/>
      <c r="J146" s="20"/>
      <c r="K146" s="20"/>
      <c r="L146" s="20"/>
      <c r="M146" s="20"/>
    </row>
    <row r="147">
      <c r="A147" s="55" t="s">
        <v>5166</v>
      </c>
      <c r="B147" s="20" t="s">
        <v>2005</v>
      </c>
      <c r="C147" s="60" t="s">
        <v>1864</v>
      </c>
      <c r="D147" s="60" t="s">
        <v>4517</v>
      </c>
      <c r="E147" s="60" t="s">
        <v>4504</v>
      </c>
      <c r="F147" s="60" t="s">
        <v>4509</v>
      </c>
      <c r="G147" s="60" t="s">
        <v>4518</v>
      </c>
      <c r="H147" s="60" t="n">
        <v>1485</v>
      </c>
      <c r="I147" s="60"/>
      <c r="J147" s="20"/>
      <c r="K147" s="20"/>
      <c r="L147" s="20"/>
      <c r="M147" s="20"/>
    </row>
    <row r="148">
      <c r="A148" s="55" t="s">
        <v>5167</v>
      </c>
      <c r="B148" s="20" t="s">
        <v>2049</v>
      </c>
      <c r="C148" s="60" t="s">
        <v>2052</v>
      </c>
      <c r="D148" s="60" t="s">
        <v>5014</v>
      </c>
      <c r="E148" s="60" t="s">
        <v>4522</v>
      </c>
      <c r="F148" s="60" t="s">
        <v>4523</v>
      </c>
      <c r="G148" s="60" t="s">
        <v>5168</v>
      </c>
      <c r="H148" s="60" t="n">
        <v>270</v>
      </c>
      <c r="I148" s="60"/>
      <c r="J148" s="20"/>
      <c r="K148" s="20"/>
      <c r="L148" s="20"/>
      <c r="M148" s="20"/>
    </row>
    <row r="149" ht="28.5" customHeight="1">
      <c r="A149" s="55" t="s">
        <v>5169</v>
      </c>
      <c r="B149" s="20" t="s">
        <v>2009</v>
      </c>
      <c r="C149" s="60" t="s">
        <v>2012</v>
      </c>
      <c r="D149" s="60" t="s">
        <v>4864</v>
      </c>
      <c r="E149" s="60" t="s">
        <v>4504</v>
      </c>
      <c r="F149" s="60" t="s">
        <v>4505</v>
      </c>
      <c r="G149" s="60" t="s">
        <v>4865</v>
      </c>
      <c r="H149" s="60" t="n">
        <v>197</v>
      </c>
      <c r="I149" s="60"/>
      <c r="J149" s="20"/>
      <c r="K149" s="20"/>
      <c r="L149" s="20"/>
      <c r="M149" s="20"/>
    </row>
    <row r="150">
      <c r="A150" s="55" t="s">
        <v>5170</v>
      </c>
      <c r="B150" s="20" t="s">
        <v>2565</v>
      </c>
      <c r="C150" s="60" t="s">
        <v>5171</v>
      </c>
      <c r="D150" s="61" t="s">
        <v>5172</v>
      </c>
      <c r="E150" s="61" t="s">
        <v>4597</v>
      </c>
      <c r="F150" s="61" t="s">
        <v>4848</v>
      </c>
      <c r="G150" s="60" t="s">
        <v>5173</v>
      </c>
      <c r="H150" s="61" t="n">
        <v>1130</v>
      </c>
    </row>
    <row r="151">
      <c r="A151" s="55" t="s">
        <v>5174</v>
      </c>
      <c r="B151" s="20" t="s">
        <v>2014</v>
      </c>
      <c r="C151" s="60" t="s">
        <v>2017</v>
      </c>
      <c r="D151" s="60" t="s">
        <v>1832</v>
      </c>
      <c r="E151" s="60" t="s">
        <v>4504</v>
      </c>
      <c r="F151" s="60" t="s">
        <v>4509</v>
      </c>
      <c r="G151" s="60" t="s">
        <v>5175</v>
      </c>
      <c r="H151" s="60" t="n">
        <v>375</v>
      </c>
      <c r="I151" s="60"/>
      <c r="J151" s="20"/>
      <c r="K151" s="20"/>
      <c r="L151" s="20"/>
      <c r="M151" s="20"/>
    </row>
    <row r="152">
      <c r="A152" s="55" t="s">
        <v>5176</v>
      </c>
      <c r="B152" s="20" t="s">
        <v>2418</v>
      </c>
      <c r="C152" s="61" t="s">
        <v>5177</v>
      </c>
      <c r="D152" s="60" t="s">
        <v>5178</v>
      </c>
      <c r="E152" s="60" t="s">
        <v>4597</v>
      </c>
      <c r="F152" s="60" t="s">
        <v>4598</v>
      </c>
      <c r="G152" s="60" t="s">
        <v>5179</v>
      </c>
      <c r="H152" s="60" t="n">
        <v>10</v>
      </c>
      <c r="I152" s="60" t="s">
        <v>5180</v>
      </c>
      <c r="J152" s="20"/>
      <c r="K152" s="20"/>
      <c r="L152" s="20"/>
      <c r="M152" s="20"/>
    </row>
    <row r="153">
      <c r="A153" s="55" t="s">
        <v>5181</v>
      </c>
      <c r="B153" s="20" t="s">
        <v>2019</v>
      </c>
      <c r="C153" s="60" t="s">
        <v>2022</v>
      </c>
      <c r="D153" s="60" t="s">
        <v>1832</v>
      </c>
      <c r="E153" s="60" t="s">
        <v>4504</v>
      </c>
      <c r="F153" s="60" t="s">
        <v>4509</v>
      </c>
      <c r="G153" s="60" t="s">
        <v>5182</v>
      </c>
      <c r="H153" s="60" t="n">
        <v>1850</v>
      </c>
      <c r="I153" s="60"/>
      <c r="J153" s="20"/>
      <c r="K153" s="20"/>
      <c r="L153" s="20"/>
      <c r="M153" s="20"/>
    </row>
    <row r="154">
      <c r="A154" s="55" t="s">
        <v>5183</v>
      </c>
      <c r="B154" s="20" t="s">
        <v>2024</v>
      </c>
      <c r="C154" s="60" t="s">
        <v>2027</v>
      </c>
      <c r="D154" s="60" t="s">
        <v>4869</v>
      </c>
      <c r="E154" s="60" t="s">
        <v>4504</v>
      </c>
      <c r="F154" s="60" t="s">
        <v>4625</v>
      </c>
      <c r="G154" s="60" t="s">
        <v>5184</v>
      </c>
      <c r="H154" s="60" t="n">
        <v>619</v>
      </c>
      <c r="I154" s="60"/>
      <c r="J154" s="20"/>
      <c r="K154" s="20"/>
      <c r="L154" s="20"/>
      <c r="M154" s="20"/>
    </row>
    <row r="155" ht="28.5" customHeight="1">
      <c r="A155" s="55" t="s">
        <v>5185</v>
      </c>
      <c r="B155" s="20" t="s">
        <v>3150</v>
      </c>
      <c r="C155" s="60" t="s">
        <v>3156</v>
      </c>
      <c r="D155" s="61" t="s">
        <v>5186</v>
      </c>
      <c r="E155" s="61" t="s">
        <v>4533</v>
      </c>
      <c r="F155" s="61" t="s">
        <v>5187</v>
      </c>
      <c r="G155" s="60" t="s">
        <v>5188</v>
      </c>
      <c r="H155" s="61" t="n">
        <v>137</v>
      </c>
      <c r="I155" s="61" t="s">
        <v>5189</v>
      </c>
    </row>
    <row r="156">
      <c r="A156" s="55" t="s">
        <v>5190</v>
      </c>
      <c r="B156" s="20" t="s">
        <v>2029</v>
      </c>
      <c r="C156" s="60" t="s">
        <v>2032</v>
      </c>
      <c r="D156" s="60" t="s">
        <v>5191</v>
      </c>
      <c r="E156" s="60" t="s">
        <v>4504</v>
      </c>
      <c r="F156" s="60" t="s">
        <v>4625</v>
      </c>
      <c r="G156" s="60" t="s">
        <v>5192</v>
      </c>
      <c r="H156" s="60" t="n">
        <v>120</v>
      </c>
      <c r="I156" s="60"/>
      <c r="J156" s="20"/>
      <c r="K156" s="20"/>
      <c r="L156" s="20"/>
      <c r="M156" s="20"/>
    </row>
    <row r="157">
      <c r="A157" s="55" t="s">
        <v>5193</v>
      </c>
      <c r="B157" s="20" t="s">
        <v>2054</v>
      </c>
      <c r="C157" s="60" t="s">
        <v>5194</v>
      </c>
      <c r="D157" s="60" t="s">
        <v>5061</v>
      </c>
      <c r="E157" s="60" t="s">
        <v>4522</v>
      </c>
      <c r="F157" s="60" t="s">
        <v>4523</v>
      </c>
      <c r="G157" s="60" t="s">
        <v>5195</v>
      </c>
      <c r="H157" s="60" t="n">
        <v>150</v>
      </c>
      <c r="I157" s="60"/>
      <c r="J157" s="20"/>
      <c r="K157" s="20"/>
      <c r="L157" s="20"/>
      <c r="M157" s="20"/>
    </row>
    <row r="158" ht="28.5" customHeight="1">
      <c r="A158" s="55" t="s">
        <v>5196</v>
      </c>
      <c r="B158" s="20" t="s">
        <v>2059</v>
      </c>
      <c r="C158" s="60" t="s">
        <v>2062</v>
      </c>
      <c r="D158" s="60" t="s">
        <v>5135</v>
      </c>
      <c r="E158" s="60" t="s">
        <v>4522</v>
      </c>
      <c r="F158" s="60" t="s">
        <v>4523</v>
      </c>
      <c r="G158" s="60" t="s">
        <v>5136</v>
      </c>
      <c r="H158" s="60" t="n">
        <v>701</v>
      </c>
      <c r="I158" s="60"/>
      <c r="J158" s="20"/>
      <c r="K158" s="20"/>
      <c r="L158" s="20"/>
      <c r="M158" s="20"/>
    </row>
    <row r="159">
      <c r="A159" s="55" t="s">
        <v>5197</v>
      </c>
      <c r="B159" s="20" t="s">
        <v>2064</v>
      </c>
      <c r="C159" s="60" t="s">
        <v>2067</v>
      </c>
      <c r="D159" s="60" t="s">
        <v>5198</v>
      </c>
      <c r="E159" s="60" t="s">
        <v>4522</v>
      </c>
      <c r="F159" s="60" t="s">
        <v>4523</v>
      </c>
      <c r="G159" s="60" t="s">
        <v>5199</v>
      </c>
      <c r="H159" s="60" t="n">
        <v>137</v>
      </c>
      <c r="I159" s="60"/>
      <c r="J159" s="20"/>
      <c r="K159" s="20"/>
      <c r="L159" s="20"/>
      <c r="M159" s="20"/>
    </row>
    <row r="160" ht="28.5" customHeight="1">
      <c r="A160" s="55" t="s">
        <v>5200</v>
      </c>
      <c r="B160" s="20" t="s">
        <v>2034</v>
      </c>
      <c r="C160" s="60" t="s">
        <v>2037</v>
      </c>
      <c r="D160" s="60" t="s">
        <v>4624</v>
      </c>
      <c r="E160" s="60" t="s">
        <v>4504</v>
      </c>
      <c r="F160" s="60" t="s">
        <v>4625</v>
      </c>
      <c r="G160" s="60" t="s">
        <v>5201</v>
      </c>
      <c r="H160" s="60" t="n">
        <v>1149</v>
      </c>
      <c r="I160" s="60"/>
      <c r="J160" s="20"/>
      <c r="K160" s="20"/>
      <c r="L160" s="20"/>
      <c r="M160" s="20"/>
    </row>
    <row r="161">
      <c r="A161" s="55" t="s">
        <v>5202</v>
      </c>
      <c r="B161" s="20" t="s">
        <v>665</v>
      </c>
      <c r="C161" s="60" t="s">
        <v>675</v>
      </c>
      <c r="D161" s="60" t="s">
        <v>5203</v>
      </c>
      <c r="E161" s="60" t="s">
        <v>4539</v>
      </c>
      <c r="F161" s="60" t="s">
        <v>4766</v>
      </c>
      <c r="G161" s="60" t="s">
        <v>5204</v>
      </c>
      <c r="H161" s="60" t="n">
        <v>530</v>
      </c>
      <c r="I161" s="70"/>
      <c r="J161" s="20"/>
      <c r="K161" s="20"/>
      <c r="L161" s="20"/>
      <c r="M161" s="20"/>
    </row>
    <row r="162">
      <c r="A162" s="55" t="s">
        <v>5205</v>
      </c>
      <c r="B162" s="20" t="s">
        <v>936</v>
      </c>
      <c r="C162" s="60" t="s">
        <v>5206</v>
      </c>
      <c r="D162" s="60" t="s">
        <v>5207</v>
      </c>
      <c r="E162" s="60" t="s">
        <v>4597</v>
      </c>
      <c r="F162" s="60" t="s">
        <v>4660</v>
      </c>
      <c r="G162" s="60" t="s">
        <v>5208</v>
      </c>
      <c r="H162" s="60" t="n">
        <v>87</v>
      </c>
      <c r="I162" s="70"/>
      <c r="J162" s="20"/>
      <c r="K162" s="20"/>
      <c r="L162" s="20"/>
      <c r="M162" s="20"/>
    </row>
    <row r="163">
      <c r="A163" s="55" t="s">
        <v>5209</v>
      </c>
      <c r="B163" s="20" t="s">
        <v>883</v>
      </c>
      <c r="C163" s="60" t="s">
        <v>5210</v>
      </c>
      <c r="D163" s="60" t="s">
        <v>4836</v>
      </c>
      <c r="E163" s="60" t="s">
        <v>4597</v>
      </c>
      <c r="F163" s="60" t="s">
        <v>4660</v>
      </c>
      <c r="G163" s="60" t="s">
        <v>4837</v>
      </c>
      <c r="H163" s="60" t="n">
        <v>220</v>
      </c>
      <c r="I163" s="60"/>
      <c r="J163" s="20"/>
      <c r="K163" s="20"/>
      <c r="L163" s="20"/>
      <c r="M163" s="20"/>
    </row>
    <row r="164" ht="28.5" customHeight="1">
      <c r="A164" s="55" t="s">
        <v>5211</v>
      </c>
      <c r="B164" s="20" t="s">
        <v>3362</v>
      </c>
      <c r="C164" s="60" t="s">
        <v>5212</v>
      </c>
      <c r="D164" s="61" t="s">
        <v>5213</v>
      </c>
      <c r="E164" s="61" t="s">
        <v>4577</v>
      </c>
      <c r="F164" s="61" t="s">
        <v>4578</v>
      </c>
      <c r="G164" s="60" t="s">
        <v>5214</v>
      </c>
      <c r="H164" s="61" t="n">
        <v>107</v>
      </c>
      <c r="I164" s="61" t="s">
        <v>5215</v>
      </c>
    </row>
    <row r="165">
      <c r="A165" s="55" t="s">
        <v>5216</v>
      </c>
      <c r="B165" s="20" t="s">
        <v>928</v>
      </c>
      <c r="C165" s="60" t="s">
        <v>5217</v>
      </c>
      <c r="D165" s="60" t="s">
        <v>5218</v>
      </c>
      <c r="E165" s="60" t="s">
        <v>4597</v>
      </c>
      <c r="F165" s="60" t="s">
        <v>4660</v>
      </c>
      <c r="G165" s="60" t="s">
        <v>5219</v>
      </c>
      <c r="H165" s="60" t="n">
        <v>838</v>
      </c>
      <c r="I165" s="60"/>
      <c r="J165" s="20"/>
      <c r="K165" s="20"/>
      <c r="L165" s="20"/>
      <c r="M165" s="20"/>
    </row>
    <row r="166">
      <c r="A166" s="55" t="s">
        <v>5220</v>
      </c>
      <c r="B166" s="20" t="s">
        <v>1354</v>
      </c>
      <c r="C166" s="61" t="s">
        <v>5221</v>
      </c>
      <c r="D166" s="60" t="s">
        <v>4954</v>
      </c>
      <c r="E166" s="60" t="s">
        <v>4546</v>
      </c>
      <c r="F166" s="60" t="s">
        <v>4955</v>
      </c>
      <c r="G166" s="60" t="s">
        <v>5222</v>
      </c>
      <c r="H166" s="60" t="n">
        <v>1460</v>
      </c>
      <c r="I166" s="60" t="s">
        <v>5223</v>
      </c>
      <c r="J166" s="20"/>
      <c r="K166" s="20"/>
      <c r="L166" s="20"/>
      <c r="M166" s="20"/>
    </row>
    <row r="167">
      <c r="A167" s="55" t="s">
        <v>5224</v>
      </c>
      <c r="B167" s="20" t="s">
        <v>1361</v>
      </c>
      <c r="C167" s="61" t="s">
        <v>5225</v>
      </c>
      <c r="D167" s="60" t="s">
        <v>5226</v>
      </c>
      <c r="E167" s="60" t="s">
        <v>4557</v>
      </c>
      <c r="F167" s="60" t="s">
        <v>4678</v>
      </c>
      <c r="G167" s="60" t="s">
        <v>5227</v>
      </c>
      <c r="H167" s="60" t="n">
        <v>39</v>
      </c>
      <c r="I167" s="60" t="s">
        <v>5228</v>
      </c>
      <c r="J167" s="20"/>
      <c r="K167" s="20"/>
      <c r="L167" s="20"/>
      <c r="M167" s="20"/>
    </row>
    <row r="168" ht="28.5" customHeight="1">
      <c r="A168" s="55" t="s">
        <v>5229</v>
      </c>
      <c r="B168" s="20" t="s">
        <v>1366</v>
      </c>
      <c r="C168" s="60" t="s">
        <v>1369</v>
      </c>
      <c r="D168" s="60" t="s">
        <v>4677</v>
      </c>
      <c r="E168" s="60" t="s">
        <v>4557</v>
      </c>
      <c r="F168" s="60" t="s">
        <v>4678</v>
      </c>
      <c r="G168" s="60" t="s">
        <v>4939</v>
      </c>
      <c r="H168" s="60" t="n">
        <v>300</v>
      </c>
      <c r="I168" s="60"/>
      <c r="J168" s="20"/>
      <c r="K168" s="20"/>
      <c r="L168" s="20"/>
      <c r="M168" s="20"/>
    </row>
    <row r="169" ht="28.5" customHeight="1">
      <c r="A169" s="55" t="s">
        <v>5230</v>
      </c>
      <c r="B169" s="20" t="s">
        <v>1347</v>
      </c>
      <c r="C169" s="60" t="s">
        <v>1352</v>
      </c>
      <c r="D169" s="60" t="s">
        <v>4677</v>
      </c>
      <c r="E169" s="60" t="s">
        <v>4557</v>
      </c>
      <c r="F169" s="60" t="s">
        <v>4678</v>
      </c>
      <c r="G169" s="60" t="s">
        <v>5231</v>
      </c>
      <c r="H169" s="60" t="n">
        <v>1015</v>
      </c>
      <c r="I169" s="61" t="s">
        <v>5053</v>
      </c>
      <c r="J169" s="20"/>
      <c r="K169" s="20"/>
      <c r="L169" s="20"/>
      <c r="M169" s="20"/>
    </row>
    <row r="170">
      <c r="A170" s="55" t="s">
        <v>5232</v>
      </c>
      <c r="B170" s="20" t="s">
        <v>1394</v>
      </c>
      <c r="C170" s="61" t="s">
        <v>5233</v>
      </c>
      <c r="D170" s="60" t="s">
        <v>5234</v>
      </c>
      <c r="E170" s="60" t="s">
        <v>4557</v>
      </c>
      <c r="F170" s="60" t="s">
        <v>4558</v>
      </c>
      <c r="G170" s="60" t="s">
        <v>4956</v>
      </c>
      <c r="H170" s="60" t="n">
        <v>600</v>
      </c>
      <c r="I170" s="60" t="s">
        <v>4957</v>
      </c>
      <c r="J170" s="20"/>
      <c r="K170" s="20"/>
      <c r="L170" s="20"/>
      <c r="M170" s="20"/>
    </row>
    <row r="171" ht="28.5" customHeight="1">
      <c r="A171" s="55" t="s">
        <v>5235</v>
      </c>
      <c r="B171" s="20" t="s">
        <v>1337</v>
      </c>
      <c r="C171" s="60" t="s">
        <v>5236</v>
      </c>
      <c r="D171" s="61" t="s">
        <v>5237</v>
      </c>
      <c r="E171" s="61" t="s">
        <v>4557</v>
      </c>
      <c r="F171" s="61" t="s">
        <v>4678</v>
      </c>
      <c r="G171" s="60" t="s">
        <v>5238</v>
      </c>
      <c r="H171" s="61" t="n">
        <v>850</v>
      </c>
      <c r="J171" s="20"/>
      <c r="K171" s="20"/>
      <c r="L171" s="20"/>
      <c r="M171" s="20"/>
    </row>
    <row r="172">
      <c r="A172" s="55" t="s">
        <v>5239</v>
      </c>
      <c r="B172" s="20" t="s">
        <v>1386</v>
      </c>
      <c r="C172" s="61" t="s">
        <v>5240</v>
      </c>
      <c r="D172" s="60" t="s">
        <v>5241</v>
      </c>
      <c r="E172" s="60" t="s">
        <v>4557</v>
      </c>
      <c r="F172" s="60" t="s">
        <v>4650</v>
      </c>
      <c r="G172" s="60" t="s">
        <v>5242</v>
      </c>
      <c r="H172" s="60" t="n">
        <v>51</v>
      </c>
      <c r="I172" s="60" t="s">
        <v>5243</v>
      </c>
      <c r="J172" s="20"/>
      <c r="K172" s="20"/>
      <c r="L172" s="20"/>
      <c r="M172" s="20"/>
    </row>
    <row r="173">
      <c r="A173" s="55" t="s">
        <v>5244</v>
      </c>
      <c r="B173" s="20" t="s">
        <v>3129</v>
      </c>
      <c r="C173" s="60" t="s">
        <v>5245</v>
      </c>
      <c r="D173" s="61" t="s">
        <v>5186</v>
      </c>
      <c r="E173" s="61" t="s">
        <v>4533</v>
      </c>
      <c r="F173" s="61" t="s">
        <v>5187</v>
      </c>
      <c r="G173" s="60" t="s">
        <v>5246</v>
      </c>
      <c r="H173" s="61" t="n">
        <v>222</v>
      </c>
      <c r="I173" s="61" t="s">
        <v>5247</v>
      </c>
    </row>
    <row r="174">
      <c r="A174" s="55" t="s">
        <v>5248</v>
      </c>
      <c r="B174" s="20" t="s">
        <v>1951</v>
      </c>
      <c r="C174" s="60" t="s">
        <v>1954</v>
      </c>
      <c r="D174" s="60" t="s">
        <v>4513</v>
      </c>
      <c r="E174" s="60" t="s">
        <v>4504</v>
      </c>
      <c r="F174" s="60" t="s">
        <v>4509</v>
      </c>
      <c r="G174" s="60" t="s">
        <v>5249</v>
      </c>
      <c r="H174" s="60" t="n">
        <v>100</v>
      </c>
      <c r="I174" s="60"/>
      <c r="J174" s="20"/>
      <c r="K174" s="20"/>
      <c r="L174" s="20"/>
      <c r="M174" s="20"/>
    </row>
    <row r="175">
      <c r="A175" s="55" t="s">
        <v>5250</v>
      </c>
      <c r="B175" s="20" t="s">
        <v>589</v>
      </c>
      <c r="C175" s="60" t="s">
        <v>610</v>
      </c>
      <c r="D175" s="60" t="s">
        <v>4893</v>
      </c>
      <c r="E175" s="60" t="s">
        <v>4539</v>
      </c>
      <c r="F175" s="60" t="s">
        <v>4566</v>
      </c>
      <c r="G175" s="60" t="s">
        <v>5251</v>
      </c>
      <c r="H175" s="60" t="n">
        <v>53</v>
      </c>
      <c r="I175" s="60"/>
      <c r="J175" s="20"/>
      <c r="K175" s="20"/>
      <c r="L175" s="20"/>
      <c r="M175" s="20"/>
    </row>
    <row r="176">
      <c r="A176" s="55" t="s">
        <v>5252</v>
      </c>
      <c r="B176" s="20" t="s">
        <v>1916</v>
      </c>
      <c r="C176" s="60" t="s">
        <v>1919</v>
      </c>
      <c r="D176" s="60" t="s">
        <v>5253</v>
      </c>
      <c r="E176" s="60" t="s">
        <v>4522</v>
      </c>
      <c r="F176" s="60" t="s">
        <v>4924</v>
      </c>
      <c r="G176" s="60" t="s">
        <v>5254</v>
      </c>
      <c r="H176" s="60" t="n">
        <v>8</v>
      </c>
      <c r="I176" s="61" t="s">
        <v>5255</v>
      </c>
      <c r="J176" s="20"/>
      <c r="K176" s="20"/>
      <c r="L176" s="20"/>
      <c r="M176" s="20"/>
    </row>
    <row r="177">
      <c r="A177" s="55" t="s">
        <v>5256</v>
      </c>
      <c r="B177" s="20" t="s">
        <v>1921</v>
      </c>
      <c r="C177" s="60" t="s">
        <v>1924</v>
      </c>
      <c r="D177" s="60" t="s">
        <v>5042</v>
      </c>
      <c r="E177" s="60" t="s">
        <v>4522</v>
      </c>
      <c r="F177" s="60" t="s">
        <v>4523</v>
      </c>
      <c r="G177" s="60" t="s">
        <v>5043</v>
      </c>
      <c r="H177" s="60" t="n">
        <v>988</v>
      </c>
      <c r="I177" s="60"/>
      <c r="J177" s="20"/>
      <c r="K177" s="20"/>
      <c r="L177" s="20"/>
      <c r="M177" s="20"/>
    </row>
    <row r="178" ht="28.5" customHeight="1">
      <c r="A178" s="55" t="s">
        <v>2430</v>
      </c>
      <c r="B178" s="20" t="s">
        <v>2424</v>
      </c>
      <c r="C178" s="60" t="s">
        <v>5257</v>
      </c>
      <c r="D178" s="60" t="s">
        <v>4852</v>
      </c>
      <c r="E178" s="60" t="s">
        <v>4597</v>
      </c>
      <c r="F178" s="60" t="s">
        <v>4598</v>
      </c>
      <c r="G178" s="60" t="s">
        <v>5258</v>
      </c>
      <c r="H178" s="60" t="n">
        <v>250</v>
      </c>
      <c r="I178" s="60" t="s">
        <v>5259</v>
      </c>
      <c r="J178" s="20"/>
      <c r="K178" s="20"/>
      <c r="L178" s="20"/>
      <c r="M178" s="20"/>
    </row>
    <row r="179" ht="28.5" customHeight="1">
      <c r="A179" s="55" t="s">
        <v>5260</v>
      </c>
      <c r="B179" s="20" t="s">
        <v>1971</v>
      </c>
      <c r="C179" s="60" t="s">
        <v>1974</v>
      </c>
      <c r="D179" s="60" t="s">
        <v>5261</v>
      </c>
      <c r="E179" s="60" t="s">
        <v>4504</v>
      </c>
      <c r="F179" s="60" t="s">
        <v>4625</v>
      </c>
      <c r="G179" s="60" t="s">
        <v>5262</v>
      </c>
      <c r="H179" s="60" t="n">
        <v>303</v>
      </c>
      <c r="I179" s="60"/>
      <c r="J179" s="20"/>
      <c r="K179" s="20"/>
      <c r="L179" s="20"/>
      <c r="M179" s="20"/>
    </row>
    <row r="180">
      <c r="A180" s="55" t="s">
        <v>5263</v>
      </c>
      <c r="B180" s="20" t="s">
        <v>3386</v>
      </c>
      <c r="C180" s="60" t="s">
        <v>5264</v>
      </c>
      <c r="D180" s="61" t="s">
        <v>5213</v>
      </c>
      <c r="E180" s="61" t="s">
        <v>4577</v>
      </c>
      <c r="F180" s="61" t="s">
        <v>4578</v>
      </c>
      <c r="G180" s="60" t="s">
        <v>5265</v>
      </c>
      <c r="H180" s="61" t="n">
        <v>240</v>
      </c>
      <c r="I180" s="61" t="s">
        <v>5266</v>
      </c>
    </row>
    <row r="181">
      <c r="A181" s="55" t="s">
        <v>5267</v>
      </c>
      <c r="B181" s="20" t="s">
        <v>1926</v>
      </c>
      <c r="C181" s="60" t="s">
        <v>1929</v>
      </c>
      <c r="D181" s="60" t="s">
        <v>4943</v>
      </c>
      <c r="E181" s="60" t="s">
        <v>4522</v>
      </c>
      <c r="F181" s="60" t="s">
        <v>4523</v>
      </c>
      <c r="G181" s="60" t="s">
        <v>5268</v>
      </c>
      <c r="H181" s="60" t="n">
        <v>100</v>
      </c>
      <c r="I181" s="60"/>
      <c r="J181" s="20"/>
      <c r="K181" s="20"/>
      <c r="L181" s="20"/>
      <c r="M181" s="20"/>
    </row>
    <row r="182">
      <c r="A182" s="55" t="s">
        <v>5269</v>
      </c>
      <c r="B182" s="20" t="s">
        <v>1976</v>
      </c>
      <c r="C182" s="60" t="s">
        <v>1979</v>
      </c>
      <c r="D182" s="60" t="s">
        <v>4605</v>
      </c>
      <c r="E182" s="60" t="s">
        <v>4504</v>
      </c>
      <c r="F182" s="60" t="s">
        <v>4509</v>
      </c>
      <c r="G182" s="60" t="s">
        <v>5270</v>
      </c>
      <c r="H182" s="60" t="n">
        <v>124</v>
      </c>
      <c r="I182" s="60"/>
      <c r="J182" s="20"/>
      <c r="K182" s="20"/>
      <c r="L182" s="20"/>
      <c r="M182" s="20"/>
    </row>
    <row r="183" ht="28.5" customHeight="1">
      <c r="A183" s="55" t="s">
        <v>5271</v>
      </c>
      <c r="B183" s="20" t="s">
        <v>1931</v>
      </c>
      <c r="C183" s="60" t="s">
        <v>1934</v>
      </c>
      <c r="D183" s="60" t="s">
        <v>5014</v>
      </c>
      <c r="E183" s="60" t="s">
        <v>4522</v>
      </c>
      <c r="F183" s="60" t="s">
        <v>4523</v>
      </c>
      <c r="G183" s="60" t="s">
        <v>5015</v>
      </c>
      <c r="H183" s="60" t="n">
        <v>155</v>
      </c>
      <c r="I183" s="60"/>
      <c r="J183" s="20"/>
      <c r="K183" s="20"/>
      <c r="L183" s="20"/>
      <c r="M183" s="20"/>
    </row>
    <row r="184">
      <c r="A184" s="55" t="s">
        <v>5272</v>
      </c>
      <c r="B184" s="20" t="s">
        <v>1961</v>
      </c>
      <c r="C184" s="60" t="s">
        <v>1964</v>
      </c>
      <c r="D184" s="60" t="s">
        <v>4814</v>
      </c>
      <c r="E184" s="60" t="s">
        <v>4504</v>
      </c>
      <c r="F184" s="60" t="s">
        <v>4509</v>
      </c>
      <c r="G184" s="60" t="s">
        <v>5273</v>
      </c>
      <c r="H184" s="60" t="n">
        <v>1009</v>
      </c>
      <c r="I184" s="60"/>
      <c r="J184" s="20"/>
      <c r="K184" s="20"/>
      <c r="L184" s="20"/>
      <c r="M184" s="20"/>
    </row>
    <row r="185">
      <c r="A185" s="55" t="s">
        <v>5274</v>
      </c>
      <c r="B185" s="20" t="s">
        <v>3122</v>
      </c>
      <c r="C185" s="60" t="s">
        <v>5275</v>
      </c>
      <c r="D185" s="61" t="s">
        <v>5276</v>
      </c>
      <c r="E185" s="61" t="s">
        <v>4533</v>
      </c>
      <c r="F185" s="61" t="s">
        <v>4734</v>
      </c>
      <c r="G185" s="60" t="s">
        <v>5277</v>
      </c>
      <c r="H185" s="61" t="n">
        <v>10</v>
      </c>
    </row>
    <row r="186">
      <c r="A186" s="55" t="s">
        <v>5278</v>
      </c>
      <c r="B186" s="20" t="s">
        <v>1936</v>
      </c>
      <c r="C186" s="60" t="s">
        <v>1939</v>
      </c>
      <c r="D186" s="60" t="s">
        <v>4943</v>
      </c>
      <c r="E186" s="60" t="s">
        <v>4522</v>
      </c>
      <c r="F186" s="60" t="s">
        <v>4523</v>
      </c>
      <c r="G186" s="60" t="s">
        <v>5279</v>
      </c>
      <c r="H186" s="60" t="n">
        <v>38</v>
      </c>
      <c r="I186" s="60"/>
      <c r="J186" s="20"/>
      <c r="K186" s="20"/>
      <c r="L186" s="20"/>
      <c r="M186" s="20"/>
    </row>
    <row r="187">
      <c r="A187" s="55" t="s">
        <v>5280</v>
      </c>
      <c r="B187" s="20" t="s">
        <v>3136</v>
      </c>
      <c r="C187" s="60" t="s">
        <v>5281</v>
      </c>
      <c r="D187" s="61" t="s">
        <v>4724</v>
      </c>
      <c r="E187" s="61" t="s">
        <v>4533</v>
      </c>
      <c r="F187" s="61" t="s">
        <v>4571</v>
      </c>
      <c r="G187" s="60" t="s">
        <v>5282</v>
      </c>
      <c r="H187" s="61" t="n">
        <v>560</v>
      </c>
      <c r="I187" s="61" t="s">
        <v>5283</v>
      </c>
    </row>
    <row r="188">
      <c r="A188" s="55" t="s">
        <v>5284</v>
      </c>
      <c r="B188" s="20" t="s">
        <v>872</v>
      </c>
      <c r="C188" s="60" t="s">
        <v>881</v>
      </c>
      <c r="D188" s="60" t="s">
        <v>5285</v>
      </c>
      <c r="E188" s="60" t="s">
        <v>4597</v>
      </c>
      <c r="F188" s="60" t="s">
        <v>4660</v>
      </c>
      <c r="G188" s="60" t="s">
        <v>5286</v>
      </c>
      <c r="H188" s="60" t="n">
        <v>18</v>
      </c>
      <c r="I188" s="60"/>
      <c r="J188" s="20"/>
      <c r="K188" s="20"/>
      <c r="L188" s="20"/>
      <c r="M188" s="20"/>
    </row>
    <row r="189">
      <c r="A189" s="55" t="s">
        <v>5287</v>
      </c>
      <c r="B189" s="20" t="s">
        <v>3143</v>
      </c>
      <c r="C189" s="60" t="s">
        <v>5288</v>
      </c>
      <c r="D189" s="61" t="s">
        <v>5076</v>
      </c>
      <c r="E189" s="61" t="s">
        <v>4533</v>
      </c>
      <c r="F189" s="61" t="s">
        <v>4534</v>
      </c>
      <c r="G189" s="60" t="s">
        <v>5289</v>
      </c>
      <c r="H189" s="61" t="n">
        <v>2200</v>
      </c>
      <c r="I189" s="61" t="s">
        <v>5290</v>
      </c>
    </row>
    <row r="190">
      <c r="A190" s="55" t="s">
        <v>5291</v>
      </c>
      <c r="B190" s="20" t="s">
        <v>1981</v>
      </c>
      <c r="C190" s="60" t="s">
        <v>1864</v>
      </c>
      <c r="D190" s="60" t="s">
        <v>4517</v>
      </c>
      <c r="E190" s="60" t="s">
        <v>4504</v>
      </c>
      <c r="F190" s="60" t="s">
        <v>4509</v>
      </c>
      <c r="G190" s="60" t="s">
        <v>4518</v>
      </c>
      <c r="H190" s="60" t="n">
        <v>1485</v>
      </c>
      <c r="I190" s="60"/>
      <c r="J190" s="20"/>
      <c r="K190" s="20"/>
      <c r="L190" s="20"/>
      <c r="M190" s="20"/>
    </row>
    <row r="191">
      <c r="A191" s="55" t="s">
        <v>5292</v>
      </c>
      <c r="B191" s="20" t="s">
        <v>620</v>
      </c>
      <c r="C191" s="60" t="s">
        <v>625</v>
      </c>
      <c r="D191" s="60" t="s">
        <v>5293</v>
      </c>
      <c r="E191" s="60" t="s">
        <v>4539</v>
      </c>
      <c r="F191" s="60" t="s">
        <v>4673</v>
      </c>
      <c r="G191" s="60" t="s">
        <v>5294</v>
      </c>
      <c r="H191" s="60" t="n">
        <v>1280</v>
      </c>
      <c r="I191" s="60"/>
      <c r="J191" s="20"/>
      <c r="K191" s="20"/>
      <c r="L191" s="20"/>
      <c r="M191" s="20"/>
    </row>
    <row r="192">
      <c r="A192" s="55" t="s">
        <v>5295</v>
      </c>
      <c r="B192" s="20" t="s">
        <v>1956</v>
      </c>
      <c r="C192" s="60" t="s">
        <v>1959</v>
      </c>
      <c r="D192" s="60" t="s">
        <v>4528</v>
      </c>
      <c r="E192" s="60" t="s">
        <v>4504</v>
      </c>
      <c r="F192" s="60" t="s">
        <v>4509</v>
      </c>
      <c r="G192" s="60" t="s">
        <v>4859</v>
      </c>
      <c r="H192" s="60" t="n">
        <v>309</v>
      </c>
      <c r="I192" s="60"/>
      <c r="J192" s="20"/>
      <c r="K192" s="20"/>
      <c r="L192" s="20"/>
      <c r="M192" s="20"/>
    </row>
    <row r="193">
      <c r="A193" s="55" t="s">
        <v>5296</v>
      </c>
      <c r="B193" s="20" t="s">
        <v>1985</v>
      </c>
      <c r="C193" s="60" t="s">
        <v>1990</v>
      </c>
      <c r="D193" s="60" t="s">
        <v>4749</v>
      </c>
      <c r="E193" s="60" t="s">
        <v>4504</v>
      </c>
      <c r="F193" s="60" t="s">
        <v>4509</v>
      </c>
      <c r="G193" s="60" t="s">
        <v>5297</v>
      </c>
      <c r="H193" s="60" t="n">
        <v>12</v>
      </c>
      <c r="I193" s="60"/>
      <c r="J193" s="20"/>
      <c r="K193" s="20"/>
      <c r="L193" s="20"/>
      <c r="M193" s="20"/>
    </row>
    <row r="194">
      <c r="A194" s="55" t="s">
        <v>5298</v>
      </c>
      <c r="B194" s="20" t="s">
        <v>691</v>
      </c>
      <c r="C194" s="60" t="s">
        <v>696</v>
      </c>
      <c r="D194" s="60" t="s">
        <v>5299</v>
      </c>
      <c r="E194" s="60" t="s">
        <v>4539</v>
      </c>
      <c r="F194" s="60" t="s">
        <v>4766</v>
      </c>
      <c r="G194" s="60" t="s">
        <v>5300</v>
      </c>
      <c r="H194" s="60" t="n">
        <v>93</v>
      </c>
      <c r="I194" s="60"/>
      <c r="J194" s="20"/>
      <c r="K194" s="20"/>
      <c r="L194" s="20"/>
      <c r="M194" s="20"/>
    </row>
    <row r="195" ht="28.5" customHeight="1">
      <c r="A195" s="55" t="s">
        <v>5301</v>
      </c>
      <c r="B195" s="20" t="s">
        <v>1946</v>
      </c>
      <c r="C195" s="60" t="s">
        <v>1949</v>
      </c>
      <c r="D195" s="60" t="s">
        <v>5014</v>
      </c>
      <c r="E195" s="60" t="s">
        <v>4522</v>
      </c>
      <c r="F195" s="60" t="s">
        <v>4523</v>
      </c>
      <c r="G195" s="60" t="s">
        <v>5302</v>
      </c>
      <c r="H195" s="60" t="n">
        <v>400</v>
      </c>
      <c r="I195" s="60"/>
      <c r="J195" s="20"/>
      <c r="K195" s="20"/>
      <c r="L195" s="20"/>
      <c r="M195" s="20"/>
    </row>
    <row r="196">
      <c r="A196" s="55" t="s">
        <v>2269</v>
      </c>
      <c r="B196" s="20" t="s">
        <v>2264</v>
      </c>
      <c r="C196" s="61" t="s">
        <v>5303</v>
      </c>
      <c r="D196" s="60" t="s">
        <v>4803</v>
      </c>
      <c r="E196" s="60" t="s">
        <v>4644</v>
      </c>
      <c r="F196" s="60" t="s">
        <v>4760</v>
      </c>
      <c r="G196" s="60" t="s">
        <v>5304</v>
      </c>
      <c r="H196" s="60" t="n">
        <v>3</v>
      </c>
      <c r="I196" s="60" t="s">
        <v>5305</v>
      </c>
      <c r="J196" s="20"/>
      <c r="K196" s="20"/>
      <c r="L196" s="20"/>
      <c r="M196" s="20"/>
    </row>
    <row r="197">
      <c r="A197" s="55" t="s">
        <v>5306</v>
      </c>
      <c r="B197" s="20" t="s">
        <v>643</v>
      </c>
      <c r="C197" s="60" t="s">
        <v>5307</v>
      </c>
      <c r="D197" s="60" t="s">
        <v>5308</v>
      </c>
      <c r="E197" s="60" t="s">
        <v>4539</v>
      </c>
      <c r="F197" s="60" t="s">
        <v>4673</v>
      </c>
      <c r="G197" s="60" t="s">
        <v>5309</v>
      </c>
      <c r="H197" s="60" t="n">
        <v>45</v>
      </c>
      <c r="I197" s="60"/>
      <c r="J197" s="20"/>
      <c r="K197" s="20"/>
      <c r="L197" s="20"/>
      <c r="M197" s="20"/>
    </row>
    <row r="198">
      <c r="A198" s="55" t="s">
        <v>5310</v>
      </c>
      <c r="B198" s="20" t="s">
        <v>3448</v>
      </c>
      <c r="C198" s="60" t="s">
        <v>3451</v>
      </c>
      <c r="D198" s="61" t="s">
        <v>4789</v>
      </c>
      <c r="E198" s="61" t="s">
        <v>4577</v>
      </c>
      <c r="F198" s="61" t="s">
        <v>4790</v>
      </c>
      <c r="G198" s="60" t="s">
        <v>5311</v>
      </c>
      <c r="H198" s="61" t="n">
        <v>409</v>
      </c>
    </row>
    <row r="199">
      <c r="A199" s="20" t="s">
        <v>5312</v>
      </c>
      <c r="B199" s="20" t="s">
        <v>1713</v>
      </c>
      <c r="C199" s="60" t="s">
        <v>1716</v>
      </c>
      <c r="D199" s="60" t="s">
        <v>5191</v>
      </c>
      <c r="E199" s="60" t="s">
        <v>4504</v>
      </c>
      <c r="F199" s="60" t="s">
        <v>4625</v>
      </c>
      <c r="G199" s="60" t="s">
        <v>5313</v>
      </c>
      <c r="H199" s="60" t="n">
        <v>366</v>
      </c>
      <c r="I199" s="60"/>
      <c r="J199" s="20"/>
      <c r="K199" s="20"/>
      <c r="L199" s="20"/>
      <c r="M199" s="20"/>
    </row>
    <row r="200" ht="28.5" customHeight="1">
      <c r="A200" s="20" t="s">
        <v>5314</v>
      </c>
      <c r="B200" s="20" t="s">
        <v>2723</v>
      </c>
      <c r="C200" s="60" t="s">
        <v>5315</v>
      </c>
      <c r="D200" s="61" t="s">
        <v>5316</v>
      </c>
      <c r="E200" s="61" t="s">
        <v>4557</v>
      </c>
      <c r="F200" s="61" t="s">
        <v>5317</v>
      </c>
      <c r="G200" s="60" t="s">
        <v>5318</v>
      </c>
      <c r="H200" s="61" t="n">
        <v>83</v>
      </c>
    </row>
    <row r="201">
      <c r="A201" s="20" t="s">
        <v>5319</v>
      </c>
      <c r="B201" s="20" t="s">
        <v>3002</v>
      </c>
      <c r="C201" s="60" t="s">
        <v>5320</v>
      </c>
      <c r="D201" s="61" t="s">
        <v>4503</v>
      </c>
      <c r="E201" s="61" t="s">
        <v>4504</v>
      </c>
      <c r="F201" s="61" t="s">
        <v>4505</v>
      </c>
      <c r="G201" s="60" t="s">
        <v>5321</v>
      </c>
      <c r="H201" s="61" t="n">
        <v>336</v>
      </c>
    </row>
    <row r="202">
      <c r="A202" s="20" t="s">
        <v>5322</v>
      </c>
      <c r="B202" s="20" t="s">
        <v>2723</v>
      </c>
      <c r="C202" s="60" t="s">
        <v>5323</v>
      </c>
      <c r="D202" s="61" t="s">
        <v>5226</v>
      </c>
      <c r="E202" s="61" t="s">
        <v>4557</v>
      </c>
      <c r="F202" s="61" t="s">
        <v>4678</v>
      </c>
      <c r="G202" s="60" t="s">
        <v>5324</v>
      </c>
      <c r="H202" s="61" t="n">
        <v>409</v>
      </c>
    </row>
    <row r="203">
      <c r="A203" s="20" t="s">
        <v>5325</v>
      </c>
      <c r="B203" s="20" t="s">
        <v>2723</v>
      </c>
      <c r="C203" s="60" t="s">
        <v>5326</v>
      </c>
      <c r="D203" s="61" t="s">
        <v>5327</v>
      </c>
      <c r="E203" s="61" t="s">
        <v>4557</v>
      </c>
      <c r="F203" s="61" t="s">
        <v>5003</v>
      </c>
      <c r="G203" s="60" t="s">
        <v>5328</v>
      </c>
      <c r="H203" s="61" t="n">
        <v>188</v>
      </c>
    </row>
    <row r="204">
      <c r="A204" s="20" t="s">
        <v>5329</v>
      </c>
      <c r="B204" s="20" t="s">
        <v>2723</v>
      </c>
      <c r="C204" s="60" t="s">
        <v>5330</v>
      </c>
      <c r="D204" s="61" t="s">
        <v>5331</v>
      </c>
      <c r="E204" s="61" t="s">
        <v>4539</v>
      </c>
      <c r="F204" s="61" t="s">
        <v>4673</v>
      </c>
      <c r="G204" s="60" t="s">
        <v>5332</v>
      </c>
      <c r="H204" s="61" t="n">
        <v>112</v>
      </c>
    </row>
    <row r="205" ht="42.75" customHeight="1">
      <c r="A205" s="53" t="s">
        <v>2813</v>
      </c>
      <c r="B205" s="20" t="s">
        <v>5333</v>
      </c>
      <c r="C205" s="61" t="s">
        <v>5334</v>
      </c>
      <c r="D205" s="60" t="s">
        <v>4624</v>
      </c>
      <c r="E205" s="60" t="s">
        <v>4504</v>
      </c>
      <c r="F205" s="60" t="s">
        <v>4625</v>
      </c>
      <c r="G205" s="60" t="s">
        <v>5335</v>
      </c>
      <c r="H205" s="60" t="n">
        <v>636</v>
      </c>
      <c r="I205" s="60" t="s">
        <v>5336</v>
      </c>
      <c r="J205" s="20"/>
      <c r="K205" s="20"/>
      <c r="L205" s="20"/>
      <c r="M205" s="20"/>
    </row>
    <row r="206" ht="156.75" customHeight="1">
      <c r="A206" s="53" t="s">
        <v>5337</v>
      </c>
      <c r="B206" s="20" t="s">
        <v>5338</v>
      </c>
      <c r="C206" s="61" t="s">
        <v>5339</v>
      </c>
      <c r="D206" s="60" t="s">
        <v>5340</v>
      </c>
      <c r="E206" s="60" t="s">
        <v>4546</v>
      </c>
      <c r="F206" s="60" t="s">
        <v>4955</v>
      </c>
      <c r="G206" s="60" t="s">
        <v>5341</v>
      </c>
      <c r="H206" s="60" t="n">
        <v>1464</v>
      </c>
      <c r="I206" s="60" t="s">
        <v>5342</v>
      </c>
      <c r="J206" s="20"/>
      <c r="K206" s="20"/>
      <c r="L206" s="20"/>
      <c r="M206" s="20"/>
    </row>
    <row r="207" ht="57" customHeight="1">
      <c r="A207" s="53" t="s">
        <v>2847</v>
      </c>
      <c r="B207" s="20" t="s">
        <v>5343</v>
      </c>
      <c r="C207" s="66" t="s">
        <v>5344</v>
      </c>
      <c r="D207" s="61" t="s">
        <v>5345</v>
      </c>
      <c r="E207" s="61" t="s">
        <v>4577</v>
      </c>
      <c r="F207" s="67" t="s">
        <v>4783</v>
      </c>
      <c r="G207" s="60" t="s">
        <v>5346</v>
      </c>
      <c r="H207" s="61" t="n">
        <v>2213</v>
      </c>
      <c r="I207" s="68" t="s">
        <v>5347</v>
      </c>
      <c r="J207" s="20"/>
      <c r="K207" s="20"/>
      <c r="L207" s="20"/>
      <c r="M207" s="20"/>
    </row>
    <row r="208" ht="15" customHeight="1">
      <c r="A208" s="53" t="s">
        <v>5348</v>
      </c>
      <c r="B208" s="20" t="s">
        <v>962</v>
      </c>
      <c r="C208" s="66" t="s">
        <v>5344</v>
      </c>
      <c r="D208" s="61" t="s">
        <v>5345</v>
      </c>
      <c r="E208" s="61" t="s">
        <v>4577</v>
      </c>
      <c r="F208" s="67" t="s">
        <v>4783</v>
      </c>
      <c r="G208" s="60" t="s">
        <v>5346</v>
      </c>
      <c r="H208" s="61" t="n">
        <v>2213</v>
      </c>
      <c r="I208" s="68" t="s">
        <v>5347</v>
      </c>
      <c r="J208" s="20"/>
      <c r="K208" s="20"/>
      <c r="L208" s="20"/>
      <c r="M208" s="20"/>
    </row>
    <row r="209" ht="142.5" customHeight="1">
      <c r="A209" s="53" t="s">
        <v>5349</v>
      </c>
      <c r="B209" s="20" t="s">
        <v>5350</v>
      </c>
      <c r="C209" s="61" t="s">
        <v>5351</v>
      </c>
      <c r="D209" s="60" t="s">
        <v>4677</v>
      </c>
      <c r="E209" s="60" t="s">
        <v>4557</v>
      </c>
      <c r="F209" s="60" t="s">
        <v>4678</v>
      </c>
      <c r="G209" s="60" t="s">
        <v>5352</v>
      </c>
      <c r="H209" s="60" t="n">
        <v>25</v>
      </c>
      <c r="I209" s="60" t="s">
        <v>5353</v>
      </c>
      <c r="J209" s="20"/>
      <c r="K209" s="20"/>
      <c r="L209" s="20"/>
      <c r="M209" s="20"/>
    </row>
    <row r="210">
      <c r="A210" s="53" t="s">
        <v>2522</v>
      </c>
      <c r="B210" s="20" t="s">
        <v>2518</v>
      </c>
      <c r="C210" s="61" t="s">
        <v>5354</v>
      </c>
      <c r="D210" s="60" t="s">
        <v>4556</v>
      </c>
      <c r="E210" s="60" t="s">
        <v>4557</v>
      </c>
      <c r="F210" s="60" t="s">
        <v>4558</v>
      </c>
      <c r="G210" s="60" t="s">
        <v>4695</v>
      </c>
      <c r="H210" s="60" t="n">
        <v>345</v>
      </c>
      <c r="I210" s="60" t="s">
        <v>4696</v>
      </c>
      <c r="J210" s="20"/>
      <c r="K210" s="20"/>
      <c r="L210" s="20"/>
      <c r="M210" s="20"/>
    </row>
    <row r="211">
      <c r="A211" s="53" t="s">
        <v>5355</v>
      </c>
      <c r="B211" s="20" t="s">
        <v>3098</v>
      </c>
      <c r="C211" s="60" t="s">
        <v>5356</v>
      </c>
      <c r="D211" s="61" t="s">
        <v>4556</v>
      </c>
      <c r="E211" s="61" t="s">
        <v>4557</v>
      </c>
      <c r="F211" s="61" t="s">
        <v>4558</v>
      </c>
      <c r="G211" s="60" t="s">
        <v>5357</v>
      </c>
      <c r="H211" s="61" t="n">
        <v>400</v>
      </c>
      <c r="I211" s="61" t="s">
        <v>5358</v>
      </c>
    </row>
    <row r="212" ht="57" customHeight="1">
      <c r="A212" s="53" t="s">
        <v>2843</v>
      </c>
      <c r="B212" s="20" t="s">
        <v>5359</v>
      </c>
      <c r="C212" s="61" t="s">
        <v>5360</v>
      </c>
      <c r="D212" s="60" t="s">
        <v>4684</v>
      </c>
      <c r="E212" s="60" t="s">
        <v>4577</v>
      </c>
      <c r="F212" s="60" t="s">
        <v>4685</v>
      </c>
      <c r="G212" s="60" t="s">
        <v>5361</v>
      </c>
      <c r="H212" s="60" t="n">
        <v>2745</v>
      </c>
      <c r="I212" s="60" t="s">
        <v>5362</v>
      </c>
      <c r="J212" s="20"/>
      <c r="K212" s="20"/>
      <c r="L212" s="20"/>
      <c r="M212" s="20"/>
    </row>
    <row r="213">
      <c r="A213" s="53" t="s">
        <v>5363</v>
      </c>
      <c r="B213" s="20" t="s">
        <v>2218</v>
      </c>
      <c r="C213" s="61" t="s">
        <v>5364</v>
      </c>
      <c r="D213" s="60" t="s">
        <v>5365</v>
      </c>
      <c r="E213" s="60" t="s">
        <v>4557</v>
      </c>
      <c r="F213" s="60" t="s">
        <v>5003</v>
      </c>
      <c r="G213" s="60" t="s">
        <v>5366</v>
      </c>
      <c r="H213" s="60" t="n">
        <v>1350</v>
      </c>
      <c r="I213" s="60" t="s">
        <v>5367</v>
      </c>
      <c r="J213" s="20"/>
      <c r="K213" s="20"/>
      <c r="L213" s="20"/>
      <c r="M213" s="20"/>
    </row>
    <row r="214" ht="86.25" customHeight="1">
      <c r="A214" s="53" t="s">
        <v>5368</v>
      </c>
      <c r="B214" s="20" t="s">
        <v>5369</v>
      </c>
      <c r="C214" s="63" t="s">
        <v>5370</v>
      </c>
      <c r="D214" s="61" t="s">
        <v>5371</v>
      </c>
      <c r="E214" s="64" t="s">
        <v>4533</v>
      </c>
      <c r="F214" s="65" t="s">
        <v>4534</v>
      </c>
      <c r="G214" s="60" t="s">
        <v>5372</v>
      </c>
      <c r="H214" s="61" t="n">
        <v>1002</v>
      </c>
      <c r="I214" s="68" t="s">
        <v>5373</v>
      </c>
      <c r="J214" s="20"/>
      <c r="K214" s="20"/>
      <c r="L214" s="20"/>
      <c r="M214" s="20"/>
    </row>
    <row r="215" ht="114" customHeight="1">
      <c r="A215" s="53" t="s">
        <v>550</v>
      </c>
      <c r="B215" s="20" t="s">
        <v>5374</v>
      </c>
      <c r="C215" s="61" t="s">
        <v>5375</v>
      </c>
      <c r="D215" s="60" t="s">
        <v>5365</v>
      </c>
      <c r="E215" s="60" t="s">
        <v>4557</v>
      </c>
      <c r="F215" s="60" t="s">
        <v>5003</v>
      </c>
      <c r="G215" s="60" t="s">
        <v>5376</v>
      </c>
      <c r="H215" s="60" t="n">
        <v>91</v>
      </c>
      <c r="I215" s="60" t="s">
        <v>5377</v>
      </c>
      <c r="J215" s="20"/>
      <c r="K215" s="20"/>
      <c r="L215" s="20"/>
      <c r="M215" s="20"/>
    </row>
    <row r="216">
      <c r="A216" s="53" t="s">
        <v>5378</v>
      </c>
      <c r="B216" s="20" t="s">
        <v>3310</v>
      </c>
      <c r="C216" s="60" t="s">
        <v>3313</v>
      </c>
      <c r="D216" s="61" t="s">
        <v>5234</v>
      </c>
      <c r="E216" s="61" t="s">
        <v>4557</v>
      </c>
      <c r="F216" s="61" t="s">
        <v>4558</v>
      </c>
      <c r="G216" s="60" t="s">
        <v>5379</v>
      </c>
      <c r="H216" s="61" t="n">
        <v>230</v>
      </c>
    </row>
    <row r="217" ht="128.25" customHeight="1">
      <c r="A217" s="53" t="s">
        <v>1489</v>
      </c>
      <c r="B217" s="20" t="s">
        <v>5380</v>
      </c>
      <c r="C217" s="61" t="s">
        <v>5381</v>
      </c>
      <c r="D217" s="60" t="s">
        <v>4888</v>
      </c>
      <c r="E217" s="60" t="s">
        <v>4577</v>
      </c>
      <c r="F217" s="60" t="s">
        <v>4783</v>
      </c>
      <c r="G217" s="60" t="s">
        <v>5382</v>
      </c>
      <c r="H217" s="60" t="n">
        <v>311</v>
      </c>
      <c r="I217" s="60" t="s">
        <v>5383</v>
      </c>
      <c r="J217" s="20"/>
      <c r="K217" s="20"/>
      <c r="L217" s="20"/>
      <c r="M217" s="20"/>
    </row>
    <row r="218" ht="128.25" customHeight="1">
      <c r="A218" s="53" t="s">
        <v>760</v>
      </c>
      <c r="B218" s="20" t="s">
        <v>5384</v>
      </c>
      <c r="C218" s="61" t="s">
        <v>2608</v>
      </c>
      <c r="D218" s="60" t="s">
        <v>5385</v>
      </c>
      <c r="E218" s="60" t="s">
        <v>4504</v>
      </c>
      <c r="F218" s="60" t="s">
        <v>4610</v>
      </c>
      <c r="G218" s="60" t="s">
        <v>5386</v>
      </c>
      <c r="H218" s="60" t="n">
        <v>50</v>
      </c>
      <c r="I218" s="60" t="s">
        <v>5387</v>
      </c>
      <c r="J218" s="20"/>
      <c r="K218" s="20"/>
      <c r="L218" s="20"/>
      <c r="M218" s="20"/>
    </row>
    <row r="219">
      <c r="A219" s="53" t="s">
        <v>2401</v>
      </c>
      <c r="B219" s="20" t="s">
        <v>2398</v>
      </c>
      <c r="C219" s="61" t="s">
        <v>5388</v>
      </c>
      <c r="D219" s="60" t="s">
        <v>4699</v>
      </c>
      <c r="E219" s="60" t="s">
        <v>4644</v>
      </c>
      <c r="F219" s="60" t="s">
        <v>4700</v>
      </c>
      <c r="G219" s="60" t="s">
        <v>4701</v>
      </c>
      <c r="H219" s="60" t="n">
        <v>560</v>
      </c>
      <c r="I219" s="60" t="s">
        <v>5389</v>
      </c>
      <c r="J219" s="20"/>
      <c r="K219" s="20"/>
      <c r="L219" s="20"/>
      <c r="M219" s="20"/>
    </row>
    <row r="220" ht="71.25" customHeight="1">
      <c r="A220" s="53" t="s">
        <v>664</v>
      </c>
      <c r="B220" s="20" t="s">
        <v>5390</v>
      </c>
      <c r="C220" s="61" t="s">
        <v>5391</v>
      </c>
      <c r="D220" s="60" t="s">
        <v>5218</v>
      </c>
      <c r="E220" s="60" t="s">
        <v>4597</v>
      </c>
      <c r="F220" s="60" t="s">
        <v>4660</v>
      </c>
      <c r="G220" s="60" t="s">
        <v>5392</v>
      </c>
      <c r="H220" s="60" t="n">
        <v>1</v>
      </c>
      <c r="I220" s="60" t="s">
        <v>5393</v>
      </c>
      <c r="J220" s="20"/>
      <c r="K220" s="20"/>
      <c r="L220" s="20"/>
      <c r="M220" s="20"/>
    </row>
    <row r="221" ht="156.75" customHeight="1">
      <c r="A221" s="54" t="s">
        <v>453</v>
      </c>
      <c r="B221" s="20" t="s">
        <v>5394</v>
      </c>
      <c r="C221" s="61" t="s">
        <v>5395</v>
      </c>
      <c r="D221" s="60" t="s">
        <v>4596</v>
      </c>
      <c r="E221" s="60" t="s">
        <v>4597</v>
      </c>
      <c r="F221" s="60" t="s">
        <v>4598</v>
      </c>
      <c r="G221" s="60" t="s">
        <v>5396</v>
      </c>
      <c r="H221" s="60" t="n">
        <v>1060</v>
      </c>
      <c r="I221" s="60" t="s">
        <v>5397</v>
      </c>
      <c r="J221" s="20"/>
      <c r="K221" s="20"/>
      <c r="L221" s="20"/>
      <c r="M221" s="20"/>
    </row>
    <row r="222">
      <c r="A222" s="54" t="s">
        <v>5398</v>
      </c>
      <c r="B222" s="20" t="s">
        <v>1582</v>
      </c>
      <c r="C222" s="60" t="s">
        <v>1587</v>
      </c>
      <c r="D222" s="61" t="s">
        <v>5191</v>
      </c>
      <c r="E222" s="61" t="s">
        <v>4504</v>
      </c>
      <c r="F222" s="61" t="s">
        <v>4625</v>
      </c>
      <c r="G222" s="60" t="s">
        <v>5399</v>
      </c>
      <c r="H222" s="61" t="n">
        <v>807</v>
      </c>
      <c r="I222" s="61" t="s">
        <v>5400</v>
      </c>
    </row>
    <row r="223" ht="15" customHeight="1">
      <c r="A223" s="53" t="s">
        <v>924</v>
      </c>
      <c r="B223" s="20" t="s">
        <v>919</v>
      </c>
      <c r="C223" s="63" t="s">
        <v>5401</v>
      </c>
      <c r="D223" s="64" t="s">
        <v>5402</v>
      </c>
      <c r="E223" s="61" t="s">
        <v>4557</v>
      </c>
      <c r="F223" s="65" t="s">
        <v>4558</v>
      </c>
      <c r="G223" s="63" t="s">
        <v>5403</v>
      </c>
      <c r="H223" s="61" t="n">
        <v>2896</v>
      </c>
      <c r="I223" s="68" t="s">
        <v>5404</v>
      </c>
      <c r="J223" s="20"/>
      <c r="K223" s="20"/>
      <c r="L223" s="20"/>
      <c r="M223" s="20"/>
    </row>
    <row r="224">
      <c r="A224" s="20" t="s">
        <v>5405</v>
      </c>
      <c r="B224" s="20" t="s">
        <v>3031</v>
      </c>
      <c r="C224" s="60" t="s">
        <v>3036</v>
      </c>
      <c r="D224" s="61" t="s">
        <v>5406</v>
      </c>
      <c r="E224" s="61" t="s">
        <v>4557</v>
      </c>
      <c r="F224" s="61" t="s">
        <v>4678</v>
      </c>
      <c r="G224" s="60" t="s">
        <v>5407</v>
      </c>
      <c r="H224" s="61" t="n">
        <v>165</v>
      </c>
    </row>
    <row r="225" ht="28.5" customHeight="1">
      <c r="A225" s="20" t="s">
        <v>5408</v>
      </c>
      <c r="B225" s="20" t="s">
        <v>412</v>
      </c>
      <c r="C225" s="60" t="s">
        <v>5408</v>
      </c>
      <c r="D225" s="60" t="s">
        <v>5409</v>
      </c>
      <c r="E225" s="60" t="s">
        <v>4533</v>
      </c>
      <c r="F225" s="60" t="s">
        <v>4571</v>
      </c>
      <c r="G225" s="60" t="s">
        <v>5410</v>
      </c>
      <c r="H225" s="60" t="n">
        <v>362</v>
      </c>
      <c r="I225" s="60"/>
      <c r="J225" s="20"/>
      <c r="K225" s="20"/>
      <c r="L225" s="20"/>
      <c r="M225" s="20"/>
    </row>
    <row r="226" ht="42.75" customHeight="1">
      <c r="A226" s="20" t="s">
        <v>2451</v>
      </c>
      <c r="B226" s="20" t="s">
        <v>5411</v>
      </c>
      <c r="C226" s="60" t="s">
        <v>5412</v>
      </c>
      <c r="D226" s="60" t="s">
        <v>5413</v>
      </c>
      <c r="E226" s="60" t="s">
        <v>4522</v>
      </c>
      <c r="F226" s="60" t="s">
        <v>4924</v>
      </c>
      <c r="G226" s="60" t="s">
        <v>5414</v>
      </c>
      <c r="H226" s="60" t="n">
        <v>8000</v>
      </c>
      <c r="I226" s="60" t="s">
        <v>5415</v>
      </c>
      <c r="J226" s="20"/>
      <c r="K226" s="20"/>
      <c r="L226" s="20"/>
      <c r="M226" s="20"/>
    </row>
    <row r="227" ht="28.5" customHeight="1">
      <c r="A227" s="20" t="s">
        <v>5416</v>
      </c>
      <c r="B227" s="20" t="s">
        <v>1318</v>
      </c>
      <c r="C227" s="60" t="s">
        <v>1322</v>
      </c>
      <c r="D227" s="60" t="s">
        <v>5191</v>
      </c>
      <c r="E227" s="60" t="s">
        <v>4504</v>
      </c>
      <c r="F227" s="60" t="s">
        <v>4625</v>
      </c>
      <c r="G227" s="60" t="s">
        <v>5417</v>
      </c>
      <c r="H227" s="60" t="n">
        <v>103</v>
      </c>
      <c r="I227" s="60"/>
      <c r="J227" s="20"/>
      <c r="K227" s="20"/>
      <c r="L227" s="20"/>
      <c r="M227" s="20"/>
    </row>
    <row r="228">
      <c r="A228" s="20" t="s">
        <v>724</v>
      </c>
      <c r="B228" s="20" t="s">
        <v>719</v>
      </c>
      <c r="C228" s="60" t="s">
        <v>5418</v>
      </c>
      <c r="D228" s="61" t="s">
        <v>5419</v>
      </c>
      <c r="E228" s="61" t="s">
        <v>4522</v>
      </c>
      <c r="F228" s="67" t="s">
        <v>4924</v>
      </c>
      <c r="G228" s="60" t="s">
        <v>5420</v>
      </c>
      <c r="H228" s="61" t="n">
        <v>187</v>
      </c>
      <c r="I228" s="68" t="s">
        <v>5421</v>
      </c>
      <c r="J228" s="20"/>
      <c r="K228" s="20"/>
      <c r="L228" s="20"/>
      <c r="M228" s="20"/>
    </row>
    <row r="229">
      <c r="A229" s="20" t="s">
        <v>5422</v>
      </c>
      <c r="B229" s="20" t="s">
        <v>2615</v>
      </c>
      <c r="C229" s="61" t="s">
        <v>5423</v>
      </c>
      <c r="D229" s="61" t="s">
        <v>5424</v>
      </c>
      <c r="E229" s="61" t="s">
        <v>4539</v>
      </c>
      <c r="F229" s="61" t="s">
        <v>4766</v>
      </c>
      <c r="G229" s="60" t="s">
        <v>5425</v>
      </c>
      <c r="H229" s="61" t="n">
        <v>107</v>
      </c>
      <c r="I229" s="61" t="s">
        <v>5426</v>
      </c>
    </row>
    <row r="230" ht="15" customHeight="1">
      <c r="A230" s="54" t="s">
        <v>5427</v>
      </c>
      <c r="B230" s="20" t="s">
        <v>843</v>
      </c>
      <c r="C230" s="63" t="s">
        <v>5428</v>
      </c>
      <c r="D230" s="64" t="s">
        <v>4532</v>
      </c>
      <c r="E230" s="61" t="s">
        <v>4533</v>
      </c>
      <c r="F230" s="65" t="s">
        <v>4534</v>
      </c>
      <c r="G230" s="63" t="s">
        <v>4559</v>
      </c>
      <c r="H230" s="61" t="n">
        <v>9494</v>
      </c>
      <c r="I230" s="68" t="s">
        <v>5429</v>
      </c>
      <c r="J230" s="20"/>
      <c r="K230" s="20"/>
      <c r="L230" s="20"/>
      <c r="M230" s="20"/>
    </row>
    <row r="231" ht="28.5" customHeight="1">
      <c r="A231" s="20" t="s">
        <v>5430</v>
      </c>
      <c r="B231" s="20" t="s">
        <v>2667</v>
      </c>
      <c r="C231" s="60" t="s">
        <v>5431</v>
      </c>
      <c r="D231" s="61" t="s">
        <v>4624</v>
      </c>
      <c r="E231" s="61" t="s">
        <v>4504</v>
      </c>
      <c r="F231" s="61" t="s">
        <v>4625</v>
      </c>
      <c r="G231" s="60" t="s">
        <v>5432</v>
      </c>
      <c r="H231" s="61" t="n">
        <v>615</v>
      </c>
      <c r="I231" s="61" t="s">
        <v>5433</v>
      </c>
    </row>
    <row r="232" ht="28.5" customHeight="1">
      <c r="A232" s="20" t="s">
        <v>5434</v>
      </c>
      <c r="B232" s="20" t="s">
        <v>2188</v>
      </c>
      <c r="C232" s="66" t="s">
        <v>5435</v>
      </c>
      <c r="D232" s="61" t="s">
        <v>4556</v>
      </c>
      <c r="E232" s="61" t="s">
        <v>4557</v>
      </c>
      <c r="F232" s="67" t="s">
        <v>4558</v>
      </c>
      <c r="G232" s="60" t="s">
        <v>5436</v>
      </c>
      <c r="H232" s="61" t="n">
        <v>189</v>
      </c>
      <c r="I232" s="68" t="s">
        <v>5358</v>
      </c>
      <c r="J232" s="20"/>
      <c r="K232" s="20"/>
      <c r="L232" s="20"/>
      <c r="M232" s="20"/>
    </row>
    <row r="233">
      <c r="A233" s="58" t="s">
        <v>1114</v>
      </c>
      <c r="B233" s="20" t="s">
        <v>1109</v>
      </c>
      <c r="C233" s="61" t="s">
        <v>5437</v>
      </c>
      <c r="D233" s="60" t="s">
        <v>5299</v>
      </c>
      <c r="E233" s="60" t="s">
        <v>4539</v>
      </c>
      <c r="F233" s="60" t="s">
        <v>4766</v>
      </c>
      <c r="G233" s="60" t="s">
        <v>5438</v>
      </c>
      <c r="H233" s="60" t="n">
        <v>200</v>
      </c>
      <c r="I233" s="60" t="s">
        <v>5439</v>
      </c>
      <c r="J233" s="20"/>
      <c r="K233" s="20"/>
      <c r="L233" s="20"/>
      <c r="M233" s="20"/>
    </row>
    <row r="234" ht="42.75" customHeight="1">
      <c r="A234" s="58" t="s">
        <v>5440</v>
      </c>
      <c r="B234" s="20" t="s">
        <v>2326</v>
      </c>
      <c r="C234" s="60" t="s">
        <v>2331</v>
      </c>
      <c r="D234" s="60" t="s">
        <v>4912</v>
      </c>
      <c r="E234" s="60" t="s">
        <v>4546</v>
      </c>
      <c r="F234" s="60" t="s">
        <v>4619</v>
      </c>
      <c r="G234" s="60" t="s">
        <v>5441</v>
      </c>
      <c r="H234" s="60" t="n">
        <v>81</v>
      </c>
      <c r="I234" s="60"/>
      <c r="J234" s="20"/>
      <c r="K234" s="20"/>
      <c r="L234" s="20"/>
      <c r="M234" s="20"/>
    </row>
    <row r="235">
      <c r="A235" s="58" t="s">
        <v>5442</v>
      </c>
      <c r="B235" s="20" t="s">
        <v>2572</v>
      </c>
      <c r="C235" s="61" t="s">
        <v>5443</v>
      </c>
      <c r="D235" s="61" t="s">
        <v>5444</v>
      </c>
      <c r="E235" s="61" t="s">
        <v>4597</v>
      </c>
      <c r="F235" s="61" t="s">
        <v>4848</v>
      </c>
      <c r="G235" s="60" t="s">
        <v>5445</v>
      </c>
      <c r="H235" s="61" t="n">
        <v>296</v>
      </c>
      <c r="I235" s="61" t="s">
        <v>5446</v>
      </c>
    </row>
    <row r="236">
      <c r="A236" s="58" t="s">
        <v>5447</v>
      </c>
      <c r="B236" s="20" t="s">
        <v>2981</v>
      </c>
      <c r="C236" s="60" t="s">
        <v>5448</v>
      </c>
      <c r="D236" s="61" t="s">
        <v>4699</v>
      </c>
      <c r="E236" s="61" t="s">
        <v>4644</v>
      </c>
      <c r="F236" s="61" t="s">
        <v>4700</v>
      </c>
      <c r="G236" s="60" t="s">
        <v>5449</v>
      </c>
      <c r="H236" s="61" t="n">
        <v>665</v>
      </c>
    </row>
    <row r="237">
      <c r="A237" s="58" t="s">
        <v>1108</v>
      </c>
      <c r="B237" s="20" t="s">
        <v>1102</v>
      </c>
      <c r="C237" s="61" t="s">
        <v>5450</v>
      </c>
      <c r="D237" s="60" t="s">
        <v>5451</v>
      </c>
      <c r="E237" s="60" t="s">
        <v>4539</v>
      </c>
      <c r="F237" s="60" t="s">
        <v>4566</v>
      </c>
      <c r="G237" s="60" t="s">
        <v>5452</v>
      </c>
      <c r="H237" s="60" t="n">
        <v>17</v>
      </c>
      <c r="I237" s="60" t="s">
        <v>5453</v>
      </c>
      <c r="J237" s="20"/>
      <c r="K237" s="20"/>
      <c r="L237" s="20"/>
      <c r="M237" s="20"/>
    </row>
    <row r="238">
      <c r="A238" s="58" t="s">
        <v>5454</v>
      </c>
      <c r="B238" s="20" t="s">
        <v>3582</v>
      </c>
      <c r="C238" s="60" t="s">
        <v>5455</v>
      </c>
      <c r="D238" s="61" t="s">
        <v>5402</v>
      </c>
      <c r="E238" s="61" t="s">
        <v>4557</v>
      </c>
      <c r="F238" s="61" t="s">
        <v>4558</v>
      </c>
      <c r="G238" s="70" t="s">
        <v>5456</v>
      </c>
      <c r="H238" s="61" t="n">
        <v>315</v>
      </c>
      <c r="I238" s="61" t="s">
        <v>5457</v>
      </c>
    </row>
    <row r="239" ht="28.5" customHeight="1">
      <c r="A239" s="20" t="s">
        <v>3521</v>
      </c>
      <c r="B239" s="20" t="s">
        <v>3515</v>
      </c>
      <c r="C239" s="60" t="s">
        <v>3521</v>
      </c>
      <c r="D239" s="61" t="s">
        <v>4898</v>
      </c>
      <c r="E239" s="61" t="s">
        <v>4533</v>
      </c>
      <c r="F239" s="61" t="s">
        <v>4534</v>
      </c>
      <c r="G239" s="60" t="s">
        <v>4590</v>
      </c>
      <c r="H239" s="61" t="n">
        <v>44999</v>
      </c>
    </row>
    <row r="240">
      <c r="A240" s="20" t="s">
        <v>5458</v>
      </c>
      <c r="B240" s="20" t="s">
        <v>3601</v>
      </c>
      <c r="C240" s="60" t="s">
        <v>3605</v>
      </c>
      <c r="D240" s="61" t="s">
        <v>4724</v>
      </c>
      <c r="E240" s="61" t="s">
        <v>4533</v>
      </c>
      <c r="F240" s="61" t="s">
        <v>4571</v>
      </c>
      <c r="G240" s="60" t="s">
        <v>5459</v>
      </c>
      <c r="H240" s="61" t="n">
        <v>105</v>
      </c>
    </row>
    <row r="241">
      <c r="A241" s="20" t="s">
        <v>5460</v>
      </c>
      <c r="B241" s="20" t="s">
        <v>2922</v>
      </c>
      <c r="C241" s="60" t="s">
        <v>5461</v>
      </c>
      <c r="D241" s="61" t="s">
        <v>5462</v>
      </c>
      <c r="E241" s="61" t="s">
        <v>4577</v>
      </c>
      <c r="F241" s="61" t="s">
        <v>5132</v>
      </c>
      <c r="G241" s="60" t="s">
        <v>5463</v>
      </c>
      <c r="H241" s="61" t="n">
        <v>40</v>
      </c>
    </row>
    <row r="242">
      <c r="A242" s="20" t="s">
        <v>5464</v>
      </c>
      <c r="B242" s="20" t="s">
        <v>2934</v>
      </c>
      <c r="C242" s="60" t="s">
        <v>5465</v>
      </c>
      <c r="D242" s="61" t="s">
        <v>4843</v>
      </c>
      <c r="E242" s="61" t="s">
        <v>4577</v>
      </c>
      <c r="F242" s="61" t="s">
        <v>4578</v>
      </c>
      <c r="G242" s="60" t="s">
        <v>4844</v>
      </c>
      <c r="H242" s="61" t="n">
        <v>151</v>
      </c>
      <c r="I242" s="61" t="s">
        <v>5466</v>
      </c>
    </row>
    <row r="243">
      <c r="A243" s="20" t="s">
        <v>5467</v>
      </c>
      <c r="B243" s="20" t="s">
        <v>2917</v>
      </c>
      <c r="C243" s="60" t="s">
        <v>5468</v>
      </c>
      <c r="D243" s="61" t="s">
        <v>5469</v>
      </c>
      <c r="E243" s="61" t="s">
        <v>4577</v>
      </c>
      <c r="F243" s="61" t="s">
        <v>4685</v>
      </c>
      <c r="G243" s="60" t="s">
        <v>5470</v>
      </c>
      <c r="H243" s="61" t="n">
        <v>540</v>
      </c>
    </row>
    <row r="244" ht="28.5" customHeight="1">
      <c r="A244" s="57" t="s">
        <v>5471</v>
      </c>
      <c r="B244" s="20" t="s">
        <v>3380</v>
      </c>
      <c r="C244" s="60" t="s">
        <v>3385</v>
      </c>
      <c r="D244" s="61" t="s">
        <v>5472</v>
      </c>
      <c r="E244" s="61" t="s">
        <v>4577</v>
      </c>
      <c r="F244" s="61" t="s">
        <v>4578</v>
      </c>
      <c r="G244" s="60" t="s">
        <v>5473</v>
      </c>
      <c r="H244" s="61" t="n">
        <v>3</v>
      </c>
    </row>
    <row r="245" ht="28.5" customHeight="1">
      <c r="A245" s="57" t="s">
        <v>5474</v>
      </c>
      <c r="B245" s="20" t="s">
        <v>1228</v>
      </c>
      <c r="C245" s="60" t="s">
        <v>1233</v>
      </c>
      <c r="D245" s="60" t="s">
        <v>5475</v>
      </c>
      <c r="E245" s="60" t="s">
        <v>4644</v>
      </c>
      <c r="F245" s="60" t="s">
        <v>4716</v>
      </c>
      <c r="G245" s="60" t="s">
        <v>5474</v>
      </c>
      <c r="H245" s="60"/>
      <c r="I245" s="60"/>
      <c r="J245" s="20"/>
      <c r="K245" s="20"/>
      <c r="L245" s="20"/>
      <c r="M245" s="20"/>
    </row>
    <row r="246" ht="42.75" customHeight="1">
      <c r="A246" s="57" t="s">
        <v>5476</v>
      </c>
      <c r="B246" s="20" t="s">
        <v>5477</v>
      </c>
      <c r="C246" s="60" t="s">
        <v>5478</v>
      </c>
      <c r="D246" s="61" t="s">
        <v>4830</v>
      </c>
      <c r="E246" s="61" t="s">
        <v>4533</v>
      </c>
      <c r="F246" s="61" t="s">
        <v>4571</v>
      </c>
      <c r="G246" s="60" t="s">
        <v>5479</v>
      </c>
      <c r="I246" s="61" t="s">
        <v>5480</v>
      </c>
      <c r="J246" s="20"/>
      <c r="K246" s="20"/>
      <c r="L246" s="20"/>
      <c r="M246" s="20"/>
    </row>
    <row r="247" ht="28.5" customHeight="1">
      <c r="A247" s="57" t="s">
        <v>5481</v>
      </c>
      <c r="B247" s="20" t="s">
        <v>1176</v>
      </c>
      <c r="C247" s="60" t="s">
        <v>5482</v>
      </c>
      <c r="D247" s="60" t="s">
        <v>4624</v>
      </c>
      <c r="E247" s="60" t="s">
        <v>4504</v>
      </c>
      <c r="F247" s="60" t="s">
        <v>4625</v>
      </c>
      <c r="G247" s="60" t="s">
        <v>5483</v>
      </c>
      <c r="H247" s="60" t="n">
        <v>4215</v>
      </c>
      <c r="I247" s="60"/>
      <c r="J247" s="20"/>
      <c r="K247" s="20"/>
      <c r="L247" s="20"/>
      <c r="M247" s="20"/>
    </row>
    <row r="248" ht="28.5" customHeight="1">
      <c r="A248" s="57" t="s">
        <v>5484</v>
      </c>
      <c r="B248" s="20" t="s">
        <v>1249</v>
      </c>
      <c r="C248" s="60" t="s">
        <v>1252</v>
      </c>
      <c r="D248" s="60" t="s">
        <v>5485</v>
      </c>
      <c r="E248" s="60" t="s">
        <v>4557</v>
      </c>
      <c r="F248" s="60" t="s">
        <v>4558</v>
      </c>
      <c r="G248" s="60" t="s">
        <v>5486</v>
      </c>
      <c r="H248" s="60"/>
      <c r="I248" s="60"/>
      <c r="J248" s="20"/>
      <c r="K248" s="20"/>
      <c r="L248" s="20"/>
      <c r="M248" s="20"/>
    </row>
    <row r="249">
      <c r="A249" s="57" t="s">
        <v>5487</v>
      </c>
      <c r="B249" s="20" t="s">
        <v>2814</v>
      </c>
      <c r="C249" s="60" t="s">
        <v>5487</v>
      </c>
      <c r="D249" s="61" t="s">
        <v>4888</v>
      </c>
      <c r="E249" s="61" t="s">
        <v>4577</v>
      </c>
      <c r="F249" s="61" t="s">
        <v>4783</v>
      </c>
      <c r="G249" s="60" t="s">
        <v>5488</v>
      </c>
    </row>
    <row r="250" ht="28.5" customHeight="1">
      <c r="A250" s="57" t="s">
        <v>5489</v>
      </c>
      <c r="B250" s="20" t="s">
        <v>5490</v>
      </c>
      <c r="C250" s="60" t="s">
        <v>3215</v>
      </c>
      <c r="D250" s="61" t="s">
        <v>5071</v>
      </c>
      <c r="E250" s="61" t="s">
        <v>4577</v>
      </c>
      <c r="F250" s="61" t="s">
        <v>4578</v>
      </c>
      <c r="G250" s="60" t="s">
        <v>5491</v>
      </c>
    </row>
    <row r="251" ht="28.5" customHeight="1">
      <c r="A251" s="57" t="s">
        <v>5492</v>
      </c>
      <c r="B251" s="20" t="s">
        <v>1470</v>
      </c>
      <c r="C251" s="60" t="s">
        <v>1474</v>
      </c>
      <c r="D251" s="60" t="s">
        <v>5493</v>
      </c>
      <c r="E251" s="60" t="s">
        <v>4577</v>
      </c>
      <c r="F251" s="60" t="s">
        <v>4790</v>
      </c>
      <c r="G251" s="60" t="s">
        <v>5492</v>
      </c>
      <c r="H251" s="60"/>
      <c r="I251" s="60"/>
      <c r="J251" s="20"/>
      <c r="K251" s="20"/>
      <c r="L251" s="20"/>
      <c r="M251" s="20"/>
    </row>
    <row r="252">
      <c r="A252" s="57" t="s">
        <v>5494</v>
      </c>
      <c r="B252" s="20" t="s">
        <v>997</v>
      </c>
      <c r="C252" s="60" t="s">
        <v>5495</v>
      </c>
      <c r="D252" s="60" t="s">
        <v>5496</v>
      </c>
      <c r="E252" s="60" t="s">
        <v>4546</v>
      </c>
      <c r="F252" s="60" t="s">
        <v>4619</v>
      </c>
      <c r="G252" s="60" t="s">
        <v>5494</v>
      </c>
      <c r="H252" s="60"/>
      <c r="I252" s="60"/>
      <c r="J252" s="20"/>
      <c r="K252" s="20"/>
      <c r="L252" s="20"/>
      <c r="M252" s="20"/>
    </row>
    <row r="253">
      <c r="A253" s="57" t="s">
        <v>895</v>
      </c>
      <c r="B253" s="20" t="s">
        <v>891</v>
      </c>
      <c r="C253" s="60" t="s">
        <v>895</v>
      </c>
      <c r="D253" s="60" t="s">
        <v>5285</v>
      </c>
      <c r="E253" s="60" t="s">
        <v>4597</v>
      </c>
      <c r="F253" s="60" t="s">
        <v>4660</v>
      </c>
      <c r="G253" s="60" t="s">
        <v>5497</v>
      </c>
      <c r="H253" s="60"/>
      <c r="I253" s="60"/>
      <c r="J253" s="20"/>
      <c r="K253" s="20"/>
      <c r="L253" s="20"/>
      <c r="M253" s="20"/>
    </row>
    <row r="254" ht="28.5" customHeight="1">
      <c r="A254" s="57" t="s">
        <v>5498</v>
      </c>
      <c r="B254" s="20" t="s">
        <v>1234</v>
      </c>
      <c r="C254" s="60" t="s">
        <v>5499</v>
      </c>
      <c r="D254" s="60" t="s">
        <v>4715</v>
      </c>
      <c r="E254" s="60" t="s">
        <v>4644</v>
      </c>
      <c r="F254" s="60" t="s">
        <v>4716</v>
      </c>
      <c r="G254" s="60" t="s">
        <v>5498</v>
      </c>
      <c r="H254" s="60"/>
      <c r="I254" s="60"/>
      <c r="J254" s="20"/>
      <c r="K254" s="20"/>
      <c r="L254" s="20"/>
      <c r="M254" s="20"/>
    </row>
    <row r="255" ht="28.5" customHeight="1">
      <c r="A255" s="57" t="s">
        <v>5500</v>
      </c>
      <c r="B255" s="20" t="s">
        <v>1254</v>
      </c>
      <c r="C255" s="60" t="s">
        <v>1259</v>
      </c>
      <c r="D255" s="60" t="s">
        <v>5475</v>
      </c>
      <c r="E255" s="60" t="s">
        <v>4644</v>
      </c>
      <c r="F255" s="60" t="s">
        <v>4716</v>
      </c>
      <c r="G255" s="60" t="s">
        <v>5500</v>
      </c>
      <c r="H255" s="60"/>
      <c r="I255" s="60"/>
      <c r="J255" s="20"/>
      <c r="K255" s="20"/>
      <c r="L255" s="20"/>
      <c r="M255" s="20"/>
    </row>
    <row r="256" ht="28.5" customHeight="1">
      <c r="A256" s="57" t="s">
        <v>5501</v>
      </c>
      <c r="B256" s="3" t="s">
        <v>1435</v>
      </c>
      <c r="C256" s="60" t="s">
        <v>5502</v>
      </c>
      <c r="D256" s="61" t="s">
        <v>4684</v>
      </c>
      <c r="E256" s="61" t="s">
        <v>4577</v>
      </c>
      <c r="F256" s="61" t="s">
        <v>4685</v>
      </c>
      <c r="G256" s="60" t="s">
        <v>5501</v>
      </c>
    </row>
    <row r="257" ht="28.5" customHeight="1">
      <c r="A257" s="57" t="s">
        <v>5503</v>
      </c>
      <c r="B257" s="20" t="s">
        <v>3403</v>
      </c>
      <c r="C257" s="60" t="s">
        <v>5504</v>
      </c>
      <c r="D257" s="61" t="s">
        <v>5071</v>
      </c>
      <c r="E257" s="61" t="s">
        <v>4577</v>
      </c>
      <c r="F257" s="61" t="s">
        <v>4578</v>
      </c>
      <c r="G257" s="60" t="s">
        <v>5503</v>
      </c>
    </row>
    <row r="258" ht="42.75" customHeight="1">
      <c r="A258" s="57" t="s">
        <v>5505</v>
      </c>
      <c r="B258" s="20" t="s">
        <v>3399</v>
      </c>
      <c r="C258" s="60" t="s">
        <v>3402</v>
      </c>
      <c r="D258" s="61" t="s">
        <v>5071</v>
      </c>
      <c r="E258" s="61" t="s">
        <v>4577</v>
      </c>
      <c r="F258" s="61" t="s">
        <v>4578</v>
      </c>
      <c r="G258" s="60" t="s">
        <v>5505</v>
      </c>
    </row>
    <row r="259" ht="42.75" customHeight="1">
      <c r="A259" s="57" t="s">
        <v>5506</v>
      </c>
      <c r="B259" s="20" t="s">
        <v>3233</v>
      </c>
      <c r="C259" s="60" t="s">
        <v>5506</v>
      </c>
      <c r="D259" s="61" t="s">
        <v>5071</v>
      </c>
      <c r="E259" s="61" t="s">
        <v>4577</v>
      </c>
      <c r="F259" s="61" t="s">
        <v>4578</v>
      </c>
      <c r="G259" s="60" t="s">
        <v>5506</v>
      </c>
    </row>
    <row r="260" ht="42.75" customHeight="1">
      <c r="A260" s="57" t="s">
        <v>5507</v>
      </c>
      <c r="B260" s="20" t="s">
        <v>901</v>
      </c>
      <c r="C260" s="60" t="s">
        <v>5507</v>
      </c>
      <c r="D260" s="60" t="s">
        <v>5285</v>
      </c>
      <c r="E260" s="60" t="s">
        <v>4597</v>
      </c>
      <c r="F260" s="60" t="s">
        <v>4660</v>
      </c>
      <c r="G260" s="60" t="s">
        <v>5508</v>
      </c>
      <c r="H260" s="60"/>
      <c r="I260" s="60"/>
      <c r="J260" s="20"/>
      <c r="K260" s="20"/>
      <c r="L260" s="20"/>
      <c r="M260" s="20"/>
    </row>
    <row r="261" ht="28.5" customHeight="1">
      <c r="A261" s="57" t="s">
        <v>5509</v>
      </c>
      <c r="B261" s="20" t="s">
        <v>5510</v>
      </c>
      <c r="C261" s="60" t="s">
        <v>5511</v>
      </c>
      <c r="D261" s="60" t="s">
        <v>4684</v>
      </c>
      <c r="E261" s="60" t="s">
        <v>4577</v>
      </c>
      <c r="F261" s="60" t="s">
        <v>4685</v>
      </c>
      <c r="G261" s="60" t="s">
        <v>5509</v>
      </c>
      <c r="H261" s="60"/>
      <c r="I261" s="60"/>
      <c r="J261" s="20"/>
      <c r="K261" s="20"/>
      <c r="L261" s="20"/>
      <c r="M261" s="20"/>
    </row>
    <row r="262" ht="28.5" customHeight="1">
      <c r="A262" s="57" t="s">
        <v>5512</v>
      </c>
      <c r="B262" s="20" t="s">
        <v>315</v>
      </c>
      <c r="C262" s="60" t="s">
        <v>5513</v>
      </c>
      <c r="D262" s="60" t="s">
        <v>5514</v>
      </c>
      <c r="E262" s="60" t="s">
        <v>4533</v>
      </c>
      <c r="F262" s="60" t="s">
        <v>5187</v>
      </c>
      <c r="G262" s="60" t="s">
        <v>5508</v>
      </c>
      <c r="H262" s="60"/>
      <c r="I262" s="60"/>
      <c r="J262" s="20"/>
      <c r="K262" s="20"/>
      <c r="L262" s="20"/>
      <c r="M262" s="20"/>
    </row>
    <row r="263">
      <c r="A263" s="57" t="s">
        <v>5515</v>
      </c>
      <c r="B263" s="20" t="s">
        <v>2911</v>
      </c>
      <c r="C263" s="60" t="s">
        <v>5515</v>
      </c>
      <c r="D263" s="61" t="s">
        <v>5516</v>
      </c>
      <c r="E263" s="61" t="s">
        <v>4577</v>
      </c>
      <c r="F263" s="61" t="s">
        <v>5132</v>
      </c>
      <c r="G263" s="60" t="s">
        <v>5517</v>
      </c>
    </row>
    <row r="264">
      <c r="A264" s="57" t="s">
        <v>5518</v>
      </c>
      <c r="B264" s="20" t="s">
        <v>1031</v>
      </c>
      <c r="C264" s="60" t="s">
        <v>1034</v>
      </c>
      <c r="D264" s="60" t="s">
        <v>4503</v>
      </c>
      <c r="E264" s="60" t="s">
        <v>4504</v>
      </c>
      <c r="F264" s="60" t="s">
        <v>4505</v>
      </c>
      <c r="G264" s="60" t="s">
        <v>5519</v>
      </c>
      <c r="H264" s="60"/>
      <c r="I264" s="60"/>
      <c r="J264" s="20"/>
      <c r="K264" s="20"/>
      <c r="L264" s="20"/>
      <c r="M264" s="20"/>
    </row>
    <row r="265" ht="28.5" customHeight="1">
      <c r="A265" s="57" t="s">
        <v>3188</v>
      </c>
      <c r="B265" s="20" t="s">
        <v>3183</v>
      </c>
      <c r="C265" s="60" t="s">
        <v>3188</v>
      </c>
      <c r="D265" s="61" t="s">
        <v>4699</v>
      </c>
      <c r="E265" s="61" t="s">
        <v>4644</v>
      </c>
      <c r="F265" s="61" t="s">
        <v>4700</v>
      </c>
      <c r="G265" s="60" t="s">
        <v>5520</v>
      </c>
    </row>
    <row r="266" ht="57" customHeight="1">
      <c r="A266" s="57" t="s">
        <v>3221</v>
      </c>
      <c r="B266" s="20" t="s">
        <v>3216</v>
      </c>
      <c r="C266" s="60" t="s">
        <v>3221</v>
      </c>
      <c r="D266" s="61" t="s">
        <v>5521</v>
      </c>
      <c r="E266" s="61" t="s">
        <v>4577</v>
      </c>
      <c r="F266" s="61" t="s">
        <v>4578</v>
      </c>
      <c r="G266" s="60" t="s">
        <v>3221</v>
      </c>
    </row>
    <row r="267" ht="57" customHeight="1">
      <c r="A267" s="57" t="s">
        <v>3193</v>
      </c>
      <c r="B267" s="20" t="s">
        <v>3189</v>
      </c>
      <c r="C267" s="60" t="s">
        <v>3193</v>
      </c>
      <c r="D267" s="61" t="s">
        <v>5071</v>
      </c>
      <c r="E267" s="61" t="s">
        <v>4577</v>
      </c>
      <c r="F267" s="61" t="s">
        <v>4578</v>
      </c>
      <c r="G267" s="60" t="s">
        <v>3193</v>
      </c>
    </row>
    <row r="268" ht="28.5" customHeight="1">
      <c r="A268" s="57" t="s">
        <v>5522</v>
      </c>
      <c r="B268" s="20" t="s">
        <v>1243</v>
      </c>
      <c r="C268" s="60" t="s">
        <v>1248</v>
      </c>
      <c r="D268" s="60" t="s">
        <v>5523</v>
      </c>
      <c r="E268" s="60" t="s">
        <v>4504</v>
      </c>
      <c r="F268" s="60" t="s">
        <v>4610</v>
      </c>
      <c r="G268" s="60" t="s">
        <v>5524</v>
      </c>
      <c r="H268" s="60" t="n">
        <v>115</v>
      </c>
      <c r="I268" s="60"/>
      <c r="J268" s="20"/>
      <c r="K268" s="20"/>
      <c r="L268" s="20"/>
      <c r="M268" s="20"/>
    </row>
    <row r="269" ht="28.5" customHeight="1">
      <c r="A269" s="56" t="s">
        <v>5525</v>
      </c>
      <c r="B269" s="20" t="s">
        <v>3255</v>
      </c>
      <c r="C269" s="60" t="s">
        <v>3259</v>
      </c>
      <c r="D269" s="61" t="s">
        <v>5131</v>
      </c>
      <c r="E269" s="61" t="s">
        <v>4577</v>
      </c>
      <c r="F269" s="61" t="s">
        <v>5132</v>
      </c>
      <c r="G269" s="60" t="s">
        <v>4590</v>
      </c>
      <c r="H269" s="61" t="n">
        <v>10</v>
      </c>
    </row>
    <row r="270">
      <c r="A270" s="56" t="s">
        <v>5526</v>
      </c>
      <c r="B270" s="20" t="s">
        <v>484</v>
      </c>
      <c r="C270" s="60" t="s">
        <v>5527</v>
      </c>
      <c r="D270" s="60" t="s">
        <v>4898</v>
      </c>
      <c r="E270" s="60" t="s">
        <v>4533</v>
      </c>
      <c r="F270" s="60" t="s">
        <v>4534</v>
      </c>
      <c r="G270" s="60" t="s">
        <v>4590</v>
      </c>
      <c r="H270" s="60" t="n">
        <v>4565</v>
      </c>
      <c r="I270" s="61" t="s">
        <v>5528</v>
      </c>
      <c r="J270" s="20"/>
      <c r="K270" s="20"/>
      <c r="L270" s="20"/>
      <c r="M270" s="20"/>
    </row>
    <row r="271" ht="28.5" customHeight="1">
      <c r="A271" s="56" t="s">
        <v>5529</v>
      </c>
      <c r="B271" s="20" t="s">
        <v>3592</v>
      </c>
      <c r="C271" s="60" t="s">
        <v>5530</v>
      </c>
      <c r="D271" s="61" t="s">
        <v>4724</v>
      </c>
      <c r="E271" s="61" t="s">
        <v>4533</v>
      </c>
      <c r="F271" s="61" t="s">
        <v>4571</v>
      </c>
      <c r="G271" s="60" t="s">
        <v>5531</v>
      </c>
      <c r="H271" s="61" t="n">
        <v>52</v>
      </c>
    </row>
    <row r="272">
      <c r="A272" s="56" t="s">
        <v>5532</v>
      </c>
      <c r="B272" s="20" t="s">
        <v>492</v>
      </c>
      <c r="C272" s="60" t="s">
        <v>5533</v>
      </c>
      <c r="D272" s="60" t="s">
        <v>4630</v>
      </c>
      <c r="E272" s="60" t="s">
        <v>4533</v>
      </c>
      <c r="F272" s="60" t="s">
        <v>4534</v>
      </c>
      <c r="G272" s="60" t="s">
        <v>4590</v>
      </c>
      <c r="H272" s="60" t="n">
        <v>6849</v>
      </c>
      <c r="I272" s="60"/>
      <c r="J272" s="20"/>
      <c r="K272" s="20"/>
      <c r="L272" s="20"/>
      <c r="M272" s="20"/>
    </row>
    <row r="273">
      <c r="A273" s="56" t="s">
        <v>5534</v>
      </c>
      <c r="B273" s="20" t="s">
        <v>2990</v>
      </c>
      <c r="C273" s="60" t="s">
        <v>2995</v>
      </c>
      <c r="D273" s="61" t="s">
        <v>5535</v>
      </c>
      <c r="E273" s="61" t="s">
        <v>4533</v>
      </c>
      <c r="F273" s="61" t="s">
        <v>5093</v>
      </c>
      <c r="G273" s="60" t="s">
        <v>5536</v>
      </c>
      <c r="H273" s="61" t="n">
        <v>2379</v>
      </c>
    </row>
    <row r="274">
      <c r="A274" s="56" t="s">
        <v>5537</v>
      </c>
      <c r="B274" s="20" t="s">
        <v>471</v>
      </c>
      <c r="C274" s="61" t="s">
        <v>5538</v>
      </c>
      <c r="D274" s="60" t="s">
        <v>5514</v>
      </c>
      <c r="E274" s="60" t="s">
        <v>4533</v>
      </c>
      <c r="F274" s="60" t="s">
        <v>5187</v>
      </c>
      <c r="G274" s="60" t="s">
        <v>5539</v>
      </c>
      <c r="H274" s="60" t="n">
        <v>2691</v>
      </c>
      <c r="I274" s="60" t="s">
        <v>5540</v>
      </c>
      <c r="J274" s="20"/>
      <c r="K274" s="20"/>
      <c r="L274" s="20"/>
      <c r="M274" s="20"/>
    </row>
    <row r="275" ht="28.5" customHeight="1">
      <c r="A275" s="56" t="s">
        <v>5541</v>
      </c>
      <c r="B275" s="20" t="s">
        <v>3222</v>
      </c>
      <c r="C275" s="60" t="s">
        <v>3227</v>
      </c>
      <c r="D275" s="61" t="s">
        <v>5542</v>
      </c>
      <c r="E275" s="61" t="s">
        <v>4577</v>
      </c>
      <c r="F275" s="61" t="s">
        <v>4578</v>
      </c>
      <c r="G275" s="60" t="s">
        <v>5543</v>
      </c>
      <c r="H275" s="61" t="n">
        <v>87</v>
      </c>
    </row>
    <row r="276">
      <c r="A276" s="20" t="s">
        <v>5544</v>
      </c>
      <c r="B276" s="20" t="s">
        <v>202</v>
      </c>
      <c r="C276" s="60" t="s">
        <v>5545</v>
      </c>
      <c r="D276" s="60" t="s">
        <v>4690</v>
      </c>
      <c r="E276" s="60" t="s">
        <v>4533</v>
      </c>
      <c r="F276" s="60" t="s">
        <v>4534</v>
      </c>
      <c r="G276" s="60" t="s">
        <v>5546</v>
      </c>
      <c r="H276" s="60" t="n">
        <v>345</v>
      </c>
      <c r="I276" s="60"/>
      <c r="J276" s="20"/>
      <c r="K276" s="20"/>
      <c r="L276" s="20"/>
      <c r="M276" s="20"/>
    </row>
    <row r="277" ht="28.5" customHeight="1">
      <c r="A277" s="20" t="s">
        <v>5547</v>
      </c>
      <c r="B277" s="20" t="s">
        <v>202</v>
      </c>
      <c r="C277" s="60" t="s">
        <v>5548</v>
      </c>
      <c r="D277" s="60" t="s">
        <v>4907</v>
      </c>
      <c r="E277" s="60" t="s">
        <v>4597</v>
      </c>
      <c r="F277" s="60" t="s">
        <v>4598</v>
      </c>
      <c r="G277" s="60" t="s">
        <v>5549</v>
      </c>
      <c r="H277" s="60" t="n">
        <v>1350</v>
      </c>
      <c r="I277" s="60" t="s">
        <v>5550</v>
      </c>
      <c r="J277" s="20"/>
      <c r="K277" s="20"/>
      <c r="L277" s="20"/>
      <c r="M277" s="20"/>
    </row>
    <row r="278">
      <c r="A278" s="20" t="s">
        <v>5551</v>
      </c>
      <c r="B278" s="20" t="s">
        <v>202</v>
      </c>
      <c r="C278" s="60" t="s">
        <v>5552</v>
      </c>
      <c r="D278" s="60" t="s">
        <v>5234</v>
      </c>
      <c r="E278" s="60" t="s">
        <v>4557</v>
      </c>
      <c r="F278" s="60" t="s">
        <v>4558</v>
      </c>
      <c r="G278" s="60" t="s">
        <v>5553</v>
      </c>
      <c r="H278" s="60" t="n">
        <v>216</v>
      </c>
      <c r="I278" s="60" t="s">
        <v>5554</v>
      </c>
      <c r="J278" s="20"/>
      <c r="K278" s="20"/>
      <c r="L278" s="20"/>
      <c r="M278" s="20"/>
    </row>
    <row r="279">
      <c r="A279" s="20" t="s">
        <v>5555</v>
      </c>
      <c r="B279" s="20" t="s">
        <v>202</v>
      </c>
      <c r="C279" s="60" t="s">
        <v>5556</v>
      </c>
      <c r="D279" s="60" t="s">
        <v>4664</v>
      </c>
      <c r="E279" s="60" t="s">
        <v>4546</v>
      </c>
      <c r="F279" s="60" t="s">
        <v>4665</v>
      </c>
      <c r="G279" s="60" t="s">
        <v>5557</v>
      </c>
      <c r="H279" s="60" t="n">
        <v>674</v>
      </c>
      <c r="I279" s="60" t="s">
        <v>5558</v>
      </c>
      <c r="J279" s="20"/>
      <c r="K279" s="20"/>
      <c r="L279" s="20"/>
      <c r="M279" s="20"/>
    </row>
    <row r="280">
      <c r="A280" s="20" t="s">
        <v>5559</v>
      </c>
      <c r="B280" s="20" t="s">
        <v>202</v>
      </c>
      <c r="C280" s="60" t="s">
        <v>5560</v>
      </c>
      <c r="D280" s="60" t="s">
        <v>4664</v>
      </c>
      <c r="E280" s="60" t="s">
        <v>4546</v>
      </c>
      <c r="F280" s="60" t="s">
        <v>4665</v>
      </c>
      <c r="G280" s="60" t="s">
        <v>5561</v>
      </c>
      <c r="H280" s="60" t="n">
        <v>1005</v>
      </c>
      <c r="I280" s="60" t="s">
        <v>5562</v>
      </c>
      <c r="J280" s="20"/>
      <c r="K280" s="20"/>
      <c r="L280" s="20"/>
      <c r="M280" s="20"/>
    </row>
    <row r="281">
      <c r="A281" s="20" t="s">
        <v>5563</v>
      </c>
      <c r="B281" s="20" t="s">
        <v>1675</v>
      </c>
      <c r="C281" s="60" t="s">
        <v>5563</v>
      </c>
      <c r="D281" s="60" t="s">
        <v>1832</v>
      </c>
      <c r="E281" s="60" t="s">
        <v>4504</v>
      </c>
      <c r="F281" s="60" t="s">
        <v>4509</v>
      </c>
      <c r="G281" s="60" t="s">
        <v>5564</v>
      </c>
      <c r="H281" s="60"/>
      <c r="I281" s="60"/>
      <c r="J281" s="20"/>
      <c r="K281" s="20"/>
      <c r="L281" s="20"/>
      <c r="M281" s="20"/>
    </row>
    <row r="282" ht="28.5" customHeight="1">
      <c r="A282" s="20" t="s">
        <v>5565</v>
      </c>
      <c r="B282" s="20" t="s">
        <v>5566</v>
      </c>
      <c r="C282" s="60" t="s">
        <v>5567</v>
      </c>
      <c r="D282" s="60" t="s">
        <v>1832</v>
      </c>
      <c r="E282" s="60" t="s">
        <v>4504</v>
      </c>
      <c r="F282" s="60" t="s">
        <v>4509</v>
      </c>
      <c r="G282" s="60" t="s">
        <v>5568</v>
      </c>
      <c r="H282" s="60"/>
      <c r="I282" s="60"/>
      <c r="J282" s="20"/>
      <c r="K282" s="20"/>
      <c r="L282" s="20"/>
      <c r="M282" s="20"/>
    </row>
    <row r="283">
      <c r="A283" s="20" t="s">
        <v>5569</v>
      </c>
      <c r="B283" s="20" t="s">
        <v>1035</v>
      </c>
      <c r="C283" s="60" t="s">
        <v>1044</v>
      </c>
      <c r="D283" s="60" t="s">
        <v>4503</v>
      </c>
      <c r="E283" s="60" t="s">
        <v>4504</v>
      </c>
      <c r="F283" s="60" t="s">
        <v>4505</v>
      </c>
      <c r="G283" s="60" t="s">
        <v>5570</v>
      </c>
      <c r="H283" s="60" t="n">
        <v>191</v>
      </c>
      <c r="I283" s="60"/>
      <c r="J283" s="20"/>
      <c r="K283" s="20"/>
      <c r="L283" s="20"/>
      <c r="M283" s="20"/>
    </row>
    <row r="284" ht="57" customHeight="1">
      <c r="A284" s="20" t="s">
        <v>5571</v>
      </c>
      <c r="B284" s="20" t="s">
        <v>1662</v>
      </c>
      <c r="C284" s="60" t="s">
        <v>1670</v>
      </c>
      <c r="D284" s="60" t="s">
        <v>1832</v>
      </c>
      <c r="E284" s="60" t="s">
        <v>4504</v>
      </c>
      <c r="F284" s="60" t="s">
        <v>4509</v>
      </c>
      <c r="G284" s="60" t="s">
        <v>5572</v>
      </c>
      <c r="H284" s="60"/>
      <c r="I284" s="60"/>
      <c r="J284" s="20"/>
      <c r="K284" s="20"/>
      <c r="L284" s="20"/>
      <c r="M284" s="20"/>
    </row>
    <row r="285" ht="57" customHeight="1">
      <c r="A285" s="20" t="s">
        <v>3254</v>
      </c>
      <c r="B285" s="20" t="s">
        <v>3251</v>
      </c>
      <c r="C285" s="60" t="s">
        <v>3254</v>
      </c>
      <c r="D285" s="61" t="s">
        <v>5573</v>
      </c>
      <c r="E285" s="61" t="s">
        <v>4577</v>
      </c>
      <c r="F285" s="61" t="s">
        <v>4578</v>
      </c>
      <c r="G285" s="60" t="s">
        <v>5574</v>
      </c>
    </row>
    <row r="286" ht="42.75" customHeight="1">
      <c r="A286" s="20" t="s">
        <v>5575</v>
      </c>
      <c r="B286" s="20" t="s">
        <v>2904</v>
      </c>
      <c r="C286" s="60" t="s">
        <v>2907</v>
      </c>
      <c r="D286" s="61" t="s">
        <v>5576</v>
      </c>
      <c r="E286" s="61" t="s">
        <v>4577</v>
      </c>
      <c r="F286" s="61" t="s">
        <v>5132</v>
      </c>
      <c r="G286" s="60" t="s">
        <v>5577</v>
      </c>
    </row>
    <row r="287" ht="42.75" customHeight="1">
      <c r="A287" s="20" t="s">
        <v>5578</v>
      </c>
      <c r="B287" s="20" t="s">
        <v>1421</v>
      </c>
      <c r="C287" s="60" t="s">
        <v>5579</v>
      </c>
      <c r="D287" s="60" t="s">
        <v>5345</v>
      </c>
      <c r="E287" s="60" t="s">
        <v>4577</v>
      </c>
      <c r="F287" s="60" t="s">
        <v>4783</v>
      </c>
      <c r="G287" s="60" t="s">
        <v>5580</v>
      </c>
      <c r="H287" s="60"/>
      <c r="I287" s="60"/>
      <c r="J287" s="20"/>
      <c r="K287" s="20"/>
      <c r="L287" s="20"/>
      <c r="M287" s="20"/>
    </row>
    <row r="288" ht="42.75" customHeight="1">
      <c r="A288" s="20" t="s">
        <v>5581</v>
      </c>
      <c r="B288" s="20" t="s">
        <v>1426</v>
      </c>
      <c r="C288" s="60" t="s">
        <v>1429</v>
      </c>
      <c r="D288" s="60" t="s">
        <v>4888</v>
      </c>
      <c r="E288" s="60" t="s">
        <v>4577</v>
      </c>
      <c r="F288" s="60" t="s">
        <v>4783</v>
      </c>
      <c r="G288" s="60" t="s">
        <v>5582</v>
      </c>
      <c r="H288" s="60"/>
      <c r="I288" s="60"/>
      <c r="J288" s="20"/>
      <c r="K288" s="20"/>
      <c r="L288" s="20"/>
      <c r="M288" s="20"/>
    </row>
    <row r="289">
      <c r="A289" s="20" t="s">
        <v>5583</v>
      </c>
      <c r="B289" s="20" t="s">
        <v>896</v>
      </c>
      <c r="C289" s="60" t="s">
        <v>899</v>
      </c>
      <c r="D289" s="60" t="s">
        <v>5056</v>
      </c>
      <c r="E289" s="60" t="s">
        <v>4597</v>
      </c>
      <c r="F289" s="60" t="s">
        <v>4660</v>
      </c>
      <c r="G289" s="60" t="s">
        <v>5583</v>
      </c>
      <c r="H289" s="60" t="n">
        <v>190</v>
      </c>
      <c r="I289" s="60"/>
      <c r="J289" s="20"/>
      <c r="K289" s="20"/>
      <c r="L289" s="20"/>
      <c r="M289" s="20"/>
    </row>
    <row r="290">
      <c r="A290" s="20" t="s">
        <v>1674</v>
      </c>
      <c r="B290" s="20" t="s">
        <v>1671</v>
      </c>
      <c r="C290" s="60" t="s">
        <v>1674</v>
      </c>
      <c r="D290" s="60" t="s">
        <v>1832</v>
      </c>
      <c r="E290" s="60" t="s">
        <v>4504</v>
      </c>
      <c r="F290" s="60" t="s">
        <v>4509</v>
      </c>
      <c r="G290" s="60" t="s">
        <v>5584</v>
      </c>
      <c r="H290" s="60"/>
      <c r="I290" s="60"/>
      <c r="J290" s="20"/>
      <c r="K290" s="20"/>
      <c r="L290" s="20"/>
      <c r="M290" s="20"/>
    </row>
    <row r="291" ht="42.75" customHeight="1">
      <c r="A291" s="20" t="s">
        <v>5585</v>
      </c>
      <c r="B291" s="20" t="s">
        <v>3179</v>
      </c>
      <c r="C291" s="60" t="s">
        <v>3182</v>
      </c>
      <c r="D291" s="61" t="s">
        <v>5573</v>
      </c>
      <c r="E291" s="61" t="s">
        <v>4577</v>
      </c>
      <c r="F291" s="61" t="s">
        <v>4578</v>
      </c>
      <c r="G291" s="60" t="s">
        <v>5586</v>
      </c>
    </row>
    <row r="292" ht="28.5" customHeight="1">
      <c r="A292" s="20" t="s">
        <v>3527</v>
      </c>
      <c r="B292" s="20" t="s">
        <v>3522</v>
      </c>
      <c r="C292" s="60" t="s">
        <v>5587</v>
      </c>
      <c r="D292" s="61" t="s">
        <v>5588</v>
      </c>
      <c r="E292" s="61" t="s">
        <v>4546</v>
      </c>
      <c r="F292" s="61" t="s">
        <v>4665</v>
      </c>
      <c r="G292" s="60" t="s">
        <v>5589</v>
      </c>
    </row>
    <row r="293" ht="42.75" customHeight="1">
      <c r="A293" s="20" t="s">
        <v>5590</v>
      </c>
      <c r="B293" s="20" t="s">
        <v>2900</v>
      </c>
      <c r="C293" s="60" t="s">
        <v>2903</v>
      </c>
      <c r="D293" s="61" t="s">
        <v>5576</v>
      </c>
      <c r="E293" s="61" t="s">
        <v>4577</v>
      </c>
      <c r="F293" s="61" t="s">
        <v>5132</v>
      </c>
      <c r="G293" s="60" t="s">
        <v>5591</v>
      </c>
    </row>
    <row r="294" ht="42.75" customHeight="1">
      <c r="A294" s="20" t="s">
        <v>5592</v>
      </c>
      <c r="B294" s="20" t="s">
        <v>3067</v>
      </c>
      <c r="C294" s="60" t="s">
        <v>3069</v>
      </c>
      <c r="D294" s="61" t="s">
        <v>4728</v>
      </c>
      <c r="E294" s="61" t="s">
        <v>4546</v>
      </c>
      <c r="F294" s="61" t="s">
        <v>4547</v>
      </c>
      <c r="G294" s="60" t="s">
        <v>5593</v>
      </c>
    </row>
    <row r="295" ht="28.5" customHeight="1">
      <c r="A295" s="20" t="s">
        <v>5594</v>
      </c>
      <c r="B295" s="20" t="s">
        <v>315</v>
      </c>
      <c r="C295" s="60" t="s">
        <v>5594</v>
      </c>
      <c r="D295" s="60" t="s">
        <v>5514</v>
      </c>
      <c r="E295" s="60" t="s">
        <v>4533</v>
      </c>
      <c r="F295" s="60" t="s">
        <v>5187</v>
      </c>
      <c r="G295" s="60" t="s">
        <v>5595</v>
      </c>
      <c r="H295" s="60"/>
      <c r="I295" s="61" t="s">
        <v>5596</v>
      </c>
      <c r="J295" s="20"/>
      <c r="K295" s="20"/>
      <c r="L295" s="20"/>
      <c r="M295" s="20"/>
    </row>
    <row r="296" ht="42.75" customHeight="1">
      <c r="A296" s="20" t="s">
        <v>5597</v>
      </c>
      <c r="B296" s="20" t="s">
        <v>3194</v>
      </c>
      <c r="C296" s="60" t="s">
        <v>5598</v>
      </c>
      <c r="D296" s="61" t="s">
        <v>5521</v>
      </c>
      <c r="E296" s="61" t="s">
        <v>4577</v>
      </c>
      <c r="F296" s="61" t="s">
        <v>4578</v>
      </c>
      <c r="G296" s="60" t="s">
        <v>5599</v>
      </c>
    </row>
    <row r="297" ht="42.75" customHeight="1">
      <c r="A297" s="20" t="s">
        <v>5600</v>
      </c>
      <c r="B297" s="20" t="s">
        <v>3342</v>
      </c>
      <c r="C297" s="60" t="s">
        <v>5601</v>
      </c>
      <c r="D297" s="61" t="s">
        <v>4843</v>
      </c>
      <c r="E297" s="61" t="s">
        <v>4577</v>
      </c>
      <c r="F297" s="61" t="s">
        <v>4578</v>
      </c>
      <c r="G297" s="60" t="s">
        <v>5602</v>
      </c>
      <c r="I297" s="61" t="s">
        <v>5603</v>
      </c>
    </row>
    <row r="298" ht="42.75" customHeight="1">
      <c r="A298" s="20" t="s">
        <v>5604</v>
      </c>
      <c r="B298" s="20" t="s">
        <v>1648</v>
      </c>
      <c r="C298" s="60" t="s">
        <v>1653</v>
      </c>
      <c r="D298" s="60" t="s">
        <v>4923</v>
      </c>
      <c r="E298" s="60" t="s">
        <v>4522</v>
      </c>
      <c r="F298" s="60" t="s">
        <v>4924</v>
      </c>
      <c r="G298" s="60" t="s">
        <v>5605</v>
      </c>
      <c r="H298" s="60"/>
      <c r="I298" s="60"/>
      <c r="J298" s="20"/>
      <c r="K298" s="20"/>
      <c r="L298" s="20"/>
      <c r="M298" s="20"/>
    </row>
    <row r="299" ht="28.5" customHeight="1">
      <c r="A299" s="20" t="s">
        <v>5606</v>
      </c>
      <c r="B299" s="20" t="s">
        <v>146</v>
      </c>
      <c r="C299" s="60" t="s">
        <v>5606</v>
      </c>
      <c r="D299" s="60" t="s">
        <v>4715</v>
      </c>
      <c r="E299" s="60" t="s">
        <v>4644</v>
      </c>
      <c r="F299" s="60" t="s">
        <v>4716</v>
      </c>
      <c r="G299" s="60" t="s">
        <v>5607</v>
      </c>
      <c r="H299" s="60"/>
      <c r="I299" s="60"/>
      <c r="J299" s="20"/>
      <c r="K299" s="20"/>
      <c r="L299" s="20"/>
      <c r="M299" s="20"/>
    </row>
    <row r="300" ht="42.75" customHeight="1">
      <c r="A300" s="20" t="s">
        <v>5608</v>
      </c>
      <c r="B300" s="20" t="s">
        <v>3174</v>
      </c>
      <c r="C300" s="60" t="s">
        <v>3178</v>
      </c>
      <c r="D300" s="61" t="s">
        <v>5573</v>
      </c>
      <c r="E300" s="61" t="s">
        <v>4577</v>
      </c>
      <c r="F300" s="61" t="s">
        <v>4578</v>
      </c>
      <c r="G300" s="60" t="s">
        <v>5609</v>
      </c>
    </row>
    <row r="301" ht="42.75" customHeight="1">
      <c r="A301" s="20" t="s">
        <v>5610</v>
      </c>
      <c r="B301" s="20" t="s">
        <v>1658</v>
      </c>
      <c r="C301" s="60" t="s">
        <v>1661</v>
      </c>
      <c r="D301" s="60" t="s">
        <v>5611</v>
      </c>
      <c r="E301" s="60" t="s">
        <v>4522</v>
      </c>
      <c r="F301" s="60" t="s">
        <v>4924</v>
      </c>
      <c r="G301" s="60" t="s">
        <v>5612</v>
      </c>
      <c r="H301" s="60"/>
      <c r="I301" s="60"/>
      <c r="J301" s="20"/>
      <c r="K301" s="20"/>
      <c r="L301" s="20"/>
      <c r="M301" s="20"/>
    </row>
    <row r="302" ht="57" customHeight="1">
      <c r="A302" s="20" t="s">
        <v>5613</v>
      </c>
      <c r="B302" s="20" t="s">
        <v>1624</v>
      </c>
      <c r="C302" s="60" t="s">
        <v>5614</v>
      </c>
      <c r="D302" s="60" t="s">
        <v>4923</v>
      </c>
      <c r="E302" s="60" t="s">
        <v>4522</v>
      </c>
      <c r="F302" s="60" t="s">
        <v>4924</v>
      </c>
      <c r="G302" s="60" t="s">
        <v>5615</v>
      </c>
      <c r="H302" s="60"/>
      <c r="I302" s="60"/>
      <c r="J302" s="20"/>
      <c r="K302" s="20"/>
      <c r="L302" s="20"/>
      <c r="M302" s="20"/>
    </row>
    <row r="303" ht="42.75" customHeight="1">
      <c r="A303" s="20" t="s">
        <v>5616</v>
      </c>
      <c r="B303" s="20" t="s">
        <v>1417</v>
      </c>
      <c r="C303" s="60" t="s">
        <v>5617</v>
      </c>
      <c r="D303" s="60" t="s">
        <v>5345</v>
      </c>
      <c r="E303" s="60" t="s">
        <v>4577</v>
      </c>
      <c r="F303" s="60" t="s">
        <v>4783</v>
      </c>
      <c r="G303" s="60" t="s">
        <v>5618</v>
      </c>
      <c r="H303" s="60"/>
      <c r="I303" s="60"/>
      <c r="J303" s="20"/>
      <c r="K303" s="20"/>
      <c r="L303" s="20"/>
      <c r="M303" s="20"/>
    </row>
    <row r="304" ht="28.5" customHeight="1">
      <c r="A304" s="20" t="s">
        <v>5619</v>
      </c>
      <c r="B304" s="20" t="s">
        <v>315</v>
      </c>
      <c r="C304" s="60" t="s">
        <v>5619</v>
      </c>
      <c r="D304" s="60" t="s">
        <v>5514</v>
      </c>
      <c r="E304" s="60" t="s">
        <v>4533</v>
      </c>
      <c r="F304" s="60" t="s">
        <v>5187</v>
      </c>
      <c r="G304" s="60" t="s">
        <v>5620</v>
      </c>
      <c r="H304" s="60"/>
      <c r="I304" s="60"/>
      <c r="J304" s="20"/>
      <c r="K304" s="20"/>
      <c r="L304" s="20"/>
      <c r="M304" s="20"/>
    </row>
    <row r="305" ht="28.5" customHeight="1">
      <c r="A305" s="20" t="s">
        <v>3534</v>
      </c>
      <c r="B305" s="20" t="s">
        <v>3529</v>
      </c>
      <c r="C305" s="60" t="s">
        <v>5621</v>
      </c>
      <c r="D305" s="61" t="s">
        <v>4545</v>
      </c>
      <c r="E305" s="61" t="s">
        <v>4546</v>
      </c>
      <c r="F305" s="61" t="s">
        <v>4547</v>
      </c>
      <c r="G305" s="60" t="s">
        <v>5622</v>
      </c>
    </row>
    <row r="306" ht="42.75" customHeight="1">
      <c r="A306" s="20" t="s">
        <v>5623</v>
      </c>
      <c r="B306" s="20" t="s">
        <v>3058</v>
      </c>
      <c r="C306" s="60" t="s">
        <v>3066</v>
      </c>
      <c r="D306" s="61" t="s">
        <v>4728</v>
      </c>
      <c r="E306" s="61" t="s">
        <v>4546</v>
      </c>
      <c r="F306" s="61" t="s">
        <v>4547</v>
      </c>
      <c r="G306" s="60" t="s">
        <v>5624</v>
      </c>
    </row>
    <row r="307" ht="42.75" customHeight="1">
      <c r="A307" s="20" t="s">
        <v>5625</v>
      </c>
      <c r="B307" s="20" t="s">
        <v>1641</v>
      </c>
      <c r="C307" s="60" t="s">
        <v>1647</v>
      </c>
      <c r="D307" s="60" t="s">
        <v>4923</v>
      </c>
      <c r="E307" s="60" t="s">
        <v>4522</v>
      </c>
      <c r="F307" s="60" t="s">
        <v>4924</v>
      </c>
      <c r="G307" s="60" t="s">
        <v>5626</v>
      </c>
      <c r="H307" s="60"/>
      <c r="I307" s="60"/>
      <c r="J307" s="20"/>
      <c r="K307" s="20"/>
      <c r="L307" s="20"/>
      <c r="M307" s="20"/>
    </row>
    <row r="308" ht="42.75" customHeight="1">
      <c r="A308" s="20" t="s">
        <v>5627</v>
      </c>
      <c r="B308" s="20" t="s">
        <v>1637</v>
      </c>
      <c r="C308" s="60" t="s">
        <v>1640</v>
      </c>
      <c r="D308" s="60" t="s">
        <v>4923</v>
      </c>
      <c r="E308" s="60" t="s">
        <v>4522</v>
      </c>
      <c r="F308" s="60" t="s">
        <v>4924</v>
      </c>
      <c r="G308" s="60" t="s">
        <v>5628</v>
      </c>
      <c r="H308" s="60"/>
      <c r="I308" s="60"/>
      <c r="J308" s="20"/>
      <c r="K308" s="20"/>
      <c r="L308" s="20"/>
      <c r="M308" s="20"/>
    </row>
    <row r="309" ht="57" customHeight="1">
      <c r="A309" s="20" t="s">
        <v>5629</v>
      </c>
      <c r="B309" s="20" t="s">
        <v>5630</v>
      </c>
      <c r="C309" s="60" t="s">
        <v>1224</v>
      </c>
      <c r="D309" s="60" t="s">
        <v>5261</v>
      </c>
      <c r="E309" s="60" t="s">
        <v>4504</v>
      </c>
      <c r="F309" s="60" t="s">
        <v>4625</v>
      </c>
      <c r="G309" s="60" t="s">
        <v>5631</v>
      </c>
      <c r="H309" s="60"/>
      <c r="I309" s="60"/>
      <c r="J309" s="20"/>
      <c r="K309" s="20"/>
      <c r="L309" s="20"/>
      <c r="M309" s="20"/>
    </row>
    <row r="310" ht="28.5" customHeight="1">
      <c r="A310" s="20" t="s">
        <v>5632</v>
      </c>
      <c r="B310" s="20" t="s">
        <v>3536</v>
      </c>
      <c r="C310" s="60" t="s">
        <v>5632</v>
      </c>
      <c r="D310" s="61" t="s">
        <v>4840</v>
      </c>
      <c r="E310" s="61" t="s">
        <v>4546</v>
      </c>
      <c r="F310" s="61" t="s">
        <v>4665</v>
      </c>
      <c r="G310" s="60" t="s">
        <v>5633</v>
      </c>
    </row>
    <row r="311" ht="28.5" customHeight="1">
      <c r="A311" s="20" t="s">
        <v>5634</v>
      </c>
      <c r="B311" s="20" t="s">
        <v>1903</v>
      </c>
      <c r="C311" s="60" t="s">
        <v>1907</v>
      </c>
      <c r="D311" s="60" t="s">
        <v>5144</v>
      </c>
      <c r="E311" s="60" t="s">
        <v>4504</v>
      </c>
      <c r="F311" s="60" t="s">
        <v>4509</v>
      </c>
      <c r="G311" s="60" t="s">
        <v>5635</v>
      </c>
      <c r="H311" s="60"/>
      <c r="I311" s="60"/>
      <c r="J311" s="20"/>
      <c r="K311" s="20"/>
      <c r="L311" s="20"/>
      <c r="M311" s="20"/>
    </row>
    <row r="312" ht="57" customHeight="1">
      <c r="A312" s="20" t="s">
        <v>5636</v>
      </c>
      <c r="B312" s="20" t="s">
        <v>1654</v>
      </c>
      <c r="C312" s="60" t="s">
        <v>1657</v>
      </c>
      <c r="D312" s="60" t="s">
        <v>5611</v>
      </c>
      <c r="E312" s="60" t="s">
        <v>4522</v>
      </c>
      <c r="F312" s="60" t="s">
        <v>4924</v>
      </c>
      <c r="G312" s="60" t="s">
        <v>5637</v>
      </c>
      <c r="H312" s="60"/>
      <c r="I312" s="60"/>
      <c r="J312" s="20"/>
      <c r="K312" s="20"/>
      <c r="L312" s="20"/>
      <c r="M312" s="20"/>
    </row>
    <row r="313" ht="28.5" customHeight="1">
      <c r="A313" s="20" t="s">
        <v>5638</v>
      </c>
      <c r="B313" s="20" t="s">
        <v>1505</v>
      </c>
      <c r="C313" s="60" t="s">
        <v>5639</v>
      </c>
      <c r="D313" s="60" t="s">
        <v>4630</v>
      </c>
      <c r="E313" s="60" t="s">
        <v>4533</v>
      </c>
      <c r="F313" s="60" t="s">
        <v>4534</v>
      </c>
      <c r="G313" s="60" t="s">
        <v>5640</v>
      </c>
      <c r="H313" s="60"/>
      <c r="I313" s="60"/>
      <c r="J313" s="20"/>
      <c r="K313" s="20"/>
      <c r="L313" s="20"/>
      <c r="M313" s="20"/>
    </row>
    <row r="314" ht="42.75" customHeight="1">
      <c r="A314" s="20" t="s">
        <v>5641</v>
      </c>
      <c r="B314" s="20" t="s">
        <v>1440</v>
      </c>
      <c r="C314" s="60" t="s">
        <v>5642</v>
      </c>
      <c r="D314" s="60" t="s">
        <v>4684</v>
      </c>
      <c r="E314" s="60" t="s">
        <v>4577</v>
      </c>
      <c r="F314" s="60" t="s">
        <v>4685</v>
      </c>
      <c r="G314" s="60" t="s">
        <v>5643</v>
      </c>
      <c r="H314" s="60"/>
      <c r="I314" s="60"/>
      <c r="J314" s="20"/>
      <c r="K314" s="20"/>
      <c r="L314" s="20"/>
      <c r="M314" s="20"/>
    </row>
    <row r="315" ht="28.5" customHeight="1">
      <c r="A315" s="20" t="s">
        <v>5644</v>
      </c>
      <c r="B315" s="20" t="s">
        <v>142</v>
      </c>
      <c r="C315" s="60" t="s">
        <v>5644</v>
      </c>
      <c r="D315" s="60" t="s">
        <v>4715</v>
      </c>
      <c r="E315" s="60" t="s">
        <v>4644</v>
      </c>
      <c r="F315" s="60" t="s">
        <v>4716</v>
      </c>
      <c r="G315" s="60" t="s">
        <v>5645</v>
      </c>
      <c r="H315" s="60"/>
      <c r="I315" s="60"/>
      <c r="J315" s="20"/>
      <c r="K315" s="20"/>
      <c r="L315" s="20"/>
      <c r="M315" s="20"/>
    </row>
    <row r="316" ht="28.5" customHeight="1">
      <c r="A316" s="20" t="s">
        <v>5646</v>
      </c>
      <c r="B316" s="20" t="s">
        <v>1509</v>
      </c>
      <c r="C316" s="60" t="s">
        <v>5647</v>
      </c>
      <c r="D316" s="60" t="s">
        <v>4843</v>
      </c>
      <c r="E316" s="60" t="s">
        <v>4577</v>
      </c>
      <c r="F316" s="60" t="s">
        <v>4578</v>
      </c>
      <c r="G316" s="60" t="s">
        <v>5648</v>
      </c>
      <c r="H316" s="60"/>
      <c r="I316" s="60"/>
      <c r="J316" s="20"/>
      <c r="K316" s="20"/>
      <c r="L316" s="20"/>
      <c r="M316" s="20"/>
    </row>
    <row r="317" ht="28.5" customHeight="1">
      <c r="A317" s="20" t="s">
        <v>5649</v>
      </c>
      <c r="B317" s="20" t="s">
        <v>1513</v>
      </c>
      <c r="C317" s="60" t="s">
        <v>5650</v>
      </c>
      <c r="D317" s="60" t="s">
        <v>5651</v>
      </c>
      <c r="E317" s="60" t="s">
        <v>4577</v>
      </c>
      <c r="F317" s="60" t="s">
        <v>4685</v>
      </c>
      <c r="G317" s="60" t="s">
        <v>5652</v>
      </c>
      <c r="H317" s="60"/>
      <c r="I317" s="60"/>
      <c r="J317" s="20"/>
      <c r="K317" s="20"/>
      <c r="L317" s="20"/>
      <c r="M317" s="20"/>
    </row>
    <row r="318">
      <c r="A318" s="20" t="s">
        <v>5653</v>
      </c>
      <c r="B318" s="20" t="s">
        <v>3540</v>
      </c>
      <c r="C318" s="60" t="s">
        <v>5653</v>
      </c>
      <c r="D318" s="61" t="s">
        <v>4724</v>
      </c>
      <c r="E318" s="61" t="s">
        <v>4533</v>
      </c>
      <c r="F318" s="61" t="s">
        <v>4571</v>
      </c>
      <c r="G318" s="60" t="s">
        <v>5654</v>
      </c>
    </row>
    <row r="319" ht="28.5" customHeight="1">
      <c r="A319" s="20" t="s">
        <v>5655</v>
      </c>
      <c r="B319" s="20" t="s">
        <v>5656</v>
      </c>
      <c r="C319" s="60" t="s">
        <v>5655</v>
      </c>
      <c r="D319" s="60" t="s">
        <v>5514</v>
      </c>
      <c r="E319" s="60" t="s">
        <v>4533</v>
      </c>
      <c r="F319" s="60" t="s">
        <v>5187</v>
      </c>
      <c r="G319" s="60" t="s">
        <v>5657</v>
      </c>
      <c r="H319" s="60"/>
      <c r="I319" s="60"/>
      <c r="J319" s="20"/>
      <c r="K319" s="20"/>
      <c r="L319" s="20"/>
      <c r="M319" s="20"/>
    </row>
    <row r="320" ht="57" customHeight="1">
      <c r="A320" s="20" t="s">
        <v>5658</v>
      </c>
      <c r="B320" s="20" t="s">
        <v>5659</v>
      </c>
      <c r="C320" s="60" t="s">
        <v>1227</v>
      </c>
      <c r="D320" s="60" t="s">
        <v>4843</v>
      </c>
      <c r="E320" s="60" t="s">
        <v>4577</v>
      </c>
      <c r="F320" s="60" t="s">
        <v>4578</v>
      </c>
      <c r="G320" s="60" t="s">
        <v>5660</v>
      </c>
      <c r="H320" s="60"/>
      <c r="I320" s="60"/>
      <c r="J320" s="20"/>
      <c r="K320" s="20"/>
      <c r="L320" s="20"/>
      <c r="M320" s="20"/>
    </row>
    <row r="321" ht="28.5" customHeight="1">
      <c r="A321" s="20" t="s">
        <v>5661</v>
      </c>
      <c r="B321" s="20" t="s">
        <v>3338</v>
      </c>
      <c r="C321" s="60" t="s">
        <v>5661</v>
      </c>
      <c r="D321" s="61" t="s">
        <v>4843</v>
      </c>
      <c r="E321" s="61" t="s">
        <v>4577</v>
      </c>
      <c r="F321" s="61" t="s">
        <v>4578</v>
      </c>
      <c r="G321" s="60" t="s">
        <v>5660</v>
      </c>
      <c r="H321" s="61" t="n">
        <v>660</v>
      </c>
    </row>
    <row r="322" ht="57" customHeight="1">
      <c r="A322" s="20" t="s">
        <v>5662</v>
      </c>
      <c r="B322" s="20" t="s">
        <v>1501</v>
      </c>
      <c r="C322" s="60" t="s">
        <v>1504</v>
      </c>
      <c r="D322" s="60" t="s">
        <v>5345</v>
      </c>
      <c r="E322" s="60" t="s">
        <v>4577</v>
      </c>
      <c r="F322" s="60" t="s">
        <v>4783</v>
      </c>
      <c r="G322" s="60" t="s">
        <v>5663</v>
      </c>
      <c r="H322" s="60"/>
      <c r="I322" s="60"/>
      <c r="J322" s="20"/>
      <c r="K322" s="20"/>
      <c r="L322" s="20"/>
      <c r="M322" s="20"/>
    </row>
    <row r="323" ht="28.5" customHeight="1">
      <c r="A323" s="20" t="s">
        <v>3421</v>
      </c>
      <c r="B323" s="20" t="s">
        <v>3418</v>
      </c>
      <c r="C323" s="60" t="s">
        <v>3421</v>
      </c>
      <c r="D323" s="61" t="s">
        <v>4749</v>
      </c>
      <c r="E323" s="61" t="s">
        <v>4504</v>
      </c>
      <c r="F323" s="61" t="s">
        <v>4509</v>
      </c>
      <c r="G323" s="60" t="s">
        <v>5664</v>
      </c>
    </row>
    <row r="324">
      <c r="A324" s="20" t="s">
        <v>5665</v>
      </c>
      <c r="B324" s="20" t="s">
        <v>906</v>
      </c>
      <c r="C324" s="60" t="s">
        <v>909</v>
      </c>
      <c r="D324" s="60" t="s">
        <v>4659</v>
      </c>
      <c r="E324" s="60" t="s">
        <v>4597</v>
      </c>
      <c r="F324" s="60" t="s">
        <v>4660</v>
      </c>
      <c r="G324" s="60" t="s">
        <v>5666</v>
      </c>
      <c r="H324" s="60" t="n">
        <v>1530</v>
      </c>
      <c r="I324" s="60"/>
      <c r="J324" s="20"/>
      <c r="K324" s="20"/>
      <c r="L324" s="20"/>
      <c r="M324" s="20"/>
    </row>
    <row r="325" ht="128.25" customHeight="1">
      <c r="A325" s="53" t="s">
        <v>460</v>
      </c>
      <c r="B325" s="20" t="s">
        <v>5667</v>
      </c>
      <c r="C325" s="61" t="s">
        <v>5668</v>
      </c>
      <c r="D325" s="60" t="s">
        <v>5234</v>
      </c>
      <c r="E325" s="60" t="s">
        <v>4557</v>
      </c>
      <c r="F325" s="60" t="s">
        <v>4558</v>
      </c>
      <c r="G325" s="60" t="s">
        <v>5669</v>
      </c>
      <c r="H325" s="60" t="n">
        <v>1111</v>
      </c>
      <c r="I325" s="60" t="s">
        <v>5670</v>
      </c>
      <c r="J325" s="20"/>
      <c r="K325" s="20"/>
      <c r="L325" s="20"/>
      <c r="M325" s="20"/>
    </row>
    <row r="326">
      <c r="A326" s="20" t="s">
        <v>1614</v>
      </c>
      <c r="B326" s="20" t="s">
        <v>1602</v>
      </c>
      <c r="C326" s="61" t="s">
        <v>5671</v>
      </c>
      <c r="D326" s="60" t="s">
        <v>5672</v>
      </c>
      <c r="E326" s="60" t="s">
        <v>4577</v>
      </c>
      <c r="F326" s="60" t="s">
        <v>4685</v>
      </c>
      <c r="G326" s="60" t="s">
        <v>5673</v>
      </c>
      <c r="H326" s="60" t="n">
        <v>500</v>
      </c>
      <c r="I326" s="60" t="s">
        <v>5674</v>
      </c>
      <c r="J326" s="20"/>
      <c r="K326" s="20"/>
      <c r="L326" s="20"/>
      <c r="M326" s="20"/>
    </row>
    <row r="327" ht="28.5" customHeight="1">
      <c r="A327" s="59" t="s">
        <v>1407</v>
      </c>
      <c r="B327" s="20" t="s">
        <v>5675</v>
      </c>
      <c r="C327" s="66" t="s">
        <v>5676</v>
      </c>
      <c r="D327" s="61" t="s">
        <v>5516</v>
      </c>
      <c r="E327" s="61" t="s">
        <v>4577</v>
      </c>
      <c r="F327" s="67" t="s">
        <v>5132</v>
      </c>
      <c r="G327" s="60" t="s">
        <v>5677</v>
      </c>
      <c r="H327" s="61" t="n">
        <v>20</v>
      </c>
      <c r="I327" s="68" t="s">
        <v>5678</v>
      </c>
      <c r="J327" s="20"/>
      <c r="K327" s="20"/>
      <c r="L327" s="20"/>
      <c r="M327" s="20"/>
    </row>
    <row r="328" ht="29.25" customHeight="1">
      <c r="A328" s="59" t="s">
        <v>5679</v>
      </c>
      <c r="B328" s="51" t="s">
        <v>5680</v>
      </c>
      <c r="C328" s="63" t="s">
        <v>5681</v>
      </c>
      <c r="D328" s="64" t="s">
        <v>5081</v>
      </c>
      <c r="E328" s="64" t="s">
        <v>4546</v>
      </c>
      <c r="F328" s="65" t="s">
        <v>4955</v>
      </c>
      <c r="G328" s="63" t="s">
        <v>5682</v>
      </c>
      <c r="H328" s="61" t="n">
        <v>7260</v>
      </c>
      <c r="I328" s="68" t="s">
        <v>5683</v>
      </c>
      <c r="J328" s="20"/>
      <c r="K328" s="20"/>
      <c r="L328" s="20"/>
      <c r="M328" s="20"/>
    </row>
    <row r="329" ht="28.5" customHeight="1">
      <c r="A329" s="59" t="s">
        <v>5684</v>
      </c>
      <c r="B329" s="20" t="s">
        <v>402</v>
      </c>
      <c r="C329" s="60" t="s">
        <v>5685</v>
      </c>
      <c r="D329" s="60" t="s">
        <v>5076</v>
      </c>
      <c r="E329" s="60" t="s">
        <v>4533</v>
      </c>
      <c r="F329" s="60" t="s">
        <v>4534</v>
      </c>
      <c r="G329" s="60" t="s">
        <v>5686</v>
      </c>
      <c r="H329" s="60" t="n">
        <v>1710</v>
      </c>
      <c r="I329" s="60" t="s">
        <v>5687</v>
      </c>
      <c r="J329" s="20"/>
      <c r="K329" s="20"/>
      <c r="L329" s="20"/>
      <c r="M329" s="20"/>
    </row>
    <row r="330">
      <c r="A330" s="59" t="s">
        <v>5688</v>
      </c>
      <c r="B330" t="s">
        <v>1802</v>
      </c>
      <c r="C330" s="60" t="s">
        <v>5689</v>
      </c>
      <c r="D330" s="61" t="s">
        <v>5014</v>
      </c>
      <c r="E330" s="61" t="s">
        <v>4522</v>
      </c>
      <c r="F330" s="61" t="s">
        <v>4523</v>
      </c>
      <c r="G330" s="60" t="s">
        <v>5254</v>
      </c>
      <c r="H330" s="61" t="n">
        <v>515</v>
      </c>
    </row>
    <row r="331" ht="42.75" customHeight="1">
      <c r="A331" s="20" t="s">
        <v>5690</v>
      </c>
      <c r="B331" s="20" t="s">
        <v>1181</v>
      </c>
      <c r="C331" s="60" t="s">
        <v>1185</v>
      </c>
      <c r="D331" s="60" t="s">
        <v>4869</v>
      </c>
      <c r="E331" s="60" t="s">
        <v>4504</v>
      </c>
      <c r="F331" s="60" t="s">
        <v>4625</v>
      </c>
      <c r="G331" s="60" t="s">
        <v>5691</v>
      </c>
      <c r="H331" s="60" t="n">
        <v>132</v>
      </c>
      <c r="I331" s="60"/>
      <c r="J331" s="20"/>
      <c r="K331" s="20"/>
      <c r="L331" s="20"/>
      <c r="M331" s="20"/>
    </row>
    <row r="332">
      <c r="A332" t="s">
        <v>9316</v>
      </c>
      <c r="B332" t="s">
        <v>9322</v>
      </c>
      <c r="C332" t="s">
        <v>9317</v>
      </c>
      <c r="D332" t="s">
        <v>7381</v>
      </c>
      <c r="E332" t="s">
        <v>6689</v>
      </c>
      <c r="F332" t="s">
        <v>6690</v>
      </c>
      <c r="G332" t="s">
        <v>9323</v>
      </c>
      <c r="H332" t="s">
        <v>9324</v>
      </c>
      <c r="I332"/>
      <c r="J332"/>
      <c r="K332"/>
      <c r="L332"/>
      <c r="M332"/>
    </row>
    <row r="333">
      <c r="A333" t="s">
        <v>9318</v>
      </c>
      <c r="B333" t="s">
        <v>9325</v>
      </c>
      <c r="C333" t="s">
        <v>9319</v>
      </c>
      <c r="D333" t="s">
        <v>9326</v>
      </c>
      <c r="E333" t="s">
        <v>6647</v>
      </c>
      <c r="F333" t="s">
        <v>7228</v>
      </c>
      <c r="G333" t="s">
        <v>8392</v>
      </c>
      <c r="H333" t="s">
        <v>9327</v>
      </c>
      <c r="I333" t="s">
        <v>9327</v>
      </c>
      <c r="J333"/>
      <c r="K333"/>
      <c r="L333"/>
      <c r="M333"/>
    </row>
    <row r="334">
      <c r="A334" t="s">
        <v>9320</v>
      </c>
      <c r="B334" t="s">
        <v>9328</v>
      </c>
      <c r="C334" t="s">
        <v>9321</v>
      </c>
      <c r="D334" t="s">
        <v>9329</v>
      </c>
      <c r="E334" t="s">
        <v>6689</v>
      </c>
      <c r="F334" t="s">
        <v>9330</v>
      </c>
      <c r="G334" t="s">
        <v>9331</v>
      </c>
      <c r="H334" t="s">
        <v>9327</v>
      </c>
      <c r="I334" t="s">
        <v>9327</v>
      </c>
      <c r="J334"/>
      <c r="K334"/>
      <c r="L334"/>
      <c r="M334"/>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pane ySplit="1" topLeftCell="A2" activePane="bottomLeft" state="frozen"/>
    </sheetView>
  </sheetViews>
  <sheetFormatPr defaultRowHeight="15.0" baseColWidth="10"/>
  <cols>
    <col min="1" max="1" width="36" hidden="0" customWidth="1"/>
    <col min="2" max="2" width="28" hidden="0" customWidth="1"/>
    <col min="3" max="3" width="75" hidden="0" customWidth="1"/>
    <col min="4" max="4" width="18" hidden="0" customWidth="1"/>
    <col min="5" max="5" width="18" hidden="0" customWidth="1"/>
    <col min="6" max="6" width="18" hidden="0" customWidth="1"/>
    <col min="7" max="7" width="36" hidden="0" customWidth="1"/>
    <col min="8" max="8" width="18" hidden="0" customWidth="1"/>
    <col min="9" max="9" width="18" hidden="0" customWidth="1"/>
    <col min="10" max="10" width="18" hidden="0" customWidth="1"/>
    <col min="11" max="11" width="18" hidden="0" customWidth="1"/>
    <col min="12" max="12" width="18" hidden="0" customWidth="1"/>
    <col min="13" max="13" width="18" hidden="0" customWidth="1"/>
  </cols>
  <sheetData>
    <row r="1" ht="15" customHeight="1">
      <c r="A1" s="10" t="s">
        <v>6566</v>
      </c>
      <c r="B1" s="10" t="s">
        <v>6567</v>
      </c>
      <c r="C1" s="10" t="s">
        <v>6568</v>
      </c>
      <c r="D1" s="10" t="s">
        <v>6569</v>
      </c>
      <c r="E1" s="10" t="s">
        <v>6570</v>
      </c>
      <c r="F1" s="10" t="s">
        <v>6571</v>
      </c>
      <c r="G1" s="10" t="s">
        <v>6572</v>
      </c>
      <c r="H1" s="10" t="s">
        <v>6573</v>
      </c>
      <c r="I1" s="10" t="s">
        <v>6574</v>
      </c>
      <c r="J1" s="73" t="s">
        <v>6575</v>
      </c>
      <c r="K1" s="73" t="s">
        <v>6576</v>
      </c>
      <c r="L1" s="73" t="s">
        <v>6577</v>
      </c>
      <c r="M1" s="73" t="s">
        <v>6578</v>
      </c>
    </row>
    <row r="2">
      <c r="A2" s="20" t="s">
        <v>6579</v>
      </c>
      <c r="B2" s="20" t="s">
        <v>6580</v>
      </c>
      <c r="C2" s="60" t="s">
        <v>6581</v>
      </c>
      <c r="D2" s="61" t="s">
        <v>6582</v>
      </c>
      <c r="E2" s="61" t="s">
        <v>6583</v>
      </c>
      <c r="F2" s="61" t="s">
        <v>6584</v>
      </c>
      <c r="G2" s="60" t="s">
        <v>6585</v>
      </c>
      <c r="H2" s="61" t="s">
        <v>6586</v>
      </c>
      <c r="I2" s="61"/>
      <c r="J2" s="51" t="n">
        <v>-19.9011691353251</v>
      </c>
      <c r="K2" s="51" t="n">
        <v>-43.9653501552397</v>
      </c>
      <c r="L2" s="51" t="n">
        <v>608301.721889071</v>
      </c>
      <c r="M2" s="51" t="n">
        <v>7799122.36840501</v>
      </c>
    </row>
    <row r="3">
      <c r="A3" s="20" t="s">
        <v>6587</v>
      </c>
      <c r="B3" s="20" t="s">
        <v>6588</v>
      </c>
      <c r="C3" s="60" t="s">
        <v>6589</v>
      </c>
      <c r="D3" s="60" t="s">
        <v>6590</v>
      </c>
      <c r="E3" s="60" t="s">
        <v>6583</v>
      </c>
      <c r="F3" s="60" t="s">
        <v>6591</v>
      </c>
      <c r="G3" s="60" t="s">
        <v>6592</v>
      </c>
      <c r="H3" s="60" t="s">
        <v>6593</v>
      </c>
      <c r="I3" s="60"/>
      <c r="J3" s="51" t="n">
        <v>-19.920438</v>
      </c>
      <c r="K3" s="51" t="n">
        <v>-44.007309</v>
      </c>
      <c r="L3" s="51" t="n">
        <v>603896.75885647</v>
      </c>
      <c r="M3" s="51" t="n">
        <v>7797016.30463003</v>
      </c>
    </row>
    <row r="4">
      <c r="A4" s="20" t="s">
        <v>6594</v>
      </c>
      <c r="B4" s="20" t="s">
        <v>6595</v>
      </c>
      <c r="C4" s="61" t="s">
        <v>6596</v>
      </c>
      <c r="D4" s="60" t="s">
        <v>6597</v>
      </c>
      <c r="E4" s="60" t="s">
        <v>6583</v>
      </c>
      <c r="F4" s="60" t="s">
        <v>6591</v>
      </c>
      <c r="G4" s="60" t="s">
        <v>6598</v>
      </c>
      <c r="H4" s="60" t="s">
        <v>6599</v>
      </c>
      <c r="I4" s="60" t="s">
        <v>6600</v>
      </c>
      <c r="J4" s="51" t="n">
        <v>-19.9127299689592</v>
      </c>
      <c r="K4" s="51" t="n">
        <v>-43.9992433068607</v>
      </c>
      <c r="L4" s="51" t="n">
        <v>604746.070613249</v>
      </c>
      <c r="M4" s="51" t="n">
        <v>7797864.36359774</v>
      </c>
    </row>
    <row r="5">
      <c r="A5" s="20" t="s">
        <v>6601</v>
      </c>
      <c r="B5" s="20" t="s">
        <v>6602</v>
      </c>
      <c r="C5" s="60" t="s">
        <v>6603</v>
      </c>
      <c r="D5" s="60" t="s">
        <v>6604</v>
      </c>
      <c r="E5" s="60" t="s">
        <v>6583</v>
      </c>
      <c r="F5" s="60" t="s">
        <v>6591</v>
      </c>
      <c r="G5" s="60" t="s">
        <v>6605</v>
      </c>
      <c r="H5" s="60" t="s">
        <v>6606</v>
      </c>
      <c r="I5" s="60"/>
      <c r="J5" s="51" t="n">
        <v>-19.898315</v>
      </c>
      <c r="K5" s="51" t="n">
        <v>-44.021447</v>
      </c>
      <c r="L5" s="51" t="n">
        <v>602431.180365269</v>
      </c>
      <c r="M5" s="51" t="n">
        <v>7799473.36135845</v>
      </c>
    </row>
    <row r="6" ht="28.5" customHeight="1">
      <c r="A6" s="20" t="s">
        <v>6607</v>
      </c>
      <c r="B6" s="20" t="s">
        <v>6608</v>
      </c>
      <c r="C6" s="61" t="s">
        <v>6609</v>
      </c>
      <c r="D6" s="60" t="s">
        <v>6610</v>
      </c>
      <c r="E6" s="60" t="s">
        <v>6611</v>
      </c>
      <c r="F6" s="60" t="s">
        <v>6612</v>
      </c>
      <c r="G6" s="60" t="s">
        <v>6613</v>
      </c>
      <c r="H6" s="60" t="s">
        <v>6614</v>
      </c>
      <c r="I6" s="60" t="s">
        <v>6615</v>
      </c>
      <c r="J6" s="51" t="n">
        <v>-19.88424</v>
      </c>
      <c r="K6" s="51" t="n">
        <v>-44.010545</v>
      </c>
      <c r="L6" s="51" t="n">
        <v>603581.600641081</v>
      </c>
      <c r="M6" s="51" t="n">
        <v>7801024.38996694</v>
      </c>
    </row>
    <row r="7" ht="28.5" customHeight="1">
      <c r="A7" s="20" t="s">
        <v>6616</v>
      </c>
      <c r="B7" s="20" t="s">
        <v>6617</v>
      </c>
      <c r="C7" s="61" t="s">
        <v>6618</v>
      </c>
      <c r="D7" s="60" t="s">
        <v>6619</v>
      </c>
      <c r="E7" s="60" t="s">
        <v>6583</v>
      </c>
      <c r="F7" s="60" t="s">
        <v>6591</v>
      </c>
      <c r="G7" s="60" t="s">
        <v>6620</v>
      </c>
      <c r="H7" s="60" t="s">
        <v>6621</v>
      </c>
      <c r="I7" s="60" t="s">
        <v>6622</v>
      </c>
      <c r="J7" s="51" t="n">
        <v>-19.9154622777009</v>
      </c>
      <c r="K7" s="51" t="n">
        <v>-44.0241422210918</v>
      </c>
      <c r="L7" s="51" t="n">
        <v>602138.027435628</v>
      </c>
      <c r="M7" s="51" t="n">
        <v>7797577.28849236</v>
      </c>
    </row>
    <row r="8" ht="28.5" customHeight="1">
      <c r="A8" s="20" t="s">
        <v>6623</v>
      </c>
      <c r="B8" s="20" t="s">
        <v>6624</v>
      </c>
      <c r="C8" s="60" t="s">
        <v>6625</v>
      </c>
      <c r="D8" s="61" t="s">
        <v>6626</v>
      </c>
      <c r="E8" s="61" t="s">
        <v>6627</v>
      </c>
      <c r="F8" s="61" t="s">
        <v>6628</v>
      </c>
      <c r="G8" s="60" t="s">
        <v>6629</v>
      </c>
      <c r="H8" s="61" t="s">
        <v>6630</v>
      </c>
      <c r="I8" s="61" t="s">
        <v>6631</v>
      </c>
      <c r="J8" s="51" t="n">
        <v>-19.92178</v>
      </c>
      <c r="K8" s="51" t="n">
        <v>-43.960582</v>
      </c>
      <c r="L8" s="51" t="n">
        <v>608786.774887605</v>
      </c>
      <c r="M8" s="51" t="n">
        <v>7796838.22682422</v>
      </c>
    </row>
    <row r="9" ht="28.5" customHeight="1">
      <c r="A9" s="20" t="s">
        <v>6632</v>
      </c>
      <c r="B9" s="20" t="s">
        <v>6633</v>
      </c>
      <c r="C9" s="60" t="s">
        <v>6634</v>
      </c>
      <c r="D9" s="61" t="s">
        <v>6635</v>
      </c>
      <c r="E9" s="61" t="s">
        <v>6636</v>
      </c>
      <c r="F9" s="61" t="s">
        <v>6637</v>
      </c>
      <c r="G9" s="60" t="s">
        <v>6638</v>
      </c>
      <c r="H9" s="61" t="s">
        <v>6639</v>
      </c>
      <c r="I9" s="61"/>
      <c r="J9" s="51" t="n">
        <v>-19.7942236666667</v>
      </c>
      <c r="K9" s="51" t="n">
        <v>-43.989283</v>
      </c>
      <c r="L9" s="51" t="n">
        <v>605867.249051908</v>
      </c>
      <c r="M9" s="51" t="n">
        <v>7810973.40259753</v>
      </c>
    </row>
    <row r="10" ht="28.5" customHeight="1">
      <c r="A10" s="20" t="s">
        <v>6640</v>
      </c>
      <c r="B10" s="20" t="s">
        <v>6641</v>
      </c>
      <c r="C10" s="60" t="s">
        <v>6642</v>
      </c>
      <c r="D10" s="60" t="s">
        <v>6597</v>
      </c>
      <c r="E10" s="60" t="s">
        <v>6583</v>
      </c>
      <c r="F10" s="60" t="s">
        <v>6591</v>
      </c>
      <c r="G10" s="60" t="s">
        <v>6643</v>
      </c>
      <c r="H10" s="60"/>
      <c r="I10" s="60"/>
      <c r="J10" s="51" t="n">
        <v>-19.9173492936462</v>
      </c>
      <c r="K10" s="51" t="n">
        <v>-44.005641703926</v>
      </c>
      <c r="L10" s="51" t="n">
        <v>604073.3</v>
      </c>
      <c r="M10" s="51" t="n">
        <v>7797357</v>
      </c>
    </row>
    <row r="11" ht="42.75" customHeight="1">
      <c r="A11" s="20" t="s">
        <v>6644</v>
      </c>
      <c r="B11" s="20" t="s">
        <v>6645</v>
      </c>
      <c r="C11" s="60" t="s">
        <v>6644</v>
      </c>
      <c r="D11" s="61" t="s">
        <v>6646</v>
      </c>
      <c r="E11" s="61" t="s">
        <v>6647</v>
      </c>
      <c r="F11" s="61" t="s">
        <v>6648</v>
      </c>
      <c r="G11" s="60" t="s">
        <v>6649</v>
      </c>
      <c r="H11" s="61"/>
      <c r="I11" s="61"/>
      <c r="J11" s="51"/>
      <c r="K11" s="51"/>
      <c r="L11" s="51"/>
      <c r="M11" s="51"/>
    </row>
    <row r="12" ht="28.5" customHeight="1">
      <c r="A12" s="20" t="s">
        <v>6650</v>
      </c>
      <c r="B12" s="20" t="s">
        <v>6651</v>
      </c>
      <c r="C12" s="60" t="s">
        <v>6652</v>
      </c>
      <c r="D12" s="60" t="s">
        <v>6653</v>
      </c>
      <c r="E12" s="60" t="s">
        <v>6611</v>
      </c>
      <c r="F12" s="60" t="s">
        <v>6654</v>
      </c>
      <c r="G12" s="60" t="s">
        <v>6655</v>
      </c>
      <c r="H12" s="60"/>
      <c r="I12" s="60"/>
      <c r="J12" s="51" t="n">
        <v>-19.8620741897597</v>
      </c>
      <c r="K12" s="51" t="n">
        <v>-43.9402829172415</v>
      </c>
      <c r="L12" s="51" t="n">
        <v>610953.1</v>
      </c>
      <c r="M12" s="51" t="n">
        <v>7803433</v>
      </c>
    </row>
    <row r="13" ht="42.75" customHeight="1">
      <c r="A13" s="20" t="s">
        <v>6656</v>
      </c>
      <c r="B13" s="20" t="s">
        <v>6657</v>
      </c>
      <c r="C13" s="60" t="s">
        <v>6658</v>
      </c>
      <c r="D13" s="61" t="s">
        <v>6659</v>
      </c>
      <c r="E13" s="61" t="s">
        <v>6660</v>
      </c>
      <c r="F13" s="61" t="s">
        <v>6661</v>
      </c>
      <c r="G13" s="60" t="s">
        <v>6662</v>
      </c>
      <c r="H13" s="61" t="s">
        <v>6663</v>
      </c>
      <c r="I13" s="61"/>
      <c r="J13" s="51" t="n">
        <v>-19.9141046934996</v>
      </c>
      <c r="K13" s="51" t="n">
        <v>-43.9376299769289</v>
      </c>
      <c r="L13" s="51" t="n">
        <v>611194.538967365</v>
      </c>
      <c r="M13" s="51" t="n">
        <v>7797672.66548659</v>
      </c>
    </row>
    <row r="14" ht="28.5" customHeight="1">
      <c r="A14" s="20" t="s">
        <v>6664</v>
      </c>
      <c r="B14" s="20" t="s">
        <v>6665</v>
      </c>
      <c r="C14" s="60" t="s">
        <v>6666</v>
      </c>
      <c r="D14" s="60" t="s">
        <v>6667</v>
      </c>
      <c r="E14" s="60" t="s">
        <v>6647</v>
      </c>
      <c r="F14" s="60" t="s">
        <v>6648</v>
      </c>
      <c r="G14" s="60" t="s">
        <v>6668</v>
      </c>
      <c r="H14" s="60" t="s">
        <v>6669</v>
      </c>
      <c r="I14" s="60"/>
      <c r="J14" s="51" t="n">
        <v>-19.9090129919585</v>
      </c>
      <c r="K14" s="51" t="n">
        <v>-43.8914605588869</v>
      </c>
      <c r="L14" s="51" t="n">
        <v>616031.1</v>
      </c>
      <c r="M14" s="51" t="n">
        <v>7798205</v>
      </c>
    </row>
    <row r="15">
      <c r="A15" s="56" t="s">
        <v>6670</v>
      </c>
      <c r="B15" s="20" t="s">
        <v>6671</v>
      </c>
      <c r="C15" s="60" t="s">
        <v>6672</v>
      </c>
      <c r="D15" s="60" t="s">
        <v>6673</v>
      </c>
      <c r="E15" s="60" t="s">
        <v>6636</v>
      </c>
      <c r="F15" s="60" t="s">
        <v>6674</v>
      </c>
      <c r="G15" s="60" t="s">
        <v>6675</v>
      </c>
      <c r="H15" s="60" t="s">
        <v>6676</v>
      </c>
      <c r="I15" s="60"/>
      <c r="J15" s="51" t="n">
        <v>-19.796039</v>
      </c>
      <c r="K15" s="51" t="n">
        <v>-43.955729</v>
      </c>
      <c r="L15" s="51" t="n">
        <v>609380.909640495</v>
      </c>
      <c r="M15" s="51" t="n">
        <v>7810751.14842889</v>
      </c>
    </row>
    <row r="16">
      <c r="A16" s="56" t="s">
        <v>6677</v>
      </c>
      <c r="B16" s="20" t="s">
        <v>6678</v>
      </c>
      <c r="C16" s="60" t="s">
        <v>6679</v>
      </c>
      <c r="D16" s="60" t="s">
        <v>6680</v>
      </c>
      <c r="E16" s="60" t="s">
        <v>6627</v>
      </c>
      <c r="F16" s="60" t="s">
        <v>6681</v>
      </c>
      <c r="G16" s="60" t="s">
        <v>6682</v>
      </c>
      <c r="H16" s="60" t="s">
        <v>6683</v>
      </c>
      <c r="I16" s="61" t="s">
        <v>6684</v>
      </c>
      <c r="J16" s="51" t="n">
        <v>-19.953097</v>
      </c>
      <c r="K16" s="51" t="n">
        <v>-43.971148</v>
      </c>
      <c r="L16" s="51" t="n">
        <v>607659.60695717</v>
      </c>
      <c r="M16" s="51" t="n">
        <v>7793379.08233125</v>
      </c>
    </row>
    <row r="17" ht="28.5" customHeight="1">
      <c r="A17" s="56" t="s">
        <v>6685</v>
      </c>
      <c r="B17" s="20" t="s">
        <v>6686</v>
      </c>
      <c r="C17" s="60" t="s">
        <v>6687</v>
      </c>
      <c r="D17" s="61" t="s">
        <v>6688</v>
      </c>
      <c r="E17" s="61" t="s">
        <v>6689</v>
      </c>
      <c r="F17" s="61" t="s">
        <v>6690</v>
      </c>
      <c r="G17" s="60" t="s">
        <v>6691</v>
      </c>
      <c r="H17" s="61" t="s">
        <v>6692</v>
      </c>
      <c r="I17" s="61"/>
      <c r="J17" s="51" t="n">
        <v>-20.003405</v>
      </c>
      <c r="K17" s="51" t="n">
        <v>-44.023435</v>
      </c>
      <c r="L17" s="51" t="n">
        <v>602155.421844463</v>
      </c>
      <c r="M17" s="51" t="n">
        <v>7787844.06941645</v>
      </c>
    </row>
    <row r="18">
      <c r="A18" s="56" t="s">
        <v>6693</v>
      </c>
      <c r="B18" s="20" t="s">
        <v>6694</v>
      </c>
      <c r="C18" s="60" t="s">
        <v>6695</v>
      </c>
      <c r="D18" s="61" t="s">
        <v>6696</v>
      </c>
      <c r="E18" s="61" t="s">
        <v>6689</v>
      </c>
      <c r="F18" s="61" t="s">
        <v>6690</v>
      </c>
      <c r="G18" s="60" t="s">
        <v>6697</v>
      </c>
      <c r="H18" s="61" t="s">
        <v>6698</v>
      </c>
      <c r="I18" s="61"/>
      <c r="J18" s="51" t="n">
        <v>-20.007875</v>
      </c>
      <c r="K18" s="51" t="n">
        <v>-44.029968</v>
      </c>
      <c r="L18" s="51" t="n">
        <v>601469.108904586</v>
      </c>
      <c r="M18" s="51" t="n">
        <v>7787353.336056</v>
      </c>
    </row>
    <row r="19">
      <c r="A19" s="56" t="s">
        <v>6699</v>
      </c>
      <c r="B19" s="20" t="s">
        <v>6700</v>
      </c>
      <c r="C19" s="60" t="s">
        <v>6701</v>
      </c>
      <c r="D19" s="60" t="s">
        <v>6673</v>
      </c>
      <c r="E19" s="60" t="s">
        <v>6636</v>
      </c>
      <c r="F19" s="60" t="s">
        <v>6674</v>
      </c>
      <c r="G19" s="60" t="s">
        <v>6702</v>
      </c>
      <c r="H19" s="60" t="s">
        <v>6703</v>
      </c>
      <c r="I19" s="60" t="s">
        <v>6704</v>
      </c>
      <c r="J19" s="51" t="n">
        <v>-19.806268971431</v>
      </c>
      <c r="K19" s="51" t="n">
        <v>-43.9511342600749</v>
      </c>
      <c r="L19" s="51" t="n">
        <v>609855.2</v>
      </c>
      <c r="M19" s="51" t="n">
        <v>7809616</v>
      </c>
    </row>
    <row r="20">
      <c r="A20" s="56" t="s">
        <v>6705</v>
      </c>
      <c r="B20" s="20" t="s">
        <v>6706</v>
      </c>
      <c r="C20" s="60" t="s">
        <v>6707</v>
      </c>
      <c r="D20" s="60" t="s">
        <v>6708</v>
      </c>
      <c r="E20" s="60" t="s">
        <v>6627</v>
      </c>
      <c r="F20" s="60" t="s">
        <v>6681</v>
      </c>
      <c r="G20" s="60" t="s">
        <v>6709</v>
      </c>
      <c r="H20" s="60" t="s">
        <v>6710</v>
      </c>
      <c r="I20" s="60"/>
      <c r="J20" s="51" t="n">
        <v>-19.956216358488</v>
      </c>
      <c r="K20" s="51" t="n">
        <v>-43.9911571093474</v>
      </c>
      <c r="L20" s="51" t="n">
        <v>605563.599877002</v>
      </c>
      <c r="M20" s="51" t="n">
        <v>7793046.56230519</v>
      </c>
    </row>
    <row r="21" ht="28.5" customHeight="1">
      <c r="A21" s="56" t="s">
        <v>6711</v>
      </c>
      <c r="B21" s="20" t="s">
        <v>6712</v>
      </c>
      <c r="C21" s="60" t="s">
        <v>6713</v>
      </c>
      <c r="D21" s="60" t="s">
        <v>6714</v>
      </c>
      <c r="E21" s="60" t="s">
        <v>6583</v>
      </c>
      <c r="F21" s="60" t="s">
        <v>6591</v>
      </c>
      <c r="G21" s="60" t="s">
        <v>6715</v>
      </c>
      <c r="H21" s="60" t="s">
        <v>6716</v>
      </c>
      <c r="I21" s="60" t="s">
        <v>6717</v>
      </c>
      <c r="J21" s="51" t="n">
        <v>-19.911001</v>
      </c>
      <c r="K21" s="51" t="n">
        <v>-44.016046</v>
      </c>
      <c r="L21" s="51" t="n">
        <v>602988.369737463</v>
      </c>
      <c r="M21" s="51" t="n">
        <v>7798066.08747542</v>
      </c>
    </row>
    <row r="22">
      <c r="A22" s="56" t="s">
        <v>6718</v>
      </c>
      <c r="B22" s="20" t="s">
        <v>6719</v>
      </c>
      <c r="C22" s="61" t="s">
        <v>6720</v>
      </c>
      <c r="D22" s="61" t="s">
        <v>6721</v>
      </c>
      <c r="E22" s="61" t="s">
        <v>6722</v>
      </c>
      <c r="F22" s="61" t="s">
        <v>6723</v>
      </c>
      <c r="G22" s="60" t="s">
        <v>6724</v>
      </c>
      <c r="H22" s="61" t="s">
        <v>6725</v>
      </c>
      <c r="I22" s="61" t="s">
        <v>6726</v>
      </c>
      <c r="J22" s="51" t="n">
        <v>-19.8371170241198</v>
      </c>
      <c r="K22" s="51" t="n">
        <v>-43.9224181088925</v>
      </c>
      <c r="L22" s="51" t="n">
        <v>612841.34346059</v>
      </c>
      <c r="M22" s="51" t="n">
        <v>7806183.03919085</v>
      </c>
    </row>
    <row r="23">
      <c r="A23" s="56" t="s">
        <v>6727</v>
      </c>
      <c r="B23" s="20" t="s">
        <v>6728</v>
      </c>
      <c r="C23" s="60" t="s">
        <v>6729</v>
      </c>
      <c r="D23" s="61" t="s">
        <v>6730</v>
      </c>
      <c r="E23" s="61" t="s">
        <v>6689</v>
      </c>
      <c r="F23" s="61" t="s">
        <v>6690</v>
      </c>
      <c r="G23" s="60" t="s">
        <v>6731</v>
      </c>
      <c r="H23" s="61" t="s">
        <v>6732</v>
      </c>
      <c r="I23" s="61"/>
      <c r="J23" s="51" t="n">
        <v>-20.015666</v>
      </c>
      <c r="K23" s="51" t="n">
        <v>-44.023349</v>
      </c>
      <c r="L23" s="51" t="n">
        <v>602156.503262049</v>
      </c>
      <c r="M23" s="51" t="n">
        <v>7786487.06115354</v>
      </c>
    </row>
    <row r="24" ht="28.5" customHeight="1">
      <c r="A24" s="56" t="s">
        <v>6733</v>
      </c>
      <c r="B24" s="20" t="s">
        <v>6734</v>
      </c>
      <c r="C24" s="60" t="s">
        <v>6735</v>
      </c>
      <c r="D24" s="60" t="s">
        <v>6736</v>
      </c>
      <c r="E24" s="60" t="s">
        <v>6583</v>
      </c>
      <c r="F24" s="60" t="s">
        <v>6591</v>
      </c>
      <c r="G24" s="60" t="s">
        <v>6737</v>
      </c>
      <c r="H24" s="60" t="s">
        <v>6738</v>
      </c>
      <c r="I24" s="60" t="s">
        <v>6739</v>
      </c>
      <c r="J24" s="51" t="n">
        <v>-19.9064262405171</v>
      </c>
      <c r="K24" s="51" t="n">
        <v>-44.0122447486553</v>
      </c>
      <c r="L24" s="51" t="n">
        <v>603389.241535766</v>
      </c>
      <c r="M24" s="51" t="n">
        <v>7798570.05151998</v>
      </c>
    </row>
    <row r="25">
      <c r="A25" s="20" t="s">
        <v>6740</v>
      </c>
      <c r="B25" s="20" t="s">
        <v>6741</v>
      </c>
      <c r="C25" s="61" t="s">
        <v>6742</v>
      </c>
      <c r="D25" s="60" t="s">
        <v>6743</v>
      </c>
      <c r="E25" s="60" t="s">
        <v>6583</v>
      </c>
      <c r="F25" s="60" t="s">
        <v>6744</v>
      </c>
      <c r="G25" s="60" t="s">
        <v>6745</v>
      </c>
      <c r="H25" s="60" t="s">
        <v>6746</v>
      </c>
      <c r="I25" s="60" t="s">
        <v>6747</v>
      </c>
      <c r="J25" s="51" t="n">
        <v>-19.910358</v>
      </c>
      <c r="K25" s="51" t="n">
        <v>-43.947364</v>
      </c>
      <c r="L25" s="51" t="n">
        <v>610178.218785005</v>
      </c>
      <c r="M25" s="51" t="n">
        <v>7798093.73090641</v>
      </c>
    </row>
    <row r="26">
      <c r="A26" s="20" t="s">
        <v>6748</v>
      </c>
      <c r="B26" s="20" t="s">
        <v>6749</v>
      </c>
      <c r="C26" s="60" t="s">
        <v>6750</v>
      </c>
      <c r="D26" s="61" t="s">
        <v>6751</v>
      </c>
      <c r="E26" s="61" t="s">
        <v>6689</v>
      </c>
      <c r="F26" s="61" t="s">
        <v>6690</v>
      </c>
      <c r="G26" s="60" t="s">
        <v>6752</v>
      </c>
      <c r="H26" s="61" t="s">
        <v>6753</v>
      </c>
      <c r="I26" s="61"/>
      <c r="J26" s="51" t="n">
        <v>-19.995593</v>
      </c>
      <c r="K26" s="51" t="n">
        <v>-44.033977</v>
      </c>
      <c r="L26" s="51" t="n">
        <v>601057.560995887</v>
      </c>
      <c r="M26" s="51" t="n">
        <v>7788715.03611104</v>
      </c>
    </row>
    <row r="27">
      <c r="A27" s="20" t="s">
        <v>6754</v>
      </c>
      <c r="B27" s="20" t="s">
        <v>6755</v>
      </c>
      <c r="C27" s="61" t="s">
        <v>6756</v>
      </c>
      <c r="D27" s="60" t="s">
        <v>6757</v>
      </c>
      <c r="E27" s="60" t="s">
        <v>6647</v>
      </c>
      <c r="F27" s="60" t="s">
        <v>6758</v>
      </c>
      <c r="G27" s="60" t="s">
        <v>6759</v>
      </c>
      <c r="H27" s="60" t="s">
        <v>6760</v>
      </c>
      <c r="I27" s="60" t="s">
        <v>6761</v>
      </c>
      <c r="J27" s="51" t="n">
        <v>-19.91476</v>
      </c>
      <c r="K27" s="51" t="n">
        <v>-43.889319</v>
      </c>
      <c r="L27" s="51" t="n">
        <v>616251.079427216</v>
      </c>
      <c r="M27" s="51" t="n">
        <v>7797567.47135279</v>
      </c>
    </row>
    <row r="28">
      <c r="A28" s="20" t="s">
        <v>6762</v>
      </c>
      <c r="B28" s="20" t="s">
        <v>6763</v>
      </c>
      <c r="C28" s="61" t="s">
        <v>6764</v>
      </c>
      <c r="D28" s="60" t="s">
        <v>6765</v>
      </c>
      <c r="E28" s="60" t="s">
        <v>6583</v>
      </c>
      <c r="F28" s="60" t="s">
        <v>6766</v>
      </c>
      <c r="G28" s="60" t="s">
        <v>6767</v>
      </c>
      <c r="H28" s="60" t="s">
        <v>6768</v>
      </c>
      <c r="I28" s="60" t="s">
        <v>6769</v>
      </c>
      <c r="J28" s="51" t="n">
        <v>-19.9150327142487</v>
      </c>
      <c r="K28" s="51" t="n">
        <v>-43.9879809016013</v>
      </c>
      <c r="L28" s="51" t="n">
        <v>605923.432206628</v>
      </c>
      <c r="M28" s="51" t="n">
        <v>7797602.46020716</v>
      </c>
    </row>
    <row r="29">
      <c r="A29" s="20" t="s">
        <v>6770</v>
      </c>
      <c r="B29" s="20" t="s">
        <v>6771</v>
      </c>
      <c r="C29" s="61" t="s">
        <v>6772</v>
      </c>
      <c r="D29" s="60" t="s">
        <v>6773</v>
      </c>
      <c r="E29" s="60" t="s">
        <v>6627</v>
      </c>
      <c r="F29" s="60" t="s">
        <v>6628</v>
      </c>
      <c r="G29" s="60" t="s">
        <v>6774</v>
      </c>
      <c r="H29" s="60" t="s">
        <v>6775</v>
      </c>
      <c r="I29" s="60" t="s">
        <v>6776</v>
      </c>
      <c r="J29" s="51" t="n">
        <v>-19.944784</v>
      </c>
      <c r="K29" s="51" t="n">
        <v>-43.985349</v>
      </c>
      <c r="L29" s="51" t="n">
        <v>606179.045497902</v>
      </c>
      <c r="M29" s="51" t="n">
        <v>7794308.14986867</v>
      </c>
    </row>
    <row r="30">
      <c r="A30" s="20" t="s">
        <v>6777</v>
      </c>
      <c r="B30" s="20" t="s">
        <v>6778</v>
      </c>
      <c r="C30" s="61" t="s">
        <v>6779</v>
      </c>
      <c r="D30" s="60" t="s">
        <v>6696</v>
      </c>
      <c r="E30" s="60" t="s">
        <v>6689</v>
      </c>
      <c r="F30" s="60" t="s">
        <v>6690</v>
      </c>
      <c r="G30" s="60" t="s">
        <v>6780</v>
      </c>
      <c r="H30" s="60" t="s">
        <v>6781</v>
      </c>
      <c r="I30" s="60" t="s">
        <v>6782</v>
      </c>
      <c r="J30" s="51" t="n">
        <v>-20.009337</v>
      </c>
      <c r="K30" s="51" t="n">
        <v>-44.030256</v>
      </c>
      <c r="L30" s="51" t="n">
        <v>601438.043651857</v>
      </c>
      <c r="M30" s="51" t="n">
        <v>7787191.70761338</v>
      </c>
    </row>
    <row r="31">
      <c r="A31" s="20" t="s">
        <v>6783</v>
      </c>
      <c r="B31" s="20" t="s">
        <v>6784</v>
      </c>
      <c r="C31" s="61" t="s">
        <v>6785</v>
      </c>
      <c r="D31" s="60" t="s">
        <v>6786</v>
      </c>
      <c r="E31" s="60" t="s">
        <v>6647</v>
      </c>
      <c r="F31" s="60" t="s">
        <v>6648</v>
      </c>
      <c r="G31" s="60" t="s">
        <v>6787</v>
      </c>
      <c r="H31" s="60" t="s">
        <v>6788</v>
      </c>
      <c r="I31" s="60" t="s">
        <v>6789</v>
      </c>
      <c r="J31" s="51" t="n">
        <v>-19.899151</v>
      </c>
      <c r="K31" s="51" t="n">
        <v>-43.89782</v>
      </c>
      <c r="L31" s="51" t="n">
        <v>615372.541039571</v>
      </c>
      <c r="M31" s="51" t="n">
        <v>7799300.84643385</v>
      </c>
    </row>
    <row r="32">
      <c r="A32" s="20" t="s">
        <v>6790</v>
      </c>
      <c r="B32" s="20" t="s">
        <v>6791</v>
      </c>
      <c r="C32" s="61" t="s">
        <v>6792</v>
      </c>
      <c r="D32" s="60" t="s">
        <v>6793</v>
      </c>
      <c r="E32" s="60" t="s">
        <v>6794</v>
      </c>
      <c r="F32" s="60" t="s">
        <v>6795</v>
      </c>
      <c r="G32" s="60" t="s">
        <v>6796</v>
      </c>
      <c r="H32" s="60" t="s">
        <v>6797</v>
      </c>
      <c r="I32" s="60" t="s">
        <v>6798</v>
      </c>
      <c r="J32" s="51" t="n">
        <v>-19.886157</v>
      </c>
      <c r="K32" s="51" t="n">
        <v>-43.931165</v>
      </c>
      <c r="L32" s="51" t="n">
        <v>611890.908358128</v>
      </c>
      <c r="M32" s="51" t="n">
        <v>7800761.45155664</v>
      </c>
    </row>
    <row r="33" ht="28.5" customHeight="1">
      <c r="A33" s="20" t="s">
        <v>6799</v>
      </c>
      <c r="B33" s="20" t="s">
        <v>6800</v>
      </c>
      <c r="C33" s="61" t="s">
        <v>6801</v>
      </c>
      <c r="D33" s="60" t="s">
        <v>6802</v>
      </c>
      <c r="E33" s="60" t="s">
        <v>6660</v>
      </c>
      <c r="F33" s="60" t="s">
        <v>6803</v>
      </c>
      <c r="G33" s="60" t="s">
        <v>6804</v>
      </c>
      <c r="H33" s="60" t="s">
        <v>6805</v>
      </c>
      <c r="I33" s="60" t="s">
        <v>6806</v>
      </c>
      <c r="J33" s="51" t="n">
        <v>-19.9358291953882</v>
      </c>
      <c r="K33" s="51" t="n">
        <v>-43.9020488344167</v>
      </c>
      <c r="L33" s="51" t="n">
        <v>614903.335389076</v>
      </c>
      <c r="M33" s="51" t="n">
        <v>7795244.39196035</v>
      </c>
    </row>
    <row r="34">
      <c r="A34" s="20" t="s">
        <v>6807</v>
      </c>
      <c r="B34" s="20" t="s">
        <v>6808</v>
      </c>
      <c r="C34" s="61" t="s">
        <v>6809</v>
      </c>
      <c r="D34" s="60" t="s">
        <v>6810</v>
      </c>
      <c r="E34" s="60" t="s">
        <v>6660</v>
      </c>
      <c r="F34" s="60" t="s">
        <v>6803</v>
      </c>
      <c r="G34" s="60" t="s">
        <v>6811</v>
      </c>
      <c r="H34" s="60" t="s">
        <v>6630</v>
      </c>
      <c r="I34" s="60" t="s">
        <v>6812</v>
      </c>
      <c r="J34" s="51" t="n">
        <v>-19.943971</v>
      </c>
      <c r="K34" s="51" t="n">
        <v>-43.90923</v>
      </c>
      <c r="L34" s="51" t="n">
        <v>614145.887044146</v>
      </c>
      <c r="M34" s="51" t="n">
        <v>7794348.1951641</v>
      </c>
    </row>
    <row r="35" ht="28.5" customHeight="1">
      <c r="A35" s="20" t="s">
        <v>6813</v>
      </c>
      <c r="B35" s="20" t="s">
        <v>6814</v>
      </c>
      <c r="C35" s="60" t="s">
        <v>6815</v>
      </c>
      <c r="D35" s="60" t="s">
        <v>6816</v>
      </c>
      <c r="E35" s="60" t="s">
        <v>6722</v>
      </c>
      <c r="F35" s="60" t="s">
        <v>6817</v>
      </c>
      <c r="G35" s="60" t="s">
        <v>6818</v>
      </c>
      <c r="H35" s="60" t="s">
        <v>6819</v>
      </c>
      <c r="I35" s="60"/>
      <c r="J35" s="51" t="n">
        <v>-19.846976</v>
      </c>
      <c r="K35" s="51" t="n">
        <v>-43.944703</v>
      </c>
      <c r="L35" s="51" t="n">
        <v>610500.703541993</v>
      </c>
      <c r="M35" s="51" t="n">
        <v>7805106.66348712</v>
      </c>
    </row>
    <row r="36" ht="28.5" customHeight="1">
      <c r="A36" s="20" t="s">
        <v>6820</v>
      </c>
      <c r="B36" s="20" t="s">
        <v>6821</v>
      </c>
      <c r="C36" s="61" t="s">
        <v>6822</v>
      </c>
      <c r="D36" s="60" t="s">
        <v>6823</v>
      </c>
      <c r="E36" s="60" t="s">
        <v>6647</v>
      </c>
      <c r="F36" s="60" t="s">
        <v>6824</v>
      </c>
      <c r="G36" s="60" t="s">
        <v>6825</v>
      </c>
      <c r="H36" s="60" t="s">
        <v>6826</v>
      </c>
      <c r="I36" s="60" t="s">
        <v>6827</v>
      </c>
      <c r="J36" s="51" t="n">
        <v>-19.9135937180949</v>
      </c>
      <c r="K36" s="51" t="n">
        <v>-43.92060390072</v>
      </c>
      <c r="L36" s="51" t="n">
        <v>612977.123220764</v>
      </c>
      <c r="M36" s="51" t="n">
        <v>7797717.86997611</v>
      </c>
    </row>
    <row r="37" ht="28.5" customHeight="1">
      <c r="A37" s="20" t="s">
        <v>6828</v>
      </c>
      <c r="B37" s="20" t="s">
        <v>6829</v>
      </c>
      <c r="C37" s="60" t="s">
        <v>6830</v>
      </c>
      <c r="D37" s="60" t="s">
        <v>6582</v>
      </c>
      <c r="E37" s="60" t="s">
        <v>6583</v>
      </c>
      <c r="F37" s="60" t="s">
        <v>6584</v>
      </c>
      <c r="G37" s="60" t="s">
        <v>6831</v>
      </c>
      <c r="H37" s="60" t="s">
        <v>6832</v>
      </c>
      <c r="I37" s="60"/>
      <c r="J37" s="51" t="n">
        <v>-19.912288</v>
      </c>
      <c r="K37" s="51" t="n">
        <v>-43.974026</v>
      </c>
      <c r="L37" s="51" t="n">
        <v>607386.001007346</v>
      </c>
      <c r="M37" s="51" t="n">
        <v>7797897.37506493</v>
      </c>
    </row>
    <row r="38" ht="28.5" customHeight="1">
      <c r="A38" s="20" t="s">
        <v>6833</v>
      </c>
      <c r="B38" s="20" t="s">
        <v>6834</v>
      </c>
      <c r="C38" s="60" t="s">
        <v>6835</v>
      </c>
      <c r="D38" s="61" t="s">
        <v>6836</v>
      </c>
      <c r="E38" s="61" t="s">
        <v>6636</v>
      </c>
      <c r="F38" s="61" t="s">
        <v>6837</v>
      </c>
      <c r="G38" s="60" t="s">
        <v>6838</v>
      </c>
      <c r="H38" s="61" t="s">
        <v>6839</v>
      </c>
      <c r="I38" s="61" t="s">
        <v>6840</v>
      </c>
      <c r="J38" s="51" t="n">
        <v>-19.8210991468828</v>
      </c>
      <c r="K38" s="51" t="n">
        <v>-43.9652110332285</v>
      </c>
      <c r="L38" s="51" t="n">
        <v>608370.665075777</v>
      </c>
      <c r="M38" s="51" t="n">
        <v>7807983.80515501</v>
      </c>
    </row>
    <row r="39" ht="28.5" customHeight="1">
      <c r="A39" s="20" t="s">
        <v>6841</v>
      </c>
      <c r="B39" s="20" t="s">
        <v>6842</v>
      </c>
      <c r="C39" s="60" t="s">
        <v>6843</v>
      </c>
      <c r="D39" s="60" t="s">
        <v>6844</v>
      </c>
      <c r="E39" s="60" t="s">
        <v>6660</v>
      </c>
      <c r="F39" s="60" t="s">
        <v>6845</v>
      </c>
      <c r="G39" s="60" t="s">
        <v>6846</v>
      </c>
      <c r="H39" s="60" t="s">
        <v>6847</v>
      </c>
      <c r="I39" s="60"/>
      <c r="J39" s="51" t="n">
        <v>-19.9342659628409</v>
      </c>
      <c r="K39" s="51" t="n">
        <v>-43.9048487895253</v>
      </c>
      <c r="L39" s="51" t="n">
        <v>614611.413122265</v>
      </c>
      <c r="M39" s="51" t="n">
        <v>7795419.31499857</v>
      </c>
    </row>
    <row r="40" ht="28.5" customHeight="1">
      <c r="A40" s="20" t="s">
        <v>6848</v>
      </c>
      <c r="B40" s="20" t="s">
        <v>6849</v>
      </c>
      <c r="C40" s="60" t="s">
        <v>6850</v>
      </c>
      <c r="D40" s="60" t="s">
        <v>6844</v>
      </c>
      <c r="E40" s="60" t="s">
        <v>6660</v>
      </c>
      <c r="F40" s="60" t="s">
        <v>6845</v>
      </c>
      <c r="G40" s="60" t="s">
        <v>6851</v>
      </c>
      <c r="H40" s="60" t="s">
        <v>6852</v>
      </c>
      <c r="I40" s="60"/>
      <c r="J40" s="51" t="n">
        <v>-19.938719</v>
      </c>
      <c r="K40" s="51" t="n">
        <v>-43.911972</v>
      </c>
      <c r="L40" s="51" t="n">
        <v>613862.683148885</v>
      </c>
      <c r="M40" s="51" t="n">
        <v>7794931.32003017</v>
      </c>
    </row>
    <row r="41" ht="29.25" customHeight="1">
      <c r="A41" s="20" t="s">
        <v>6853</v>
      </c>
      <c r="B41" s="20" t="s">
        <v>6854</v>
      </c>
      <c r="C41" s="63" t="s">
        <v>6855</v>
      </c>
      <c r="D41" s="64" t="s">
        <v>6856</v>
      </c>
      <c r="E41" s="64" t="s">
        <v>6689</v>
      </c>
      <c r="F41" s="65" t="s">
        <v>6857</v>
      </c>
      <c r="G41" s="60" t="s">
        <v>6858</v>
      </c>
      <c r="H41" s="61" t="s">
        <v>6859</v>
      </c>
      <c r="I41" s="61" t="s">
        <v>6860</v>
      </c>
      <c r="J41" s="51" t="n">
        <v>-19.997534</v>
      </c>
      <c r="K41" s="51" t="n">
        <v>-44.005737</v>
      </c>
      <c r="L41" s="51" t="n">
        <v>604010.753422214</v>
      </c>
      <c r="M41" s="51" t="n">
        <v>7788482.93598698</v>
      </c>
    </row>
    <row r="42" ht="28.5" customHeight="1">
      <c r="A42" s="20" t="s">
        <v>6861</v>
      </c>
      <c r="B42" s="20" t="s">
        <v>6862</v>
      </c>
      <c r="C42" s="61" t="s">
        <v>6863</v>
      </c>
      <c r="D42" s="60" t="s">
        <v>6864</v>
      </c>
      <c r="E42" s="60" t="s">
        <v>6627</v>
      </c>
      <c r="F42" s="60" t="s">
        <v>6628</v>
      </c>
      <c r="G42" s="60" t="s">
        <v>6865</v>
      </c>
      <c r="H42" s="60" t="s">
        <v>6866</v>
      </c>
      <c r="I42" s="60" t="s">
        <v>6867</v>
      </c>
      <c r="J42" s="51" t="n">
        <v>-19.942341719004</v>
      </c>
      <c r="K42" s="51" t="n">
        <v>-43.9627538639479</v>
      </c>
      <c r="L42" s="51" t="n">
        <v>608545.4</v>
      </c>
      <c r="M42" s="51" t="n">
        <v>7794564</v>
      </c>
    </row>
    <row r="43" ht="42.75" customHeight="1">
      <c r="A43" s="20" t="s">
        <v>6868</v>
      </c>
      <c r="B43" s="20" t="s">
        <v>6869</v>
      </c>
      <c r="C43" s="60" t="s">
        <v>6870</v>
      </c>
      <c r="D43" s="60" t="s">
        <v>6659</v>
      </c>
      <c r="E43" s="60" t="s">
        <v>6660</v>
      </c>
      <c r="F43" s="60" t="s">
        <v>6661</v>
      </c>
      <c r="G43" s="60" t="s">
        <v>6871</v>
      </c>
      <c r="H43" s="60" t="s">
        <v>6872</v>
      </c>
      <c r="I43" s="60" t="s">
        <v>6873</v>
      </c>
      <c r="J43" s="51" t="n">
        <v>-19.925428</v>
      </c>
      <c r="K43" s="51" t="n">
        <v>-43.932015</v>
      </c>
      <c r="L43" s="51" t="n">
        <v>611774.331814182</v>
      </c>
      <c r="M43" s="51" t="n">
        <v>7796415.74909983</v>
      </c>
    </row>
    <row r="44" ht="28.5" customHeight="1">
      <c r="A44" s="20" t="s">
        <v>6874</v>
      </c>
      <c r="B44" s="20" t="s">
        <v>6875</v>
      </c>
      <c r="C44" s="61" t="s">
        <v>6876</v>
      </c>
      <c r="D44" s="60" t="s">
        <v>6877</v>
      </c>
      <c r="E44" s="60" t="s">
        <v>6794</v>
      </c>
      <c r="F44" s="60" t="s">
        <v>6878</v>
      </c>
      <c r="G44" s="60" t="s">
        <v>6879</v>
      </c>
      <c r="H44" s="60" t="s">
        <v>6880</v>
      </c>
      <c r="I44" s="60" t="s">
        <v>6881</v>
      </c>
      <c r="J44" s="51" t="n">
        <v>-19.8672450249402</v>
      </c>
      <c r="K44" s="51" t="n">
        <v>-43.9252185700622</v>
      </c>
      <c r="L44" s="51" t="n">
        <v>612526.816999137</v>
      </c>
      <c r="M44" s="51" t="n">
        <v>7802850.54499963</v>
      </c>
    </row>
    <row r="45" ht="28.5" customHeight="1">
      <c r="A45" s="20" t="s">
        <v>6882</v>
      </c>
      <c r="B45" s="20" t="s">
        <v>6883</v>
      </c>
      <c r="C45" s="60" t="s">
        <v>6884</v>
      </c>
      <c r="D45" s="61" t="s">
        <v>6885</v>
      </c>
      <c r="E45" s="61" t="s">
        <v>6583</v>
      </c>
      <c r="F45" s="61" t="s">
        <v>6744</v>
      </c>
      <c r="G45" s="60" t="s">
        <v>6886</v>
      </c>
      <c r="H45" s="61" t="s">
        <v>6887</v>
      </c>
      <c r="I45" s="61" t="s">
        <v>6888</v>
      </c>
      <c r="J45" s="51" t="n">
        <v>-19.904637</v>
      </c>
      <c r="K45" s="51" t="n">
        <v>-43.945004</v>
      </c>
      <c r="L45" s="51" t="n">
        <v>610429.229089874</v>
      </c>
      <c r="M45" s="51" t="n">
        <v>7798725.34568792</v>
      </c>
    </row>
    <row r="46" ht="15" customHeight="1">
      <c r="A46" s="52" t="s">
        <v>6889</v>
      </c>
      <c r="B46" s="20" t="s">
        <v>6890</v>
      </c>
      <c r="C46" s="66" t="s">
        <v>6891</v>
      </c>
      <c r="D46" s="61" t="s">
        <v>6892</v>
      </c>
      <c r="E46" s="61" t="s">
        <v>6636</v>
      </c>
      <c r="F46" s="67" t="s">
        <v>6837</v>
      </c>
      <c r="G46" s="60" t="s">
        <v>6893</v>
      </c>
      <c r="H46" s="61" t="s">
        <v>6894</v>
      </c>
      <c r="I46" s="68" t="s">
        <v>6895</v>
      </c>
      <c r="J46" s="51" t="n">
        <v>-19.8174392817049</v>
      </c>
      <c r="K46" s="51" t="n">
        <v>-43.973837175169</v>
      </c>
      <c r="L46" s="51" t="n">
        <v>607469.657088748</v>
      </c>
      <c r="M46" s="51" t="n">
        <v>7808394.35840612</v>
      </c>
    </row>
    <row r="47">
      <c r="A47" s="52" t="s">
        <v>6896</v>
      </c>
      <c r="B47" s="20" t="s">
        <v>6897</v>
      </c>
      <c r="C47" s="60" t="s">
        <v>6898</v>
      </c>
      <c r="D47" s="61" t="s">
        <v>6899</v>
      </c>
      <c r="E47" s="61" t="s">
        <v>6794</v>
      </c>
      <c r="F47" s="67" t="s">
        <v>6900</v>
      </c>
      <c r="G47" s="60" t="s">
        <v>6901</v>
      </c>
      <c r="H47" s="61" t="s">
        <v>6902</v>
      </c>
      <c r="I47" s="68" t="s">
        <v>6903</v>
      </c>
      <c r="J47" s="51" t="n">
        <v>-19.895168</v>
      </c>
      <c r="K47" s="51" t="n">
        <v>-43.93748</v>
      </c>
      <c r="L47" s="51" t="n">
        <v>611223.471380695</v>
      </c>
      <c r="M47" s="51" t="n">
        <v>7799768.35716982</v>
      </c>
    </row>
    <row r="48">
      <c r="A48" s="52" t="s">
        <v>6904</v>
      </c>
      <c r="B48" s="20" t="s">
        <v>6905</v>
      </c>
      <c r="C48" s="61" t="s">
        <v>6906</v>
      </c>
      <c r="D48" s="60" t="s">
        <v>6757</v>
      </c>
      <c r="E48" s="60" t="s">
        <v>6647</v>
      </c>
      <c r="F48" s="60" t="s">
        <v>6758</v>
      </c>
      <c r="G48" s="60" t="s">
        <v>6907</v>
      </c>
      <c r="H48" s="60" t="s">
        <v>6908</v>
      </c>
      <c r="I48" s="60" t="s">
        <v>6909</v>
      </c>
      <c r="J48" s="51" t="n">
        <v>-19.910578</v>
      </c>
      <c r="K48" s="51" t="n">
        <v>-43.889509</v>
      </c>
      <c r="L48" s="51" t="n">
        <v>616234.246562631</v>
      </c>
      <c r="M48" s="51" t="n">
        <v>7798030.44549926</v>
      </c>
    </row>
    <row r="49">
      <c r="A49" s="52" t="s">
        <v>6910</v>
      </c>
      <c r="B49" s="20" t="s">
        <v>6911</v>
      </c>
      <c r="C49" s="61" t="s">
        <v>6912</v>
      </c>
      <c r="D49" s="60" t="s">
        <v>6913</v>
      </c>
      <c r="E49" s="60" t="s">
        <v>6627</v>
      </c>
      <c r="F49" s="60" t="s">
        <v>6681</v>
      </c>
      <c r="G49" s="60" t="s">
        <v>6914</v>
      </c>
      <c r="H49" s="60" t="s">
        <v>6915</v>
      </c>
      <c r="I49" s="60"/>
      <c r="J49" s="51" t="n">
        <v>-19.9620441760786</v>
      </c>
      <c r="K49" s="51" t="n">
        <v>-43.9886459283307</v>
      </c>
      <c r="L49" s="51" t="n">
        <v>605822.5</v>
      </c>
      <c r="M49" s="51" t="n">
        <v>7792400</v>
      </c>
    </row>
    <row r="50">
      <c r="A50" s="52" t="s">
        <v>6916</v>
      </c>
      <c r="B50" s="20" t="s">
        <v>6917</v>
      </c>
      <c r="C50" s="60" t="s">
        <v>6918</v>
      </c>
      <c r="D50" s="61" t="s">
        <v>6919</v>
      </c>
      <c r="E50" s="61" t="s">
        <v>6647</v>
      </c>
      <c r="F50" s="61" t="s">
        <v>6648</v>
      </c>
      <c r="G50" s="60" t="s">
        <v>6920</v>
      </c>
      <c r="H50" s="61" t="s">
        <v>6921</v>
      </c>
      <c r="I50" s="61" t="s">
        <v>6922</v>
      </c>
      <c r="J50" s="51" t="n">
        <v>-19.8923351093672</v>
      </c>
      <c r="K50" s="51" t="n">
        <v>-43.8970224533736</v>
      </c>
      <c r="L50" s="51" t="n">
        <v>615460.97600801</v>
      </c>
      <c r="M50" s="51" t="n">
        <v>7800054.64528492</v>
      </c>
    </row>
    <row r="51" ht="28.5" customHeight="1">
      <c r="A51" s="52" t="s">
        <v>6923</v>
      </c>
      <c r="B51" s="20" t="s">
        <v>6924</v>
      </c>
      <c r="C51" s="60" t="s">
        <v>6925</v>
      </c>
      <c r="D51" s="60" t="s">
        <v>6926</v>
      </c>
      <c r="E51" s="60" t="s">
        <v>6627</v>
      </c>
      <c r="F51" s="60" t="s">
        <v>6927</v>
      </c>
      <c r="G51" s="60" t="s">
        <v>6928</v>
      </c>
      <c r="H51" s="60" t="s">
        <v>6929</v>
      </c>
      <c r="I51" s="60" t="s">
        <v>6930</v>
      </c>
      <c r="J51" s="51" t="n">
        <v>-19.9442619996108</v>
      </c>
      <c r="K51" s="51" t="n">
        <v>-43.9973083191755</v>
      </c>
      <c r="L51" s="51" t="n">
        <v>604927.797641245</v>
      </c>
      <c r="M51" s="51" t="n">
        <v>7794373.43775553</v>
      </c>
    </row>
    <row r="52">
      <c r="A52" s="52" t="s">
        <v>6931</v>
      </c>
      <c r="B52" s="20" t="s">
        <v>6932</v>
      </c>
      <c r="C52" s="60" t="s">
        <v>6933</v>
      </c>
      <c r="D52" s="60" t="s">
        <v>6934</v>
      </c>
      <c r="E52" s="60" t="s">
        <v>6794</v>
      </c>
      <c r="F52" s="60" t="s">
        <v>6900</v>
      </c>
      <c r="G52" s="60" t="s">
        <v>6935</v>
      </c>
      <c r="H52" s="60" t="s">
        <v>6866</v>
      </c>
      <c r="I52" s="60" t="s">
        <v>6936</v>
      </c>
      <c r="J52" s="51" t="n">
        <v>-19.893364</v>
      </c>
      <c r="K52" s="51" t="n">
        <v>-43.944802</v>
      </c>
      <c r="L52" s="51" t="n">
        <v>610458.196241076</v>
      </c>
      <c r="M52" s="51" t="n">
        <v>7799972.83284168</v>
      </c>
    </row>
    <row r="53" ht="15" customHeight="1">
      <c r="A53" s="52" t="s">
        <v>6937</v>
      </c>
      <c r="B53" s="20" t="s">
        <v>6938</v>
      </c>
      <c r="C53" s="63" t="s">
        <v>6939</v>
      </c>
      <c r="D53" s="64" t="s">
        <v>6844</v>
      </c>
      <c r="E53" s="64" t="s">
        <v>6660</v>
      </c>
      <c r="F53" s="65" t="s">
        <v>6845</v>
      </c>
      <c r="G53" s="63" t="s">
        <v>6940</v>
      </c>
      <c r="H53" s="61" t="s">
        <v>6941</v>
      </c>
      <c r="I53" s="68" t="s">
        <v>6942</v>
      </c>
      <c r="J53" s="51" t="n">
        <v>-19.936282</v>
      </c>
      <c r="K53" s="51" t="n">
        <v>-43.911029</v>
      </c>
      <c r="L53" s="51" t="n">
        <v>613963.125985861</v>
      </c>
      <c r="M53" s="51" t="n">
        <v>7795200.39473037</v>
      </c>
    </row>
    <row r="54">
      <c r="A54" s="52" t="s">
        <v>6943</v>
      </c>
      <c r="B54" s="20" t="s">
        <v>6944</v>
      </c>
      <c r="C54" s="61" t="s">
        <v>6945</v>
      </c>
      <c r="D54" s="60" t="s">
        <v>6946</v>
      </c>
      <c r="E54" s="60" t="s">
        <v>6583</v>
      </c>
      <c r="F54" s="60" t="s">
        <v>6591</v>
      </c>
      <c r="G54" s="60" t="s">
        <v>6947</v>
      </c>
      <c r="H54" s="60" t="s">
        <v>6948</v>
      </c>
      <c r="I54" s="60" t="s">
        <v>6949</v>
      </c>
      <c r="J54" s="51" t="n">
        <v>-19.9223262758621</v>
      </c>
      <c r="K54" s="51" t="n">
        <v>-44.0102449655172</v>
      </c>
      <c r="L54" s="51" t="n">
        <v>603588.221794225</v>
      </c>
      <c r="M54" s="51" t="n">
        <v>7796809.13733128</v>
      </c>
    </row>
    <row r="55">
      <c r="A55" s="52" t="s">
        <v>6950</v>
      </c>
      <c r="B55" s="20" t="s">
        <v>6951</v>
      </c>
      <c r="C55" s="61" t="s">
        <v>6952</v>
      </c>
      <c r="D55" s="60" t="s">
        <v>6953</v>
      </c>
      <c r="E55" s="60" t="s">
        <v>6627</v>
      </c>
      <c r="F55" s="60" t="s">
        <v>6927</v>
      </c>
      <c r="G55" s="60" t="s">
        <v>6954</v>
      </c>
      <c r="H55" s="60" t="s">
        <v>6955</v>
      </c>
      <c r="I55" s="60" t="s">
        <v>6956</v>
      </c>
      <c r="J55" s="51" t="n">
        <v>-19.940037</v>
      </c>
      <c r="K55" s="51" t="n">
        <v>-44.018184</v>
      </c>
      <c r="L55" s="51" t="n">
        <v>602745.804734156</v>
      </c>
      <c r="M55" s="51" t="n">
        <v>7794853.93338304</v>
      </c>
    </row>
    <row r="56">
      <c r="A56" s="52" t="s">
        <v>6957</v>
      </c>
      <c r="B56" s="20" t="s">
        <v>6958</v>
      </c>
      <c r="C56" s="61" t="s">
        <v>6959</v>
      </c>
      <c r="D56" s="60" t="s">
        <v>6960</v>
      </c>
      <c r="E56" s="60" t="s">
        <v>6794</v>
      </c>
      <c r="F56" s="60" t="s">
        <v>6961</v>
      </c>
      <c r="G56" s="60" t="s">
        <v>6962</v>
      </c>
      <c r="H56" s="60" t="s">
        <v>6963</v>
      </c>
      <c r="I56" s="60" t="s">
        <v>6964</v>
      </c>
      <c r="J56" s="51" t="n">
        <v>-19.8310443432768</v>
      </c>
      <c r="K56" s="51" t="n">
        <v>-43.8681133890602</v>
      </c>
      <c r="L56" s="51" t="n">
        <v>618533.046028839</v>
      </c>
      <c r="M56" s="51" t="n">
        <v>7806817.91494588</v>
      </c>
    </row>
    <row r="57" ht="15" customHeight="1">
      <c r="A57" s="52" t="s">
        <v>6965</v>
      </c>
      <c r="B57" s="20" t="s">
        <v>6966</v>
      </c>
      <c r="C57" s="66" t="s">
        <v>6967</v>
      </c>
      <c r="D57" s="61" t="s">
        <v>6968</v>
      </c>
      <c r="E57" s="61" t="s">
        <v>6636</v>
      </c>
      <c r="F57" s="67" t="s">
        <v>6969</v>
      </c>
      <c r="G57" s="60" t="s">
        <v>6970</v>
      </c>
      <c r="H57" s="61" t="s">
        <v>6971</v>
      </c>
      <c r="I57" s="68" t="s">
        <v>6972</v>
      </c>
      <c r="J57" s="51" t="n">
        <v>-19.819619</v>
      </c>
      <c r="K57" s="51" t="n">
        <v>-43.99834</v>
      </c>
      <c r="L57" s="51" t="n">
        <v>604901.850026855</v>
      </c>
      <c r="M57" s="51" t="n">
        <v>7808168.5254689</v>
      </c>
    </row>
    <row r="58">
      <c r="A58" s="52" t="s">
        <v>6973</v>
      </c>
      <c r="B58" s="20" t="s">
        <v>6974</v>
      </c>
      <c r="C58" s="60" t="s">
        <v>6975</v>
      </c>
      <c r="D58" s="61" t="s">
        <v>6976</v>
      </c>
      <c r="E58" s="61" t="s">
        <v>6627</v>
      </c>
      <c r="F58" s="61" t="s">
        <v>6927</v>
      </c>
      <c r="G58" s="60" t="s">
        <v>6977</v>
      </c>
      <c r="H58" s="61" t="s">
        <v>6978</v>
      </c>
      <c r="I58" s="61"/>
      <c r="J58" s="51" t="n">
        <v>-19.941177</v>
      </c>
      <c r="K58" s="51" t="n">
        <v>-44.000855</v>
      </c>
      <c r="L58" s="51" t="n">
        <v>604558.653084393</v>
      </c>
      <c r="M58" s="51" t="n">
        <v>7794717.07375733</v>
      </c>
    </row>
    <row r="59">
      <c r="A59" s="52" t="s">
        <v>6979</v>
      </c>
      <c r="B59" s="20" t="s">
        <v>6980</v>
      </c>
      <c r="C59" s="61" t="s">
        <v>6981</v>
      </c>
      <c r="D59" s="60" t="s">
        <v>6604</v>
      </c>
      <c r="E59" s="60" t="s">
        <v>6583</v>
      </c>
      <c r="F59" s="60" t="s">
        <v>6591</v>
      </c>
      <c r="G59" s="60" t="s">
        <v>6605</v>
      </c>
      <c r="H59" s="60" t="s">
        <v>6982</v>
      </c>
      <c r="I59" s="60" t="s">
        <v>6983</v>
      </c>
      <c r="J59" s="51" t="n">
        <v>-19.8978570423503</v>
      </c>
      <c r="K59" s="51" t="n">
        <v>-44.0220174624274</v>
      </c>
      <c r="L59" s="51" t="n">
        <v>602371.75652108</v>
      </c>
      <c r="M59" s="51" t="n">
        <v>7799524.39115249</v>
      </c>
    </row>
    <row r="60" ht="28.5" customHeight="1">
      <c r="A60" s="52" t="s">
        <v>6984</v>
      </c>
      <c r="B60" s="20" t="s">
        <v>6985</v>
      </c>
      <c r="C60" s="61" t="s">
        <v>6986</v>
      </c>
      <c r="D60" s="60" t="s">
        <v>6987</v>
      </c>
      <c r="E60" s="60" t="s">
        <v>6627</v>
      </c>
      <c r="F60" s="60" t="s">
        <v>6681</v>
      </c>
      <c r="G60" s="60" t="s">
        <v>6988</v>
      </c>
      <c r="H60" s="60" t="s">
        <v>6989</v>
      </c>
      <c r="I60" s="60" t="s">
        <v>6990</v>
      </c>
      <c r="J60" s="51" t="n">
        <v>-19.9577913973314</v>
      </c>
      <c r="K60" s="51" t="n">
        <v>-43.9840850153308</v>
      </c>
      <c r="L60" s="51" t="n">
        <v>606302.616382235</v>
      </c>
      <c r="M60" s="51" t="n">
        <v>7792867.78464642</v>
      </c>
    </row>
    <row r="61" ht="28.5" customHeight="1">
      <c r="A61" s="52" t="s">
        <v>6991</v>
      </c>
      <c r="B61" s="20" t="s">
        <v>6992</v>
      </c>
      <c r="C61" s="61" t="s">
        <v>6993</v>
      </c>
      <c r="D61" s="60" t="s">
        <v>6994</v>
      </c>
      <c r="E61" s="60" t="s">
        <v>6689</v>
      </c>
      <c r="F61" s="60" t="s">
        <v>6995</v>
      </c>
      <c r="G61" s="60" t="s">
        <v>6996</v>
      </c>
      <c r="H61" s="60" t="s">
        <v>6997</v>
      </c>
      <c r="I61" s="60" t="s">
        <v>6998</v>
      </c>
      <c r="J61" s="51" t="n">
        <v>-19.9643106332649</v>
      </c>
      <c r="K61" s="51" t="n">
        <v>-44.0013670115727</v>
      </c>
      <c r="L61" s="51" t="n">
        <v>604489.838627592</v>
      </c>
      <c r="M61" s="51" t="n">
        <v>7792157.13767866</v>
      </c>
    </row>
    <row r="62">
      <c r="A62" s="52" t="s">
        <v>6999</v>
      </c>
      <c r="B62" s="20" t="s">
        <v>7000</v>
      </c>
      <c r="C62" s="60" t="s">
        <v>7001</v>
      </c>
      <c r="D62" s="61" t="s">
        <v>7002</v>
      </c>
      <c r="E62" s="61" t="s">
        <v>6689</v>
      </c>
      <c r="F62" s="61" t="s">
        <v>7003</v>
      </c>
      <c r="G62" s="60" t="s">
        <v>7004</v>
      </c>
      <c r="H62" s="61" t="s">
        <v>7005</v>
      </c>
      <c r="I62" s="61"/>
      <c r="J62" s="51" t="n">
        <v>-19.986316</v>
      </c>
      <c r="K62" s="51" t="n">
        <v>-44.035639</v>
      </c>
      <c r="L62" s="51" t="n">
        <v>600889.59160263</v>
      </c>
      <c r="M62" s="51" t="n">
        <v>7789742.74183486</v>
      </c>
    </row>
    <row r="63" ht="15" customHeight="1">
      <c r="A63" s="52" t="s">
        <v>7006</v>
      </c>
      <c r="B63" s="20" t="s">
        <v>7007</v>
      </c>
      <c r="C63" s="63" t="s">
        <v>7008</v>
      </c>
      <c r="D63" s="64" t="s">
        <v>6597</v>
      </c>
      <c r="E63" s="64" t="s">
        <v>6583</v>
      </c>
      <c r="F63" s="65" t="s">
        <v>6591</v>
      </c>
      <c r="G63" s="60" t="s">
        <v>7009</v>
      </c>
      <c r="H63" s="61" t="s">
        <v>7010</v>
      </c>
      <c r="I63" s="68" t="s">
        <v>7011</v>
      </c>
      <c r="J63" s="51" t="n">
        <v>-19.911996</v>
      </c>
      <c r="K63" s="51" t="n">
        <v>-43.999577</v>
      </c>
      <c r="L63" s="51" t="n">
        <v>604711.624358716</v>
      </c>
      <c r="M63" s="51" t="n">
        <v>7797945.80115868</v>
      </c>
    </row>
    <row r="64">
      <c r="A64" s="52" t="s">
        <v>7012</v>
      </c>
      <c r="B64" s="20" t="s">
        <v>7013</v>
      </c>
      <c r="C64" s="61" t="s">
        <v>7014</v>
      </c>
      <c r="D64" s="60" t="s">
        <v>7015</v>
      </c>
      <c r="E64" s="60" t="s">
        <v>6583</v>
      </c>
      <c r="F64" s="60" t="s">
        <v>6766</v>
      </c>
      <c r="G64" s="60" t="s">
        <v>7016</v>
      </c>
      <c r="H64" s="60" t="s">
        <v>7017</v>
      </c>
      <c r="I64" s="60" t="s">
        <v>7018</v>
      </c>
      <c r="J64" s="51" t="n">
        <v>-19.9232363608125</v>
      </c>
      <c r="K64" s="51" t="n">
        <v>-43.9998858230398</v>
      </c>
      <c r="L64" s="51" t="n">
        <v>604671.9</v>
      </c>
      <c r="M64" s="51" t="n">
        <v>7796702</v>
      </c>
    </row>
    <row r="65" ht="28.5" customHeight="1">
      <c r="A65" s="52" t="s">
        <v>7019</v>
      </c>
      <c r="B65" s="20" t="s">
        <v>7020</v>
      </c>
      <c r="C65" s="60" t="s">
        <v>7021</v>
      </c>
      <c r="D65" s="60" t="s">
        <v>7022</v>
      </c>
      <c r="E65" s="60" t="s">
        <v>6794</v>
      </c>
      <c r="F65" s="60" t="s">
        <v>6961</v>
      </c>
      <c r="G65" s="60" t="s">
        <v>7023</v>
      </c>
      <c r="H65" s="60" t="s">
        <v>7024</v>
      </c>
      <c r="I65" s="60" t="s">
        <v>7025</v>
      </c>
      <c r="J65" s="51" t="n">
        <v>-19.825631</v>
      </c>
      <c r="K65" s="51" t="n">
        <v>-43.898745</v>
      </c>
      <c r="L65" s="51" t="n">
        <v>615328.8489143</v>
      </c>
      <c r="M65" s="51" t="n">
        <v>7807438.24192741</v>
      </c>
    </row>
    <row r="66">
      <c r="A66" s="52" t="s">
        <v>7026</v>
      </c>
      <c r="B66" s="20" t="s">
        <v>7027</v>
      </c>
      <c r="C66" s="60" t="s">
        <v>7028</v>
      </c>
      <c r="D66" s="61" t="s">
        <v>7029</v>
      </c>
      <c r="E66" s="61" t="s">
        <v>6794</v>
      </c>
      <c r="F66" s="61" t="s">
        <v>6900</v>
      </c>
      <c r="G66" s="60" t="s">
        <v>7030</v>
      </c>
      <c r="H66" s="61" t="s">
        <v>7031</v>
      </c>
      <c r="I66" s="61" t="s">
        <v>7032</v>
      </c>
      <c r="J66" s="51" t="n">
        <v>-19.873896</v>
      </c>
      <c r="K66" s="51" t="n">
        <v>-43.946066</v>
      </c>
      <c r="L66" s="51" t="n">
        <v>610339.350151477</v>
      </c>
      <c r="M66" s="51" t="n">
        <v>7802128.24458738</v>
      </c>
    </row>
    <row r="67" ht="15" customHeight="1">
      <c r="A67" s="52" t="s">
        <v>7033</v>
      </c>
      <c r="B67" s="20" t="s">
        <v>7034</v>
      </c>
      <c r="C67" s="63" t="s">
        <v>7035</v>
      </c>
      <c r="D67" s="64" t="s">
        <v>7036</v>
      </c>
      <c r="E67" s="64" t="s">
        <v>6583</v>
      </c>
      <c r="F67" s="65" t="s">
        <v>6591</v>
      </c>
      <c r="G67" s="63" t="s">
        <v>6605</v>
      </c>
      <c r="H67" s="61" t="s">
        <v>7037</v>
      </c>
      <c r="I67" s="69" t="s">
        <v>7038</v>
      </c>
      <c r="J67" s="51" t="n">
        <v>-19.901539662219</v>
      </c>
      <c r="K67" s="51" t="n">
        <v>-44.0165572321331</v>
      </c>
      <c r="L67" s="51" t="n">
        <v>602940.976111377</v>
      </c>
      <c r="M67" s="51" t="n">
        <v>7799113.50034717</v>
      </c>
    </row>
    <row r="68">
      <c r="A68" s="52" t="s">
        <v>7039</v>
      </c>
      <c r="B68" s="20" t="s">
        <v>7040</v>
      </c>
      <c r="C68" s="61" t="s">
        <v>7041</v>
      </c>
      <c r="D68" s="60" t="s">
        <v>7042</v>
      </c>
      <c r="E68" s="60" t="s">
        <v>6794</v>
      </c>
      <c r="F68" s="60" t="s">
        <v>7043</v>
      </c>
      <c r="G68" s="60" t="s">
        <v>7044</v>
      </c>
      <c r="H68" s="60" t="s">
        <v>7045</v>
      </c>
      <c r="I68" s="60" t="s">
        <v>7046</v>
      </c>
      <c r="J68" s="51" t="n">
        <v>-19.863472</v>
      </c>
      <c r="K68" s="51" t="n">
        <v>-43.897747</v>
      </c>
      <c r="L68" s="51" t="n">
        <v>615406.02032732</v>
      </c>
      <c r="M68" s="51" t="n">
        <v>7803249.54757507</v>
      </c>
    </row>
    <row r="69">
      <c r="A69" s="52" t="s">
        <v>7047</v>
      </c>
      <c r="B69" s="20" t="s">
        <v>7048</v>
      </c>
      <c r="C69" s="61" t="s">
        <v>7049</v>
      </c>
      <c r="D69" s="60" t="s">
        <v>7050</v>
      </c>
      <c r="E69" s="60" t="s">
        <v>6647</v>
      </c>
      <c r="F69" s="60" t="s">
        <v>6758</v>
      </c>
      <c r="G69" s="60" t="s">
        <v>7051</v>
      </c>
      <c r="H69" s="60" t="s">
        <v>7052</v>
      </c>
      <c r="I69" s="60" t="s">
        <v>7053</v>
      </c>
      <c r="J69" s="51" t="n">
        <v>-19.908559</v>
      </c>
      <c r="K69" s="51" t="n">
        <v>-43.885197</v>
      </c>
      <c r="L69" s="51" t="n">
        <v>616687.105024753</v>
      </c>
      <c r="M69" s="51" t="n">
        <v>7798250.91299888</v>
      </c>
    </row>
    <row r="70">
      <c r="A70" s="52" t="s">
        <v>7054</v>
      </c>
      <c r="B70" s="20" t="s">
        <v>7055</v>
      </c>
      <c r="C70" s="60" t="s">
        <v>7056</v>
      </c>
      <c r="D70" s="60" t="s">
        <v>7057</v>
      </c>
      <c r="E70" s="60" t="s">
        <v>6627</v>
      </c>
      <c r="F70" s="60" t="s">
        <v>6681</v>
      </c>
      <c r="G70" s="60" t="s">
        <v>7058</v>
      </c>
      <c r="H70" s="60" t="s">
        <v>7059</v>
      </c>
      <c r="I70" s="60" t="s">
        <v>7060</v>
      </c>
      <c r="J70" s="51" t="n">
        <v>-19.962648</v>
      </c>
      <c r="K70" s="51" t="n">
        <v>-43.970372</v>
      </c>
      <c r="L70" s="51" t="n">
        <v>607734.330342716</v>
      </c>
      <c r="M70" s="51" t="n">
        <v>7792321.54396022</v>
      </c>
    </row>
    <row r="71">
      <c r="A71" s="52" t="s">
        <v>7061</v>
      </c>
      <c r="B71" s="20" t="s">
        <v>7062</v>
      </c>
      <c r="C71" s="61" t="s">
        <v>7063</v>
      </c>
      <c r="D71" s="61" t="s">
        <v>7064</v>
      </c>
      <c r="E71" s="61" t="s">
        <v>6722</v>
      </c>
      <c r="F71" s="61" t="s">
        <v>6817</v>
      </c>
      <c r="G71" s="60" t="s">
        <v>7065</v>
      </c>
      <c r="H71" s="61" t="s">
        <v>7066</v>
      </c>
      <c r="I71" s="61" t="s">
        <v>7067</v>
      </c>
      <c r="J71" s="51" t="n">
        <v>-19.8452229099993</v>
      </c>
      <c r="K71" s="51" t="n">
        <v>-43.9426197911709</v>
      </c>
      <c r="L71" s="51" t="n">
        <v>610720.072329331</v>
      </c>
      <c r="M71" s="51" t="n">
        <v>7805299.31701631</v>
      </c>
    </row>
    <row r="72">
      <c r="A72" s="52" t="s">
        <v>7068</v>
      </c>
      <c r="B72" s="20" t="s">
        <v>7069</v>
      </c>
      <c r="C72" s="60" t="s">
        <v>7070</v>
      </c>
      <c r="D72" s="61" t="s">
        <v>7071</v>
      </c>
      <c r="E72" s="61" t="s">
        <v>6647</v>
      </c>
      <c r="F72" s="61" t="s">
        <v>6824</v>
      </c>
      <c r="G72" s="60" t="s">
        <v>6825</v>
      </c>
      <c r="H72" s="61" t="s">
        <v>7072</v>
      </c>
      <c r="I72" s="61"/>
      <c r="J72" s="51" t="n">
        <v>-19.9121972992281</v>
      </c>
      <c r="K72" s="51" t="n">
        <v>-43.920268486166</v>
      </c>
      <c r="L72" s="51" t="n">
        <v>613013.225326155</v>
      </c>
      <c r="M72" s="51" t="n">
        <v>7797872.19205102</v>
      </c>
    </row>
    <row r="73">
      <c r="A73" s="52" t="s">
        <v>7073</v>
      </c>
      <c r="B73" s="20" t="s">
        <v>7074</v>
      </c>
      <c r="C73" s="60" t="s">
        <v>7075</v>
      </c>
      <c r="D73" s="61" t="s">
        <v>7076</v>
      </c>
      <c r="E73" s="61" t="s">
        <v>6689</v>
      </c>
      <c r="F73" s="61" t="s">
        <v>6690</v>
      </c>
      <c r="G73" s="60" t="s">
        <v>7077</v>
      </c>
      <c r="H73" s="61" t="s">
        <v>7078</v>
      </c>
      <c r="I73" s="61"/>
      <c r="J73" s="51" t="n">
        <v>-20.019525</v>
      </c>
      <c r="K73" s="51" t="n">
        <v>-44.031443</v>
      </c>
      <c r="L73" s="51" t="n">
        <v>601307.346709106</v>
      </c>
      <c r="M73" s="51" t="n">
        <v>7786064.89619187</v>
      </c>
    </row>
    <row r="74">
      <c r="A74" s="52" t="s">
        <v>7079</v>
      </c>
      <c r="B74" s="20" t="s">
        <v>7080</v>
      </c>
      <c r="C74" s="61" t="s">
        <v>7081</v>
      </c>
      <c r="D74" s="60" t="s">
        <v>7082</v>
      </c>
      <c r="E74" s="60" t="s">
        <v>6722</v>
      </c>
      <c r="F74" s="60" t="s">
        <v>7083</v>
      </c>
      <c r="G74" s="60" t="s">
        <v>7084</v>
      </c>
      <c r="H74" s="60" t="s">
        <v>7085</v>
      </c>
      <c r="I74" s="60" t="s">
        <v>7086</v>
      </c>
      <c r="J74" s="51" t="n">
        <v>-19.8042429612425</v>
      </c>
      <c r="K74" s="51" t="n">
        <v>-43.9387403084779</v>
      </c>
      <c r="L74" s="51" t="n">
        <v>611154.828908111</v>
      </c>
      <c r="M74" s="51" t="n">
        <v>7809832.12201746</v>
      </c>
    </row>
    <row r="75">
      <c r="A75" s="52" t="s">
        <v>7087</v>
      </c>
      <c r="B75" s="20" t="s">
        <v>7088</v>
      </c>
      <c r="C75" s="60" t="s">
        <v>7089</v>
      </c>
      <c r="D75" s="60" t="s">
        <v>7090</v>
      </c>
      <c r="E75" s="60" t="s">
        <v>6722</v>
      </c>
      <c r="F75" s="60" t="s">
        <v>6723</v>
      </c>
      <c r="G75" s="60" t="s">
        <v>7091</v>
      </c>
      <c r="H75" s="60" t="s">
        <v>7092</v>
      </c>
      <c r="I75" s="60" t="s">
        <v>7093</v>
      </c>
      <c r="J75" s="51" t="n">
        <v>-19.8299095186803</v>
      </c>
      <c r="K75" s="51" t="n">
        <v>-43.9275669500969</v>
      </c>
      <c r="L75" s="51" t="n">
        <v>612307.188722613</v>
      </c>
      <c r="M75" s="51" t="n">
        <v>7806984.1487796</v>
      </c>
    </row>
    <row r="76">
      <c r="A76" s="52" t="s">
        <v>7094</v>
      </c>
      <c r="B76" s="20" t="s">
        <v>7095</v>
      </c>
      <c r="C76" s="61" t="s">
        <v>7096</v>
      </c>
      <c r="D76" s="60" t="s">
        <v>7097</v>
      </c>
      <c r="E76" s="60" t="s">
        <v>6583</v>
      </c>
      <c r="F76" s="60" t="s">
        <v>6591</v>
      </c>
      <c r="G76" s="60" t="s">
        <v>7098</v>
      </c>
      <c r="H76" s="60" t="s">
        <v>7099</v>
      </c>
      <c r="I76" s="60" t="s">
        <v>7100</v>
      </c>
      <c r="J76" s="51" t="n">
        <v>-19.909751</v>
      </c>
      <c r="K76" s="51" t="n">
        <v>-44.008965</v>
      </c>
      <c r="L76" s="51" t="n">
        <v>603730.394845414</v>
      </c>
      <c r="M76" s="51" t="n">
        <v>7798200.07607321</v>
      </c>
    </row>
    <row r="77">
      <c r="A77" s="52" t="s">
        <v>7101</v>
      </c>
      <c r="B77" s="20" t="s">
        <v>7102</v>
      </c>
      <c r="C77" s="60" t="s">
        <v>7103</v>
      </c>
      <c r="D77" s="61" t="s">
        <v>7104</v>
      </c>
      <c r="E77" s="61" t="s">
        <v>6583</v>
      </c>
      <c r="F77" s="67" t="s">
        <v>6584</v>
      </c>
      <c r="G77" s="60" t="s">
        <v>7105</v>
      </c>
      <c r="H77" s="61" t="s">
        <v>7106</v>
      </c>
      <c r="I77" s="68" t="s">
        <v>7107</v>
      </c>
      <c r="J77" s="51" t="n">
        <v>-19.903546</v>
      </c>
      <c r="K77" s="51" t="n">
        <v>-43.981609</v>
      </c>
      <c r="L77" s="51" t="n">
        <v>606598.099682714</v>
      </c>
      <c r="M77" s="51" t="n">
        <v>7798869.69649207</v>
      </c>
    </row>
    <row r="78">
      <c r="A78" s="52" t="s">
        <v>7108</v>
      </c>
      <c r="B78" s="20" t="s">
        <v>7109</v>
      </c>
      <c r="C78" s="61" t="s">
        <v>7110</v>
      </c>
      <c r="D78" s="60" t="s">
        <v>7111</v>
      </c>
      <c r="E78" s="60" t="s">
        <v>6583</v>
      </c>
      <c r="F78" s="60" t="s">
        <v>6766</v>
      </c>
      <c r="G78" s="60" t="s">
        <v>7112</v>
      </c>
      <c r="H78" s="60" t="s">
        <v>7113</v>
      </c>
      <c r="I78" s="60" t="s">
        <v>7114</v>
      </c>
      <c r="J78" s="51" t="n">
        <v>-19.927517</v>
      </c>
      <c r="K78" s="51" t="n">
        <v>-44.003463</v>
      </c>
      <c r="L78" s="51" t="n">
        <v>604294.675218148</v>
      </c>
      <c r="M78" s="51" t="n">
        <v>7796230.47633616</v>
      </c>
    </row>
    <row r="79" ht="28.5" customHeight="1">
      <c r="A79" s="52" t="s">
        <v>7115</v>
      </c>
      <c r="B79" s="20" t="s">
        <v>7116</v>
      </c>
      <c r="C79" s="60" t="s">
        <v>7117</v>
      </c>
      <c r="D79" s="61" t="s">
        <v>7118</v>
      </c>
      <c r="E79" s="61" t="s">
        <v>6794</v>
      </c>
      <c r="F79" s="61" t="s">
        <v>7043</v>
      </c>
      <c r="G79" s="60" t="s">
        <v>7119</v>
      </c>
      <c r="H79" s="61" t="s">
        <v>6941</v>
      </c>
      <c r="I79" s="61" t="s">
        <v>7120</v>
      </c>
      <c r="J79" s="51" t="n">
        <v>-19.8439256371452</v>
      </c>
      <c r="K79" s="51" t="n">
        <v>-43.8791566224917</v>
      </c>
      <c r="L79" s="51" t="n">
        <v>617367</v>
      </c>
      <c r="M79" s="51" t="n">
        <v>7805400</v>
      </c>
    </row>
    <row r="80">
      <c r="A80" s="52" t="s">
        <v>7121</v>
      </c>
      <c r="B80" s="20" t="s">
        <v>7122</v>
      </c>
      <c r="C80" s="61" t="s">
        <v>7123</v>
      </c>
      <c r="D80" s="60" t="s">
        <v>7076</v>
      </c>
      <c r="E80" s="60" t="s">
        <v>6689</v>
      </c>
      <c r="F80" s="60" t="s">
        <v>6690</v>
      </c>
      <c r="G80" s="60" t="s">
        <v>7124</v>
      </c>
      <c r="H80" s="60" t="s">
        <v>7125</v>
      </c>
      <c r="I80" s="60" t="s">
        <v>7126</v>
      </c>
      <c r="J80" s="51" t="n">
        <v>-20.0162925593665</v>
      </c>
      <c r="K80" s="51" t="n">
        <v>-44.0300948984734</v>
      </c>
      <c r="L80" s="51" t="n">
        <v>601450.436543182</v>
      </c>
      <c r="M80" s="51" t="n">
        <v>7786421.82160375</v>
      </c>
    </row>
    <row r="81">
      <c r="A81" s="52" t="s">
        <v>7127</v>
      </c>
      <c r="B81" s="20" t="s">
        <v>7128</v>
      </c>
      <c r="C81" s="60" t="s">
        <v>7129</v>
      </c>
      <c r="D81" s="61" t="s">
        <v>7071</v>
      </c>
      <c r="E81" s="61" t="s">
        <v>6647</v>
      </c>
      <c r="F81" s="61" t="s">
        <v>6824</v>
      </c>
      <c r="G81" s="60" t="s">
        <v>7130</v>
      </c>
      <c r="H81" s="61" t="s">
        <v>7131</v>
      </c>
      <c r="I81" s="61"/>
      <c r="J81" s="51" t="n">
        <v>-19.9056104577966</v>
      </c>
      <c r="K81" s="51" t="n">
        <v>-43.91553800111</v>
      </c>
      <c r="L81" s="51" t="n">
        <v>613513.1</v>
      </c>
      <c r="M81" s="51" t="n">
        <v>7798598</v>
      </c>
    </row>
    <row r="82">
      <c r="A82" s="52" t="s">
        <v>7132</v>
      </c>
      <c r="B82" s="20" t="s">
        <v>7133</v>
      </c>
      <c r="C82" s="60" t="s">
        <v>7134</v>
      </c>
      <c r="D82" s="61" t="s">
        <v>7135</v>
      </c>
      <c r="E82" s="61" t="s">
        <v>6689</v>
      </c>
      <c r="F82" s="61" t="s">
        <v>7003</v>
      </c>
      <c r="G82" s="60" t="s">
        <v>7136</v>
      </c>
      <c r="H82" s="61" t="s">
        <v>7137</v>
      </c>
      <c r="I82" s="61"/>
      <c r="J82" s="51" t="n">
        <v>-19.979178</v>
      </c>
      <c r="K82" s="51" t="n">
        <v>-44.046583</v>
      </c>
      <c r="L82" s="51" t="n">
        <v>599749.062060221</v>
      </c>
      <c r="M82" s="51" t="n">
        <v>7790539.26621532</v>
      </c>
    </row>
    <row r="83">
      <c r="A83" s="52" t="s">
        <v>7138</v>
      </c>
      <c r="B83" s="20" t="s">
        <v>7139</v>
      </c>
      <c r="C83" s="60" t="s">
        <v>7140</v>
      </c>
      <c r="D83" s="61" t="s">
        <v>7141</v>
      </c>
      <c r="E83" s="61" t="s">
        <v>6689</v>
      </c>
      <c r="F83" s="61" t="s">
        <v>6995</v>
      </c>
      <c r="G83" s="60" t="s">
        <v>7142</v>
      </c>
      <c r="H83" s="61" t="s">
        <v>6941</v>
      </c>
      <c r="I83" s="61"/>
      <c r="J83" s="51" t="n">
        <v>-19.981334</v>
      </c>
      <c r="K83" s="51" t="n">
        <v>-43.999297</v>
      </c>
      <c r="L83" s="51" t="n">
        <v>604695.206035923</v>
      </c>
      <c r="M83" s="51" t="n">
        <v>7790271.82526472</v>
      </c>
    </row>
    <row r="84" ht="15" customHeight="1">
      <c r="A84" s="52" t="s">
        <v>7143</v>
      </c>
      <c r="B84" s="20" t="s">
        <v>7144</v>
      </c>
      <c r="C84" s="66" t="s">
        <v>7145</v>
      </c>
      <c r="D84" s="61" t="s">
        <v>7146</v>
      </c>
      <c r="E84" s="61" t="s">
        <v>6636</v>
      </c>
      <c r="F84" s="67" t="s">
        <v>6674</v>
      </c>
      <c r="G84" s="60" t="s">
        <v>7147</v>
      </c>
      <c r="H84" s="61" t="s">
        <v>7148</v>
      </c>
      <c r="I84" s="68" t="s">
        <v>7149</v>
      </c>
      <c r="J84" s="51" t="n">
        <v>-19.805392</v>
      </c>
      <c r="K84" s="51" t="n">
        <v>-43.957873</v>
      </c>
      <c r="L84" s="51" t="n">
        <v>609149.941283576</v>
      </c>
      <c r="M84" s="51" t="n">
        <v>7809717.42077006</v>
      </c>
    </row>
    <row r="85">
      <c r="A85" s="52" t="s">
        <v>7150</v>
      </c>
      <c r="B85" s="20" t="s">
        <v>7151</v>
      </c>
      <c r="C85" s="60" t="s">
        <v>7152</v>
      </c>
      <c r="D85" s="60" t="s">
        <v>7153</v>
      </c>
      <c r="E85" s="60" t="s">
        <v>6627</v>
      </c>
      <c r="F85" s="60" t="s">
        <v>6628</v>
      </c>
      <c r="G85" s="60" t="s">
        <v>7154</v>
      </c>
      <c r="H85" s="60" t="s">
        <v>7155</v>
      </c>
      <c r="I85" s="60" t="s">
        <v>7156</v>
      </c>
      <c r="J85" s="51" t="n">
        <v>-19.9298176136058</v>
      </c>
      <c r="K85" s="51" t="n">
        <v>-43.9742830424635</v>
      </c>
      <c r="L85" s="51" t="n">
        <v>607347.259804261</v>
      </c>
      <c r="M85" s="51" t="n">
        <v>7795957.48891511</v>
      </c>
    </row>
    <row r="86" ht="28.5" customHeight="1">
      <c r="A86" s="52" t="s">
        <v>7157</v>
      </c>
      <c r="B86" s="20" t="s">
        <v>7158</v>
      </c>
      <c r="C86" s="60" t="s">
        <v>7159</v>
      </c>
      <c r="D86" s="60" t="s">
        <v>6844</v>
      </c>
      <c r="E86" s="60" t="s">
        <v>6660</v>
      </c>
      <c r="F86" s="60" t="s">
        <v>6845</v>
      </c>
      <c r="G86" s="60" t="s">
        <v>7160</v>
      </c>
      <c r="H86" s="60" t="s">
        <v>7161</v>
      </c>
      <c r="I86" s="60" t="s">
        <v>7162</v>
      </c>
      <c r="J86" s="51" t="n">
        <v>-19.942395</v>
      </c>
      <c r="K86" s="51" t="n">
        <v>-43.914353</v>
      </c>
      <c r="L86" s="51" t="n">
        <v>613610.857836427</v>
      </c>
      <c r="M86" s="51" t="n">
        <v>7794526.09230761</v>
      </c>
    </row>
    <row r="87" ht="15" customHeight="1">
      <c r="A87" s="52" t="s">
        <v>7163</v>
      </c>
      <c r="B87" s="20" t="s">
        <v>7164</v>
      </c>
      <c r="C87" s="63" t="s">
        <v>7165</v>
      </c>
      <c r="D87" s="64" t="s">
        <v>7166</v>
      </c>
      <c r="E87" s="64" t="s">
        <v>6722</v>
      </c>
      <c r="F87" s="65" t="s">
        <v>6723</v>
      </c>
      <c r="G87" s="63" t="s">
        <v>7167</v>
      </c>
      <c r="H87" s="61" t="s">
        <v>7085</v>
      </c>
      <c r="I87" s="68" t="s">
        <v>7168</v>
      </c>
      <c r="J87" s="51" t="n">
        <v>-19.8417186615594</v>
      </c>
      <c r="K87" s="51" t="n">
        <v>-43.9090652870276</v>
      </c>
      <c r="L87" s="51" t="n">
        <v>614236.452164101</v>
      </c>
      <c r="M87" s="51" t="n">
        <v>7805664.77832755</v>
      </c>
    </row>
    <row r="88" ht="28.5" customHeight="1">
      <c r="A88" s="52" t="s">
        <v>7169</v>
      </c>
      <c r="B88" s="20" t="s">
        <v>7170</v>
      </c>
      <c r="C88" s="60" t="s">
        <v>7171</v>
      </c>
      <c r="D88" s="61" t="s">
        <v>7172</v>
      </c>
      <c r="E88" s="61" t="s">
        <v>6647</v>
      </c>
      <c r="F88" s="61" t="s">
        <v>6758</v>
      </c>
      <c r="G88" s="60" t="s">
        <v>7173</v>
      </c>
      <c r="H88" s="61" t="s">
        <v>7174</v>
      </c>
      <c r="I88" s="61" t="s">
        <v>7175</v>
      </c>
      <c r="J88" s="51" t="n">
        <v>-19.919501</v>
      </c>
      <c r="K88" s="51" t="n">
        <v>-43.877144</v>
      </c>
      <c r="L88" s="51" t="n">
        <v>617522.015891825</v>
      </c>
      <c r="M88" s="51" t="n">
        <v>7797034.2969598</v>
      </c>
    </row>
    <row r="89">
      <c r="A89" s="52" t="s">
        <v>7176</v>
      </c>
      <c r="B89" s="20" t="s">
        <v>7177</v>
      </c>
      <c r="C89" s="61" t="s">
        <v>7178</v>
      </c>
      <c r="D89" s="60" t="s">
        <v>7179</v>
      </c>
      <c r="E89" s="60" t="s">
        <v>6794</v>
      </c>
      <c r="F89" s="60" t="s">
        <v>6961</v>
      </c>
      <c r="G89" s="60" t="s">
        <v>7180</v>
      </c>
      <c r="H89" s="60" t="s">
        <v>7181</v>
      </c>
      <c r="I89" s="60" t="s">
        <v>7182</v>
      </c>
      <c r="J89" s="51" t="n">
        <v>-19.8492588873571</v>
      </c>
      <c r="K89" s="51" t="n">
        <v>-43.905621859688</v>
      </c>
      <c r="L89" s="51" t="n">
        <v>614591.650259487</v>
      </c>
      <c r="M89" s="51" t="n">
        <v>7804827.93894954</v>
      </c>
    </row>
    <row r="90">
      <c r="A90" s="52" t="s">
        <v>7183</v>
      </c>
      <c r="B90" s="20" t="s">
        <v>7184</v>
      </c>
      <c r="C90" s="60" t="s">
        <v>7185</v>
      </c>
      <c r="D90" s="60" t="s">
        <v>7186</v>
      </c>
      <c r="E90" s="60" t="s">
        <v>6611</v>
      </c>
      <c r="F90" s="60" t="s">
        <v>7187</v>
      </c>
      <c r="G90" s="60" t="s">
        <v>7188</v>
      </c>
      <c r="H90" s="60" t="s">
        <v>6978</v>
      </c>
      <c r="I90" s="60" t="s">
        <v>7189</v>
      </c>
      <c r="J90" s="51" t="n">
        <v>-19.885197</v>
      </c>
      <c r="K90" s="51" t="n">
        <v>-43.98767</v>
      </c>
      <c r="L90" s="51" t="n">
        <v>605975.835785874</v>
      </c>
      <c r="M90" s="51" t="n">
        <v>7800904.24625349</v>
      </c>
    </row>
    <row r="91">
      <c r="A91" s="52" t="s">
        <v>7190</v>
      </c>
      <c r="B91" s="20" t="s">
        <v>7191</v>
      </c>
      <c r="C91" s="61" t="s">
        <v>7192</v>
      </c>
      <c r="D91" s="60" t="s">
        <v>7193</v>
      </c>
      <c r="E91" s="60" t="s">
        <v>6794</v>
      </c>
      <c r="F91" s="60" t="s">
        <v>6795</v>
      </c>
      <c r="G91" s="60" t="s">
        <v>7194</v>
      </c>
      <c r="H91" s="60" t="s">
        <v>7195</v>
      </c>
      <c r="I91" s="60" t="s">
        <v>7196</v>
      </c>
      <c r="J91" s="51" t="n">
        <v>-19.872273085511</v>
      </c>
      <c r="K91" s="51" t="n">
        <v>-43.9388683642226</v>
      </c>
      <c r="L91" s="51" t="n">
        <v>611094.088525902</v>
      </c>
      <c r="M91" s="51" t="n">
        <v>7802303.12844881</v>
      </c>
    </row>
    <row r="92" ht="15" customHeight="1">
      <c r="A92" s="52" t="s">
        <v>7197</v>
      </c>
      <c r="B92" s="20" t="s">
        <v>7198</v>
      </c>
      <c r="C92" s="63" t="s">
        <v>7199</v>
      </c>
      <c r="D92" s="64" t="s">
        <v>7200</v>
      </c>
      <c r="E92" s="61" t="s">
        <v>6611</v>
      </c>
      <c r="F92" s="65" t="s">
        <v>6654</v>
      </c>
      <c r="G92" s="63" t="s">
        <v>7201</v>
      </c>
      <c r="H92" s="61" t="s">
        <v>7202</v>
      </c>
      <c r="I92" s="68" t="s">
        <v>7203</v>
      </c>
      <c r="J92" s="51" t="n">
        <v>-19.859495250369</v>
      </c>
      <c r="K92" s="51" t="n">
        <v>-43.9571640735191</v>
      </c>
      <c r="L92" s="51" t="n">
        <v>609187.22038363</v>
      </c>
      <c r="M92" s="51" t="n">
        <v>7803729.24093737</v>
      </c>
    </row>
    <row r="93">
      <c r="A93" s="52" t="s">
        <v>7204</v>
      </c>
      <c r="B93" s="20" t="s">
        <v>7205</v>
      </c>
      <c r="C93" s="61" t="s">
        <v>7206</v>
      </c>
      <c r="D93" s="60" t="s">
        <v>6844</v>
      </c>
      <c r="E93" s="60" t="s">
        <v>6660</v>
      </c>
      <c r="F93" s="60" t="s">
        <v>6845</v>
      </c>
      <c r="G93" s="60" t="s">
        <v>7207</v>
      </c>
      <c r="H93" s="60" t="s">
        <v>7208</v>
      </c>
      <c r="I93" s="60" t="s">
        <v>7209</v>
      </c>
      <c r="J93" s="51" t="n">
        <v>-19.934155</v>
      </c>
      <c r="K93" s="51" t="n">
        <v>-43.915821</v>
      </c>
      <c r="L93" s="51" t="n">
        <v>613463.105620317</v>
      </c>
      <c r="M93" s="51" t="n">
        <v>7795439.042939</v>
      </c>
    </row>
    <row r="94" ht="15" customHeight="1">
      <c r="A94" s="52" t="s">
        <v>7210</v>
      </c>
      <c r="B94" s="20" t="s">
        <v>7211</v>
      </c>
      <c r="C94" s="63" t="s">
        <v>7212</v>
      </c>
      <c r="D94" s="64" t="s">
        <v>7213</v>
      </c>
      <c r="E94" s="64" t="s">
        <v>6611</v>
      </c>
      <c r="F94" s="65" t="s">
        <v>6612</v>
      </c>
      <c r="G94" s="60" t="s">
        <v>7214</v>
      </c>
      <c r="H94" s="61" t="s">
        <v>7215</v>
      </c>
      <c r="I94" s="68" t="s">
        <v>7216</v>
      </c>
      <c r="J94" s="51" t="n">
        <v>-19.8980349592147</v>
      </c>
      <c r="K94" s="51" t="n">
        <v>-44.005301264141</v>
      </c>
      <c r="L94" s="51" t="n">
        <v>604121.567595768</v>
      </c>
      <c r="M94" s="51" t="n">
        <v>7799494.44696245</v>
      </c>
    </row>
    <row r="95">
      <c r="A95" s="52" t="s">
        <v>7217</v>
      </c>
      <c r="B95" s="20" t="s">
        <v>7218</v>
      </c>
      <c r="C95" s="60" t="s">
        <v>7219</v>
      </c>
      <c r="D95" s="60" t="s">
        <v>7220</v>
      </c>
      <c r="E95" s="60" t="s">
        <v>6627</v>
      </c>
      <c r="F95" s="60" t="s">
        <v>6681</v>
      </c>
      <c r="G95" s="60" t="s">
        <v>7221</v>
      </c>
      <c r="H95" s="60" t="s">
        <v>7222</v>
      </c>
      <c r="I95" s="60" t="s">
        <v>7223</v>
      </c>
      <c r="J95" s="51" t="n">
        <v>-19.972052</v>
      </c>
      <c r="K95" s="51" t="n">
        <v>-43.978387</v>
      </c>
      <c r="L95" s="51" t="n">
        <v>606889.280339692</v>
      </c>
      <c r="M95" s="51" t="n">
        <v>7791285.89958484</v>
      </c>
    </row>
    <row r="96" ht="15" customHeight="1">
      <c r="A96" s="52" t="s">
        <v>7224</v>
      </c>
      <c r="B96" s="20" t="s">
        <v>7225</v>
      </c>
      <c r="C96" s="63" t="s">
        <v>7226</v>
      </c>
      <c r="D96" s="64" t="s">
        <v>7227</v>
      </c>
      <c r="E96" s="64" t="s">
        <v>6647</v>
      </c>
      <c r="F96" s="65" t="s">
        <v>7228</v>
      </c>
      <c r="G96" s="63" t="s">
        <v>7229</v>
      </c>
      <c r="H96" s="61" t="s">
        <v>6725</v>
      </c>
      <c r="I96" s="68" t="s">
        <v>7230</v>
      </c>
      <c r="J96" s="51" t="n">
        <v>-19.9276871788131</v>
      </c>
      <c r="K96" s="51" t="n">
        <v>-43.9086835634337</v>
      </c>
      <c r="L96" s="51" t="n">
        <v>614214.78111931</v>
      </c>
      <c r="M96" s="51" t="n">
        <v>7796150.03100298</v>
      </c>
    </row>
    <row r="97">
      <c r="A97" s="52" t="s">
        <v>7231</v>
      </c>
      <c r="B97" s="20" t="s">
        <v>7232</v>
      </c>
      <c r="C97" s="60" t="s">
        <v>7233</v>
      </c>
      <c r="D97" s="60" t="s">
        <v>7234</v>
      </c>
      <c r="E97" s="60" t="s">
        <v>6794</v>
      </c>
      <c r="F97" s="60" t="s">
        <v>6961</v>
      </c>
      <c r="G97" s="60" t="s">
        <v>7235</v>
      </c>
      <c r="H97" s="60" t="s">
        <v>7236</v>
      </c>
      <c r="I97" s="60" t="s">
        <v>7237</v>
      </c>
      <c r="J97" s="51" t="n">
        <v>-19.833107</v>
      </c>
      <c r="K97" s="51" t="n">
        <v>-43.883095</v>
      </c>
      <c r="L97" s="51" t="n">
        <v>616962.481823471</v>
      </c>
      <c r="M97" s="51" t="n">
        <v>7806600.07942572</v>
      </c>
    </row>
    <row r="98">
      <c r="A98" s="52" t="s">
        <v>7238</v>
      </c>
      <c r="B98" s="20" t="s">
        <v>7239</v>
      </c>
      <c r="C98" s="60" t="s">
        <v>7240</v>
      </c>
      <c r="D98" s="60" t="s">
        <v>7241</v>
      </c>
      <c r="E98" s="60" t="s">
        <v>6689</v>
      </c>
      <c r="F98" s="60" t="s">
        <v>6995</v>
      </c>
      <c r="G98" s="60" t="s">
        <v>7242</v>
      </c>
      <c r="H98" s="60" t="s">
        <v>7243</v>
      </c>
      <c r="I98" s="60" t="s">
        <v>7244</v>
      </c>
      <c r="J98" s="51" t="n">
        <v>-19.999543</v>
      </c>
      <c r="K98" s="51" t="n">
        <v>-43.967055</v>
      </c>
      <c r="L98" s="51" t="n">
        <v>608056.273308228</v>
      </c>
      <c r="M98" s="51" t="n">
        <v>7788236.10644308</v>
      </c>
    </row>
    <row r="99">
      <c r="A99" s="52" t="s">
        <v>7245</v>
      </c>
      <c r="B99" s="20" t="s">
        <v>7246</v>
      </c>
      <c r="C99" s="60" t="s">
        <v>7247</v>
      </c>
      <c r="D99" s="60" t="s">
        <v>6714</v>
      </c>
      <c r="E99" s="60" t="s">
        <v>6583</v>
      </c>
      <c r="F99" s="60" t="s">
        <v>6591</v>
      </c>
      <c r="G99" s="60" t="s">
        <v>7248</v>
      </c>
      <c r="H99" s="60" t="s">
        <v>7249</v>
      </c>
      <c r="I99" s="60" t="s">
        <v>7250</v>
      </c>
      <c r="J99" s="51" t="n">
        <v>-19.908413</v>
      </c>
      <c r="K99" s="51" t="n">
        <v>-44.020635</v>
      </c>
      <c r="L99" s="51" t="n">
        <v>602509.679986293</v>
      </c>
      <c r="M99" s="51" t="n">
        <v>7798355.30812361</v>
      </c>
    </row>
    <row r="100">
      <c r="A100" s="52" t="s">
        <v>7251</v>
      </c>
      <c r="B100" s="20" t="s">
        <v>7252</v>
      </c>
      <c r="C100" s="61" t="s">
        <v>7253</v>
      </c>
      <c r="D100" s="60" t="s">
        <v>7254</v>
      </c>
      <c r="E100" s="60" t="s">
        <v>6647</v>
      </c>
      <c r="F100" s="60" t="s">
        <v>7228</v>
      </c>
      <c r="G100" s="60" t="s">
        <v>7255</v>
      </c>
      <c r="H100" s="60" t="s">
        <v>7256</v>
      </c>
      <c r="I100" s="60" t="s">
        <v>7257</v>
      </c>
      <c r="J100" s="51" t="n">
        <v>-19.912423</v>
      </c>
      <c r="K100" s="51" t="n">
        <v>-43.904446</v>
      </c>
      <c r="L100" s="51" t="n">
        <v>614669.323916433</v>
      </c>
      <c r="M100" s="51" t="n">
        <v>7797836.50333924</v>
      </c>
    </row>
    <row r="101">
      <c r="A101" s="52" t="s">
        <v>7258</v>
      </c>
      <c r="B101" s="20" t="s">
        <v>7259</v>
      </c>
      <c r="C101" s="61" t="s">
        <v>7260</v>
      </c>
      <c r="D101" s="60" t="s">
        <v>7261</v>
      </c>
      <c r="E101" s="60" t="s">
        <v>6722</v>
      </c>
      <c r="F101" s="60" t="s">
        <v>7262</v>
      </c>
      <c r="G101" s="60" t="s">
        <v>7263</v>
      </c>
      <c r="H101" s="60" t="s">
        <v>7264</v>
      </c>
      <c r="I101" s="60" t="s">
        <v>7265</v>
      </c>
      <c r="J101" s="51" t="n">
        <v>-19.8614269860641</v>
      </c>
      <c r="K101" s="51" t="n">
        <v>-43.9275494103883</v>
      </c>
      <c r="L101" s="51" t="n">
        <v>612286.857822941</v>
      </c>
      <c r="M101" s="51" t="n">
        <v>7803496.00106759</v>
      </c>
    </row>
    <row r="102">
      <c r="A102" s="52" t="s">
        <v>7266</v>
      </c>
      <c r="B102" s="20" t="s">
        <v>7267</v>
      </c>
      <c r="C102" s="61" t="s">
        <v>7268</v>
      </c>
      <c r="D102" s="60" t="s">
        <v>7022</v>
      </c>
      <c r="E102" s="60" t="s">
        <v>6794</v>
      </c>
      <c r="F102" s="60" t="s">
        <v>6961</v>
      </c>
      <c r="G102" s="60" t="s">
        <v>7269</v>
      </c>
      <c r="H102" s="60" t="s">
        <v>7270</v>
      </c>
      <c r="I102" s="60" t="s">
        <v>7271</v>
      </c>
      <c r="J102" s="51" t="n">
        <v>-19.837603</v>
      </c>
      <c r="K102" s="51" t="n">
        <v>-43.901038</v>
      </c>
      <c r="L102" s="51" t="n">
        <v>615080.068888253</v>
      </c>
      <c r="M102" s="51" t="n">
        <v>7806114.8205991</v>
      </c>
    </row>
    <row r="103">
      <c r="A103" s="52" t="s">
        <v>7272</v>
      </c>
      <c r="B103" s="20" t="s">
        <v>7273</v>
      </c>
      <c r="C103" s="61" t="s">
        <v>7274</v>
      </c>
      <c r="D103" s="60" t="s">
        <v>6773</v>
      </c>
      <c r="E103" s="60" t="s">
        <v>6627</v>
      </c>
      <c r="F103" s="60" t="s">
        <v>6628</v>
      </c>
      <c r="G103" s="60" t="s">
        <v>7275</v>
      </c>
      <c r="H103" s="60" t="s">
        <v>7276</v>
      </c>
      <c r="I103" s="60" t="s">
        <v>7277</v>
      </c>
      <c r="J103" s="51" t="n">
        <v>-19.9442013463568</v>
      </c>
      <c r="K103" s="51" t="n">
        <v>-43.985090994851</v>
      </c>
      <c r="L103" s="51" t="n">
        <v>606206.43652362</v>
      </c>
      <c r="M103" s="51" t="n">
        <v>7794372.4705889</v>
      </c>
    </row>
    <row r="104">
      <c r="A104" s="52" t="s">
        <v>7278</v>
      </c>
      <c r="B104" s="20" t="s">
        <v>7279</v>
      </c>
      <c r="C104" s="60" t="s">
        <v>7280</v>
      </c>
      <c r="D104" s="61" t="s">
        <v>6751</v>
      </c>
      <c r="E104" s="61" t="s">
        <v>6689</v>
      </c>
      <c r="F104" s="61" t="s">
        <v>6690</v>
      </c>
      <c r="G104" s="60" t="s">
        <v>7281</v>
      </c>
      <c r="H104" s="61" t="s">
        <v>7282</v>
      </c>
      <c r="I104" s="61" t="s">
        <v>7283</v>
      </c>
      <c r="J104" s="51" t="n">
        <v>-19.999565</v>
      </c>
      <c r="K104" s="51" t="n">
        <v>-44.032823</v>
      </c>
      <c r="L104" s="51" t="n">
        <v>601175.754142686</v>
      </c>
      <c r="M104" s="51" t="n">
        <v>7788274.74983965</v>
      </c>
    </row>
    <row r="105">
      <c r="A105" s="52" t="s">
        <v>7284</v>
      </c>
      <c r="B105" s="20" t="s">
        <v>7285</v>
      </c>
      <c r="C105" s="60" t="s">
        <v>7286</v>
      </c>
      <c r="D105" s="61" t="s">
        <v>6646</v>
      </c>
      <c r="E105" s="61" t="s">
        <v>6647</v>
      </c>
      <c r="F105" s="61" t="s">
        <v>6648</v>
      </c>
      <c r="G105" s="60" t="s">
        <v>7287</v>
      </c>
      <c r="H105" s="61" t="s">
        <v>7017</v>
      </c>
      <c r="I105" s="61"/>
      <c r="J105" s="51" t="n">
        <v>-19.887808</v>
      </c>
      <c r="K105" s="51" t="n">
        <v>-43.906049</v>
      </c>
      <c r="L105" s="51" t="n">
        <v>614519.232375687</v>
      </c>
      <c r="M105" s="51" t="n">
        <v>7800561.84496365</v>
      </c>
    </row>
    <row r="106">
      <c r="A106" s="52" t="s">
        <v>7288</v>
      </c>
      <c r="B106" s="20" t="s">
        <v>7289</v>
      </c>
      <c r="C106" s="61" t="s">
        <v>7290</v>
      </c>
      <c r="D106" s="60" t="s">
        <v>7291</v>
      </c>
      <c r="E106" s="60" t="s">
        <v>6660</v>
      </c>
      <c r="F106" s="60" t="s">
        <v>7292</v>
      </c>
      <c r="G106" s="60" t="s">
        <v>7293</v>
      </c>
      <c r="H106" s="60" t="s">
        <v>7294</v>
      </c>
      <c r="I106" s="60" t="s">
        <v>7295</v>
      </c>
      <c r="J106" s="51" t="n">
        <v>-19.946287</v>
      </c>
      <c r="K106" s="51" t="n">
        <v>-43.938673</v>
      </c>
      <c r="L106" s="51" t="n">
        <v>611062.867424183</v>
      </c>
      <c r="M106" s="51" t="n">
        <v>7794111.61625151</v>
      </c>
    </row>
    <row r="107">
      <c r="A107" s="52" t="s">
        <v>7296</v>
      </c>
      <c r="B107" s="20" t="s">
        <v>7297</v>
      </c>
      <c r="C107" s="60" t="s">
        <v>7298</v>
      </c>
      <c r="D107" s="61" t="s">
        <v>7299</v>
      </c>
      <c r="E107" s="61" t="s">
        <v>6611</v>
      </c>
      <c r="F107" s="67" t="s">
        <v>6654</v>
      </c>
      <c r="G107" s="60" t="s">
        <v>7300</v>
      </c>
      <c r="H107" s="61" t="s">
        <v>6859</v>
      </c>
      <c r="I107" s="68" t="s">
        <v>7301</v>
      </c>
      <c r="J107" s="51" t="n">
        <v>-19.8664712713794</v>
      </c>
      <c r="K107" s="51" t="n">
        <v>-43.942801010953</v>
      </c>
      <c r="L107" s="51" t="n">
        <v>610686.355139977</v>
      </c>
      <c r="M107" s="51" t="n">
        <v>7802947.82016084</v>
      </c>
    </row>
    <row r="108" ht="28.5" customHeight="1">
      <c r="A108" s="52" t="s">
        <v>7302</v>
      </c>
      <c r="B108" s="20" t="s">
        <v>7303</v>
      </c>
      <c r="C108" s="60" t="s">
        <v>7304</v>
      </c>
      <c r="D108" s="60" t="s">
        <v>7305</v>
      </c>
      <c r="E108" s="60" t="s">
        <v>6611</v>
      </c>
      <c r="F108" s="60" t="s">
        <v>6612</v>
      </c>
      <c r="G108" s="60" t="s">
        <v>7306</v>
      </c>
      <c r="H108" s="60" t="s">
        <v>7307</v>
      </c>
      <c r="I108" s="60" t="s">
        <v>7308</v>
      </c>
      <c r="J108" s="51" t="n">
        <v>-19.8753</v>
      </c>
      <c r="K108" s="51" t="n">
        <v>-44.007074</v>
      </c>
      <c r="L108" s="51" t="n">
        <v>603950.823252174</v>
      </c>
      <c r="M108" s="51" t="n">
        <v>7802011.65364803</v>
      </c>
    </row>
    <row r="109">
      <c r="A109" s="52" t="s">
        <v>7309</v>
      </c>
      <c r="B109" s="20" t="s">
        <v>7310</v>
      </c>
      <c r="C109" s="60" t="s">
        <v>7311</v>
      </c>
      <c r="D109" s="60" t="s">
        <v>6836</v>
      </c>
      <c r="E109" s="60" t="s">
        <v>6636</v>
      </c>
      <c r="F109" s="60" t="s">
        <v>6837</v>
      </c>
      <c r="G109" s="60" t="s">
        <v>7312</v>
      </c>
      <c r="H109" s="60" t="s">
        <v>7313</v>
      </c>
      <c r="I109" s="60" t="s">
        <v>7314</v>
      </c>
      <c r="J109" s="51" t="n">
        <v>-19.817783</v>
      </c>
      <c r="K109" s="51" t="n">
        <v>-43.958923</v>
      </c>
      <c r="L109" s="51" t="n">
        <v>609031.511177235</v>
      </c>
      <c r="M109" s="51" t="n">
        <v>7808346.76362711</v>
      </c>
    </row>
    <row r="110">
      <c r="A110" s="52" t="s">
        <v>7315</v>
      </c>
      <c r="B110" s="20" t="s">
        <v>7316</v>
      </c>
      <c r="C110" s="60" t="s">
        <v>7317</v>
      </c>
      <c r="D110" s="61" t="s">
        <v>7318</v>
      </c>
      <c r="E110" s="61" t="s">
        <v>6583</v>
      </c>
      <c r="F110" s="67" t="s">
        <v>6584</v>
      </c>
      <c r="G110" s="60" t="s">
        <v>7319</v>
      </c>
      <c r="H110" s="61" t="s">
        <v>7005</v>
      </c>
      <c r="I110" s="68" t="s">
        <v>7320</v>
      </c>
      <c r="J110" s="51" t="n">
        <v>-19.9049179954836</v>
      </c>
      <c r="K110" s="51" t="n">
        <v>-43.9569549690174</v>
      </c>
      <c r="L110" s="51" t="n">
        <v>609177.989202315</v>
      </c>
      <c r="M110" s="51" t="n">
        <v>7798702.04618034</v>
      </c>
    </row>
    <row r="111">
      <c r="A111" s="52" t="s">
        <v>7321</v>
      </c>
      <c r="B111" s="20" t="s">
        <v>7322</v>
      </c>
      <c r="C111" s="60" t="s">
        <v>7323</v>
      </c>
      <c r="D111" s="61" t="s">
        <v>7324</v>
      </c>
      <c r="E111" s="61" t="s">
        <v>6794</v>
      </c>
      <c r="F111" s="61" t="s">
        <v>6961</v>
      </c>
      <c r="G111" s="60" t="s">
        <v>7325</v>
      </c>
      <c r="H111" s="61" t="s">
        <v>7326</v>
      </c>
      <c r="I111" s="61" t="s">
        <v>7327</v>
      </c>
      <c r="J111" s="51" t="n">
        <v>-19.8566546196536</v>
      </c>
      <c r="K111" s="51" t="n">
        <v>-43.913836677252</v>
      </c>
      <c r="L111" s="51" t="n">
        <v>613726.13151565</v>
      </c>
      <c r="M111" s="51" t="n">
        <v>7804014.98566743</v>
      </c>
    </row>
    <row r="112">
      <c r="A112" s="52" t="s">
        <v>7328</v>
      </c>
      <c r="B112" s="20" t="s">
        <v>7329</v>
      </c>
      <c r="C112" s="60" t="s">
        <v>7330</v>
      </c>
      <c r="D112" s="61" t="s">
        <v>6786</v>
      </c>
      <c r="E112" s="61" t="s">
        <v>6647</v>
      </c>
      <c r="F112" s="61" t="s">
        <v>6648</v>
      </c>
      <c r="G112" s="60" t="s">
        <v>7331</v>
      </c>
      <c r="H112" s="61" t="s">
        <v>7332</v>
      </c>
      <c r="I112" s="61" t="s">
        <v>7333</v>
      </c>
      <c r="J112" s="51" t="n">
        <v>-19.8999133981526</v>
      </c>
      <c r="K112" s="51" t="n">
        <v>-43.904753329469</v>
      </c>
      <c r="L112" s="51" t="n">
        <v>614646.16547207</v>
      </c>
      <c r="M112" s="51" t="n">
        <v>7799221.20647061</v>
      </c>
    </row>
    <row r="113">
      <c r="A113" s="52" t="s">
        <v>7334</v>
      </c>
      <c r="B113" s="20" t="s">
        <v>7335</v>
      </c>
      <c r="C113" s="60" t="s">
        <v>7336</v>
      </c>
      <c r="D113" s="61" t="s">
        <v>6864</v>
      </c>
      <c r="E113" s="61" t="s">
        <v>6627</v>
      </c>
      <c r="F113" s="61" t="s">
        <v>6628</v>
      </c>
      <c r="G113" s="60" t="s">
        <v>7337</v>
      </c>
      <c r="H113" s="61" t="s">
        <v>7338</v>
      </c>
      <c r="I113" s="61" t="s">
        <v>7339</v>
      </c>
      <c r="J113" s="51" t="n">
        <v>-19.9421043034749</v>
      </c>
      <c r="K113" s="51" t="n">
        <v>-43.9638136086893</v>
      </c>
      <c r="L113" s="51" t="n">
        <v>608434.652919017</v>
      </c>
      <c r="M113" s="51" t="n">
        <v>7794590.96009753</v>
      </c>
    </row>
    <row r="114">
      <c r="A114" s="52" t="s">
        <v>7340</v>
      </c>
      <c r="B114" s="20" t="s">
        <v>7341</v>
      </c>
      <c r="C114" s="61" t="s">
        <v>7342</v>
      </c>
      <c r="D114" s="60" t="s">
        <v>7343</v>
      </c>
      <c r="E114" s="60" t="s">
        <v>6611</v>
      </c>
      <c r="F114" s="60" t="s">
        <v>6612</v>
      </c>
      <c r="G114" s="60" t="s">
        <v>7344</v>
      </c>
      <c r="H114" s="60" t="s">
        <v>7345</v>
      </c>
      <c r="I114" s="60" t="s">
        <v>7346</v>
      </c>
      <c r="J114" s="51" t="n">
        <v>-19.900483</v>
      </c>
      <c r="K114" s="51" t="n">
        <v>-43.998898</v>
      </c>
      <c r="L114" s="51" t="n">
        <v>604790.279976831</v>
      </c>
      <c r="M114" s="51" t="n">
        <v>7799219.5439414</v>
      </c>
    </row>
    <row r="115">
      <c r="A115" s="52" t="s">
        <v>7347</v>
      </c>
      <c r="B115" s="20" t="s">
        <v>7348</v>
      </c>
      <c r="C115" s="60" t="s">
        <v>7349</v>
      </c>
      <c r="D115" s="61" t="s">
        <v>7350</v>
      </c>
      <c r="E115" s="61" t="s">
        <v>6647</v>
      </c>
      <c r="F115" s="61" t="s">
        <v>6648</v>
      </c>
      <c r="G115" s="60" t="s">
        <v>7351</v>
      </c>
      <c r="H115" s="61" t="s">
        <v>6852</v>
      </c>
      <c r="I115" s="61" t="s">
        <v>7352</v>
      </c>
      <c r="J115" s="51" t="n">
        <v>-19.888827</v>
      </c>
      <c r="K115" s="51" t="n">
        <v>-43.896586</v>
      </c>
      <c r="L115" s="51" t="n">
        <v>615509.213061683</v>
      </c>
      <c r="M115" s="51" t="n">
        <v>7800442.60422961</v>
      </c>
    </row>
    <row r="116" ht="15" customHeight="1">
      <c r="A116" s="52" t="s">
        <v>7353</v>
      </c>
      <c r="B116" s="20" t="s">
        <v>7354</v>
      </c>
      <c r="C116" s="63" t="s">
        <v>7355</v>
      </c>
      <c r="D116" s="64" t="s">
        <v>6802</v>
      </c>
      <c r="E116" s="61" t="s">
        <v>6660</v>
      </c>
      <c r="F116" s="65" t="s">
        <v>6803</v>
      </c>
      <c r="G116" s="63" t="s">
        <v>7356</v>
      </c>
      <c r="H116" s="61" t="s">
        <v>7357</v>
      </c>
      <c r="I116" s="68" t="s">
        <v>7358</v>
      </c>
      <c r="J116" s="51" t="n">
        <v>-19.93468</v>
      </c>
      <c r="K116" s="51" t="n">
        <v>-43.902527</v>
      </c>
      <c r="L116" s="51" t="n">
        <v>614854.120182055</v>
      </c>
      <c r="M116" s="51" t="n">
        <v>7795371.90599676</v>
      </c>
    </row>
    <row r="117" ht="15" customHeight="1">
      <c r="A117" s="52" t="s">
        <v>7359</v>
      </c>
      <c r="B117" s="20" t="s">
        <v>7360</v>
      </c>
      <c r="C117" s="63" t="s">
        <v>7361</v>
      </c>
      <c r="D117" s="64" t="s">
        <v>7362</v>
      </c>
      <c r="E117" s="64" t="s">
        <v>6722</v>
      </c>
      <c r="F117" s="65" t="s">
        <v>6817</v>
      </c>
      <c r="G117" s="63" t="s">
        <v>7363</v>
      </c>
      <c r="H117" s="61" t="s">
        <v>7364</v>
      </c>
      <c r="I117" s="68" t="s">
        <v>7365</v>
      </c>
      <c r="J117" s="51" t="n">
        <v>-19.7857738296673</v>
      </c>
      <c r="K117" s="51" t="n">
        <v>-43.9779881826831</v>
      </c>
      <c r="L117" s="51" t="n">
        <v>607056.066402873</v>
      </c>
      <c r="M117" s="51" t="n">
        <v>7811901.44677598</v>
      </c>
    </row>
    <row r="118">
      <c r="A118" s="52" t="s">
        <v>7366</v>
      </c>
      <c r="B118" s="20" t="s">
        <v>7367</v>
      </c>
      <c r="C118" s="61" t="s">
        <v>7368</v>
      </c>
      <c r="D118" s="60" t="s">
        <v>7369</v>
      </c>
      <c r="E118" s="60" t="s">
        <v>6611</v>
      </c>
      <c r="F118" s="60" t="s">
        <v>6612</v>
      </c>
      <c r="G118" s="60" t="s">
        <v>6613</v>
      </c>
      <c r="H118" s="60" t="s">
        <v>7370</v>
      </c>
      <c r="I118" s="60" t="s">
        <v>7371</v>
      </c>
      <c r="J118" s="51" t="n">
        <v>-19.884175</v>
      </c>
      <c r="K118" s="51" t="n">
        <v>-44.010706</v>
      </c>
      <c r="L118" s="51" t="n">
        <v>603564.787227777</v>
      </c>
      <c r="M118" s="51" t="n">
        <v>7801031.68260943</v>
      </c>
    </row>
    <row r="119">
      <c r="A119" s="52" t="s">
        <v>7372</v>
      </c>
      <c r="B119" s="20" t="s">
        <v>7373</v>
      </c>
      <c r="C119" s="61" t="s">
        <v>7374</v>
      </c>
      <c r="D119" s="60" t="s">
        <v>7172</v>
      </c>
      <c r="E119" s="60" t="s">
        <v>6647</v>
      </c>
      <c r="F119" s="60" t="s">
        <v>6758</v>
      </c>
      <c r="G119" s="60" t="s">
        <v>7375</v>
      </c>
      <c r="H119" s="60" t="s">
        <v>7376</v>
      </c>
      <c r="I119" s="60" t="s">
        <v>7377</v>
      </c>
      <c r="J119" s="51" t="n">
        <v>-19.9182</v>
      </c>
      <c r="K119" s="51" t="n">
        <v>-43.887766</v>
      </c>
      <c r="L119" s="51" t="n">
        <v>616411.124318398</v>
      </c>
      <c r="M119" s="51" t="n">
        <v>7797185.67476464</v>
      </c>
    </row>
    <row r="120">
      <c r="A120" s="52" t="s">
        <v>7378</v>
      </c>
      <c r="B120" s="20" t="s">
        <v>7379</v>
      </c>
      <c r="C120" s="61" t="s">
        <v>7380</v>
      </c>
      <c r="D120" s="60" t="s">
        <v>7381</v>
      </c>
      <c r="E120" s="60" t="s">
        <v>6689</v>
      </c>
      <c r="F120" s="60" t="s">
        <v>6690</v>
      </c>
      <c r="G120" s="60" t="s">
        <v>7382</v>
      </c>
      <c r="H120" s="60" t="s">
        <v>7383</v>
      </c>
      <c r="I120" s="60" t="s">
        <v>7384</v>
      </c>
      <c r="J120" s="51" t="n">
        <v>-20.0103714474154</v>
      </c>
      <c r="K120" s="51" t="n">
        <v>-44.0359882320173</v>
      </c>
      <c r="L120" s="51" t="n">
        <v>600837.732564525</v>
      </c>
      <c r="M120" s="51" t="n">
        <v>7787080.68590412</v>
      </c>
    </row>
    <row r="121">
      <c r="A121" s="52" t="s">
        <v>7385</v>
      </c>
      <c r="B121" s="20" t="s">
        <v>7386</v>
      </c>
      <c r="C121" s="61" t="s">
        <v>7387</v>
      </c>
      <c r="D121" s="60" t="s">
        <v>7388</v>
      </c>
      <c r="E121" s="60" t="s">
        <v>6627</v>
      </c>
      <c r="F121" s="60" t="s">
        <v>6628</v>
      </c>
      <c r="G121" s="60" t="s">
        <v>7389</v>
      </c>
      <c r="H121" s="60" t="s">
        <v>7390</v>
      </c>
      <c r="I121" s="60" t="s">
        <v>7391</v>
      </c>
      <c r="J121" s="51" t="n">
        <v>-19.95074</v>
      </c>
      <c r="K121" s="51" t="n">
        <v>-43.972091</v>
      </c>
      <c r="L121" s="51" t="n">
        <v>607562.519860758</v>
      </c>
      <c r="M121" s="51" t="n">
        <v>7793640.54348124</v>
      </c>
    </row>
    <row r="122">
      <c r="A122" s="52" t="s">
        <v>7392</v>
      </c>
      <c r="B122" s="20" t="s">
        <v>7393</v>
      </c>
      <c r="C122" s="61" t="s">
        <v>7394</v>
      </c>
      <c r="D122" s="60" t="s">
        <v>7395</v>
      </c>
      <c r="E122" s="60" t="s">
        <v>6647</v>
      </c>
      <c r="F122" s="60" t="s">
        <v>7228</v>
      </c>
      <c r="G122" s="60" t="s">
        <v>7396</v>
      </c>
      <c r="H122" s="60" t="s">
        <v>7397</v>
      </c>
      <c r="I122" s="60" t="s">
        <v>7398</v>
      </c>
      <c r="J122" s="51" t="n">
        <v>-19.9119170286675</v>
      </c>
      <c r="K122" s="51" t="n">
        <v>-43.8964060126152</v>
      </c>
      <c r="L122" s="51" t="n">
        <v>615511.3</v>
      </c>
      <c r="M122" s="51" t="n">
        <v>7797887</v>
      </c>
    </row>
    <row r="123">
      <c r="A123" s="52" t="s">
        <v>7399</v>
      </c>
      <c r="B123" s="20" t="s">
        <v>7400</v>
      </c>
      <c r="C123" s="60" t="s">
        <v>7401</v>
      </c>
      <c r="D123" s="60" t="s">
        <v>7402</v>
      </c>
      <c r="E123" s="60" t="s">
        <v>6627</v>
      </c>
      <c r="F123" s="60" t="s">
        <v>6927</v>
      </c>
      <c r="G123" s="60" t="s">
        <v>7403</v>
      </c>
      <c r="H123" s="60" t="s">
        <v>7404</v>
      </c>
      <c r="I123" s="60" t="s">
        <v>7405</v>
      </c>
      <c r="J123" s="51" t="n">
        <v>-19.948622</v>
      </c>
      <c r="K123" s="51" t="n">
        <v>-44.004715</v>
      </c>
      <c r="L123" s="51" t="n">
        <v>604149.796991154</v>
      </c>
      <c r="M123" s="51" t="n">
        <v>7793895.51730249</v>
      </c>
    </row>
    <row r="124">
      <c r="A124" s="52" t="s">
        <v>7406</v>
      </c>
      <c r="B124" s="20" t="s">
        <v>7407</v>
      </c>
      <c r="C124" s="61" t="s">
        <v>7408</v>
      </c>
      <c r="D124" s="60" t="s">
        <v>7409</v>
      </c>
      <c r="E124" s="60" t="s">
        <v>6627</v>
      </c>
      <c r="F124" s="60" t="s">
        <v>7410</v>
      </c>
      <c r="G124" s="60" t="s">
        <v>7411</v>
      </c>
      <c r="H124" s="60" t="s">
        <v>7412</v>
      </c>
      <c r="I124" s="60" t="s">
        <v>7413</v>
      </c>
      <c r="J124" s="51" t="n">
        <v>-19.955874</v>
      </c>
      <c r="K124" s="51" t="n">
        <v>-43.965443</v>
      </c>
      <c r="L124" s="51" t="n">
        <v>608254.736996104</v>
      </c>
      <c r="M124" s="51" t="n">
        <v>7793068.07339118</v>
      </c>
    </row>
    <row r="125">
      <c r="A125" s="52" t="s">
        <v>7414</v>
      </c>
      <c r="B125" s="20" t="s">
        <v>7415</v>
      </c>
      <c r="C125" s="60" t="s">
        <v>7416</v>
      </c>
      <c r="D125" s="60" t="s">
        <v>7118</v>
      </c>
      <c r="E125" s="60" t="s">
        <v>6794</v>
      </c>
      <c r="F125" s="60" t="s">
        <v>7043</v>
      </c>
      <c r="G125" s="60" t="s">
        <v>7417</v>
      </c>
      <c r="H125" s="60" t="s">
        <v>7418</v>
      </c>
      <c r="I125" s="60" t="s">
        <v>7419</v>
      </c>
      <c r="J125" s="51" t="n">
        <v>-19.8521601881091</v>
      </c>
      <c r="K125" s="51" t="n">
        <v>-43.8854022167447</v>
      </c>
      <c r="L125" s="51" t="n">
        <v>616706.920060362</v>
      </c>
      <c r="M125" s="51" t="n">
        <v>7804492.97834292</v>
      </c>
    </row>
    <row r="126">
      <c r="A126" s="52" t="s">
        <v>7420</v>
      </c>
      <c r="B126" s="20" t="s">
        <v>7421</v>
      </c>
      <c r="C126" s="61" t="s">
        <v>7422</v>
      </c>
      <c r="D126" s="60" t="s">
        <v>7423</v>
      </c>
      <c r="E126" s="60" t="s">
        <v>6627</v>
      </c>
      <c r="F126" s="60" t="s">
        <v>6927</v>
      </c>
      <c r="G126" s="60" t="s">
        <v>7424</v>
      </c>
      <c r="H126" s="60" t="s">
        <v>7425</v>
      </c>
      <c r="I126" s="60" t="s">
        <v>7426</v>
      </c>
      <c r="J126" s="51" t="n">
        <v>-19.9493902471261</v>
      </c>
      <c r="K126" s="51" t="n">
        <v>-43.9904202769216</v>
      </c>
      <c r="L126" s="51" t="n">
        <v>605645.249949803</v>
      </c>
      <c r="M126" s="51" t="n">
        <v>7793801.56279992</v>
      </c>
    </row>
    <row r="127" ht="28.5" customHeight="1">
      <c r="A127" s="20" t="s">
        <v>7427</v>
      </c>
      <c r="B127" s="20" t="s">
        <v>7428</v>
      </c>
      <c r="C127" s="60" t="s">
        <v>7429</v>
      </c>
      <c r="D127" s="60" t="s">
        <v>6604</v>
      </c>
      <c r="E127" s="60" t="s">
        <v>6583</v>
      </c>
      <c r="F127" s="60" t="s">
        <v>6591</v>
      </c>
      <c r="G127" s="60" t="s">
        <v>6605</v>
      </c>
      <c r="H127" s="60" t="s">
        <v>7430</v>
      </c>
      <c r="I127" s="60"/>
      <c r="J127" s="51" t="n">
        <v>-19.8992386578833</v>
      </c>
      <c r="K127" s="51" t="n">
        <v>-44.0200898763791</v>
      </c>
      <c r="L127" s="51" t="n">
        <v>602572.654475449</v>
      </c>
      <c r="M127" s="51" t="n">
        <v>7799370.31248774</v>
      </c>
    </row>
    <row r="128" ht="28.5" customHeight="1">
      <c r="A128" s="20" t="s">
        <v>7431</v>
      </c>
      <c r="B128" s="20" t="s">
        <v>7432</v>
      </c>
      <c r="C128" s="60" t="s">
        <v>7433</v>
      </c>
      <c r="D128" s="60" t="s">
        <v>7015</v>
      </c>
      <c r="E128" s="60" t="s">
        <v>6583</v>
      </c>
      <c r="F128" s="60" t="s">
        <v>6766</v>
      </c>
      <c r="G128" s="60" t="s">
        <v>7434</v>
      </c>
      <c r="H128" s="60" t="s">
        <v>7435</v>
      </c>
      <c r="I128" s="60"/>
      <c r="J128" s="51" t="n">
        <v>-19.924044</v>
      </c>
      <c r="K128" s="51" t="n">
        <v>-43.999623</v>
      </c>
      <c r="L128" s="51" t="n">
        <v>604698.877344082</v>
      </c>
      <c r="M128" s="51" t="n">
        <v>7796612.45321405</v>
      </c>
    </row>
    <row r="129" ht="28.5" customHeight="1">
      <c r="A129" s="20" t="s">
        <v>7436</v>
      </c>
      <c r="B129" s="20" t="s">
        <v>7437</v>
      </c>
      <c r="C129" s="60" t="s">
        <v>7438</v>
      </c>
      <c r="D129" s="60" t="s">
        <v>6823</v>
      </c>
      <c r="E129" s="60" t="s">
        <v>6647</v>
      </c>
      <c r="F129" s="60" t="s">
        <v>6824</v>
      </c>
      <c r="G129" s="60" t="s">
        <v>7439</v>
      </c>
      <c r="H129" s="60" t="s">
        <v>7440</v>
      </c>
      <c r="I129" s="60" t="s">
        <v>7441</v>
      </c>
      <c r="J129" s="51" t="n">
        <v>-19.917239</v>
      </c>
      <c r="K129" s="51" t="n">
        <v>-43.925963</v>
      </c>
      <c r="L129" s="51" t="n">
        <v>612413.575197427</v>
      </c>
      <c r="M129" s="51" t="n">
        <v>7797318.02312805</v>
      </c>
    </row>
    <row r="130">
      <c r="A130" s="20" t="s">
        <v>7442</v>
      </c>
      <c r="B130" s="20" t="s">
        <v>7443</v>
      </c>
      <c r="C130" s="60" t="s">
        <v>7444</v>
      </c>
      <c r="D130" s="61" t="s">
        <v>7381</v>
      </c>
      <c r="E130" s="61" t="s">
        <v>6689</v>
      </c>
      <c r="F130" s="61" t="s">
        <v>6690</v>
      </c>
      <c r="G130" s="60" t="s">
        <v>7445</v>
      </c>
      <c r="H130" s="61" t="s">
        <v>7446</v>
      </c>
      <c r="I130" s="61"/>
      <c r="J130" s="51" t="n">
        <v>-20.007629</v>
      </c>
      <c r="K130" s="51" t="n">
        <v>-44.034423</v>
      </c>
      <c r="L130" s="51" t="n">
        <v>601003.221526837</v>
      </c>
      <c r="M130" s="51" t="n">
        <v>7787383.25512657</v>
      </c>
    </row>
    <row r="131" ht="42.75" customHeight="1">
      <c r="A131" s="20" t="s">
        <v>7447</v>
      </c>
      <c r="B131" s="20" t="s">
        <v>7448</v>
      </c>
      <c r="C131" s="60" t="s">
        <v>7449</v>
      </c>
      <c r="D131" s="60" t="s">
        <v>7090</v>
      </c>
      <c r="E131" s="60" t="s">
        <v>6722</v>
      </c>
      <c r="F131" s="60" t="s">
        <v>6723</v>
      </c>
      <c r="G131" s="60" t="s">
        <v>7450</v>
      </c>
      <c r="H131" s="60" t="s">
        <v>7451</v>
      </c>
      <c r="I131" s="60"/>
      <c r="J131" s="51" t="n">
        <v>-19.8320346321168</v>
      </c>
      <c r="K131" s="51" t="n">
        <v>-43.9201411454583</v>
      </c>
      <c r="L131" s="51" t="n">
        <v>613083.4</v>
      </c>
      <c r="M131" s="51" t="n">
        <v>7806744</v>
      </c>
    </row>
    <row r="132">
      <c r="A132" s="20" t="s">
        <v>7452</v>
      </c>
      <c r="B132" s="20" t="s">
        <v>7453</v>
      </c>
      <c r="C132" s="61" t="s">
        <v>7454</v>
      </c>
      <c r="D132" s="61" t="s">
        <v>7455</v>
      </c>
      <c r="E132" s="61" t="s">
        <v>6636</v>
      </c>
      <c r="F132" s="61" t="s">
        <v>6969</v>
      </c>
      <c r="G132" s="60" t="s">
        <v>7456</v>
      </c>
      <c r="H132" s="61" t="s">
        <v>7457</v>
      </c>
      <c r="I132" s="61" t="s">
        <v>7458</v>
      </c>
      <c r="J132" s="51" t="n">
        <v>-19.828695</v>
      </c>
      <c r="K132" s="51" t="n">
        <v>-43.98613</v>
      </c>
      <c r="L132" s="51" t="n">
        <v>606174.653322491</v>
      </c>
      <c r="M132" s="51" t="n">
        <v>7807156.44585412</v>
      </c>
    </row>
    <row r="133">
      <c r="A133" s="20" t="s">
        <v>7459</v>
      </c>
      <c r="B133" s="20" t="s">
        <v>7460</v>
      </c>
      <c r="C133" s="60" t="s">
        <v>7461</v>
      </c>
      <c r="D133" s="61" t="s">
        <v>7462</v>
      </c>
      <c r="E133" s="61" t="s">
        <v>6794</v>
      </c>
      <c r="F133" s="61" t="s">
        <v>6900</v>
      </c>
      <c r="G133" s="60" t="s">
        <v>7463</v>
      </c>
      <c r="H133" s="61" t="s">
        <v>7464</v>
      </c>
      <c r="I133" s="61" t="s">
        <v>7465</v>
      </c>
      <c r="J133" s="51" t="n">
        <v>-19.915782</v>
      </c>
      <c r="K133" s="51" t="n">
        <v>-44.024716</v>
      </c>
      <c r="L133" s="51" t="n">
        <v>602077.763267731</v>
      </c>
      <c r="M133" s="51" t="n">
        <v>7797542.25276581</v>
      </c>
    </row>
    <row r="134">
      <c r="A134" s="20" t="s">
        <v>7466</v>
      </c>
      <c r="B134" s="20" t="s">
        <v>7467</v>
      </c>
      <c r="C134" s="61" t="s">
        <v>7468</v>
      </c>
      <c r="D134" s="60" t="s">
        <v>7050</v>
      </c>
      <c r="E134" s="60" t="s">
        <v>6647</v>
      </c>
      <c r="F134" s="60" t="s">
        <v>6758</v>
      </c>
      <c r="G134" s="60" t="s">
        <v>7469</v>
      </c>
      <c r="H134" s="60" t="s">
        <v>7470</v>
      </c>
      <c r="I134" s="60" t="s">
        <v>7471</v>
      </c>
      <c r="J134" s="51" t="n">
        <v>-19.913002</v>
      </c>
      <c r="K134" s="51" t="n">
        <v>-43.887162</v>
      </c>
      <c r="L134" s="51" t="n">
        <v>616478.154295597</v>
      </c>
      <c r="M134" s="51" t="n">
        <v>7797760.54562859</v>
      </c>
    </row>
    <row r="135" ht="42.75" customHeight="1">
      <c r="A135" s="20" t="s">
        <v>7472</v>
      </c>
      <c r="B135" s="20" t="s">
        <v>7473</v>
      </c>
      <c r="C135" s="60" t="s">
        <v>7472</v>
      </c>
      <c r="D135" s="61" t="s">
        <v>7474</v>
      </c>
      <c r="E135" s="61" t="s">
        <v>6689</v>
      </c>
      <c r="F135" s="61" t="s">
        <v>7475</v>
      </c>
      <c r="G135" s="60" t="s">
        <v>7476</v>
      </c>
      <c r="H135" s="61" t="s">
        <v>7477</v>
      </c>
      <c r="I135" s="61"/>
      <c r="J135" s="51" t="n">
        <v>-19.9778663613187</v>
      </c>
      <c r="K135" s="51" t="n">
        <v>-44.0311140718586</v>
      </c>
      <c r="L135" s="51" t="n">
        <v>601368.4</v>
      </c>
      <c r="M135" s="51" t="n">
        <v>7790675</v>
      </c>
    </row>
    <row r="136">
      <c r="A136" s="55" t="s">
        <v>7478</v>
      </c>
      <c r="B136" s="20" t="s">
        <v>7479</v>
      </c>
      <c r="C136" s="60" t="s">
        <v>7480</v>
      </c>
      <c r="D136" s="60" t="s">
        <v>7481</v>
      </c>
      <c r="E136" s="60" t="s">
        <v>6611</v>
      </c>
      <c r="F136" s="60" t="s">
        <v>6612</v>
      </c>
      <c r="G136" s="60" t="s">
        <v>7482</v>
      </c>
      <c r="H136" s="60" t="s">
        <v>7483</v>
      </c>
      <c r="I136" s="60"/>
      <c r="J136" s="51" t="n">
        <v>-19.866597</v>
      </c>
      <c r="K136" s="51" t="n">
        <v>-44.015027</v>
      </c>
      <c r="L136" s="51" t="n">
        <v>603123.777346524</v>
      </c>
      <c r="M136" s="51" t="n">
        <v>7802979.71060066</v>
      </c>
    </row>
    <row r="137">
      <c r="A137" s="55" t="s">
        <v>7484</v>
      </c>
      <c r="B137" s="20" t="s">
        <v>7485</v>
      </c>
      <c r="C137" s="60" t="s">
        <v>7486</v>
      </c>
      <c r="D137" s="60" t="s">
        <v>7481</v>
      </c>
      <c r="E137" s="60" t="s">
        <v>6611</v>
      </c>
      <c r="F137" s="60" t="s">
        <v>6612</v>
      </c>
      <c r="G137" s="60" t="s">
        <v>7487</v>
      </c>
      <c r="H137" s="60" t="s">
        <v>6614</v>
      </c>
      <c r="I137" s="61" t="s">
        <v>7488</v>
      </c>
      <c r="J137" s="51" t="n">
        <v>-19.8669229748393</v>
      </c>
      <c r="K137" s="51" t="n">
        <v>-44.0204717048089</v>
      </c>
      <c r="L137" s="51" t="n">
        <v>602553.480022339</v>
      </c>
      <c r="M137" s="51" t="n">
        <v>7802946.95628631</v>
      </c>
    </row>
    <row r="138">
      <c r="A138" s="55" t="s">
        <v>7489</v>
      </c>
      <c r="B138" s="20" t="s">
        <v>7490</v>
      </c>
      <c r="C138" s="60" t="s">
        <v>7491</v>
      </c>
      <c r="D138" s="60" t="s">
        <v>7492</v>
      </c>
      <c r="E138" s="60" t="s">
        <v>6636</v>
      </c>
      <c r="F138" s="60" t="s">
        <v>6674</v>
      </c>
      <c r="G138" s="60" t="s">
        <v>7493</v>
      </c>
      <c r="H138" s="60" t="s">
        <v>7494</v>
      </c>
      <c r="I138" s="60"/>
      <c r="J138" s="51" t="n">
        <v>-19.811972</v>
      </c>
      <c r="K138" s="51" t="n">
        <v>-43.955516</v>
      </c>
      <c r="L138" s="51" t="n">
        <v>609392.329906197</v>
      </c>
      <c r="M138" s="51" t="n">
        <v>7808987.67632433</v>
      </c>
    </row>
    <row r="139">
      <c r="A139" s="55" t="s">
        <v>7495</v>
      </c>
      <c r="B139" s="20" t="s">
        <v>7496</v>
      </c>
      <c r="C139" s="60" t="s">
        <v>7497</v>
      </c>
      <c r="D139" s="60" t="s">
        <v>7498</v>
      </c>
      <c r="E139" s="60" t="s">
        <v>6583</v>
      </c>
      <c r="F139" s="60" t="s">
        <v>6591</v>
      </c>
      <c r="G139" s="60" t="s">
        <v>7499</v>
      </c>
      <c r="H139" s="60" t="s">
        <v>7500</v>
      </c>
      <c r="I139" s="60"/>
      <c r="J139" s="51" t="n">
        <v>-19.8915324428956</v>
      </c>
      <c r="K139" s="51" t="n">
        <v>-44.0152256526307</v>
      </c>
      <c r="L139" s="51" t="n">
        <v>603086.847431286</v>
      </c>
      <c r="M139" s="51" t="n">
        <v>7800220.19788376</v>
      </c>
    </row>
    <row r="140">
      <c r="A140" s="55" t="s">
        <v>7501</v>
      </c>
      <c r="B140" s="20" t="s">
        <v>7502</v>
      </c>
      <c r="C140" s="60" t="s">
        <v>7503</v>
      </c>
      <c r="D140" s="60" t="s">
        <v>7200</v>
      </c>
      <c r="E140" s="60" t="s">
        <v>6611</v>
      </c>
      <c r="F140" s="60" t="s">
        <v>6654</v>
      </c>
      <c r="G140" s="60" t="s">
        <v>7504</v>
      </c>
      <c r="H140" s="60" t="s">
        <v>7383</v>
      </c>
      <c r="I140" s="60"/>
      <c r="J140" s="51" t="n">
        <v>-19.865094</v>
      </c>
      <c r="K140" s="51" t="n">
        <v>-43.952135</v>
      </c>
      <c r="L140" s="51" t="n">
        <v>609709.970156774</v>
      </c>
      <c r="M140" s="51" t="n">
        <v>7803106.34836204</v>
      </c>
    </row>
    <row r="141">
      <c r="A141" s="55" t="s">
        <v>7505</v>
      </c>
      <c r="B141" s="20" t="s">
        <v>7506</v>
      </c>
      <c r="C141" s="60" t="s">
        <v>7507</v>
      </c>
      <c r="D141" s="61" t="s">
        <v>7076</v>
      </c>
      <c r="E141" s="61" t="s">
        <v>6689</v>
      </c>
      <c r="F141" s="61" t="s">
        <v>6690</v>
      </c>
      <c r="G141" s="60" t="s">
        <v>7508</v>
      </c>
      <c r="H141" s="61" t="s">
        <v>7509</v>
      </c>
      <c r="I141" s="61" t="s">
        <v>7510</v>
      </c>
      <c r="J141" s="51" t="n">
        <v>-20.023358</v>
      </c>
      <c r="K141" s="51" t="n">
        <v>-44.029396</v>
      </c>
      <c r="L141" s="51" t="n">
        <v>601519.010244527</v>
      </c>
      <c r="M141" s="51" t="n">
        <v>7785639.44785948</v>
      </c>
    </row>
    <row r="142">
      <c r="A142" s="55" t="s">
        <v>7511</v>
      </c>
      <c r="B142" s="20" t="s">
        <v>7512</v>
      </c>
      <c r="C142" s="60" t="s">
        <v>7513</v>
      </c>
      <c r="D142" s="61" t="s">
        <v>6688</v>
      </c>
      <c r="E142" s="61" t="s">
        <v>6689</v>
      </c>
      <c r="F142" s="61" t="s">
        <v>6690</v>
      </c>
      <c r="G142" s="60" t="s">
        <v>6691</v>
      </c>
      <c r="H142" s="61" t="s">
        <v>7514</v>
      </c>
      <c r="I142" s="61"/>
      <c r="J142" s="51" t="n">
        <v>-20.003433</v>
      </c>
      <c r="K142" s="51" t="n">
        <v>-44.023073</v>
      </c>
      <c r="L142" s="51" t="n">
        <v>602193.274290241</v>
      </c>
      <c r="M142" s="51" t="n">
        <v>7787840.74972334</v>
      </c>
    </row>
    <row r="143" ht="28.5" customHeight="1">
      <c r="A143" s="55" t="s">
        <v>7515</v>
      </c>
      <c r="B143" s="20" t="s">
        <v>7516</v>
      </c>
      <c r="C143" s="60" t="s">
        <v>7517</v>
      </c>
      <c r="D143" s="60" t="s">
        <v>6946</v>
      </c>
      <c r="E143" s="60" t="s">
        <v>6583</v>
      </c>
      <c r="F143" s="60" t="s">
        <v>6591</v>
      </c>
      <c r="G143" s="60" t="s">
        <v>7518</v>
      </c>
      <c r="H143" s="60" t="s">
        <v>7519</v>
      </c>
      <c r="I143" s="60"/>
      <c r="J143" s="51" t="n">
        <v>-19.9212900403121</v>
      </c>
      <c r="K143" s="51" t="n">
        <v>-44.0089159872066</v>
      </c>
      <c r="L143" s="51" t="n">
        <v>603728</v>
      </c>
      <c r="M143" s="51" t="n">
        <v>7796923</v>
      </c>
    </row>
    <row r="144" ht="28.5" customHeight="1">
      <c r="A144" s="55" t="s">
        <v>7520</v>
      </c>
      <c r="B144" s="20" t="s">
        <v>7521</v>
      </c>
      <c r="C144" s="60" t="s">
        <v>7522</v>
      </c>
      <c r="D144" s="60" t="s">
        <v>6946</v>
      </c>
      <c r="E144" s="60" t="s">
        <v>6583</v>
      </c>
      <c r="F144" s="60" t="s">
        <v>6591</v>
      </c>
      <c r="G144" s="60" t="s">
        <v>7523</v>
      </c>
      <c r="H144" s="60" t="s">
        <v>6768</v>
      </c>
      <c r="I144" s="60" t="s">
        <v>7524</v>
      </c>
      <c r="J144" s="51" t="n">
        <v>-19.927617</v>
      </c>
      <c r="K144" s="51" t="n">
        <v>-44.015743</v>
      </c>
      <c r="L144" s="51" t="n">
        <v>603009.322863228</v>
      </c>
      <c r="M144" s="51" t="n">
        <v>7796226.98220175</v>
      </c>
    </row>
    <row r="145" ht="28.5" customHeight="1">
      <c r="A145" s="55" t="s">
        <v>7525</v>
      </c>
      <c r="B145" s="20" t="s">
        <v>7526</v>
      </c>
      <c r="C145" s="60" t="s">
        <v>7527</v>
      </c>
      <c r="D145" s="60" t="s">
        <v>7528</v>
      </c>
      <c r="E145" s="60" t="s">
        <v>6611</v>
      </c>
      <c r="F145" s="60" t="s">
        <v>7187</v>
      </c>
      <c r="G145" s="60" t="s">
        <v>7529</v>
      </c>
      <c r="H145" s="60" t="s">
        <v>6963</v>
      </c>
      <c r="I145" s="60"/>
      <c r="J145" s="51" t="n">
        <v>-19.8774055758278</v>
      </c>
      <c r="K145" s="51" t="n">
        <v>-43.9974246804193</v>
      </c>
      <c r="L145" s="51" t="n">
        <v>604959.717077735</v>
      </c>
      <c r="M145" s="51" t="n">
        <v>7801772.6444403</v>
      </c>
    </row>
    <row r="146" ht="28.5" customHeight="1">
      <c r="A146" s="55" t="s">
        <v>7530</v>
      </c>
      <c r="B146" s="20" t="s">
        <v>7531</v>
      </c>
      <c r="C146" s="60" t="s">
        <v>7532</v>
      </c>
      <c r="D146" s="60" t="s">
        <v>7528</v>
      </c>
      <c r="E146" s="60" t="s">
        <v>6611</v>
      </c>
      <c r="F146" s="60" t="s">
        <v>7187</v>
      </c>
      <c r="G146" s="60" t="s">
        <v>7533</v>
      </c>
      <c r="H146" s="60" t="s">
        <v>7534</v>
      </c>
      <c r="I146" s="60"/>
      <c r="J146" s="51" t="n">
        <v>-19.8782288800714</v>
      </c>
      <c r="K146" s="51" t="n">
        <v>-43.9943786831933</v>
      </c>
      <c r="L146" s="51" t="n">
        <v>605278.084344007</v>
      </c>
      <c r="M146" s="51" t="n">
        <v>7801679.62751777</v>
      </c>
    </row>
    <row r="147" ht="28.5" customHeight="1">
      <c r="A147" s="55" t="s">
        <v>7535</v>
      </c>
      <c r="B147" s="20" t="s">
        <v>7536</v>
      </c>
      <c r="C147" s="60" t="s">
        <v>6603</v>
      </c>
      <c r="D147" s="60" t="s">
        <v>6604</v>
      </c>
      <c r="E147" s="60" t="s">
        <v>6583</v>
      </c>
      <c r="F147" s="60" t="s">
        <v>6591</v>
      </c>
      <c r="G147" s="60" t="s">
        <v>6605</v>
      </c>
      <c r="H147" s="60" t="s">
        <v>6606</v>
      </c>
      <c r="I147" s="60"/>
      <c r="J147" s="51" t="n">
        <v>-19.898315</v>
      </c>
      <c r="K147" s="51" t="n">
        <v>-44.021447</v>
      </c>
      <c r="L147" s="51" t="n">
        <v>602431.180365269</v>
      </c>
      <c r="M147" s="51" t="n">
        <v>7799473.36135845</v>
      </c>
    </row>
    <row r="148" ht="28.5" customHeight="1">
      <c r="A148" s="55" t="s">
        <v>7537</v>
      </c>
      <c r="B148" s="20" t="s">
        <v>7538</v>
      </c>
      <c r="C148" s="60" t="s">
        <v>7539</v>
      </c>
      <c r="D148" s="60" t="s">
        <v>7305</v>
      </c>
      <c r="E148" s="60" t="s">
        <v>6611</v>
      </c>
      <c r="F148" s="60" t="s">
        <v>6612</v>
      </c>
      <c r="G148" s="60" t="s">
        <v>7540</v>
      </c>
      <c r="H148" s="60" t="s">
        <v>7541</v>
      </c>
      <c r="I148" s="60"/>
      <c r="J148" s="51" t="n">
        <v>-19.875865</v>
      </c>
      <c r="K148" s="51" t="n">
        <v>-44.006061</v>
      </c>
      <c r="L148" s="51" t="n">
        <v>604056.515060136</v>
      </c>
      <c r="M148" s="51" t="n">
        <v>7801948.49907709</v>
      </c>
    </row>
    <row r="149" ht="28.5" customHeight="1">
      <c r="A149" s="55" t="s">
        <v>7542</v>
      </c>
      <c r="B149" s="20" t="s">
        <v>7543</v>
      </c>
      <c r="C149" s="60" t="s">
        <v>7544</v>
      </c>
      <c r="D149" s="60" t="s">
        <v>7104</v>
      </c>
      <c r="E149" s="60" t="s">
        <v>6583</v>
      </c>
      <c r="F149" s="60" t="s">
        <v>6584</v>
      </c>
      <c r="G149" s="60" t="s">
        <v>7105</v>
      </c>
      <c r="H149" s="60" t="s">
        <v>7545</v>
      </c>
      <c r="I149" s="60"/>
      <c r="J149" s="51" t="n">
        <v>-19.904417661298</v>
      </c>
      <c r="K149" s="51" t="n">
        <v>-43.9814176433163</v>
      </c>
      <c r="L149" s="51" t="n">
        <v>606617.547283467</v>
      </c>
      <c r="M149" s="51" t="n">
        <v>7798773.10646337</v>
      </c>
    </row>
    <row r="150" ht="28.5" customHeight="1">
      <c r="A150" s="55" t="s">
        <v>7546</v>
      </c>
      <c r="B150" s="20" t="s">
        <v>7547</v>
      </c>
      <c r="C150" s="60" t="s">
        <v>7548</v>
      </c>
      <c r="D150" s="61" t="s">
        <v>7549</v>
      </c>
      <c r="E150" s="61" t="s">
        <v>6722</v>
      </c>
      <c r="F150" s="61" t="s">
        <v>7083</v>
      </c>
      <c r="G150" s="60" t="s">
        <v>7550</v>
      </c>
      <c r="H150" s="61" t="s">
        <v>7551</v>
      </c>
      <c r="I150" s="61"/>
      <c r="J150" s="51" t="n">
        <v>-19.9435631234041</v>
      </c>
      <c r="K150" s="51" t="n">
        <v>-44.0027175837775</v>
      </c>
      <c r="L150" s="51" t="n">
        <v>604362.154046236</v>
      </c>
      <c r="M150" s="51" t="n">
        <v>7794454.15451599</v>
      </c>
    </row>
    <row r="151" ht="28.5" customHeight="1">
      <c r="A151" s="55" t="s">
        <v>7552</v>
      </c>
      <c r="B151" s="20" t="s">
        <v>7553</v>
      </c>
      <c r="C151" s="60" t="s">
        <v>7554</v>
      </c>
      <c r="D151" s="60" t="s">
        <v>6714</v>
      </c>
      <c r="E151" s="60" t="s">
        <v>6583</v>
      </c>
      <c r="F151" s="60" t="s">
        <v>6591</v>
      </c>
      <c r="G151" s="60" t="s">
        <v>7555</v>
      </c>
      <c r="H151" s="60" t="s">
        <v>7276</v>
      </c>
      <c r="I151" s="60"/>
      <c r="J151" s="51" t="n">
        <v>-19.9072288995719</v>
      </c>
      <c r="K151" s="51" t="n">
        <v>-44.023675347525</v>
      </c>
      <c r="L151" s="51" t="n">
        <v>602192.184803626</v>
      </c>
      <c r="M151" s="51" t="n">
        <v>7798488.20375786</v>
      </c>
    </row>
    <row r="152" ht="28.5" customHeight="1">
      <c r="A152" s="55" t="s">
        <v>7556</v>
      </c>
      <c r="B152" s="20" t="s">
        <v>7557</v>
      </c>
      <c r="C152" s="61" t="s">
        <v>7558</v>
      </c>
      <c r="D152" s="60" t="s">
        <v>7559</v>
      </c>
      <c r="E152" s="60" t="s">
        <v>6722</v>
      </c>
      <c r="F152" s="60" t="s">
        <v>6723</v>
      </c>
      <c r="G152" s="60" t="s">
        <v>7560</v>
      </c>
      <c r="H152" s="60" t="s">
        <v>6963</v>
      </c>
      <c r="I152" s="60" t="s">
        <v>7561</v>
      </c>
      <c r="J152" s="51" t="n">
        <v>-19.81739</v>
      </c>
      <c r="K152" s="51" t="n">
        <v>-43.89351</v>
      </c>
      <c r="L152" s="51" t="n">
        <v>615883.11000664</v>
      </c>
      <c r="M152" s="51" t="n">
        <v>7808346.72148288</v>
      </c>
    </row>
    <row r="153" ht="28.5" customHeight="1">
      <c r="A153" s="55" t="s">
        <v>7562</v>
      </c>
      <c r="B153" s="20" t="s">
        <v>7563</v>
      </c>
      <c r="C153" s="60" t="s">
        <v>7564</v>
      </c>
      <c r="D153" s="60" t="s">
        <v>6714</v>
      </c>
      <c r="E153" s="60" t="s">
        <v>6583</v>
      </c>
      <c r="F153" s="60" t="s">
        <v>6591</v>
      </c>
      <c r="G153" s="60" t="s">
        <v>7565</v>
      </c>
      <c r="H153" s="60" t="s">
        <v>7566</v>
      </c>
      <c r="I153" s="60"/>
      <c r="J153" s="51" t="n">
        <v>-19.911066</v>
      </c>
      <c r="K153" s="51" t="n">
        <v>-44.021034</v>
      </c>
      <c r="L153" s="51" t="n">
        <v>602466.20514725</v>
      </c>
      <c r="M153" s="51" t="n">
        <v>7798061.94004244</v>
      </c>
    </row>
    <row r="154" ht="28.5" customHeight="1">
      <c r="A154" s="55" t="s">
        <v>7567</v>
      </c>
      <c r="B154" s="20" t="s">
        <v>7568</v>
      </c>
      <c r="C154" s="60" t="s">
        <v>7569</v>
      </c>
      <c r="D154" s="60" t="s">
        <v>7111</v>
      </c>
      <c r="E154" s="60" t="s">
        <v>6583</v>
      </c>
      <c r="F154" s="60" t="s">
        <v>6766</v>
      </c>
      <c r="G154" s="60" t="s">
        <v>7570</v>
      </c>
      <c r="H154" s="60" t="s">
        <v>7571</v>
      </c>
      <c r="I154" s="60"/>
      <c r="J154" s="51" t="n">
        <v>-19.929</v>
      </c>
      <c r="K154" s="51" t="n">
        <v>-44.002913</v>
      </c>
      <c r="L154" s="51" t="n">
        <v>604351.267496385</v>
      </c>
      <c r="M154" s="51" t="n">
        <v>7796066.00828287</v>
      </c>
    </row>
    <row r="155" ht="42.75" customHeight="1">
      <c r="A155" s="55" t="s">
        <v>7572</v>
      </c>
      <c r="B155" s="20" t="s">
        <v>7573</v>
      </c>
      <c r="C155" s="60" t="s">
        <v>7574</v>
      </c>
      <c r="D155" s="61" t="s">
        <v>7575</v>
      </c>
      <c r="E155" s="61" t="s">
        <v>6627</v>
      </c>
      <c r="F155" s="61" t="s">
        <v>7576</v>
      </c>
      <c r="G155" s="60" t="s">
        <v>7577</v>
      </c>
      <c r="H155" s="61" t="s">
        <v>7578</v>
      </c>
      <c r="I155" s="61" t="s">
        <v>7579</v>
      </c>
      <c r="J155" s="51" t="n">
        <v>-19.9567089030437</v>
      </c>
      <c r="K155" s="51" t="n">
        <v>-43.9683661174851</v>
      </c>
      <c r="L155" s="51" t="n">
        <v>607948.272214494</v>
      </c>
      <c r="M155" s="51" t="n">
        <v>7792977.554565</v>
      </c>
    </row>
    <row r="156" ht="28.5" customHeight="1">
      <c r="A156" s="55" t="s">
        <v>7580</v>
      </c>
      <c r="B156" s="20" t="s">
        <v>7581</v>
      </c>
      <c r="C156" s="60" t="s">
        <v>7582</v>
      </c>
      <c r="D156" s="60" t="s">
        <v>7583</v>
      </c>
      <c r="E156" s="60" t="s">
        <v>6583</v>
      </c>
      <c r="F156" s="60" t="s">
        <v>6766</v>
      </c>
      <c r="G156" s="60" t="s">
        <v>7584</v>
      </c>
      <c r="H156" s="60" t="s">
        <v>7066</v>
      </c>
      <c r="I156" s="60"/>
      <c r="J156" s="51" t="n">
        <v>-19.910828</v>
      </c>
      <c r="K156" s="51" t="n">
        <v>-43.960438</v>
      </c>
      <c r="L156" s="51" t="n">
        <v>608809.33970208</v>
      </c>
      <c r="M156" s="51" t="n">
        <v>7798050.22486093</v>
      </c>
    </row>
    <row r="157" ht="28.5" customHeight="1">
      <c r="A157" s="55" t="s">
        <v>7585</v>
      </c>
      <c r="B157" s="20" t="s">
        <v>7586</v>
      </c>
      <c r="C157" s="60" t="s">
        <v>7587</v>
      </c>
      <c r="D157" s="60" t="s">
        <v>7369</v>
      </c>
      <c r="E157" s="60" t="s">
        <v>6611</v>
      </c>
      <c r="F157" s="60" t="s">
        <v>6612</v>
      </c>
      <c r="G157" s="60" t="s">
        <v>7588</v>
      </c>
      <c r="H157" s="60" t="s">
        <v>7195</v>
      </c>
      <c r="I157" s="60"/>
      <c r="J157" s="51" t="n">
        <v>-19.875007</v>
      </c>
      <c r="K157" s="51" t="n">
        <v>-44.013816</v>
      </c>
      <c r="L157" s="51" t="n">
        <v>603245.129388316</v>
      </c>
      <c r="M157" s="51" t="n">
        <v>7802048.22544238</v>
      </c>
    </row>
    <row r="158" ht="28.5" customHeight="1">
      <c r="A158" s="55" t="s">
        <v>7589</v>
      </c>
      <c r="B158" s="20" t="s">
        <v>7590</v>
      </c>
      <c r="C158" s="60" t="s">
        <v>7591</v>
      </c>
      <c r="D158" s="60" t="s">
        <v>7481</v>
      </c>
      <c r="E158" s="60" t="s">
        <v>6611</v>
      </c>
      <c r="F158" s="60" t="s">
        <v>6612</v>
      </c>
      <c r="G158" s="60" t="s">
        <v>7482</v>
      </c>
      <c r="H158" s="60" t="s">
        <v>7592</v>
      </c>
      <c r="I158" s="60"/>
      <c r="J158" s="51" t="n">
        <v>-19.867214</v>
      </c>
      <c r="K158" s="51" t="n">
        <v>-44.015453</v>
      </c>
      <c r="L158" s="51" t="n">
        <v>603078.774207275</v>
      </c>
      <c r="M158" s="51" t="n">
        <v>7802911.68714328</v>
      </c>
    </row>
    <row r="159" ht="28.5" customHeight="1">
      <c r="A159" s="55" t="s">
        <v>7593</v>
      </c>
      <c r="B159" s="20" t="s">
        <v>7594</v>
      </c>
      <c r="C159" s="60" t="s">
        <v>7595</v>
      </c>
      <c r="D159" s="60" t="s">
        <v>7596</v>
      </c>
      <c r="E159" s="60" t="s">
        <v>6611</v>
      </c>
      <c r="F159" s="60" t="s">
        <v>6612</v>
      </c>
      <c r="G159" s="60" t="s">
        <v>7597</v>
      </c>
      <c r="H159" s="60" t="s">
        <v>7578</v>
      </c>
      <c r="I159" s="60"/>
      <c r="J159" s="51" t="n">
        <v>-19.8940596487545</v>
      </c>
      <c r="K159" s="51" t="n">
        <v>-43.9882738513858</v>
      </c>
      <c r="L159" s="51" t="n">
        <v>605906.723513522</v>
      </c>
      <c r="M159" s="51" t="n">
        <v>7799923.77919944</v>
      </c>
    </row>
    <row r="160" ht="28.5" customHeight="1">
      <c r="A160" s="55" t="s">
        <v>7598</v>
      </c>
      <c r="B160" s="20" t="s">
        <v>7599</v>
      </c>
      <c r="C160" s="60" t="s">
        <v>7600</v>
      </c>
      <c r="D160" s="60" t="s">
        <v>6765</v>
      </c>
      <c r="E160" s="60" t="s">
        <v>6583</v>
      </c>
      <c r="F160" s="60" t="s">
        <v>6766</v>
      </c>
      <c r="G160" s="60" t="s">
        <v>7601</v>
      </c>
      <c r="H160" s="60" t="s">
        <v>7602</v>
      </c>
      <c r="I160" s="60"/>
      <c r="J160" s="51" t="n">
        <v>-19.92076</v>
      </c>
      <c r="K160" s="51" t="n">
        <v>-43.982847</v>
      </c>
      <c r="L160" s="51" t="n">
        <v>606456.983994361</v>
      </c>
      <c r="M160" s="51" t="n">
        <v>7796965.36563857</v>
      </c>
    </row>
    <row r="161" ht="28.5" customHeight="1">
      <c r="A161" s="55" t="s">
        <v>7603</v>
      </c>
      <c r="B161" s="20" t="s">
        <v>7604</v>
      </c>
      <c r="C161" s="60" t="s">
        <v>7605</v>
      </c>
      <c r="D161" s="60" t="s">
        <v>7606</v>
      </c>
      <c r="E161" s="60" t="s">
        <v>6636</v>
      </c>
      <c r="F161" s="60" t="s">
        <v>6969</v>
      </c>
      <c r="G161" s="60" t="s">
        <v>7607</v>
      </c>
      <c r="H161" s="60" t="s">
        <v>7608</v>
      </c>
      <c r="I161" s="60"/>
      <c r="J161" s="51" t="n">
        <v>-19.8203097412084</v>
      </c>
      <c r="K161" s="51" t="n">
        <v>-43.9917982088385</v>
      </c>
      <c r="L161" s="51" t="n">
        <v>605586.557246769</v>
      </c>
      <c r="M161" s="51" t="n">
        <v>7808088.00539359</v>
      </c>
    </row>
    <row r="162" ht="28.5" customHeight="1">
      <c r="A162" s="55" t="s">
        <v>7609</v>
      </c>
      <c r="B162" s="20" t="s">
        <v>7610</v>
      </c>
      <c r="C162" s="60" t="s">
        <v>7611</v>
      </c>
      <c r="D162" s="60" t="s">
        <v>7612</v>
      </c>
      <c r="E162" s="60" t="s">
        <v>6722</v>
      </c>
      <c r="F162" s="60" t="s">
        <v>6817</v>
      </c>
      <c r="G162" s="60" t="s">
        <v>7613</v>
      </c>
      <c r="H162" s="60" t="s">
        <v>7614</v>
      </c>
      <c r="I162" s="60"/>
      <c r="J162" s="51" t="n">
        <v>-19.835279</v>
      </c>
      <c r="K162" s="51" t="n">
        <v>-43.933201</v>
      </c>
      <c r="L162" s="51" t="n">
        <v>611713.373180884</v>
      </c>
      <c r="M162" s="51" t="n">
        <v>7806393.63048788</v>
      </c>
    </row>
    <row r="163" ht="28.5" customHeight="1">
      <c r="A163" s="55" t="s">
        <v>7615</v>
      </c>
      <c r="B163" s="20" t="s">
        <v>7616</v>
      </c>
      <c r="C163" s="60" t="s">
        <v>7617</v>
      </c>
      <c r="D163" s="60" t="s">
        <v>7064</v>
      </c>
      <c r="E163" s="60" t="s">
        <v>6722</v>
      </c>
      <c r="F163" s="60" t="s">
        <v>6817</v>
      </c>
      <c r="G163" s="60" t="s">
        <v>7065</v>
      </c>
      <c r="H163" s="60" t="s">
        <v>7618</v>
      </c>
      <c r="I163" s="60"/>
      <c r="J163" s="51" t="n">
        <v>-19.8426854279508</v>
      </c>
      <c r="K163" s="51" t="n">
        <v>-43.9415277907313</v>
      </c>
      <c r="L163" s="51" t="n">
        <v>610836.188939692</v>
      </c>
      <c r="M163" s="51" t="n">
        <v>7805579.43010756</v>
      </c>
    </row>
    <row r="164" ht="28.5" customHeight="1">
      <c r="A164" s="55" t="s">
        <v>7619</v>
      </c>
      <c r="B164" s="20" t="s">
        <v>7620</v>
      </c>
      <c r="C164" s="60" t="s">
        <v>7621</v>
      </c>
      <c r="D164" s="61" t="s">
        <v>7622</v>
      </c>
      <c r="E164" s="61" t="s">
        <v>6689</v>
      </c>
      <c r="F164" s="61" t="s">
        <v>6690</v>
      </c>
      <c r="G164" s="60" t="s">
        <v>7623</v>
      </c>
      <c r="H164" s="61" t="s">
        <v>7624</v>
      </c>
      <c r="I164" s="61" t="s">
        <v>7625</v>
      </c>
      <c r="J164" s="51" t="n">
        <v>-20.0125911048468</v>
      </c>
      <c r="K164" s="51" t="n">
        <v>-44.0276716742929</v>
      </c>
      <c r="L164" s="51" t="n">
        <v>601706.3</v>
      </c>
      <c r="M164" s="51" t="n">
        <v>7786830</v>
      </c>
    </row>
    <row r="165" ht="28.5" customHeight="1">
      <c r="A165" s="55" t="s">
        <v>7626</v>
      </c>
      <c r="B165" s="20" t="s">
        <v>7627</v>
      </c>
      <c r="C165" s="60" t="s">
        <v>7628</v>
      </c>
      <c r="D165" s="60" t="s">
        <v>7629</v>
      </c>
      <c r="E165" s="60" t="s">
        <v>6722</v>
      </c>
      <c r="F165" s="60" t="s">
        <v>6817</v>
      </c>
      <c r="G165" s="60" t="s">
        <v>7630</v>
      </c>
      <c r="H165" s="60" t="s">
        <v>7631</v>
      </c>
      <c r="I165" s="60"/>
      <c r="J165" s="51" t="n">
        <v>-19.8250173129632</v>
      </c>
      <c r="K165" s="51" t="n">
        <v>-43.9460257655663</v>
      </c>
      <c r="L165" s="51" t="n">
        <v>610377.355296844</v>
      </c>
      <c r="M165" s="51" t="n">
        <v>7807537.75155082</v>
      </c>
    </row>
    <row r="166" ht="28.5" customHeight="1">
      <c r="A166" s="55" t="s">
        <v>7632</v>
      </c>
      <c r="B166" s="20" t="s">
        <v>7633</v>
      </c>
      <c r="C166" s="61" t="s">
        <v>7634</v>
      </c>
      <c r="D166" s="60" t="s">
        <v>7227</v>
      </c>
      <c r="E166" s="60" t="s">
        <v>6647</v>
      </c>
      <c r="F166" s="60" t="s">
        <v>7228</v>
      </c>
      <c r="G166" s="60" t="s">
        <v>7635</v>
      </c>
      <c r="H166" s="60" t="s">
        <v>7636</v>
      </c>
      <c r="I166" s="60" t="s">
        <v>7637</v>
      </c>
      <c r="J166" s="51" t="n">
        <v>-19.9171330613428</v>
      </c>
      <c r="K166" s="51" t="n">
        <v>-43.9050362051536</v>
      </c>
      <c r="L166" s="51" t="n">
        <v>614604.148836142</v>
      </c>
      <c r="M166" s="51" t="n">
        <v>7797315.6216005</v>
      </c>
    </row>
    <row r="167" ht="28.5" customHeight="1">
      <c r="A167" s="55" t="s">
        <v>7638</v>
      </c>
      <c r="B167" s="20" t="s">
        <v>7639</v>
      </c>
      <c r="C167" s="61" t="s">
        <v>7640</v>
      </c>
      <c r="D167" s="60" t="s">
        <v>7641</v>
      </c>
      <c r="E167" s="60" t="s">
        <v>6660</v>
      </c>
      <c r="F167" s="60" t="s">
        <v>6845</v>
      </c>
      <c r="G167" s="60" t="s">
        <v>7642</v>
      </c>
      <c r="H167" s="60" t="s">
        <v>7643</v>
      </c>
      <c r="I167" s="60" t="s">
        <v>7644</v>
      </c>
      <c r="J167" s="51" t="n">
        <v>-19.928525</v>
      </c>
      <c r="K167" s="51" t="n">
        <v>-43.91979</v>
      </c>
      <c r="L167" s="51" t="n">
        <v>613051.702944429</v>
      </c>
      <c r="M167" s="51" t="n">
        <v>7796064.81493178</v>
      </c>
    </row>
    <row r="168" ht="28.5" customHeight="1">
      <c r="A168" s="55" t="s">
        <v>7645</v>
      </c>
      <c r="B168" s="20" t="s">
        <v>7646</v>
      </c>
      <c r="C168" s="60" t="s">
        <v>7647</v>
      </c>
      <c r="D168" s="60" t="s">
        <v>6844</v>
      </c>
      <c r="E168" s="60" t="s">
        <v>6660</v>
      </c>
      <c r="F168" s="60" t="s">
        <v>6845</v>
      </c>
      <c r="G168" s="60" t="s">
        <v>7207</v>
      </c>
      <c r="H168" s="60" t="s">
        <v>7648</v>
      </c>
      <c r="I168" s="60"/>
      <c r="J168" s="51" t="n">
        <v>-19.9308276360628</v>
      </c>
      <c r="K168" s="51" t="n">
        <v>-43.9163943417606</v>
      </c>
      <c r="L168" s="51" t="n">
        <v>613405.472488759</v>
      </c>
      <c r="M168" s="51" t="n">
        <v>7795807.68422993</v>
      </c>
    </row>
    <row r="169" ht="28.5" customHeight="1">
      <c r="A169" s="55" t="s">
        <v>7649</v>
      </c>
      <c r="B169" s="20" t="s">
        <v>7650</v>
      </c>
      <c r="C169" s="60" t="s">
        <v>7651</v>
      </c>
      <c r="D169" s="60" t="s">
        <v>6844</v>
      </c>
      <c r="E169" s="60" t="s">
        <v>6660</v>
      </c>
      <c r="F169" s="60" t="s">
        <v>6845</v>
      </c>
      <c r="G169" s="60" t="s">
        <v>7652</v>
      </c>
      <c r="H169" s="60" t="s">
        <v>7653</v>
      </c>
      <c r="I169" s="61" t="s">
        <v>7358</v>
      </c>
      <c r="J169" s="51" t="n">
        <v>-19.937892</v>
      </c>
      <c r="K169" s="51" t="n">
        <v>-43.907632</v>
      </c>
      <c r="L169" s="51" t="n">
        <v>614317.503932542</v>
      </c>
      <c r="M169" s="51" t="n">
        <v>7795019.90038803</v>
      </c>
    </row>
    <row r="170" ht="28.5" customHeight="1">
      <c r="A170" s="55" t="s">
        <v>7654</v>
      </c>
      <c r="B170" s="20" t="s">
        <v>7655</v>
      </c>
      <c r="C170" s="61" t="s">
        <v>7656</v>
      </c>
      <c r="D170" s="60" t="s">
        <v>7657</v>
      </c>
      <c r="E170" s="60" t="s">
        <v>6660</v>
      </c>
      <c r="F170" s="60" t="s">
        <v>6661</v>
      </c>
      <c r="G170" s="60" t="s">
        <v>7229</v>
      </c>
      <c r="H170" s="60" t="s">
        <v>6880</v>
      </c>
      <c r="I170" s="60" t="s">
        <v>7230</v>
      </c>
      <c r="J170" s="51" t="n">
        <v>-19.9222</v>
      </c>
      <c r="K170" s="51" t="n">
        <v>-43.911434</v>
      </c>
      <c r="L170" s="51" t="n">
        <v>613930.83215156</v>
      </c>
      <c r="M170" s="51" t="n">
        <v>7796759.18860126</v>
      </c>
    </row>
    <row r="171" ht="28.5" customHeight="1">
      <c r="A171" s="55" t="s">
        <v>7658</v>
      </c>
      <c r="B171" s="20" t="s">
        <v>7659</v>
      </c>
      <c r="C171" s="60" t="s">
        <v>7660</v>
      </c>
      <c r="D171" s="61" t="s">
        <v>7661</v>
      </c>
      <c r="E171" s="61" t="s">
        <v>6660</v>
      </c>
      <c r="F171" s="61" t="s">
        <v>6845</v>
      </c>
      <c r="G171" s="60" t="s">
        <v>7662</v>
      </c>
      <c r="H171" s="61" t="s">
        <v>7663</v>
      </c>
      <c r="I171" s="61"/>
      <c r="J171" s="51" t="n">
        <v>-19.9432394809271</v>
      </c>
      <c r="K171" s="51" t="n">
        <v>-43.91564093858</v>
      </c>
      <c r="L171" s="51" t="n">
        <v>613475.461723047</v>
      </c>
      <c r="M171" s="51" t="n">
        <v>7794433.50043182</v>
      </c>
    </row>
    <row r="172" ht="28.5" customHeight="1">
      <c r="A172" s="55" t="s">
        <v>7664</v>
      </c>
      <c r="B172" s="20" t="s">
        <v>7665</v>
      </c>
      <c r="C172" s="61" t="s">
        <v>7666</v>
      </c>
      <c r="D172" s="60" t="s">
        <v>7667</v>
      </c>
      <c r="E172" s="60" t="s">
        <v>6660</v>
      </c>
      <c r="F172" s="60" t="s">
        <v>6803</v>
      </c>
      <c r="G172" s="60" t="s">
        <v>7668</v>
      </c>
      <c r="H172" s="60" t="s">
        <v>6746</v>
      </c>
      <c r="I172" s="60" t="s">
        <v>7669</v>
      </c>
      <c r="J172" s="51" t="n">
        <v>-19.931435</v>
      </c>
      <c r="K172" s="51" t="n">
        <v>-43.906264</v>
      </c>
      <c r="L172" s="51" t="n">
        <v>614465.331753288</v>
      </c>
      <c r="M172" s="51" t="n">
        <v>7795733.59587308</v>
      </c>
    </row>
    <row r="173">
      <c r="A173" s="55" t="s">
        <v>7670</v>
      </c>
      <c r="B173" s="20" t="s">
        <v>7671</v>
      </c>
      <c r="C173" s="60" t="s">
        <v>7672</v>
      </c>
      <c r="D173" s="61" t="s">
        <v>7575</v>
      </c>
      <c r="E173" s="61" t="s">
        <v>6627</v>
      </c>
      <c r="F173" s="61" t="s">
        <v>7576</v>
      </c>
      <c r="G173" s="60" t="s">
        <v>7673</v>
      </c>
      <c r="H173" s="61" t="s">
        <v>7674</v>
      </c>
      <c r="I173" s="61" t="s">
        <v>7675</v>
      </c>
      <c r="J173" s="51" t="n">
        <v>-19.9553585592477</v>
      </c>
      <c r="K173" s="51" t="n">
        <v>-43.9691276786587</v>
      </c>
      <c r="L173" s="51" t="n">
        <v>607869.495018805</v>
      </c>
      <c r="M173" s="51" t="n">
        <v>7793127.49119094</v>
      </c>
    </row>
    <row r="174">
      <c r="A174" s="55" t="s">
        <v>7676</v>
      </c>
      <c r="B174" s="20" t="s">
        <v>7677</v>
      </c>
      <c r="C174" s="60" t="s">
        <v>7678</v>
      </c>
      <c r="D174" s="60" t="s">
        <v>6597</v>
      </c>
      <c r="E174" s="60" t="s">
        <v>6583</v>
      </c>
      <c r="F174" s="60" t="s">
        <v>6591</v>
      </c>
      <c r="G174" s="60" t="s">
        <v>7679</v>
      </c>
      <c r="H174" s="60" t="s">
        <v>6859</v>
      </c>
      <c r="I174" s="60"/>
      <c r="J174" s="51" t="n">
        <v>-19.916737</v>
      </c>
      <c r="K174" s="51" t="n">
        <v>-43.999656</v>
      </c>
      <c r="L174" s="51" t="n">
        <v>604700.234350416</v>
      </c>
      <c r="M174" s="51" t="n">
        <v>7797421.15447034</v>
      </c>
    </row>
    <row r="175">
      <c r="A175" s="55" t="s">
        <v>7680</v>
      </c>
      <c r="B175" s="20" t="s">
        <v>7681</v>
      </c>
      <c r="C175" s="60" t="s">
        <v>7682</v>
      </c>
      <c r="D175" s="60" t="s">
        <v>7146</v>
      </c>
      <c r="E175" s="60" t="s">
        <v>6636</v>
      </c>
      <c r="F175" s="60" t="s">
        <v>6674</v>
      </c>
      <c r="G175" s="60" t="s">
        <v>7683</v>
      </c>
      <c r="H175" s="60" t="s">
        <v>7684</v>
      </c>
      <c r="I175" s="60"/>
      <c r="J175" s="51" t="n">
        <v>-19.806342</v>
      </c>
      <c r="K175" s="51" t="n">
        <v>-43.959329</v>
      </c>
      <c r="L175" s="51" t="n">
        <v>608996.783112719</v>
      </c>
      <c r="M175" s="51" t="n">
        <v>7809613.22194197</v>
      </c>
    </row>
    <row r="176">
      <c r="A176" s="55" t="s">
        <v>7685</v>
      </c>
      <c r="B176" s="20" t="s">
        <v>7686</v>
      </c>
      <c r="C176" s="60" t="s">
        <v>7687</v>
      </c>
      <c r="D176" s="60" t="s">
        <v>7688</v>
      </c>
      <c r="E176" s="60" t="s">
        <v>6611</v>
      </c>
      <c r="F176" s="60" t="s">
        <v>7187</v>
      </c>
      <c r="G176" s="60" t="s">
        <v>7689</v>
      </c>
      <c r="H176" s="60" t="s">
        <v>7181</v>
      </c>
      <c r="I176" s="61" t="s">
        <v>7690</v>
      </c>
      <c r="J176" s="51" t="n">
        <v>-19.8687145888442</v>
      </c>
      <c r="K176" s="51" t="n">
        <v>-43.9978608624576</v>
      </c>
      <c r="L176" s="51" t="n">
        <v>604919.768979347</v>
      </c>
      <c r="M176" s="51" t="n">
        <v>7802734.76095072</v>
      </c>
    </row>
    <row r="177">
      <c r="A177" s="55" t="s">
        <v>7691</v>
      </c>
      <c r="B177" s="20" t="s">
        <v>7692</v>
      </c>
      <c r="C177" s="60" t="s">
        <v>7693</v>
      </c>
      <c r="D177" s="60" t="s">
        <v>7343</v>
      </c>
      <c r="E177" s="60" t="s">
        <v>6611</v>
      </c>
      <c r="F177" s="60" t="s">
        <v>6612</v>
      </c>
      <c r="G177" s="60" t="s">
        <v>7344</v>
      </c>
      <c r="H177" s="60" t="s">
        <v>7694</v>
      </c>
      <c r="I177" s="60"/>
      <c r="J177" s="51" t="n">
        <v>-19.900667</v>
      </c>
      <c r="K177" s="51" t="n">
        <v>-43.998322</v>
      </c>
      <c r="L177" s="51" t="n">
        <v>604850.456291948</v>
      </c>
      <c r="M177" s="51" t="n">
        <v>7799198.82156544</v>
      </c>
    </row>
    <row r="178" ht="28.5" customHeight="1">
      <c r="A178" s="55" t="s">
        <v>7695</v>
      </c>
      <c r="B178" s="20" t="s">
        <v>7696</v>
      </c>
      <c r="C178" s="60" t="s">
        <v>7697</v>
      </c>
      <c r="D178" s="60" t="s">
        <v>7090</v>
      </c>
      <c r="E178" s="60" t="s">
        <v>6722</v>
      </c>
      <c r="F178" s="60" t="s">
        <v>6723</v>
      </c>
      <c r="G178" s="60" t="s">
        <v>7698</v>
      </c>
      <c r="H178" s="60" t="s">
        <v>7699</v>
      </c>
      <c r="I178" s="60" t="s">
        <v>7700</v>
      </c>
      <c r="J178" s="51" t="n">
        <v>-19.823991</v>
      </c>
      <c r="K178" s="51" t="n">
        <v>-43.930756</v>
      </c>
      <c r="L178" s="51" t="n">
        <v>611977.341953603</v>
      </c>
      <c r="M178" s="51" t="n">
        <v>7807641.28556936</v>
      </c>
    </row>
    <row r="179">
      <c r="A179" s="55" t="s">
        <v>7701</v>
      </c>
      <c r="B179" s="20" t="s">
        <v>7702</v>
      </c>
      <c r="C179" s="60" t="s">
        <v>7703</v>
      </c>
      <c r="D179" s="60" t="s">
        <v>7704</v>
      </c>
      <c r="E179" s="60" t="s">
        <v>6583</v>
      </c>
      <c r="F179" s="60" t="s">
        <v>6766</v>
      </c>
      <c r="G179" s="60" t="s">
        <v>7705</v>
      </c>
      <c r="H179" s="60" t="s">
        <v>7706</v>
      </c>
      <c r="I179" s="60"/>
      <c r="J179" s="51" t="n">
        <v>-19.9331767474336</v>
      </c>
      <c r="K179" s="51" t="n">
        <v>-43.9996430823862</v>
      </c>
      <c r="L179" s="51" t="n">
        <v>604690.759766562</v>
      </c>
      <c r="M179" s="51" t="n">
        <v>7795601.72489015</v>
      </c>
    </row>
    <row r="180">
      <c r="A180" s="55" t="s">
        <v>7707</v>
      </c>
      <c r="B180" s="20" t="s">
        <v>7708</v>
      </c>
      <c r="C180" s="60" t="s">
        <v>7709</v>
      </c>
      <c r="D180" s="61" t="s">
        <v>7622</v>
      </c>
      <c r="E180" s="61" t="s">
        <v>6689</v>
      </c>
      <c r="F180" s="61" t="s">
        <v>6690</v>
      </c>
      <c r="G180" s="60" t="s">
        <v>7710</v>
      </c>
      <c r="H180" s="61" t="s">
        <v>7412</v>
      </c>
      <c r="I180" s="61" t="s">
        <v>7711</v>
      </c>
      <c r="J180" s="51" t="n">
        <v>-20.015268</v>
      </c>
      <c r="K180" s="51" t="n">
        <v>-44.030147</v>
      </c>
      <c r="L180" s="51" t="n">
        <v>601445.643435538</v>
      </c>
      <c r="M180" s="51" t="n">
        <v>7786535.24365644</v>
      </c>
    </row>
    <row r="181">
      <c r="A181" s="55" t="s">
        <v>7712</v>
      </c>
      <c r="B181" s="20" t="s">
        <v>7713</v>
      </c>
      <c r="C181" s="60" t="s">
        <v>7714</v>
      </c>
      <c r="D181" s="60" t="s">
        <v>7213</v>
      </c>
      <c r="E181" s="60" t="s">
        <v>6611</v>
      </c>
      <c r="F181" s="60" t="s">
        <v>6612</v>
      </c>
      <c r="G181" s="60" t="s">
        <v>7715</v>
      </c>
      <c r="H181" s="60" t="s">
        <v>6859</v>
      </c>
      <c r="I181" s="60"/>
      <c r="J181" s="51" t="n">
        <v>-19.8955878913667</v>
      </c>
      <c r="K181" s="51" t="n">
        <v>-44.006549933886</v>
      </c>
      <c r="L181" s="51" t="n">
        <v>603992.449352302</v>
      </c>
      <c r="M181" s="51" t="n">
        <v>7799766.03981242</v>
      </c>
    </row>
    <row r="182">
      <c r="A182" s="55" t="s">
        <v>7716</v>
      </c>
      <c r="B182" s="20" t="s">
        <v>7717</v>
      </c>
      <c r="C182" s="60" t="s">
        <v>7718</v>
      </c>
      <c r="D182" s="60" t="s">
        <v>6736</v>
      </c>
      <c r="E182" s="60" t="s">
        <v>6583</v>
      </c>
      <c r="F182" s="60" t="s">
        <v>6591</v>
      </c>
      <c r="G182" s="60" t="s">
        <v>7719</v>
      </c>
      <c r="H182" s="60" t="s">
        <v>7720</v>
      </c>
      <c r="I182" s="60"/>
      <c r="J182" s="51" t="n">
        <v>-19.902592</v>
      </c>
      <c r="K182" s="51" t="n">
        <v>-44.017417</v>
      </c>
      <c r="L182" s="51" t="n">
        <v>602850.293899487</v>
      </c>
      <c r="M182" s="51" t="n">
        <v>7798997.56236742</v>
      </c>
    </row>
    <row r="183" ht="28.5" customHeight="1">
      <c r="A183" s="55" t="s">
        <v>7721</v>
      </c>
      <c r="B183" s="20" t="s">
        <v>7722</v>
      </c>
      <c r="C183" s="60" t="s">
        <v>7723</v>
      </c>
      <c r="D183" s="60" t="s">
        <v>7305</v>
      </c>
      <c r="E183" s="60" t="s">
        <v>6611</v>
      </c>
      <c r="F183" s="60" t="s">
        <v>6612</v>
      </c>
      <c r="G183" s="60" t="s">
        <v>7306</v>
      </c>
      <c r="H183" s="60" t="s">
        <v>7519</v>
      </c>
      <c r="I183" s="60"/>
      <c r="J183" s="51" t="n">
        <v>-19.875879</v>
      </c>
      <c r="K183" s="51" t="n">
        <v>-44.00724</v>
      </c>
      <c r="L183" s="51" t="n">
        <v>603933.06561902</v>
      </c>
      <c r="M183" s="51" t="n">
        <v>7801947.67735522</v>
      </c>
    </row>
    <row r="184">
      <c r="A184" s="55" t="s">
        <v>7724</v>
      </c>
      <c r="B184" s="20" t="s">
        <v>7725</v>
      </c>
      <c r="C184" s="60" t="s">
        <v>7726</v>
      </c>
      <c r="D184" s="60" t="s">
        <v>7036</v>
      </c>
      <c r="E184" s="60" t="s">
        <v>6583</v>
      </c>
      <c r="F184" s="60" t="s">
        <v>6591</v>
      </c>
      <c r="G184" s="60" t="s">
        <v>7727</v>
      </c>
      <c r="H184" s="60" t="s">
        <v>7728</v>
      </c>
      <c r="I184" s="60"/>
      <c r="J184" s="51" t="n">
        <v>-19.906424</v>
      </c>
      <c r="K184" s="51" t="n">
        <v>-43.999664</v>
      </c>
      <c r="L184" s="51" t="n">
        <v>604706.184262873</v>
      </c>
      <c r="M184" s="51" t="n">
        <v>7798562.51925366</v>
      </c>
    </row>
    <row r="185">
      <c r="A185" s="55" t="s">
        <v>7729</v>
      </c>
      <c r="B185" s="20" t="s">
        <v>7730</v>
      </c>
      <c r="C185" s="60" t="s">
        <v>7731</v>
      </c>
      <c r="D185" s="61" t="s">
        <v>7732</v>
      </c>
      <c r="E185" s="61" t="s">
        <v>6627</v>
      </c>
      <c r="F185" s="61" t="s">
        <v>6927</v>
      </c>
      <c r="G185" s="60" t="s">
        <v>7733</v>
      </c>
      <c r="H185" s="61" t="s">
        <v>6963</v>
      </c>
      <c r="I185" s="61" t="s">
        <v>7734</v>
      </c>
      <c r="J185" s="51" t="n">
        <v>-19.936298</v>
      </c>
      <c r="K185" s="51" t="n">
        <v>-44.013575</v>
      </c>
      <c r="L185" s="51" t="n">
        <v>603230.597128063</v>
      </c>
      <c r="M185" s="51" t="n">
        <v>7795264.90983553</v>
      </c>
    </row>
    <row r="186" ht="28.5" customHeight="1">
      <c r="A186" s="55" t="s">
        <v>7735</v>
      </c>
      <c r="B186" s="20" t="s">
        <v>7736</v>
      </c>
      <c r="C186" s="60" t="s">
        <v>7737</v>
      </c>
      <c r="D186" s="60" t="s">
        <v>7213</v>
      </c>
      <c r="E186" s="60" t="s">
        <v>6611</v>
      </c>
      <c r="F186" s="60" t="s">
        <v>6612</v>
      </c>
      <c r="G186" s="60" t="s">
        <v>7738</v>
      </c>
      <c r="H186" s="60" t="s">
        <v>7739</v>
      </c>
      <c r="I186" s="60"/>
      <c r="J186" s="51" t="n">
        <v>-19.89626</v>
      </c>
      <c r="K186" s="51" t="n">
        <v>-44.001905</v>
      </c>
      <c r="L186" s="51" t="n">
        <v>604478.269085023</v>
      </c>
      <c r="M186" s="51" t="n">
        <v>7799688.78018587</v>
      </c>
    </row>
    <row r="187">
      <c r="A187" s="55" t="s">
        <v>7740</v>
      </c>
      <c r="B187" s="20" t="s">
        <v>7741</v>
      </c>
      <c r="C187" s="60" t="s">
        <v>7742</v>
      </c>
      <c r="D187" s="61" t="s">
        <v>6913</v>
      </c>
      <c r="E187" s="61" t="s">
        <v>6627</v>
      </c>
      <c r="F187" s="61" t="s">
        <v>6681</v>
      </c>
      <c r="G187" s="60" t="s">
        <v>7743</v>
      </c>
      <c r="H187" s="61" t="s">
        <v>7744</v>
      </c>
      <c r="I187" s="61" t="s">
        <v>7745</v>
      </c>
      <c r="J187" s="51" t="n">
        <v>-19.967424</v>
      </c>
      <c r="K187" s="51" t="n">
        <v>-43.988541</v>
      </c>
      <c r="L187" s="51" t="n">
        <v>605829.890804092</v>
      </c>
      <c r="M187" s="51" t="n">
        <v>7791804.53321059</v>
      </c>
    </row>
    <row r="188">
      <c r="A188" s="55" t="s">
        <v>7746</v>
      </c>
      <c r="B188" s="20" t="s">
        <v>7747</v>
      </c>
      <c r="C188" s="60" t="s">
        <v>7748</v>
      </c>
      <c r="D188" s="60" t="s">
        <v>7749</v>
      </c>
      <c r="E188" s="60" t="s">
        <v>6722</v>
      </c>
      <c r="F188" s="60" t="s">
        <v>6817</v>
      </c>
      <c r="G188" s="60" t="s">
        <v>7750</v>
      </c>
      <c r="H188" s="60" t="s">
        <v>7751</v>
      </c>
      <c r="I188" s="60"/>
      <c r="J188" s="51" t="n">
        <v>-19.8295761489646</v>
      </c>
      <c r="K188" s="51" t="n">
        <v>-43.9467578417487</v>
      </c>
      <c r="L188" s="51" t="n">
        <v>610297.535786956</v>
      </c>
      <c r="M188" s="51" t="n">
        <v>7807033.69267339</v>
      </c>
    </row>
    <row r="189">
      <c r="A189" s="55" t="s">
        <v>7752</v>
      </c>
      <c r="B189" s="20" t="s">
        <v>7753</v>
      </c>
      <c r="C189" s="60" t="s">
        <v>7754</v>
      </c>
      <c r="D189" s="61" t="s">
        <v>7388</v>
      </c>
      <c r="E189" s="61" t="s">
        <v>6627</v>
      </c>
      <c r="F189" s="61" t="s">
        <v>6628</v>
      </c>
      <c r="G189" s="60" t="s">
        <v>7755</v>
      </c>
      <c r="H189" s="61" t="s">
        <v>7376</v>
      </c>
      <c r="I189" s="61" t="s">
        <v>7756</v>
      </c>
      <c r="J189" s="51" t="n">
        <v>-19.954408</v>
      </c>
      <c r="K189" s="51" t="n">
        <v>-43.969052</v>
      </c>
      <c r="L189" s="51" t="n">
        <v>607878.060713855</v>
      </c>
      <c r="M189" s="51" t="n">
        <v>7793232.6440635</v>
      </c>
    </row>
    <row r="190">
      <c r="A190" s="55" t="s">
        <v>7757</v>
      </c>
      <c r="B190" s="20" t="s">
        <v>7758</v>
      </c>
      <c r="C190" s="60" t="s">
        <v>6603</v>
      </c>
      <c r="D190" s="60" t="s">
        <v>6604</v>
      </c>
      <c r="E190" s="60" t="s">
        <v>6583</v>
      </c>
      <c r="F190" s="60" t="s">
        <v>6591</v>
      </c>
      <c r="G190" s="60" t="s">
        <v>6605</v>
      </c>
      <c r="H190" s="60" t="s">
        <v>6606</v>
      </c>
      <c r="I190" s="60"/>
      <c r="J190" s="51" t="n">
        <v>-19.898315</v>
      </c>
      <c r="K190" s="51" t="n">
        <v>-44.021447</v>
      </c>
      <c r="L190" s="51" t="n">
        <v>602431.180365269</v>
      </c>
      <c r="M190" s="51" t="n">
        <v>7799473.36135845</v>
      </c>
    </row>
    <row r="191">
      <c r="A191" s="55" t="s">
        <v>7759</v>
      </c>
      <c r="B191" s="20" t="s">
        <v>7760</v>
      </c>
      <c r="C191" s="60" t="s">
        <v>7761</v>
      </c>
      <c r="D191" s="60" t="s">
        <v>7762</v>
      </c>
      <c r="E191" s="60" t="s">
        <v>6636</v>
      </c>
      <c r="F191" s="60" t="s">
        <v>6837</v>
      </c>
      <c r="G191" s="60" t="s">
        <v>7763</v>
      </c>
      <c r="H191" s="60" t="s">
        <v>7764</v>
      </c>
      <c r="I191" s="60"/>
      <c r="J191" s="51" t="n">
        <v>-19.815362</v>
      </c>
      <c r="K191" s="51" t="n">
        <v>-43.974795</v>
      </c>
      <c r="L191" s="51" t="n">
        <v>607370.730821249</v>
      </c>
      <c r="M191" s="51" t="n">
        <v>7808624.86312948</v>
      </c>
    </row>
    <row r="192" ht="28.5" customHeight="1">
      <c r="A192" s="55" t="s">
        <v>7765</v>
      </c>
      <c r="B192" s="20" t="s">
        <v>7766</v>
      </c>
      <c r="C192" s="60" t="s">
        <v>7767</v>
      </c>
      <c r="D192" s="60" t="s">
        <v>6619</v>
      </c>
      <c r="E192" s="60" t="s">
        <v>6583</v>
      </c>
      <c r="F192" s="60" t="s">
        <v>6591</v>
      </c>
      <c r="G192" s="60" t="s">
        <v>7098</v>
      </c>
      <c r="H192" s="60" t="s">
        <v>7099</v>
      </c>
      <c r="I192" s="60"/>
      <c r="J192" s="51" t="n">
        <v>-19.909751</v>
      </c>
      <c r="K192" s="51" t="n">
        <v>-44.008965</v>
      </c>
      <c r="L192" s="51" t="n">
        <v>603730.394845414</v>
      </c>
      <c r="M192" s="51" t="n">
        <v>7798200.07607321</v>
      </c>
    </row>
    <row r="193" ht="28.5" customHeight="1">
      <c r="A193" s="55" t="s">
        <v>7768</v>
      </c>
      <c r="B193" s="20" t="s">
        <v>7769</v>
      </c>
      <c r="C193" s="60" t="s">
        <v>7770</v>
      </c>
      <c r="D193" s="60" t="s">
        <v>6946</v>
      </c>
      <c r="E193" s="60" t="s">
        <v>6583</v>
      </c>
      <c r="F193" s="60" t="s">
        <v>6591</v>
      </c>
      <c r="G193" s="60" t="s">
        <v>7771</v>
      </c>
      <c r="H193" s="60" t="s">
        <v>7174</v>
      </c>
      <c r="I193" s="60"/>
      <c r="J193" s="51" t="n">
        <v>-19.929577</v>
      </c>
      <c r="K193" s="51" t="n">
        <v>-44.008777</v>
      </c>
      <c r="L193" s="51" t="n">
        <v>603737.139880192</v>
      </c>
      <c r="M193" s="51" t="n">
        <v>7796005.78084578</v>
      </c>
    </row>
    <row r="194" ht="28.5" customHeight="1">
      <c r="A194" s="55" t="s">
        <v>7772</v>
      </c>
      <c r="B194" s="20" t="s">
        <v>7773</v>
      </c>
      <c r="C194" s="60" t="s">
        <v>7774</v>
      </c>
      <c r="D194" s="60" t="s">
        <v>7775</v>
      </c>
      <c r="E194" s="60" t="s">
        <v>6636</v>
      </c>
      <c r="F194" s="60" t="s">
        <v>6969</v>
      </c>
      <c r="G194" s="60" t="s">
        <v>7776</v>
      </c>
      <c r="H194" s="60" t="s">
        <v>7777</v>
      </c>
      <c r="I194" s="60"/>
      <c r="J194" s="51" t="n">
        <v>-19.80784</v>
      </c>
      <c r="K194" s="51" t="n">
        <v>-43.99752</v>
      </c>
      <c r="L194" s="51" t="n">
        <v>604995.465791084</v>
      </c>
      <c r="M194" s="51" t="n">
        <v>7809471.60780597</v>
      </c>
    </row>
    <row r="195">
      <c r="A195" s="55" t="s">
        <v>7778</v>
      </c>
      <c r="B195" s="20" t="s">
        <v>7779</v>
      </c>
      <c r="C195" s="60" t="s">
        <v>7780</v>
      </c>
      <c r="D195" s="60" t="s">
        <v>7305</v>
      </c>
      <c r="E195" s="60" t="s">
        <v>6611</v>
      </c>
      <c r="F195" s="60" t="s">
        <v>6612</v>
      </c>
      <c r="G195" s="60" t="s">
        <v>7781</v>
      </c>
      <c r="H195" s="60" t="s">
        <v>7782</v>
      </c>
      <c r="I195" s="60"/>
      <c r="J195" s="51" t="n">
        <v>-19.871409</v>
      </c>
      <c r="K195" s="51" t="n">
        <v>-44.001106</v>
      </c>
      <c r="L195" s="51" t="n">
        <v>604578.222815236</v>
      </c>
      <c r="M195" s="51" t="n">
        <v>7802438.58341146</v>
      </c>
    </row>
    <row r="196" ht="28.5" customHeight="1">
      <c r="A196" s="55" t="s">
        <v>7783</v>
      </c>
      <c r="B196" s="20" t="s">
        <v>7784</v>
      </c>
      <c r="C196" s="61" t="s">
        <v>7785</v>
      </c>
      <c r="D196" s="60" t="s">
        <v>7022</v>
      </c>
      <c r="E196" s="60" t="s">
        <v>6794</v>
      </c>
      <c r="F196" s="60" t="s">
        <v>6961</v>
      </c>
      <c r="G196" s="60" t="s">
        <v>7786</v>
      </c>
      <c r="H196" s="60" t="s">
        <v>7787</v>
      </c>
      <c r="I196" s="60" t="s">
        <v>7788</v>
      </c>
      <c r="J196" s="51" t="n">
        <v>-19.8229759905491</v>
      </c>
      <c r="K196" s="51" t="n">
        <v>-43.9016595385085</v>
      </c>
      <c r="L196" s="51" t="n">
        <v>615025.505588537</v>
      </c>
      <c r="M196" s="51" t="n">
        <v>7807734.06885144</v>
      </c>
    </row>
    <row r="197">
      <c r="A197" s="55" t="s">
        <v>7789</v>
      </c>
      <c r="B197" s="20" t="s">
        <v>7790</v>
      </c>
      <c r="C197" s="60" t="s">
        <v>7791</v>
      </c>
      <c r="D197" s="60" t="s">
        <v>7792</v>
      </c>
      <c r="E197" s="60" t="s">
        <v>6636</v>
      </c>
      <c r="F197" s="60" t="s">
        <v>6837</v>
      </c>
      <c r="G197" s="60" t="s">
        <v>7793</v>
      </c>
      <c r="H197" s="60" t="s">
        <v>7338</v>
      </c>
      <c r="I197" s="60"/>
      <c r="J197" s="51" t="n">
        <v>-19.8120415742438</v>
      </c>
      <c r="K197" s="51" t="n">
        <v>-43.9789916049398</v>
      </c>
      <c r="L197" s="51" t="n">
        <v>606933.4</v>
      </c>
      <c r="M197" s="51" t="n">
        <v>7808995</v>
      </c>
    </row>
    <row r="198">
      <c r="A198" s="55" t="s">
        <v>7794</v>
      </c>
      <c r="B198" s="20" t="s">
        <v>7795</v>
      </c>
      <c r="C198" s="60" t="s">
        <v>7796</v>
      </c>
      <c r="D198" s="61" t="s">
        <v>7002</v>
      </c>
      <c r="E198" s="61" t="s">
        <v>6689</v>
      </c>
      <c r="F198" s="61" t="s">
        <v>7003</v>
      </c>
      <c r="G198" s="60" t="s">
        <v>7797</v>
      </c>
      <c r="H198" s="61" t="s">
        <v>7798</v>
      </c>
      <c r="I198" s="61"/>
      <c r="J198" s="51" t="n">
        <v>-19.9897531830712</v>
      </c>
      <c r="K198" s="51" t="n">
        <v>-44.0392333374399</v>
      </c>
      <c r="L198" s="51" t="n">
        <v>600511.351076239</v>
      </c>
      <c r="M198" s="51" t="n">
        <v>7789364.50197842</v>
      </c>
    </row>
    <row r="199">
      <c r="A199" s="20" t="s">
        <v>7799</v>
      </c>
      <c r="B199" s="20" t="s">
        <v>7800</v>
      </c>
      <c r="C199" s="60" t="s">
        <v>7801</v>
      </c>
      <c r="D199" s="60" t="s">
        <v>7583</v>
      </c>
      <c r="E199" s="60" t="s">
        <v>6583</v>
      </c>
      <c r="F199" s="60" t="s">
        <v>6766</v>
      </c>
      <c r="G199" s="60" t="s">
        <v>7802</v>
      </c>
      <c r="H199" s="60" t="s">
        <v>7803</v>
      </c>
      <c r="I199" s="60"/>
      <c r="J199" s="51" t="n">
        <v>-19.912029</v>
      </c>
      <c r="K199" s="51" t="n">
        <v>-43.959048</v>
      </c>
      <c r="L199" s="51" t="n">
        <v>608954.018698466</v>
      </c>
      <c r="M199" s="51" t="n">
        <v>7797916.4068006</v>
      </c>
    </row>
    <row r="200" ht="28.5" customHeight="1">
      <c r="A200" s="20" t="s">
        <v>7804</v>
      </c>
      <c r="B200" s="20" t="s">
        <v>7805</v>
      </c>
      <c r="C200" s="60" t="s">
        <v>7806</v>
      </c>
      <c r="D200" s="61" t="s">
        <v>7807</v>
      </c>
      <c r="E200" s="61" t="s">
        <v>6660</v>
      </c>
      <c r="F200" s="61" t="s">
        <v>7808</v>
      </c>
      <c r="G200" s="60" t="s">
        <v>7809</v>
      </c>
      <c r="H200" s="61" t="s">
        <v>7810</v>
      </c>
      <c r="I200" s="61"/>
      <c r="J200" s="51" t="n">
        <v>-19.953346</v>
      </c>
      <c r="K200" s="51" t="n">
        <v>-43.942143</v>
      </c>
      <c r="L200" s="51" t="n">
        <v>610694.79427876</v>
      </c>
      <c r="M200" s="51" t="n">
        <v>7793332.66014829</v>
      </c>
    </row>
    <row r="201" ht="28.5" customHeight="1">
      <c r="A201" s="20" t="s">
        <v>7811</v>
      </c>
      <c r="B201" s="20" t="s">
        <v>7812</v>
      </c>
      <c r="C201" s="60" t="s">
        <v>7813</v>
      </c>
      <c r="D201" s="61" t="s">
        <v>6582</v>
      </c>
      <c r="E201" s="61" t="s">
        <v>6583</v>
      </c>
      <c r="F201" s="61" t="s">
        <v>6584</v>
      </c>
      <c r="G201" s="60" t="s">
        <v>7814</v>
      </c>
      <c r="H201" s="61" t="s">
        <v>7815</v>
      </c>
      <c r="I201" s="61"/>
      <c r="J201" s="51" t="n">
        <v>-19.912394</v>
      </c>
      <c r="K201" s="51" t="n">
        <v>-43.972982</v>
      </c>
      <c r="L201" s="51" t="n">
        <v>607495.211161928</v>
      </c>
      <c r="M201" s="51" t="n">
        <v>7797884.97687874</v>
      </c>
    </row>
    <row r="202">
      <c r="A202" s="20" t="s">
        <v>7816</v>
      </c>
      <c r="B202" s="20" t="s">
        <v>7817</v>
      </c>
      <c r="C202" s="60" t="s">
        <v>7818</v>
      </c>
      <c r="D202" s="61" t="s">
        <v>7641</v>
      </c>
      <c r="E202" s="61" t="s">
        <v>6660</v>
      </c>
      <c r="F202" s="61" t="s">
        <v>6845</v>
      </c>
      <c r="G202" s="60" t="s">
        <v>7819</v>
      </c>
      <c r="H202" s="61" t="s">
        <v>7798</v>
      </c>
      <c r="I202" s="61"/>
      <c r="J202" s="51" t="n">
        <v>-19.9344571270621</v>
      </c>
      <c r="K202" s="51" t="n">
        <v>-43.9098248427961</v>
      </c>
      <c r="L202" s="51" t="n">
        <v>614090.465759951</v>
      </c>
      <c r="M202" s="51" t="n">
        <v>7795401.54466254</v>
      </c>
    </row>
    <row r="203">
      <c r="A203" s="20" t="s">
        <v>7820</v>
      </c>
      <c r="B203" s="20" t="s">
        <v>7821</v>
      </c>
      <c r="C203" s="60" t="s">
        <v>7822</v>
      </c>
      <c r="D203" s="61" t="s">
        <v>7823</v>
      </c>
      <c r="E203" s="61" t="s">
        <v>6660</v>
      </c>
      <c r="F203" s="61" t="s">
        <v>7292</v>
      </c>
      <c r="G203" s="60" t="s">
        <v>7824</v>
      </c>
      <c r="H203" s="61" t="s">
        <v>7825</v>
      </c>
      <c r="I203" s="61"/>
      <c r="J203" s="51" t="n">
        <v>-19.9571673333333</v>
      </c>
      <c r="K203" s="51" t="n">
        <v>-43.9461633333333</v>
      </c>
      <c r="L203" s="51" t="n">
        <v>610271.412372489</v>
      </c>
      <c r="M203" s="51" t="n">
        <v>7792912.38436893</v>
      </c>
    </row>
    <row r="204">
      <c r="A204" s="20" t="s">
        <v>7826</v>
      </c>
      <c r="B204" s="20" t="s">
        <v>7827</v>
      </c>
      <c r="C204" s="60" t="s">
        <v>7828</v>
      </c>
      <c r="D204" s="61" t="s">
        <v>7829</v>
      </c>
      <c r="E204" s="61" t="s">
        <v>6636</v>
      </c>
      <c r="F204" s="61" t="s">
        <v>6837</v>
      </c>
      <c r="G204" s="60" t="s">
        <v>7830</v>
      </c>
      <c r="H204" s="61" t="s">
        <v>7831</v>
      </c>
      <c r="I204" s="61"/>
      <c r="J204" s="51" t="n">
        <v>-19.931895</v>
      </c>
      <c r="K204" s="51" t="n">
        <v>-43.915171</v>
      </c>
      <c r="L204" s="51" t="n">
        <v>613532.751399523</v>
      </c>
      <c r="M204" s="51" t="n">
        <v>7795688.72823077</v>
      </c>
    </row>
    <row r="205">
      <c r="A205" s="53" t="s">
        <v>7832</v>
      </c>
      <c r="B205" s="20" t="s">
        <v>7833</v>
      </c>
      <c r="C205" s="61" t="s">
        <v>7834</v>
      </c>
      <c r="D205" s="60" t="s">
        <v>6765</v>
      </c>
      <c r="E205" s="60" t="s">
        <v>6583</v>
      </c>
      <c r="F205" s="60" t="s">
        <v>6766</v>
      </c>
      <c r="G205" s="60" t="s">
        <v>7835</v>
      </c>
      <c r="H205" s="60" t="s">
        <v>7836</v>
      </c>
      <c r="I205" s="60" t="s">
        <v>7837</v>
      </c>
      <c r="J205" s="51" t="n">
        <v>-19.911821</v>
      </c>
      <c r="K205" s="51" t="n">
        <v>-43.98893</v>
      </c>
      <c r="L205" s="51" t="n">
        <v>605826.223027224</v>
      </c>
      <c r="M205" s="51" t="n">
        <v>7797958.50535269</v>
      </c>
    </row>
    <row r="206" ht="28.5" customHeight="1">
      <c r="A206" s="53" t="s">
        <v>7838</v>
      </c>
      <c r="B206" s="20" t="s">
        <v>7839</v>
      </c>
      <c r="C206" s="61" t="s">
        <v>7840</v>
      </c>
      <c r="D206" s="60" t="s">
        <v>7841</v>
      </c>
      <c r="E206" s="60" t="s">
        <v>6647</v>
      </c>
      <c r="F206" s="60" t="s">
        <v>7228</v>
      </c>
      <c r="G206" s="60" t="s">
        <v>7842</v>
      </c>
      <c r="H206" s="60" t="s">
        <v>7843</v>
      </c>
      <c r="I206" s="60" t="s">
        <v>7844</v>
      </c>
      <c r="J206" s="51" t="n">
        <v>-19.9244363095544</v>
      </c>
      <c r="K206" s="51" t="n">
        <v>-43.8972353507987</v>
      </c>
      <c r="L206" s="51" t="n">
        <v>615415.4</v>
      </c>
      <c r="M206" s="51" t="n">
        <v>7796502</v>
      </c>
    </row>
    <row r="207" ht="15" customHeight="1">
      <c r="A207" s="53" t="s">
        <v>7845</v>
      </c>
      <c r="B207" s="20" t="s">
        <v>7846</v>
      </c>
      <c r="C207" s="66" t="s">
        <v>7847</v>
      </c>
      <c r="D207" s="61" t="s">
        <v>7848</v>
      </c>
      <c r="E207" s="61" t="s">
        <v>6689</v>
      </c>
      <c r="F207" s="67" t="s">
        <v>6995</v>
      </c>
      <c r="G207" s="60" t="s">
        <v>7849</v>
      </c>
      <c r="H207" s="61" t="s">
        <v>7850</v>
      </c>
      <c r="I207" s="68" t="s">
        <v>7851</v>
      </c>
      <c r="J207" s="51" t="n">
        <v>-19.9847389063429</v>
      </c>
      <c r="K207" s="51" t="n">
        <v>-43.9885211053095</v>
      </c>
      <c r="L207" s="51" t="n">
        <v>605820.414238745</v>
      </c>
      <c r="M207" s="51" t="n">
        <v>7789888.22771207</v>
      </c>
    </row>
    <row r="208" ht="28.5" customHeight="1">
      <c r="A208" s="53" t="s">
        <v>7852</v>
      </c>
      <c r="B208" s="20" t="s">
        <v>7853</v>
      </c>
      <c r="C208" s="66" t="s">
        <v>7847</v>
      </c>
      <c r="D208" s="61" t="s">
        <v>7848</v>
      </c>
      <c r="E208" s="61" t="s">
        <v>6689</v>
      </c>
      <c r="F208" s="67" t="s">
        <v>6995</v>
      </c>
      <c r="G208" s="60" t="s">
        <v>7849</v>
      </c>
      <c r="H208" s="61" t="s">
        <v>7850</v>
      </c>
      <c r="I208" s="68" t="s">
        <v>7851</v>
      </c>
      <c r="J208" s="51" t="n">
        <v>-19.9847389063429</v>
      </c>
      <c r="K208" s="51" t="n">
        <v>-43.9885211053095</v>
      </c>
      <c r="L208" s="51" t="n">
        <v>605820.414238745</v>
      </c>
      <c r="M208" s="51" t="n">
        <v>7789888.22771207</v>
      </c>
    </row>
    <row r="209" ht="42.75" customHeight="1">
      <c r="A209" s="53" t="s">
        <v>7854</v>
      </c>
      <c r="B209" s="20" t="s">
        <v>7855</v>
      </c>
      <c r="C209" s="61" t="s">
        <v>7856</v>
      </c>
      <c r="D209" s="60" t="s">
        <v>6844</v>
      </c>
      <c r="E209" s="60" t="s">
        <v>6660</v>
      </c>
      <c r="F209" s="60" t="s">
        <v>6845</v>
      </c>
      <c r="G209" s="60" t="s">
        <v>7857</v>
      </c>
      <c r="H209" s="60" t="s">
        <v>6639</v>
      </c>
      <c r="I209" s="60" t="s">
        <v>7858</v>
      </c>
      <c r="J209" s="51" t="n">
        <v>-19.938969</v>
      </c>
      <c r="K209" s="51" t="n">
        <v>-43.912969</v>
      </c>
      <c r="L209" s="51" t="n">
        <v>613758.157880103</v>
      </c>
      <c r="M209" s="51" t="n">
        <v>7794904.3268657</v>
      </c>
    </row>
    <row r="210">
      <c r="A210" s="53" t="s">
        <v>7859</v>
      </c>
      <c r="B210" s="20" t="s">
        <v>7860</v>
      </c>
      <c r="C210" s="61" t="s">
        <v>7861</v>
      </c>
      <c r="D210" s="60" t="s">
        <v>6659</v>
      </c>
      <c r="E210" s="60" t="s">
        <v>6660</v>
      </c>
      <c r="F210" s="60" t="s">
        <v>6661</v>
      </c>
      <c r="G210" s="60" t="s">
        <v>6871</v>
      </c>
      <c r="H210" s="60" t="s">
        <v>7862</v>
      </c>
      <c r="I210" s="60" t="s">
        <v>6873</v>
      </c>
      <c r="J210" s="51" t="n">
        <v>-19.925151</v>
      </c>
      <c r="K210" s="51" t="n">
        <v>-43.931947</v>
      </c>
      <c r="L210" s="51" t="n">
        <v>611781.644046717</v>
      </c>
      <c r="M210" s="51" t="n">
        <v>7796446.36056112</v>
      </c>
    </row>
    <row r="211">
      <c r="A211" s="53" t="s">
        <v>7863</v>
      </c>
      <c r="B211" s="20" t="s">
        <v>7864</v>
      </c>
      <c r="C211" s="60" t="s">
        <v>7865</v>
      </c>
      <c r="D211" s="61" t="s">
        <v>6659</v>
      </c>
      <c r="E211" s="61" t="s">
        <v>6660</v>
      </c>
      <c r="F211" s="61" t="s">
        <v>6661</v>
      </c>
      <c r="G211" s="60" t="s">
        <v>7866</v>
      </c>
      <c r="H211" s="61" t="s">
        <v>7782</v>
      </c>
      <c r="I211" s="61" t="s">
        <v>7867</v>
      </c>
      <c r="J211" s="51" t="n">
        <v>-19.9256030596802</v>
      </c>
      <c r="K211" s="51" t="n">
        <v>-43.929961572368</v>
      </c>
      <c r="L211" s="51" t="n">
        <v>611989.137638226</v>
      </c>
      <c r="M211" s="51" t="n">
        <v>7796395.00775509</v>
      </c>
    </row>
    <row r="212" ht="28.5" customHeight="1">
      <c r="A212" s="53" t="s">
        <v>7868</v>
      </c>
      <c r="B212" s="20" t="s">
        <v>7869</v>
      </c>
      <c r="C212" s="61" t="s">
        <v>7870</v>
      </c>
      <c r="D212" s="60" t="s">
        <v>6856</v>
      </c>
      <c r="E212" s="60" t="s">
        <v>6689</v>
      </c>
      <c r="F212" s="60" t="s">
        <v>6857</v>
      </c>
      <c r="G212" s="60" t="s">
        <v>7871</v>
      </c>
      <c r="H212" s="60" t="s">
        <v>7872</v>
      </c>
      <c r="I212" s="60" t="s">
        <v>7873</v>
      </c>
      <c r="J212" s="51" t="n">
        <v>-19.9732072316066</v>
      </c>
      <c r="K212" s="51" t="n">
        <v>-43.9928123679483</v>
      </c>
      <c r="L212" s="51" t="n">
        <v>605379.094941789</v>
      </c>
      <c r="M212" s="51" t="n">
        <v>7791167.17554788</v>
      </c>
    </row>
    <row r="213">
      <c r="A213" s="53" t="s">
        <v>7874</v>
      </c>
      <c r="B213" s="20" t="s">
        <v>7875</v>
      </c>
      <c r="C213" s="61" t="s">
        <v>7876</v>
      </c>
      <c r="D213" s="60" t="s">
        <v>7877</v>
      </c>
      <c r="E213" s="60" t="s">
        <v>6660</v>
      </c>
      <c r="F213" s="60" t="s">
        <v>7292</v>
      </c>
      <c r="G213" s="60" t="s">
        <v>7878</v>
      </c>
      <c r="H213" s="60" t="s">
        <v>7879</v>
      </c>
      <c r="I213" s="60" t="s">
        <v>7880</v>
      </c>
      <c r="J213" s="51" t="n">
        <v>-19.9493484855561</v>
      </c>
      <c r="K213" s="51" t="n">
        <v>-43.9531247134498</v>
      </c>
      <c r="L213" s="51" t="n">
        <v>609548.320499683</v>
      </c>
      <c r="M213" s="51" t="n">
        <v>7793782.28385038</v>
      </c>
    </row>
    <row r="214" ht="15" customHeight="1">
      <c r="A214" s="53" t="s">
        <v>7881</v>
      </c>
      <c r="B214" s="20" t="s">
        <v>7882</v>
      </c>
      <c r="C214" s="63" t="s">
        <v>7883</v>
      </c>
      <c r="D214" s="61" t="s">
        <v>7884</v>
      </c>
      <c r="E214" s="64" t="s">
        <v>6627</v>
      </c>
      <c r="F214" s="65" t="s">
        <v>6628</v>
      </c>
      <c r="G214" s="60" t="s">
        <v>7885</v>
      </c>
      <c r="H214" s="61" t="s">
        <v>7886</v>
      </c>
      <c r="I214" s="68" t="s">
        <v>7887</v>
      </c>
      <c r="J214" s="51" t="n">
        <v>-19.943082</v>
      </c>
      <c r="K214" s="51" t="n">
        <v>-43.957003</v>
      </c>
      <c r="L214" s="51" t="n">
        <v>609146.75702853</v>
      </c>
      <c r="M214" s="51" t="n">
        <v>7794478.34354814</v>
      </c>
    </row>
    <row r="215">
      <c r="A215" s="53" t="s">
        <v>7888</v>
      </c>
      <c r="B215" s="20" t="s">
        <v>7889</v>
      </c>
      <c r="C215" s="61" t="s">
        <v>7890</v>
      </c>
      <c r="D215" s="60" t="s">
        <v>7877</v>
      </c>
      <c r="E215" s="60" t="s">
        <v>6660</v>
      </c>
      <c r="F215" s="60" t="s">
        <v>7292</v>
      </c>
      <c r="G215" s="60" t="s">
        <v>7891</v>
      </c>
      <c r="H215" s="60" t="s">
        <v>7892</v>
      </c>
      <c r="I215" s="60" t="s">
        <v>7893</v>
      </c>
      <c r="J215" s="51" t="n">
        <v>-19.9502191344444</v>
      </c>
      <c r="K215" s="51" t="n">
        <v>-43.9586407256856</v>
      </c>
      <c r="L215" s="51" t="n">
        <v>608970.460804494</v>
      </c>
      <c r="M215" s="51" t="n">
        <v>7793689.51567325</v>
      </c>
    </row>
    <row r="216">
      <c r="A216" s="53" t="s">
        <v>7894</v>
      </c>
      <c r="B216" s="20" t="s">
        <v>7895</v>
      </c>
      <c r="C216" s="60" t="s">
        <v>7896</v>
      </c>
      <c r="D216" s="61" t="s">
        <v>7657</v>
      </c>
      <c r="E216" s="61" t="s">
        <v>6660</v>
      </c>
      <c r="F216" s="61" t="s">
        <v>6661</v>
      </c>
      <c r="G216" s="60" t="s">
        <v>7897</v>
      </c>
      <c r="H216" s="61" t="s">
        <v>7898</v>
      </c>
      <c r="I216" s="61"/>
      <c r="J216" s="51" t="n">
        <v>-19.921989</v>
      </c>
      <c r="K216" s="51" t="n">
        <v>-43.916655</v>
      </c>
      <c r="L216" s="51" t="n">
        <v>613384.495033692</v>
      </c>
      <c r="M216" s="51" t="n">
        <v>7796786.07068844</v>
      </c>
    </row>
    <row r="217" ht="28.5" customHeight="1">
      <c r="A217" s="53" t="s">
        <v>7899</v>
      </c>
      <c r="B217" s="20" t="s">
        <v>7900</v>
      </c>
      <c r="C217" s="61" t="s">
        <v>7901</v>
      </c>
      <c r="D217" s="60" t="s">
        <v>7141</v>
      </c>
      <c r="E217" s="60" t="s">
        <v>6689</v>
      </c>
      <c r="F217" s="60" t="s">
        <v>6995</v>
      </c>
      <c r="G217" s="60" t="s">
        <v>7902</v>
      </c>
      <c r="H217" s="60" t="s">
        <v>7903</v>
      </c>
      <c r="I217" s="60" t="s">
        <v>7904</v>
      </c>
      <c r="J217" s="51" t="n">
        <v>-19.9857832647043</v>
      </c>
      <c r="K217" s="51" t="n">
        <v>-44.0058088451902</v>
      </c>
      <c r="L217" s="51" t="n">
        <v>604010.952748235</v>
      </c>
      <c r="M217" s="51" t="n">
        <v>7789783.4668508</v>
      </c>
    </row>
    <row r="218">
      <c r="A218" s="53" t="s">
        <v>7905</v>
      </c>
      <c r="B218" s="20" t="s">
        <v>7906</v>
      </c>
      <c r="C218" s="61" t="s">
        <v>7907</v>
      </c>
      <c r="D218" s="60" t="s">
        <v>7908</v>
      </c>
      <c r="E218" s="60" t="s">
        <v>6583</v>
      </c>
      <c r="F218" s="60" t="s">
        <v>6744</v>
      </c>
      <c r="G218" s="60" t="s">
        <v>7909</v>
      </c>
      <c r="H218" s="60" t="s">
        <v>7017</v>
      </c>
      <c r="I218" s="60" t="s">
        <v>7910</v>
      </c>
      <c r="J218" s="51" t="n">
        <v>-19.9029579432617</v>
      </c>
      <c r="K218" s="51" t="n">
        <v>-43.943247949552</v>
      </c>
      <c r="L218" s="51" t="n">
        <v>610614.222604386</v>
      </c>
      <c r="M218" s="51" t="n">
        <v>7798910.01907639</v>
      </c>
    </row>
    <row r="219">
      <c r="A219" s="53" t="s">
        <v>7911</v>
      </c>
      <c r="B219" s="20" t="s">
        <v>7912</v>
      </c>
      <c r="C219" s="61" t="s">
        <v>7913</v>
      </c>
      <c r="D219" s="60" t="s">
        <v>6877</v>
      </c>
      <c r="E219" s="60" t="s">
        <v>6794</v>
      </c>
      <c r="F219" s="60" t="s">
        <v>6878</v>
      </c>
      <c r="G219" s="60" t="s">
        <v>6879</v>
      </c>
      <c r="H219" s="60" t="s">
        <v>7744</v>
      </c>
      <c r="I219" s="60" t="s">
        <v>7914</v>
      </c>
      <c r="J219" s="51" t="n">
        <v>-19.865842</v>
      </c>
      <c r="K219" s="51" t="n">
        <v>-43.925577</v>
      </c>
      <c r="L219" s="51" t="n">
        <v>612490.276547075</v>
      </c>
      <c r="M219" s="51" t="n">
        <v>7803006.06179706</v>
      </c>
    </row>
    <row r="220">
      <c r="A220" s="53" t="s">
        <v>7915</v>
      </c>
      <c r="B220" s="20" t="s">
        <v>7916</v>
      </c>
      <c r="C220" s="61" t="s">
        <v>7917</v>
      </c>
      <c r="D220" s="60" t="s">
        <v>7629</v>
      </c>
      <c r="E220" s="60" t="s">
        <v>6722</v>
      </c>
      <c r="F220" s="60" t="s">
        <v>6817</v>
      </c>
      <c r="G220" s="60" t="s">
        <v>7918</v>
      </c>
      <c r="H220" s="60" t="s">
        <v>7919</v>
      </c>
      <c r="I220" s="60" t="s">
        <v>7920</v>
      </c>
      <c r="J220" s="51" t="n">
        <v>-19.818314</v>
      </c>
      <c r="K220" s="51" t="n">
        <v>-43.948672</v>
      </c>
      <c r="L220" s="51" t="n">
        <v>610104.820996478</v>
      </c>
      <c r="M220" s="51" t="n">
        <v>7808281.34927233</v>
      </c>
    </row>
    <row r="221">
      <c r="A221" s="54" t="s">
        <v>7921</v>
      </c>
      <c r="B221" s="20" t="s">
        <v>7922</v>
      </c>
      <c r="C221" s="61" t="s">
        <v>7923</v>
      </c>
      <c r="D221" s="60" t="s">
        <v>6721</v>
      </c>
      <c r="E221" s="60" t="s">
        <v>6722</v>
      </c>
      <c r="F221" s="60" t="s">
        <v>6723</v>
      </c>
      <c r="G221" s="60" t="s">
        <v>7924</v>
      </c>
      <c r="H221" s="60" t="s">
        <v>7925</v>
      </c>
      <c r="I221" s="60" t="s">
        <v>7926</v>
      </c>
      <c r="J221" s="51" t="n">
        <v>-19.8369515370764</v>
      </c>
      <c r="K221" s="51" t="n">
        <v>-43.9154840698026</v>
      </c>
      <c r="L221" s="51" t="n">
        <v>613567.641171021</v>
      </c>
      <c r="M221" s="51" t="n">
        <v>7806196.70407844</v>
      </c>
    </row>
    <row r="222" ht="28.5" customHeight="1">
      <c r="A222" s="54" t="s">
        <v>7927</v>
      </c>
      <c r="B222" s="20" t="s">
        <v>7928</v>
      </c>
      <c r="C222" s="60" t="s">
        <v>7929</v>
      </c>
      <c r="D222" s="61" t="s">
        <v>7583</v>
      </c>
      <c r="E222" s="61" t="s">
        <v>6583</v>
      </c>
      <c r="F222" s="61" t="s">
        <v>6766</v>
      </c>
      <c r="G222" s="60" t="s">
        <v>7930</v>
      </c>
      <c r="H222" s="61" t="s">
        <v>7931</v>
      </c>
      <c r="I222" s="61" t="s">
        <v>7932</v>
      </c>
      <c r="J222" s="51" t="n">
        <v>-19.911972</v>
      </c>
      <c r="K222" s="51" t="n">
        <v>-43.960914</v>
      </c>
      <c r="L222" s="51" t="n">
        <v>608758.731224078</v>
      </c>
      <c r="M222" s="51" t="n">
        <v>7797923.92281708</v>
      </c>
    </row>
    <row r="223" ht="15" customHeight="1">
      <c r="A223" s="53" t="s">
        <v>7933</v>
      </c>
      <c r="B223" s="20" t="s">
        <v>7934</v>
      </c>
      <c r="C223" s="63" t="s">
        <v>7935</v>
      </c>
      <c r="D223" s="64" t="s">
        <v>7936</v>
      </c>
      <c r="E223" s="61" t="s">
        <v>6660</v>
      </c>
      <c r="F223" s="65" t="s">
        <v>6661</v>
      </c>
      <c r="G223" s="63" t="s">
        <v>7937</v>
      </c>
      <c r="H223" s="61" t="s">
        <v>7938</v>
      </c>
      <c r="I223" s="68" t="s">
        <v>7939</v>
      </c>
      <c r="J223" s="51" t="n">
        <v>-19.9250989411369</v>
      </c>
      <c r="K223" s="51" t="n">
        <v>-43.9516210233684</v>
      </c>
      <c r="L223" s="51" t="n">
        <v>609722.431810366</v>
      </c>
      <c r="M223" s="51" t="n">
        <v>7796465.08493608</v>
      </c>
    </row>
    <row r="224">
      <c r="A224" s="20" t="s">
        <v>7940</v>
      </c>
      <c r="B224" s="20" t="s">
        <v>7941</v>
      </c>
      <c r="C224" s="60" t="s">
        <v>7942</v>
      </c>
      <c r="D224" s="61" t="s">
        <v>7943</v>
      </c>
      <c r="E224" s="61" t="s">
        <v>6660</v>
      </c>
      <c r="F224" s="61" t="s">
        <v>6845</v>
      </c>
      <c r="G224" s="60" t="s">
        <v>7944</v>
      </c>
      <c r="H224" s="61" t="s">
        <v>7945</v>
      </c>
      <c r="I224" s="61"/>
      <c r="J224" s="51" t="n">
        <v>-19.953717</v>
      </c>
      <c r="K224" s="51" t="n">
        <v>-43.93782</v>
      </c>
      <c r="L224" s="51" t="n">
        <v>611146.935756791</v>
      </c>
      <c r="M224" s="51" t="n">
        <v>7793288.7434885</v>
      </c>
    </row>
    <row r="225" ht="42.75" customHeight="1">
      <c r="A225" s="20" t="s">
        <v>7946</v>
      </c>
      <c r="B225" s="20" t="s">
        <v>7947</v>
      </c>
      <c r="C225" s="60" t="s">
        <v>7946</v>
      </c>
      <c r="D225" s="60" t="s">
        <v>7948</v>
      </c>
      <c r="E225" s="60" t="s">
        <v>6627</v>
      </c>
      <c r="F225" s="60" t="s">
        <v>6681</v>
      </c>
      <c r="G225" s="60" t="s">
        <v>7949</v>
      </c>
      <c r="H225" s="60" t="s">
        <v>7950</v>
      </c>
      <c r="I225" s="60"/>
      <c r="J225" s="51" t="n">
        <v>-19.9555716170067</v>
      </c>
      <c r="K225" s="51" t="n">
        <v>-43.9705658406528</v>
      </c>
      <c r="L225" s="51" t="n">
        <v>607718.8</v>
      </c>
      <c r="M225" s="51" t="n">
        <v>7793105</v>
      </c>
    </row>
    <row r="226">
      <c r="A226" s="20" t="s">
        <v>7951</v>
      </c>
      <c r="B226" s="20" t="s">
        <v>7952</v>
      </c>
      <c r="C226" s="60" t="s">
        <v>7953</v>
      </c>
      <c r="D226" s="60" t="s">
        <v>7954</v>
      </c>
      <c r="E226" s="60" t="s">
        <v>6611</v>
      </c>
      <c r="F226" s="60" t="s">
        <v>7187</v>
      </c>
      <c r="G226" s="60" t="s">
        <v>7955</v>
      </c>
      <c r="H226" s="60" t="s">
        <v>7956</v>
      </c>
      <c r="I226" s="60" t="s">
        <v>7957</v>
      </c>
      <c r="J226" s="51" t="n">
        <v>-19.854629</v>
      </c>
      <c r="K226" s="51" t="n">
        <v>-44.004522</v>
      </c>
      <c r="L226" s="51" t="n">
        <v>604231.524138854</v>
      </c>
      <c r="M226" s="51" t="n">
        <v>7804297.76286817</v>
      </c>
    </row>
    <row r="227" ht="28.5" customHeight="1">
      <c r="A227" s="20" t="s">
        <v>7958</v>
      </c>
      <c r="B227" s="20" t="s">
        <v>7959</v>
      </c>
      <c r="C227" s="60" t="s">
        <v>7960</v>
      </c>
      <c r="D227" s="60" t="s">
        <v>7583</v>
      </c>
      <c r="E227" s="60" t="s">
        <v>6583</v>
      </c>
      <c r="F227" s="60" t="s">
        <v>6766</v>
      </c>
      <c r="G227" s="60" t="s">
        <v>7961</v>
      </c>
      <c r="H227" s="60" t="s">
        <v>7962</v>
      </c>
      <c r="I227" s="60"/>
      <c r="J227" s="51" t="n">
        <v>-19.9155148240467</v>
      </c>
      <c r="K227" s="51" t="n">
        <v>-43.9681193145879</v>
      </c>
      <c r="L227" s="51" t="n">
        <v>608002.098867207</v>
      </c>
      <c r="M227" s="51" t="n">
        <v>7797536.47137433</v>
      </c>
    </row>
    <row r="228">
      <c r="A228" s="20" t="s">
        <v>7963</v>
      </c>
      <c r="B228" s="20" t="s">
        <v>7964</v>
      </c>
      <c r="C228" s="60" t="s">
        <v>7965</v>
      </c>
      <c r="D228" s="61" t="s">
        <v>7966</v>
      </c>
      <c r="E228" s="61" t="s">
        <v>6611</v>
      </c>
      <c r="F228" s="67" t="s">
        <v>7187</v>
      </c>
      <c r="G228" s="60" t="s">
        <v>7967</v>
      </c>
      <c r="H228" s="61" t="s">
        <v>6971</v>
      </c>
      <c r="I228" s="68" t="s">
        <v>7968</v>
      </c>
      <c r="J228" s="51" t="n">
        <v>-19.863837</v>
      </c>
      <c r="K228" s="51" t="n">
        <v>-43.977939</v>
      </c>
      <c r="L228" s="51" t="n">
        <v>607008.946795528</v>
      </c>
      <c r="M228" s="51" t="n">
        <v>7803262.04917345</v>
      </c>
    </row>
    <row r="229">
      <c r="A229" s="20" t="s">
        <v>7969</v>
      </c>
      <c r="B229" s="20" t="s">
        <v>7970</v>
      </c>
      <c r="C229" s="61" t="s">
        <v>7971</v>
      </c>
      <c r="D229" s="61" t="s">
        <v>7972</v>
      </c>
      <c r="E229" s="61" t="s">
        <v>6636</v>
      </c>
      <c r="F229" s="61" t="s">
        <v>6969</v>
      </c>
      <c r="G229" s="60" t="s">
        <v>7973</v>
      </c>
      <c r="H229" s="61" t="s">
        <v>7624</v>
      </c>
      <c r="I229" s="61" t="s">
        <v>7974</v>
      </c>
      <c r="J229" s="51" t="n">
        <v>-19.8308131499976</v>
      </c>
      <c r="K229" s="51" t="n">
        <v>-43.988113514479</v>
      </c>
      <c r="L229" s="51" t="n">
        <v>605965.514103208</v>
      </c>
      <c r="M229" s="51" t="n">
        <v>7806923.27333421</v>
      </c>
    </row>
    <row r="230" ht="15" customHeight="1">
      <c r="A230" s="54" t="s">
        <v>7975</v>
      </c>
      <c r="B230" s="20" t="s">
        <v>7976</v>
      </c>
      <c r="C230" s="63" t="s">
        <v>7977</v>
      </c>
      <c r="D230" s="64" t="s">
        <v>6626</v>
      </c>
      <c r="E230" s="61" t="s">
        <v>6627</v>
      </c>
      <c r="F230" s="65" t="s">
        <v>6628</v>
      </c>
      <c r="G230" s="63" t="s">
        <v>6662</v>
      </c>
      <c r="H230" s="61" t="s">
        <v>7978</v>
      </c>
      <c r="I230" s="68" t="s">
        <v>7979</v>
      </c>
      <c r="J230" s="51" t="n">
        <v>-19.9222114048623</v>
      </c>
      <c r="K230" s="51" t="n">
        <v>-43.9572946660983</v>
      </c>
      <c r="L230" s="51" t="n">
        <v>609130.564541896</v>
      </c>
      <c r="M230" s="51" t="n">
        <v>7796788.35133358</v>
      </c>
    </row>
    <row r="231">
      <c r="A231" s="20" t="s">
        <v>7980</v>
      </c>
      <c r="B231" s="20" t="s">
        <v>7981</v>
      </c>
      <c r="C231" s="60" t="s">
        <v>7982</v>
      </c>
      <c r="D231" s="61" t="s">
        <v>6765</v>
      </c>
      <c r="E231" s="61" t="s">
        <v>6583</v>
      </c>
      <c r="F231" s="61" t="s">
        <v>6766</v>
      </c>
      <c r="G231" s="60" t="s">
        <v>7983</v>
      </c>
      <c r="H231" s="61" t="s">
        <v>7984</v>
      </c>
      <c r="I231" s="61" t="s">
        <v>7985</v>
      </c>
      <c r="J231" s="51" t="n">
        <v>-19.919082</v>
      </c>
      <c r="K231" s="51" t="n">
        <v>-43.9748335</v>
      </c>
      <c r="L231" s="51" t="n">
        <v>607296.891847096</v>
      </c>
      <c r="M231" s="51" t="n">
        <v>7797145.98040639</v>
      </c>
    </row>
    <row r="232" ht="42.75" customHeight="1">
      <c r="A232" s="20" t="s">
        <v>7986</v>
      </c>
      <c r="B232" s="20" t="s">
        <v>7987</v>
      </c>
      <c r="C232" s="66" t="s">
        <v>7988</v>
      </c>
      <c r="D232" s="61" t="s">
        <v>6659</v>
      </c>
      <c r="E232" s="61" t="s">
        <v>6660</v>
      </c>
      <c r="F232" s="67" t="s">
        <v>6661</v>
      </c>
      <c r="G232" s="60" t="s">
        <v>7989</v>
      </c>
      <c r="H232" s="61" t="s">
        <v>6683</v>
      </c>
      <c r="I232" s="68" t="s">
        <v>7867</v>
      </c>
      <c r="J232" s="51" t="n">
        <v>-19.925516</v>
      </c>
      <c r="K232" s="51" t="n">
        <v>-43.92843</v>
      </c>
      <c r="L232" s="51" t="n">
        <v>612149.506307148</v>
      </c>
      <c r="M232" s="51" t="n">
        <v>7796403.6218478</v>
      </c>
    </row>
    <row r="233">
      <c r="A233" s="58" t="s">
        <v>7990</v>
      </c>
      <c r="B233" s="20" t="s">
        <v>7991</v>
      </c>
      <c r="C233" s="61" t="s">
        <v>7992</v>
      </c>
      <c r="D233" s="60" t="s">
        <v>7775</v>
      </c>
      <c r="E233" s="60" t="s">
        <v>6636</v>
      </c>
      <c r="F233" s="60" t="s">
        <v>6969</v>
      </c>
      <c r="G233" s="60" t="s">
        <v>7993</v>
      </c>
      <c r="H233" s="60" t="s">
        <v>7085</v>
      </c>
      <c r="I233" s="60" t="s">
        <v>7994</v>
      </c>
      <c r="J233" s="51" t="n">
        <v>-19.8114467740373</v>
      </c>
      <c r="K233" s="51" t="n">
        <v>-43.9986513134476</v>
      </c>
      <c r="L233" s="51" t="n">
        <v>604874.603070088</v>
      </c>
      <c r="M233" s="51" t="n">
        <v>7809073.14567575</v>
      </c>
    </row>
    <row r="234" ht="42.75" customHeight="1">
      <c r="A234" s="58" t="s">
        <v>7995</v>
      </c>
      <c r="B234" s="20" t="s">
        <v>7996</v>
      </c>
      <c r="C234" s="60" t="s">
        <v>7997</v>
      </c>
      <c r="D234" s="60" t="s">
        <v>7172</v>
      </c>
      <c r="E234" s="60" t="s">
        <v>6647</v>
      </c>
      <c r="F234" s="60" t="s">
        <v>6758</v>
      </c>
      <c r="G234" s="60" t="s">
        <v>7998</v>
      </c>
      <c r="H234" s="60" t="s">
        <v>7999</v>
      </c>
      <c r="I234" s="60"/>
      <c r="J234" s="51" t="n">
        <v>-19.9148884575551</v>
      </c>
      <c r="K234" s="51" t="n">
        <v>-43.8864271523599</v>
      </c>
      <c r="L234" s="51" t="n">
        <v>616553.694263462</v>
      </c>
      <c r="M234" s="51" t="n">
        <v>7797551.2526644</v>
      </c>
    </row>
    <row r="235" ht="28.5" customHeight="1">
      <c r="A235" s="58" t="s">
        <v>8000</v>
      </c>
      <c r="B235" s="20" t="s">
        <v>8001</v>
      </c>
      <c r="C235" s="61" t="s">
        <v>8002</v>
      </c>
      <c r="D235" s="61" t="s">
        <v>8003</v>
      </c>
      <c r="E235" s="61" t="s">
        <v>6722</v>
      </c>
      <c r="F235" s="61" t="s">
        <v>7083</v>
      </c>
      <c r="G235" s="60" t="s">
        <v>8004</v>
      </c>
      <c r="H235" s="61" t="s">
        <v>8005</v>
      </c>
      <c r="I235" s="61" t="s">
        <v>8006</v>
      </c>
      <c r="J235" s="51" t="n">
        <v>-19.814609</v>
      </c>
      <c r="K235" s="51" t="n">
        <v>-43.936092</v>
      </c>
      <c r="L235" s="51" t="n">
        <v>611425.013509265</v>
      </c>
      <c r="M235" s="51" t="n">
        <v>7808683.14401875</v>
      </c>
    </row>
    <row r="236">
      <c r="A236" s="58" t="s">
        <v>8007</v>
      </c>
      <c r="B236" s="20" t="s">
        <v>8008</v>
      </c>
      <c r="C236" s="60" t="s">
        <v>8009</v>
      </c>
      <c r="D236" s="61" t="s">
        <v>6877</v>
      </c>
      <c r="E236" s="61" t="s">
        <v>6794</v>
      </c>
      <c r="F236" s="61" t="s">
        <v>6878</v>
      </c>
      <c r="G236" s="60" t="s">
        <v>8010</v>
      </c>
      <c r="H236" s="61" t="s">
        <v>8011</v>
      </c>
      <c r="I236" s="61"/>
      <c r="J236" s="51" t="n">
        <v>-19.864397296123</v>
      </c>
      <c r="K236" s="51" t="n">
        <v>-43.9226555218134</v>
      </c>
      <c r="L236" s="51" t="n">
        <v>612797.2</v>
      </c>
      <c r="M236" s="51" t="n">
        <v>7803164</v>
      </c>
    </row>
    <row r="237" ht="28.5" customHeight="1">
      <c r="A237" s="58" t="s">
        <v>8012</v>
      </c>
      <c r="B237" s="20" t="s">
        <v>8013</v>
      </c>
      <c r="C237" s="61" t="s">
        <v>8014</v>
      </c>
      <c r="D237" s="60" t="s">
        <v>8015</v>
      </c>
      <c r="E237" s="60" t="s">
        <v>6636</v>
      </c>
      <c r="F237" s="60" t="s">
        <v>6674</v>
      </c>
      <c r="G237" s="60" t="s">
        <v>8016</v>
      </c>
      <c r="H237" s="60" t="s">
        <v>8017</v>
      </c>
      <c r="I237" s="60" t="s">
        <v>8018</v>
      </c>
      <c r="J237" s="51" t="n">
        <v>-19.801816</v>
      </c>
      <c r="K237" s="51" t="n">
        <v>-43.965662</v>
      </c>
      <c r="L237" s="51" t="n">
        <v>608336.491473126</v>
      </c>
      <c r="M237" s="51" t="n">
        <v>7810118.19203184</v>
      </c>
    </row>
    <row r="238" ht="28.5" customHeight="1">
      <c r="A238" s="58" t="s">
        <v>8019</v>
      </c>
      <c r="B238" s="20" t="s">
        <v>8020</v>
      </c>
      <c r="C238" s="60" t="s">
        <v>8021</v>
      </c>
      <c r="D238" s="61" t="s">
        <v>7936</v>
      </c>
      <c r="E238" s="61" t="s">
        <v>6660</v>
      </c>
      <c r="F238" s="61" t="s">
        <v>6661</v>
      </c>
      <c r="G238" s="60" t="s">
        <v>8022</v>
      </c>
      <c r="H238" s="61" t="s">
        <v>8023</v>
      </c>
      <c r="I238" s="61" t="s">
        <v>8024</v>
      </c>
      <c r="J238" s="51" t="n">
        <v>-19.931472</v>
      </c>
      <c r="K238" s="51" t="n">
        <v>-43.952303</v>
      </c>
      <c r="L238" s="51" t="n">
        <v>609646.654060725</v>
      </c>
      <c r="M238" s="51" t="n">
        <v>7795760.20177446</v>
      </c>
    </row>
    <row r="239" ht="42.75" customHeight="1">
      <c r="A239" s="20" t="s">
        <v>8025</v>
      </c>
      <c r="B239" s="20" t="s">
        <v>8026</v>
      </c>
      <c r="C239" s="60" t="s">
        <v>8025</v>
      </c>
      <c r="D239" s="61" t="s">
        <v>7153</v>
      </c>
      <c r="E239" s="61" t="s">
        <v>6627</v>
      </c>
      <c r="F239" s="61" t="s">
        <v>6628</v>
      </c>
      <c r="G239" s="60" t="s">
        <v>6709</v>
      </c>
      <c r="H239" s="61" t="s">
        <v>8027</v>
      </c>
      <c r="I239" s="61"/>
      <c r="J239" s="51" t="n">
        <v>-19.9336873089653</v>
      </c>
      <c r="K239" s="51" t="n">
        <v>-43.9823101590372</v>
      </c>
      <c r="L239" s="51" t="n">
        <v>606504.513214444</v>
      </c>
      <c r="M239" s="51" t="n">
        <v>7795534.32682324</v>
      </c>
    </row>
    <row r="240">
      <c r="A240" s="20" t="s">
        <v>8028</v>
      </c>
      <c r="B240" s="20" t="s">
        <v>8029</v>
      </c>
      <c r="C240" s="60" t="s">
        <v>8030</v>
      </c>
      <c r="D240" s="61" t="s">
        <v>6913</v>
      </c>
      <c r="E240" s="61" t="s">
        <v>6627</v>
      </c>
      <c r="F240" s="61" t="s">
        <v>6681</v>
      </c>
      <c r="G240" s="60" t="s">
        <v>8031</v>
      </c>
      <c r="H240" s="61" t="s">
        <v>8032</v>
      </c>
      <c r="I240" s="61"/>
      <c r="J240" s="51" t="n">
        <v>-19.96441</v>
      </c>
      <c r="K240" s="51" t="n">
        <v>-43.995917</v>
      </c>
      <c r="L240" s="51" t="n">
        <v>605060.068140053</v>
      </c>
      <c r="M240" s="51" t="n">
        <v>7792142.73704702</v>
      </c>
    </row>
    <row r="241">
      <c r="A241" s="20" t="s">
        <v>8033</v>
      </c>
      <c r="B241" s="20" t="s">
        <v>8034</v>
      </c>
      <c r="C241" s="60" t="s">
        <v>8035</v>
      </c>
      <c r="D241" s="61" t="s">
        <v>8036</v>
      </c>
      <c r="E241" s="61" t="s">
        <v>6689</v>
      </c>
      <c r="F241" s="61" t="s">
        <v>7475</v>
      </c>
      <c r="G241" s="60" t="s">
        <v>8037</v>
      </c>
      <c r="H241" s="61" t="s">
        <v>7509</v>
      </c>
      <c r="I241" s="61"/>
      <c r="J241" s="51" t="n">
        <v>-19.991926</v>
      </c>
      <c r="K241" s="51" t="n">
        <v>-44.01574</v>
      </c>
      <c r="L241" s="51" t="n">
        <v>602967.896753147</v>
      </c>
      <c r="M241" s="51" t="n">
        <v>7789109.76735568</v>
      </c>
    </row>
    <row r="242">
      <c r="A242" s="20" t="s">
        <v>8038</v>
      </c>
      <c r="B242" s="20" t="s">
        <v>8039</v>
      </c>
      <c r="C242" s="60" t="s">
        <v>8040</v>
      </c>
      <c r="D242" s="61" t="s">
        <v>7076</v>
      </c>
      <c r="E242" s="61" t="s">
        <v>6689</v>
      </c>
      <c r="F242" s="61" t="s">
        <v>6690</v>
      </c>
      <c r="G242" s="60" t="s">
        <v>7077</v>
      </c>
      <c r="H242" s="61" t="s">
        <v>8041</v>
      </c>
      <c r="I242" s="61" t="s">
        <v>8042</v>
      </c>
      <c r="J242" s="51" t="n">
        <v>-20.0197272490317</v>
      </c>
      <c r="K242" s="51" t="n">
        <v>-44.0314044853169</v>
      </c>
      <c r="L242" s="51" t="n">
        <v>601311.245939892</v>
      </c>
      <c r="M242" s="51" t="n">
        <v>7786042.4894801</v>
      </c>
    </row>
    <row r="243">
      <c r="A243" s="20" t="s">
        <v>8043</v>
      </c>
      <c r="B243" s="20" t="s">
        <v>8044</v>
      </c>
      <c r="C243" s="60" t="s">
        <v>8045</v>
      </c>
      <c r="D243" s="61" t="s">
        <v>8046</v>
      </c>
      <c r="E243" s="61" t="s">
        <v>6689</v>
      </c>
      <c r="F243" s="61" t="s">
        <v>6857</v>
      </c>
      <c r="G243" s="60" t="s">
        <v>8047</v>
      </c>
      <c r="H243" s="61" t="s">
        <v>8048</v>
      </c>
      <c r="I243" s="61"/>
      <c r="J243" s="51" t="n">
        <v>-19.9976573779843</v>
      </c>
      <c r="K243" s="51" t="n">
        <v>-44.0112731187928</v>
      </c>
      <c r="L243" s="51" t="n">
        <v>603431.489960453</v>
      </c>
      <c r="M243" s="51" t="n">
        <v>7788472.70931244</v>
      </c>
    </row>
    <row r="244" ht="28.5" customHeight="1">
      <c r="A244" s="57" t="s">
        <v>8049</v>
      </c>
      <c r="B244" s="20" t="s">
        <v>8050</v>
      </c>
      <c r="C244" s="60" t="s">
        <v>8051</v>
      </c>
      <c r="D244" s="61" t="s">
        <v>8052</v>
      </c>
      <c r="E244" s="61" t="s">
        <v>6689</v>
      </c>
      <c r="F244" s="61" t="s">
        <v>6690</v>
      </c>
      <c r="G244" s="60" t="s">
        <v>8053</v>
      </c>
      <c r="H244" s="61" t="s">
        <v>7787</v>
      </c>
      <c r="I244" s="61"/>
      <c r="J244" s="51" t="n">
        <v>-20.011824</v>
      </c>
      <c r="K244" s="51" t="n">
        <v>-44.021076</v>
      </c>
      <c r="L244" s="51" t="n">
        <v>602396.8</v>
      </c>
      <c r="M244" s="51" t="n">
        <v>7786911</v>
      </c>
    </row>
    <row r="245" ht="28.5" customHeight="1">
      <c r="A245" s="57" t="s">
        <v>8054</v>
      </c>
      <c r="B245" s="20" t="s">
        <v>8055</v>
      </c>
      <c r="C245" s="60" t="s">
        <v>8056</v>
      </c>
      <c r="D245" s="60" t="s">
        <v>8057</v>
      </c>
      <c r="E245" s="60" t="s">
        <v>6794</v>
      </c>
      <c r="F245" s="60" t="s">
        <v>6900</v>
      </c>
      <c r="G245" s="60" t="s">
        <v>8054</v>
      </c>
      <c r="H245" s="60"/>
      <c r="I245" s="60"/>
      <c r="J245" s="51" t="n">
        <v>-19.9087046420358</v>
      </c>
      <c r="K245" s="51" t="n">
        <v>-43.9366792895603</v>
      </c>
      <c r="L245" s="51" t="n">
        <v>611297.8</v>
      </c>
      <c r="M245" s="51" t="n">
        <v>7798270</v>
      </c>
    </row>
    <row r="246" ht="28.5" customHeight="1">
      <c r="A246" s="57" t="s">
        <v>8058</v>
      </c>
      <c r="B246" s="20" t="s">
        <v>8059</v>
      </c>
      <c r="C246" s="60" t="s">
        <v>8060</v>
      </c>
      <c r="D246" s="61" t="s">
        <v>7057</v>
      </c>
      <c r="E246" s="61" t="s">
        <v>6627</v>
      </c>
      <c r="F246" s="61" t="s">
        <v>6681</v>
      </c>
      <c r="G246" s="60" t="s">
        <v>8061</v>
      </c>
      <c r="H246" s="61"/>
      <c r="I246" s="61" t="s">
        <v>8062</v>
      </c>
      <c r="J246" s="51" t="n">
        <v>-19.964702780573</v>
      </c>
      <c r="K246" s="51" t="n">
        <v>-43.9724538768839</v>
      </c>
      <c r="L246" s="51" t="n">
        <v>607515.1</v>
      </c>
      <c r="M246" s="51" t="n">
        <v>7792095</v>
      </c>
    </row>
    <row r="247" ht="28.5" customHeight="1">
      <c r="A247" s="57" t="s">
        <v>8063</v>
      </c>
      <c r="B247" s="20" t="s">
        <v>8064</v>
      </c>
      <c r="C247" s="60" t="s">
        <v>8065</v>
      </c>
      <c r="D247" s="60" t="s">
        <v>6765</v>
      </c>
      <c r="E247" s="60" t="s">
        <v>6583</v>
      </c>
      <c r="F247" s="60" t="s">
        <v>6766</v>
      </c>
      <c r="G247" s="60" t="s">
        <v>8066</v>
      </c>
      <c r="H247" s="60" t="s">
        <v>8067</v>
      </c>
      <c r="I247" s="60"/>
      <c r="J247" s="51" t="n">
        <v>-19.9123749836097</v>
      </c>
      <c r="K247" s="51" t="n">
        <v>-43.9807070261274</v>
      </c>
      <c r="L247" s="51" t="n">
        <v>606686.6</v>
      </c>
      <c r="M247" s="51" t="n">
        <v>7797892</v>
      </c>
    </row>
    <row r="248" ht="28.5" customHeight="1">
      <c r="A248" s="57" t="s">
        <v>8068</v>
      </c>
      <c r="B248" s="20" t="s">
        <v>8069</v>
      </c>
      <c r="C248" s="60" t="s">
        <v>8070</v>
      </c>
      <c r="D248" s="60" t="s">
        <v>8071</v>
      </c>
      <c r="E248" s="60" t="s">
        <v>6660</v>
      </c>
      <c r="F248" s="60" t="s">
        <v>6661</v>
      </c>
      <c r="G248" s="60" t="s">
        <v>8068</v>
      </c>
      <c r="H248" s="60"/>
      <c r="I248" s="60"/>
      <c r="J248" s="51" t="n">
        <v>-19.9106901766127</v>
      </c>
      <c r="K248" s="51" t="n">
        <v>-43.9304726166703</v>
      </c>
      <c r="L248" s="51" t="n">
        <v>611946.1</v>
      </c>
      <c r="M248" s="51" t="n">
        <v>7798046</v>
      </c>
    </row>
    <row r="249">
      <c r="A249" s="57" t="s">
        <v>8072</v>
      </c>
      <c r="B249" s="20" t="s">
        <v>8073</v>
      </c>
      <c r="C249" s="60" t="s">
        <v>8072</v>
      </c>
      <c r="D249" s="61" t="s">
        <v>7141</v>
      </c>
      <c r="E249" s="61" t="s">
        <v>6689</v>
      </c>
      <c r="F249" s="61" t="s">
        <v>6995</v>
      </c>
      <c r="G249" s="60" t="s">
        <v>8074</v>
      </c>
      <c r="H249" s="61"/>
      <c r="I249" s="61"/>
      <c r="J249" s="51" t="n">
        <v>-19.9767497448002</v>
      </c>
      <c r="K249" s="51" t="n">
        <v>-43.9991248570624</v>
      </c>
      <c r="L249" s="51" t="n">
        <v>604716.2</v>
      </c>
      <c r="M249" s="51" t="n">
        <v>7790779</v>
      </c>
    </row>
    <row r="250" ht="28.5" customHeight="1">
      <c r="A250" s="57" t="s">
        <v>8075</v>
      </c>
      <c r="B250" s="20" t="s">
        <v>8076</v>
      </c>
      <c r="C250" s="60" t="s">
        <v>8077</v>
      </c>
      <c r="D250" s="61" t="s">
        <v>7381</v>
      </c>
      <c r="E250" s="61" t="s">
        <v>6689</v>
      </c>
      <c r="F250" s="61" t="s">
        <v>6690</v>
      </c>
      <c r="G250" s="60" t="s">
        <v>8078</v>
      </c>
      <c r="H250" s="61"/>
      <c r="I250" s="61"/>
      <c r="J250" s="51" t="n">
        <v>-20.0081744979252</v>
      </c>
      <c r="K250" s="51" t="n">
        <v>-44.0402195495876</v>
      </c>
      <c r="L250" s="51" t="n">
        <v>600396.5</v>
      </c>
      <c r="M250" s="51" t="n">
        <v>7787326</v>
      </c>
    </row>
    <row r="251" ht="28.5" customHeight="1">
      <c r="A251" s="57" t="s">
        <v>8079</v>
      </c>
      <c r="B251" s="20" t="s">
        <v>8080</v>
      </c>
      <c r="C251" s="60" t="s">
        <v>8081</v>
      </c>
      <c r="D251" s="60" t="s">
        <v>8082</v>
      </c>
      <c r="E251" s="60" t="s">
        <v>6689</v>
      </c>
      <c r="F251" s="60" t="s">
        <v>7003</v>
      </c>
      <c r="G251" s="60" t="s">
        <v>8079</v>
      </c>
      <c r="H251" s="60"/>
      <c r="I251" s="60"/>
      <c r="J251" s="51" t="n">
        <v>-19.9874106408794</v>
      </c>
      <c r="K251" s="51" t="n">
        <v>-44.0519978830764</v>
      </c>
      <c r="L251" s="51" t="n">
        <v>599177.3</v>
      </c>
      <c r="M251" s="51" t="n">
        <v>7789631</v>
      </c>
    </row>
    <row r="252">
      <c r="A252" s="57" t="s">
        <v>8083</v>
      </c>
      <c r="B252" s="20" t="s">
        <v>8084</v>
      </c>
      <c r="C252" s="60" t="s">
        <v>8085</v>
      </c>
      <c r="D252" s="60" t="s">
        <v>8086</v>
      </c>
      <c r="E252" s="60" t="s">
        <v>6647</v>
      </c>
      <c r="F252" s="60" t="s">
        <v>6758</v>
      </c>
      <c r="G252" s="60" t="s">
        <v>8083</v>
      </c>
      <c r="H252" s="60"/>
      <c r="I252" s="60"/>
      <c r="J252" t="n">
        <v>-19.920874243278</v>
      </c>
      <c r="K252" t="n">
        <v>-43.8810596292837</v>
      </c>
      <c r="L252" t="n">
        <v>617111.1</v>
      </c>
      <c r="M252" t="n">
        <v>7796885</v>
      </c>
    </row>
    <row r="253" ht="28.5" customHeight="1">
      <c r="A253" s="57" t="s">
        <v>8087</v>
      </c>
      <c r="B253" s="20" t="s">
        <v>8088</v>
      </c>
      <c r="C253" s="60" t="s">
        <v>8087</v>
      </c>
      <c r="D253" s="60" t="s">
        <v>7749</v>
      </c>
      <c r="E253" s="60" t="s">
        <v>6722</v>
      </c>
      <c r="F253" s="60" t="s">
        <v>6817</v>
      </c>
      <c r="G253" s="60" t="s">
        <v>8089</v>
      </c>
      <c r="H253" s="60"/>
      <c r="I253" s="60"/>
      <c r="J253" t="n">
        <v>-19.8319744242746</v>
      </c>
      <c r="K253" t="n">
        <v>-43.9470260856918</v>
      </c>
      <c r="L253" t="n">
        <v>610267.8</v>
      </c>
      <c r="M253" t="n">
        <v>7806768</v>
      </c>
    </row>
    <row r="254" ht="28.5" customHeight="1">
      <c r="A254" s="57" t="s">
        <v>8090</v>
      </c>
      <c r="B254" s="20" t="s">
        <v>8091</v>
      </c>
      <c r="C254" s="60" t="s">
        <v>8092</v>
      </c>
      <c r="D254" s="60" t="s">
        <v>6899</v>
      </c>
      <c r="E254" s="60" t="s">
        <v>6794</v>
      </c>
      <c r="F254" s="60" t="s">
        <v>6900</v>
      </c>
      <c r="G254" s="60" t="s">
        <v>8090</v>
      </c>
      <c r="H254" s="60"/>
      <c r="I254" s="60"/>
      <c r="J254" t="n">
        <v>-19.8983631289024</v>
      </c>
      <c r="K254" t="n">
        <v>-43.9447134706963</v>
      </c>
      <c r="L254" t="n">
        <v>610464</v>
      </c>
      <c r="M254" t="n">
        <v>7799420</v>
      </c>
    </row>
    <row r="255" ht="28.5" customHeight="1">
      <c r="A255" s="57" t="s">
        <v>8093</v>
      </c>
      <c r="B255" s="20" t="s">
        <v>8094</v>
      </c>
      <c r="C255" s="60" t="s">
        <v>8095</v>
      </c>
      <c r="D255" s="60" t="s">
        <v>8057</v>
      </c>
      <c r="E255" s="60" t="s">
        <v>6794</v>
      </c>
      <c r="F255" s="60" t="s">
        <v>6900</v>
      </c>
      <c r="G255" s="60" t="s">
        <v>8093</v>
      </c>
      <c r="H255" s="60"/>
      <c r="I255" s="60"/>
      <c r="J255" t="n">
        <v>-19.9067483042216</v>
      </c>
      <c r="K255" t="n">
        <v>-43.9388810354147</v>
      </c>
      <c r="L255" t="n">
        <v>611068.7</v>
      </c>
      <c r="M255" t="n">
        <v>7798488</v>
      </c>
    </row>
    <row r="256" ht="28.5" customHeight="1">
      <c r="A256" s="57" t="s">
        <v>8096</v>
      </c>
      <c r="B256" s="20" t="s">
        <v>8097</v>
      </c>
      <c r="C256" s="60" t="s">
        <v>8098</v>
      </c>
      <c r="D256" s="61" t="s">
        <v>6856</v>
      </c>
      <c r="E256" s="61" t="s">
        <v>6689</v>
      </c>
      <c r="F256" s="61" t="s">
        <v>6857</v>
      </c>
      <c r="G256" s="60" t="s">
        <v>8096</v>
      </c>
      <c r="H256" s="61"/>
      <c r="I256" s="61"/>
      <c r="J256" t="n">
        <v>-19.9985675144426</v>
      </c>
      <c r="K256" t="n">
        <v>-43.993064611549</v>
      </c>
      <c r="L256" t="n">
        <v>605335.8</v>
      </c>
      <c r="M256" t="n">
        <v>7788361</v>
      </c>
    </row>
    <row r="257" ht="28.5" customHeight="1">
      <c r="A257" s="57" t="s">
        <v>8099</v>
      </c>
      <c r="B257" s="20" t="s">
        <v>8100</v>
      </c>
      <c r="C257" s="60" t="s">
        <v>8101</v>
      </c>
      <c r="D257" s="61" t="s">
        <v>7381</v>
      </c>
      <c r="E257" s="61" t="s">
        <v>6689</v>
      </c>
      <c r="F257" s="61" t="s">
        <v>6690</v>
      </c>
      <c r="G257" s="60" t="s">
        <v>8099</v>
      </c>
      <c r="H257" s="61"/>
      <c r="I257" s="61"/>
      <c r="J257" t="n">
        <v>-20.0069520911996</v>
      </c>
      <c r="K257" t="n">
        <v>-44.0391256475274</v>
      </c>
      <c r="L257" t="n">
        <v>600511.7</v>
      </c>
      <c r="M257" t="n">
        <v>7787461</v>
      </c>
    </row>
    <row r="258" ht="42.75" customHeight="1">
      <c r="A258" s="57" t="s">
        <v>8102</v>
      </c>
      <c r="B258" s="20" t="s">
        <v>8103</v>
      </c>
      <c r="C258" s="60" t="s">
        <v>8104</v>
      </c>
      <c r="D258" s="61" t="s">
        <v>7381</v>
      </c>
      <c r="E258" s="61" t="s">
        <v>6689</v>
      </c>
      <c r="F258" s="61" t="s">
        <v>6690</v>
      </c>
      <c r="G258" s="60" t="s">
        <v>8102</v>
      </c>
      <c r="H258" s="61"/>
      <c r="I258" s="61"/>
      <c r="J258" t="n">
        <v>-20.0107725292295</v>
      </c>
      <c r="K258" t="n">
        <v>-44.0378871898494</v>
      </c>
      <c r="L258" t="n">
        <v>600638.8</v>
      </c>
      <c r="M258" t="n">
        <v>7787037</v>
      </c>
    </row>
    <row r="259" ht="42.75" customHeight="1">
      <c r="A259" s="57" t="s">
        <v>8105</v>
      </c>
      <c r="B259" s="20" t="s">
        <v>8106</v>
      </c>
      <c r="C259" s="60" t="s">
        <v>8105</v>
      </c>
      <c r="D259" s="61" t="s">
        <v>7381</v>
      </c>
      <c r="E259" s="61" t="s">
        <v>6689</v>
      </c>
      <c r="F259" s="61" t="s">
        <v>6690</v>
      </c>
      <c r="G259" s="60" t="s">
        <v>8105</v>
      </c>
      <c r="H259" s="61"/>
      <c r="I259" s="61"/>
      <c r="J259" t="n">
        <v>-20.0096731293188</v>
      </c>
      <c r="K259" t="n">
        <v>-44.0386560969088</v>
      </c>
      <c r="L259" t="n">
        <v>600559.1</v>
      </c>
      <c r="M259" t="n">
        <v>7787160</v>
      </c>
    </row>
    <row r="260" ht="42.75" customHeight="1">
      <c r="A260" s="57" t="s">
        <v>8107</v>
      </c>
      <c r="B260" s="20" t="s">
        <v>8108</v>
      </c>
      <c r="C260" s="60" t="s">
        <v>8107</v>
      </c>
      <c r="D260" s="60" t="s">
        <v>7749</v>
      </c>
      <c r="E260" s="60" t="s">
        <v>6722</v>
      </c>
      <c r="F260" s="60" t="s">
        <v>6817</v>
      </c>
      <c r="G260" s="60" t="s">
        <v>8109</v>
      </c>
      <c r="H260" s="60"/>
      <c r="I260" s="60"/>
      <c r="J260" t="n">
        <v>-19.8307479383707</v>
      </c>
      <c r="K260" t="n">
        <v>-43.9488681686266</v>
      </c>
      <c r="L260" t="n">
        <v>610075.7</v>
      </c>
      <c r="M260" t="n">
        <v>7806905</v>
      </c>
    </row>
    <row r="261" ht="28.5" customHeight="1">
      <c r="A261" s="57" t="s">
        <v>8110</v>
      </c>
      <c r="B261" s="20" t="s">
        <v>8111</v>
      </c>
      <c r="C261" s="60" t="s">
        <v>8112</v>
      </c>
      <c r="D261" s="60" t="s">
        <v>6856</v>
      </c>
      <c r="E261" s="60" t="s">
        <v>6689</v>
      </c>
      <c r="F261" s="60" t="s">
        <v>6857</v>
      </c>
      <c r="G261" s="60" t="s">
        <v>8110</v>
      </c>
      <c r="H261" s="60"/>
      <c r="I261" s="60"/>
      <c r="J261" t="n">
        <v>-19.996353455556</v>
      </c>
      <c r="K261" t="n">
        <v>-44.0002516653059</v>
      </c>
      <c r="L261" t="n">
        <v>604585.4</v>
      </c>
      <c r="M261" t="n">
        <v>7788610</v>
      </c>
    </row>
    <row r="262" ht="28.5" customHeight="1">
      <c r="A262" s="57" t="s">
        <v>8113</v>
      </c>
      <c r="B262" s="20" t="s">
        <v>8114</v>
      </c>
      <c r="C262" s="60" t="s">
        <v>8115</v>
      </c>
      <c r="D262" s="60" t="s">
        <v>8116</v>
      </c>
      <c r="E262" s="60" t="s">
        <v>6627</v>
      </c>
      <c r="F262" s="60" t="s">
        <v>7576</v>
      </c>
      <c r="G262" s="60" t="s">
        <v>8109</v>
      </c>
      <c r="H262" s="60"/>
      <c r="I262" s="60"/>
      <c r="J262" t="n">
        <v>-19.9852419881188</v>
      </c>
      <c r="K262" t="n">
        <v>-43.9737559103749</v>
      </c>
      <c r="L262" t="n">
        <v>607364.9</v>
      </c>
      <c r="M262" t="n">
        <v>7789823</v>
      </c>
    </row>
    <row r="263" ht="28.5" customHeight="1">
      <c r="A263" s="57" t="s">
        <v>8117</v>
      </c>
      <c r="B263" s="20" t="s">
        <v>8118</v>
      </c>
      <c r="C263" s="60" t="s">
        <v>8117</v>
      </c>
      <c r="D263" s="61" t="s">
        <v>8119</v>
      </c>
      <c r="E263" s="61" t="s">
        <v>6689</v>
      </c>
      <c r="F263" s="61" t="s">
        <v>7475</v>
      </c>
      <c r="G263" s="60" t="s">
        <v>8120</v>
      </c>
      <c r="H263" s="61"/>
      <c r="I263" s="61"/>
      <c r="J263" t="n">
        <v>-19.9885290625721</v>
      </c>
      <c r="K263" t="n">
        <v>-44.0200544481073</v>
      </c>
      <c r="L263" t="n">
        <v>602518.7</v>
      </c>
      <c r="M263" t="n">
        <v>7789488</v>
      </c>
    </row>
    <row r="264">
      <c r="A264" s="57" t="s">
        <v>8121</v>
      </c>
      <c r="B264" s="20" t="s">
        <v>8122</v>
      </c>
      <c r="C264" s="60" t="s">
        <v>8123</v>
      </c>
      <c r="D264" s="60" t="s">
        <v>6582</v>
      </c>
      <c r="E264" s="60" t="s">
        <v>6583</v>
      </c>
      <c r="F264" s="60" t="s">
        <v>6584</v>
      </c>
      <c r="G264" s="60" t="s">
        <v>8124</v>
      </c>
      <c r="H264" s="60"/>
      <c r="I264" s="60"/>
      <c r="J264" t="n">
        <v>-19.9047346503201</v>
      </c>
      <c r="K264" t="n">
        <v>-43.9707350429337</v>
      </c>
      <c r="L264" t="n">
        <v>607735.6</v>
      </c>
      <c r="M264" t="n">
        <v>7798731</v>
      </c>
    </row>
    <row r="265" ht="42.75" customHeight="1">
      <c r="A265" s="57" t="s">
        <v>8125</v>
      </c>
      <c r="B265" s="20" t="s">
        <v>8126</v>
      </c>
      <c r="C265" s="60" t="s">
        <v>8125</v>
      </c>
      <c r="D265" s="61" t="s">
        <v>6877</v>
      </c>
      <c r="E265" s="61" t="s">
        <v>6794</v>
      </c>
      <c r="F265" s="61" t="s">
        <v>6878</v>
      </c>
      <c r="G265" s="60" t="s">
        <v>8127</v>
      </c>
      <c r="H265" s="61"/>
      <c r="I265" s="61"/>
      <c r="J265" t="n">
        <v>-19.8692083934189</v>
      </c>
      <c r="K265" t="n">
        <v>-43.926339155253</v>
      </c>
      <c r="L265" t="n">
        <v>612408.1</v>
      </c>
      <c r="M265" t="n">
        <v>7802634</v>
      </c>
    </row>
    <row r="266" ht="57" customHeight="1">
      <c r="A266" s="57" t="s">
        <v>8128</v>
      </c>
      <c r="B266" s="20" t="s">
        <v>8129</v>
      </c>
      <c r="C266" s="60" t="s">
        <v>8128</v>
      </c>
      <c r="D266" s="61" t="s">
        <v>8130</v>
      </c>
      <c r="E266" s="61" t="s">
        <v>6689</v>
      </c>
      <c r="F266" s="61" t="s">
        <v>6690</v>
      </c>
      <c r="G266" s="60" t="s">
        <v>8128</v>
      </c>
      <c r="H266" s="61"/>
      <c r="I266" s="61"/>
      <c r="J266"/>
      <c r="K266"/>
      <c r="L266"/>
      <c r="M266"/>
    </row>
    <row r="267" ht="57" customHeight="1">
      <c r="A267" s="57" t="s">
        <v>8131</v>
      </c>
      <c r="B267" s="20" t="s">
        <v>8132</v>
      </c>
      <c r="C267" s="60" t="s">
        <v>8131</v>
      </c>
      <c r="D267" s="61" t="s">
        <v>7381</v>
      </c>
      <c r="E267" s="61" t="s">
        <v>6689</v>
      </c>
      <c r="F267" s="61" t="s">
        <v>6690</v>
      </c>
      <c r="G267" s="60" t="s">
        <v>8131</v>
      </c>
      <c r="H267" s="61"/>
      <c r="I267" s="61"/>
      <c r="J267" t="n">
        <v>-20.0083171370356</v>
      </c>
      <c r="K267" t="n">
        <v>-44.0392464098408</v>
      </c>
      <c r="L267" t="n">
        <v>600498.2</v>
      </c>
      <c r="M267" t="n">
        <v>7787310</v>
      </c>
    </row>
    <row r="268" ht="28.5" customHeight="1">
      <c r="A268" s="57" t="s">
        <v>8133</v>
      </c>
      <c r="B268" s="20" t="s">
        <v>8134</v>
      </c>
      <c r="C268" s="60" t="s">
        <v>8135</v>
      </c>
      <c r="D268" s="60" t="s">
        <v>8136</v>
      </c>
      <c r="E268" s="60" t="s">
        <v>6583</v>
      </c>
      <c r="F268" s="60" t="s">
        <v>6744</v>
      </c>
      <c r="G268" s="60" t="s">
        <v>8137</v>
      </c>
      <c r="H268" s="60" t="s">
        <v>8138</v>
      </c>
      <c r="I268" s="60"/>
      <c r="J268" t="n">
        <v>-19.8885141672217</v>
      </c>
      <c r="K268" t="n">
        <v>-43.9670191422821</v>
      </c>
      <c r="L268" t="n">
        <v>608135.6</v>
      </c>
      <c r="M268" t="n">
        <v>7800524</v>
      </c>
    </row>
    <row r="269" ht="28.5" customHeight="1">
      <c r="A269" s="56" t="s">
        <v>8139</v>
      </c>
      <c r="B269" s="20" t="s">
        <v>8140</v>
      </c>
      <c r="C269" s="60" t="s">
        <v>8141</v>
      </c>
      <c r="D269" s="61" t="s">
        <v>7474</v>
      </c>
      <c r="E269" s="61" t="s">
        <v>6689</v>
      </c>
      <c r="F269" s="61" t="s">
        <v>7475</v>
      </c>
      <c r="G269" s="60" t="s">
        <v>6709</v>
      </c>
      <c r="H269" s="61" t="s">
        <v>6963</v>
      </c>
      <c r="I269" s="61"/>
      <c r="J269" t="n">
        <v>-19.9761760994452</v>
      </c>
      <c r="K269" t="n">
        <v>-44.0291070556816</v>
      </c>
      <c r="L269" t="n">
        <v>601579.5</v>
      </c>
      <c r="M269" t="n">
        <v>7790861</v>
      </c>
    </row>
    <row r="270" ht="28.5" customHeight="1">
      <c r="A270" s="56" t="s">
        <v>8142</v>
      </c>
      <c r="B270" s="20" t="s">
        <v>8143</v>
      </c>
      <c r="C270" s="60" t="s">
        <v>8144</v>
      </c>
      <c r="D270" s="60" t="s">
        <v>7153</v>
      </c>
      <c r="E270" s="60" t="s">
        <v>6627</v>
      </c>
      <c r="F270" s="60" t="s">
        <v>6628</v>
      </c>
      <c r="G270" s="60" t="s">
        <v>6709</v>
      </c>
      <c r="H270" s="60" t="s">
        <v>8145</v>
      </c>
      <c r="I270" s="61" t="s">
        <v>8146</v>
      </c>
      <c r="J270" t="n">
        <v>-19.933599</v>
      </c>
      <c r="K270" t="n">
        <v>-43.981898</v>
      </c>
      <c r="L270" t="n">
        <v>606547.709704758</v>
      </c>
      <c r="M270" t="n">
        <v>7795543.83890801</v>
      </c>
    </row>
    <row r="271" ht="28.5" customHeight="1">
      <c r="A271" s="56" t="s">
        <v>8147</v>
      </c>
      <c r="B271" s="20" t="s">
        <v>8148</v>
      </c>
      <c r="C271" s="60" t="s">
        <v>8149</v>
      </c>
      <c r="D271" s="61" t="s">
        <v>6913</v>
      </c>
      <c r="E271" s="61" t="s">
        <v>6627</v>
      </c>
      <c r="F271" s="61" t="s">
        <v>6681</v>
      </c>
      <c r="G271" s="60" t="s">
        <v>8150</v>
      </c>
      <c r="H271" s="61" t="s">
        <v>8151</v>
      </c>
      <c r="I271" s="61"/>
      <c r="J271" t="n">
        <v>-19.9618826288649</v>
      </c>
      <c r="K271" t="n">
        <v>-43.9927788190659</v>
      </c>
      <c r="L271" t="n">
        <v>605390.1</v>
      </c>
      <c r="M271" t="n">
        <v>7792420</v>
      </c>
    </row>
    <row r="272" ht="28.5" customHeight="1">
      <c r="A272" s="56" t="s">
        <v>8152</v>
      </c>
      <c r="B272" s="20" t="s">
        <v>8153</v>
      </c>
      <c r="C272" s="60" t="s">
        <v>8154</v>
      </c>
      <c r="D272" s="60" t="s">
        <v>6773</v>
      </c>
      <c r="E272" s="60" t="s">
        <v>6627</v>
      </c>
      <c r="F272" s="60" t="s">
        <v>6628</v>
      </c>
      <c r="G272" s="60" t="s">
        <v>6709</v>
      </c>
      <c r="H272" s="60" t="s">
        <v>8155</v>
      </c>
      <c r="I272" s="60"/>
      <c r="J272" t="n">
        <v>-19.945475</v>
      </c>
      <c r="K272" t="n">
        <v>-43.986542</v>
      </c>
      <c r="L272" t="n">
        <v>606053.731417566</v>
      </c>
      <c r="M272" t="n">
        <v>7794232.42888059</v>
      </c>
    </row>
    <row r="273" ht="28.5" customHeight="1">
      <c r="A273" s="56" t="s">
        <v>8156</v>
      </c>
      <c r="B273" s="20" t="s">
        <v>8157</v>
      </c>
      <c r="C273" s="60" t="s">
        <v>8158</v>
      </c>
      <c r="D273" s="61" t="s">
        <v>8159</v>
      </c>
      <c r="E273" s="61" t="s">
        <v>6627</v>
      </c>
      <c r="F273" s="61" t="s">
        <v>7410</v>
      </c>
      <c r="G273" s="60" t="s">
        <v>8160</v>
      </c>
      <c r="H273" s="61" t="s">
        <v>8161</v>
      </c>
      <c r="I273" s="61"/>
      <c r="J273" t="n">
        <v>-19.9440627441356</v>
      </c>
      <c r="K273" t="n">
        <v>-43.9621994131289</v>
      </c>
      <c r="L273" t="n">
        <v>608602.2</v>
      </c>
      <c r="M273" t="n">
        <v>7794373</v>
      </c>
    </row>
    <row r="274" ht="28.5" customHeight="1">
      <c r="A274" s="56" t="s">
        <v>8162</v>
      </c>
      <c r="B274" s="20" t="s">
        <v>8163</v>
      </c>
      <c r="C274" s="61" t="s">
        <v>8164</v>
      </c>
      <c r="D274" s="60" t="s">
        <v>8116</v>
      </c>
      <c r="E274" s="60" t="s">
        <v>6627</v>
      </c>
      <c r="F274" s="60" t="s">
        <v>7576</v>
      </c>
      <c r="G274" s="60" t="s">
        <v>8165</v>
      </c>
      <c r="H274" s="60" t="s">
        <v>8166</v>
      </c>
      <c r="I274" s="60" t="s">
        <v>8167</v>
      </c>
      <c r="J274" t="n">
        <v>-19.9760169000152</v>
      </c>
      <c r="K274" t="n">
        <v>-43.9714668855586</v>
      </c>
      <c r="L274" t="n">
        <v>607610.686511083</v>
      </c>
      <c r="M274" t="n">
        <v>7790842.66510874</v>
      </c>
    </row>
    <row r="275" ht="28.5" customHeight="1">
      <c r="A275" s="56" t="s">
        <v>8168</v>
      </c>
      <c r="B275" s="20" t="s">
        <v>8169</v>
      </c>
      <c r="C275" s="60" t="s">
        <v>8170</v>
      </c>
      <c r="D275" s="61" t="s">
        <v>8171</v>
      </c>
      <c r="E275" s="61" t="s">
        <v>6689</v>
      </c>
      <c r="F275" s="61" t="s">
        <v>6690</v>
      </c>
      <c r="G275" s="60" t="s">
        <v>8172</v>
      </c>
      <c r="H275" s="61" t="s">
        <v>7614</v>
      </c>
      <c r="I275" s="61"/>
      <c r="J275" t="n">
        <v>-20.0113559862031</v>
      </c>
      <c r="K275" t="n">
        <v>-44.0403208926334</v>
      </c>
      <c r="L275" t="n">
        <v>600383.869476285</v>
      </c>
      <c r="M275" t="n">
        <v>7786974.32878284</v>
      </c>
    </row>
    <row r="276">
      <c r="A276" s="20" t="s">
        <v>8173</v>
      </c>
      <c r="B276" s="20" t="s">
        <v>8174</v>
      </c>
      <c r="C276" s="60" t="s">
        <v>8175</v>
      </c>
      <c r="D276" s="60" t="s">
        <v>6864</v>
      </c>
      <c r="E276" s="60" t="s">
        <v>6627</v>
      </c>
      <c r="F276" s="60" t="s">
        <v>6628</v>
      </c>
      <c r="G276" s="60" t="s">
        <v>8176</v>
      </c>
      <c r="H276" s="60" t="s">
        <v>7862</v>
      </c>
      <c r="I276" s="60"/>
      <c r="J276" t="n">
        <v>-19.939797</v>
      </c>
      <c r="K276" t="n">
        <v>-43.966237</v>
      </c>
      <c r="L276" t="n">
        <v>608182.600496606</v>
      </c>
      <c r="M276" t="n">
        <v>7794847.87947831</v>
      </c>
    </row>
    <row r="277">
      <c r="A277" s="20" t="s">
        <v>8177</v>
      </c>
      <c r="B277" s="20" t="s">
        <v>8178</v>
      </c>
      <c r="C277" s="60" t="s">
        <v>8179</v>
      </c>
      <c r="D277" s="60" t="s">
        <v>7166</v>
      </c>
      <c r="E277" s="60" t="s">
        <v>6722</v>
      </c>
      <c r="F277" s="60" t="s">
        <v>6723</v>
      </c>
      <c r="G277" s="60" t="s">
        <v>8180</v>
      </c>
      <c r="H277" s="60" t="s">
        <v>7879</v>
      </c>
      <c r="I277" s="60" t="s">
        <v>8181</v>
      </c>
      <c r="J277" t="n">
        <v>-19.8433091243438</v>
      </c>
      <c r="K277" t="n">
        <v>-43.9137850971012</v>
      </c>
      <c r="L277" t="n">
        <v>613741.041783362</v>
      </c>
      <c r="M277" t="n">
        <v>7805491.94418329</v>
      </c>
    </row>
    <row r="278">
      <c r="A278" s="20" t="s">
        <v>8182</v>
      </c>
      <c r="B278" s="20" t="s">
        <v>8183</v>
      </c>
      <c r="C278" s="60" t="s">
        <v>8184</v>
      </c>
      <c r="D278" s="60" t="s">
        <v>7657</v>
      </c>
      <c r="E278" s="60" t="s">
        <v>6660</v>
      </c>
      <c r="F278" s="60" t="s">
        <v>6661</v>
      </c>
      <c r="G278" s="60" t="s">
        <v>8185</v>
      </c>
      <c r="H278" s="60" t="s">
        <v>8186</v>
      </c>
      <c r="I278" s="60" t="s">
        <v>8187</v>
      </c>
      <c r="J278" t="n">
        <v>-19.928286625</v>
      </c>
      <c r="K278" t="n">
        <v>-43.90802225</v>
      </c>
      <c r="L278" t="n">
        <v>614283.568191565</v>
      </c>
      <c r="M278" t="n">
        <v>7796083.23796219</v>
      </c>
    </row>
    <row r="279">
      <c r="A279" s="20" t="s">
        <v>8188</v>
      </c>
      <c r="B279" s="20" t="s">
        <v>8189</v>
      </c>
      <c r="C279" s="60" t="s">
        <v>8190</v>
      </c>
      <c r="D279" s="60" t="s">
        <v>6823</v>
      </c>
      <c r="E279" s="60" t="s">
        <v>6647</v>
      </c>
      <c r="F279" s="60" t="s">
        <v>6824</v>
      </c>
      <c r="G279" s="60" t="s">
        <v>8191</v>
      </c>
      <c r="H279" s="60" t="s">
        <v>8192</v>
      </c>
      <c r="I279" s="60" t="s">
        <v>8193</v>
      </c>
      <c r="J279" t="n">
        <v>-19.9175923333333</v>
      </c>
      <c r="K279" t="n">
        <v>-43.9165406666667</v>
      </c>
      <c r="L279" t="n">
        <v>613399.597815283</v>
      </c>
      <c r="M279" t="n">
        <v>7797272.59159838</v>
      </c>
    </row>
    <row r="280">
      <c r="A280" s="20" t="s">
        <v>8194</v>
      </c>
      <c r="B280" s="20" t="s">
        <v>8195</v>
      </c>
      <c r="C280" s="60" t="s">
        <v>8196</v>
      </c>
      <c r="D280" s="60" t="s">
        <v>6823</v>
      </c>
      <c r="E280" s="60" t="s">
        <v>6647</v>
      </c>
      <c r="F280" s="60" t="s">
        <v>6824</v>
      </c>
      <c r="G280" s="60" t="s">
        <v>8197</v>
      </c>
      <c r="H280" s="60" t="s">
        <v>8198</v>
      </c>
      <c r="I280" s="60" t="s">
        <v>8199</v>
      </c>
      <c r="J280" t="n">
        <v>-19.913448</v>
      </c>
      <c r="K280" t="n">
        <v>-43.916488</v>
      </c>
      <c r="L280" t="n">
        <v>613408.065618649</v>
      </c>
      <c r="M280" t="n">
        <v>7797731.22708294</v>
      </c>
    </row>
    <row r="281">
      <c r="A281" s="20" t="s">
        <v>8200</v>
      </c>
      <c r="B281" s="20" t="s">
        <v>8201</v>
      </c>
      <c r="C281" s="60" t="s">
        <v>8200</v>
      </c>
      <c r="D281" s="60" t="s">
        <v>6714</v>
      </c>
      <c r="E281" s="60" t="s">
        <v>6583</v>
      </c>
      <c r="F281" s="60" t="s">
        <v>6591</v>
      </c>
      <c r="G281" s="60" t="s">
        <v>8202</v>
      </c>
      <c r="H281" s="60"/>
      <c r="I281" s="60"/>
      <c r="J281" t="n">
        <v>-19.9125129428571</v>
      </c>
      <c r="K281" t="n">
        <v>-44.0237932285714</v>
      </c>
      <c r="L281" t="n">
        <v>602176.451849955</v>
      </c>
      <c r="M281" t="n">
        <v>7797903.48338509</v>
      </c>
    </row>
    <row r="282" ht="28.5" customHeight="1">
      <c r="A282" s="20" t="s">
        <v>8203</v>
      </c>
      <c r="B282" s="20" t="s">
        <v>8204</v>
      </c>
      <c r="C282" s="60" t="s">
        <v>8205</v>
      </c>
      <c r="D282" s="60" t="s">
        <v>6714</v>
      </c>
      <c r="E282" s="60" t="s">
        <v>6583</v>
      </c>
      <c r="F282" s="60" t="s">
        <v>6591</v>
      </c>
      <c r="G282" s="60" t="s">
        <v>8206</v>
      </c>
      <c r="H282" s="60"/>
      <c r="I282" s="60"/>
      <c r="J282" t="n">
        <v>-19.9104032117647</v>
      </c>
      <c r="K282" t="n">
        <v>-44.0174908352941</v>
      </c>
      <c r="L282" t="n">
        <v>602837.5168242</v>
      </c>
      <c r="M282" t="n">
        <v>7798133.12954698</v>
      </c>
    </row>
    <row r="283">
      <c r="A283" s="20" t="s">
        <v>8207</v>
      </c>
      <c r="B283" s="20" t="s">
        <v>8208</v>
      </c>
      <c r="C283" s="60" t="s">
        <v>8209</v>
      </c>
      <c r="D283" s="60" t="s">
        <v>6582</v>
      </c>
      <c r="E283" s="60" t="s">
        <v>6583</v>
      </c>
      <c r="F283" s="60" t="s">
        <v>6584</v>
      </c>
      <c r="G283" s="60" t="s">
        <v>8210</v>
      </c>
      <c r="H283" s="60" t="s">
        <v>7457</v>
      </c>
      <c r="I283" s="60"/>
      <c r="J283" t="n">
        <v>-19.8988900480557</v>
      </c>
      <c r="K283" t="n">
        <v>-43.9800607089983</v>
      </c>
      <c r="L283" t="n">
        <v>606763.3</v>
      </c>
      <c r="M283" t="n">
        <v>7799384</v>
      </c>
    </row>
    <row r="284" ht="42.75" customHeight="1">
      <c r="A284" s="20" t="s">
        <v>8211</v>
      </c>
      <c r="B284" s="20" t="s">
        <v>8212</v>
      </c>
      <c r="C284" s="60" t="s">
        <v>8213</v>
      </c>
      <c r="D284" s="60" t="s">
        <v>6714</v>
      </c>
      <c r="E284" s="60" t="s">
        <v>6583</v>
      </c>
      <c r="F284" s="60" t="s">
        <v>6591</v>
      </c>
      <c r="G284" s="60" t="s">
        <v>8214</v>
      </c>
      <c r="H284" s="60"/>
      <c r="I284" s="60"/>
      <c r="J284" t="n">
        <v>-19.9136663213823</v>
      </c>
      <c r="K284" t="n">
        <v>-44.0232230409352</v>
      </c>
      <c r="L284" t="n">
        <v>602235.4</v>
      </c>
      <c r="M284" t="n">
        <v>7797775</v>
      </c>
    </row>
    <row r="285" ht="71.25" customHeight="1">
      <c r="A285" s="20" t="s">
        <v>8215</v>
      </c>
      <c r="B285" s="20" t="s">
        <v>8216</v>
      </c>
      <c r="C285" s="60" t="s">
        <v>8215</v>
      </c>
      <c r="D285" s="61" t="s">
        <v>8217</v>
      </c>
      <c r="E285" s="61" t="s">
        <v>6689</v>
      </c>
      <c r="F285" s="61" t="s">
        <v>6690</v>
      </c>
      <c r="G285" s="60" t="s">
        <v>8218</v>
      </c>
      <c r="H285" s="61"/>
      <c r="I285" s="61"/>
      <c r="J285" t="n">
        <v>-19.9908251751505</v>
      </c>
      <c r="K285" t="n">
        <v>-44.0287469161572</v>
      </c>
      <c r="L285" t="n">
        <v>601607.8</v>
      </c>
      <c r="M285" t="n">
        <v>7789240</v>
      </c>
    </row>
    <row r="286" ht="42.75" customHeight="1">
      <c r="A286" s="20" t="s">
        <v>8219</v>
      </c>
      <c r="B286" s="20" t="s">
        <v>8220</v>
      </c>
      <c r="C286" s="60" t="s">
        <v>8221</v>
      </c>
      <c r="D286" s="61" t="s">
        <v>8222</v>
      </c>
      <c r="E286" s="61" t="s">
        <v>6689</v>
      </c>
      <c r="F286" s="61" t="s">
        <v>7475</v>
      </c>
      <c r="G286" s="60" t="s">
        <v>8223</v>
      </c>
      <c r="H286" s="61"/>
      <c r="I286" s="61"/>
      <c r="J286" t="n">
        <v>-19.986791402117</v>
      </c>
      <c r="K286" t="n">
        <v>-44.0116354007501</v>
      </c>
      <c r="L286" t="n">
        <v>603400.7</v>
      </c>
      <c r="M286" t="n">
        <v>7789675</v>
      </c>
    </row>
    <row r="287" ht="42.75" customHeight="1">
      <c r="A287" s="20" t="s">
        <v>8224</v>
      </c>
      <c r="B287" s="20" t="s">
        <v>8225</v>
      </c>
      <c r="C287" s="60" t="s">
        <v>8226</v>
      </c>
      <c r="D287" s="60" t="s">
        <v>7848</v>
      </c>
      <c r="E287" s="60" t="s">
        <v>6689</v>
      </c>
      <c r="F287" s="60" t="s">
        <v>6995</v>
      </c>
      <c r="G287" s="60" t="s">
        <v>8227</v>
      </c>
      <c r="H287" s="60"/>
      <c r="I287" s="60"/>
      <c r="J287" t="n">
        <v>-19.9969974362548</v>
      </c>
      <c r="K287" t="n">
        <v>-43.9857533608175</v>
      </c>
      <c r="L287" t="n">
        <v>606101.8</v>
      </c>
      <c r="M287" t="n">
        <v>7788530</v>
      </c>
    </row>
    <row r="288" ht="42.75" customHeight="1">
      <c r="A288" s="20" t="s">
        <v>8228</v>
      </c>
      <c r="B288" s="20" t="s">
        <v>8229</v>
      </c>
      <c r="C288" s="60" t="s">
        <v>8230</v>
      </c>
      <c r="D288" s="60" t="s">
        <v>7141</v>
      </c>
      <c r="E288" s="60" t="s">
        <v>6689</v>
      </c>
      <c r="F288" s="60" t="s">
        <v>6995</v>
      </c>
      <c r="G288" s="60" t="s">
        <v>8231</v>
      </c>
      <c r="H288" s="60"/>
      <c r="I288" s="60"/>
      <c r="J288" t="n">
        <v>-19.9804874733034</v>
      </c>
      <c r="K288" t="n">
        <v>-43.9950228703813</v>
      </c>
      <c r="L288" t="n">
        <v>605143</v>
      </c>
      <c r="M288" t="n">
        <v>7790363</v>
      </c>
    </row>
    <row r="289">
      <c r="A289" s="20" t="s">
        <v>8232</v>
      </c>
      <c r="B289" s="20" t="s">
        <v>8233</v>
      </c>
      <c r="C289" s="60" t="s">
        <v>8234</v>
      </c>
      <c r="D289" s="60" t="s">
        <v>7362</v>
      </c>
      <c r="E289" s="60" t="s">
        <v>6722</v>
      </c>
      <c r="F289" s="60" t="s">
        <v>6817</v>
      </c>
      <c r="G289" s="60" t="s">
        <v>8232</v>
      </c>
      <c r="H289" s="60" t="s">
        <v>8235</v>
      </c>
      <c r="I289" s="60"/>
      <c r="J289" t="n">
        <v>-19.8463</v>
      </c>
      <c r="K289" t="n">
        <v>-43.953706</v>
      </c>
      <c r="L289" t="n">
        <v>609558.37702704</v>
      </c>
      <c r="M289" t="n">
        <v>7805187.34902194</v>
      </c>
    </row>
    <row r="290">
      <c r="A290" s="20" t="s">
        <v>8236</v>
      </c>
      <c r="B290" s="20" t="s">
        <v>8237</v>
      </c>
      <c r="C290" s="60" t="s">
        <v>8236</v>
      </c>
      <c r="D290" s="60" t="s">
        <v>6714</v>
      </c>
      <c r="E290" s="60" t="s">
        <v>6583</v>
      </c>
      <c r="F290" s="60" t="s">
        <v>6591</v>
      </c>
      <c r="G290" s="60" t="s">
        <v>8238</v>
      </c>
      <c r="H290" s="60"/>
      <c r="I290" s="60"/>
      <c r="J290" t="n">
        <v>-19.9102216923077</v>
      </c>
      <c r="K290" t="n">
        <v>-44.0246248076923</v>
      </c>
      <c r="L290" t="n">
        <v>602090.876890971</v>
      </c>
      <c r="M290" t="n">
        <v>7798157.56401725</v>
      </c>
    </row>
    <row r="291" ht="42.75" customHeight="1">
      <c r="A291" s="20" t="s">
        <v>8239</v>
      </c>
      <c r="B291" s="20" t="s">
        <v>8240</v>
      </c>
      <c r="C291" s="60" t="s">
        <v>8241</v>
      </c>
      <c r="D291" s="61" t="s">
        <v>8217</v>
      </c>
      <c r="E291" s="61" t="s">
        <v>6689</v>
      </c>
      <c r="F291" s="61" t="s">
        <v>6690</v>
      </c>
      <c r="G291" s="60" t="s">
        <v>8242</v>
      </c>
      <c r="H291" s="61"/>
      <c r="I291" s="61"/>
      <c r="J291" t="n">
        <v>-19.9900050197734</v>
      </c>
      <c r="K291" t="n">
        <v>-44.0307874810491</v>
      </c>
      <c r="L291" t="n">
        <v>601394.8</v>
      </c>
      <c r="M291" t="n">
        <v>7789332</v>
      </c>
    </row>
    <row r="292" ht="42.75" customHeight="1">
      <c r="A292" s="20" t="s">
        <v>8243</v>
      </c>
      <c r="B292" s="20" t="s">
        <v>8244</v>
      </c>
      <c r="C292" s="60" t="s">
        <v>8245</v>
      </c>
      <c r="D292" s="61" t="s">
        <v>8246</v>
      </c>
      <c r="E292" s="61" t="s">
        <v>6647</v>
      </c>
      <c r="F292" s="61" t="s">
        <v>6824</v>
      </c>
      <c r="G292" s="60" t="s">
        <v>8247</v>
      </c>
      <c r="H292" s="61"/>
      <c r="I292" s="61"/>
      <c r="J292"/>
      <c r="K292"/>
      <c r="L292"/>
      <c r="M292"/>
    </row>
    <row r="293" ht="42.75" customHeight="1">
      <c r="A293" s="20" t="s">
        <v>8248</v>
      </c>
      <c r="B293" s="20" t="s">
        <v>8249</v>
      </c>
      <c r="C293" s="60" t="s">
        <v>8250</v>
      </c>
      <c r="D293" s="61" t="s">
        <v>8222</v>
      </c>
      <c r="E293" s="61" t="s">
        <v>6689</v>
      </c>
      <c r="F293" s="61" t="s">
        <v>7475</v>
      </c>
      <c r="G293" s="60" t="s">
        <v>8251</v>
      </c>
      <c r="H293" s="61"/>
      <c r="I293" s="61"/>
      <c r="J293" t="n">
        <v>-19.9873813207603</v>
      </c>
      <c r="K293" t="n">
        <v>-44.0115125480375</v>
      </c>
      <c r="L293" t="n">
        <v>603413.2</v>
      </c>
      <c r="M293" t="n">
        <v>7789610</v>
      </c>
    </row>
    <row r="294" ht="42.75" customHeight="1">
      <c r="A294" s="20" t="s">
        <v>8252</v>
      </c>
      <c r="B294" s="20" t="s">
        <v>8253</v>
      </c>
      <c r="C294" s="60" t="s">
        <v>8254</v>
      </c>
      <c r="D294" s="61" t="s">
        <v>6919</v>
      </c>
      <c r="E294" s="61" t="s">
        <v>6647</v>
      </c>
      <c r="F294" s="61" t="s">
        <v>6648</v>
      </c>
      <c r="G294" s="60" t="s">
        <v>8255</v>
      </c>
      <c r="H294" s="61"/>
      <c r="I294" s="61"/>
      <c r="J294" t="n">
        <v>-19.8913352233222</v>
      </c>
      <c r="K294" t="n">
        <v>-43.892237185626</v>
      </c>
      <c r="L294" t="n">
        <v>615962.7</v>
      </c>
      <c r="M294" t="n">
        <v>7800162</v>
      </c>
    </row>
    <row r="295" ht="42.75" customHeight="1">
      <c r="A295" s="20" t="s">
        <v>8256</v>
      </c>
      <c r="B295" s="20" t="s">
        <v>8257</v>
      </c>
      <c r="C295" s="60" t="s">
        <v>8256</v>
      </c>
      <c r="D295" s="60" t="s">
        <v>8116</v>
      </c>
      <c r="E295" s="60" t="s">
        <v>6627</v>
      </c>
      <c r="F295" s="60" t="s">
        <v>7576</v>
      </c>
      <c r="G295" s="60" t="s">
        <v>8258</v>
      </c>
      <c r="H295" s="60"/>
      <c r="I295" s="61" t="s">
        <v>8259</v>
      </c>
      <c r="J295" t="n">
        <v>-19.9751918880986</v>
      </c>
      <c r="K295" t="n">
        <v>-43.9719558162248</v>
      </c>
      <c r="L295" t="n">
        <v>607560.1</v>
      </c>
      <c r="M295" t="n">
        <v>7790934</v>
      </c>
    </row>
    <row r="296" ht="42.75" customHeight="1">
      <c r="A296" s="20" t="s">
        <v>8260</v>
      </c>
      <c r="B296" s="20" t="s">
        <v>8261</v>
      </c>
      <c r="C296" s="60" t="s">
        <v>8262</v>
      </c>
      <c r="D296" s="61" t="s">
        <v>8130</v>
      </c>
      <c r="E296" s="61" t="s">
        <v>6689</v>
      </c>
      <c r="F296" s="61" t="s">
        <v>6690</v>
      </c>
      <c r="G296" s="60" t="s">
        <v>8263</v>
      </c>
      <c r="H296" s="61"/>
      <c r="I296" s="61"/>
      <c r="J296" t="n">
        <v>-20.00971895</v>
      </c>
      <c r="K296" t="n">
        <v>-44.03138165</v>
      </c>
      <c r="L296" t="n">
        <v>601320.044182167</v>
      </c>
      <c r="M296" t="n">
        <v>7787150.11795234</v>
      </c>
    </row>
    <row r="297" ht="42.75" customHeight="1">
      <c r="A297" s="20" t="s">
        <v>8264</v>
      </c>
      <c r="B297" s="20" t="s">
        <v>8265</v>
      </c>
      <c r="C297" s="60" t="s">
        <v>8266</v>
      </c>
      <c r="D297" s="61" t="s">
        <v>7076</v>
      </c>
      <c r="E297" s="61" t="s">
        <v>6689</v>
      </c>
      <c r="F297" s="61" t="s">
        <v>6690</v>
      </c>
      <c r="G297" s="60" t="s">
        <v>8267</v>
      </c>
      <c r="H297" s="61"/>
      <c r="I297" s="61" t="s">
        <v>8268</v>
      </c>
      <c r="J297" t="n">
        <v>-20.019573877223</v>
      </c>
      <c r="K297" t="n">
        <v>-44.0237609921447</v>
      </c>
      <c r="L297" t="n">
        <v>602110.9</v>
      </c>
      <c r="M297" t="n">
        <v>7786055</v>
      </c>
    </row>
    <row r="298" ht="42.75" customHeight="1">
      <c r="A298" s="20" t="s">
        <v>8269</v>
      </c>
      <c r="B298" s="20" t="s">
        <v>8270</v>
      </c>
      <c r="C298" s="60" t="s">
        <v>8271</v>
      </c>
      <c r="D298" s="60" t="s">
        <v>7186</v>
      </c>
      <c r="E298" s="60" t="s">
        <v>6611</v>
      </c>
      <c r="F298" s="60" t="s">
        <v>7187</v>
      </c>
      <c r="G298" s="60" t="s">
        <v>8272</v>
      </c>
      <c r="H298" s="60"/>
      <c r="I298" s="60"/>
      <c r="J298" t="n">
        <v>-19.8679102485302</v>
      </c>
      <c r="K298" t="n">
        <v>-43.9816493986932</v>
      </c>
      <c r="L298" t="n">
        <v>606617.7</v>
      </c>
      <c r="M298" t="n">
        <v>7802814</v>
      </c>
    </row>
    <row r="299" ht="28.5" customHeight="1">
      <c r="A299" s="20" t="s">
        <v>8273</v>
      </c>
      <c r="B299" s="20" t="s">
        <v>8274</v>
      </c>
      <c r="C299" s="60" t="s">
        <v>8273</v>
      </c>
      <c r="D299" s="60" t="s">
        <v>6899</v>
      </c>
      <c r="E299" s="60" t="s">
        <v>6794</v>
      </c>
      <c r="F299" s="60" t="s">
        <v>6900</v>
      </c>
      <c r="G299" s="60" t="s">
        <v>8275</v>
      </c>
      <c r="H299" s="60"/>
      <c r="I299" s="60"/>
      <c r="J299" t="n">
        <v>-19.9022630052703</v>
      </c>
      <c r="K299" t="n">
        <v>-43.9404785603071</v>
      </c>
      <c r="L299" t="n">
        <v>610904.6</v>
      </c>
      <c r="M299" t="n">
        <v>7798985</v>
      </c>
    </row>
    <row r="300" ht="42.75" customHeight="1">
      <c r="A300" s="20" t="s">
        <v>8276</v>
      </c>
      <c r="B300" s="20" t="s">
        <v>8277</v>
      </c>
      <c r="C300" s="60" t="s">
        <v>8278</v>
      </c>
      <c r="D300" s="61" t="s">
        <v>8217</v>
      </c>
      <c r="E300" s="61" t="s">
        <v>6689</v>
      </c>
      <c r="F300" s="61" t="s">
        <v>6690</v>
      </c>
      <c r="G300" s="60" t="s">
        <v>8279</v>
      </c>
      <c r="H300" s="61"/>
      <c r="I300" s="61"/>
      <c r="J300" t="n">
        <v>-19.989447470923</v>
      </c>
      <c r="K300" t="n">
        <v>-44.0270965901183</v>
      </c>
      <c r="L300" t="n">
        <v>601781.3</v>
      </c>
      <c r="M300" t="n">
        <v>7789391</v>
      </c>
    </row>
    <row r="301" ht="42.75" customHeight="1">
      <c r="A301" s="20" t="s">
        <v>8280</v>
      </c>
      <c r="B301" s="20" t="s">
        <v>8281</v>
      </c>
      <c r="C301" s="60" t="s">
        <v>8282</v>
      </c>
      <c r="D301" s="60" t="s">
        <v>8283</v>
      </c>
      <c r="E301" s="60" t="s">
        <v>6611</v>
      </c>
      <c r="F301" s="60" t="s">
        <v>7187</v>
      </c>
      <c r="G301" s="60" t="s">
        <v>8284</v>
      </c>
      <c r="H301" s="60"/>
      <c r="I301" s="60"/>
      <c r="J301" t="n">
        <v>-19.872663804918</v>
      </c>
      <c r="K301" t="n">
        <v>-43.99365823177</v>
      </c>
      <c r="L301" t="n">
        <v>605357.2</v>
      </c>
      <c r="M301" t="n">
        <v>7802295</v>
      </c>
    </row>
    <row r="302" ht="42.75" customHeight="1">
      <c r="A302" s="20" t="s">
        <v>8285</v>
      </c>
      <c r="B302" s="20" t="s">
        <v>8286</v>
      </c>
      <c r="C302" s="60" t="s">
        <v>8287</v>
      </c>
      <c r="D302" s="60" t="s">
        <v>7186</v>
      </c>
      <c r="E302" s="60" t="s">
        <v>6611</v>
      </c>
      <c r="F302" s="60" t="s">
        <v>7187</v>
      </c>
      <c r="G302" s="60" t="s">
        <v>8288</v>
      </c>
      <c r="H302" s="60"/>
      <c r="I302" s="60"/>
      <c r="J302" t="n">
        <v>-19.8730919980763</v>
      </c>
      <c r="K302" t="n">
        <v>-43.9910989636683</v>
      </c>
      <c r="L302" t="n">
        <v>605624.9</v>
      </c>
      <c r="M302" t="n">
        <v>7802246</v>
      </c>
    </row>
    <row r="303" ht="42.75" customHeight="1">
      <c r="A303" s="20" t="s">
        <v>8289</v>
      </c>
      <c r="B303" s="20" t="s">
        <v>8290</v>
      </c>
      <c r="C303" s="60" t="s">
        <v>8291</v>
      </c>
      <c r="D303" s="60" t="s">
        <v>7848</v>
      </c>
      <c r="E303" s="60" t="s">
        <v>6689</v>
      </c>
      <c r="F303" s="60" t="s">
        <v>6995</v>
      </c>
      <c r="G303" s="60" t="s">
        <v>8292</v>
      </c>
      <c r="H303" s="60"/>
      <c r="I303" s="60"/>
      <c r="J303" t="n">
        <v>-19.9962993889963</v>
      </c>
      <c r="K303" t="n">
        <v>-43.9845220383061</v>
      </c>
      <c r="L303" t="n">
        <v>606231.1</v>
      </c>
      <c r="M303" t="n">
        <v>7788606</v>
      </c>
    </row>
    <row r="304" ht="42.75" customHeight="1">
      <c r="A304" s="20" t="s">
        <v>8293</v>
      </c>
      <c r="B304" s="20" t="s">
        <v>8294</v>
      </c>
      <c r="C304" s="60" t="s">
        <v>8293</v>
      </c>
      <c r="D304" s="60" t="s">
        <v>8116</v>
      </c>
      <c r="E304" s="60" t="s">
        <v>6627</v>
      </c>
      <c r="F304" s="60" t="s">
        <v>7576</v>
      </c>
      <c r="G304" s="60" t="s">
        <v>8295</v>
      </c>
      <c r="H304" s="60"/>
      <c r="I304" s="60"/>
      <c r="J304" t="n">
        <v>-19.9760131870266</v>
      </c>
      <c r="K304" t="n">
        <v>-43.9742192310696</v>
      </c>
      <c r="L304" t="n">
        <v>607322.7</v>
      </c>
      <c r="M304" t="n">
        <v>7790845</v>
      </c>
    </row>
    <row r="305" ht="42.75" customHeight="1">
      <c r="A305" s="20" t="s">
        <v>8296</v>
      </c>
      <c r="B305" s="20" t="s">
        <v>8297</v>
      </c>
      <c r="C305" s="60" t="s">
        <v>8298</v>
      </c>
      <c r="D305" s="61" t="s">
        <v>6646</v>
      </c>
      <c r="E305" s="61" t="s">
        <v>6647</v>
      </c>
      <c r="F305" s="61" t="s">
        <v>6648</v>
      </c>
      <c r="G305" s="60" t="s">
        <v>8299</v>
      </c>
      <c r="H305" s="61"/>
      <c r="I305" s="61"/>
      <c r="J305" t="n">
        <v>-19.8857104100995</v>
      </c>
      <c r="K305" t="n">
        <v>-43.9103632454767</v>
      </c>
      <c r="L305" t="n">
        <v>614069.1</v>
      </c>
      <c r="M305" t="n">
        <v>7800797</v>
      </c>
    </row>
    <row r="306" ht="42.75" customHeight="1">
      <c r="A306" s="20" t="s">
        <v>8300</v>
      </c>
      <c r="B306" s="20" t="s">
        <v>8301</v>
      </c>
      <c r="C306" s="60" t="s">
        <v>8302</v>
      </c>
      <c r="D306" s="61" t="s">
        <v>6919</v>
      </c>
      <c r="E306" s="61" t="s">
        <v>6647</v>
      </c>
      <c r="F306" s="61" t="s">
        <v>6648</v>
      </c>
      <c r="G306" s="60" t="s">
        <v>8303</v>
      </c>
      <c r="H306" s="61"/>
      <c r="I306" s="61"/>
      <c r="J306" t="n">
        <v>-19.8904211126567</v>
      </c>
      <c r="K306" t="n">
        <v>-43.8903877237442</v>
      </c>
      <c r="L306" t="n">
        <v>616157</v>
      </c>
      <c r="M306" t="n">
        <v>7800262</v>
      </c>
    </row>
    <row r="307" ht="42.75" customHeight="1">
      <c r="A307" s="20" t="s">
        <v>8304</v>
      </c>
      <c r="B307" s="20" t="s">
        <v>8305</v>
      </c>
      <c r="C307" s="60" t="s">
        <v>8306</v>
      </c>
      <c r="D307" s="60" t="s">
        <v>7186</v>
      </c>
      <c r="E307" s="60" t="s">
        <v>6611</v>
      </c>
      <c r="F307" s="60" t="s">
        <v>7187</v>
      </c>
      <c r="G307" s="60" t="s">
        <v>8307</v>
      </c>
      <c r="H307" s="60"/>
      <c r="I307" s="60"/>
      <c r="J307" t="n">
        <v>-19.8746782995437</v>
      </c>
      <c r="K307" t="n">
        <v>-43.9845390493975</v>
      </c>
      <c r="L307" t="n">
        <v>606310.6</v>
      </c>
      <c r="M307" t="n">
        <v>7802066</v>
      </c>
    </row>
    <row r="308" ht="42.75" customHeight="1">
      <c r="A308" s="20" t="s">
        <v>8308</v>
      </c>
      <c r="B308" s="20" t="s">
        <v>8309</v>
      </c>
      <c r="C308" s="60" t="s">
        <v>8310</v>
      </c>
      <c r="D308" s="60" t="s">
        <v>7186</v>
      </c>
      <c r="E308" s="60" t="s">
        <v>6611</v>
      </c>
      <c r="F308" s="60" t="s">
        <v>7187</v>
      </c>
      <c r="G308" s="60" t="s">
        <v>8311</v>
      </c>
      <c r="H308" s="60"/>
      <c r="I308" s="60"/>
      <c r="J308" t="n">
        <v>-19.8740329099774</v>
      </c>
      <c r="K308" t="n">
        <v>-43.9844942824734</v>
      </c>
      <c r="L308" t="n">
        <v>606315.8</v>
      </c>
      <c r="M308" t="n">
        <v>7802138</v>
      </c>
    </row>
    <row r="309" ht="42.75" customHeight="1">
      <c r="A309" s="20" t="s">
        <v>8312</v>
      </c>
      <c r="B309" s="20" t="s">
        <v>8313</v>
      </c>
      <c r="C309" s="60" t="s">
        <v>8314</v>
      </c>
      <c r="D309" s="60" t="s">
        <v>7704</v>
      </c>
      <c r="E309" s="60" t="s">
        <v>6583</v>
      </c>
      <c r="F309" s="60" t="s">
        <v>6766</v>
      </c>
      <c r="G309" s="60" t="s">
        <v>8315</v>
      </c>
      <c r="H309" s="60"/>
      <c r="I309" s="60"/>
      <c r="J309" t="n">
        <v>-19.9285449902846</v>
      </c>
      <c r="K309" t="n">
        <v>-44.0061926111939</v>
      </c>
      <c r="L309" t="n">
        <v>604008.3</v>
      </c>
      <c r="M309" t="n">
        <v>7796118</v>
      </c>
    </row>
    <row r="310" ht="28.5" customHeight="1">
      <c r="A310" s="20" t="s">
        <v>8316</v>
      </c>
      <c r="B310" s="20" t="s">
        <v>8317</v>
      </c>
      <c r="C310" s="60" t="s">
        <v>8316</v>
      </c>
      <c r="D310" s="61" t="s">
        <v>7071</v>
      </c>
      <c r="E310" s="61" t="s">
        <v>6647</v>
      </c>
      <c r="F310" s="61" t="s">
        <v>6824</v>
      </c>
      <c r="G310" s="60" t="s">
        <v>8318</v>
      </c>
      <c r="H310" s="61"/>
      <c r="I310" s="61"/>
      <c r="J310" t="n">
        <v>-19.9060044036581</v>
      </c>
      <c r="K310" t="n">
        <v>-43.9149515388547</v>
      </c>
      <c r="L310" t="n">
        <v>613574.2</v>
      </c>
      <c r="M310" t="n">
        <v>7798554</v>
      </c>
    </row>
    <row r="311" ht="28.5" customHeight="1">
      <c r="A311" s="20" t="s">
        <v>8319</v>
      </c>
      <c r="B311" s="20" t="s">
        <v>8320</v>
      </c>
      <c r="C311" s="60" t="s">
        <v>8321</v>
      </c>
      <c r="D311" s="60" t="s">
        <v>7498</v>
      </c>
      <c r="E311" s="60" t="s">
        <v>6583</v>
      </c>
      <c r="F311" s="60" t="s">
        <v>6591</v>
      </c>
      <c r="G311" s="60" t="s">
        <v>8322</v>
      </c>
      <c r="H311" s="60"/>
      <c r="I311" s="60"/>
      <c r="J311" t="n">
        <v>-19.8931307767938</v>
      </c>
      <c r="K311" t="n">
        <v>-44.0113376963289</v>
      </c>
      <c r="L311" t="n">
        <v>603492.8</v>
      </c>
      <c r="M311" t="n">
        <v>7800041</v>
      </c>
    </row>
    <row r="312" ht="42.75" customHeight="1">
      <c r="A312" s="20" t="s">
        <v>8323</v>
      </c>
      <c r="B312" s="20" t="s">
        <v>8324</v>
      </c>
      <c r="C312" s="60" t="s">
        <v>8325</v>
      </c>
      <c r="D312" s="60" t="s">
        <v>8283</v>
      </c>
      <c r="E312" s="60" t="s">
        <v>6611</v>
      </c>
      <c r="F312" s="60" t="s">
        <v>7187</v>
      </c>
      <c r="G312" s="60" t="s">
        <v>8326</v>
      </c>
      <c r="H312" s="60"/>
      <c r="I312" s="60"/>
      <c r="J312" t="n">
        <v>-19.8727496152534</v>
      </c>
      <c r="K312" t="n">
        <v>-43.992039288332</v>
      </c>
      <c r="L312" t="n">
        <v>605526.6</v>
      </c>
      <c r="M312" t="n">
        <v>7802285</v>
      </c>
    </row>
    <row r="313" ht="28.5" customHeight="1">
      <c r="A313" s="20" t="s">
        <v>8327</v>
      </c>
      <c r="B313" s="20" t="s">
        <v>8328</v>
      </c>
      <c r="C313" s="60" t="s">
        <v>8329</v>
      </c>
      <c r="D313" s="60" t="s">
        <v>6773</v>
      </c>
      <c r="E313" s="60" t="s">
        <v>6627</v>
      </c>
      <c r="F313" s="60" t="s">
        <v>6628</v>
      </c>
      <c r="G313" s="60" t="s">
        <v>8330</v>
      </c>
      <c r="H313" s="60"/>
      <c r="I313" s="60"/>
      <c r="J313" t="n">
        <v>-19.9414587871563</v>
      </c>
      <c r="K313" t="n">
        <v>-43.9840384503864</v>
      </c>
      <c r="L313" t="n">
        <v>606318.4</v>
      </c>
      <c r="M313" t="n">
        <v>7794675</v>
      </c>
    </row>
    <row r="314" ht="42.75" customHeight="1">
      <c r="A314" s="20" t="s">
        <v>8331</v>
      </c>
      <c r="B314" s="20" t="s">
        <v>8332</v>
      </c>
      <c r="C314" s="60" t="s">
        <v>8333</v>
      </c>
      <c r="D314" s="60" t="s">
        <v>6856</v>
      </c>
      <c r="E314" s="60" t="s">
        <v>6689</v>
      </c>
      <c r="F314" s="60" t="s">
        <v>6857</v>
      </c>
      <c r="G314" s="60" t="s">
        <v>8334</v>
      </c>
      <c r="H314" s="60"/>
      <c r="I314" s="60"/>
      <c r="J314" t="n">
        <v>-19.9945964929412</v>
      </c>
      <c r="K314" t="n">
        <v>-44.0046613816884</v>
      </c>
      <c r="L314" t="n">
        <v>604125.2</v>
      </c>
      <c r="M314" t="n">
        <v>7788807</v>
      </c>
    </row>
    <row r="315" ht="42.75" customHeight="1">
      <c r="A315" s="20" t="s">
        <v>8335</v>
      </c>
      <c r="B315" s="20" t="s">
        <v>8336</v>
      </c>
      <c r="C315" s="60" t="s">
        <v>8335</v>
      </c>
      <c r="D315" s="60" t="s">
        <v>6899</v>
      </c>
      <c r="E315" s="60" t="s">
        <v>6794</v>
      </c>
      <c r="F315" s="60" t="s">
        <v>6900</v>
      </c>
      <c r="G315" s="60" t="s">
        <v>8337</v>
      </c>
      <c r="H315" s="60"/>
      <c r="I315" s="60"/>
      <c r="J315" t="n">
        <v>-19.8982847558759</v>
      </c>
      <c r="K315" t="n">
        <v>-43.9385169960753</v>
      </c>
      <c r="L315" t="n">
        <v>611112.7</v>
      </c>
      <c r="M315" t="n">
        <v>7799424</v>
      </c>
    </row>
    <row r="316" ht="28.5" customHeight="1">
      <c r="A316" s="20" t="s">
        <v>8338</v>
      </c>
      <c r="B316" s="20" t="s">
        <v>8339</v>
      </c>
      <c r="C316" s="60" t="s">
        <v>8340</v>
      </c>
      <c r="D316" s="60" t="s">
        <v>7076</v>
      </c>
      <c r="E316" s="60" t="s">
        <v>6689</v>
      </c>
      <c r="F316" s="60" t="s">
        <v>6690</v>
      </c>
      <c r="G316" s="60" t="s">
        <v>8341</v>
      </c>
      <c r="H316" s="60"/>
      <c r="I316" s="60"/>
      <c r="J316" t="n">
        <v>-20.0154643178959</v>
      </c>
      <c r="K316" t="n">
        <v>-44.0247034309138</v>
      </c>
      <c r="L316" t="n">
        <v>602015</v>
      </c>
      <c r="M316" t="n">
        <v>7786510</v>
      </c>
    </row>
    <row r="317" ht="28.5" customHeight="1">
      <c r="A317" s="20" t="s">
        <v>8342</v>
      </c>
      <c r="B317" s="20" t="s">
        <v>8343</v>
      </c>
      <c r="C317" s="60" t="s">
        <v>8344</v>
      </c>
      <c r="D317" s="60" t="s">
        <v>8345</v>
      </c>
      <c r="E317" s="60" t="s">
        <v>6689</v>
      </c>
      <c r="F317" s="60" t="s">
        <v>6857</v>
      </c>
      <c r="G317" s="60" t="s">
        <v>8346</v>
      </c>
      <c r="H317" s="60"/>
      <c r="I317" s="60"/>
      <c r="J317" t="n">
        <v>-19.9884136722747</v>
      </c>
      <c r="K317" t="n">
        <v>-43.9954059432679</v>
      </c>
      <c r="L317" t="n">
        <v>605097.6</v>
      </c>
      <c r="M317" t="n">
        <v>7789486</v>
      </c>
    </row>
    <row r="318">
      <c r="A318" s="20" t="s">
        <v>8347</v>
      </c>
      <c r="B318" s="20" t="s">
        <v>8348</v>
      </c>
      <c r="C318" s="60" t="s">
        <v>8347</v>
      </c>
      <c r="D318" s="61" t="s">
        <v>6913</v>
      </c>
      <c r="E318" s="61" t="s">
        <v>6627</v>
      </c>
      <c r="F318" s="61" t="s">
        <v>6681</v>
      </c>
      <c r="G318" s="60" t="s">
        <v>8349</v>
      </c>
      <c r="H318" s="61"/>
      <c r="I318" s="61"/>
      <c r="J318" t="n">
        <v>-19.9605649074074</v>
      </c>
      <c r="K318" t="n">
        <v>-43.9968904444444</v>
      </c>
      <c r="L318" t="n">
        <v>604960.749658936</v>
      </c>
      <c r="M318" t="n">
        <v>7792568.89283822</v>
      </c>
    </row>
    <row r="319" ht="42.75" customHeight="1">
      <c r="A319" s="20" t="s">
        <v>8350</v>
      </c>
      <c r="B319" s="20" t="s">
        <v>8351</v>
      </c>
      <c r="C319" s="60" t="s">
        <v>8350</v>
      </c>
      <c r="D319" s="60" t="s">
        <v>8116</v>
      </c>
      <c r="E319" s="60" t="s">
        <v>6627</v>
      </c>
      <c r="F319" s="60" t="s">
        <v>7576</v>
      </c>
      <c r="G319" s="60" t="s">
        <v>8352</v>
      </c>
      <c r="H319" s="60"/>
      <c r="I319" s="60"/>
      <c r="J319" t="n">
        <v>-19.9726334162535</v>
      </c>
      <c r="K319" t="n">
        <v>-43.9768709186131</v>
      </c>
      <c r="L319" t="n">
        <v>607047.5</v>
      </c>
      <c r="M319" t="n">
        <v>7791221</v>
      </c>
    </row>
    <row r="320" ht="57" customHeight="1">
      <c r="A320" s="20" t="s">
        <v>8353</v>
      </c>
      <c r="B320" s="20" t="s">
        <v>8354</v>
      </c>
      <c r="C320" s="60" t="s">
        <v>8355</v>
      </c>
      <c r="D320" s="60" t="s">
        <v>7076</v>
      </c>
      <c r="E320" s="60" t="s">
        <v>6689</v>
      </c>
      <c r="F320" s="60" t="s">
        <v>6690</v>
      </c>
      <c r="G320" s="60" t="s">
        <v>8356</v>
      </c>
      <c r="H320" s="60"/>
      <c r="I320" s="60"/>
      <c r="J320" t="n">
        <v>-20.0162318744871</v>
      </c>
      <c r="K320" t="n">
        <v>-44.0241704790606</v>
      </c>
      <c r="L320" t="n">
        <v>602070.2</v>
      </c>
      <c r="M320" t="n">
        <v>7786425</v>
      </c>
    </row>
    <row r="321" ht="42.75" customHeight="1">
      <c r="A321" s="20" t="s">
        <v>8357</v>
      </c>
      <c r="B321" s="20" t="s">
        <v>8358</v>
      </c>
      <c r="C321" s="60" t="s">
        <v>8357</v>
      </c>
      <c r="D321" s="61" t="s">
        <v>7076</v>
      </c>
      <c r="E321" s="61" t="s">
        <v>6689</v>
      </c>
      <c r="F321" s="61" t="s">
        <v>6690</v>
      </c>
      <c r="G321" s="60" t="s">
        <v>8356</v>
      </c>
      <c r="H321" s="61" t="s">
        <v>8359</v>
      </c>
      <c r="I321" s="61"/>
      <c r="J321" t="n">
        <v>-20.0166705955026</v>
      </c>
      <c r="K321" t="n">
        <v>-44.0300514160453</v>
      </c>
      <c r="L321" t="n">
        <v>601454.742609138</v>
      </c>
      <c r="M321" t="n">
        <v>7786379.95706476</v>
      </c>
    </row>
    <row r="322" ht="57" customHeight="1">
      <c r="A322" s="20" t="s">
        <v>8360</v>
      </c>
      <c r="B322" s="20" t="s">
        <v>8361</v>
      </c>
      <c r="C322" s="60" t="s">
        <v>8362</v>
      </c>
      <c r="D322" s="60" t="s">
        <v>7848</v>
      </c>
      <c r="E322" s="60" t="s">
        <v>6689</v>
      </c>
      <c r="F322" s="60" t="s">
        <v>6995</v>
      </c>
      <c r="G322" s="60" t="s">
        <v>8363</v>
      </c>
      <c r="H322" s="60"/>
      <c r="I322" s="60"/>
      <c r="J322" t="n">
        <v>-19.9886926651333</v>
      </c>
      <c r="K322" t="n">
        <v>-43.9947978087429</v>
      </c>
      <c r="L322" t="n">
        <v>605161.1</v>
      </c>
      <c r="M322" t="n">
        <v>7789455</v>
      </c>
    </row>
    <row r="323" ht="28.5" customHeight="1">
      <c r="A323" s="20" t="s">
        <v>8364</v>
      </c>
      <c r="B323" s="20" t="s">
        <v>8365</v>
      </c>
      <c r="C323" s="60" t="s">
        <v>8364</v>
      </c>
      <c r="D323" s="61" t="s">
        <v>6946</v>
      </c>
      <c r="E323" s="61" t="s">
        <v>6583</v>
      </c>
      <c r="F323" s="61" t="s">
        <v>6591</v>
      </c>
      <c r="G323" s="60" t="s">
        <v>8366</v>
      </c>
      <c r="H323" s="61"/>
      <c r="I323" s="61"/>
      <c r="J323" t="n">
        <v>-19.9272518685182</v>
      </c>
      <c r="K323" t="n">
        <v>-44.0134744274375</v>
      </c>
      <c r="L323" t="n">
        <v>603247</v>
      </c>
      <c r="M323" t="n">
        <v>7796266</v>
      </c>
    </row>
    <row r="324">
      <c r="A324" s="20" t="s">
        <v>8367</v>
      </c>
      <c r="B324" s="20" t="s">
        <v>8368</v>
      </c>
      <c r="C324" s="60" t="s">
        <v>8369</v>
      </c>
      <c r="D324" s="60" t="s">
        <v>6816</v>
      </c>
      <c r="E324" s="60" t="s">
        <v>6722</v>
      </c>
      <c r="F324" s="60" t="s">
        <v>6817</v>
      </c>
      <c r="G324" s="60" t="s">
        <v>8370</v>
      </c>
      <c r="H324" s="60" t="s">
        <v>8371</v>
      </c>
      <c r="I324" s="60"/>
      <c r="J324" t="n">
        <v>-19.8474474448083</v>
      </c>
      <c r="K324" t="n">
        <v>-43.9487364508758</v>
      </c>
      <c r="L324" t="n">
        <v>610077.996928716</v>
      </c>
      <c r="M324" t="n">
        <v>7805057.1239922</v>
      </c>
    </row>
    <row r="325" ht="28.5" customHeight="1">
      <c r="A325" s="53" t="s">
        <v>8372</v>
      </c>
      <c r="B325" s="20" t="s">
        <v>8373</v>
      </c>
      <c r="C325" s="61" t="s">
        <v>8374</v>
      </c>
      <c r="D325" s="60" t="s">
        <v>7657</v>
      </c>
      <c r="E325" s="60" t="s">
        <v>6660</v>
      </c>
      <c r="F325" s="60" t="s">
        <v>6661</v>
      </c>
      <c r="G325" s="60" t="s">
        <v>8375</v>
      </c>
      <c r="H325" s="60" t="s">
        <v>8376</v>
      </c>
      <c r="I325" s="60" t="s">
        <v>8377</v>
      </c>
      <c r="J325" t="n">
        <v>-19.925058</v>
      </c>
      <c r="K325" t="n">
        <v>-43.925945</v>
      </c>
      <c r="L325" t="n">
        <v>612409.931449021</v>
      </c>
      <c r="M325" t="n">
        <v>7796452.65064752</v>
      </c>
    </row>
    <row r="326" ht="28.5" customHeight="1">
      <c r="A326" s="20" t="s">
        <v>8378</v>
      </c>
      <c r="B326" s="20" t="s">
        <v>8379</v>
      </c>
      <c r="C326" s="61" t="s">
        <v>8380</v>
      </c>
      <c r="D326" s="60" t="s">
        <v>8381</v>
      </c>
      <c r="E326" s="60" t="s">
        <v>6689</v>
      </c>
      <c r="F326" s="60" t="s">
        <v>6857</v>
      </c>
      <c r="G326" s="60" t="s">
        <v>8382</v>
      </c>
      <c r="H326" s="60" t="s">
        <v>7208</v>
      </c>
      <c r="I326" s="60" t="s">
        <v>8383</v>
      </c>
      <c r="J326" t="n">
        <v>-20.0087496205261</v>
      </c>
      <c r="K326" t="n">
        <v>-44.0094936072308</v>
      </c>
      <c r="L326" t="n">
        <v>603610.4</v>
      </c>
      <c r="M326" t="n">
        <v>7787244</v>
      </c>
    </row>
    <row r="327" ht="15" customHeight="1">
      <c r="A327" s="59" t="s">
        <v>8384</v>
      </c>
      <c r="B327" s="20" t="s">
        <v>8385</v>
      </c>
      <c r="C327" s="66" t="s">
        <v>8386</v>
      </c>
      <c r="D327" s="61" t="s">
        <v>8119</v>
      </c>
      <c r="E327" s="61" t="s">
        <v>6689</v>
      </c>
      <c r="F327" s="67" t="s">
        <v>7475</v>
      </c>
      <c r="G327" s="60" t="s">
        <v>8387</v>
      </c>
      <c r="H327" s="61" t="s">
        <v>6732</v>
      </c>
      <c r="I327" s="68" t="s">
        <v>8388</v>
      </c>
      <c r="J327" t="n">
        <v>-19.9957323441303</v>
      </c>
      <c r="K327" t="n">
        <v>-44.0204461891297</v>
      </c>
      <c r="L327" t="n">
        <v>602473.061151363</v>
      </c>
      <c r="M327" t="n">
        <v>7788691.39524264</v>
      </c>
    </row>
    <row r="328" ht="15" customHeight="1">
      <c r="A328" s="59" t="s">
        <v>8389</v>
      </c>
      <c r="B328" s="20" t="s">
        <v>8390</v>
      </c>
      <c r="C328" s="63" t="s">
        <v>8391</v>
      </c>
      <c r="D328" s="64" t="s">
        <v>7395</v>
      </c>
      <c r="E328" s="64" t="s">
        <v>6647</v>
      </c>
      <c r="F328" s="65" t="s">
        <v>7228</v>
      </c>
      <c r="G328" s="63" t="s">
        <v>8392</v>
      </c>
      <c r="H328" s="61" t="s">
        <v>8393</v>
      </c>
      <c r="I328" s="68" t="s">
        <v>8394</v>
      </c>
      <c r="J328" t="n">
        <v>-19.905585535448</v>
      </c>
      <c r="K328" t="n">
        <v>-43.8967899991966</v>
      </c>
      <c r="L328" t="n">
        <v>615475.7</v>
      </c>
      <c r="M328" t="n">
        <v>7798588</v>
      </c>
    </row>
    <row r="329">
      <c r="A329" s="59" t="s">
        <v>8395</v>
      </c>
      <c r="B329" s="20" t="s">
        <v>8396</v>
      </c>
      <c r="C329" s="60" t="s">
        <v>8397</v>
      </c>
      <c r="D329" s="60" t="s">
        <v>7388</v>
      </c>
      <c r="E329" s="60" t="s">
        <v>6627</v>
      </c>
      <c r="F329" s="60" t="s">
        <v>6628</v>
      </c>
      <c r="G329" s="60" t="s">
        <v>8398</v>
      </c>
      <c r="H329" s="60" t="s">
        <v>8399</v>
      </c>
      <c r="I329" s="60" t="s">
        <v>8400</v>
      </c>
      <c r="J329" t="n">
        <v>-19.944287380393</v>
      </c>
      <c r="K329" t="n">
        <v>-43.9703879526833</v>
      </c>
      <c r="L329" t="n">
        <v>607745.12363954</v>
      </c>
      <c r="M329" t="n">
        <v>7794353.58322939</v>
      </c>
    </row>
    <row r="330">
      <c r="A330" s="59" t="s">
        <v>8401</v>
      </c>
      <c r="B330" s="20" t="s">
        <v>8402</v>
      </c>
      <c r="C330" s="60" t="s">
        <v>8403</v>
      </c>
      <c r="D330" s="61" t="s">
        <v>7305</v>
      </c>
      <c r="E330" s="61" t="s">
        <v>6611</v>
      </c>
      <c r="F330" s="61" t="s">
        <v>6612</v>
      </c>
      <c r="G330" s="60" t="s">
        <v>7689</v>
      </c>
      <c r="H330" s="61" t="s">
        <v>8404</v>
      </c>
      <c r="I330" s="61"/>
      <c r="J330" t="n">
        <v>-19.870547</v>
      </c>
      <c r="K330" t="n">
        <v>-44.00101</v>
      </c>
      <c r="L330" t="n">
        <v>604588.839662259</v>
      </c>
      <c r="M330" t="n">
        <v>7802533.92260554</v>
      </c>
    </row>
    <row r="331" ht="42.75" customHeight="1">
      <c r="A331" s="20" t="s">
        <v>8405</v>
      </c>
      <c r="B331" s="20" t="s">
        <v>8406</v>
      </c>
      <c r="C331" s="60" t="s">
        <v>8407</v>
      </c>
      <c r="D331" s="60" t="s">
        <v>7111</v>
      </c>
      <c r="E331" s="60" t="s">
        <v>6583</v>
      </c>
      <c r="F331" s="60" t="s">
        <v>6766</v>
      </c>
      <c r="G331" s="60" t="s">
        <v>8408</v>
      </c>
      <c r="H331" s="60" t="s">
        <v>8409</v>
      </c>
      <c r="I331" s="60"/>
      <c r="J331" t="n">
        <v>-19.926424665852</v>
      </c>
      <c r="K331" t="n">
        <v>-44.0060979727274</v>
      </c>
      <c r="L331" t="n">
        <v>604019.6</v>
      </c>
      <c r="M331" t="n">
        <v>7796353</v>
      </c>
    </row>
    <row r="332">
      <c r="A332" t="s">
        <v>9318</v>
      </c>
      <c r="B332" t="s">
        <v>9335</v>
      </c>
      <c r="C332" t="s">
        <v>9319</v>
      </c>
      <c r="D332" t="s">
        <v>9326</v>
      </c>
      <c r="E332" t="s">
        <v>6647</v>
      </c>
      <c r="F332" t="s">
        <v>7228</v>
      </c>
      <c r="G332" t="s">
        <v>8392</v>
      </c>
      <c r="H332" t="s">
        <v>9327</v>
      </c>
      <c r="I332" t="s">
        <v>9327</v>
      </c>
      <c r="J332"/>
      <c r="K332"/>
      <c r="L332"/>
      <c r="M332"/>
    </row>
    <row r="333">
      <c r="A333" t="s">
        <v>9320</v>
      </c>
      <c r="B333" t="s">
        <v>9337</v>
      </c>
      <c r="C333" t="s">
        <v>9321</v>
      </c>
      <c r="D333" t="s">
        <v>9329</v>
      </c>
      <c r="E333" t="s">
        <v>6689</v>
      </c>
      <c r="F333" t="s">
        <v>9330</v>
      </c>
      <c r="G333" t="s">
        <v>9331</v>
      </c>
      <c r="H333" t="s">
        <v>9327</v>
      </c>
      <c r="I333" t="s">
        <v>9327</v>
      </c>
      <c r="J333"/>
      <c r="K333"/>
      <c r="L333"/>
      <c r="M333"/>
    </row>
    <row r="334">
      <c r="A334" t="s">
        <v>9316</v>
      </c>
      <c r="B334" t="s">
        <v>9333</v>
      </c>
      <c r="C334" t="s">
        <v>9317</v>
      </c>
      <c r="D334" t="s">
        <v>7381</v>
      </c>
      <c r="E334" t="s">
        <v>6689</v>
      </c>
      <c r="F334" t="s">
        <v>6690</v>
      </c>
      <c r="G334" t="s">
        <v>9323</v>
      </c>
      <c r="H334" t="s">
        <v>9324</v>
      </c>
      <c r="I334"/>
      <c r="J334"/>
      <c r="K334"/>
      <c r="L334"/>
      <c r="M334"/>
    </row>
  </sheetData>
  <autoFilter ref="A1:M331"/>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pane ySplit="1" topLeftCell="A2" activePane="bottomLeft" state="frozen"/>
    </sheetView>
  </sheetViews>
  <sheetFormatPr defaultRowHeight="15.0" baseColWidth="10"/>
  <cols>
    <col min="1" max="1" width="12" hidden="0" customWidth="1"/>
    <col min="2" max="2" width="12" hidden="0" customWidth="1"/>
    <col min="3" max="3" width="34" hidden="0" customWidth="1"/>
    <col min="4" max="4" width="38" hidden="0" customWidth="1"/>
    <col min="5" max="5" width="42" hidden="0" customWidth="1"/>
    <col min="6" max="6" width="18" hidden="0" customWidth="1"/>
    <col min="7" max="7" width="14" hidden="0" customWidth="1"/>
    <col min="8" max="8" width="12" hidden="0" customWidth="1"/>
    <col min="9" max="9" width="30" hidden="0" customWidth="1"/>
    <col min="10" max="10" width="11" hidden="0" customWidth="1"/>
    <col min="11" max="11" width="14" hidden="0" customWidth="1"/>
    <col min="12" max="12" width="14" hidden="0" customWidth="1"/>
    <col min="13" max="13" width="14" hidden="0" customWidth="1"/>
    <col min="14" max="14" width="14" hidden="0" customWidth="1"/>
    <col min="15" max="15" width="14" hidden="0" customWidth="1"/>
  </cols>
  <sheetData>
    <row r="1" ht="30" customHeight="1">
      <c r="A1" s="73" t="s">
        <v>8410</v>
      </c>
      <c r="B1" s="73" t="s">
        <v>6567</v>
      </c>
      <c r="C1" s="73" t="s">
        <v>6566</v>
      </c>
      <c r="D1" s="73" t="s">
        <v>8411</v>
      </c>
      <c r="E1" s="73" t="s">
        <v>8412</v>
      </c>
      <c r="F1" s="73" t="s">
        <v>8413</v>
      </c>
      <c r="G1" s="73" t="s">
        <v>8414</v>
      </c>
      <c r="H1" s="73" t="s">
        <v>8415</v>
      </c>
      <c r="I1" s="73" t="s">
        <v>8416</v>
      </c>
      <c r="J1" s="73" t="s">
        <v>8417</v>
      </c>
      <c r="K1" s="73" t="s">
        <v>8418</v>
      </c>
      <c r="L1" s="73" t="s">
        <v>8419</v>
      </c>
      <c r="M1" s="73" t="s">
        <v>8420</v>
      </c>
      <c r="N1" s="73" t="s">
        <v>8421</v>
      </c>
      <c r="O1" s="73" t="s">
        <v>8422</v>
      </c>
    </row>
    <row r="2" ht="28.5" customHeight="1">
      <c r="A2" s="51" t="s">
        <v>8423</v>
      </c>
      <c r="B2" s="51" t="s">
        <v>6580</v>
      </c>
      <c r="C2" s="51" t="s">
        <v>6579</v>
      </c>
      <c r="D2" s="51" t="s">
        <v>8424</v>
      </c>
      <c r="E2" s="51" t="s">
        <v>6581</v>
      </c>
      <c r="F2" s="51" t="s">
        <v>6582</v>
      </c>
      <c r="G2" s="51" t="s">
        <v>6583</v>
      </c>
      <c r="H2" s="51" t="s">
        <v>6584</v>
      </c>
      <c r="I2" s="51" t="s">
        <v>6585</v>
      </c>
      <c r="J2" s="51" t="s">
        <v>6586</v>
      </c>
      <c r="K2" s="51"/>
      <c r="L2" s="51" t="n">
        <v>-19.9011691353251</v>
      </c>
      <c r="M2" s="51" t="n">
        <v>-43.9653501552397</v>
      </c>
      <c r="N2" s="51" t="n">
        <v>608301.721889071</v>
      </c>
      <c r="O2" s="51" t="n">
        <v>7799122.36840501</v>
      </c>
    </row>
    <row r="3" ht="28.5" customHeight="1">
      <c r="A3" s="51" t="s">
        <v>8425</v>
      </c>
      <c r="B3" s="51" t="s">
        <v>6588</v>
      </c>
      <c r="C3" s="51" t="s">
        <v>6587</v>
      </c>
      <c r="D3" s="51" t="s">
        <v>8426</v>
      </c>
      <c r="E3" s="51" t="s">
        <v>6589</v>
      </c>
      <c r="F3" s="51" t="s">
        <v>6590</v>
      </c>
      <c r="G3" s="51" t="s">
        <v>6583</v>
      </c>
      <c r="H3" s="51" t="s">
        <v>6591</v>
      </c>
      <c r="I3" s="51" t="s">
        <v>6592</v>
      </c>
      <c r="J3" s="51" t="s">
        <v>6593</v>
      </c>
      <c r="K3" s="51"/>
      <c r="L3" s="51" t="n">
        <v>-19.920438</v>
      </c>
      <c r="M3" s="51" t="n">
        <v>-44.007309</v>
      </c>
      <c r="N3" s="51" t="n">
        <v>603896.75885647</v>
      </c>
      <c r="O3" s="51" t="n">
        <v>7797016.30463003</v>
      </c>
    </row>
    <row r="4" ht="28.5" customHeight="1">
      <c r="A4" s="51" t="s">
        <v>8427</v>
      </c>
      <c r="B4" s="51" t="s">
        <v>6595</v>
      </c>
      <c r="C4" s="51" t="s">
        <v>6594</v>
      </c>
      <c r="D4" s="51" t="s">
        <v>8428</v>
      </c>
      <c r="E4" s="51" t="s">
        <v>6596</v>
      </c>
      <c r="F4" s="51" t="s">
        <v>6597</v>
      </c>
      <c r="G4" s="51" t="s">
        <v>6583</v>
      </c>
      <c r="H4" s="51" t="s">
        <v>6591</v>
      </c>
      <c r="I4" s="51" t="s">
        <v>6598</v>
      </c>
      <c r="J4" s="51" t="s">
        <v>6599</v>
      </c>
      <c r="K4" s="51" t="s">
        <v>6600</v>
      </c>
      <c r="L4" s="51" t="n">
        <v>-19.9127299689592</v>
      </c>
      <c r="M4" s="51" t="n">
        <v>-43.9992433068607</v>
      </c>
      <c r="N4" s="51" t="n">
        <v>604746.070613249</v>
      </c>
      <c r="O4" s="51" t="n">
        <v>7797864.36359774</v>
      </c>
    </row>
    <row r="5" ht="28.5" customHeight="1">
      <c r="A5" s="51" t="s">
        <v>8429</v>
      </c>
      <c r="B5" s="51" t="s">
        <v>6602</v>
      </c>
      <c r="C5" s="51" t="s">
        <v>6601</v>
      </c>
      <c r="D5" s="51" t="s">
        <v>8430</v>
      </c>
      <c r="E5" s="51" t="s">
        <v>6603</v>
      </c>
      <c r="F5" s="51" t="s">
        <v>6604</v>
      </c>
      <c r="G5" s="51" t="s">
        <v>6583</v>
      </c>
      <c r="H5" s="51" t="s">
        <v>6591</v>
      </c>
      <c r="I5" s="51" t="s">
        <v>6605</v>
      </c>
      <c r="J5" s="51" t="s">
        <v>6606</v>
      </c>
      <c r="K5" s="51"/>
      <c r="L5" s="51" t="n">
        <v>-19.898315</v>
      </c>
      <c r="M5" s="51" t="n">
        <v>-44.021447</v>
      </c>
      <c r="N5" s="51" t="n">
        <v>602431.180365269</v>
      </c>
      <c r="O5" s="51" t="n">
        <v>7799473.36135845</v>
      </c>
    </row>
    <row r="6" ht="28.5" customHeight="1">
      <c r="A6" s="51" t="s">
        <v>8431</v>
      </c>
      <c r="B6" s="51" t="s">
        <v>6608</v>
      </c>
      <c r="C6" s="51" t="s">
        <v>6607</v>
      </c>
      <c r="D6" s="51" t="s">
        <v>8432</v>
      </c>
      <c r="E6" s="51" t="s">
        <v>6609</v>
      </c>
      <c r="F6" s="51" t="s">
        <v>6610</v>
      </c>
      <c r="G6" s="51" t="s">
        <v>6611</v>
      </c>
      <c r="H6" s="51" t="s">
        <v>6612</v>
      </c>
      <c r="I6" s="51" t="s">
        <v>6613</v>
      </c>
      <c r="J6" s="51" t="s">
        <v>6614</v>
      </c>
      <c r="K6" s="51" t="s">
        <v>6615</v>
      </c>
      <c r="L6" s="51" t="n">
        <v>-19.88424</v>
      </c>
      <c r="M6" s="51" t="n">
        <v>-44.010545</v>
      </c>
      <c r="N6" s="51" t="n">
        <v>603581.600641081</v>
      </c>
      <c r="O6" s="51" t="n">
        <v>7801024.38996694</v>
      </c>
    </row>
    <row r="7" ht="28.5" customHeight="1">
      <c r="A7" s="51" t="s">
        <v>8433</v>
      </c>
      <c r="B7" s="51" t="s">
        <v>6617</v>
      </c>
      <c r="C7" s="51" t="s">
        <v>6616</v>
      </c>
      <c r="D7" s="51" t="s">
        <v>8434</v>
      </c>
      <c r="E7" s="51" t="s">
        <v>6618</v>
      </c>
      <c r="F7" s="51" t="s">
        <v>6619</v>
      </c>
      <c r="G7" s="51" t="s">
        <v>6583</v>
      </c>
      <c r="H7" s="51" t="s">
        <v>6591</v>
      </c>
      <c r="I7" s="51" t="s">
        <v>6620</v>
      </c>
      <c r="J7" s="51" t="s">
        <v>6621</v>
      </c>
      <c r="K7" s="51" t="s">
        <v>6622</v>
      </c>
      <c r="L7" s="51" t="n">
        <v>-19.9154622777009</v>
      </c>
      <c r="M7" s="51" t="n">
        <v>-44.0241422210918</v>
      </c>
      <c r="N7" s="51" t="n">
        <v>602138.027435628</v>
      </c>
      <c r="O7" s="51" t="n">
        <v>7797577.28849236</v>
      </c>
    </row>
    <row r="8" ht="28.5" customHeight="1">
      <c r="A8" s="51" t="s">
        <v>8435</v>
      </c>
      <c r="B8" s="51" t="s">
        <v>6624</v>
      </c>
      <c r="C8" s="51" t="s">
        <v>6623</v>
      </c>
      <c r="D8" s="51" t="s">
        <v>8436</v>
      </c>
      <c r="E8" s="51" t="s">
        <v>6625</v>
      </c>
      <c r="F8" s="51" t="s">
        <v>6626</v>
      </c>
      <c r="G8" s="51" t="s">
        <v>6627</v>
      </c>
      <c r="H8" s="51" t="s">
        <v>6628</v>
      </c>
      <c r="I8" s="51" t="s">
        <v>6629</v>
      </c>
      <c r="J8" s="51" t="s">
        <v>6630</v>
      </c>
      <c r="K8" s="51" t="s">
        <v>6631</v>
      </c>
      <c r="L8" s="51" t="n">
        <v>-19.92178</v>
      </c>
      <c r="M8" s="51" t="n">
        <v>-43.960582</v>
      </c>
      <c r="N8" s="51" t="n">
        <v>608786.774887605</v>
      </c>
      <c r="O8" s="51" t="n">
        <v>7796838.22682422</v>
      </c>
    </row>
    <row r="9" ht="28.5" customHeight="1">
      <c r="A9" s="51" t="s">
        <v>8437</v>
      </c>
      <c r="B9" s="51" t="s">
        <v>6633</v>
      </c>
      <c r="C9" s="51" t="s">
        <v>6632</v>
      </c>
      <c r="D9" s="51" t="s">
        <v>8438</v>
      </c>
      <c r="E9" s="51" t="s">
        <v>6634</v>
      </c>
      <c r="F9" s="51" t="s">
        <v>6635</v>
      </c>
      <c r="G9" s="51" t="s">
        <v>6636</v>
      </c>
      <c r="H9" s="51" t="s">
        <v>6637</v>
      </c>
      <c r="I9" s="51" t="s">
        <v>6638</v>
      </c>
      <c r="J9" s="51" t="s">
        <v>6639</v>
      </c>
      <c r="K9" s="51"/>
      <c r="L9" s="51" t="n">
        <v>-19.7942236666667</v>
      </c>
      <c r="M9" s="51" t="n">
        <v>-43.989283</v>
      </c>
      <c r="N9" s="51" t="n">
        <v>605867.249051908</v>
      </c>
      <c r="O9" s="51" t="n">
        <v>7810973.40259753</v>
      </c>
    </row>
    <row r="10" ht="42.75" customHeight="1">
      <c r="A10" s="51" t="s">
        <v>8439</v>
      </c>
      <c r="B10" s="51" t="s">
        <v>6641</v>
      </c>
      <c r="C10" s="51" t="s">
        <v>6640</v>
      </c>
      <c r="D10" s="51" t="s">
        <v>8440</v>
      </c>
      <c r="E10" s="51" t="s">
        <v>6642</v>
      </c>
      <c r="F10" s="51" t="s">
        <v>6597</v>
      </c>
      <c r="G10" s="51" t="s">
        <v>6583</v>
      </c>
      <c r="H10" s="51" t="s">
        <v>6591</v>
      </c>
      <c r="I10" s="51" t="s">
        <v>6643</v>
      </c>
      <c r="J10" s="51"/>
      <c r="K10" s="51"/>
      <c r="L10" s="51" t="n">
        <v>-19.9173492936462</v>
      </c>
      <c r="M10" s="51" t="n">
        <v>-44.005641703926</v>
      </c>
      <c r="N10" s="51" t="n">
        <v>604073.3</v>
      </c>
      <c r="O10" s="51" t="n">
        <v>7797357</v>
      </c>
    </row>
    <row r="11" ht="42.75" customHeight="1">
      <c r="A11" s="51" t="s">
        <v>8441</v>
      </c>
      <c r="B11" s="51" t="s">
        <v>6645</v>
      </c>
      <c r="C11" s="51" t="s">
        <v>6644</v>
      </c>
      <c r="D11" s="51" t="s">
        <v>8442</v>
      </c>
      <c r="E11" s="51" t="s">
        <v>6644</v>
      </c>
      <c r="F11" s="51" t="s">
        <v>6646</v>
      </c>
      <c r="G11" s="51" t="s">
        <v>6647</v>
      </c>
      <c r="H11" s="51" t="s">
        <v>6648</v>
      </c>
      <c r="I11" s="51" t="s">
        <v>6649</v>
      </c>
      <c r="J11" s="51"/>
      <c r="K11" s="51"/>
      <c r="L11" s="51"/>
      <c r="M11" s="51"/>
      <c r="N11" s="51"/>
      <c r="O11" s="51"/>
    </row>
    <row r="12" ht="57" customHeight="1">
      <c r="A12" s="51" t="s">
        <v>8443</v>
      </c>
      <c r="B12" s="51" t="s">
        <v>6651</v>
      </c>
      <c r="C12" s="51" t="s">
        <v>6650</v>
      </c>
      <c r="D12" s="51" t="s">
        <v>8444</v>
      </c>
      <c r="E12" s="51" t="s">
        <v>6652</v>
      </c>
      <c r="F12" s="51" t="s">
        <v>6653</v>
      </c>
      <c r="G12" s="51" t="s">
        <v>6611</v>
      </c>
      <c r="H12" s="51" t="s">
        <v>6654</v>
      </c>
      <c r="I12" s="51" t="s">
        <v>6655</v>
      </c>
      <c r="J12" s="51"/>
      <c r="K12" s="51"/>
      <c r="L12" s="51" t="n">
        <v>-19.8620741897597</v>
      </c>
      <c r="M12" s="51" t="n">
        <v>-43.9402829172415</v>
      </c>
      <c r="N12" s="51" t="n">
        <v>610953.1</v>
      </c>
      <c r="O12" s="51" t="n">
        <v>7803433</v>
      </c>
    </row>
    <row r="13" ht="57" customHeight="1">
      <c r="A13" s="51" t="s">
        <v>8445</v>
      </c>
      <c r="B13" s="51" t="s">
        <v>6651</v>
      </c>
      <c r="C13" s="51" t="s">
        <v>6650</v>
      </c>
      <c r="D13" s="51" t="s">
        <v>8446</v>
      </c>
      <c r="E13" s="51" t="s">
        <v>6652</v>
      </c>
      <c r="F13" s="51" t="s">
        <v>6653</v>
      </c>
      <c r="G13" s="51" t="s">
        <v>6611</v>
      </c>
      <c r="H13" s="51" t="s">
        <v>6654</v>
      </c>
      <c r="I13" s="51" t="s">
        <v>6655</v>
      </c>
      <c r="J13" s="51"/>
      <c r="K13" s="51"/>
      <c r="L13" s="51" t="n">
        <v>-19.8620741897597</v>
      </c>
      <c r="M13" s="51" t="n">
        <v>-43.9402829172415</v>
      </c>
      <c r="N13" s="51" t="n">
        <v>610953.1</v>
      </c>
      <c r="O13" s="51" t="n">
        <v>7803433</v>
      </c>
    </row>
    <row r="14" ht="42.75" customHeight="1">
      <c r="A14" s="51" t="s">
        <v>8447</v>
      </c>
      <c r="B14" s="51" t="s">
        <v>6657</v>
      </c>
      <c r="C14" s="51" t="s">
        <v>6656</v>
      </c>
      <c r="D14" s="51" t="s">
        <v>8448</v>
      </c>
      <c r="E14" s="51" t="s">
        <v>6658</v>
      </c>
      <c r="F14" s="51" t="s">
        <v>6659</v>
      </c>
      <c r="G14" s="51" t="s">
        <v>6660</v>
      </c>
      <c r="H14" s="51" t="s">
        <v>6661</v>
      </c>
      <c r="I14" s="51" t="s">
        <v>6662</v>
      </c>
      <c r="J14" s="51" t="s">
        <v>6663</v>
      </c>
      <c r="K14" s="51"/>
      <c r="L14" s="51" t="n">
        <v>-19.9141046934996</v>
      </c>
      <c r="M14" s="51" t="n">
        <v>-43.9376299769289</v>
      </c>
      <c r="N14" s="51" t="n">
        <v>611194.538967365</v>
      </c>
      <c r="O14" s="51" t="n">
        <v>7797672.66548659</v>
      </c>
    </row>
    <row r="15" ht="42.75" customHeight="1">
      <c r="A15" s="51" t="s">
        <v>8449</v>
      </c>
      <c r="B15" s="51" t="s">
        <v>6657</v>
      </c>
      <c r="C15" s="51" t="s">
        <v>6656</v>
      </c>
      <c r="D15" s="51" t="s">
        <v>8450</v>
      </c>
      <c r="E15" s="51" t="s">
        <v>6658</v>
      </c>
      <c r="F15" s="51" t="s">
        <v>6659</v>
      </c>
      <c r="G15" s="51" t="s">
        <v>6660</v>
      </c>
      <c r="H15" s="51" t="s">
        <v>6661</v>
      </c>
      <c r="I15" s="51" t="s">
        <v>6662</v>
      </c>
      <c r="J15" s="51" t="s">
        <v>6663</v>
      </c>
      <c r="K15" s="51"/>
      <c r="L15" s="51" t="n">
        <v>-19.9141046934996</v>
      </c>
      <c r="M15" s="51" t="n">
        <v>-43.9376299769289</v>
      </c>
      <c r="N15" s="51" t="n">
        <v>611194.538967365</v>
      </c>
      <c r="O15" s="51" t="n">
        <v>7797672.66548659</v>
      </c>
    </row>
    <row r="16" ht="28.5" customHeight="1">
      <c r="A16" s="51" t="s">
        <v>8451</v>
      </c>
      <c r="B16" s="51" t="s">
        <v>6665</v>
      </c>
      <c r="C16" s="51" t="s">
        <v>6664</v>
      </c>
      <c r="D16" s="51" t="s">
        <v>8452</v>
      </c>
      <c r="E16" s="51" t="s">
        <v>6666</v>
      </c>
      <c r="F16" s="51" t="s">
        <v>6667</v>
      </c>
      <c r="G16" s="51" t="s">
        <v>6647</v>
      </c>
      <c r="H16" s="51" t="s">
        <v>6648</v>
      </c>
      <c r="I16" s="51" t="s">
        <v>6668</v>
      </c>
      <c r="J16" s="51" t="s">
        <v>6669</v>
      </c>
      <c r="K16" s="51"/>
      <c r="L16" s="51" t="n">
        <v>-19.9090129919585</v>
      </c>
      <c r="M16" s="51" t="n">
        <v>-43.8914605588869</v>
      </c>
      <c r="N16" s="51" t="n">
        <v>616031.1</v>
      </c>
      <c r="O16" s="51" t="n">
        <v>7798205</v>
      </c>
    </row>
    <row r="17">
      <c r="A17" s="51" t="s">
        <v>8453</v>
      </c>
      <c r="B17" s="51" t="s">
        <v>6671</v>
      </c>
      <c r="C17" s="51" t="s">
        <v>6670</v>
      </c>
      <c r="D17" s="51" t="s">
        <v>8454</v>
      </c>
      <c r="E17" s="51" t="s">
        <v>6672</v>
      </c>
      <c r="F17" s="51" t="s">
        <v>6673</v>
      </c>
      <c r="G17" s="51" t="s">
        <v>6636</v>
      </c>
      <c r="H17" s="51" t="s">
        <v>6674</v>
      </c>
      <c r="I17" s="51" t="s">
        <v>6675</v>
      </c>
      <c r="J17" s="51" t="s">
        <v>6676</v>
      </c>
      <c r="K17" s="51"/>
      <c r="L17" s="51" t="n">
        <v>-19.796039</v>
      </c>
      <c r="M17" s="51" t="n">
        <v>-43.955729</v>
      </c>
      <c r="N17" s="51" t="n">
        <v>609380.909640495</v>
      </c>
      <c r="O17" s="51" t="n">
        <v>7810751.14842889</v>
      </c>
    </row>
    <row r="18">
      <c r="A18" s="51" t="s">
        <v>8455</v>
      </c>
      <c r="B18" s="51" t="s">
        <v>6678</v>
      </c>
      <c r="C18" s="51" t="s">
        <v>6677</v>
      </c>
      <c r="D18" s="51" t="s">
        <v>8456</v>
      </c>
      <c r="E18" s="51" t="s">
        <v>6679</v>
      </c>
      <c r="F18" s="51" t="s">
        <v>6680</v>
      </c>
      <c r="G18" s="51" t="s">
        <v>6627</v>
      </c>
      <c r="H18" s="51" t="s">
        <v>6681</v>
      </c>
      <c r="I18" s="51" t="s">
        <v>6682</v>
      </c>
      <c r="J18" s="51" t="s">
        <v>6683</v>
      </c>
      <c r="K18" s="51" t="s">
        <v>6684</v>
      </c>
      <c r="L18" s="51" t="n">
        <v>-19.953097</v>
      </c>
      <c r="M18" s="51" t="n">
        <v>-43.971148</v>
      </c>
      <c r="N18" s="51" t="n">
        <v>607659.60695717</v>
      </c>
      <c r="O18" s="51" t="n">
        <v>7793379.08233125</v>
      </c>
    </row>
    <row r="19" ht="28.5" customHeight="1">
      <c r="A19" s="51" t="s">
        <v>8457</v>
      </c>
      <c r="B19" s="51" t="s">
        <v>6686</v>
      </c>
      <c r="C19" s="51" t="s">
        <v>6685</v>
      </c>
      <c r="D19" s="51" t="s">
        <v>8458</v>
      </c>
      <c r="E19" s="51" t="s">
        <v>6687</v>
      </c>
      <c r="F19" s="51" t="s">
        <v>6688</v>
      </c>
      <c r="G19" s="51" t="s">
        <v>6689</v>
      </c>
      <c r="H19" s="51" t="s">
        <v>6690</v>
      </c>
      <c r="I19" s="51" t="s">
        <v>6691</v>
      </c>
      <c r="J19" s="51" t="s">
        <v>6692</v>
      </c>
      <c r="K19" s="51"/>
      <c r="L19" s="51" t="n">
        <v>-20.003405</v>
      </c>
      <c r="M19" s="51" t="n">
        <v>-44.023435</v>
      </c>
      <c r="N19" s="51" t="n">
        <v>602155.421844463</v>
      </c>
      <c r="O19" s="51" t="n">
        <v>7787844.06941645</v>
      </c>
    </row>
    <row r="20" ht="28.5" customHeight="1">
      <c r="A20" s="51" t="s">
        <v>8459</v>
      </c>
      <c r="B20" s="51" t="s">
        <v>6686</v>
      </c>
      <c r="C20" s="51" t="s">
        <v>6685</v>
      </c>
      <c r="D20" s="51" t="s">
        <v>8460</v>
      </c>
      <c r="E20" s="51" t="s">
        <v>6687</v>
      </c>
      <c r="F20" s="51" t="s">
        <v>6688</v>
      </c>
      <c r="G20" s="51" t="s">
        <v>6689</v>
      </c>
      <c r="H20" s="51" t="s">
        <v>6690</v>
      </c>
      <c r="I20" s="51" t="s">
        <v>6691</v>
      </c>
      <c r="J20" s="51" t="s">
        <v>6692</v>
      </c>
      <c r="K20" s="51"/>
      <c r="L20" s="51" t="n">
        <v>-20.003405</v>
      </c>
      <c r="M20" s="51" t="n">
        <v>-44.023435</v>
      </c>
      <c r="N20" s="51" t="n">
        <v>602155.421844463</v>
      </c>
      <c r="O20" s="51" t="n">
        <v>7787844.06941645</v>
      </c>
    </row>
    <row r="21" ht="28.5" customHeight="1">
      <c r="A21" s="51" t="s">
        <v>8461</v>
      </c>
      <c r="B21" s="51" t="s">
        <v>6694</v>
      </c>
      <c r="C21" s="51" t="s">
        <v>6693</v>
      </c>
      <c r="D21" s="51" t="s">
        <v>8462</v>
      </c>
      <c r="E21" s="51" t="s">
        <v>6695</v>
      </c>
      <c r="F21" s="51" t="s">
        <v>6696</v>
      </c>
      <c r="G21" s="51" t="s">
        <v>6689</v>
      </c>
      <c r="H21" s="51" t="s">
        <v>6690</v>
      </c>
      <c r="I21" s="51" t="s">
        <v>6697</v>
      </c>
      <c r="J21" s="51" t="s">
        <v>6698</v>
      </c>
      <c r="K21" s="51"/>
      <c r="L21" s="51" t="n">
        <v>-20.007875</v>
      </c>
      <c r="M21" s="51" t="n">
        <v>-44.029968</v>
      </c>
      <c r="N21" s="51" t="n">
        <v>601469.108904586</v>
      </c>
      <c r="O21" s="51" t="n">
        <v>7787353.336056</v>
      </c>
    </row>
    <row r="22" ht="28.5" customHeight="1">
      <c r="A22" s="51" t="s">
        <v>8463</v>
      </c>
      <c r="B22" s="51" t="s">
        <v>6700</v>
      </c>
      <c r="C22" s="51" t="s">
        <v>6699</v>
      </c>
      <c r="D22" s="51" t="s">
        <v>8464</v>
      </c>
      <c r="E22" s="51" t="s">
        <v>6701</v>
      </c>
      <c r="F22" s="51" t="s">
        <v>6673</v>
      </c>
      <c r="G22" s="51" t="s">
        <v>6636</v>
      </c>
      <c r="H22" s="51" t="s">
        <v>6674</v>
      </c>
      <c r="I22" s="51" t="s">
        <v>6702</v>
      </c>
      <c r="J22" s="51" t="s">
        <v>6703</v>
      </c>
      <c r="K22" s="51" t="s">
        <v>6704</v>
      </c>
      <c r="L22" s="51" t="n">
        <v>-19.806268971431</v>
      </c>
      <c r="M22" s="51" t="n">
        <v>-43.9511342600749</v>
      </c>
      <c r="N22" s="51" t="n">
        <v>609855.2</v>
      </c>
      <c r="O22" s="51" t="n">
        <v>7809616</v>
      </c>
    </row>
    <row r="23">
      <c r="A23" s="51" t="s">
        <v>8465</v>
      </c>
      <c r="B23" s="51" t="s">
        <v>6706</v>
      </c>
      <c r="C23" s="51" t="s">
        <v>6705</v>
      </c>
      <c r="D23" s="51" t="s">
        <v>8466</v>
      </c>
      <c r="E23" s="51" t="s">
        <v>6707</v>
      </c>
      <c r="F23" s="51" t="s">
        <v>6708</v>
      </c>
      <c r="G23" s="51" t="s">
        <v>6627</v>
      </c>
      <c r="H23" s="51" t="s">
        <v>6681</v>
      </c>
      <c r="I23" s="51" t="s">
        <v>6709</v>
      </c>
      <c r="J23" s="51" t="s">
        <v>6710</v>
      </c>
      <c r="K23" s="51"/>
      <c r="L23" s="51" t="n">
        <v>-19.956216358488</v>
      </c>
      <c r="M23" s="51" t="n">
        <v>-43.9911571093474</v>
      </c>
      <c r="N23" s="51" t="n">
        <v>605563.599877002</v>
      </c>
      <c r="O23" s="51" t="n">
        <v>7793046.56230519</v>
      </c>
    </row>
    <row r="24" ht="42.75" customHeight="1">
      <c r="A24" s="51" t="s">
        <v>8467</v>
      </c>
      <c r="B24" s="51" t="s">
        <v>6712</v>
      </c>
      <c r="C24" s="51" t="s">
        <v>6711</v>
      </c>
      <c r="D24" s="51" t="s">
        <v>8468</v>
      </c>
      <c r="E24" s="51" t="s">
        <v>6713</v>
      </c>
      <c r="F24" s="51" t="s">
        <v>6714</v>
      </c>
      <c r="G24" s="51" t="s">
        <v>6583</v>
      </c>
      <c r="H24" s="51" t="s">
        <v>6591</v>
      </c>
      <c r="I24" s="51" t="s">
        <v>6715</v>
      </c>
      <c r="J24" s="51" t="s">
        <v>6716</v>
      </c>
      <c r="K24" s="51" t="s">
        <v>6717</v>
      </c>
      <c r="L24" s="51" t="n">
        <v>-19.911001</v>
      </c>
      <c r="M24" s="51" t="n">
        <v>-44.016046</v>
      </c>
      <c r="N24" s="51" t="n">
        <v>602988.369737463</v>
      </c>
      <c r="O24" s="51" t="n">
        <v>7798066.08747542</v>
      </c>
    </row>
    <row r="25" ht="28.5" customHeight="1">
      <c r="A25" s="51" t="s">
        <v>8469</v>
      </c>
      <c r="B25" s="51" t="s">
        <v>6719</v>
      </c>
      <c r="C25" s="51" t="s">
        <v>6718</v>
      </c>
      <c r="D25" s="51" t="s">
        <v>8470</v>
      </c>
      <c r="E25" s="51" t="s">
        <v>6720</v>
      </c>
      <c r="F25" s="51" t="s">
        <v>6721</v>
      </c>
      <c r="G25" s="51" t="s">
        <v>6722</v>
      </c>
      <c r="H25" s="51" t="s">
        <v>6723</v>
      </c>
      <c r="I25" s="51" t="s">
        <v>6724</v>
      </c>
      <c r="J25" s="51" t="s">
        <v>6725</v>
      </c>
      <c r="K25" s="51" t="s">
        <v>6726</v>
      </c>
      <c r="L25" s="51" t="n">
        <v>-19.8371170241198</v>
      </c>
      <c r="M25" s="51" t="n">
        <v>-43.9224181088925</v>
      </c>
      <c r="N25" s="51" t="n">
        <v>612841.34346059</v>
      </c>
      <c r="O25" s="51" t="n">
        <v>7806183.03919085</v>
      </c>
    </row>
    <row r="26" ht="28.5" customHeight="1">
      <c r="A26" s="51" t="s">
        <v>8471</v>
      </c>
      <c r="B26" s="51" t="s">
        <v>6728</v>
      </c>
      <c r="C26" s="51" t="s">
        <v>6727</v>
      </c>
      <c r="D26" s="51" t="s">
        <v>8472</v>
      </c>
      <c r="E26" s="51" t="s">
        <v>6729</v>
      </c>
      <c r="F26" s="51" t="s">
        <v>6730</v>
      </c>
      <c r="G26" s="51" t="s">
        <v>6689</v>
      </c>
      <c r="H26" s="51" t="s">
        <v>6690</v>
      </c>
      <c r="I26" s="51" t="s">
        <v>6731</v>
      </c>
      <c r="J26" s="51" t="s">
        <v>6732</v>
      </c>
      <c r="K26" s="51"/>
      <c r="L26" s="51" t="n">
        <v>-20.015666</v>
      </c>
      <c r="M26" s="51" t="n">
        <v>-44.023349</v>
      </c>
      <c r="N26" s="51" t="n">
        <v>602156.503262049</v>
      </c>
      <c r="O26" s="51" t="n">
        <v>7786487.06115354</v>
      </c>
    </row>
    <row r="27" ht="42.75" customHeight="1">
      <c r="A27" s="51" t="s">
        <v>8473</v>
      </c>
      <c r="B27" s="51" t="s">
        <v>6734</v>
      </c>
      <c r="C27" s="51" t="s">
        <v>6733</v>
      </c>
      <c r="D27" s="51" t="s">
        <v>8474</v>
      </c>
      <c r="E27" s="51" t="s">
        <v>6735</v>
      </c>
      <c r="F27" s="51" t="s">
        <v>6736</v>
      </c>
      <c r="G27" s="51" t="s">
        <v>6583</v>
      </c>
      <c r="H27" s="51" t="s">
        <v>6591</v>
      </c>
      <c r="I27" s="51" t="s">
        <v>6737</v>
      </c>
      <c r="J27" s="51" t="s">
        <v>6738</v>
      </c>
      <c r="K27" s="51" t="s">
        <v>6739</v>
      </c>
      <c r="L27" s="51" t="n">
        <v>-19.9064262405171</v>
      </c>
      <c r="M27" s="51" t="n">
        <v>-44.0122447486553</v>
      </c>
      <c r="N27" s="51" t="n">
        <v>603389.241535766</v>
      </c>
      <c r="O27" s="51" t="n">
        <v>7798570.05151998</v>
      </c>
    </row>
    <row r="28" ht="28.5" customHeight="1">
      <c r="A28" s="51" t="s">
        <v>8475</v>
      </c>
      <c r="B28" s="51" t="s">
        <v>6741</v>
      </c>
      <c r="C28" s="51" t="s">
        <v>6740</v>
      </c>
      <c r="D28" s="51" t="s">
        <v>8476</v>
      </c>
      <c r="E28" s="51" t="s">
        <v>6742</v>
      </c>
      <c r="F28" s="51" t="s">
        <v>6743</v>
      </c>
      <c r="G28" s="51" t="s">
        <v>6583</v>
      </c>
      <c r="H28" s="51" t="s">
        <v>6744</v>
      </c>
      <c r="I28" s="51" t="s">
        <v>6745</v>
      </c>
      <c r="J28" s="51" t="s">
        <v>6746</v>
      </c>
      <c r="K28" s="51" t="s">
        <v>6747</v>
      </c>
      <c r="L28" s="51" t="n">
        <v>-19.910358</v>
      </c>
      <c r="M28" s="51" t="n">
        <v>-43.947364</v>
      </c>
      <c r="N28" s="51" t="n">
        <v>610178.218785005</v>
      </c>
      <c r="O28" s="51" t="n">
        <v>7798093.73090641</v>
      </c>
    </row>
    <row r="29">
      <c r="A29" s="51" t="s">
        <v>8477</v>
      </c>
      <c r="B29" s="51" t="s">
        <v>6749</v>
      </c>
      <c r="C29" s="51" t="s">
        <v>6748</v>
      </c>
      <c r="D29" s="51" t="s">
        <v>8478</v>
      </c>
      <c r="E29" s="51" t="s">
        <v>6750</v>
      </c>
      <c r="F29" s="51" t="s">
        <v>6751</v>
      </c>
      <c r="G29" s="51" t="s">
        <v>6689</v>
      </c>
      <c r="H29" s="51" t="s">
        <v>6690</v>
      </c>
      <c r="I29" s="51" t="s">
        <v>6752</v>
      </c>
      <c r="J29" s="51" t="s">
        <v>6753</v>
      </c>
      <c r="K29" s="51"/>
      <c r="L29" s="51" t="n">
        <v>-19.995593</v>
      </c>
      <c r="M29" s="51" t="n">
        <v>-44.033977</v>
      </c>
      <c r="N29" s="51" t="n">
        <v>601057.560995887</v>
      </c>
      <c r="O29" s="51" t="n">
        <v>7788715.03611104</v>
      </c>
    </row>
    <row r="30" ht="28.5" customHeight="1">
      <c r="A30" s="51" t="s">
        <v>8479</v>
      </c>
      <c r="B30" s="51" t="s">
        <v>6755</v>
      </c>
      <c r="C30" s="51" t="s">
        <v>6754</v>
      </c>
      <c r="D30" s="51" t="s">
        <v>8480</v>
      </c>
      <c r="E30" s="51" t="s">
        <v>6756</v>
      </c>
      <c r="F30" s="51" t="s">
        <v>6757</v>
      </c>
      <c r="G30" s="51" t="s">
        <v>6647</v>
      </c>
      <c r="H30" s="51" t="s">
        <v>6758</v>
      </c>
      <c r="I30" s="51" t="s">
        <v>6759</v>
      </c>
      <c r="J30" s="51" t="s">
        <v>6760</v>
      </c>
      <c r="K30" s="51" t="s">
        <v>6761</v>
      </c>
      <c r="L30" s="51" t="n">
        <v>-19.91476</v>
      </c>
      <c r="M30" s="51" t="n">
        <v>-43.889319</v>
      </c>
      <c r="N30" s="51" t="n">
        <v>616251.079427216</v>
      </c>
      <c r="O30" s="51" t="n">
        <v>7797567.47135279</v>
      </c>
    </row>
    <row r="31" ht="28.5" customHeight="1">
      <c r="A31" s="51" t="s">
        <v>8481</v>
      </c>
      <c r="B31" s="51" t="s">
        <v>6755</v>
      </c>
      <c r="C31" s="51" t="s">
        <v>6754</v>
      </c>
      <c r="D31" s="51" t="s">
        <v>8482</v>
      </c>
      <c r="E31" s="51" t="s">
        <v>6756</v>
      </c>
      <c r="F31" s="51" t="s">
        <v>6757</v>
      </c>
      <c r="G31" s="51" t="s">
        <v>6647</v>
      </c>
      <c r="H31" s="51" t="s">
        <v>6758</v>
      </c>
      <c r="I31" s="51" t="s">
        <v>6759</v>
      </c>
      <c r="J31" s="51" t="s">
        <v>6760</v>
      </c>
      <c r="K31" s="51" t="s">
        <v>6761</v>
      </c>
      <c r="L31" s="51" t="n">
        <v>-19.91476</v>
      </c>
      <c r="M31" s="51" t="n">
        <v>-43.889319</v>
      </c>
      <c r="N31" s="51" t="n">
        <v>616251.079427216</v>
      </c>
      <c r="O31" s="51" t="n">
        <v>7797567.47135279</v>
      </c>
    </row>
    <row r="32" ht="28.5" customHeight="1">
      <c r="A32" s="51" t="s">
        <v>8483</v>
      </c>
      <c r="B32" s="51" t="s">
        <v>6763</v>
      </c>
      <c r="C32" s="51" t="s">
        <v>6762</v>
      </c>
      <c r="D32" s="51" t="s">
        <v>8484</v>
      </c>
      <c r="E32" s="51" t="s">
        <v>6764</v>
      </c>
      <c r="F32" s="51" t="s">
        <v>6765</v>
      </c>
      <c r="G32" s="51" t="s">
        <v>6583</v>
      </c>
      <c r="H32" s="51" t="s">
        <v>6766</v>
      </c>
      <c r="I32" s="51" t="s">
        <v>6767</v>
      </c>
      <c r="J32" s="51" t="s">
        <v>6768</v>
      </c>
      <c r="K32" s="51" t="s">
        <v>6769</v>
      </c>
      <c r="L32" s="51" t="n">
        <v>-19.9150327142487</v>
      </c>
      <c r="M32" s="51" t="n">
        <v>-43.9879809016013</v>
      </c>
      <c r="N32" s="51" t="n">
        <v>605923.432206628</v>
      </c>
      <c r="O32" s="51" t="n">
        <v>7797602.46020716</v>
      </c>
    </row>
    <row r="33" ht="28.5" customHeight="1">
      <c r="A33" s="51" t="s">
        <v>8485</v>
      </c>
      <c r="B33" s="51" t="s">
        <v>6763</v>
      </c>
      <c r="C33" s="51" t="s">
        <v>6762</v>
      </c>
      <c r="D33" s="51" t="s">
        <v>8486</v>
      </c>
      <c r="E33" s="51" t="s">
        <v>6764</v>
      </c>
      <c r="F33" s="51" t="s">
        <v>6765</v>
      </c>
      <c r="G33" s="51" t="s">
        <v>6583</v>
      </c>
      <c r="H33" s="51" t="s">
        <v>6766</v>
      </c>
      <c r="I33" s="51" t="s">
        <v>6767</v>
      </c>
      <c r="J33" s="51" t="s">
        <v>6768</v>
      </c>
      <c r="K33" s="51" t="s">
        <v>6769</v>
      </c>
      <c r="L33" s="51" t="n">
        <v>-19.9150327142487</v>
      </c>
      <c r="M33" s="51" t="n">
        <v>-43.9879809016013</v>
      </c>
      <c r="N33" s="51" t="n">
        <v>605923.432206628</v>
      </c>
      <c r="O33" s="51" t="n">
        <v>7797602.46020716</v>
      </c>
    </row>
    <row r="34" ht="28.5" customHeight="1">
      <c r="A34" s="51" t="s">
        <v>8487</v>
      </c>
      <c r="B34" s="51" t="s">
        <v>6771</v>
      </c>
      <c r="C34" s="51" t="s">
        <v>6770</v>
      </c>
      <c r="D34" s="51" t="s">
        <v>8488</v>
      </c>
      <c r="E34" s="51" t="s">
        <v>6772</v>
      </c>
      <c r="F34" s="51" t="s">
        <v>6773</v>
      </c>
      <c r="G34" s="51" t="s">
        <v>6627</v>
      </c>
      <c r="H34" s="51" t="s">
        <v>6628</v>
      </c>
      <c r="I34" s="51" t="s">
        <v>6774</v>
      </c>
      <c r="J34" s="51" t="s">
        <v>6775</v>
      </c>
      <c r="K34" s="51" t="s">
        <v>6776</v>
      </c>
      <c r="L34" s="51" t="n">
        <v>-19.944784</v>
      </c>
      <c r="M34" s="51" t="n">
        <v>-43.985349</v>
      </c>
      <c r="N34" s="51" t="n">
        <v>606179.045497902</v>
      </c>
      <c r="O34" s="51" t="n">
        <v>7794308.14986867</v>
      </c>
    </row>
    <row r="35" ht="28.5" customHeight="1">
      <c r="A35" s="51" t="s">
        <v>8489</v>
      </c>
      <c r="B35" s="51" t="s">
        <v>6771</v>
      </c>
      <c r="C35" s="51" t="s">
        <v>6770</v>
      </c>
      <c r="D35" s="51" t="s">
        <v>8490</v>
      </c>
      <c r="E35" s="51" t="s">
        <v>6772</v>
      </c>
      <c r="F35" s="51" t="s">
        <v>6773</v>
      </c>
      <c r="G35" s="51" t="s">
        <v>6627</v>
      </c>
      <c r="H35" s="51" t="s">
        <v>6628</v>
      </c>
      <c r="I35" s="51" t="s">
        <v>6774</v>
      </c>
      <c r="J35" s="51" t="s">
        <v>6775</v>
      </c>
      <c r="K35" s="51" t="s">
        <v>6776</v>
      </c>
      <c r="L35" s="51" t="n">
        <v>-19.944784</v>
      </c>
      <c r="M35" s="51" t="n">
        <v>-43.985349</v>
      </c>
      <c r="N35" s="51" t="n">
        <v>606179.045497902</v>
      </c>
      <c r="O35" s="51" t="n">
        <v>7794308.14986867</v>
      </c>
    </row>
    <row r="36" ht="28.5" customHeight="1">
      <c r="A36" s="51" t="s">
        <v>8491</v>
      </c>
      <c r="B36" s="51" t="s">
        <v>6778</v>
      </c>
      <c r="C36" s="51" t="s">
        <v>6777</v>
      </c>
      <c r="D36" s="51" t="s">
        <v>8492</v>
      </c>
      <c r="E36" s="51" t="s">
        <v>6779</v>
      </c>
      <c r="F36" s="51" t="s">
        <v>6696</v>
      </c>
      <c r="G36" s="51" t="s">
        <v>6689</v>
      </c>
      <c r="H36" s="51" t="s">
        <v>6690</v>
      </c>
      <c r="I36" s="51" t="s">
        <v>6780</v>
      </c>
      <c r="J36" s="51" t="s">
        <v>6781</v>
      </c>
      <c r="K36" s="51" t="s">
        <v>6782</v>
      </c>
      <c r="L36" s="51" t="n">
        <v>-20.009337</v>
      </c>
      <c r="M36" s="51" t="n">
        <v>-44.030256</v>
      </c>
      <c r="N36" s="51" t="n">
        <v>601438.043651857</v>
      </c>
      <c r="O36" s="51" t="n">
        <v>7787191.70761338</v>
      </c>
    </row>
    <row r="37" ht="28.5" customHeight="1">
      <c r="A37" s="51" t="s">
        <v>8493</v>
      </c>
      <c r="B37" s="51" t="s">
        <v>6778</v>
      </c>
      <c r="C37" s="51" t="s">
        <v>6777</v>
      </c>
      <c r="D37" s="51" t="s">
        <v>8494</v>
      </c>
      <c r="E37" s="51" t="s">
        <v>6779</v>
      </c>
      <c r="F37" s="51" t="s">
        <v>6696</v>
      </c>
      <c r="G37" s="51" t="s">
        <v>6689</v>
      </c>
      <c r="H37" s="51" t="s">
        <v>6690</v>
      </c>
      <c r="I37" s="51" t="s">
        <v>6780</v>
      </c>
      <c r="J37" s="51" t="s">
        <v>6781</v>
      </c>
      <c r="K37" s="51" t="s">
        <v>6782</v>
      </c>
      <c r="L37" s="51" t="n">
        <v>-20.009337</v>
      </c>
      <c r="M37" s="51" t="n">
        <v>-44.030256</v>
      </c>
      <c r="N37" s="51" t="n">
        <v>601438.043651857</v>
      </c>
      <c r="O37" s="51" t="n">
        <v>7787191.70761338</v>
      </c>
    </row>
    <row r="38" ht="28.5" customHeight="1">
      <c r="A38" s="51" t="s">
        <v>8495</v>
      </c>
      <c r="B38" s="51" t="s">
        <v>6784</v>
      </c>
      <c r="C38" s="51" t="s">
        <v>6783</v>
      </c>
      <c r="D38" s="51" t="s">
        <v>8496</v>
      </c>
      <c r="E38" s="51" t="s">
        <v>6785</v>
      </c>
      <c r="F38" s="51" t="s">
        <v>6786</v>
      </c>
      <c r="G38" s="51" t="s">
        <v>6647</v>
      </c>
      <c r="H38" s="51" t="s">
        <v>6648</v>
      </c>
      <c r="I38" s="51" t="s">
        <v>6787</v>
      </c>
      <c r="J38" s="51" t="s">
        <v>6788</v>
      </c>
      <c r="K38" s="51" t="s">
        <v>6789</v>
      </c>
      <c r="L38" s="51" t="n">
        <v>-19.899151</v>
      </c>
      <c r="M38" s="51" t="n">
        <v>-43.89782</v>
      </c>
      <c r="N38" s="51" t="n">
        <v>615372.541039571</v>
      </c>
      <c r="O38" s="51" t="n">
        <v>7799300.84643385</v>
      </c>
    </row>
    <row r="39" ht="28.5" customHeight="1">
      <c r="A39" s="51" t="s">
        <v>8497</v>
      </c>
      <c r="B39" s="51" t="s">
        <v>6791</v>
      </c>
      <c r="C39" s="51" t="s">
        <v>6790</v>
      </c>
      <c r="D39" s="51" t="s">
        <v>8498</v>
      </c>
      <c r="E39" s="51" t="s">
        <v>6792</v>
      </c>
      <c r="F39" s="51" t="s">
        <v>6793</v>
      </c>
      <c r="G39" s="51" t="s">
        <v>6794</v>
      </c>
      <c r="H39" s="51" t="s">
        <v>6795</v>
      </c>
      <c r="I39" s="51" t="s">
        <v>6796</v>
      </c>
      <c r="J39" s="51" t="s">
        <v>6797</v>
      </c>
      <c r="K39" s="51" t="s">
        <v>6798</v>
      </c>
      <c r="L39" s="51" t="n">
        <v>-19.886157</v>
      </c>
      <c r="M39" s="51" t="n">
        <v>-43.931165</v>
      </c>
      <c r="N39" s="51" t="n">
        <v>611890.908358128</v>
      </c>
      <c r="O39" s="51" t="n">
        <v>7800761.45155664</v>
      </c>
    </row>
    <row r="40" ht="28.5" customHeight="1">
      <c r="A40" s="51" t="s">
        <v>8499</v>
      </c>
      <c r="B40" s="51" t="s">
        <v>6791</v>
      </c>
      <c r="C40" s="51" t="s">
        <v>6790</v>
      </c>
      <c r="D40" s="51" t="s">
        <v>8500</v>
      </c>
      <c r="E40" s="51" t="s">
        <v>6792</v>
      </c>
      <c r="F40" s="51" t="s">
        <v>6793</v>
      </c>
      <c r="G40" s="51" t="s">
        <v>6794</v>
      </c>
      <c r="H40" s="51" t="s">
        <v>6795</v>
      </c>
      <c r="I40" s="51" t="s">
        <v>6796</v>
      </c>
      <c r="J40" s="51" t="s">
        <v>6797</v>
      </c>
      <c r="K40" s="51" t="s">
        <v>6798</v>
      </c>
      <c r="L40" s="51" t="n">
        <v>-19.886157</v>
      </c>
      <c r="M40" s="51" t="n">
        <v>-43.931165</v>
      </c>
      <c r="N40" s="51" t="n">
        <v>611890.908358128</v>
      </c>
      <c r="O40" s="51" t="n">
        <v>7800761.45155664</v>
      </c>
    </row>
    <row r="41" ht="28.5" customHeight="1">
      <c r="A41" s="51" t="s">
        <v>8501</v>
      </c>
      <c r="B41" s="51" t="s">
        <v>6800</v>
      </c>
      <c r="C41" s="51" t="s">
        <v>6799</v>
      </c>
      <c r="D41" s="51" t="s">
        <v>8502</v>
      </c>
      <c r="E41" s="51" t="s">
        <v>6801</v>
      </c>
      <c r="F41" s="51" t="s">
        <v>6802</v>
      </c>
      <c r="G41" s="51" t="s">
        <v>6660</v>
      </c>
      <c r="H41" s="51" t="s">
        <v>6803</v>
      </c>
      <c r="I41" s="51" t="s">
        <v>6804</v>
      </c>
      <c r="J41" s="51" t="s">
        <v>6805</v>
      </c>
      <c r="K41" s="51" t="s">
        <v>6806</v>
      </c>
      <c r="L41" s="51" t="n">
        <v>-19.9358291953882</v>
      </c>
      <c r="M41" s="51" t="n">
        <v>-43.9020488344167</v>
      </c>
      <c r="N41" s="51" t="n">
        <v>614903.335389076</v>
      </c>
      <c r="O41" s="51" t="n">
        <v>7795244.39196035</v>
      </c>
    </row>
    <row r="42" ht="28.5" customHeight="1">
      <c r="A42" s="51" t="s">
        <v>8503</v>
      </c>
      <c r="B42" s="51" t="s">
        <v>6808</v>
      </c>
      <c r="C42" s="51" t="s">
        <v>6807</v>
      </c>
      <c r="D42" s="51" t="s">
        <v>8504</v>
      </c>
      <c r="E42" s="51" t="s">
        <v>6809</v>
      </c>
      <c r="F42" s="51" t="s">
        <v>6810</v>
      </c>
      <c r="G42" s="51" t="s">
        <v>6660</v>
      </c>
      <c r="H42" s="51" t="s">
        <v>6803</v>
      </c>
      <c r="I42" s="51" t="s">
        <v>6811</v>
      </c>
      <c r="J42" s="51" t="s">
        <v>6630</v>
      </c>
      <c r="K42" s="51" t="s">
        <v>6812</v>
      </c>
      <c r="L42" s="51" t="n">
        <v>-19.943971</v>
      </c>
      <c r="M42" s="51" t="n">
        <v>-43.90923</v>
      </c>
      <c r="N42" s="51" t="n">
        <v>614145.887044146</v>
      </c>
      <c r="O42" s="51" t="n">
        <v>7794348.1951641</v>
      </c>
    </row>
    <row r="43" ht="42.75" customHeight="1">
      <c r="A43" s="51" t="s">
        <v>8505</v>
      </c>
      <c r="B43" s="51" t="s">
        <v>6814</v>
      </c>
      <c r="C43" s="51" t="s">
        <v>6813</v>
      </c>
      <c r="D43" s="51" t="s">
        <v>8506</v>
      </c>
      <c r="E43" s="51" t="s">
        <v>6815</v>
      </c>
      <c r="F43" s="51" t="s">
        <v>6816</v>
      </c>
      <c r="G43" s="51" t="s">
        <v>6722</v>
      </c>
      <c r="H43" s="51" t="s">
        <v>6817</v>
      </c>
      <c r="I43" s="51" t="s">
        <v>6818</v>
      </c>
      <c r="J43" s="51" t="s">
        <v>6819</v>
      </c>
      <c r="K43" s="51"/>
      <c r="L43" s="51" t="n">
        <v>-19.846976</v>
      </c>
      <c r="M43" s="51" t="n">
        <v>-43.944703</v>
      </c>
      <c r="N43" s="51" t="n">
        <v>610500.703541993</v>
      </c>
      <c r="O43" s="51" t="n">
        <v>7805106.66348712</v>
      </c>
    </row>
    <row r="44" ht="42.75" customHeight="1">
      <c r="A44" s="51" t="s">
        <v>8507</v>
      </c>
      <c r="B44" s="51" t="s">
        <v>6814</v>
      </c>
      <c r="C44" s="51" t="s">
        <v>6813</v>
      </c>
      <c r="D44" s="51" t="s">
        <v>8508</v>
      </c>
      <c r="E44" s="51" t="s">
        <v>6815</v>
      </c>
      <c r="F44" s="51" t="s">
        <v>6816</v>
      </c>
      <c r="G44" s="51" t="s">
        <v>6722</v>
      </c>
      <c r="H44" s="51" t="s">
        <v>6817</v>
      </c>
      <c r="I44" s="51" t="s">
        <v>6818</v>
      </c>
      <c r="J44" s="51" t="s">
        <v>6819</v>
      </c>
      <c r="K44" s="51"/>
      <c r="L44" s="51" t="n">
        <v>-19.846976</v>
      </c>
      <c r="M44" s="51" t="n">
        <v>-43.944703</v>
      </c>
      <c r="N44" s="51" t="n">
        <v>610500.703541993</v>
      </c>
      <c r="O44" s="51" t="n">
        <v>7805106.66348712</v>
      </c>
    </row>
    <row r="45" ht="28.5" customHeight="1">
      <c r="A45" s="51" t="s">
        <v>8509</v>
      </c>
      <c r="B45" s="51" t="s">
        <v>6821</v>
      </c>
      <c r="C45" s="51" t="s">
        <v>6820</v>
      </c>
      <c r="D45" s="51" t="s">
        <v>8510</v>
      </c>
      <c r="E45" s="51" t="s">
        <v>6822</v>
      </c>
      <c r="F45" s="51" t="s">
        <v>6823</v>
      </c>
      <c r="G45" s="51" t="s">
        <v>6647</v>
      </c>
      <c r="H45" s="51" t="s">
        <v>6824</v>
      </c>
      <c r="I45" s="51" t="s">
        <v>6825</v>
      </c>
      <c r="J45" s="51" t="s">
        <v>6826</v>
      </c>
      <c r="K45" s="51" t="s">
        <v>6827</v>
      </c>
      <c r="L45" s="51" t="n">
        <v>-19.9135937180949</v>
      </c>
      <c r="M45" s="51" t="n">
        <v>-43.92060390072</v>
      </c>
      <c r="N45" s="51" t="n">
        <v>612977.123220764</v>
      </c>
      <c r="O45" s="51" t="n">
        <v>7797717.86997611</v>
      </c>
    </row>
    <row r="46" ht="28.5" customHeight="1">
      <c r="A46" s="51" t="s">
        <v>8511</v>
      </c>
      <c r="B46" s="51" t="s">
        <v>6829</v>
      </c>
      <c r="C46" s="51" t="s">
        <v>6828</v>
      </c>
      <c r="D46" s="51" t="s">
        <v>8512</v>
      </c>
      <c r="E46" s="51" t="s">
        <v>6830</v>
      </c>
      <c r="F46" s="51" t="s">
        <v>6582</v>
      </c>
      <c r="G46" s="51" t="s">
        <v>6583</v>
      </c>
      <c r="H46" s="51" t="s">
        <v>6584</v>
      </c>
      <c r="I46" s="51" t="s">
        <v>6831</v>
      </c>
      <c r="J46" s="51" t="s">
        <v>6832</v>
      </c>
      <c r="K46" s="51"/>
      <c r="L46" s="51" t="n">
        <v>-19.912288</v>
      </c>
      <c r="M46" s="51" t="n">
        <v>-43.974026</v>
      </c>
      <c r="N46" s="51" t="n">
        <v>607386.001007346</v>
      </c>
      <c r="O46" s="51" t="n">
        <v>7797897.37506493</v>
      </c>
    </row>
    <row r="47" ht="28.5" customHeight="1">
      <c r="A47" s="51" t="s">
        <v>8513</v>
      </c>
      <c r="B47" s="51" t="s">
        <v>6834</v>
      </c>
      <c r="C47" s="51" t="s">
        <v>6833</v>
      </c>
      <c r="D47" s="51" t="s">
        <v>8514</v>
      </c>
      <c r="E47" s="51" t="s">
        <v>6835</v>
      </c>
      <c r="F47" s="51" t="s">
        <v>6836</v>
      </c>
      <c r="G47" s="51" t="s">
        <v>6636</v>
      </c>
      <c r="H47" s="51" t="s">
        <v>6837</v>
      </c>
      <c r="I47" s="51" t="s">
        <v>6838</v>
      </c>
      <c r="J47" s="51" t="s">
        <v>6839</v>
      </c>
      <c r="K47" s="51" t="s">
        <v>6840</v>
      </c>
      <c r="L47" s="51" t="n">
        <v>-19.8210991468828</v>
      </c>
      <c r="M47" s="51" t="n">
        <v>-43.9652110332285</v>
      </c>
      <c r="N47" s="51" t="n">
        <v>608370.665075777</v>
      </c>
      <c r="O47" s="51" t="n">
        <v>7807983.80515501</v>
      </c>
    </row>
    <row r="48" ht="28.5" customHeight="1">
      <c r="A48" s="51" t="s">
        <v>8515</v>
      </c>
      <c r="B48" s="51" t="s">
        <v>6842</v>
      </c>
      <c r="C48" s="51" t="s">
        <v>6841</v>
      </c>
      <c r="D48" s="51" t="s">
        <v>8516</v>
      </c>
      <c r="E48" s="51" t="s">
        <v>6843</v>
      </c>
      <c r="F48" s="51" t="s">
        <v>6844</v>
      </c>
      <c r="G48" s="51" t="s">
        <v>6660</v>
      </c>
      <c r="H48" s="51" t="s">
        <v>6845</v>
      </c>
      <c r="I48" s="51" t="s">
        <v>6846</v>
      </c>
      <c r="J48" s="51" t="s">
        <v>6847</v>
      </c>
      <c r="K48" s="51"/>
      <c r="L48" s="51" t="n">
        <v>-19.9342659628409</v>
      </c>
      <c r="M48" s="51" t="n">
        <v>-43.9048487895253</v>
      </c>
      <c r="N48" s="51" t="n">
        <v>614611.413122265</v>
      </c>
      <c r="O48" s="51" t="n">
        <v>7795419.31499857</v>
      </c>
    </row>
    <row r="49" ht="28.5" customHeight="1">
      <c r="A49" s="51" t="s">
        <v>8517</v>
      </c>
      <c r="B49" s="51" t="s">
        <v>6849</v>
      </c>
      <c r="C49" s="51" t="s">
        <v>6848</v>
      </c>
      <c r="D49" s="51" t="s">
        <v>8518</v>
      </c>
      <c r="E49" s="51" t="s">
        <v>6850</v>
      </c>
      <c r="F49" s="51" t="s">
        <v>6844</v>
      </c>
      <c r="G49" s="51" t="s">
        <v>6660</v>
      </c>
      <c r="H49" s="51" t="s">
        <v>6845</v>
      </c>
      <c r="I49" s="51" t="s">
        <v>6851</v>
      </c>
      <c r="J49" s="51" t="s">
        <v>6852</v>
      </c>
      <c r="K49" s="51"/>
      <c r="L49" s="51" t="n">
        <v>-19.938719</v>
      </c>
      <c r="M49" s="51" t="n">
        <v>-43.911972</v>
      </c>
      <c r="N49" s="51" t="n">
        <v>613862.683148885</v>
      </c>
      <c r="O49" s="51" t="n">
        <v>7794931.32003017</v>
      </c>
    </row>
    <row r="50" ht="28.5" customHeight="1">
      <c r="A50" s="51" t="s">
        <v>8519</v>
      </c>
      <c r="B50" s="51" t="s">
        <v>6854</v>
      </c>
      <c r="C50" s="51" t="s">
        <v>6853</v>
      </c>
      <c r="D50" s="51" t="s">
        <v>8520</v>
      </c>
      <c r="E50" s="51" t="s">
        <v>6855</v>
      </c>
      <c r="F50" s="51" t="s">
        <v>6856</v>
      </c>
      <c r="G50" s="51" t="s">
        <v>6689</v>
      </c>
      <c r="H50" s="51" t="s">
        <v>6857</v>
      </c>
      <c r="I50" s="51" t="s">
        <v>6858</v>
      </c>
      <c r="J50" s="51" t="s">
        <v>6859</v>
      </c>
      <c r="K50" s="51" t="s">
        <v>6860</v>
      </c>
      <c r="L50" s="51" t="n">
        <v>-19.997534</v>
      </c>
      <c r="M50" s="51" t="n">
        <v>-44.005737</v>
      </c>
      <c r="N50" s="51" t="n">
        <v>604010.753422214</v>
      </c>
      <c r="O50" s="51" t="n">
        <v>7788482.93598698</v>
      </c>
    </row>
    <row r="51" ht="28.5" customHeight="1">
      <c r="A51" s="51" t="s">
        <v>8521</v>
      </c>
      <c r="B51" s="51" t="s">
        <v>6862</v>
      </c>
      <c r="C51" s="51" t="s">
        <v>6861</v>
      </c>
      <c r="D51" s="51" t="s">
        <v>8522</v>
      </c>
      <c r="E51" s="51" t="s">
        <v>6863</v>
      </c>
      <c r="F51" s="51" t="s">
        <v>6864</v>
      </c>
      <c r="G51" s="51" t="s">
        <v>6627</v>
      </c>
      <c r="H51" s="51" t="s">
        <v>6628</v>
      </c>
      <c r="I51" s="51" t="s">
        <v>6865</v>
      </c>
      <c r="J51" s="51" t="s">
        <v>6866</v>
      </c>
      <c r="K51" s="51" t="s">
        <v>6867</v>
      </c>
      <c r="L51" s="51" t="n">
        <v>-19.942341719004</v>
      </c>
      <c r="M51" s="51" t="n">
        <v>-43.9627538639479</v>
      </c>
      <c r="N51" s="51" t="n">
        <v>608545.4</v>
      </c>
      <c r="O51" s="51" t="n">
        <v>7794564</v>
      </c>
    </row>
    <row r="52" ht="42.75" customHeight="1">
      <c r="A52" s="51" t="s">
        <v>8523</v>
      </c>
      <c r="B52" s="51" t="s">
        <v>6869</v>
      </c>
      <c r="C52" s="51" t="s">
        <v>6868</v>
      </c>
      <c r="D52" s="51" t="s">
        <v>8524</v>
      </c>
      <c r="E52" s="51" t="s">
        <v>6870</v>
      </c>
      <c r="F52" s="51" t="s">
        <v>6659</v>
      </c>
      <c r="G52" s="51" t="s">
        <v>6660</v>
      </c>
      <c r="H52" s="51" t="s">
        <v>6661</v>
      </c>
      <c r="I52" s="51" t="s">
        <v>6871</v>
      </c>
      <c r="J52" s="51" t="s">
        <v>6872</v>
      </c>
      <c r="K52" s="51" t="s">
        <v>6873</v>
      </c>
      <c r="L52" s="51" t="n">
        <v>-19.925428</v>
      </c>
      <c r="M52" s="51" t="n">
        <v>-43.932015</v>
      </c>
      <c r="N52" s="51" t="n">
        <v>611774.331814182</v>
      </c>
      <c r="O52" s="51" t="n">
        <v>7796415.74909983</v>
      </c>
    </row>
    <row r="53" ht="28.5" customHeight="1">
      <c r="A53" s="51" t="s">
        <v>8525</v>
      </c>
      <c r="B53" s="51" t="s">
        <v>6875</v>
      </c>
      <c r="C53" s="51" t="s">
        <v>6874</v>
      </c>
      <c r="D53" s="51" t="s">
        <v>8526</v>
      </c>
      <c r="E53" s="51" t="s">
        <v>6876</v>
      </c>
      <c r="F53" s="51" t="s">
        <v>6877</v>
      </c>
      <c r="G53" s="51" t="s">
        <v>6794</v>
      </c>
      <c r="H53" s="51" t="s">
        <v>6878</v>
      </c>
      <c r="I53" s="51" t="s">
        <v>6879</v>
      </c>
      <c r="J53" s="51" t="s">
        <v>6880</v>
      </c>
      <c r="K53" s="51" t="s">
        <v>6881</v>
      </c>
      <c r="L53" s="51" t="n">
        <v>-19.8672450249402</v>
      </c>
      <c r="M53" s="51" t="n">
        <v>-43.9252185700622</v>
      </c>
      <c r="N53" s="51" t="n">
        <v>612526.816999137</v>
      </c>
      <c r="O53" s="51" t="n">
        <v>7802850.54499963</v>
      </c>
    </row>
    <row r="54" ht="28.5" customHeight="1">
      <c r="A54" s="51" t="s">
        <v>8527</v>
      </c>
      <c r="B54" s="51" t="s">
        <v>6883</v>
      </c>
      <c r="C54" s="51" t="s">
        <v>6882</v>
      </c>
      <c r="D54" s="51" t="s">
        <v>8528</v>
      </c>
      <c r="E54" s="51" t="s">
        <v>6884</v>
      </c>
      <c r="F54" s="51" t="s">
        <v>6885</v>
      </c>
      <c r="G54" s="51" t="s">
        <v>6583</v>
      </c>
      <c r="H54" s="51" t="s">
        <v>6744</v>
      </c>
      <c r="I54" s="51" t="s">
        <v>6886</v>
      </c>
      <c r="J54" s="51" t="s">
        <v>6887</v>
      </c>
      <c r="K54" s="51" t="s">
        <v>6888</v>
      </c>
      <c r="L54" s="51" t="n">
        <v>-19.904637</v>
      </c>
      <c r="M54" s="51" t="n">
        <v>-43.945004</v>
      </c>
      <c r="N54" s="51" t="n">
        <v>610429.229089874</v>
      </c>
      <c r="O54" s="51" t="n">
        <v>7798725.34568792</v>
      </c>
    </row>
    <row r="55" ht="28.5" customHeight="1">
      <c r="A55" s="51" t="s">
        <v>8529</v>
      </c>
      <c r="B55" s="51" t="s">
        <v>6890</v>
      </c>
      <c r="C55" s="51" t="s">
        <v>6889</v>
      </c>
      <c r="D55" s="51" t="s">
        <v>8530</v>
      </c>
      <c r="E55" s="51" t="s">
        <v>6891</v>
      </c>
      <c r="F55" s="51" t="s">
        <v>6892</v>
      </c>
      <c r="G55" s="51" t="s">
        <v>6636</v>
      </c>
      <c r="H55" s="51" t="s">
        <v>6837</v>
      </c>
      <c r="I55" s="51" t="s">
        <v>6893</v>
      </c>
      <c r="J55" s="51" t="s">
        <v>6894</v>
      </c>
      <c r="K55" s="51" t="s">
        <v>6895</v>
      </c>
      <c r="L55" s="51" t="n">
        <v>-19.8174392817049</v>
      </c>
      <c r="M55" s="51" t="n">
        <v>-43.973837175169</v>
      </c>
      <c r="N55" s="51" t="n">
        <v>607469.657088748</v>
      </c>
      <c r="O55" s="51" t="n">
        <v>7808394.35840612</v>
      </c>
    </row>
    <row r="56" ht="28.5" customHeight="1">
      <c r="A56" s="51" t="s">
        <v>8531</v>
      </c>
      <c r="B56" s="51" t="s">
        <v>6897</v>
      </c>
      <c r="C56" s="51" t="s">
        <v>6896</v>
      </c>
      <c r="D56" s="51" t="s">
        <v>8532</v>
      </c>
      <c r="E56" s="51" t="s">
        <v>6898</v>
      </c>
      <c r="F56" s="51" t="s">
        <v>6899</v>
      </c>
      <c r="G56" s="51" t="s">
        <v>6794</v>
      </c>
      <c r="H56" s="51" t="s">
        <v>6900</v>
      </c>
      <c r="I56" s="51" t="s">
        <v>6901</v>
      </c>
      <c r="J56" s="51" t="s">
        <v>6902</v>
      </c>
      <c r="K56" s="51" t="s">
        <v>6903</v>
      </c>
      <c r="L56" s="51" t="n">
        <v>-19.895168</v>
      </c>
      <c r="M56" s="51" t="n">
        <v>-43.93748</v>
      </c>
      <c r="N56" s="51" t="n">
        <v>611223.471380695</v>
      </c>
      <c r="O56" s="51" t="n">
        <v>7799768.35716982</v>
      </c>
    </row>
    <row r="57" ht="28.5" customHeight="1">
      <c r="A57" s="51" t="s">
        <v>8533</v>
      </c>
      <c r="B57" s="51" t="s">
        <v>6905</v>
      </c>
      <c r="C57" s="51" t="s">
        <v>6904</v>
      </c>
      <c r="D57" s="51" t="s">
        <v>8534</v>
      </c>
      <c r="E57" s="51" t="s">
        <v>6906</v>
      </c>
      <c r="F57" s="51" t="s">
        <v>6757</v>
      </c>
      <c r="G57" s="51" t="s">
        <v>6647</v>
      </c>
      <c r="H57" s="51" t="s">
        <v>6758</v>
      </c>
      <c r="I57" s="51" t="s">
        <v>6907</v>
      </c>
      <c r="J57" s="51" t="s">
        <v>6908</v>
      </c>
      <c r="K57" s="51" t="s">
        <v>6909</v>
      </c>
      <c r="L57" s="51" t="n">
        <v>-19.910578</v>
      </c>
      <c r="M57" s="51" t="n">
        <v>-43.889509</v>
      </c>
      <c r="N57" s="51" t="n">
        <v>616234.246562631</v>
      </c>
      <c r="O57" s="51" t="n">
        <v>7798030.44549926</v>
      </c>
    </row>
    <row r="58" ht="28.5" customHeight="1">
      <c r="A58" s="51" t="s">
        <v>8535</v>
      </c>
      <c r="B58" s="51" t="s">
        <v>6905</v>
      </c>
      <c r="C58" s="51" t="s">
        <v>6904</v>
      </c>
      <c r="D58" s="51" t="s">
        <v>8536</v>
      </c>
      <c r="E58" s="51" t="s">
        <v>6906</v>
      </c>
      <c r="F58" s="51" t="s">
        <v>6757</v>
      </c>
      <c r="G58" s="51" t="s">
        <v>6647</v>
      </c>
      <c r="H58" s="51" t="s">
        <v>6758</v>
      </c>
      <c r="I58" s="51" t="s">
        <v>6907</v>
      </c>
      <c r="J58" s="51" t="s">
        <v>6908</v>
      </c>
      <c r="K58" s="51" t="s">
        <v>6909</v>
      </c>
      <c r="L58" s="51" t="n">
        <v>-19.910578</v>
      </c>
      <c r="M58" s="51" t="n">
        <v>-43.889509</v>
      </c>
      <c r="N58" s="51" t="n">
        <v>616234.246562631</v>
      </c>
      <c r="O58" s="51" t="n">
        <v>7798030.44549926</v>
      </c>
    </row>
    <row r="59">
      <c r="A59" s="51" t="s">
        <v>8537</v>
      </c>
      <c r="B59" s="51" t="s">
        <v>6911</v>
      </c>
      <c r="C59" s="51" t="s">
        <v>6910</v>
      </c>
      <c r="D59" s="51" t="s">
        <v>8538</v>
      </c>
      <c r="E59" s="51" t="s">
        <v>6912</v>
      </c>
      <c r="F59" s="51" t="s">
        <v>6913</v>
      </c>
      <c r="G59" s="51" t="s">
        <v>6627</v>
      </c>
      <c r="H59" s="51" t="s">
        <v>6681</v>
      </c>
      <c r="I59" s="51" t="s">
        <v>6914</v>
      </c>
      <c r="J59" s="51" t="s">
        <v>6915</v>
      </c>
      <c r="K59" s="51"/>
      <c r="L59" s="51" t="n">
        <v>-19.9620441760786</v>
      </c>
      <c r="M59" s="51" t="n">
        <v>-43.9886459283307</v>
      </c>
      <c r="N59" s="51" t="n">
        <v>605822.5</v>
      </c>
      <c r="O59" s="51" t="n">
        <v>7792400</v>
      </c>
    </row>
    <row r="60" ht="28.5" customHeight="1">
      <c r="A60" s="51" t="s">
        <v>8539</v>
      </c>
      <c r="B60" s="51" t="s">
        <v>6917</v>
      </c>
      <c r="C60" s="51" t="s">
        <v>6916</v>
      </c>
      <c r="D60" s="51" t="s">
        <v>8540</v>
      </c>
      <c r="E60" s="51" t="s">
        <v>6918</v>
      </c>
      <c r="F60" s="51" t="s">
        <v>6919</v>
      </c>
      <c r="G60" s="51" t="s">
        <v>6647</v>
      </c>
      <c r="H60" s="51" t="s">
        <v>6648</v>
      </c>
      <c r="I60" s="51" t="s">
        <v>6920</v>
      </c>
      <c r="J60" s="51" t="s">
        <v>6921</v>
      </c>
      <c r="K60" s="51" t="s">
        <v>6922</v>
      </c>
      <c r="L60" s="51" t="n">
        <v>-19.8923351093672</v>
      </c>
      <c r="M60" s="51" t="n">
        <v>-43.8970224533736</v>
      </c>
      <c r="N60" s="51" t="n">
        <v>615460.97600801</v>
      </c>
      <c r="O60" s="51" t="n">
        <v>7800054.64528492</v>
      </c>
    </row>
    <row r="61" ht="28.5" customHeight="1">
      <c r="A61" s="51" t="s">
        <v>8541</v>
      </c>
      <c r="B61" s="51" t="s">
        <v>6924</v>
      </c>
      <c r="C61" s="51" t="s">
        <v>6923</v>
      </c>
      <c r="D61" s="51" t="s">
        <v>8542</v>
      </c>
      <c r="E61" s="51" t="s">
        <v>6925</v>
      </c>
      <c r="F61" s="51" t="s">
        <v>6926</v>
      </c>
      <c r="G61" s="51" t="s">
        <v>6627</v>
      </c>
      <c r="H61" s="51" t="s">
        <v>6927</v>
      </c>
      <c r="I61" s="51" t="s">
        <v>6928</v>
      </c>
      <c r="J61" s="51" t="s">
        <v>6929</v>
      </c>
      <c r="K61" s="51" t="s">
        <v>6930</v>
      </c>
      <c r="L61" s="51" t="n">
        <v>-19.9442619996108</v>
      </c>
      <c r="M61" s="51" t="n">
        <v>-43.9973083191755</v>
      </c>
      <c r="N61" s="51" t="n">
        <v>604927.797641245</v>
      </c>
      <c r="O61" s="51" t="n">
        <v>7794373.43775553</v>
      </c>
    </row>
    <row r="62" ht="28.5" customHeight="1">
      <c r="A62" s="51" t="s">
        <v>8543</v>
      </c>
      <c r="B62" s="51" t="s">
        <v>6924</v>
      </c>
      <c r="C62" s="51" t="s">
        <v>6923</v>
      </c>
      <c r="D62" s="51" t="s">
        <v>8544</v>
      </c>
      <c r="E62" s="51" t="s">
        <v>6925</v>
      </c>
      <c r="F62" s="51" t="s">
        <v>6926</v>
      </c>
      <c r="G62" s="51" t="s">
        <v>6627</v>
      </c>
      <c r="H62" s="51" t="s">
        <v>6927</v>
      </c>
      <c r="I62" s="51" t="s">
        <v>6928</v>
      </c>
      <c r="J62" s="51" t="s">
        <v>6929</v>
      </c>
      <c r="K62" s="51" t="s">
        <v>6930</v>
      </c>
      <c r="L62" s="51" t="n">
        <v>-19.9442619996108</v>
      </c>
      <c r="M62" s="51" t="n">
        <v>-43.9973083191755</v>
      </c>
      <c r="N62" s="51" t="n">
        <v>604927.797641245</v>
      </c>
      <c r="O62" s="51" t="n">
        <v>7794373.43775553</v>
      </c>
    </row>
    <row r="63" ht="28.5" customHeight="1">
      <c r="A63" s="51" t="s">
        <v>8545</v>
      </c>
      <c r="B63" s="51" t="s">
        <v>6924</v>
      </c>
      <c r="C63" s="51" t="s">
        <v>6923</v>
      </c>
      <c r="D63" s="51" t="s">
        <v>8546</v>
      </c>
      <c r="E63" s="51" t="s">
        <v>6925</v>
      </c>
      <c r="F63" s="51" t="s">
        <v>6926</v>
      </c>
      <c r="G63" s="51" t="s">
        <v>6627</v>
      </c>
      <c r="H63" s="51" t="s">
        <v>6927</v>
      </c>
      <c r="I63" s="51" t="s">
        <v>6928</v>
      </c>
      <c r="J63" s="51" t="s">
        <v>6929</v>
      </c>
      <c r="K63" s="51" t="s">
        <v>6930</v>
      </c>
      <c r="L63" s="51" t="n">
        <v>-19.9442619996108</v>
      </c>
      <c r="M63" s="51" t="n">
        <v>-43.9973083191755</v>
      </c>
      <c r="N63" s="51" t="n">
        <v>604927.797641245</v>
      </c>
      <c r="O63" s="51" t="n">
        <v>7794373.43775553</v>
      </c>
    </row>
    <row r="64" ht="28.5" customHeight="1">
      <c r="A64" s="51" t="s">
        <v>8547</v>
      </c>
      <c r="B64" s="51" t="s">
        <v>6932</v>
      </c>
      <c r="C64" s="51" t="s">
        <v>6931</v>
      </c>
      <c r="D64" s="51" t="s">
        <v>8548</v>
      </c>
      <c r="E64" s="51" t="s">
        <v>6933</v>
      </c>
      <c r="F64" s="51" t="s">
        <v>6934</v>
      </c>
      <c r="G64" s="51" t="s">
        <v>6794</v>
      </c>
      <c r="H64" s="51" t="s">
        <v>6900</v>
      </c>
      <c r="I64" s="51" t="s">
        <v>6935</v>
      </c>
      <c r="J64" s="51" t="s">
        <v>6866</v>
      </c>
      <c r="K64" s="51" t="s">
        <v>6936</v>
      </c>
      <c r="L64" s="51" t="n">
        <v>-19.893364</v>
      </c>
      <c r="M64" s="51" t="n">
        <v>-43.944802</v>
      </c>
      <c r="N64" s="51" t="n">
        <v>610458.196241076</v>
      </c>
      <c r="O64" s="51" t="n">
        <v>7799972.83284168</v>
      </c>
    </row>
    <row r="65" ht="28.5" customHeight="1">
      <c r="A65" s="51" t="s">
        <v>8549</v>
      </c>
      <c r="B65" s="51" t="s">
        <v>6932</v>
      </c>
      <c r="C65" s="51" t="s">
        <v>6931</v>
      </c>
      <c r="D65" s="51" t="s">
        <v>8550</v>
      </c>
      <c r="E65" s="51" t="s">
        <v>6933</v>
      </c>
      <c r="F65" s="51" t="s">
        <v>6934</v>
      </c>
      <c r="G65" s="51" t="s">
        <v>6794</v>
      </c>
      <c r="H65" s="51" t="s">
        <v>6900</v>
      </c>
      <c r="I65" s="51" t="s">
        <v>6935</v>
      </c>
      <c r="J65" s="51" t="s">
        <v>6866</v>
      </c>
      <c r="K65" s="51" t="s">
        <v>6936</v>
      </c>
      <c r="L65" s="51" t="n">
        <v>-19.893364</v>
      </c>
      <c r="M65" s="51" t="n">
        <v>-43.944802</v>
      </c>
      <c r="N65" s="51" t="n">
        <v>610458.196241076</v>
      </c>
      <c r="O65" s="51" t="n">
        <v>7799972.83284168</v>
      </c>
    </row>
    <row r="66" ht="28.5" customHeight="1">
      <c r="A66" s="51" t="s">
        <v>8551</v>
      </c>
      <c r="B66" s="51" t="s">
        <v>6938</v>
      </c>
      <c r="C66" s="51" t="s">
        <v>6937</v>
      </c>
      <c r="D66" s="51" t="s">
        <v>8552</v>
      </c>
      <c r="E66" s="51" t="s">
        <v>6939</v>
      </c>
      <c r="F66" s="51" t="s">
        <v>6844</v>
      </c>
      <c r="G66" s="51" t="s">
        <v>6660</v>
      </c>
      <c r="H66" s="51" t="s">
        <v>6845</v>
      </c>
      <c r="I66" s="51" t="s">
        <v>6940</v>
      </c>
      <c r="J66" s="51" t="s">
        <v>6941</v>
      </c>
      <c r="K66" s="51" t="s">
        <v>6942</v>
      </c>
      <c r="L66" s="51" t="n">
        <v>-19.936282</v>
      </c>
      <c r="M66" s="51" t="n">
        <v>-43.911029</v>
      </c>
      <c r="N66" s="51" t="n">
        <v>613963.125985861</v>
      </c>
      <c r="O66" s="51" t="n">
        <v>7795200.39473037</v>
      </c>
    </row>
    <row r="67" ht="28.5" customHeight="1">
      <c r="A67" s="51" t="s">
        <v>8553</v>
      </c>
      <c r="B67" s="51" t="s">
        <v>6944</v>
      </c>
      <c r="C67" s="51" t="s">
        <v>6943</v>
      </c>
      <c r="D67" s="51" t="s">
        <v>8554</v>
      </c>
      <c r="E67" s="51" t="s">
        <v>6945</v>
      </c>
      <c r="F67" s="51" t="s">
        <v>6946</v>
      </c>
      <c r="G67" s="51" t="s">
        <v>6583</v>
      </c>
      <c r="H67" s="51" t="s">
        <v>6591</v>
      </c>
      <c r="I67" s="51" t="s">
        <v>6947</v>
      </c>
      <c r="J67" s="51" t="s">
        <v>6948</v>
      </c>
      <c r="K67" s="51" t="s">
        <v>6949</v>
      </c>
      <c r="L67" s="51" t="n">
        <v>-19.9223262758621</v>
      </c>
      <c r="M67" s="51" t="n">
        <v>-44.0102449655172</v>
      </c>
      <c r="N67" s="51" t="n">
        <v>603588.221794225</v>
      </c>
      <c r="O67" s="51" t="n">
        <v>7796809.13733128</v>
      </c>
    </row>
    <row r="68" ht="28.5" customHeight="1">
      <c r="A68" s="51" t="s">
        <v>8555</v>
      </c>
      <c r="B68" s="51" t="s">
        <v>6951</v>
      </c>
      <c r="C68" s="51" t="s">
        <v>6950</v>
      </c>
      <c r="D68" s="51" t="s">
        <v>8556</v>
      </c>
      <c r="E68" s="51" t="s">
        <v>6952</v>
      </c>
      <c r="F68" s="51" t="s">
        <v>6953</v>
      </c>
      <c r="G68" s="51" t="s">
        <v>6627</v>
      </c>
      <c r="H68" s="51" t="s">
        <v>6927</v>
      </c>
      <c r="I68" s="51" t="s">
        <v>6954</v>
      </c>
      <c r="J68" s="51" t="s">
        <v>6955</v>
      </c>
      <c r="K68" s="51" t="s">
        <v>6956</v>
      </c>
      <c r="L68" s="51" t="n">
        <v>-19.940037</v>
      </c>
      <c r="M68" s="51" t="n">
        <v>-44.018184</v>
      </c>
      <c r="N68" s="51" t="n">
        <v>602745.804734156</v>
      </c>
      <c r="O68" s="51" t="n">
        <v>7794853.93338304</v>
      </c>
    </row>
    <row r="69" ht="28.5" customHeight="1">
      <c r="A69" s="51" t="s">
        <v>8557</v>
      </c>
      <c r="B69" s="51" t="s">
        <v>6958</v>
      </c>
      <c r="C69" s="51" t="s">
        <v>6957</v>
      </c>
      <c r="D69" s="51" t="s">
        <v>8558</v>
      </c>
      <c r="E69" s="51" t="s">
        <v>6959</v>
      </c>
      <c r="F69" s="51" t="s">
        <v>6960</v>
      </c>
      <c r="G69" s="51" t="s">
        <v>6794</v>
      </c>
      <c r="H69" s="51" t="s">
        <v>6961</v>
      </c>
      <c r="I69" s="51" t="s">
        <v>6962</v>
      </c>
      <c r="J69" s="51" t="s">
        <v>6963</v>
      </c>
      <c r="K69" s="51" t="s">
        <v>6964</v>
      </c>
      <c r="L69" s="51" t="n">
        <v>-19.8310443432768</v>
      </c>
      <c r="M69" s="51" t="n">
        <v>-43.8681133890602</v>
      </c>
      <c r="N69" s="51" t="n">
        <v>618533.046028839</v>
      </c>
      <c r="O69" s="51" t="n">
        <v>7806817.91494588</v>
      </c>
    </row>
    <row r="70" ht="28.5" customHeight="1">
      <c r="A70" s="51" t="s">
        <v>8559</v>
      </c>
      <c r="B70" s="51" t="s">
        <v>6966</v>
      </c>
      <c r="C70" s="51" t="s">
        <v>6965</v>
      </c>
      <c r="D70" s="51" t="s">
        <v>8560</v>
      </c>
      <c r="E70" s="51" t="s">
        <v>6967</v>
      </c>
      <c r="F70" s="51" t="s">
        <v>6968</v>
      </c>
      <c r="G70" s="51" t="s">
        <v>6636</v>
      </c>
      <c r="H70" s="51" t="s">
        <v>6969</v>
      </c>
      <c r="I70" s="51" t="s">
        <v>6970</v>
      </c>
      <c r="J70" s="51" t="s">
        <v>6971</v>
      </c>
      <c r="K70" s="51" t="s">
        <v>6972</v>
      </c>
      <c r="L70" s="51" t="n">
        <v>-19.819619</v>
      </c>
      <c r="M70" s="51" t="n">
        <v>-43.99834</v>
      </c>
      <c r="N70" s="51" t="n">
        <v>604901.850026855</v>
      </c>
      <c r="O70" s="51" t="n">
        <v>7808168.5254689</v>
      </c>
    </row>
    <row r="71">
      <c r="A71" s="51" t="s">
        <v>8561</v>
      </c>
      <c r="B71" s="51" t="s">
        <v>6966</v>
      </c>
      <c r="C71" s="51" t="s">
        <v>6965</v>
      </c>
      <c r="D71" s="51" t="s">
        <v>8562</v>
      </c>
      <c r="E71" s="51" t="s">
        <v>6967</v>
      </c>
      <c r="F71" s="51" t="s">
        <v>6968</v>
      </c>
      <c r="G71" s="51" t="s">
        <v>6636</v>
      </c>
      <c r="H71" s="51" t="s">
        <v>6969</v>
      </c>
      <c r="I71" s="51" t="s">
        <v>6970</v>
      </c>
      <c r="J71" s="51" t="s">
        <v>6971</v>
      </c>
      <c r="K71" s="51" t="s">
        <v>6972</v>
      </c>
      <c r="L71" s="51" t="n">
        <v>-19.819619</v>
      </c>
      <c r="M71" s="51" t="n">
        <v>-43.99834</v>
      </c>
      <c r="N71" s="51" t="n">
        <v>604901.850026855</v>
      </c>
      <c r="O71" s="51" t="n">
        <v>7808168.5254689</v>
      </c>
    </row>
    <row r="72">
      <c r="A72" s="51" t="s">
        <v>8563</v>
      </c>
      <c r="B72" s="51" t="s">
        <v>6974</v>
      </c>
      <c r="C72" s="51" t="s">
        <v>6973</v>
      </c>
      <c r="D72" s="51" t="s">
        <v>8564</v>
      </c>
      <c r="E72" s="51" t="s">
        <v>6975</v>
      </c>
      <c r="F72" s="51" t="s">
        <v>6976</v>
      </c>
      <c r="G72" s="51" t="s">
        <v>6627</v>
      </c>
      <c r="H72" s="51" t="s">
        <v>6927</v>
      </c>
      <c r="I72" s="51" t="s">
        <v>6977</v>
      </c>
      <c r="J72" s="51" t="s">
        <v>6978</v>
      </c>
      <c r="K72" s="51"/>
      <c r="L72" s="51" t="n">
        <v>-19.941177</v>
      </c>
      <c r="M72" s="51" t="n">
        <v>-44.000855</v>
      </c>
      <c r="N72" s="51" t="n">
        <v>604558.653084393</v>
      </c>
      <c r="O72" s="51" t="n">
        <v>7794717.07375733</v>
      </c>
    </row>
    <row r="73">
      <c r="A73" s="51" t="s">
        <v>8565</v>
      </c>
      <c r="B73" s="51" t="s">
        <v>6974</v>
      </c>
      <c r="C73" s="51" t="s">
        <v>6973</v>
      </c>
      <c r="D73" s="51" t="s">
        <v>8542</v>
      </c>
      <c r="E73" s="51" t="s">
        <v>6975</v>
      </c>
      <c r="F73" s="51" t="s">
        <v>6976</v>
      </c>
      <c r="G73" s="51" t="s">
        <v>6627</v>
      </c>
      <c r="H73" s="51" t="s">
        <v>6927</v>
      </c>
      <c r="I73" s="51" t="s">
        <v>6977</v>
      </c>
      <c r="J73" s="51" t="s">
        <v>6978</v>
      </c>
      <c r="K73" s="51"/>
      <c r="L73" s="51" t="n">
        <v>-19.941177</v>
      </c>
      <c r="M73" s="51" t="n">
        <v>-44.000855</v>
      </c>
      <c r="N73" s="51" t="n">
        <v>604558.653084393</v>
      </c>
      <c r="O73" s="51" t="n">
        <v>7794717.07375733</v>
      </c>
    </row>
    <row r="74" ht="28.5" customHeight="1">
      <c r="A74" s="51" t="s">
        <v>8566</v>
      </c>
      <c r="B74" s="51" t="s">
        <v>6980</v>
      </c>
      <c r="C74" s="51" t="s">
        <v>6979</v>
      </c>
      <c r="D74" s="51" t="s">
        <v>8567</v>
      </c>
      <c r="E74" s="51" t="s">
        <v>6981</v>
      </c>
      <c r="F74" s="51" t="s">
        <v>6604</v>
      </c>
      <c r="G74" s="51" t="s">
        <v>6583</v>
      </c>
      <c r="H74" s="51" t="s">
        <v>6591</v>
      </c>
      <c r="I74" s="51" t="s">
        <v>6605</v>
      </c>
      <c r="J74" s="51" t="s">
        <v>6982</v>
      </c>
      <c r="K74" s="51" t="s">
        <v>6983</v>
      </c>
      <c r="L74" s="51" t="n">
        <v>-19.8978570423503</v>
      </c>
      <c r="M74" s="51" t="n">
        <v>-44.0220174624274</v>
      </c>
      <c r="N74" s="51" t="n">
        <v>602371.75652108</v>
      </c>
      <c r="O74" s="51" t="n">
        <v>7799524.39115249</v>
      </c>
    </row>
    <row r="75" ht="28.5" customHeight="1">
      <c r="A75" s="51" t="s">
        <v>8568</v>
      </c>
      <c r="B75" s="51" t="s">
        <v>6985</v>
      </c>
      <c r="C75" s="51" t="s">
        <v>6984</v>
      </c>
      <c r="D75" s="51" t="s">
        <v>8569</v>
      </c>
      <c r="E75" s="51" t="s">
        <v>6986</v>
      </c>
      <c r="F75" s="51" t="s">
        <v>6987</v>
      </c>
      <c r="G75" s="51" t="s">
        <v>6627</v>
      </c>
      <c r="H75" s="51" t="s">
        <v>6681</v>
      </c>
      <c r="I75" s="51" t="s">
        <v>6988</v>
      </c>
      <c r="J75" s="51" t="s">
        <v>6989</v>
      </c>
      <c r="K75" s="51" t="s">
        <v>6990</v>
      </c>
      <c r="L75" s="51" t="n">
        <v>-19.9577913973314</v>
      </c>
      <c r="M75" s="51" t="n">
        <v>-43.9840850153308</v>
      </c>
      <c r="N75" s="51" t="n">
        <v>606302.616382235</v>
      </c>
      <c r="O75" s="51" t="n">
        <v>7792867.78464642</v>
      </c>
    </row>
    <row r="76" ht="28.5" customHeight="1">
      <c r="A76" s="51" t="s">
        <v>8570</v>
      </c>
      <c r="B76" s="51" t="s">
        <v>6992</v>
      </c>
      <c r="C76" s="51" t="s">
        <v>6991</v>
      </c>
      <c r="D76" s="51" t="s">
        <v>8571</v>
      </c>
      <c r="E76" s="51" t="s">
        <v>6993</v>
      </c>
      <c r="F76" s="51" t="s">
        <v>6994</v>
      </c>
      <c r="G76" s="51" t="s">
        <v>6689</v>
      </c>
      <c r="H76" s="51" t="s">
        <v>6995</v>
      </c>
      <c r="I76" s="51" t="s">
        <v>6996</v>
      </c>
      <c r="J76" s="51" t="s">
        <v>6997</v>
      </c>
      <c r="K76" s="51" t="s">
        <v>6998</v>
      </c>
      <c r="L76" s="51" t="n">
        <v>-19.9643106332649</v>
      </c>
      <c r="M76" s="51" t="n">
        <v>-44.0013670115727</v>
      </c>
      <c r="N76" s="51" t="n">
        <v>604489.838627592</v>
      </c>
      <c r="O76" s="51" t="n">
        <v>7792157.13767866</v>
      </c>
    </row>
    <row r="77">
      <c r="A77" s="51" t="s">
        <v>8572</v>
      </c>
      <c r="B77" s="51" t="s">
        <v>7000</v>
      </c>
      <c r="C77" s="51" t="s">
        <v>6999</v>
      </c>
      <c r="D77" s="51" t="s">
        <v>8573</v>
      </c>
      <c r="E77" s="51" t="s">
        <v>7001</v>
      </c>
      <c r="F77" s="51" t="s">
        <v>7002</v>
      </c>
      <c r="G77" s="51" t="s">
        <v>6689</v>
      </c>
      <c r="H77" s="51" t="s">
        <v>7003</v>
      </c>
      <c r="I77" s="51" t="s">
        <v>7004</v>
      </c>
      <c r="J77" s="51" t="s">
        <v>7005</v>
      </c>
      <c r="K77" s="51"/>
      <c r="L77" s="51" t="n">
        <v>-19.986316</v>
      </c>
      <c r="M77" s="51" t="n">
        <v>-44.035639</v>
      </c>
      <c r="N77" s="51" t="n">
        <v>600889.59160263</v>
      </c>
      <c r="O77" s="51" t="n">
        <v>7789742.74183486</v>
      </c>
    </row>
    <row r="78">
      <c r="A78" s="51" t="s">
        <v>8574</v>
      </c>
      <c r="B78" s="51" t="s">
        <v>7000</v>
      </c>
      <c r="C78" s="51" t="s">
        <v>6999</v>
      </c>
      <c r="D78" s="51" t="s">
        <v>8575</v>
      </c>
      <c r="E78" s="51" t="s">
        <v>7001</v>
      </c>
      <c r="F78" s="51" t="s">
        <v>7002</v>
      </c>
      <c r="G78" s="51" t="s">
        <v>6689</v>
      </c>
      <c r="H78" s="51" t="s">
        <v>7003</v>
      </c>
      <c r="I78" s="51" t="s">
        <v>7004</v>
      </c>
      <c r="J78" s="51" t="s">
        <v>7005</v>
      </c>
      <c r="K78" s="51"/>
      <c r="L78" s="51" t="n">
        <v>-19.986316</v>
      </c>
      <c r="M78" s="51" t="n">
        <v>-44.035639</v>
      </c>
      <c r="N78" s="51" t="n">
        <v>600889.59160263</v>
      </c>
      <c r="O78" s="51" t="n">
        <v>7789742.74183486</v>
      </c>
    </row>
    <row r="79">
      <c r="A79" s="51" t="s">
        <v>8576</v>
      </c>
      <c r="B79" s="51" t="s">
        <v>7000</v>
      </c>
      <c r="C79" s="51" t="s">
        <v>6999</v>
      </c>
      <c r="D79" s="51" t="s">
        <v>8577</v>
      </c>
      <c r="E79" s="51" t="s">
        <v>7001</v>
      </c>
      <c r="F79" s="51" t="s">
        <v>7002</v>
      </c>
      <c r="G79" s="51" t="s">
        <v>6689</v>
      </c>
      <c r="H79" s="51" t="s">
        <v>7003</v>
      </c>
      <c r="I79" s="51" t="s">
        <v>7004</v>
      </c>
      <c r="J79" s="51" t="s">
        <v>7005</v>
      </c>
      <c r="K79" s="51"/>
      <c r="L79" s="51" t="n">
        <v>-19.986316</v>
      </c>
      <c r="M79" s="51" t="n">
        <v>-44.035639</v>
      </c>
      <c r="N79" s="51" t="n">
        <v>600889.59160263</v>
      </c>
      <c r="O79" s="51" t="n">
        <v>7789742.74183486</v>
      </c>
    </row>
    <row r="80" ht="28.5" customHeight="1">
      <c r="A80" s="51" t="s">
        <v>8578</v>
      </c>
      <c r="B80" s="51" t="s">
        <v>7007</v>
      </c>
      <c r="C80" s="51" t="s">
        <v>7006</v>
      </c>
      <c r="D80" s="51" t="s">
        <v>8579</v>
      </c>
      <c r="E80" s="51" t="s">
        <v>7008</v>
      </c>
      <c r="F80" s="51" t="s">
        <v>6597</v>
      </c>
      <c r="G80" s="51" t="s">
        <v>6583</v>
      </c>
      <c r="H80" s="51" t="s">
        <v>6591</v>
      </c>
      <c r="I80" s="51" t="s">
        <v>7009</v>
      </c>
      <c r="J80" s="51" t="s">
        <v>7010</v>
      </c>
      <c r="K80" s="51" t="s">
        <v>7011</v>
      </c>
      <c r="L80" s="51" t="n">
        <v>-19.911996</v>
      </c>
      <c r="M80" s="51" t="n">
        <v>-43.999577</v>
      </c>
      <c r="N80" s="51" t="n">
        <v>604711.624358716</v>
      </c>
      <c r="O80" s="51" t="n">
        <v>7797945.80115868</v>
      </c>
    </row>
    <row r="81" ht="28.5" customHeight="1">
      <c r="A81" s="51" t="s">
        <v>8580</v>
      </c>
      <c r="B81" s="51" t="s">
        <v>7013</v>
      </c>
      <c r="C81" s="51" t="s">
        <v>7012</v>
      </c>
      <c r="D81" s="51" t="s">
        <v>8581</v>
      </c>
      <c r="E81" s="51" t="s">
        <v>7014</v>
      </c>
      <c r="F81" s="51" t="s">
        <v>7015</v>
      </c>
      <c r="G81" s="51" t="s">
        <v>6583</v>
      </c>
      <c r="H81" s="51" t="s">
        <v>6766</v>
      </c>
      <c r="I81" s="51" t="s">
        <v>7016</v>
      </c>
      <c r="J81" s="51" t="s">
        <v>7017</v>
      </c>
      <c r="K81" s="51" t="s">
        <v>7018</v>
      </c>
      <c r="L81" s="51" t="n">
        <v>-19.9232363608125</v>
      </c>
      <c r="M81" s="51" t="n">
        <v>-43.9998858230398</v>
      </c>
      <c r="N81" s="51" t="n">
        <v>604671.9</v>
      </c>
      <c r="O81" s="51" t="n">
        <v>7796702</v>
      </c>
    </row>
    <row r="82" ht="28.5" customHeight="1">
      <c r="A82" s="51" t="s">
        <v>8582</v>
      </c>
      <c r="B82" s="51" t="s">
        <v>7020</v>
      </c>
      <c r="C82" s="51" t="s">
        <v>7019</v>
      </c>
      <c r="D82" s="51" t="s">
        <v>8583</v>
      </c>
      <c r="E82" s="51" t="s">
        <v>7021</v>
      </c>
      <c r="F82" s="51" t="s">
        <v>7022</v>
      </c>
      <c r="G82" s="51" t="s">
        <v>6794</v>
      </c>
      <c r="H82" s="51" t="s">
        <v>6961</v>
      </c>
      <c r="I82" s="51" t="s">
        <v>7023</v>
      </c>
      <c r="J82" s="51" t="s">
        <v>7024</v>
      </c>
      <c r="K82" s="51" t="s">
        <v>7025</v>
      </c>
      <c r="L82" s="51" t="n">
        <v>-19.825631</v>
      </c>
      <c r="M82" s="51" t="n">
        <v>-43.898745</v>
      </c>
      <c r="N82" s="51" t="n">
        <v>615328.8489143</v>
      </c>
      <c r="O82" s="51" t="n">
        <v>7807438.24192741</v>
      </c>
    </row>
    <row r="83" ht="28.5" customHeight="1">
      <c r="A83" s="51" t="s">
        <v>8584</v>
      </c>
      <c r="B83" s="51" t="s">
        <v>7027</v>
      </c>
      <c r="C83" s="51" t="s">
        <v>7026</v>
      </c>
      <c r="D83" s="51" t="s">
        <v>8585</v>
      </c>
      <c r="E83" s="51" t="s">
        <v>7028</v>
      </c>
      <c r="F83" s="51" t="s">
        <v>7029</v>
      </c>
      <c r="G83" s="51" t="s">
        <v>6794</v>
      </c>
      <c r="H83" s="51" t="s">
        <v>6900</v>
      </c>
      <c r="I83" s="51" t="s">
        <v>7030</v>
      </c>
      <c r="J83" s="51" t="s">
        <v>7031</v>
      </c>
      <c r="K83" s="51" t="s">
        <v>7032</v>
      </c>
      <c r="L83" s="51" t="n">
        <v>-19.873896</v>
      </c>
      <c r="M83" s="51" t="n">
        <v>-43.946066</v>
      </c>
      <c r="N83" s="51" t="n">
        <v>610339.350151477</v>
      </c>
      <c r="O83" s="51" t="n">
        <v>7802128.24458738</v>
      </c>
    </row>
    <row r="84" ht="28.5" customHeight="1">
      <c r="A84" s="51" t="s">
        <v>8586</v>
      </c>
      <c r="B84" s="51" t="s">
        <v>7034</v>
      </c>
      <c r="C84" s="51" t="s">
        <v>7033</v>
      </c>
      <c r="D84" s="51" t="s">
        <v>8587</v>
      </c>
      <c r="E84" s="51" t="s">
        <v>7035</v>
      </c>
      <c r="F84" s="51" t="s">
        <v>7036</v>
      </c>
      <c r="G84" s="51" t="s">
        <v>6583</v>
      </c>
      <c r="H84" s="51" t="s">
        <v>6591</v>
      </c>
      <c r="I84" s="51" t="s">
        <v>6605</v>
      </c>
      <c r="J84" s="51" t="s">
        <v>7037</v>
      </c>
      <c r="K84" s="51" t="s">
        <v>7038</v>
      </c>
      <c r="L84" s="51" t="n">
        <v>-19.901539662219</v>
      </c>
      <c r="M84" s="51" t="n">
        <v>-44.0165572321331</v>
      </c>
      <c r="N84" s="51" t="n">
        <v>602940.976111377</v>
      </c>
      <c r="O84" s="51" t="n">
        <v>7799113.50034717</v>
      </c>
    </row>
    <row r="85" ht="28.5" customHeight="1">
      <c r="A85" s="51" t="s">
        <v>8588</v>
      </c>
      <c r="B85" s="51" t="s">
        <v>7034</v>
      </c>
      <c r="C85" s="51" t="s">
        <v>7033</v>
      </c>
      <c r="D85" s="51" t="s">
        <v>8589</v>
      </c>
      <c r="E85" s="51" t="s">
        <v>7035</v>
      </c>
      <c r="F85" s="51" t="s">
        <v>7036</v>
      </c>
      <c r="G85" s="51" t="s">
        <v>6583</v>
      </c>
      <c r="H85" s="51" t="s">
        <v>6591</v>
      </c>
      <c r="I85" s="51" t="s">
        <v>6605</v>
      </c>
      <c r="J85" s="51" t="s">
        <v>7037</v>
      </c>
      <c r="K85" s="51" t="s">
        <v>7038</v>
      </c>
      <c r="L85" s="51" t="n">
        <v>-19.901539662219</v>
      </c>
      <c r="M85" s="51" t="n">
        <v>-44.0165572321331</v>
      </c>
      <c r="N85" s="51" t="n">
        <v>602940.976111377</v>
      </c>
      <c r="O85" s="51" t="n">
        <v>7799113.50034717</v>
      </c>
    </row>
    <row r="86" ht="28.5" customHeight="1">
      <c r="A86" s="51" t="s">
        <v>8590</v>
      </c>
      <c r="B86" s="51" t="s">
        <v>7034</v>
      </c>
      <c r="C86" s="51" t="s">
        <v>7033</v>
      </c>
      <c r="D86" s="51" t="s">
        <v>8556</v>
      </c>
      <c r="E86" s="51" t="s">
        <v>7035</v>
      </c>
      <c r="F86" s="51" t="s">
        <v>7036</v>
      </c>
      <c r="G86" s="51" t="s">
        <v>6583</v>
      </c>
      <c r="H86" s="51" t="s">
        <v>6591</v>
      </c>
      <c r="I86" s="51" t="s">
        <v>6605</v>
      </c>
      <c r="J86" s="51" t="s">
        <v>7037</v>
      </c>
      <c r="K86" s="51" t="s">
        <v>7038</v>
      </c>
      <c r="L86" s="51" t="n">
        <v>-19.901539662219</v>
      </c>
      <c r="M86" s="51" t="n">
        <v>-44.0165572321331</v>
      </c>
      <c r="N86" s="51" t="n">
        <v>602940.976111377</v>
      </c>
      <c r="O86" s="51" t="n">
        <v>7799113.50034717</v>
      </c>
    </row>
    <row r="87" ht="28.5" customHeight="1">
      <c r="A87" s="51" t="s">
        <v>8591</v>
      </c>
      <c r="B87" s="51" t="s">
        <v>7034</v>
      </c>
      <c r="C87" s="51" t="s">
        <v>7033</v>
      </c>
      <c r="D87" s="51" t="s">
        <v>8592</v>
      </c>
      <c r="E87" s="51" t="s">
        <v>7035</v>
      </c>
      <c r="F87" s="51" t="s">
        <v>7036</v>
      </c>
      <c r="G87" s="51" t="s">
        <v>6583</v>
      </c>
      <c r="H87" s="51" t="s">
        <v>6591</v>
      </c>
      <c r="I87" s="51" t="s">
        <v>6605</v>
      </c>
      <c r="J87" s="51" t="s">
        <v>7037</v>
      </c>
      <c r="K87" s="51" t="s">
        <v>7038</v>
      </c>
      <c r="L87" s="51" t="n">
        <v>-19.901539662219</v>
      </c>
      <c r="M87" s="51" t="n">
        <v>-44.0165572321331</v>
      </c>
      <c r="N87" s="51" t="n">
        <v>602940.976111377</v>
      </c>
      <c r="O87" s="51" t="n">
        <v>7799113.50034717</v>
      </c>
    </row>
    <row r="88" ht="28.5" customHeight="1">
      <c r="A88" s="51" t="s">
        <v>8593</v>
      </c>
      <c r="B88" s="51" t="s">
        <v>7040</v>
      </c>
      <c r="C88" s="51" t="s">
        <v>7039</v>
      </c>
      <c r="D88" s="51" t="s">
        <v>8558</v>
      </c>
      <c r="E88" s="51" t="s">
        <v>7041</v>
      </c>
      <c r="F88" s="51" t="s">
        <v>7042</v>
      </c>
      <c r="G88" s="51" t="s">
        <v>6794</v>
      </c>
      <c r="H88" s="51" t="s">
        <v>7043</v>
      </c>
      <c r="I88" s="51" t="s">
        <v>7044</v>
      </c>
      <c r="J88" s="51" t="s">
        <v>7045</v>
      </c>
      <c r="K88" s="51" t="s">
        <v>7046</v>
      </c>
      <c r="L88" s="51" t="n">
        <v>-19.863472</v>
      </c>
      <c r="M88" s="51" t="n">
        <v>-43.897747</v>
      </c>
      <c r="N88" s="51" t="n">
        <v>615406.02032732</v>
      </c>
      <c r="O88" s="51" t="n">
        <v>7803249.54757507</v>
      </c>
    </row>
    <row r="89" ht="28.5" customHeight="1">
      <c r="A89" s="51" t="s">
        <v>8594</v>
      </c>
      <c r="B89" s="51" t="s">
        <v>7040</v>
      </c>
      <c r="C89" s="51" t="s">
        <v>7039</v>
      </c>
      <c r="D89" s="51" t="s">
        <v>8540</v>
      </c>
      <c r="E89" s="51" t="s">
        <v>7041</v>
      </c>
      <c r="F89" s="51" t="s">
        <v>7042</v>
      </c>
      <c r="G89" s="51" t="s">
        <v>6794</v>
      </c>
      <c r="H89" s="51" t="s">
        <v>7043</v>
      </c>
      <c r="I89" s="51" t="s">
        <v>7044</v>
      </c>
      <c r="J89" s="51" t="s">
        <v>7045</v>
      </c>
      <c r="K89" s="51" t="s">
        <v>7046</v>
      </c>
      <c r="L89" s="51" t="n">
        <v>-19.863472</v>
      </c>
      <c r="M89" s="51" t="n">
        <v>-43.897747</v>
      </c>
      <c r="N89" s="51" t="n">
        <v>615406.02032732</v>
      </c>
      <c r="O89" s="51" t="n">
        <v>7803249.54757507</v>
      </c>
    </row>
    <row r="90" ht="28.5" customHeight="1">
      <c r="A90" s="51" t="s">
        <v>8595</v>
      </c>
      <c r="B90" s="51" t="s">
        <v>7048</v>
      </c>
      <c r="C90" s="51" t="s">
        <v>7047</v>
      </c>
      <c r="D90" s="51" t="s">
        <v>8596</v>
      </c>
      <c r="E90" s="51" t="s">
        <v>7049</v>
      </c>
      <c r="F90" s="51" t="s">
        <v>7050</v>
      </c>
      <c r="G90" s="51" t="s">
        <v>6647</v>
      </c>
      <c r="H90" s="51" t="s">
        <v>6758</v>
      </c>
      <c r="I90" s="51" t="s">
        <v>7051</v>
      </c>
      <c r="J90" s="51" t="s">
        <v>7052</v>
      </c>
      <c r="K90" s="51" t="s">
        <v>7053</v>
      </c>
      <c r="L90" s="51" t="n">
        <v>-19.908559</v>
      </c>
      <c r="M90" s="51" t="n">
        <v>-43.885197</v>
      </c>
      <c r="N90" s="51" t="n">
        <v>616687.105024753</v>
      </c>
      <c r="O90" s="51" t="n">
        <v>7798250.91299888</v>
      </c>
    </row>
    <row r="91" ht="28.5" customHeight="1">
      <c r="A91" s="51" t="s">
        <v>8597</v>
      </c>
      <c r="B91" s="51" t="s">
        <v>7055</v>
      </c>
      <c r="C91" s="51" t="s">
        <v>7054</v>
      </c>
      <c r="D91" s="51" t="s">
        <v>8598</v>
      </c>
      <c r="E91" s="51" t="s">
        <v>7056</v>
      </c>
      <c r="F91" s="51" t="s">
        <v>7057</v>
      </c>
      <c r="G91" s="51" t="s">
        <v>6627</v>
      </c>
      <c r="H91" s="51" t="s">
        <v>6681</v>
      </c>
      <c r="I91" s="51" t="s">
        <v>7058</v>
      </c>
      <c r="J91" s="51" t="s">
        <v>7059</v>
      </c>
      <c r="K91" s="51" t="s">
        <v>7060</v>
      </c>
      <c r="L91" s="51" t="n">
        <v>-19.962648</v>
      </c>
      <c r="M91" s="51" t="n">
        <v>-43.970372</v>
      </c>
      <c r="N91" s="51" t="n">
        <v>607734.330342716</v>
      </c>
      <c r="O91" s="51" t="n">
        <v>7792321.54396022</v>
      </c>
    </row>
    <row r="92" ht="28.5" customHeight="1">
      <c r="A92" s="51" t="s">
        <v>8599</v>
      </c>
      <c r="B92" s="51" t="s">
        <v>7062</v>
      </c>
      <c r="C92" s="51" t="s">
        <v>7061</v>
      </c>
      <c r="D92" s="51" t="s">
        <v>8600</v>
      </c>
      <c r="E92" s="51" t="s">
        <v>7063</v>
      </c>
      <c r="F92" s="51" t="s">
        <v>7064</v>
      </c>
      <c r="G92" s="51" t="s">
        <v>6722</v>
      </c>
      <c r="H92" s="51" t="s">
        <v>6817</v>
      </c>
      <c r="I92" s="51" t="s">
        <v>7065</v>
      </c>
      <c r="J92" s="51" t="s">
        <v>7066</v>
      </c>
      <c r="K92" s="51" t="s">
        <v>7067</v>
      </c>
      <c r="L92" s="51" t="n">
        <v>-19.8452229099993</v>
      </c>
      <c r="M92" s="51" t="n">
        <v>-43.9426197911709</v>
      </c>
      <c r="N92" s="51" t="n">
        <v>610720.072329331</v>
      </c>
      <c r="O92" s="51" t="n">
        <v>7805299.31701631</v>
      </c>
    </row>
    <row r="93" ht="28.5" customHeight="1">
      <c r="A93" s="51" t="s">
        <v>8601</v>
      </c>
      <c r="B93" s="51" t="s">
        <v>7062</v>
      </c>
      <c r="C93" s="51" t="s">
        <v>7061</v>
      </c>
      <c r="D93" s="51" t="s">
        <v>8602</v>
      </c>
      <c r="E93" s="51" t="s">
        <v>7063</v>
      </c>
      <c r="F93" s="51" t="s">
        <v>7064</v>
      </c>
      <c r="G93" s="51" t="s">
        <v>6722</v>
      </c>
      <c r="H93" s="51" t="s">
        <v>6817</v>
      </c>
      <c r="I93" s="51" t="s">
        <v>7065</v>
      </c>
      <c r="J93" s="51" t="s">
        <v>7066</v>
      </c>
      <c r="K93" s="51" t="s">
        <v>7067</v>
      </c>
      <c r="L93" s="51" t="n">
        <v>-19.8452229099993</v>
      </c>
      <c r="M93" s="51" t="n">
        <v>-43.9426197911709</v>
      </c>
      <c r="N93" s="51" t="n">
        <v>610720.072329331</v>
      </c>
      <c r="O93" s="51" t="n">
        <v>7805299.31701631</v>
      </c>
    </row>
    <row r="94">
      <c r="A94" s="51" t="s">
        <v>8603</v>
      </c>
      <c r="B94" s="51" t="s">
        <v>7069</v>
      </c>
      <c r="C94" s="51" t="s">
        <v>7068</v>
      </c>
      <c r="D94" s="51" t="s">
        <v>8604</v>
      </c>
      <c r="E94" s="51" t="s">
        <v>7070</v>
      </c>
      <c r="F94" s="51" t="s">
        <v>7071</v>
      </c>
      <c r="G94" s="51" t="s">
        <v>6647</v>
      </c>
      <c r="H94" s="51" t="s">
        <v>6824</v>
      </c>
      <c r="I94" s="51" t="s">
        <v>6825</v>
      </c>
      <c r="J94" s="51" t="s">
        <v>7072</v>
      </c>
      <c r="K94" s="51"/>
      <c r="L94" s="51" t="n">
        <v>-19.9121972992281</v>
      </c>
      <c r="M94" s="51" t="n">
        <v>-43.920268486166</v>
      </c>
      <c r="N94" s="51" t="n">
        <v>613013.225326155</v>
      </c>
      <c r="O94" s="51" t="n">
        <v>7797872.19205102</v>
      </c>
    </row>
    <row r="95">
      <c r="A95" s="51" t="s">
        <v>8605</v>
      </c>
      <c r="B95" s="51" t="s">
        <v>7074</v>
      </c>
      <c r="C95" s="51" t="s">
        <v>7073</v>
      </c>
      <c r="D95" s="51" t="s">
        <v>8606</v>
      </c>
      <c r="E95" s="51" t="s">
        <v>7075</v>
      </c>
      <c r="F95" s="51" t="s">
        <v>7076</v>
      </c>
      <c r="G95" s="51" t="s">
        <v>6689</v>
      </c>
      <c r="H95" s="51" t="s">
        <v>6690</v>
      </c>
      <c r="I95" s="51" t="s">
        <v>7077</v>
      </c>
      <c r="J95" s="51" t="s">
        <v>7078</v>
      </c>
      <c r="K95" s="51"/>
      <c r="L95" s="51" t="n">
        <v>-20.019525</v>
      </c>
      <c r="M95" s="51" t="n">
        <v>-44.031443</v>
      </c>
      <c r="N95" s="51" t="n">
        <v>601307.346709106</v>
      </c>
      <c r="O95" s="51" t="n">
        <v>7786064.89619187</v>
      </c>
    </row>
    <row r="96" ht="28.5" customHeight="1">
      <c r="A96" s="51" t="s">
        <v>8607</v>
      </c>
      <c r="B96" s="51" t="s">
        <v>7080</v>
      </c>
      <c r="C96" s="51" t="s">
        <v>7079</v>
      </c>
      <c r="D96" s="51" t="s">
        <v>8556</v>
      </c>
      <c r="E96" s="51" t="s">
        <v>7081</v>
      </c>
      <c r="F96" s="51" t="s">
        <v>7082</v>
      </c>
      <c r="G96" s="51" t="s">
        <v>6722</v>
      </c>
      <c r="H96" s="51" t="s">
        <v>7083</v>
      </c>
      <c r="I96" s="51" t="s">
        <v>7084</v>
      </c>
      <c r="J96" s="51" t="s">
        <v>7085</v>
      </c>
      <c r="K96" s="51" t="s">
        <v>7086</v>
      </c>
      <c r="L96" s="51" t="n">
        <v>-19.8042429612425</v>
      </c>
      <c r="M96" s="51" t="n">
        <v>-43.9387403084779</v>
      </c>
      <c r="N96" s="51" t="n">
        <v>611154.828908111</v>
      </c>
      <c r="O96" s="51" t="n">
        <v>7809832.12201746</v>
      </c>
    </row>
    <row r="97" ht="28.5" customHeight="1">
      <c r="A97" s="51" t="s">
        <v>8608</v>
      </c>
      <c r="B97" s="51" t="s">
        <v>7088</v>
      </c>
      <c r="C97" s="51" t="s">
        <v>7087</v>
      </c>
      <c r="D97" s="51" t="s">
        <v>8609</v>
      </c>
      <c r="E97" s="51" t="s">
        <v>7089</v>
      </c>
      <c r="F97" s="51" t="s">
        <v>7090</v>
      </c>
      <c r="G97" s="51" t="s">
        <v>6722</v>
      </c>
      <c r="H97" s="51" t="s">
        <v>6723</v>
      </c>
      <c r="I97" s="51" t="s">
        <v>7091</v>
      </c>
      <c r="J97" s="51" t="s">
        <v>7092</v>
      </c>
      <c r="K97" s="51" t="s">
        <v>7093</v>
      </c>
      <c r="L97" s="51" t="n">
        <v>-19.8299095186803</v>
      </c>
      <c r="M97" s="51" t="n">
        <v>-43.9275669500969</v>
      </c>
      <c r="N97" s="51" t="n">
        <v>612307.188722613</v>
      </c>
      <c r="O97" s="51" t="n">
        <v>7806984.1487796</v>
      </c>
    </row>
    <row r="98" ht="28.5" customHeight="1">
      <c r="A98" s="51" t="s">
        <v>8610</v>
      </c>
      <c r="B98" s="51" t="s">
        <v>7095</v>
      </c>
      <c r="C98" s="51" t="s">
        <v>7094</v>
      </c>
      <c r="D98" s="51" t="s">
        <v>8611</v>
      </c>
      <c r="E98" s="51" t="s">
        <v>7096</v>
      </c>
      <c r="F98" s="51" t="s">
        <v>7097</v>
      </c>
      <c r="G98" s="51" t="s">
        <v>6583</v>
      </c>
      <c r="H98" s="51" t="s">
        <v>6591</v>
      </c>
      <c r="I98" s="51" t="s">
        <v>7098</v>
      </c>
      <c r="J98" s="51" t="s">
        <v>7099</v>
      </c>
      <c r="K98" s="51" t="s">
        <v>7100</v>
      </c>
      <c r="L98" s="51" t="n">
        <v>-19.909751</v>
      </c>
      <c r="M98" s="51" t="n">
        <v>-44.008965</v>
      </c>
      <c r="N98" s="51" t="n">
        <v>603730.394845414</v>
      </c>
      <c r="O98" s="51" t="n">
        <v>7798200.07607321</v>
      </c>
    </row>
    <row r="99" ht="28.5" customHeight="1">
      <c r="A99" s="51" t="s">
        <v>8612</v>
      </c>
      <c r="B99" s="51" t="s">
        <v>7095</v>
      </c>
      <c r="C99" s="51" t="s">
        <v>7094</v>
      </c>
      <c r="D99" s="51" t="s">
        <v>8613</v>
      </c>
      <c r="E99" s="51" t="s">
        <v>7096</v>
      </c>
      <c r="F99" s="51" t="s">
        <v>7097</v>
      </c>
      <c r="G99" s="51" t="s">
        <v>6583</v>
      </c>
      <c r="H99" s="51" t="s">
        <v>6591</v>
      </c>
      <c r="I99" s="51" t="s">
        <v>7098</v>
      </c>
      <c r="J99" s="51" t="s">
        <v>7099</v>
      </c>
      <c r="K99" s="51" t="s">
        <v>7100</v>
      </c>
      <c r="L99" s="51" t="n">
        <v>-19.909751</v>
      </c>
      <c r="M99" s="51" t="n">
        <v>-44.008965</v>
      </c>
      <c r="N99" s="51" t="n">
        <v>603730.394845414</v>
      </c>
      <c r="O99" s="51" t="n">
        <v>7798200.07607321</v>
      </c>
    </row>
    <row r="100" ht="28.5" customHeight="1">
      <c r="A100" s="51" t="s">
        <v>8614</v>
      </c>
      <c r="B100" s="51" t="s">
        <v>7102</v>
      </c>
      <c r="C100" s="51" t="s">
        <v>7101</v>
      </c>
      <c r="D100" s="51" t="s">
        <v>8615</v>
      </c>
      <c r="E100" s="51" t="s">
        <v>7103</v>
      </c>
      <c r="F100" s="51" t="s">
        <v>7104</v>
      </c>
      <c r="G100" s="51" t="s">
        <v>6583</v>
      </c>
      <c r="H100" s="51" t="s">
        <v>6584</v>
      </c>
      <c r="I100" s="51" t="s">
        <v>7105</v>
      </c>
      <c r="J100" s="51" t="s">
        <v>7106</v>
      </c>
      <c r="K100" s="51" t="s">
        <v>7107</v>
      </c>
      <c r="L100" s="51" t="n">
        <v>-19.903546</v>
      </c>
      <c r="M100" s="51" t="n">
        <v>-43.981609</v>
      </c>
      <c r="N100" s="51" t="n">
        <v>606598.099682714</v>
      </c>
      <c r="O100" s="51" t="n">
        <v>7798869.69649207</v>
      </c>
    </row>
    <row r="101" ht="28.5" customHeight="1">
      <c r="A101" s="51" t="s">
        <v>8616</v>
      </c>
      <c r="B101" s="51" t="s">
        <v>7102</v>
      </c>
      <c r="C101" s="51" t="s">
        <v>7101</v>
      </c>
      <c r="D101" s="51" t="s">
        <v>8558</v>
      </c>
      <c r="E101" s="51" t="s">
        <v>7103</v>
      </c>
      <c r="F101" s="51" t="s">
        <v>7104</v>
      </c>
      <c r="G101" s="51" t="s">
        <v>6583</v>
      </c>
      <c r="H101" s="51" t="s">
        <v>6584</v>
      </c>
      <c r="I101" s="51" t="s">
        <v>7105</v>
      </c>
      <c r="J101" s="51" t="s">
        <v>7106</v>
      </c>
      <c r="K101" s="51" t="s">
        <v>7107</v>
      </c>
      <c r="L101" s="51" t="n">
        <v>-19.903546</v>
      </c>
      <c r="M101" s="51" t="n">
        <v>-43.981609</v>
      </c>
      <c r="N101" s="51" t="n">
        <v>606598.099682714</v>
      </c>
      <c r="O101" s="51" t="n">
        <v>7798869.69649207</v>
      </c>
    </row>
    <row r="102" ht="28.5" customHeight="1">
      <c r="A102" s="51" t="s">
        <v>8617</v>
      </c>
      <c r="B102" s="51" t="s">
        <v>7109</v>
      </c>
      <c r="C102" s="51" t="s">
        <v>7108</v>
      </c>
      <c r="D102" s="51" t="s">
        <v>8618</v>
      </c>
      <c r="E102" s="51" t="s">
        <v>7110</v>
      </c>
      <c r="F102" s="51" t="s">
        <v>7111</v>
      </c>
      <c r="G102" s="51" t="s">
        <v>6583</v>
      </c>
      <c r="H102" s="51" t="s">
        <v>6766</v>
      </c>
      <c r="I102" s="51" t="s">
        <v>7112</v>
      </c>
      <c r="J102" s="51" t="s">
        <v>7113</v>
      </c>
      <c r="K102" s="51" t="s">
        <v>7114</v>
      </c>
      <c r="L102" s="51" t="n">
        <v>-19.927517</v>
      </c>
      <c r="M102" s="51" t="n">
        <v>-44.003463</v>
      </c>
      <c r="N102" s="51" t="n">
        <v>604294.675218148</v>
      </c>
      <c r="O102" s="51" t="n">
        <v>7796230.47633616</v>
      </c>
    </row>
    <row r="103" ht="42.75" customHeight="1">
      <c r="A103" s="51" t="s">
        <v>8619</v>
      </c>
      <c r="B103" s="51" t="s">
        <v>7116</v>
      </c>
      <c r="C103" s="51" t="s">
        <v>7115</v>
      </c>
      <c r="D103" s="51" t="s">
        <v>8620</v>
      </c>
      <c r="E103" s="51" t="s">
        <v>7117</v>
      </c>
      <c r="F103" s="51" t="s">
        <v>7118</v>
      </c>
      <c r="G103" s="51" t="s">
        <v>6794</v>
      </c>
      <c r="H103" s="51" t="s">
        <v>7043</v>
      </c>
      <c r="I103" s="51" t="s">
        <v>7119</v>
      </c>
      <c r="J103" s="51" t="s">
        <v>6941</v>
      </c>
      <c r="K103" s="51" t="s">
        <v>7120</v>
      </c>
      <c r="L103" s="51" t="n">
        <v>-19.8439256371452</v>
      </c>
      <c r="M103" s="51" t="n">
        <v>-43.8791566224917</v>
      </c>
      <c r="N103" s="51" t="n">
        <v>617367</v>
      </c>
      <c r="O103" s="51" t="n">
        <v>7805400</v>
      </c>
    </row>
    <row r="104" ht="28.5" customHeight="1">
      <c r="A104" s="51" t="s">
        <v>8621</v>
      </c>
      <c r="B104" s="51" t="s">
        <v>7122</v>
      </c>
      <c r="C104" s="51" t="s">
        <v>7121</v>
      </c>
      <c r="D104" s="51" t="s">
        <v>8622</v>
      </c>
      <c r="E104" s="51" t="s">
        <v>7123</v>
      </c>
      <c r="F104" s="51" t="s">
        <v>7076</v>
      </c>
      <c r="G104" s="51" t="s">
        <v>6689</v>
      </c>
      <c r="H104" s="51" t="s">
        <v>6690</v>
      </c>
      <c r="I104" s="51" t="s">
        <v>7124</v>
      </c>
      <c r="J104" s="51" t="s">
        <v>7125</v>
      </c>
      <c r="K104" s="51" t="s">
        <v>7126</v>
      </c>
      <c r="L104" s="51" t="n">
        <v>-20.0162925593665</v>
      </c>
      <c r="M104" s="51" t="n">
        <v>-44.0300948984734</v>
      </c>
      <c r="N104" s="51" t="n">
        <v>601450.436543182</v>
      </c>
      <c r="O104" s="51" t="n">
        <v>7786421.82160375</v>
      </c>
    </row>
    <row r="105" ht="28.5" customHeight="1">
      <c r="A105" s="51" t="s">
        <v>8623</v>
      </c>
      <c r="B105" s="51" t="s">
        <v>7122</v>
      </c>
      <c r="C105" s="51" t="s">
        <v>7121</v>
      </c>
      <c r="D105" s="51" t="s">
        <v>8624</v>
      </c>
      <c r="E105" s="51" t="s">
        <v>7123</v>
      </c>
      <c r="F105" s="51" t="s">
        <v>7076</v>
      </c>
      <c r="G105" s="51" t="s">
        <v>6689</v>
      </c>
      <c r="H105" s="51" t="s">
        <v>6690</v>
      </c>
      <c r="I105" s="51" t="s">
        <v>7124</v>
      </c>
      <c r="J105" s="51" t="s">
        <v>7125</v>
      </c>
      <c r="K105" s="51" t="s">
        <v>7126</v>
      </c>
      <c r="L105" s="51" t="n">
        <v>-20.0162925593665</v>
      </c>
      <c r="M105" s="51" t="n">
        <v>-44.0300948984734</v>
      </c>
      <c r="N105" s="51" t="n">
        <v>601450.436543182</v>
      </c>
      <c r="O105" s="51" t="n">
        <v>7786421.82160375</v>
      </c>
    </row>
    <row r="106" ht="28.5" customHeight="1">
      <c r="A106" s="51" t="s">
        <v>8625</v>
      </c>
      <c r="B106" s="51" t="s">
        <v>7128</v>
      </c>
      <c r="C106" s="51" t="s">
        <v>7127</v>
      </c>
      <c r="D106" s="51" t="s">
        <v>8626</v>
      </c>
      <c r="E106" s="51" t="s">
        <v>7129</v>
      </c>
      <c r="F106" s="51" t="s">
        <v>7071</v>
      </c>
      <c r="G106" s="51" t="s">
        <v>6647</v>
      </c>
      <c r="H106" s="51" t="s">
        <v>6824</v>
      </c>
      <c r="I106" s="51" t="s">
        <v>7130</v>
      </c>
      <c r="J106" s="51" t="s">
        <v>7131</v>
      </c>
      <c r="K106" s="51"/>
      <c r="L106" s="51" t="n">
        <v>-19.9056104577966</v>
      </c>
      <c r="M106" s="51" t="n">
        <v>-43.91553800111</v>
      </c>
      <c r="N106" s="51" t="n">
        <v>613513.1</v>
      </c>
      <c r="O106" s="51" t="n">
        <v>7798598</v>
      </c>
    </row>
    <row r="107" ht="28.5" customHeight="1">
      <c r="A107" s="51" t="s">
        <v>8627</v>
      </c>
      <c r="B107" s="51" t="s">
        <v>7133</v>
      </c>
      <c r="C107" s="51" t="s">
        <v>7132</v>
      </c>
      <c r="D107" s="51" t="s">
        <v>8628</v>
      </c>
      <c r="E107" s="51" t="s">
        <v>7134</v>
      </c>
      <c r="F107" s="51" t="s">
        <v>7135</v>
      </c>
      <c r="G107" s="51" t="s">
        <v>6689</v>
      </c>
      <c r="H107" s="51" t="s">
        <v>7003</v>
      </c>
      <c r="I107" s="51" t="s">
        <v>7136</v>
      </c>
      <c r="J107" s="51" t="s">
        <v>7137</v>
      </c>
      <c r="K107" s="51"/>
      <c r="L107" s="51" t="n">
        <v>-19.979178</v>
      </c>
      <c r="M107" s="51" t="n">
        <v>-44.046583</v>
      </c>
      <c r="N107" s="51" t="n">
        <v>599749.062060221</v>
      </c>
      <c r="O107" s="51" t="n">
        <v>7790539.26621532</v>
      </c>
    </row>
    <row r="108" ht="28.5" customHeight="1">
      <c r="A108" s="51" t="s">
        <v>8629</v>
      </c>
      <c r="B108" s="51" t="s">
        <v>7139</v>
      </c>
      <c r="C108" s="51" t="s">
        <v>7138</v>
      </c>
      <c r="D108" s="51" t="s">
        <v>8630</v>
      </c>
      <c r="E108" s="51" t="s">
        <v>7140</v>
      </c>
      <c r="F108" s="51" t="s">
        <v>7141</v>
      </c>
      <c r="G108" s="51" t="s">
        <v>6689</v>
      </c>
      <c r="H108" s="51" t="s">
        <v>6995</v>
      </c>
      <c r="I108" s="51" t="s">
        <v>7142</v>
      </c>
      <c r="J108" s="51" t="s">
        <v>6941</v>
      </c>
      <c r="K108" s="51"/>
      <c r="L108" s="51" t="n">
        <v>-19.981334</v>
      </c>
      <c r="M108" s="51" t="n">
        <v>-43.999297</v>
      </c>
      <c r="N108" s="51" t="n">
        <v>604695.206035923</v>
      </c>
      <c r="O108" s="51" t="n">
        <v>7790271.82526472</v>
      </c>
    </row>
    <row r="109" ht="28.5" customHeight="1">
      <c r="A109" s="51" t="s">
        <v>8631</v>
      </c>
      <c r="B109" s="51" t="s">
        <v>7144</v>
      </c>
      <c r="C109" s="51" t="s">
        <v>7143</v>
      </c>
      <c r="D109" s="51" t="s">
        <v>8632</v>
      </c>
      <c r="E109" s="51" t="s">
        <v>7145</v>
      </c>
      <c r="F109" s="51" t="s">
        <v>7146</v>
      </c>
      <c r="G109" s="51" t="s">
        <v>6636</v>
      </c>
      <c r="H109" s="51" t="s">
        <v>6674</v>
      </c>
      <c r="I109" s="51" t="s">
        <v>7147</v>
      </c>
      <c r="J109" s="51" t="s">
        <v>7148</v>
      </c>
      <c r="K109" s="51" t="s">
        <v>7149</v>
      </c>
      <c r="L109" s="51" t="n">
        <v>-19.805392</v>
      </c>
      <c r="M109" s="51" t="n">
        <v>-43.957873</v>
      </c>
      <c r="N109" s="51" t="n">
        <v>609149.941283576</v>
      </c>
      <c r="O109" s="51" t="n">
        <v>7809717.42077006</v>
      </c>
    </row>
    <row r="110" ht="28.5" customHeight="1">
      <c r="A110" s="51" t="s">
        <v>8633</v>
      </c>
      <c r="B110" s="51" t="s">
        <v>7144</v>
      </c>
      <c r="C110" s="51" t="s">
        <v>7143</v>
      </c>
      <c r="D110" s="51" t="s">
        <v>8592</v>
      </c>
      <c r="E110" s="51" t="s">
        <v>7145</v>
      </c>
      <c r="F110" s="51" t="s">
        <v>7146</v>
      </c>
      <c r="G110" s="51" t="s">
        <v>6636</v>
      </c>
      <c r="H110" s="51" t="s">
        <v>6674</v>
      </c>
      <c r="I110" s="51" t="s">
        <v>7147</v>
      </c>
      <c r="J110" s="51" t="s">
        <v>7148</v>
      </c>
      <c r="K110" s="51" t="s">
        <v>7149</v>
      </c>
      <c r="L110" s="51" t="n">
        <v>-19.805392</v>
      </c>
      <c r="M110" s="51" t="n">
        <v>-43.957873</v>
      </c>
      <c r="N110" s="51" t="n">
        <v>609149.941283576</v>
      </c>
      <c r="O110" s="51" t="n">
        <v>7809717.42077006</v>
      </c>
    </row>
    <row r="111" ht="28.5" customHeight="1">
      <c r="A111" s="51" t="s">
        <v>8634</v>
      </c>
      <c r="B111" s="51" t="s">
        <v>7151</v>
      </c>
      <c r="C111" s="51" t="s">
        <v>7150</v>
      </c>
      <c r="D111" s="51" t="s">
        <v>8635</v>
      </c>
      <c r="E111" s="51" t="s">
        <v>7152</v>
      </c>
      <c r="F111" s="51" t="s">
        <v>7153</v>
      </c>
      <c r="G111" s="51" t="s">
        <v>6627</v>
      </c>
      <c r="H111" s="51" t="s">
        <v>6628</v>
      </c>
      <c r="I111" s="51" t="s">
        <v>7154</v>
      </c>
      <c r="J111" s="51" t="s">
        <v>7155</v>
      </c>
      <c r="K111" s="51" t="s">
        <v>7156</v>
      </c>
      <c r="L111" s="51" t="n">
        <v>-19.9298176136058</v>
      </c>
      <c r="M111" s="51" t="n">
        <v>-43.9742830424635</v>
      </c>
      <c r="N111" s="51" t="n">
        <v>607347.259804261</v>
      </c>
      <c r="O111" s="51" t="n">
        <v>7795957.48891511</v>
      </c>
    </row>
    <row r="112" ht="28.5" customHeight="1">
      <c r="A112" s="51" t="s">
        <v>8636</v>
      </c>
      <c r="B112" s="51" t="s">
        <v>7158</v>
      </c>
      <c r="C112" s="51" t="s">
        <v>7157</v>
      </c>
      <c r="D112" s="51" t="s">
        <v>8637</v>
      </c>
      <c r="E112" s="51" t="s">
        <v>7159</v>
      </c>
      <c r="F112" s="51" t="s">
        <v>6844</v>
      </c>
      <c r="G112" s="51" t="s">
        <v>6660</v>
      </c>
      <c r="H112" s="51" t="s">
        <v>6845</v>
      </c>
      <c r="I112" s="51" t="s">
        <v>7160</v>
      </c>
      <c r="J112" s="51" t="s">
        <v>7161</v>
      </c>
      <c r="K112" s="51" t="s">
        <v>7162</v>
      </c>
      <c r="L112" s="51" t="n">
        <v>-19.942395</v>
      </c>
      <c r="M112" s="51" t="n">
        <v>-43.914353</v>
      </c>
      <c r="N112" s="51" t="n">
        <v>613610.857836427</v>
      </c>
      <c r="O112" s="51" t="n">
        <v>7794526.09230761</v>
      </c>
    </row>
    <row r="113" ht="28.5" customHeight="1">
      <c r="A113" s="51" t="s">
        <v>8638</v>
      </c>
      <c r="B113" s="51" t="s">
        <v>7164</v>
      </c>
      <c r="C113" s="51" t="s">
        <v>7163</v>
      </c>
      <c r="D113" s="51" t="s">
        <v>8639</v>
      </c>
      <c r="E113" s="51" t="s">
        <v>7165</v>
      </c>
      <c r="F113" s="51" t="s">
        <v>7166</v>
      </c>
      <c r="G113" s="51" t="s">
        <v>6722</v>
      </c>
      <c r="H113" s="51" t="s">
        <v>6723</v>
      </c>
      <c r="I113" s="51" t="s">
        <v>7167</v>
      </c>
      <c r="J113" s="51" t="s">
        <v>7085</v>
      </c>
      <c r="K113" s="51" t="s">
        <v>7168</v>
      </c>
      <c r="L113" s="51" t="n">
        <v>-19.8417186615594</v>
      </c>
      <c r="M113" s="51" t="n">
        <v>-43.9090652870276</v>
      </c>
      <c r="N113" s="51" t="n">
        <v>614236.452164101</v>
      </c>
      <c r="O113" s="51" t="n">
        <v>7805664.77832755</v>
      </c>
    </row>
    <row r="114" ht="28.5" customHeight="1">
      <c r="A114" s="51" t="s">
        <v>8640</v>
      </c>
      <c r="B114" s="51" t="s">
        <v>7170</v>
      </c>
      <c r="C114" s="51" t="s">
        <v>7169</v>
      </c>
      <c r="D114" s="51" t="s">
        <v>8540</v>
      </c>
      <c r="E114" s="51" t="s">
        <v>7171</v>
      </c>
      <c r="F114" s="51" t="s">
        <v>7172</v>
      </c>
      <c r="G114" s="51" t="s">
        <v>6647</v>
      </c>
      <c r="H114" s="51" t="s">
        <v>6758</v>
      </c>
      <c r="I114" s="51" t="s">
        <v>7173</v>
      </c>
      <c r="J114" s="51" t="s">
        <v>7174</v>
      </c>
      <c r="K114" s="51" t="s">
        <v>7175</v>
      </c>
      <c r="L114" s="51" t="n">
        <v>-19.919501</v>
      </c>
      <c r="M114" s="51" t="n">
        <v>-43.877144</v>
      </c>
      <c r="N114" s="51" t="n">
        <v>617522.015891825</v>
      </c>
      <c r="O114" s="51" t="n">
        <v>7797034.2969598</v>
      </c>
    </row>
    <row r="115" ht="28.5" customHeight="1">
      <c r="A115" s="51" t="s">
        <v>8641</v>
      </c>
      <c r="B115" s="51" t="s">
        <v>7177</v>
      </c>
      <c r="C115" s="51" t="s">
        <v>7176</v>
      </c>
      <c r="D115" s="51" t="s">
        <v>8639</v>
      </c>
      <c r="E115" s="51" t="s">
        <v>7178</v>
      </c>
      <c r="F115" s="51" t="s">
        <v>7179</v>
      </c>
      <c r="G115" s="51" t="s">
        <v>6794</v>
      </c>
      <c r="H115" s="51" t="s">
        <v>6961</v>
      </c>
      <c r="I115" s="51" t="s">
        <v>7180</v>
      </c>
      <c r="J115" s="51" t="s">
        <v>7181</v>
      </c>
      <c r="K115" s="51" t="s">
        <v>7182</v>
      </c>
      <c r="L115" s="51" t="n">
        <v>-19.8492588873571</v>
      </c>
      <c r="M115" s="51" t="n">
        <v>-43.905621859688</v>
      </c>
      <c r="N115" s="51" t="n">
        <v>614591.650259487</v>
      </c>
      <c r="O115" s="51" t="n">
        <v>7804827.93894954</v>
      </c>
    </row>
    <row r="116" ht="28.5" customHeight="1">
      <c r="A116" s="51" t="s">
        <v>8642</v>
      </c>
      <c r="B116" s="51" t="s">
        <v>7184</v>
      </c>
      <c r="C116" s="51" t="s">
        <v>7183</v>
      </c>
      <c r="D116" s="51" t="s">
        <v>8643</v>
      </c>
      <c r="E116" s="51" t="s">
        <v>7185</v>
      </c>
      <c r="F116" s="51" t="s">
        <v>7186</v>
      </c>
      <c r="G116" s="51" t="s">
        <v>6611</v>
      </c>
      <c r="H116" s="51" t="s">
        <v>7187</v>
      </c>
      <c r="I116" s="51" t="s">
        <v>7188</v>
      </c>
      <c r="J116" s="51" t="s">
        <v>6978</v>
      </c>
      <c r="K116" s="51" t="s">
        <v>7189</v>
      </c>
      <c r="L116" s="51" t="n">
        <v>-19.885197</v>
      </c>
      <c r="M116" s="51" t="n">
        <v>-43.98767</v>
      </c>
      <c r="N116" s="51" t="n">
        <v>605975.835785874</v>
      </c>
      <c r="O116" s="51" t="n">
        <v>7800904.24625349</v>
      </c>
    </row>
    <row r="117" ht="28.5" customHeight="1">
      <c r="A117" s="51" t="s">
        <v>8644</v>
      </c>
      <c r="B117" s="51" t="s">
        <v>7184</v>
      </c>
      <c r="C117" s="51" t="s">
        <v>7183</v>
      </c>
      <c r="D117" s="51" t="s">
        <v>8645</v>
      </c>
      <c r="E117" s="51" t="s">
        <v>7185</v>
      </c>
      <c r="F117" s="51" t="s">
        <v>7186</v>
      </c>
      <c r="G117" s="51" t="s">
        <v>6611</v>
      </c>
      <c r="H117" s="51" t="s">
        <v>7187</v>
      </c>
      <c r="I117" s="51" t="s">
        <v>7188</v>
      </c>
      <c r="J117" s="51" t="s">
        <v>6978</v>
      </c>
      <c r="K117" s="51" t="s">
        <v>7189</v>
      </c>
      <c r="L117" s="51" t="n">
        <v>-19.885197</v>
      </c>
      <c r="M117" s="51" t="n">
        <v>-43.98767</v>
      </c>
      <c r="N117" s="51" t="n">
        <v>605975.835785874</v>
      </c>
      <c r="O117" s="51" t="n">
        <v>7800904.24625349</v>
      </c>
    </row>
    <row r="118" ht="28.5" customHeight="1">
      <c r="A118" s="51" t="s">
        <v>8646</v>
      </c>
      <c r="B118" s="51" t="s">
        <v>7191</v>
      </c>
      <c r="C118" s="51" t="s">
        <v>7190</v>
      </c>
      <c r="D118" s="51" t="s">
        <v>8558</v>
      </c>
      <c r="E118" s="51" t="s">
        <v>7192</v>
      </c>
      <c r="F118" s="51" t="s">
        <v>7193</v>
      </c>
      <c r="G118" s="51" t="s">
        <v>6794</v>
      </c>
      <c r="H118" s="51" t="s">
        <v>6795</v>
      </c>
      <c r="I118" s="51" t="s">
        <v>7194</v>
      </c>
      <c r="J118" s="51" t="s">
        <v>7195</v>
      </c>
      <c r="K118" s="51" t="s">
        <v>7196</v>
      </c>
      <c r="L118" s="51" t="n">
        <v>-19.872273085511</v>
      </c>
      <c r="M118" s="51" t="n">
        <v>-43.9388683642226</v>
      </c>
      <c r="N118" s="51" t="n">
        <v>611094.088525902</v>
      </c>
      <c r="O118" s="51" t="n">
        <v>7802303.12844881</v>
      </c>
    </row>
    <row r="119" ht="28.5" customHeight="1">
      <c r="A119" s="51" t="s">
        <v>8647</v>
      </c>
      <c r="B119" s="51" t="s">
        <v>7198</v>
      </c>
      <c r="C119" s="51" t="s">
        <v>7197</v>
      </c>
      <c r="D119" s="51" t="s">
        <v>8648</v>
      </c>
      <c r="E119" s="51" t="s">
        <v>7199</v>
      </c>
      <c r="F119" s="51" t="s">
        <v>7200</v>
      </c>
      <c r="G119" s="51" t="s">
        <v>6611</v>
      </c>
      <c r="H119" s="51" t="s">
        <v>6654</v>
      </c>
      <c r="I119" s="51" t="s">
        <v>7201</v>
      </c>
      <c r="J119" s="51" t="s">
        <v>7202</v>
      </c>
      <c r="K119" s="51" t="s">
        <v>7203</v>
      </c>
      <c r="L119" s="51" t="n">
        <v>-19.859495250369</v>
      </c>
      <c r="M119" s="51" t="n">
        <v>-43.9571640735191</v>
      </c>
      <c r="N119" s="51" t="n">
        <v>609187.22038363</v>
      </c>
      <c r="O119" s="51" t="n">
        <v>7803729.24093737</v>
      </c>
    </row>
    <row r="120" ht="28.5" customHeight="1">
      <c r="A120" s="51" t="s">
        <v>8649</v>
      </c>
      <c r="B120" s="51" t="s">
        <v>7205</v>
      </c>
      <c r="C120" s="51" t="s">
        <v>7204</v>
      </c>
      <c r="D120" s="51" t="s">
        <v>8650</v>
      </c>
      <c r="E120" s="51" t="s">
        <v>7206</v>
      </c>
      <c r="F120" s="51" t="s">
        <v>6844</v>
      </c>
      <c r="G120" s="51" t="s">
        <v>6660</v>
      </c>
      <c r="H120" s="51" t="s">
        <v>6845</v>
      </c>
      <c r="I120" s="51" t="s">
        <v>7207</v>
      </c>
      <c r="J120" s="51" t="s">
        <v>7208</v>
      </c>
      <c r="K120" s="51" t="s">
        <v>7209</v>
      </c>
      <c r="L120" s="51" t="n">
        <v>-19.934155</v>
      </c>
      <c r="M120" s="51" t="n">
        <v>-43.915821</v>
      </c>
      <c r="N120" s="51" t="n">
        <v>613463.105620317</v>
      </c>
      <c r="O120" s="51" t="n">
        <v>7795439.042939</v>
      </c>
    </row>
    <row r="121" ht="28.5" customHeight="1">
      <c r="A121" s="51" t="s">
        <v>8651</v>
      </c>
      <c r="B121" s="51" t="s">
        <v>7211</v>
      </c>
      <c r="C121" s="51" t="s">
        <v>7210</v>
      </c>
      <c r="D121" s="51" t="s">
        <v>8652</v>
      </c>
      <c r="E121" s="51" t="s">
        <v>7212</v>
      </c>
      <c r="F121" s="51" t="s">
        <v>7213</v>
      </c>
      <c r="G121" s="51" t="s">
        <v>6611</v>
      </c>
      <c r="H121" s="51" t="s">
        <v>6612</v>
      </c>
      <c r="I121" s="51" t="s">
        <v>7214</v>
      </c>
      <c r="J121" s="51" t="s">
        <v>7215</v>
      </c>
      <c r="K121" s="51" t="s">
        <v>7216</v>
      </c>
      <c r="L121" s="51" t="n">
        <v>-19.8980349592147</v>
      </c>
      <c r="M121" s="51" t="n">
        <v>-44.005301264141</v>
      </c>
      <c r="N121" s="51" t="n">
        <v>604121.567595768</v>
      </c>
      <c r="O121" s="51" t="n">
        <v>7799494.44696245</v>
      </c>
    </row>
    <row r="122" ht="28.5" customHeight="1">
      <c r="A122" s="51" t="s">
        <v>8653</v>
      </c>
      <c r="B122" s="51" t="s">
        <v>7218</v>
      </c>
      <c r="C122" s="51" t="s">
        <v>7217</v>
      </c>
      <c r="D122" s="51" t="s">
        <v>8654</v>
      </c>
      <c r="E122" s="51" t="s">
        <v>7219</v>
      </c>
      <c r="F122" s="51" t="s">
        <v>7220</v>
      </c>
      <c r="G122" s="51" t="s">
        <v>6627</v>
      </c>
      <c r="H122" s="51" t="s">
        <v>6681</v>
      </c>
      <c r="I122" s="51" t="s">
        <v>7221</v>
      </c>
      <c r="J122" s="51" t="s">
        <v>7222</v>
      </c>
      <c r="K122" s="51" t="s">
        <v>7223</v>
      </c>
      <c r="L122" s="51" t="n">
        <v>-19.972052</v>
      </c>
      <c r="M122" s="51" t="n">
        <v>-43.978387</v>
      </c>
      <c r="N122" s="51" t="n">
        <v>606889.280339692</v>
      </c>
      <c r="O122" s="51" t="n">
        <v>7791285.89958484</v>
      </c>
    </row>
    <row r="123" ht="28.5" customHeight="1">
      <c r="A123" s="51" t="s">
        <v>8655</v>
      </c>
      <c r="B123" s="51" t="s">
        <v>7225</v>
      </c>
      <c r="C123" s="51" t="s">
        <v>7224</v>
      </c>
      <c r="D123" s="51" t="s">
        <v>8656</v>
      </c>
      <c r="E123" s="51" t="s">
        <v>7226</v>
      </c>
      <c r="F123" s="51" t="s">
        <v>7227</v>
      </c>
      <c r="G123" s="51" t="s">
        <v>6647</v>
      </c>
      <c r="H123" s="51" t="s">
        <v>7228</v>
      </c>
      <c r="I123" s="51" t="s">
        <v>7229</v>
      </c>
      <c r="J123" s="51" t="s">
        <v>6725</v>
      </c>
      <c r="K123" s="51" t="s">
        <v>7230</v>
      </c>
      <c r="L123" s="51" t="n">
        <v>-19.9276871788131</v>
      </c>
      <c r="M123" s="51" t="n">
        <v>-43.9086835634337</v>
      </c>
      <c r="N123" s="51" t="n">
        <v>614214.78111931</v>
      </c>
      <c r="O123" s="51" t="n">
        <v>7796150.03100298</v>
      </c>
    </row>
    <row r="124" ht="28.5" customHeight="1">
      <c r="A124" s="51" t="s">
        <v>8657</v>
      </c>
      <c r="B124" s="51" t="s">
        <v>7225</v>
      </c>
      <c r="C124" s="51" t="s">
        <v>7224</v>
      </c>
      <c r="D124" s="51" t="s">
        <v>8658</v>
      </c>
      <c r="E124" s="51" t="s">
        <v>7226</v>
      </c>
      <c r="F124" s="51" t="s">
        <v>7227</v>
      </c>
      <c r="G124" s="51" t="s">
        <v>6647</v>
      </c>
      <c r="H124" s="51" t="s">
        <v>7228</v>
      </c>
      <c r="I124" s="51" t="s">
        <v>7229</v>
      </c>
      <c r="J124" s="51" t="s">
        <v>6725</v>
      </c>
      <c r="K124" s="51" t="s">
        <v>7230</v>
      </c>
      <c r="L124" s="51" t="n">
        <v>-19.9276871788131</v>
      </c>
      <c r="M124" s="51" t="n">
        <v>-43.9086835634337</v>
      </c>
      <c r="N124" s="51" t="n">
        <v>614214.78111931</v>
      </c>
      <c r="O124" s="51" t="n">
        <v>7796150.03100298</v>
      </c>
    </row>
    <row r="125" ht="28.5" customHeight="1">
      <c r="A125" s="51" t="s">
        <v>8659</v>
      </c>
      <c r="B125" s="51" t="s">
        <v>7232</v>
      </c>
      <c r="C125" s="51" t="s">
        <v>7231</v>
      </c>
      <c r="D125" s="51" t="s">
        <v>8660</v>
      </c>
      <c r="E125" s="51" t="s">
        <v>7233</v>
      </c>
      <c r="F125" s="51" t="s">
        <v>7234</v>
      </c>
      <c r="G125" s="51" t="s">
        <v>6794</v>
      </c>
      <c r="H125" s="51" t="s">
        <v>6961</v>
      </c>
      <c r="I125" s="51" t="s">
        <v>7235</v>
      </c>
      <c r="J125" s="51" t="s">
        <v>7236</v>
      </c>
      <c r="K125" s="51" t="s">
        <v>7237</v>
      </c>
      <c r="L125" s="51" t="n">
        <v>-19.833107</v>
      </c>
      <c r="M125" s="51" t="n">
        <v>-43.883095</v>
      </c>
      <c r="N125" s="51" t="n">
        <v>616962.481823471</v>
      </c>
      <c r="O125" s="51" t="n">
        <v>7806600.07942572</v>
      </c>
    </row>
    <row r="126" ht="28.5" customHeight="1">
      <c r="A126" s="51" t="s">
        <v>8661</v>
      </c>
      <c r="B126" s="51" t="s">
        <v>7239</v>
      </c>
      <c r="C126" s="51" t="s">
        <v>7238</v>
      </c>
      <c r="D126" s="51" t="s">
        <v>8662</v>
      </c>
      <c r="E126" s="51" t="s">
        <v>7240</v>
      </c>
      <c r="F126" s="51" t="s">
        <v>7241</v>
      </c>
      <c r="G126" s="51" t="s">
        <v>6689</v>
      </c>
      <c r="H126" s="51" t="s">
        <v>6995</v>
      </c>
      <c r="I126" s="51" t="s">
        <v>7242</v>
      </c>
      <c r="J126" s="51" t="s">
        <v>7243</v>
      </c>
      <c r="K126" s="51" t="s">
        <v>7244</v>
      </c>
      <c r="L126" s="51" t="n">
        <v>-19.999543</v>
      </c>
      <c r="M126" s="51" t="n">
        <v>-43.967055</v>
      </c>
      <c r="N126" s="51" t="n">
        <v>608056.273308228</v>
      </c>
      <c r="O126" s="51" t="n">
        <v>7788236.10644308</v>
      </c>
    </row>
    <row r="127" ht="28.5" customHeight="1">
      <c r="A127" s="51" t="s">
        <v>8663</v>
      </c>
      <c r="B127" s="51" t="s">
        <v>7239</v>
      </c>
      <c r="C127" s="51" t="s">
        <v>7238</v>
      </c>
      <c r="D127" s="51" t="s">
        <v>8639</v>
      </c>
      <c r="E127" s="51" t="s">
        <v>7240</v>
      </c>
      <c r="F127" s="51" t="s">
        <v>7241</v>
      </c>
      <c r="G127" s="51" t="s">
        <v>6689</v>
      </c>
      <c r="H127" s="51" t="s">
        <v>6995</v>
      </c>
      <c r="I127" s="51" t="s">
        <v>7242</v>
      </c>
      <c r="J127" s="51" t="s">
        <v>7243</v>
      </c>
      <c r="K127" s="51" t="s">
        <v>7244</v>
      </c>
      <c r="L127" s="51" t="n">
        <v>-19.999543</v>
      </c>
      <c r="M127" s="51" t="n">
        <v>-43.967055</v>
      </c>
      <c r="N127" s="51" t="n">
        <v>608056.273308228</v>
      </c>
      <c r="O127" s="51" t="n">
        <v>7788236.10644308</v>
      </c>
    </row>
    <row r="128" ht="28.5" customHeight="1">
      <c r="A128" s="51" t="s">
        <v>8664</v>
      </c>
      <c r="B128" s="51" t="s">
        <v>7246</v>
      </c>
      <c r="C128" s="51" t="s">
        <v>7245</v>
      </c>
      <c r="D128" s="51" t="s">
        <v>8665</v>
      </c>
      <c r="E128" s="51" t="s">
        <v>7247</v>
      </c>
      <c r="F128" s="51" t="s">
        <v>6714</v>
      </c>
      <c r="G128" s="51" t="s">
        <v>6583</v>
      </c>
      <c r="H128" s="51" t="s">
        <v>6591</v>
      </c>
      <c r="I128" s="51" t="s">
        <v>7248</v>
      </c>
      <c r="J128" s="51" t="s">
        <v>7249</v>
      </c>
      <c r="K128" s="51" t="s">
        <v>7250</v>
      </c>
      <c r="L128" s="51" t="n">
        <v>-19.908413</v>
      </c>
      <c r="M128" s="51" t="n">
        <v>-44.020635</v>
      </c>
      <c r="N128" s="51" t="n">
        <v>602509.679986293</v>
      </c>
      <c r="O128" s="51" t="n">
        <v>7798355.30812361</v>
      </c>
    </row>
    <row r="129" ht="28.5" customHeight="1">
      <c r="A129" s="51" t="s">
        <v>8666</v>
      </c>
      <c r="B129" s="51" t="s">
        <v>7246</v>
      </c>
      <c r="C129" s="51" t="s">
        <v>7245</v>
      </c>
      <c r="D129" s="51" t="s">
        <v>8667</v>
      </c>
      <c r="E129" s="51" t="s">
        <v>7247</v>
      </c>
      <c r="F129" s="51" t="s">
        <v>6714</v>
      </c>
      <c r="G129" s="51" t="s">
        <v>6583</v>
      </c>
      <c r="H129" s="51" t="s">
        <v>6591</v>
      </c>
      <c r="I129" s="51" t="s">
        <v>7248</v>
      </c>
      <c r="J129" s="51" t="s">
        <v>7249</v>
      </c>
      <c r="K129" s="51" t="s">
        <v>7250</v>
      </c>
      <c r="L129" s="51" t="n">
        <v>-19.908413</v>
      </c>
      <c r="M129" s="51" t="n">
        <v>-44.020635</v>
      </c>
      <c r="N129" s="51" t="n">
        <v>602509.679986293</v>
      </c>
      <c r="O129" s="51" t="n">
        <v>7798355.30812361</v>
      </c>
    </row>
    <row r="130" ht="28.5" customHeight="1">
      <c r="A130" s="51" t="s">
        <v>8668</v>
      </c>
      <c r="B130" s="51" t="s">
        <v>7252</v>
      </c>
      <c r="C130" s="51" t="s">
        <v>7251</v>
      </c>
      <c r="D130" s="51" t="s">
        <v>8669</v>
      </c>
      <c r="E130" s="51" t="s">
        <v>7253</v>
      </c>
      <c r="F130" s="51" t="s">
        <v>7254</v>
      </c>
      <c r="G130" s="51" t="s">
        <v>6647</v>
      </c>
      <c r="H130" s="51" t="s">
        <v>7228</v>
      </c>
      <c r="I130" s="51" t="s">
        <v>7255</v>
      </c>
      <c r="J130" s="51" t="s">
        <v>7256</v>
      </c>
      <c r="K130" s="51" t="s">
        <v>7257</v>
      </c>
      <c r="L130" s="51" t="n">
        <v>-19.912423</v>
      </c>
      <c r="M130" s="51" t="n">
        <v>-43.904446</v>
      </c>
      <c r="N130" s="51" t="n">
        <v>614669.323916433</v>
      </c>
      <c r="O130" s="51" t="n">
        <v>7797836.50333924</v>
      </c>
    </row>
    <row r="131" ht="28.5" customHeight="1">
      <c r="A131" s="51" t="s">
        <v>8670</v>
      </c>
      <c r="B131" s="51" t="s">
        <v>7252</v>
      </c>
      <c r="C131" s="51" t="s">
        <v>7251</v>
      </c>
      <c r="D131" s="51" t="s">
        <v>8671</v>
      </c>
      <c r="E131" s="51" t="s">
        <v>7253</v>
      </c>
      <c r="F131" s="51" t="s">
        <v>7254</v>
      </c>
      <c r="G131" s="51" t="s">
        <v>6647</v>
      </c>
      <c r="H131" s="51" t="s">
        <v>7228</v>
      </c>
      <c r="I131" s="51" t="s">
        <v>7255</v>
      </c>
      <c r="J131" s="51" t="s">
        <v>7256</v>
      </c>
      <c r="K131" s="51" t="s">
        <v>7257</v>
      </c>
      <c r="L131" s="51" t="n">
        <v>-19.912423</v>
      </c>
      <c r="M131" s="51" t="n">
        <v>-43.904446</v>
      </c>
      <c r="N131" s="51" t="n">
        <v>614669.323916433</v>
      </c>
      <c r="O131" s="51" t="n">
        <v>7797836.50333924</v>
      </c>
    </row>
    <row r="132" ht="28.5" customHeight="1">
      <c r="A132" s="51" t="s">
        <v>8672</v>
      </c>
      <c r="B132" s="51" t="s">
        <v>7252</v>
      </c>
      <c r="C132" s="51" t="s">
        <v>7251</v>
      </c>
      <c r="D132" s="51" t="s">
        <v>8673</v>
      </c>
      <c r="E132" s="51" t="s">
        <v>7253</v>
      </c>
      <c r="F132" s="51" t="s">
        <v>7254</v>
      </c>
      <c r="G132" s="51" t="s">
        <v>6647</v>
      </c>
      <c r="H132" s="51" t="s">
        <v>7228</v>
      </c>
      <c r="I132" s="51" t="s">
        <v>7255</v>
      </c>
      <c r="J132" s="51" t="s">
        <v>7256</v>
      </c>
      <c r="K132" s="51" t="s">
        <v>7257</v>
      </c>
      <c r="L132" s="51" t="n">
        <v>-19.912423</v>
      </c>
      <c r="M132" s="51" t="n">
        <v>-43.904446</v>
      </c>
      <c r="N132" s="51" t="n">
        <v>614669.323916433</v>
      </c>
      <c r="O132" s="51" t="n">
        <v>7797836.50333924</v>
      </c>
    </row>
    <row r="133" ht="28.5" customHeight="1">
      <c r="A133" s="51" t="s">
        <v>8674</v>
      </c>
      <c r="B133" s="51" t="s">
        <v>7259</v>
      </c>
      <c r="C133" s="51" t="s">
        <v>7258</v>
      </c>
      <c r="D133" s="51" t="s">
        <v>8675</v>
      </c>
      <c r="E133" s="51" t="s">
        <v>7260</v>
      </c>
      <c r="F133" s="51" t="s">
        <v>7261</v>
      </c>
      <c r="G133" s="51" t="s">
        <v>6722</v>
      </c>
      <c r="H133" s="51" t="s">
        <v>7262</v>
      </c>
      <c r="I133" s="51" t="s">
        <v>7263</v>
      </c>
      <c r="J133" s="51" t="s">
        <v>7264</v>
      </c>
      <c r="K133" s="51" t="s">
        <v>7265</v>
      </c>
      <c r="L133" s="51" t="n">
        <v>-19.8614269860641</v>
      </c>
      <c r="M133" s="51" t="n">
        <v>-43.9275494103883</v>
      </c>
      <c r="N133" s="51" t="n">
        <v>612286.857822941</v>
      </c>
      <c r="O133" s="51" t="n">
        <v>7803496.00106759</v>
      </c>
    </row>
    <row r="134" ht="28.5" customHeight="1">
      <c r="A134" s="51" t="s">
        <v>8676</v>
      </c>
      <c r="B134" s="51" t="s">
        <v>7267</v>
      </c>
      <c r="C134" s="51" t="s">
        <v>7266</v>
      </c>
      <c r="D134" s="51" t="s">
        <v>8558</v>
      </c>
      <c r="E134" s="51" t="s">
        <v>7268</v>
      </c>
      <c r="F134" s="51" t="s">
        <v>7022</v>
      </c>
      <c r="G134" s="51" t="s">
        <v>6794</v>
      </c>
      <c r="H134" s="51" t="s">
        <v>6961</v>
      </c>
      <c r="I134" s="51" t="s">
        <v>7269</v>
      </c>
      <c r="J134" s="51" t="s">
        <v>7270</v>
      </c>
      <c r="K134" s="51" t="s">
        <v>7271</v>
      </c>
      <c r="L134" s="51" t="n">
        <v>-19.837603</v>
      </c>
      <c r="M134" s="51" t="n">
        <v>-43.901038</v>
      </c>
      <c r="N134" s="51" t="n">
        <v>615080.068888253</v>
      </c>
      <c r="O134" s="51" t="n">
        <v>7806114.8205991</v>
      </c>
    </row>
    <row r="135" ht="28.5" customHeight="1">
      <c r="A135" s="51" t="s">
        <v>8677</v>
      </c>
      <c r="B135" s="51" t="s">
        <v>7267</v>
      </c>
      <c r="C135" s="51" t="s">
        <v>7266</v>
      </c>
      <c r="D135" s="51" t="s">
        <v>8678</v>
      </c>
      <c r="E135" s="51" t="s">
        <v>7268</v>
      </c>
      <c r="F135" s="51" t="s">
        <v>7022</v>
      </c>
      <c r="G135" s="51" t="s">
        <v>6794</v>
      </c>
      <c r="H135" s="51" t="s">
        <v>6961</v>
      </c>
      <c r="I135" s="51" t="s">
        <v>7269</v>
      </c>
      <c r="J135" s="51" t="s">
        <v>7270</v>
      </c>
      <c r="K135" s="51" t="s">
        <v>7271</v>
      </c>
      <c r="L135" s="51" t="n">
        <v>-19.837603</v>
      </c>
      <c r="M135" s="51" t="n">
        <v>-43.901038</v>
      </c>
      <c r="N135" s="51" t="n">
        <v>615080.068888253</v>
      </c>
      <c r="O135" s="51" t="n">
        <v>7806114.8205991</v>
      </c>
    </row>
    <row r="136" ht="28.5" customHeight="1">
      <c r="A136" s="51" t="s">
        <v>8679</v>
      </c>
      <c r="B136" s="51" t="s">
        <v>7273</v>
      </c>
      <c r="C136" s="51" t="s">
        <v>7272</v>
      </c>
      <c r="D136" s="51" t="s">
        <v>8680</v>
      </c>
      <c r="E136" s="51" t="s">
        <v>7274</v>
      </c>
      <c r="F136" s="51" t="s">
        <v>6773</v>
      </c>
      <c r="G136" s="51" t="s">
        <v>6627</v>
      </c>
      <c r="H136" s="51" t="s">
        <v>6628</v>
      </c>
      <c r="I136" s="51" t="s">
        <v>7275</v>
      </c>
      <c r="J136" s="51" t="s">
        <v>7276</v>
      </c>
      <c r="K136" s="51" t="s">
        <v>7277</v>
      </c>
      <c r="L136" s="51" t="n">
        <v>-19.9442013463568</v>
      </c>
      <c r="M136" s="51" t="n">
        <v>-43.985090994851</v>
      </c>
      <c r="N136" s="51" t="n">
        <v>606206.43652362</v>
      </c>
      <c r="O136" s="51" t="n">
        <v>7794372.4705889</v>
      </c>
    </row>
    <row r="137" ht="28.5" customHeight="1">
      <c r="A137" s="51" t="s">
        <v>8681</v>
      </c>
      <c r="B137" s="51" t="s">
        <v>7279</v>
      </c>
      <c r="C137" s="51" t="s">
        <v>7278</v>
      </c>
      <c r="D137" s="51" t="s">
        <v>8682</v>
      </c>
      <c r="E137" s="51" t="s">
        <v>7280</v>
      </c>
      <c r="F137" s="51" t="s">
        <v>6751</v>
      </c>
      <c r="G137" s="51" t="s">
        <v>6689</v>
      </c>
      <c r="H137" s="51" t="s">
        <v>6690</v>
      </c>
      <c r="I137" s="51" t="s">
        <v>7281</v>
      </c>
      <c r="J137" s="51" t="s">
        <v>7282</v>
      </c>
      <c r="K137" s="51" t="s">
        <v>7283</v>
      </c>
      <c r="L137" s="51" t="n">
        <v>-19.999565</v>
      </c>
      <c r="M137" s="51" t="n">
        <v>-44.032823</v>
      </c>
      <c r="N137" s="51" t="n">
        <v>601175.754142686</v>
      </c>
      <c r="O137" s="51" t="n">
        <v>7788274.74983965</v>
      </c>
    </row>
    <row r="138">
      <c r="A138" s="51" t="s">
        <v>8683</v>
      </c>
      <c r="B138" s="51" t="s">
        <v>7285</v>
      </c>
      <c r="C138" s="51" t="s">
        <v>7284</v>
      </c>
      <c r="D138" s="51" t="s">
        <v>8684</v>
      </c>
      <c r="E138" s="51" t="s">
        <v>7286</v>
      </c>
      <c r="F138" s="51" t="s">
        <v>6646</v>
      </c>
      <c r="G138" s="51" t="s">
        <v>6647</v>
      </c>
      <c r="H138" s="51" t="s">
        <v>6648</v>
      </c>
      <c r="I138" s="51" t="s">
        <v>7287</v>
      </c>
      <c r="J138" s="51" t="s">
        <v>7017</v>
      </c>
      <c r="K138" s="51"/>
      <c r="L138" s="51" t="n">
        <v>-19.887808</v>
      </c>
      <c r="M138" s="51" t="n">
        <v>-43.906049</v>
      </c>
      <c r="N138" s="51" t="n">
        <v>614519.232375687</v>
      </c>
      <c r="O138" s="51" t="n">
        <v>7800561.84496365</v>
      </c>
    </row>
    <row r="139" ht="28.5" customHeight="1">
      <c r="A139" s="51" t="s">
        <v>8685</v>
      </c>
      <c r="B139" s="51" t="s">
        <v>7289</v>
      </c>
      <c r="C139" s="51" t="s">
        <v>7288</v>
      </c>
      <c r="D139" s="51" t="s">
        <v>8558</v>
      </c>
      <c r="E139" s="51" t="s">
        <v>7290</v>
      </c>
      <c r="F139" s="51" t="s">
        <v>7291</v>
      </c>
      <c r="G139" s="51" t="s">
        <v>6660</v>
      </c>
      <c r="H139" s="51" t="s">
        <v>7292</v>
      </c>
      <c r="I139" s="51" t="s">
        <v>7293</v>
      </c>
      <c r="J139" s="51" t="s">
        <v>7294</v>
      </c>
      <c r="K139" s="51" t="s">
        <v>7295</v>
      </c>
      <c r="L139" s="51" t="n">
        <v>-19.946287</v>
      </c>
      <c r="M139" s="51" t="n">
        <v>-43.938673</v>
      </c>
      <c r="N139" s="51" t="n">
        <v>611062.867424183</v>
      </c>
      <c r="O139" s="51" t="n">
        <v>7794111.61625151</v>
      </c>
    </row>
    <row r="140" ht="28.5" customHeight="1">
      <c r="A140" s="51" t="s">
        <v>8686</v>
      </c>
      <c r="B140" s="51" t="s">
        <v>7297</v>
      </c>
      <c r="C140" s="51" t="s">
        <v>7296</v>
      </c>
      <c r="D140" s="51" t="s">
        <v>8687</v>
      </c>
      <c r="E140" s="51" t="s">
        <v>7298</v>
      </c>
      <c r="F140" s="51" t="s">
        <v>7299</v>
      </c>
      <c r="G140" s="51" t="s">
        <v>6611</v>
      </c>
      <c r="H140" s="51" t="s">
        <v>6654</v>
      </c>
      <c r="I140" s="51" t="s">
        <v>7300</v>
      </c>
      <c r="J140" s="51" t="s">
        <v>6859</v>
      </c>
      <c r="K140" s="51" t="s">
        <v>7301</v>
      </c>
      <c r="L140" s="51" t="n">
        <v>-19.8664712713794</v>
      </c>
      <c r="M140" s="51" t="n">
        <v>-43.942801010953</v>
      </c>
      <c r="N140" s="51" t="n">
        <v>610686.355139977</v>
      </c>
      <c r="O140" s="51" t="n">
        <v>7802947.82016084</v>
      </c>
    </row>
    <row r="141" ht="28.5" customHeight="1">
      <c r="A141" s="51" t="s">
        <v>8688</v>
      </c>
      <c r="B141" s="51" t="s">
        <v>7303</v>
      </c>
      <c r="C141" s="51" t="s">
        <v>7302</v>
      </c>
      <c r="D141" s="51" t="s">
        <v>8689</v>
      </c>
      <c r="E141" s="51" t="s">
        <v>7304</v>
      </c>
      <c r="F141" s="51" t="s">
        <v>7305</v>
      </c>
      <c r="G141" s="51" t="s">
        <v>6611</v>
      </c>
      <c r="H141" s="51" t="s">
        <v>6612</v>
      </c>
      <c r="I141" s="51" t="s">
        <v>7306</v>
      </c>
      <c r="J141" s="51" t="s">
        <v>7307</v>
      </c>
      <c r="K141" s="51" t="s">
        <v>7308</v>
      </c>
      <c r="L141" s="51" t="n">
        <v>-19.8753</v>
      </c>
      <c r="M141" s="51" t="n">
        <v>-44.007074</v>
      </c>
      <c r="N141" s="51" t="n">
        <v>603950.823252174</v>
      </c>
      <c r="O141" s="51" t="n">
        <v>7802011.65364803</v>
      </c>
    </row>
    <row r="142" ht="28.5" customHeight="1">
      <c r="A142" s="51" t="s">
        <v>8690</v>
      </c>
      <c r="B142" s="51" t="s">
        <v>7303</v>
      </c>
      <c r="C142" s="51" t="s">
        <v>7302</v>
      </c>
      <c r="D142" s="51" t="s">
        <v>8691</v>
      </c>
      <c r="E142" s="51" t="s">
        <v>7304</v>
      </c>
      <c r="F142" s="51" t="s">
        <v>7305</v>
      </c>
      <c r="G142" s="51" t="s">
        <v>6611</v>
      </c>
      <c r="H142" s="51" t="s">
        <v>6612</v>
      </c>
      <c r="I142" s="51" t="s">
        <v>7306</v>
      </c>
      <c r="J142" s="51" t="s">
        <v>7307</v>
      </c>
      <c r="K142" s="51" t="s">
        <v>7308</v>
      </c>
      <c r="L142" s="51" t="n">
        <v>-19.8753</v>
      </c>
      <c r="M142" s="51" t="n">
        <v>-44.007074</v>
      </c>
      <c r="N142" s="51" t="n">
        <v>603950.823252174</v>
      </c>
      <c r="O142" s="51" t="n">
        <v>7802011.65364803</v>
      </c>
    </row>
    <row r="143" ht="28.5" customHeight="1">
      <c r="A143" s="51" t="s">
        <v>8692</v>
      </c>
      <c r="B143" s="51" t="s">
        <v>7303</v>
      </c>
      <c r="C143" s="51" t="s">
        <v>7302</v>
      </c>
      <c r="D143" s="51" t="s">
        <v>8693</v>
      </c>
      <c r="E143" s="51" t="s">
        <v>7304</v>
      </c>
      <c r="F143" s="51" t="s">
        <v>7305</v>
      </c>
      <c r="G143" s="51" t="s">
        <v>6611</v>
      </c>
      <c r="H143" s="51" t="s">
        <v>6612</v>
      </c>
      <c r="I143" s="51" t="s">
        <v>7306</v>
      </c>
      <c r="J143" s="51" t="s">
        <v>7307</v>
      </c>
      <c r="K143" s="51" t="s">
        <v>7308</v>
      </c>
      <c r="L143" s="51" t="n">
        <v>-19.8753</v>
      </c>
      <c r="M143" s="51" t="n">
        <v>-44.007074</v>
      </c>
      <c r="N143" s="51" t="n">
        <v>603950.823252174</v>
      </c>
      <c r="O143" s="51" t="n">
        <v>7802011.65364803</v>
      </c>
    </row>
    <row r="144" ht="28.5" customHeight="1">
      <c r="A144" s="51" t="s">
        <v>8694</v>
      </c>
      <c r="B144" s="51" t="s">
        <v>7310</v>
      </c>
      <c r="C144" s="51" t="s">
        <v>7309</v>
      </c>
      <c r="D144" s="51" t="s">
        <v>8622</v>
      </c>
      <c r="E144" s="51" t="s">
        <v>7311</v>
      </c>
      <c r="F144" s="51" t="s">
        <v>6836</v>
      </c>
      <c r="G144" s="51" t="s">
        <v>6636</v>
      </c>
      <c r="H144" s="51" t="s">
        <v>6837</v>
      </c>
      <c r="I144" s="51" t="s">
        <v>7312</v>
      </c>
      <c r="J144" s="51" t="s">
        <v>7313</v>
      </c>
      <c r="K144" s="51" t="s">
        <v>7314</v>
      </c>
      <c r="L144" s="51" t="n">
        <v>-19.817783</v>
      </c>
      <c r="M144" s="51" t="n">
        <v>-43.958923</v>
      </c>
      <c r="N144" s="51" t="n">
        <v>609031.511177235</v>
      </c>
      <c r="O144" s="51" t="n">
        <v>7808346.76362711</v>
      </c>
    </row>
    <row r="145">
      <c r="A145" s="51" t="s">
        <v>8695</v>
      </c>
      <c r="B145" s="51" t="s">
        <v>7316</v>
      </c>
      <c r="C145" s="51" t="s">
        <v>7315</v>
      </c>
      <c r="D145" s="51" t="s">
        <v>8639</v>
      </c>
      <c r="E145" s="51" t="s">
        <v>7317</v>
      </c>
      <c r="F145" s="51" t="s">
        <v>7318</v>
      </c>
      <c r="G145" s="51" t="s">
        <v>6583</v>
      </c>
      <c r="H145" s="51" t="s">
        <v>6584</v>
      </c>
      <c r="I145" s="51" t="s">
        <v>7319</v>
      </c>
      <c r="J145" s="51" t="s">
        <v>7005</v>
      </c>
      <c r="K145" s="51" t="s">
        <v>7320</v>
      </c>
      <c r="L145" s="51" t="n">
        <v>-19.9049179954836</v>
      </c>
      <c r="M145" s="51" t="n">
        <v>-43.9569549690174</v>
      </c>
      <c r="N145" s="51" t="n">
        <v>609177.989202315</v>
      </c>
      <c r="O145" s="51" t="n">
        <v>7798702.04618034</v>
      </c>
    </row>
    <row r="146" ht="28.5" customHeight="1">
      <c r="A146" s="51" t="s">
        <v>8696</v>
      </c>
      <c r="B146" s="51" t="s">
        <v>7322</v>
      </c>
      <c r="C146" s="51" t="s">
        <v>7321</v>
      </c>
      <c r="D146" s="51" t="s">
        <v>8697</v>
      </c>
      <c r="E146" s="51" t="s">
        <v>7323</v>
      </c>
      <c r="F146" s="51" t="s">
        <v>7324</v>
      </c>
      <c r="G146" s="51" t="s">
        <v>6794</v>
      </c>
      <c r="H146" s="51" t="s">
        <v>6961</v>
      </c>
      <c r="I146" s="51" t="s">
        <v>7325</v>
      </c>
      <c r="J146" s="51" t="s">
        <v>7326</v>
      </c>
      <c r="K146" s="51" t="s">
        <v>7327</v>
      </c>
      <c r="L146" s="51" t="n">
        <v>-19.8566546196536</v>
      </c>
      <c r="M146" s="51" t="n">
        <v>-43.913836677252</v>
      </c>
      <c r="N146" s="51" t="n">
        <v>613726.13151565</v>
      </c>
      <c r="O146" s="51" t="n">
        <v>7804014.98566743</v>
      </c>
    </row>
    <row r="147" ht="28.5" customHeight="1">
      <c r="A147" s="51" t="s">
        <v>8698</v>
      </c>
      <c r="B147" s="51" t="s">
        <v>7329</v>
      </c>
      <c r="C147" s="51" t="s">
        <v>7328</v>
      </c>
      <c r="D147" s="51" t="s">
        <v>8540</v>
      </c>
      <c r="E147" s="51" t="s">
        <v>7330</v>
      </c>
      <c r="F147" s="51" t="s">
        <v>6786</v>
      </c>
      <c r="G147" s="51" t="s">
        <v>6647</v>
      </c>
      <c r="H147" s="51" t="s">
        <v>6648</v>
      </c>
      <c r="I147" s="51" t="s">
        <v>7331</v>
      </c>
      <c r="J147" s="51" t="s">
        <v>7332</v>
      </c>
      <c r="K147" s="51" t="s">
        <v>7333</v>
      </c>
      <c r="L147" s="51" t="n">
        <v>-19.8999133981526</v>
      </c>
      <c r="M147" s="51" t="n">
        <v>-43.904753329469</v>
      </c>
      <c r="N147" s="51" t="n">
        <v>614646.16547207</v>
      </c>
      <c r="O147" s="51" t="n">
        <v>7799221.20647061</v>
      </c>
    </row>
    <row r="148" ht="28.5" customHeight="1">
      <c r="A148" s="51" t="s">
        <v>8699</v>
      </c>
      <c r="B148" s="51" t="s">
        <v>7335</v>
      </c>
      <c r="C148" s="51" t="s">
        <v>7334</v>
      </c>
      <c r="D148" s="51" t="s">
        <v>8700</v>
      </c>
      <c r="E148" s="51" t="s">
        <v>7336</v>
      </c>
      <c r="F148" s="51" t="s">
        <v>6864</v>
      </c>
      <c r="G148" s="51" t="s">
        <v>6627</v>
      </c>
      <c r="H148" s="51" t="s">
        <v>6628</v>
      </c>
      <c r="I148" s="51" t="s">
        <v>7337</v>
      </c>
      <c r="J148" s="51" t="s">
        <v>7338</v>
      </c>
      <c r="K148" s="51" t="s">
        <v>7339</v>
      </c>
      <c r="L148" s="51" t="n">
        <v>-19.9421043034749</v>
      </c>
      <c r="M148" s="51" t="n">
        <v>-43.9638136086893</v>
      </c>
      <c r="N148" s="51" t="n">
        <v>608434.652919017</v>
      </c>
      <c r="O148" s="51" t="n">
        <v>7794590.96009753</v>
      </c>
    </row>
    <row r="149" ht="28.5" customHeight="1">
      <c r="A149" s="51" t="s">
        <v>8701</v>
      </c>
      <c r="B149" s="51" t="s">
        <v>7341</v>
      </c>
      <c r="C149" s="51" t="s">
        <v>7340</v>
      </c>
      <c r="D149" s="51" t="s">
        <v>8702</v>
      </c>
      <c r="E149" s="51" t="s">
        <v>7342</v>
      </c>
      <c r="F149" s="51" t="s">
        <v>7343</v>
      </c>
      <c r="G149" s="51" t="s">
        <v>6611</v>
      </c>
      <c r="H149" s="51" t="s">
        <v>6612</v>
      </c>
      <c r="I149" s="51" t="s">
        <v>7344</v>
      </c>
      <c r="J149" s="51" t="s">
        <v>7345</v>
      </c>
      <c r="K149" s="51" t="s">
        <v>7346</v>
      </c>
      <c r="L149" s="51" t="n">
        <v>-19.900483</v>
      </c>
      <c r="M149" s="51" t="n">
        <v>-43.998898</v>
      </c>
      <c r="N149" s="51" t="n">
        <v>604790.279976831</v>
      </c>
      <c r="O149" s="51" t="n">
        <v>7799219.5439414</v>
      </c>
    </row>
    <row r="150" ht="28.5" customHeight="1">
      <c r="A150" s="51" t="s">
        <v>8703</v>
      </c>
      <c r="B150" s="51" t="s">
        <v>7341</v>
      </c>
      <c r="C150" s="51" t="s">
        <v>7340</v>
      </c>
      <c r="D150" s="51" t="s">
        <v>8704</v>
      </c>
      <c r="E150" s="51" t="s">
        <v>7342</v>
      </c>
      <c r="F150" s="51" t="s">
        <v>7343</v>
      </c>
      <c r="G150" s="51" t="s">
        <v>6611</v>
      </c>
      <c r="H150" s="51" t="s">
        <v>6612</v>
      </c>
      <c r="I150" s="51" t="s">
        <v>7344</v>
      </c>
      <c r="J150" s="51" t="s">
        <v>7345</v>
      </c>
      <c r="K150" s="51" t="s">
        <v>7346</v>
      </c>
      <c r="L150" s="51" t="n">
        <v>-19.900483</v>
      </c>
      <c r="M150" s="51" t="n">
        <v>-43.998898</v>
      </c>
      <c r="N150" s="51" t="n">
        <v>604790.279976831</v>
      </c>
      <c r="O150" s="51" t="n">
        <v>7799219.5439414</v>
      </c>
    </row>
    <row r="151" ht="28.5" customHeight="1">
      <c r="A151" s="51" t="s">
        <v>8705</v>
      </c>
      <c r="B151" s="51" t="s">
        <v>7348</v>
      </c>
      <c r="C151" s="51" t="s">
        <v>7347</v>
      </c>
      <c r="D151" s="51" t="s">
        <v>8540</v>
      </c>
      <c r="E151" s="51" t="s">
        <v>7349</v>
      </c>
      <c r="F151" s="51" t="s">
        <v>7350</v>
      </c>
      <c r="G151" s="51" t="s">
        <v>6647</v>
      </c>
      <c r="H151" s="51" t="s">
        <v>6648</v>
      </c>
      <c r="I151" s="51" t="s">
        <v>7351</v>
      </c>
      <c r="J151" s="51" t="s">
        <v>6852</v>
      </c>
      <c r="K151" s="51" t="s">
        <v>7352</v>
      </c>
      <c r="L151" s="51" t="n">
        <v>-19.888827</v>
      </c>
      <c r="M151" s="51" t="n">
        <v>-43.896586</v>
      </c>
      <c r="N151" s="51" t="n">
        <v>615509.213061683</v>
      </c>
      <c r="O151" s="51" t="n">
        <v>7800442.60422961</v>
      </c>
    </row>
    <row r="152" ht="28.5" customHeight="1">
      <c r="A152" s="51" t="s">
        <v>8706</v>
      </c>
      <c r="B152" s="51" t="s">
        <v>7354</v>
      </c>
      <c r="C152" s="51" t="s">
        <v>7353</v>
      </c>
      <c r="D152" s="51" t="s">
        <v>8707</v>
      </c>
      <c r="E152" s="51" t="s">
        <v>7355</v>
      </c>
      <c r="F152" s="51" t="s">
        <v>6802</v>
      </c>
      <c r="G152" s="51" t="s">
        <v>6660</v>
      </c>
      <c r="H152" s="51" t="s">
        <v>6803</v>
      </c>
      <c r="I152" s="51" t="s">
        <v>7356</v>
      </c>
      <c r="J152" s="51" t="s">
        <v>7357</v>
      </c>
      <c r="K152" s="51" t="s">
        <v>7358</v>
      </c>
      <c r="L152" s="51" t="n">
        <v>-19.93468</v>
      </c>
      <c r="M152" s="51" t="n">
        <v>-43.902527</v>
      </c>
      <c r="N152" s="51" t="n">
        <v>614854.120182055</v>
      </c>
      <c r="O152" s="51" t="n">
        <v>7795371.90599676</v>
      </c>
    </row>
    <row r="153" ht="28.5" customHeight="1">
      <c r="A153" s="51" t="s">
        <v>8708</v>
      </c>
      <c r="B153" s="51" t="s">
        <v>7354</v>
      </c>
      <c r="C153" s="51" t="s">
        <v>7353</v>
      </c>
      <c r="D153" s="51" t="s">
        <v>8558</v>
      </c>
      <c r="E153" s="51" t="s">
        <v>7355</v>
      </c>
      <c r="F153" s="51" t="s">
        <v>6802</v>
      </c>
      <c r="G153" s="51" t="s">
        <v>6660</v>
      </c>
      <c r="H153" s="51" t="s">
        <v>6803</v>
      </c>
      <c r="I153" s="51" t="s">
        <v>7356</v>
      </c>
      <c r="J153" s="51" t="s">
        <v>7357</v>
      </c>
      <c r="K153" s="51" t="s">
        <v>7358</v>
      </c>
      <c r="L153" s="51" t="n">
        <v>-19.93468</v>
      </c>
      <c r="M153" s="51" t="n">
        <v>-43.902527</v>
      </c>
      <c r="N153" s="51" t="n">
        <v>614854.120182055</v>
      </c>
      <c r="O153" s="51" t="n">
        <v>7795371.90599676</v>
      </c>
    </row>
    <row r="154" ht="28.5" customHeight="1">
      <c r="A154" s="51" t="s">
        <v>8709</v>
      </c>
      <c r="B154" s="51" t="s">
        <v>7360</v>
      </c>
      <c r="C154" s="51" t="s">
        <v>7359</v>
      </c>
      <c r="D154" s="51" t="s">
        <v>8710</v>
      </c>
      <c r="E154" s="51" t="s">
        <v>7361</v>
      </c>
      <c r="F154" s="51" t="s">
        <v>7362</v>
      </c>
      <c r="G154" s="51" t="s">
        <v>6722</v>
      </c>
      <c r="H154" s="51" t="s">
        <v>6817</v>
      </c>
      <c r="I154" s="51" t="s">
        <v>7363</v>
      </c>
      <c r="J154" s="51" t="s">
        <v>7364</v>
      </c>
      <c r="K154" s="51" t="s">
        <v>7365</v>
      </c>
      <c r="L154" s="51" t="n">
        <v>-19.7857738296673</v>
      </c>
      <c r="M154" s="51" t="n">
        <v>-43.9779881826831</v>
      </c>
      <c r="N154" s="51" t="n">
        <v>607056.066402873</v>
      </c>
      <c r="O154" s="51" t="n">
        <v>7811901.44677598</v>
      </c>
    </row>
    <row r="155" ht="28.5" customHeight="1">
      <c r="A155" s="51" t="s">
        <v>8711</v>
      </c>
      <c r="B155" s="51" t="s">
        <v>7367</v>
      </c>
      <c r="C155" s="51" t="s">
        <v>7366</v>
      </c>
      <c r="D155" s="51" t="s">
        <v>8712</v>
      </c>
      <c r="E155" s="51" t="s">
        <v>7368</v>
      </c>
      <c r="F155" s="51" t="s">
        <v>7369</v>
      </c>
      <c r="G155" s="51" t="s">
        <v>6611</v>
      </c>
      <c r="H155" s="51" t="s">
        <v>6612</v>
      </c>
      <c r="I155" s="51" t="s">
        <v>6613</v>
      </c>
      <c r="J155" s="51" t="s">
        <v>7370</v>
      </c>
      <c r="K155" s="51" t="s">
        <v>7371</v>
      </c>
      <c r="L155" s="51" t="n">
        <v>-19.884175</v>
      </c>
      <c r="M155" s="51" t="n">
        <v>-44.010706</v>
      </c>
      <c r="N155" s="51" t="n">
        <v>603564.787227777</v>
      </c>
      <c r="O155" s="51" t="n">
        <v>7801031.68260943</v>
      </c>
    </row>
    <row r="156" ht="28.5" customHeight="1">
      <c r="A156" s="51" t="s">
        <v>8713</v>
      </c>
      <c r="B156" s="51" t="s">
        <v>7367</v>
      </c>
      <c r="C156" s="51" t="s">
        <v>7366</v>
      </c>
      <c r="D156" s="51" t="s">
        <v>8714</v>
      </c>
      <c r="E156" s="51" t="s">
        <v>7368</v>
      </c>
      <c r="F156" s="51" t="s">
        <v>7369</v>
      </c>
      <c r="G156" s="51" t="s">
        <v>6611</v>
      </c>
      <c r="H156" s="51" t="s">
        <v>6612</v>
      </c>
      <c r="I156" s="51" t="s">
        <v>6613</v>
      </c>
      <c r="J156" s="51" t="s">
        <v>7370</v>
      </c>
      <c r="K156" s="51" t="s">
        <v>7371</v>
      </c>
      <c r="L156" s="51" t="n">
        <v>-19.884175</v>
      </c>
      <c r="M156" s="51" t="n">
        <v>-44.010706</v>
      </c>
      <c r="N156" s="51" t="n">
        <v>603564.787227777</v>
      </c>
      <c r="O156" s="51" t="n">
        <v>7801031.68260943</v>
      </c>
    </row>
    <row r="157" ht="28.5" customHeight="1">
      <c r="A157" s="51" t="s">
        <v>8715</v>
      </c>
      <c r="B157" s="51" t="s">
        <v>7373</v>
      </c>
      <c r="C157" s="51" t="s">
        <v>7372</v>
      </c>
      <c r="D157" s="51" t="s">
        <v>8558</v>
      </c>
      <c r="E157" s="51" t="s">
        <v>7374</v>
      </c>
      <c r="F157" s="51" t="s">
        <v>7172</v>
      </c>
      <c r="G157" s="51" t="s">
        <v>6647</v>
      </c>
      <c r="H157" s="51" t="s">
        <v>6758</v>
      </c>
      <c r="I157" s="51" t="s">
        <v>7375</v>
      </c>
      <c r="J157" s="51" t="s">
        <v>7376</v>
      </c>
      <c r="K157" s="51" t="s">
        <v>7377</v>
      </c>
      <c r="L157" s="51" t="n">
        <v>-19.9182</v>
      </c>
      <c r="M157" s="51" t="n">
        <v>-43.887766</v>
      </c>
      <c r="N157" s="51" t="n">
        <v>616411.124318398</v>
      </c>
      <c r="O157" s="51" t="n">
        <v>7797185.67476464</v>
      </c>
    </row>
    <row r="158" ht="28.5" customHeight="1">
      <c r="A158" s="51" t="s">
        <v>8716</v>
      </c>
      <c r="B158" s="51" t="s">
        <v>7373</v>
      </c>
      <c r="C158" s="51" t="s">
        <v>7372</v>
      </c>
      <c r="D158" s="51" t="s">
        <v>8717</v>
      </c>
      <c r="E158" s="51" t="s">
        <v>7374</v>
      </c>
      <c r="F158" s="51" t="s">
        <v>7172</v>
      </c>
      <c r="G158" s="51" t="s">
        <v>6647</v>
      </c>
      <c r="H158" s="51" t="s">
        <v>6758</v>
      </c>
      <c r="I158" s="51" t="s">
        <v>7375</v>
      </c>
      <c r="J158" s="51" t="s">
        <v>7376</v>
      </c>
      <c r="K158" s="51" t="s">
        <v>7377</v>
      </c>
      <c r="L158" s="51" t="n">
        <v>-19.9182</v>
      </c>
      <c r="M158" s="51" t="n">
        <v>-43.887766</v>
      </c>
      <c r="N158" s="51" t="n">
        <v>616411.124318398</v>
      </c>
      <c r="O158" s="51" t="n">
        <v>7797185.67476464</v>
      </c>
    </row>
    <row r="159" ht="28.5" customHeight="1">
      <c r="A159" s="51" t="s">
        <v>8718</v>
      </c>
      <c r="B159" s="51" t="s">
        <v>7379</v>
      </c>
      <c r="C159" s="51" t="s">
        <v>7378</v>
      </c>
      <c r="D159" s="51" t="s">
        <v>8660</v>
      </c>
      <c r="E159" s="51" t="s">
        <v>7380</v>
      </c>
      <c r="F159" s="51" t="s">
        <v>7381</v>
      </c>
      <c r="G159" s="51" t="s">
        <v>6689</v>
      </c>
      <c r="H159" s="51" t="s">
        <v>6690</v>
      </c>
      <c r="I159" s="51" t="s">
        <v>7382</v>
      </c>
      <c r="J159" s="51" t="s">
        <v>7383</v>
      </c>
      <c r="K159" s="51" t="s">
        <v>7384</v>
      </c>
      <c r="L159" s="51" t="n">
        <v>-20.0103714474154</v>
      </c>
      <c r="M159" s="51" t="n">
        <v>-44.0359882320173</v>
      </c>
      <c r="N159" s="51" t="n">
        <v>600837.732564525</v>
      </c>
      <c r="O159" s="51" t="n">
        <v>7787080.68590412</v>
      </c>
    </row>
    <row r="160" ht="28.5" customHeight="1">
      <c r="A160" s="51" t="s">
        <v>8719</v>
      </c>
      <c r="B160" s="51" t="s">
        <v>7379</v>
      </c>
      <c r="C160" s="51" t="s">
        <v>7378</v>
      </c>
      <c r="D160" s="51" t="s">
        <v>8720</v>
      </c>
      <c r="E160" s="51" t="s">
        <v>7380</v>
      </c>
      <c r="F160" s="51" t="s">
        <v>7381</v>
      </c>
      <c r="G160" s="51" t="s">
        <v>6689</v>
      </c>
      <c r="H160" s="51" t="s">
        <v>6690</v>
      </c>
      <c r="I160" s="51" t="s">
        <v>7382</v>
      </c>
      <c r="J160" s="51" t="s">
        <v>7383</v>
      </c>
      <c r="K160" s="51" t="s">
        <v>7384</v>
      </c>
      <c r="L160" s="51" t="n">
        <v>-20.0103714474154</v>
      </c>
      <c r="M160" s="51" t="n">
        <v>-44.0359882320173</v>
      </c>
      <c r="N160" s="51" t="n">
        <v>600837.732564525</v>
      </c>
      <c r="O160" s="51" t="n">
        <v>7787080.68590412</v>
      </c>
    </row>
    <row r="161">
      <c r="A161" s="51" t="s">
        <v>8721</v>
      </c>
      <c r="B161" s="51" t="s">
        <v>7386</v>
      </c>
      <c r="C161" s="51" t="s">
        <v>7385</v>
      </c>
      <c r="D161" s="51" t="s">
        <v>8722</v>
      </c>
      <c r="E161" s="51" t="s">
        <v>7387</v>
      </c>
      <c r="F161" s="51" t="s">
        <v>7388</v>
      </c>
      <c r="G161" s="51" t="s">
        <v>6627</v>
      </c>
      <c r="H161" s="51" t="s">
        <v>6628</v>
      </c>
      <c r="I161" s="51" t="s">
        <v>7389</v>
      </c>
      <c r="J161" s="51" t="s">
        <v>7390</v>
      </c>
      <c r="K161" s="51" t="s">
        <v>7391</v>
      </c>
      <c r="L161" s="51" t="n">
        <v>-19.95074</v>
      </c>
      <c r="M161" s="51" t="n">
        <v>-43.972091</v>
      </c>
      <c r="N161" s="51" t="n">
        <v>607562.519860758</v>
      </c>
      <c r="O161" s="51" t="n">
        <v>7793640.54348124</v>
      </c>
    </row>
    <row r="162">
      <c r="A162" s="51" t="s">
        <v>8723</v>
      </c>
      <c r="B162" s="51" t="s">
        <v>7386</v>
      </c>
      <c r="C162" s="51" t="s">
        <v>7385</v>
      </c>
      <c r="D162" s="51" t="s">
        <v>8724</v>
      </c>
      <c r="E162" s="51" t="s">
        <v>7387</v>
      </c>
      <c r="F162" s="51" t="s">
        <v>7388</v>
      </c>
      <c r="G162" s="51" t="s">
        <v>6627</v>
      </c>
      <c r="H162" s="51" t="s">
        <v>6628</v>
      </c>
      <c r="I162" s="51" t="s">
        <v>7389</v>
      </c>
      <c r="J162" s="51" t="s">
        <v>7390</v>
      </c>
      <c r="K162" s="51" t="s">
        <v>7391</v>
      </c>
      <c r="L162" s="51" t="n">
        <v>-19.95074</v>
      </c>
      <c r="M162" s="51" t="n">
        <v>-43.972091</v>
      </c>
      <c r="N162" s="51" t="n">
        <v>607562.519860758</v>
      </c>
      <c r="O162" s="51" t="n">
        <v>7793640.54348124</v>
      </c>
    </row>
    <row r="163" ht="28.5" customHeight="1">
      <c r="A163" s="51" t="s">
        <v>8725</v>
      </c>
      <c r="B163" s="51" t="s">
        <v>7393</v>
      </c>
      <c r="C163" s="51" t="s">
        <v>7392</v>
      </c>
      <c r="D163" s="51" t="s">
        <v>8558</v>
      </c>
      <c r="E163" s="51" t="s">
        <v>7394</v>
      </c>
      <c r="F163" s="51" t="s">
        <v>7395</v>
      </c>
      <c r="G163" s="51" t="s">
        <v>6647</v>
      </c>
      <c r="H163" s="51" t="s">
        <v>7228</v>
      </c>
      <c r="I163" s="51" t="s">
        <v>7396</v>
      </c>
      <c r="J163" s="51" t="s">
        <v>7397</v>
      </c>
      <c r="K163" s="51" t="s">
        <v>7398</v>
      </c>
      <c r="L163" s="51" t="n">
        <v>-19.9119170286675</v>
      </c>
      <c r="M163" s="51" t="n">
        <v>-43.8964060126152</v>
      </c>
      <c r="N163" s="51" t="n">
        <v>615511.3</v>
      </c>
      <c r="O163" s="51" t="n">
        <v>7797887</v>
      </c>
    </row>
    <row r="164" ht="28.5" customHeight="1">
      <c r="A164" s="51" t="s">
        <v>8726</v>
      </c>
      <c r="B164" s="51" t="s">
        <v>7400</v>
      </c>
      <c r="C164" s="51" t="s">
        <v>7399</v>
      </c>
      <c r="D164" s="51" t="s">
        <v>8727</v>
      </c>
      <c r="E164" s="51" t="s">
        <v>7401</v>
      </c>
      <c r="F164" s="51" t="s">
        <v>7402</v>
      </c>
      <c r="G164" s="51" t="s">
        <v>6627</v>
      </c>
      <c r="H164" s="51" t="s">
        <v>6927</v>
      </c>
      <c r="I164" s="51" t="s">
        <v>7403</v>
      </c>
      <c r="J164" s="51" t="s">
        <v>7404</v>
      </c>
      <c r="K164" s="51" t="s">
        <v>7405</v>
      </c>
      <c r="L164" s="51" t="n">
        <v>-19.948622</v>
      </c>
      <c r="M164" s="51" t="n">
        <v>-44.004715</v>
      </c>
      <c r="N164" s="51" t="n">
        <v>604149.796991154</v>
      </c>
      <c r="O164" s="51" t="n">
        <v>7793895.51730249</v>
      </c>
    </row>
    <row r="165" ht="28.5" customHeight="1">
      <c r="A165" s="51" t="s">
        <v>8728</v>
      </c>
      <c r="B165" s="51" t="s">
        <v>7400</v>
      </c>
      <c r="C165" s="51" t="s">
        <v>7399</v>
      </c>
      <c r="D165" s="51" t="s">
        <v>8729</v>
      </c>
      <c r="E165" s="51" t="s">
        <v>7401</v>
      </c>
      <c r="F165" s="51" t="s">
        <v>7402</v>
      </c>
      <c r="G165" s="51" t="s">
        <v>6627</v>
      </c>
      <c r="H165" s="51" t="s">
        <v>6927</v>
      </c>
      <c r="I165" s="51" t="s">
        <v>7403</v>
      </c>
      <c r="J165" s="51" t="s">
        <v>7404</v>
      </c>
      <c r="K165" s="51" t="s">
        <v>7405</v>
      </c>
      <c r="L165" s="51" t="n">
        <v>-19.948622</v>
      </c>
      <c r="M165" s="51" t="n">
        <v>-44.004715</v>
      </c>
      <c r="N165" s="51" t="n">
        <v>604149.796991154</v>
      </c>
      <c r="O165" s="51" t="n">
        <v>7793895.51730249</v>
      </c>
    </row>
    <row r="166" ht="28.5" customHeight="1">
      <c r="A166" s="51" t="s">
        <v>8730</v>
      </c>
      <c r="B166" s="51" t="s">
        <v>7407</v>
      </c>
      <c r="C166" s="51" t="s">
        <v>7406</v>
      </c>
      <c r="D166" s="51" t="s">
        <v>8731</v>
      </c>
      <c r="E166" s="51" t="s">
        <v>7408</v>
      </c>
      <c r="F166" s="51" t="s">
        <v>7409</v>
      </c>
      <c r="G166" s="51" t="s">
        <v>6627</v>
      </c>
      <c r="H166" s="51" t="s">
        <v>7410</v>
      </c>
      <c r="I166" s="51" t="s">
        <v>7411</v>
      </c>
      <c r="J166" s="51" t="s">
        <v>7412</v>
      </c>
      <c r="K166" s="51" t="s">
        <v>7413</v>
      </c>
      <c r="L166" s="51" t="n">
        <v>-19.955874</v>
      </c>
      <c r="M166" s="51" t="n">
        <v>-43.965443</v>
      </c>
      <c r="N166" s="51" t="n">
        <v>608254.736996104</v>
      </c>
      <c r="O166" s="51" t="n">
        <v>7793068.07339118</v>
      </c>
    </row>
    <row r="167" ht="28.5" customHeight="1">
      <c r="A167" s="51" t="s">
        <v>8732</v>
      </c>
      <c r="B167" s="51" t="s">
        <v>7415</v>
      </c>
      <c r="C167" s="51" t="s">
        <v>7414</v>
      </c>
      <c r="D167" s="51" t="s">
        <v>8660</v>
      </c>
      <c r="E167" s="51" t="s">
        <v>7416</v>
      </c>
      <c r="F167" s="51" t="s">
        <v>7118</v>
      </c>
      <c r="G167" s="51" t="s">
        <v>6794</v>
      </c>
      <c r="H167" s="51" t="s">
        <v>7043</v>
      </c>
      <c r="I167" s="51" t="s">
        <v>7417</v>
      </c>
      <c r="J167" s="51" t="s">
        <v>7418</v>
      </c>
      <c r="K167" s="51" t="s">
        <v>7419</v>
      </c>
      <c r="L167" s="51" t="n">
        <v>-19.8521601881091</v>
      </c>
      <c r="M167" s="51" t="n">
        <v>-43.8854022167447</v>
      </c>
      <c r="N167" s="51" t="n">
        <v>616706.920060362</v>
      </c>
      <c r="O167" s="51" t="n">
        <v>7804492.97834292</v>
      </c>
    </row>
    <row r="168" ht="28.5" customHeight="1">
      <c r="A168" s="51" t="s">
        <v>8733</v>
      </c>
      <c r="B168" s="51" t="s">
        <v>7421</v>
      </c>
      <c r="C168" s="51" t="s">
        <v>7420</v>
      </c>
      <c r="D168" s="51" t="s">
        <v>8558</v>
      </c>
      <c r="E168" s="51" t="s">
        <v>7422</v>
      </c>
      <c r="F168" s="51" t="s">
        <v>7423</v>
      </c>
      <c r="G168" s="51" t="s">
        <v>6627</v>
      </c>
      <c r="H168" s="51" t="s">
        <v>6927</v>
      </c>
      <c r="I168" s="51" t="s">
        <v>7424</v>
      </c>
      <c r="J168" s="51" t="s">
        <v>7425</v>
      </c>
      <c r="K168" s="51" t="s">
        <v>7426</v>
      </c>
      <c r="L168" s="51" t="n">
        <v>-19.9493902471261</v>
      </c>
      <c r="M168" s="51" t="n">
        <v>-43.9904202769216</v>
      </c>
      <c r="N168" s="51" t="n">
        <v>605645.249949803</v>
      </c>
      <c r="O168" s="51" t="n">
        <v>7793801.56279992</v>
      </c>
    </row>
    <row r="169" ht="28.5" customHeight="1">
      <c r="A169" s="51" t="s">
        <v>8734</v>
      </c>
      <c r="B169" s="51" t="s">
        <v>7421</v>
      </c>
      <c r="C169" s="51" t="s">
        <v>7420</v>
      </c>
      <c r="D169" s="51" t="s">
        <v>8735</v>
      </c>
      <c r="E169" s="51" t="s">
        <v>7422</v>
      </c>
      <c r="F169" s="51" t="s">
        <v>7423</v>
      </c>
      <c r="G169" s="51" t="s">
        <v>6627</v>
      </c>
      <c r="H169" s="51" t="s">
        <v>6927</v>
      </c>
      <c r="I169" s="51" t="s">
        <v>7424</v>
      </c>
      <c r="J169" s="51" t="s">
        <v>7425</v>
      </c>
      <c r="K169" s="51" t="s">
        <v>7426</v>
      </c>
      <c r="L169" s="51" t="n">
        <v>-19.9493902471261</v>
      </c>
      <c r="M169" s="51" t="n">
        <v>-43.9904202769216</v>
      </c>
      <c r="N169" s="51" t="n">
        <v>605645.249949803</v>
      </c>
      <c r="O169" s="51" t="n">
        <v>7793801.56279992</v>
      </c>
    </row>
    <row r="170" ht="28.5" customHeight="1">
      <c r="A170" s="51" t="s">
        <v>8736</v>
      </c>
      <c r="B170" s="51" t="s">
        <v>7428</v>
      </c>
      <c r="C170" s="51" t="s">
        <v>7427</v>
      </c>
      <c r="D170" s="51" t="s">
        <v>8737</v>
      </c>
      <c r="E170" s="51" t="s">
        <v>7429</v>
      </c>
      <c r="F170" s="51" t="s">
        <v>6604</v>
      </c>
      <c r="G170" s="51" t="s">
        <v>6583</v>
      </c>
      <c r="H170" s="51" t="s">
        <v>6591</v>
      </c>
      <c r="I170" s="51" t="s">
        <v>6605</v>
      </c>
      <c r="J170" s="51" t="s">
        <v>7430</v>
      </c>
      <c r="K170" s="51"/>
      <c r="L170" s="51" t="n">
        <v>-19.8992386578833</v>
      </c>
      <c r="M170" s="51" t="n">
        <v>-44.0200898763791</v>
      </c>
      <c r="N170" s="51" t="n">
        <v>602572.654475449</v>
      </c>
      <c r="O170" s="51" t="n">
        <v>7799370.31248774</v>
      </c>
    </row>
    <row r="171" ht="42.75" customHeight="1">
      <c r="A171" s="51" t="s">
        <v>8738</v>
      </c>
      <c r="B171" s="51" t="s">
        <v>7432</v>
      </c>
      <c r="C171" s="51" t="s">
        <v>7431</v>
      </c>
      <c r="D171" s="51" t="s">
        <v>8739</v>
      </c>
      <c r="E171" s="51" t="s">
        <v>7433</v>
      </c>
      <c r="F171" s="51" t="s">
        <v>7015</v>
      </c>
      <c r="G171" s="51" t="s">
        <v>6583</v>
      </c>
      <c r="H171" s="51" t="s">
        <v>6766</v>
      </c>
      <c r="I171" s="51" t="s">
        <v>7434</v>
      </c>
      <c r="J171" s="51" t="s">
        <v>7435</v>
      </c>
      <c r="K171" s="51"/>
      <c r="L171" s="51" t="n">
        <v>-19.924044</v>
      </c>
      <c r="M171" s="51" t="n">
        <v>-43.999623</v>
      </c>
      <c r="N171" s="51" t="n">
        <v>604698.877344082</v>
      </c>
      <c r="O171" s="51" t="n">
        <v>7796612.45321405</v>
      </c>
    </row>
    <row r="172" ht="28.5" customHeight="1">
      <c r="A172" s="51" t="s">
        <v>8740</v>
      </c>
      <c r="B172" s="51" t="s">
        <v>7437</v>
      </c>
      <c r="C172" s="51" t="s">
        <v>7436</v>
      </c>
      <c r="D172" s="51" t="s">
        <v>8741</v>
      </c>
      <c r="E172" s="51" t="s">
        <v>7438</v>
      </c>
      <c r="F172" s="51" t="s">
        <v>6823</v>
      </c>
      <c r="G172" s="51" t="s">
        <v>6647</v>
      </c>
      <c r="H172" s="51" t="s">
        <v>6824</v>
      </c>
      <c r="I172" s="51" t="s">
        <v>7439</v>
      </c>
      <c r="J172" s="51" t="s">
        <v>7440</v>
      </c>
      <c r="K172" s="51" t="s">
        <v>7441</v>
      </c>
      <c r="L172" s="51" t="n">
        <v>-19.917239</v>
      </c>
      <c r="M172" s="51" t="n">
        <v>-43.925963</v>
      </c>
      <c r="N172" s="51" t="n">
        <v>612413.575197427</v>
      </c>
      <c r="O172" s="51" t="n">
        <v>7797318.02312805</v>
      </c>
    </row>
    <row r="173" ht="28.5" customHeight="1">
      <c r="A173" s="51" t="s">
        <v>8742</v>
      </c>
      <c r="B173" s="51" t="s">
        <v>7443</v>
      </c>
      <c r="C173" s="51" t="s">
        <v>7442</v>
      </c>
      <c r="D173" s="51" t="s">
        <v>8743</v>
      </c>
      <c r="E173" s="51" t="s">
        <v>7444</v>
      </c>
      <c r="F173" s="51" t="s">
        <v>7381</v>
      </c>
      <c r="G173" s="51" t="s">
        <v>6689</v>
      </c>
      <c r="H173" s="51" t="s">
        <v>6690</v>
      </c>
      <c r="I173" s="51" t="s">
        <v>7445</v>
      </c>
      <c r="J173" s="51" t="s">
        <v>7446</v>
      </c>
      <c r="K173" s="51"/>
      <c r="L173" s="51" t="n">
        <v>-20.007629</v>
      </c>
      <c r="M173" s="51" t="n">
        <v>-44.034423</v>
      </c>
      <c r="N173" s="51" t="n">
        <v>601003.221526837</v>
      </c>
      <c r="O173" s="51" t="n">
        <v>7787383.25512657</v>
      </c>
    </row>
    <row r="174" ht="42.75" customHeight="1">
      <c r="A174" s="51" t="s">
        <v>8744</v>
      </c>
      <c r="B174" s="51" t="s">
        <v>7448</v>
      </c>
      <c r="C174" s="51" t="s">
        <v>7447</v>
      </c>
      <c r="D174" s="51" t="s">
        <v>8745</v>
      </c>
      <c r="E174" s="51" t="s">
        <v>7449</v>
      </c>
      <c r="F174" s="51" t="s">
        <v>7090</v>
      </c>
      <c r="G174" s="51" t="s">
        <v>6722</v>
      </c>
      <c r="H174" s="51" t="s">
        <v>6723</v>
      </c>
      <c r="I174" s="51" t="s">
        <v>7450</v>
      </c>
      <c r="J174" s="51" t="s">
        <v>7451</v>
      </c>
      <c r="K174" s="51"/>
      <c r="L174" s="51" t="n">
        <v>-19.8320346321168</v>
      </c>
      <c r="M174" s="51" t="n">
        <v>-43.9201411454583</v>
      </c>
      <c r="N174" s="51" t="n">
        <v>613083.4</v>
      </c>
      <c r="O174" s="51" t="n">
        <v>7806744</v>
      </c>
    </row>
    <row r="175" ht="28.5" customHeight="1">
      <c r="A175" s="51" t="s">
        <v>8746</v>
      </c>
      <c r="B175" s="51" t="s">
        <v>7453</v>
      </c>
      <c r="C175" s="51" t="s">
        <v>7452</v>
      </c>
      <c r="D175" s="51" t="s">
        <v>8747</v>
      </c>
      <c r="E175" s="51" t="s">
        <v>7454</v>
      </c>
      <c r="F175" s="51" t="s">
        <v>7455</v>
      </c>
      <c r="G175" s="51" t="s">
        <v>6636</v>
      </c>
      <c r="H175" s="51" t="s">
        <v>6969</v>
      </c>
      <c r="I175" s="51" t="s">
        <v>7456</v>
      </c>
      <c r="J175" s="51" t="s">
        <v>7457</v>
      </c>
      <c r="K175" s="51" t="s">
        <v>7458</v>
      </c>
      <c r="L175" s="51" t="n">
        <v>-19.828695</v>
      </c>
      <c r="M175" s="51" t="n">
        <v>-43.98613</v>
      </c>
      <c r="N175" s="51" t="n">
        <v>606174.653322491</v>
      </c>
      <c r="O175" s="51" t="n">
        <v>7807156.44585412</v>
      </c>
    </row>
    <row r="176" ht="28.5" customHeight="1">
      <c r="A176" s="51" t="s">
        <v>8748</v>
      </c>
      <c r="B176" s="51" t="s">
        <v>7460</v>
      </c>
      <c r="C176" s="51" t="s">
        <v>7459</v>
      </c>
      <c r="D176" s="51" t="s">
        <v>8749</v>
      </c>
      <c r="E176" s="51" t="s">
        <v>7461</v>
      </c>
      <c r="F176" s="51" t="s">
        <v>7462</v>
      </c>
      <c r="G176" s="51" t="s">
        <v>6794</v>
      </c>
      <c r="H176" s="51" t="s">
        <v>6900</v>
      </c>
      <c r="I176" s="51" t="s">
        <v>7463</v>
      </c>
      <c r="J176" s="51" t="s">
        <v>7464</v>
      </c>
      <c r="K176" s="51" t="s">
        <v>7465</v>
      </c>
      <c r="L176" s="51" t="n">
        <v>-19.915782</v>
      </c>
      <c r="M176" s="51" t="n">
        <v>-44.024716</v>
      </c>
      <c r="N176" s="51" t="n">
        <v>602077.763267731</v>
      </c>
      <c r="O176" s="51" t="n">
        <v>7797542.25276581</v>
      </c>
    </row>
    <row r="177" ht="28.5" customHeight="1">
      <c r="A177" s="51" t="s">
        <v>8750</v>
      </c>
      <c r="B177" s="51" t="s">
        <v>7467</v>
      </c>
      <c r="C177" s="51" t="s">
        <v>7466</v>
      </c>
      <c r="D177" s="51" t="s">
        <v>8751</v>
      </c>
      <c r="E177" s="51" t="s">
        <v>7468</v>
      </c>
      <c r="F177" s="51" t="s">
        <v>7050</v>
      </c>
      <c r="G177" s="51" t="s">
        <v>6647</v>
      </c>
      <c r="H177" s="51" t="s">
        <v>6758</v>
      </c>
      <c r="I177" s="51" t="s">
        <v>7469</v>
      </c>
      <c r="J177" s="51" t="s">
        <v>7470</v>
      </c>
      <c r="K177" s="51" t="s">
        <v>7471</v>
      </c>
      <c r="L177" s="51" t="n">
        <v>-19.913002</v>
      </c>
      <c r="M177" s="51" t="n">
        <v>-43.887162</v>
      </c>
      <c r="N177" s="51" t="n">
        <v>616478.154295597</v>
      </c>
      <c r="O177" s="51" t="n">
        <v>7797760.54562859</v>
      </c>
    </row>
    <row r="178" ht="42.75" customHeight="1">
      <c r="A178" s="51" t="s">
        <v>8752</v>
      </c>
      <c r="B178" s="51" t="s">
        <v>7473</v>
      </c>
      <c r="C178" s="51" t="s">
        <v>7472</v>
      </c>
      <c r="D178" s="51" t="s">
        <v>8753</v>
      </c>
      <c r="E178" s="51" t="s">
        <v>7472</v>
      </c>
      <c r="F178" s="51" t="s">
        <v>7474</v>
      </c>
      <c r="G178" s="51" t="s">
        <v>6689</v>
      </c>
      <c r="H178" s="51" t="s">
        <v>7475</v>
      </c>
      <c r="I178" s="51" t="s">
        <v>7476</v>
      </c>
      <c r="J178" s="51" t="s">
        <v>7477</v>
      </c>
      <c r="K178" s="51"/>
      <c r="L178" s="51" t="n">
        <v>-19.9778663613187</v>
      </c>
      <c r="M178" s="51" t="n">
        <v>-44.0311140718586</v>
      </c>
      <c r="N178" s="51" t="n">
        <v>601368.4</v>
      </c>
      <c r="O178" s="51" t="n">
        <v>7790675</v>
      </c>
    </row>
    <row r="179" ht="28.5" customHeight="1">
      <c r="A179" s="51" t="s">
        <v>8754</v>
      </c>
      <c r="B179" s="51" t="s">
        <v>7479</v>
      </c>
      <c r="C179" s="51" t="s">
        <v>7478</v>
      </c>
      <c r="D179" s="51" t="s">
        <v>8755</v>
      </c>
      <c r="E179" s="51" t="s">
        <v>7480</v>
      </c>
      <c r="F179" s="51" t="s">
        <v>7481</v>
      </c>
      <c r="G179" s="51" t="s">
        <v>6611</v>
      </c>
      <c r="H179" s="51" t="s">
        <v>6612</v>
      </c>
      <c r="I179" s="51" t="s">
        <v>7482</v>
      </c>
      <c r="J179" s="51" t="s">
        <v>7483</v>
      </c>
      <c r="K179" s="51"/>
      <c r="L179" s="51" t="n">
        <v>-19.866597</v>
      </c>
      <c r="M179" s="51" t="n">
        <v>-44.015027</v>
      </c>
      <c r="N179" s="51" t="n">
        <v>603123.777346524</v>
      </c>
      <c r="O179" s="51" t="n">
        <v>7802979.71060066</v>
      </c>
    </row>
    <row r="180" ht="28.5" customHeight="1">
      <c r="A180" s="51" t="s">
        <v>8756</v>
      </c>
      <c r="B180" s="51" t="s">
        <v>7485</v>
      </c>
      <c r="C180" s="51" t="s">
        <v>7484</v>
      </c>
      <c r="D180" s="51" t="s">
        <v>8757</v>
      </c>
      <c r="E180" s="51" t="s">
        <v>7486</v>
      </c>
      <c r="F180" s="51" t="s">
        <v>7481</v>
      </c>
      <c r="G180" s="51" t="s">
        <v>6611</v>
      </c>
      <c r="H180" s="51" t="s">
        <v>6612</v>
      </c>
      <c r="I180" s="51" t="s">
        <v>7487</v>
      </c>
      <c r="J180" s="51" t="s">
        <v>6614</v>
      </c>
      <c r="K180" s="51" t="s">
        <v>7488</v>
      </c>
      <c r="L180" s="51" t="n">
        <v>-19.8669229748393</v>
      </c>
      <c r="M180" s="51" t="n">
        <v>-44.0204717048089</v>
      </c>
      <c r="N180" s="51" t="n">
        <v>602553.480022339</v>
      </c>
      <c r="O180" s="51" t="n">
        <v>7802946.95628631</v>
      </c>
    </row>
    <row r="181" ht="28.5" customHeight="1">
      <c r="A181" s="51" t="s">
        <v>8758</v>
      </c>
      <c r="B181" s="51" t="s">
        <v>7490</v>
      </c>
      <c r="C181" s="51" t="s">
        <v>7489</v>
      </c>
      <c r="D181" s="51" t="s">
        <v>8759</v>
      </c>
      <c r="E181" s="51" t="s">
        <v>7491</v>
      </c>
      <c r="F181" s="51" t="s">
        <v>7492</v>
      </c>
      <c r="G181" s="51" t="s">
        <v>6636</v>
      </c>
      <c r="H181" s="51" t="s">
        <v>6674</v>
      </c>
      <c r="I181" s="51" t="s">
        <v>7493</v>
      </c>
      <c r="J181" s="51" t="s">
        <v>7494</v>
      </c>
      <c r="K181" s="51"/>
      <c r="L181" s="51" t="n">
        <v>-19.811972</v>
      </c>
      <c r="M181" s="51" t="n">
        <v>-43.955516</v>
      </c>
      <c r="N181" s="51" t="n">
        <v>609392.329906197</v>
      </c>
      <c r="O181" s="51" t="n">
        <v>7808987.67632433</v>
      </c>
    </row>
    <row r="182" ht="28.5" customHeight="1">
      <c r="A182" s="51" t="s">
        <v>8760</v>
      </c>
      <c r="B182" s="51" t="s">
        <v>7496</v>
      </c>
      <c r="C182" s="51" t="s">
        <v>7495</v>
      </c>
      <c r="D182" s="51" t="s">
        <v>8761</v>
      </c>
      <c r="E182" s="51" t="s">
        <v>7497</v>
      </c>
      <c r="F182" s="51" t="s">
        <v>7498</v>
      </c>
      <c r="G182" s="51" t="s">
        <v>6583</v>
      </c>
      <c r="H182" s="51" t="s">
        <v>6591</v>
      </c>
      <c r="I182" s="51" t="s">
        <v>7499</v>
      </c>
      <c r="J182" s="51" t="s">
        <v>7500</v>
      </c>
      <c r="K182" s="51"/>
      <c r="L182" s="51" t="n">
        <v>-19.8915324428956</v>
      </c>
      <c r="M182" s="51" t="n">
        <v>-44.0152256526307</v>
      </c>
      <c r="N182" s="51" t="n">
        <v>603086.847431286</v>
      </c>
      <c r="O182" s="51" t="n">
        <v>7800220.19788376</v>
      </c>
    </row>
    <row r="183" ht="28.5" customHeight="1">
      <c r="A183" s="51" t="s">
        <v>8762</v>
      </c>
      <c r="B183" s="51" t="s">
        <v>7502</v>
      </c>
      <c r="C183" s="51" t="s">
        <v>7501</v>
      </c>
      <c r="D183" s="51" t="s">
        <v>8763</v>
      </c>
      <c r="E183" s="51" t="s">
        <v>7503</v>
      </c>
      <c r="F183" s="51" t="s">
        <v>7200</v>
      </c>
      <c r="G183" s="51" t="s">
        <v>6611</v>
      </c>
      <c r="H183" s="51" t="s">
        <v>6654</v>
      </c>
      <c r="I183" s="51" t="s">
        <v>7504</v>
      </c>
      <c r="J183" s="51" t="s">
        <v>7383</v>
      </c>
      <c r="K183" s="51"/>
      <c r="L183" s="51" t="n">
        <v>-19.865094</v>
      </c>
      <c r="M183" s="51" t="n">
        <v>-43.952135</v>
      </c>
      <c r="N183" s="51" t="n">
        <v>609709.970156774</v>
      </c>
      <c r="O183" s="51" t="n">
        <v>7803106.34836204</v>
      </c>
    </row>
    <row r="184" ht="28.5" customHeight="1">
      <c r="A184" s="51" t="s">
        <v>8764</v>
      </c>
      <c r="B184" s="51" t="s">
        <v>7506</v>
      </c>
      <c r="C184" s="51" t="s">
        <v>7505</v>
      </c>
      <c r="D184" s="51" t="s">
        <v>8765</v>
      </c>
      <c r="E184" s="51" t="s">
        <v>7507</v>
      </c>
      <c r="F184" s="51" t="s">
        <v>7076</v>
      </c>
      <c r="G184" s="51" t="s">
        <v>6689</v>
      </c>
      <c r="H184" s="51" t="s">
        <v>6690</v>
      </c>
      <c r="I184" s="51" t="s">
        <v>7508</v>
      </c>
      <c r="J184" s="51" t="s">
        <v>7509</v>
      </c>
      <c r="K184" s="51" t="s">
        <v>7510</v>
      </c>
      <c r="L184" s="51" t="n">
        <v>-20.023358</v>
      </c>
      <c r="M184" s="51" t="n">
        <v>-44.029396</v>
      </c>
      <c r="N184" s="51" t="n">
        <v>601519.010244527</v>
      </c>
      <c r="O184" s="51" t="n">
        <v>7785639.44785948</v>
      </c>
    </row>
    <row r="185">
      <c r="A185" s="51" t="s">
        <v>8766</v>
      </c>
      <c r="B185" s="51" t="s">
        <v>7512</v>
      </c>
      <c r="C185" s="51" t="s">
        <v>7511</v>
      </c>
      <c r="D185" s="51" t="s">
        <v>8767</v>
      </c>
      <c r="E185" s="51" t="s">
        <v>7513</v>
      </c>
      <c r="F185" s="51" t="s">
        <v>6688</v>
      </c>
      <c r="G185" s="51" t="s">
        <v>6689</v>
      </c>
      <c r="H185" s="51" t="s">
        <v>6690</v>
      </c>
      <c r="I185" s="51" t="s">
        <v>6691</v>
      </c>
      <c r="J185" s="51" t="s">
        <v>7514</v>
      </c>
      <c r="K185" s="51"/>
      <c r="L185" s="51" t="n">
        <v>-20.003433</v>
      </c>
      <c r="M185" s="51" t="n">
        <v>-44.023073</v>
      </c>
      <c r="N185" s="51" t="n">
        <v>602193.274290241</v>
      </c>
      <c r="O185" s="51" t="n">
        <v>7787840.74972334</v>
      </c>
    </row>
    <row r="186" ht="42.75" customHeight="1">
      <c r="A186" s="51" t="s">
        <v>8768</v>
      </c>
      <c r="B186" s="51" t="s">
        <v>7516</v>
      </c>
      <c r="C186" s="51" t="s">
        <v>7515</v>
      </c>
      <c r="D186" s="51" t="s">
        <v>8769</v>
      </c>
      <c r="E186" s="51" t="s">
        <v>7517</v>
      </c>
      <c r="F186" s="51" t="s">
        <v>6946</v>
      </c>
      <c r="G186" s="51" t="s">
        <v>6583</v>
      </c>
      <c r="H186" s="51" t="s">
        <v>6591</v>
      </c>
      <c r="I186" s="51" t="s">
        <v>7518</v>
      </c>
      <c r="J186" s="51" t="s">
        <v>7519</v>
      </c>
      <c r="K186" s="51"/>
      <c r="L186" s="51" t="n">
        <v>-19.9212900403121</v>
      </c>
      <c r="M186" s="51" t="n">
        <v>-44.0089159872066</v>
      </c>
      <c r="N186" s="51" t="n">
        <v>603728</v>
      </c>
      <c r="O186" s="51" t="n">
        <v>7796923</v>
      </c>
    </row>
    <row r="187" ht="28.5" customHeight="1">
      <c r="A187" s="51" t="s">
        <v>8770</v>
      </c>
      <c r="B187" s="51" t="s">
        <v>7521</v>
      </c>
      <c r="C187" s="51" t="s">
        <v>7520</v>
      </c>
      <c r="D187" s="51" t="s">
        <v>8771</v>
      </c>
      <c r="E187" s="51" t="s">
        <v>7522</v>
      </c>
      <c r="F187" s="51" t="s">
        <v>6946</v>
      </c>
      <c r="G187" s="51" t="s">
        <v>6583</v>
      </c>
      <c r="H187" s="51" t="s">
        <v>6591</v>
      </c>
      <c r="I187" s="51" t="s">
        <v>7523</v>
      </c>
      <c r="J187" s="51" t="s">
        <v>6768</v>
      </c>
      <c r="K187" s="51" t="s">
        <v>7524</v>
      </c>
      <c r="L187" s="51" t="n">
        <v>-19.927617</v>
      </c>
      <c r="M187" s="51" t="n">
        <v>-44.015743</v>
      </c>
      <c r="N187" s="51" t="n">
        <v>603009.322863228</v>
      </c>
      <c r="O187" s="51" t="n">
        <v>7796226.98220175</v>
      </c>
    </row>
    <row r="188" ht="28.5" customHeight="1">
      <c r="A188" s="51" t="s">
        <v>8772</v>
      </c>
      <c r="B188" s="51" t="s">
        <v>7521</v>
      </c>
      <c r="C188" s="51" t="s">
        <v>7520</v>
      </c>
      <c r="D188" s="51" t="s">
        <v>8773</v>
      </c>
      <c r="E188" s="51" t="s">
        <v>7522</v>
      </c>
      <c r="F188" s="51" t="s">
        <v>6946</v>
      </c>
      <c r="G188" s="51" t="s">
        <v>6583</v>
      </c>
      <c r="H188" s="51" t="s">
        <v>6591</v>
      </c>
      <c r="I188" s="51" t="s">
        <v>7523</v>
      </c>
      <c r="J188" s="51" t="s">
        <v>6768</v>
      </c>
      <c r="K188" s="51" t="s">
        <v>7524</v>
      </c>
      <c r="L188" s="51" t="n">
        <v>-19.927617</v>
      </c>
      <c r="M188" s="51" t="n">
        <v>-44.015743</v>
      </c>
      <c r="N188" s="51" t="n">
        <v>603009.322863228</v>
      </c>
      <c r="O188" s="51" t="n">
        <v>7796226.98220175</v>
      </c>
    </row>
    <row r="189" ht="28.5" customHeight="1">
      <c r="A189" s="51" t="s">
        <v>8774</v>
      </c>
      <c r="B189" s="51" t="s">
        <v>7526</v>
      </c>
      <c r="C189" s="51" t="s">
        <v>7525</v>
      </c>
      <c r="D189" s="51" t="s">
        <v>8775</v>
      </c>
      <c r="E189" s="51" t="s">
        <v>7527</v>
      </c>
      <c r="F189" s="51" t="s">
        <v>7528</v>
      </c>
      <c r="G189" s="51" t="s">
        <v>6611</v>
      </c>
      <c r="H189" s="51" t="s">
        <v>7187</v>
      </c>
      <c r="I189" s="51" t="s">
        <v>7529</v>
      </c>
      <c r="J189" s="51" t="s">
        <v>6963</v>
      </c>
      <c r="K189" s="51"/>
      <c r="L189" s="51" t="n">
        <v>-19.8774055758278</v>
      </c>
      <c r="M189" s="51" t="n">
        <v>-43.9974246804193</v>
      </c>
      <c r="N189" s="51" t="n">
        <v>604959.717077735</v>
      </c>
      <c r="O189" s="51" t="n">
        <v>7801772.6444403</v>
      </c>
    </row>
    <row r="190" ht="28.5" customHeight="1">
      <c r="A190" s="51" t="s">
        <v>8776</v>
      </c>
      <c r="B190" s="51" t="s">
        <v>7531</v>
      </c>
      <c r="C190" s="51" t="s">
        <v>7530</v>
      </c>
      <c r="D190" s="51" t="s">
        <v>8777</v>
      </c>
      <c r="E190" s="51" t="s">
        <v>7532</v>
      </c>
      <c r="F190" s="51" t="s">
        <v>7528</v>
      </c>
      <c r="G190" s="51" t="s">
        <v>6611</v>
      </c>
      <c r="H190" s="51" t="s">
        <v>7187</v>
      </c>
      <c r="I190" s="51" t="s">
        <v>7533</v>
      </c>
      <c r="J190" s="51" t="s">
        <v>7534</v>
      </c>
      <c r="K190" s="51"/>
      <c r="L190" s="51" t="n">
        <v>-19.8782288800714</v>
      </c>
      <c r="M190" s="51" t="n">
        <v>-43.9943786831933</v>
      </c>
      <c r="N190" s="51" t="n">
        <v>605278.084344007</v>
      </c>
      <c r="O190" s="51" t="n">
        <v>7801679.62751777</v>
      </c>
    </row>
    <row r="191" ht="28.5" customHeight="1">
      <c r="A191" s="51" t="s">
        <v>8778</v>
      </c>
      <c r="B191" s="51" t="s">
        <v>7536</v>
      </c>
      <c r="C191" s="51" t="s">
        <v>7535</v>
      </c>
      <c r="D191" s="51" t="s">
        <v>8779</v>
      </c>
      <c r="E191" s="51" t="s">
        <v>6603</v>
      </c>
      <c r="F191" s="51" t="s">
        <v>6604</v>
      </c>
      <c r="G191" s="51" t="s">
        <v>6583</v>
      </c>
      <c r="H191" s="51" t="s">
        <v>6591</v>
      </c>
      <c r="I191" s="51" t="s">
        <v>6605</v>
      </c>
      <c r="J191" s="51" t="s">
        <v>6606</v>
      </c>
      <c r="K191" s="51"/>
      <c r="L191" s="51" t="n">
        <v>-19.898315</v>
      </c>
      <c r="M191" s="51" t="n">
        <v>-44.021447</v>
      </c>
      <c r="N191" s="51" t="n">
        <v>602431.180365269</v>
      </c>
      <c r="O191" s="51" t="n">
        <v>7799473.36135845</v>
      </c>
    </row>
    <row r="192" ht="28.5" customHeight="1">
      <c r="A192" s="51" t="s">
        <v>8780</v>
      </c>
      <c r="B192" s="51" t="s">
        <v>7538</v>
      </c>
      <c r="C192" s="51" t="s">
        <v>7537</v>
      </c>
      <c r="D192" s="51" t="s">
        <v>8781</v>
      </c>
      <c r="E192" s="51" t="s">
        <v>7539</v>
      </c>
      <c r="F192" s="51" t="s">
        <v>7305</v>
      </c>
      <c r="G192" s="51" t="s">
        <v>6611</v>
      </c>
      <c r="H192" s="51" t="s">
        <v>6612</v>
      </c>
      <c r="I192" s="51" t="s">
        <v>7540</v>
      </c>
      <c r="J192" s="51" t="s">
        <v>7541</v>
      </c>
      <c r="K192" s="51"/>
      <c r="L192" s="51" t="n">
        <v>-19.875865</v>
      </c>
      <c r="M192" s="51" t="n">
        <v>-44.006061</v>
      </c>
      <c r="N192" s="51" t="n">
        <v>604056.515060136</v>
      </c>
      <c r="O192" s="51" t="n">
        <v>7801948.49907709</v>
      </c>
    </row>
    <row r="193" ht="28.5" customHeight="1">
      <c r="A193" s="51" t="s">
        <v>8782</v>
      </c>
      <c r="B193" s="51" t="s">
        <v>7543</v>
      </c>
      <c r="C193" s="51" t="s">
        <v>7542</v>
      </c>
      <c r="D193" s="51" t="s">
        <v>8783</v>
      </c>
      <c r="E193" s="51" t="s">
        <v>7544</v>
      </c>
      <c r="F193" s="51" t="s">
        <v>7104</v>
      </c>
      <c r="G193" s="51" t="s">
        <v>6583</v>
      </c>
      <c r="H193" s="51" t="s">
        <v>6584</v>
      </c>
      <c r="I193" s="51" t="s">
        <v>7105</v>
      </c>
      <c r="J193" s="51" t="s">
        <v>7545</v>
      </c>
      <c r="K193" s="51"/>
      <c r="L193" s="51" t="n">
        <v>-19.904417661298</v>
      </c>
      <c r="M193" s="51" t="n">
        <v>-43.9814176433163</v>
      </c>
      <c r="N193" s="51" t="n">
        <v>606617.547283467</v>
      </c>
      <c r="O193" s="51" t="n">
        <v>7798773.10646337</v>
      </c>
    </row>
    <row r="194" ht="28.5" customHeight="1">
      <c r="A194" s="51" t="s">
        <v>8784</v>
      </c>
      <c r="B194" s="51" t="s">
        <v>7547</v>
      </c>
      <c r="C194" s="51" t="s">
        <v>7546</v>
      </c>
      <c r="D194" s="51" t="s">
        <v>8785</v>
      </c>
      <c r="E194" s="51" t="s">
        <v>7548</v>
      </c>
      <c r="F194" s="51" t="s">
        <v>7549</v>
      </c>
      <c r="G194" s="51" t="s">
        <v>6722</v>
      </c>
      <c r="H194" s="51" t="s">
        <v>7083</v>
      </c>
      <c r="I194" s="51" t="s">
        <v>7550</v>
      </c>
      <c r="J194" s="51" t="s">
        <v>7551</v>
      </c>
      <c r="K194" s="51"/>
      <c r="L194" s="51" t="n">
        <v>-19.9435631234041</v>
      </c>
      <c r="M194" s="51" t="n">
        <v>-44.0027175837775</v>
      </c>
      <c r="N194" s="51" t="n">
        <v>604362.154046236</v>
      </c>
      <c r="O194" s="51" t="n">
        <v>7794454.15451599</v>
      </c>
    </row>
    <row r="195" ht="28.5" customHeight="1">
      <c r="A195" s="51" t="s">
        <v>8786</v>
      </c>
      <c r="B195" s="51" t="s">
        <v>7553</v>
      </c>
      <c r="C195" s="51" t="s">
        <v>7552</v>
      </c>
      <c r="D195" s="51" t="s">
        <v>8787</v>
      </c>
      <c r="E195" s="51" t="s">
        <v>7554</v>
      </c>
      <c r="F195" s="51" t="s">
        <v>6714</v>
      </c>
      <c r="G195" s="51" t="s">
        <v>6583</v>
      </c>
      <c r="H195" s="51" t="s">
        <v>6591</v>
      </c>
      <c r="I195" s="51" t="s">
        <v>7555</v>
      </c>
      <c r="J195" s="51" t="s">
        <v>7276</v>
      </c>
      <c r="K195" s="51"/>
      <c r="L195" s="51" t="n">
        <v>-19.9072288995719</v>
      </c>
      <c r="M195" s="51" t="n">
        <v>-44.023675347525</v>
      </c>
      <c r="N195" s="51" t="n">
        <v>602192.184803626</v>
      </c>
      <c r="O195" s="51" t="n">
        <v>7798488.20375786</v>
      </c>
    </row>
    <row r="196" ht="28.5" customHeight="1">
      <c r="A196" s="51" t="s">
        <v>8788</v>
      </c>
      <c r="B196" s="51" t="s">
        <v>7557</v>
      </c>
      <c r="C196" s="51" t="s">
        <v>7556</v>
      </c>
      <c r="D196" s="51" t="s">
        <v>8789</v>
      </c>
      <c r="E196" s="51" t="s">
        <v>7558</v>
      </c>
      <c r="F196" s="51" t="s">
        <v>7559</v>
      </c>
      <c r="G196" s="51" t="s">
        <v>6722</v>
      </c>
      <c r="H196" s="51" t="s">
        <v>6723</v>
      </c>
      <c r="I196" s="51" t="s">
        <v>7560</v>
      </c>
      <c r="J196" s="51" t="s">
        <v>6963</v>
      </c>
      <c r="K196" s="51" t="s">
        <v>7561</v>
      </c>
      <c r="L196" s="51" t="n">
        <v>-19.81739</v>
      </c>
      <c r="M196" s="51" t="n">
        <v>-43.89351</v>
      </c>
      <c r="N196" s="51" t="n">
        <v>615883.11000664</v>
      </c>
      <c r="O196" s="51" t="n">
        <v>7808346.72148288</v>
      </c>
    </row>
    <row r="197" ht="28.5" customHeight="1">
      <c r="A197" s="51" t="s">
        <v>8790</v>
      </c>
      <c r="B197" s="51" t="s">
        <v>7563</v>
      </c>
      <c r="C197" s="51" t="s">
        <v>7562</v>
      </c>
      <c r="D197" s="51" t="s">
        <v>8791</v>
      </c>
      <c r="E197" s="51" t="s">
        <v>7564</v>
      </c>
      <c r="F197" s="51" t="s">
        <v>6714</v>
      </c>
      <c r="G197" s="51" t="s">
        <v>6583</v>
      </c>
      <c r="H197" s="51" t="s">
        <v>6591</v>
      </c>
      <c r="I197" s="51" t="s">
        <v>7565</v>
      </c>
      <c r="J197" s="51" t="s">
        <v>7566</v>
      </c>
      <c r="K197" s="51"/>
      <c r="L197" s="51" t="n">
        <v>-19.911066</v>
      </c>
      <c r="M197" s="51" t="n">
        <v>-44.021034</v>
      </c>
      <c r="N197" s="51" t="n">
        <v>602466.20514725</v>
      </c>
      <c r="O197" s="51" t="n">
        <v>7798061.94004244</v>
      </c>
    </row>
    <row r="198" ht="28.5" customHeight="1">
      <c r="A198" s="51" t="s">
        <v>8792</v>
      </c>
      <c r="B198" s="51" t="s">
        <v>7568</v>
      </c>
      <c r="C198" s="51" t="s">
        <v>7567</v>
      </c>
      <c r="D198" s="51" t="s">
        <v>8793</v>
      </c>
      <c r="E198" s="51" t="s">
        <v>7569</v>
      </c>
      <c r="F198" s="51" t="s">
        <v>7111</v>
      </c>
      <c r="G198" s="51" t="s">
        <v>6583</v>
      </c>
      <c r="H198" s="51" t="s">
        <v>6766</v>
      </c>
      <c r="I198" s="51" t="s">
        <v>7570</v>
      </c>
      <c r="J198" s="51" t="s">
        <v>7571</v>
      </c>
      <c r="K198" s="51"/>
      <c r="L198" s="51" t="n">
        <v>-19.929</v>
      </c>
      <c r="M198" s="51" t="n">
        <v>-44.002913</v>
      </c>
      <c r="N198" s="51" t="n">
        <v>604351.267496385</v>
      </c>
      <c r="O198" s="51" t="n">
        <v>7796066.00828287</v>
      </c>
    </row>
    <row r="199" ht="42.75" customHeight="1">
      <c r="A199" s="51" t="s">
        <v>8794</v>
      </c>
      <c r="B199" s="51" t="s">
        <v>7573</v>
      </c>
      <c r="C199" s="51" t="s">
        <v>7572</v>
      </c>
      <c r="D199" s="51" t="s">
        <v>8795</v>
      </c>
      <c r="E199" s="51" t="s">
        <v>7574</v>
      </c>
      <c r="F199" s="51" t="s">
        <v>7575</v>
      </c>
      <c r="G199" s="51" t="s">
        <v>6627</v>
      </c>
      <c r="H199" s="51" t="s">
        <v>7576</v>
      </c>
      <c r="I199" s="51" t="s">
        <v>7577</v>
      </c>
      <c r="J199" s="51" t="s">
        <v>7578</v>
      </c>
      <c r="K199" s="51" t="s">
        <v>7579</v>
      </c>
      <c r="L199" s="51" t="n">
        <v>-19.9567089030437</v>
      </c>
      <c r="M199" s="51" t="n">
        <v>-43.9683661174851</v>
      </c>
      <c r="N199" s="51" t="n">
        <v>607948.272214494</v>
      </c>
      <c r="O199" s="51" t="n">
        <v>7792977.554565</v>
      </c>
    </row>
    <row r="200" ht="28.5" customHeight="1">
      <c r="A200" s="51" t="s">
        <v>8796</v>
      </c>
      <c r="B200" s="51" t="s">
        <v>7581</v>
      </c>
      <c r="C200" s="51" t="s">
        <v>7580</v>
      </c>
      <c r="D200" s="51" t="s">
        <v>8797</v>
      </c>
      <c r="E200" s="51" t="s">
        <v>7582</v>
      </c>
      <c r="F200" s="51" t="s">
        <v>7583</v>
      </c>
      <c r="G200" s="51" t="s">
        <v>6583</v>
      </c>
      <c r="H200" s="51" t="s">
        <v>6766</v>
      </c>
      <c r="I200" s="51" t="s">
        <v>7584</v>
      </c>
      <c r="J200" s="51" t="s">
        <v>7066</v>
      </c>
      <c r="K200" s="51"/>
      <c r="L200" s="51" t="n">
        <v>-19.910828</v>
      </c>
      <c r="M200" s="51" t="n">
        <v>-43.960438</v>
      </c>
      <c r="N200" s="51" t="n">
        <v>608809.33970208</v>
      </c>
      <c r="O200" s="51" t="n">
        <v>7798050.22486093</v>
      </c>
    </row>
    <row r="201" ht="28.5" customHeight="1">
      <c r="A201" s="51" t="s">
        <v>8798</v>
      </c>
      <c r="B201" s="51" t="s">
        <v>7586</v>
      </c>
      <c r="C201" s="51" t="s">
        <v>7585</v>
      </c>
      <c r="D201" s="51" t="s">
        <v>8799</v>
      </c>
      <c r="E201" s="51" t="s">
        <v>7587</v>
      </c>
      <c r="F201" s="51" t="s">
        <v>7369</v>
      </c>
      <c r="G201" s="51" t="s">
        <v>6611</v>
      </c>
      <c r="H201" s="51" t="s">
        <v>6612</v>
      </c>
      <c r="I201" s="51" t="s">
        <v>7588</v>
      </c>
      <c r="J201" s="51" t="s">
        <v>7195</v>
      </c>
      <c r="K201" s="51"/>
      <c r="L201" s="51" t="n">
        <v>-19.875007</v>
      </c>
      <c r="M201" s="51" t="n">
        <v>-44.013816</v>
      </c>
      <c r="N201" s="51" t="n">
        <v>603245.129388316</v>
      </c>
      <c r="O201" s="51" t="n">
        <v>7802048.22544238</v>
      </c>
    </row>
    <row r="202" ht="28.5" customHeight="1">
      <c r="A202" s="51" t="s">
        <v>8800</v>
      </c>
      <c r="B202" s="51" t="s">
        <v>7590</v>
      </c>
      <c r="C202" s="51" t="s">
        <v>7589</v>
      </c>
      <c r="D202" s="51" t="s">
        <v>8801</v>
      </c>
      <c r="E202" s="51" t="s">
        <v>7591</v>
      </c>
      <c r="F202" s="51" t="s">
        <v>7481</v>
      </c>
      <c r="G202" s="51" t="s">
        <v>6611</v>
      </c>
      <c r="H202" s="51" t="s">
        <v>6612</v>
      </c>
      <c r="I202" s="51" t="s">
        <v>7482</v>
      </c>
      <c r="J202" s="51" t="s">
        <v>7592</v>
      </c>
      <c r="K202" s="51"/>
      <c r="L202" s="51" t="n">
        <v>-19.867214</v>
      </c>
      <c r="M202" s="51" t="n">
        <v>-44.015453</v>
      </c>
      <c r="N202" s="51" t="n">
        <v>603078.774207275</v>
      </c>
      <c r="O202" s="51" t="n">
        <v>7802911.68714328</v>
      </c>
    </row>
    <row r="203" ht="28.5" customHeight="1">
      <c r="A203" s="51" t="s">
        <v>8802</v>
      </c>
      <c r="B203" s="51" t="s">
        <v>7594</v>
      </c>
      <c r="C203" s="51" t="s">
        <v>7593</v>
      </c>
      <c r="D203" s="51" t="s">
        <v>8803</v>
      </c>
      <c r="E203" s="51" t="s">
        <v>7595</v>
      </c>
      <c r="F203" s="51" t="s">
        <v>7596</v>
      </c>
      <c r="G203" s="51" t="s">
        <v>6611</v>
      </c>
      <c r="H203" s="51" t="s">
        <v>6612</v>
      </c>
      <c r="I203" s="51" t="s">
        <v>7597</v>
      </c>
      <c r="J203" s="51" t="s">
        <v>7578</v>
      </c>
      <c r="K203" s="51"/>
      <c r="L203" s="51" t="n">
        <v>-19.8940596487545</v>
      </c>
      <c r="M203" s="51" t="n">
        <v>-43.9882738513858</v>
      </c>
      <c r="N203" s="51" t="n">
        <v>605906.723513522</v>
      </c>
      <c r="O203" s="51" t="n">
        <v>7799923.77919944</v>
      </c>
    </row>
    <row r="204" ht="28.5" customHeight="1">
      <c r="A204" s="51" t="s">
        <v>8804</v>
      </c>
      <c r="B204" s="51" t="s">
        <v>7599</v>
      </c>
      <c r="C204" s="51" t="s">
        <v>7598</v>
      </c>
      <c r="D204" s="51" t="s">
        <v>8805</v>
      </c>
      <c r="E204" s="51" t="s">
        <v>7600</v>
      </c>
      <c r="F204" s="51" t="s">
        <v>6765</v>
      </c>
      <c r="G204" s="51" t="s">
        <v>6583</v>
      </c>
      <c r="H204" s="51" t="s">
        <v>6766</v>
      </c>
      <c r="I204" s="51" t="s">
        <v>7601</v>
      </c>
      <c r="J204" s="51" t="s">
        <v>7602</v>
      </c>
      <c r="K204" s="51"/>
      <c r="L204" s="51" t="n">
        <v>-19.92076</v>
      </c>
      <c r="M204" s="51" t="n">
        <v>-43.982847</v>
      </c>
      <c r="N204" s="51" t="n">
        <v>606456.983994361</v>
      </c>
      <c r="O204" s="51" t="n">
        <v>7796965.36563857</v>
      </c>
    </row>
    <row r="205" ht="28.5" customHeight="1">
      <c r="A205" s="51" t="s">
        <v>8806</v>
      </c>
      <c r="B205" s="51" t="s">
        <v>7604</v>
      </c>
      <c r="C205" s="51" t="s">
        <v>7603</v>
      </c>
      <c r="D205" s="51" t="s">
        <v>8807</v>
      </c>
      <c r="E205" s="51" t="s">
        <v>7605</v>
      </c>
      <c r="F205" s="51" t="s">
        <v>7606</v>
      </c>
      <c r="G205" s="51" t="s">
        <v>6636</v>
      </c>
      <c r="H205" s="51" t="s">
        <v>6969</v>
      </c>
      <c r="I205" s="51" t="s">
        <v>7607</v>
      </c>
      <c r="J205" s="51" t="s">
        <v>7608</v>
      </c>
      <c r="K205" s="51"/>
      <c r="L205" s="51" t="n">
        <v>-19.8203097412084</v>
      </c>
      <c r="M205" s="51" t="n">
        <v>-43.9917982088385</v>
      </c>
      <c r="N205" s="51" t="n">
        <v>605586.557246769</v>
      </c>
      <c r="O205" s="51" t="n">
        <v>7808088.00539359</v>
      </c>
    </row>
    <row r="206" ht="28.5" customHeight="1">
      <c r="A206" s="51" t="s">
        <v>8808</v>
      </c>
      <c r="B206" s="51" t="s">
        <v>7610</v>
      </c>
      <c r="C206" s="51" t="s">
        <v>7609</v>
      </c>
      <c r="D206" s="51" t="s">
        <v>8809</v>
      </c>
      <c r="E206" s="51" t="s">
        <v>7611</v>
      </c>
      <c r="F206" s="51" t="s">
        <v>7612</v>
      </c>
      <c r="G206" s="51" t="s">
        <v>6722</v>
      </c>
      <c r="H206" s="51" t="s">
        <v>6817</v>
      </c>
      <c r="I206" s="51" t="s">
        <v>7613</v>
      </c>
      <c r="J206" s="51" t="s">
        <v>7614</v>
      </c>
      <c r="K206" s="51"/>
      <c r="L206" s="51" t="n">
        <v>-19.835279</v>
      </c>
      <c r="M206" s="51" t="n">
        <v>-43.933201</v>
      </c>
      <c r="N206" s="51" t="n">
        <v>611713.373180884</v>
      </c>
      <c r="O206" s="51" t="n">
        <v>7806393.63048788</v>
      </c>
    </row>
    <row r="207" ht="28.5" customHeight="1">
      <c r="A207" s="51" t="s">
        <v>8810</v>
      </c>
      <c r="B207" s="51" t="s">
        <v>7616</v>
      </c>
      <c r="C207" s="51" t="s">
        <v>7615</v>
      </c>
      <c r="D207" s="51" t="s">
        <v>8811</v>
      </c>
      <c r="E207" s="51" t="s">
        <v>7617</v>
      </c>
      <c r="F207" s="51" t="s">
        <v>7064</v>
      </c>
      <c r="G207" s="51" t="s">
        <v>6722</v>
      </c>
      <c r="H207" s="51" t="s">
        <v>6817</v>
      </c>
      <c r="I207" s="51" t="s">
        <v>7065</v>
      </c>
      <c r="J207" s="51" t="s">
        <v>7618</v>
      </c>
      <c r="K207" s="51"/>
      <c r="L207" s="51" t="n">
        <v>-19.8426854279508</v>
      </c>
      <c r="M207" s="51" t="n">
        <v>-43.9415277907313</v>
      </c>
      <c r="N207" s="51" t="n">
        <v>610836.188939692</v>
      </c>
      <c r="O207" s="51" t="n">
        <v>7805579.43010756</v>
      </c>
    </row>
    <row r="208" ht="28.5" customHeight="1">
      <c r="A208" s="51" t="s">
        <v>8812</v>
      </c>
      <c r="B208" s="51" t="s">
        <v>7620</v>
      </c>
      <c r="C208" s="51" t="s">
        <v>7619</v>
      </c>
      <c r="D208" s="51" t="s">
        <v>8813</v>
      </c>
      <c r="E208" s="51" t="s">
        <v>7621</v>
      </c>
      <c r="F208" s="51" t="s">
        <v>7622</v>
      </c>
      <c r="G208" s="51" t="s">
        <v>6689</v>
      </c>
      <c r="H208" s="51" t="s">
        <v>6690</v>
      </c>
      <c r="I208" s="51" t="s">
        <v>7623</v>
      </c>
      <c r="J208" s="51" t="s">
        <v>7624</v>
      </c>
      <c r="K208" s="51" t="s">
        <v>7625</v>
      </c>
      <c r="L208" s="51" t="n">
        <v>-20.0125911048468</v>
      </c>
      <c r="M208" s="51" t="n">
        <v>-44.0276716742929</v>
      </c>
      <c r="N208" s="51" t="n">
        <v>601706.3</v>
      </c>
      <c r="O208" s="51" t="n">
        <v>7786830</v>
      </c>
    </row>
    <row r="209" ht="28.5" customHeight="1">
      <c r="A209" s="51" t="s">
        <v>8814</v>
      </c>
      <c r="B209" s="51" t="s">
        <v>7627</v>
      </c>
      <c r="C209" s="51" t="s">
        <v>7626</v>
      </c>
      <c r="D209" s="51" t="s">
        <v>8815</v>
      </c>
      <c r="E209" s="51" t="s">
        <v>7628</v>
      </c>
      <c r="F209" s="51" t="s">
        <v>7629</v>
      </c>
      <c r="G209" s="51" t="s">
        <v>6722</v>
      </c>
      <c r="H209" s="51" t="s">
        <v>6817</v>
      </c>
      <c r="I209" s="51" t="s">
        <v>7630</v>
      </c>
      <c r="J209" s="51" t="s">
        <v>7631</v>
      </c>
      <c r="K209" s="51"/>
      <c r="L209" s="51" t="n">
        <v>-19.8250173129632</v>
      </c>
      <c r="M209" s="51" t="n">
        <v>-43.9460257655663</v>
      </c>
      <c r="N209" s="51" t="n">
        <v>610377.355296844</v>
      </c>
      <c r="O209" s="51" t="n">
        <v>7807537.75155082</v>
      </c>
    </row>
    <row r="210" ht="28.5" customHeight="1">
      <c r="A210" s="51" t="s">
        <v>8816</v>
      </c>
      <c r="B210" s="51" t="s">
        <v>7633</v>
      </c>
      <c r="C210" s="51" t="s">
        <v>7632</v>
      </c>
      <c r="D210" s="51" t="s">
        <v>8817</v>
      </c>
      <c r="E210" s="51" t="s">
        <v>7634</v>
      </c>
      <c r="F210" s="51" t="s">
        <v>7227</v>
      </c>
      <c r="G210" s="51" t="s">
        <v>6647</v>
      </c>
      <c r="H210" s="51" t="s">
        <v>7228</v>
      </c>
      <c r="I210" s="51" t="s">
        <v>7635</v>
      </c>
      <c r="J210" s="51" t="s">
        <v>7636</v>
      </c>
      <c r="K210" s="51" t="s">
        <v>7637</v>
      </c>
      <c r="L210" s="51" t="n">
        <v>-19.9171330613428</v>
      </c>
      <c r="M210" s="51" t="n">
        <v>-43.9050362051536</v>
      </c>
      <c r="N210" s="51" t="n">
        <v>614604.148836142</v>
      </c>
      <c r="O210" s="51" t="n">
        <v>7797315.6216005</v>
      </c>
    </row>
    <row r="211" ht="28.5" customHeight="1">
      <c r="A211" s="51" t="s">
        <v>8818</v>
      </c>
      <c r="B211" s="51" t="s">
        <v>7639</v>
      </c>
      <c r="C211" s="51" t="s">
        <v>7638</v>
      </c>
      <c r="D211" s="51" t="s">
        <v>8819</v>
      </c>
      <c r="E211" s="51" t="s">
        <v>7640</v>
      </c>
      <c r="F211" s="51" t="s">
        <v>7641</v>
      </c>
      <c r="G211" s="51" t="s">
        <v>6660</v>
      </c>
      <c r="H211" s="51" t="s">
        <v>6845</v>
      </c>
      <c r="I211" s="51" t="s">
        <v>7642</v>
      </c>
      <c r="J211" s="51" t="s">
        <v>7643</v>
      </c>
      <c r="K211" s="51" t="s">
        <v>7644</v>
      </c>
      <c r="L211" s="51" t="n">
        <v>-19.928525</v>
      </c>
      <c r="M211" s="51" t="n">
        <v>-43.91979</v>
      </c>
      <c r="N211" s="51" t="n">
        <v>613051.702944429</v>
      </c>
      <c r="O211" s="51" t="n">
        <v>7796064.81493178</v>
      </c>
    </row>
    <row r="212" ht="42.75" customHeight="1">
      <c r="A212" s="51" t="s">
        <v>8820</v>
      </c>
      <c r="B212" s="51" t="s">
        <v>7646</v>
      </c>
      <c r="C212" s="51" t="s">
        <v>7645</v>
      </c>
      <c r="D212" s="51" t="s">
        <v>8821</v>
      </c>
      <c r="E212" s="51" t="s">
        <v>7647</v>
      </c>
      <c r="F212" s="51" t="s">
        <v>6844</v>
      </c>
      <c r="G212" s="51" t="s">
        <v>6660</v>
      </c>
      <c r="H212" s="51" t="s">
        <v>6845</v>
      </c>
      <c r="I212" s="51" t="s">
        <v>7207</v>
      </c>
      <c r="J212" s="51" t="s">
        <v>7648</v>
      </c>
      <c r="K212" s="51"/>
      <c r="L212" s="51" t="n">
        <v>-19.9308276360628</v>
      </c>
      <c r="M212" s="51" t="n">
        <v>-43.9163943417606</v>
      </c>
      <c r="N212" s="51" t="n">
        <v>613405.472488759</v>
      </c>
      <c r="O212" s="51" t="n">
        <v>7795807.68422993</v>
      </c>
    </row>
    <row r="213" ht="28.5" customHeight="1">
      <c r="A213" s="51" t="s">
        <v>8822</v>
      </c>
      <c r="B213" s="51" t="s">
        <v>7650</v>
      </c>
      <c r="C213" s="51" t="s">
        <v>7649</v>
      </c>
      <c r="D213" s="51" t="s">
        <v>8823</v>
      </c>
      <c r="E213" s="51" t="s">
        <v>7651</v>
      </c>
      <c r="F213" s="51" t="s">
        <v>6844</v>
      </c>
      <c r="G213" s="51" t="s">
        <v>6660</v>
      </c>
      <c r="H213" s="51" t="s">
        <v>6845</v>
      </c>
      <c r="I213" s="51" t="s">
        <v>7652</v>
      </c>
      <c r="J213" s="51" t="s">
        <v>7653</v>
      </c>
      <c r="K213" s="51" t="s">
        <v>7358</v>
      </c>
      <c r="L213" s="51" t="n">
        <v>-19.937892</v>
      </c>
      <c r="M213" s="51" t="n">
        <v>-43.907632</v>
      </c>
      <c r="N213" s="51" t="n">
        <v>614317.503932542</v>
      </c>
      <c r="O213" s="51" t="n">
        <v>7795019.90038803</v>
      </c>
    </row>
    <row r="214" ht="28.5" customHeight="1">
      <c r="A214" s="51" t="s">
        <v>8824</v>
      </c>
      <c r="B214" s="51" t="s">
        <v>7655</v>
      </c>
      <c r="C214" s="51" t="s">
        <v>7654</v>
      </c>
      <c r="D214" s="51" t="s">
        <v>8825</v>
      </c>
      <c r="E214" s="51" t="s">
        <v>7656</v>
      </c>
      <c r="F214" s="51" t="s">
        <v>7657</v>
      </c>
      <c r="G214" s="51" t="s">
        <v>6660</v>
      </c>
      <c r="H214" s="51" t="s">
        <v>6661</v>
      </c>
      <c r="I214" s="51" t="s">
        <v>7229</v>
      </c>
      <c r="J214" s="51" t="s">
        <v>6880</v>
      </c>
      <c r="K214" s="51" t="s">
        <v>7230</v>
      </c>
      <c r="L214" s="51" t="n">
        <v>-19.9222</v>
      </c>
      <c r="M214" s="51" t="n">
        <v>-43.911434</v>
      </c>
      <c r="N214" s="51" t="n">
        <v>613930.83215156</v>
      </c>
      <c r="O214" s="51" t="n">
        <v>7796759.18860126</v>
      </c>
    </row>
    <row r="215" ht="28.5" customHeight="1">
      <c r="A215" s="51" t="s">
        <v>8826</v>
      </c>
      <c r="B215" s="51" t="s">
        <v>7659</v>
      </c>
      <c r="C215" s="51" t="s">
        <v>7658</v>
      </c>
      <c r="D215" s="51" t="s">
        <v>8827</v>
      </c>
      <c r="E215" s="51" t="s">
        <v>7660</v>
      </c>
      <c r="F215" s="51" t="s">
        <v>7661</v>
      </c>
      <c r="G215" s="51" t="s">
        <v>6660</v>
      </c>
      <c r="H215" s="51" t="s">
        <v>6845</v>
      </c>
      <c r="I215" s="51" t="s">
        <v>7662</v>
      </c>
      <c r="J215" s="51" t="s">
        <v>7663</v>
      </c>
      <c r="K215" s="51"/>
      <c r="L215" s="51" t="n">
        <v>-19.9432394809271</v>
      </c>
      <c r="M215" s="51" t="n">
        <v>-43.91564093858</v>
      </c>
      <c r="N215" s="51" t="n">
        <v>613475.461723047</v>
      </c>
      <c r="O215" s="51" t="n">
        <v>7794433.50043182</v>
      </c>
    </row>
    <row r="216" ht="28.5" customHeight="1">
      <c r="A216" s="51" t="s">
        <v>8828</v>
      </c>
      <c r="B216" s="51" t="s">
        <v>7665</v>
      </c>
      <c r="C216" s="51" t="s">
        <v>7664</v>
      </c>
      <c r="D216" s="51" t="s">
        <v>8829</v>
      </c>
      <c r="E216" s="51" t="s">
        <v>7666</v>
      </c>
      <c r="F216" s="51" t="s">
        <v>7667</v>
      </c>
      <c r="G216" s="51" t="s">
        <v>6660</v>
      </c>
      <c r="H216" s="51" t="s">
        <v>6803</v>
      </c>
      <c r="I216" s="51" t="s">
        <v>7668</v>
      </c>
      <c r="J216" s="51" t="s">
        <v>6746</v>
      </c>
      <c r="K216" s="51" t="s">
        <v>7669</v>
      </c>
      <c r="L216" s="51" t="n">
        <v>-19.931435</v>
      </c>
      <c r="M216" s="51" t="n">
        <v>-43.906264</v>
      </c>
      <c r="N216" s="51" t="n">
        <v>614465.331753288</v>
      </c>
      <c r="O216" s="51" t="n">
        <v>7795733.59587308</v>
      </c>
    </row>
    <row r="217" ht="28.5" customHeight="1">
      <c r="A217" s="51" t="s">
        <v>8830</v>
      </c>
      <c r="B217" s="51" t="s">
        <v>7671</v>
      </c>
      <c r="C217" s="51" t="s">
        <v>7670</v>
      </c>
      <c r="D217" s="51" t="s">
        <v>8831</v>
      </c>
      <c r="E217" s="51" t="s">
        <v>7672</v>
      </c>
      <c r="F217" s="51" t="s">
        <v>7575</v>
      </c>
      <c r="G217" s="51" t="s">
        <v>6627</v>
      </c>
      <c r="H217" s="51" t="s">
        <v>7576</v>
      </c>
      <c r="I217" s="51" t="s">
        <v>7673</v>
      </c>
      <c r="J217" s="51" t="s">
        <v>7674</v>
      </c>
      <c r="K217" s="51" t="s">
        <v>7675</v>
      </c>
      <c r="L217" s="51" t="n">
        <v>-19.9553585592477</v>
      </c>
      <c r="M217" s="51" t="n">
        <v>-43.9691276786587</v>
      </c>
      <c r="N217" s="51" t="n">
        <v>607869.495018805</v>
      </c>
      <c r="O217" s="51" t="n">
        <v>7793127.49119094</v>
      </c>
    </row>
    <row r="218" ht="28.5" customHeight="1">
      <c r="A218" s="51" t="s">
        <v>8832</v>
      </c>
      <c r="B218" s="51" t="s">
        <v>7677</v>
      </c>
      <c r="C218" s="51" t="s">
        <v>7676</v>
      </c>
      <c r="D218" s="51" t="s">
        <v>8833</v>
      </c>
      <c r="E218" s="51" t="s">
        <v>7678</v>
      </c>
      <c r="F218" s="51" t="s">
        <v>6597</v>
      </c>
      <c r="G218" s="51" t="s">
        <v>6583</v>
      </c>
      <c r="H218" s="51" t="s">
        <v>6591</v>
      </c>
      <c r="I218" s="51" t="s">
        <v>7679</v>
      </c>
      <c r="J218" s="51" t="s">
        <v>6859</v>
      </c>
      <c r="K218" s="51"/>
      <c r="L218" s="51" t="n">
        <v>-19.916737</v>
      </c>
      <c r="M218" s="51" t="n">
        <v>-43.999656</v>
      </c>
      <c r="N218" s="51" t="n">
        <v>604700.234350416</v>
      </c>
      <c r="O218" s="51" t="n">
        <v>7797421.15447034</v>
      </c>
    </row>
    <row r="219" ht="28.5" customHeight="1">
      <c r="A219" s="51" t="s">
        <v>8834</v>
      </c>
      <c r="B219" s="51" t="s">
        <v>7681</v>
      </c>
      <c r="C219" s="51" t="s">
        <v>7680</v>
      </c>
      <c r="D219" s="51" t="s">
        <v>8835</v>
      </c>
      <c r="E219" s="51" t="s">
        <v>7682</v>
      </c>
      <c r="F219" s="51" t="s">
        <v>7146</v>
      </c>
      <c r="G219" s="51" t="s">
        <v>6636</v>
      </c>
      <c r="H219" s="51" t="s">
        <v>6674</v>
      </c>
      <c r="I219" s="51" t="s">
        <v>7683</v>
      </c>
      <c r="J219" s="51" t="s">
        <v>7684</v>
      </c>
      <c r="K219" s="51"/>
      <c r="L219" s="51" t="n">
        <v>-19.806342</v>
      </c>
      <c r="M219" s="51" t="n">
        <v>-43.959329</v>
      </c>
      <c r="N219" s="51" t="n">
        <v>608996.783112719</v>
      </c>
      <c r="O219" s="51" t="n">
        <v>7809613.22194197</v>
      </c>
    </row>
    <row r="220" ht="28.5" customHeight="1">
      <c r="A220" s="51" t="s">
        <v>8836</v>
      </c>
      <c r="B220" s="51" t="s">
        <v>7686</v>
      </c>
      <c r="C220" s="51" t="s">
        <v>7685</v>
      </c>
      <c r="D220" s="51" t="s">
        <v>8837</v>
      </c>
      <c r="E220" s="51" t="s">
        <v>7687</v>
      </c>
      <c r="F220" s="51" t="s">
        <v>7688</v>
      </c>
      <c r="G220" s="51" t="s">
        <v>6611</v>
      </c>
      <c r="H220" s="51" t="s">
        <v>7187</v>
      </c>
      <c r="I220" s="51" t="s">
        <v>7689</v>
      </c>
      <c r="J220" s="51" t="s">
        <v>7181</v>
      </c>
      <c r="K220" s="51" t="s">
        <v>7690</v>
      </c>
      <c r="L220" s="51" t="n">
        <v>-19.8687145888442</v>
      </c>
      <c r="M220" s="51" t="n">
        <v>-43.9978608624576</v>
      </c>
      <c r="N220" s="51" t="n">
        <v>604919.768979347</v>
      </c>
      <c r="O220" s="51" t="n">
        <v>7802734.76095072</v>
      </c>
    </row>
    <row r="221" ht="28.5" customHeight="1">
      <c r="A221" s="51" t="s">
        <v>8838</v>
      </c>
      <c r="B221" s="51" t="s">
        <v>7692</v>
      </c>
      <c r="C221" s="51" t="s">
        <v>7691</v>
      </c>
      <c r="D221" s="51" t="s">
        <v>8839</v>
      </c>
      <c r="E221" s="51" t="s">
        <v>7693</v>
      </c>
      <c r="F221" s="51" t="s">
        <v>7343</v>
      </c>
      <c r="G221" s="51" t="s">
        <v>6611</v>
      </c>
      <c r="H221" s="51" t="s">
        <v>6612</v>
      </c>
      <c r="I221" s="51" t="s">
        <v>7344</v>
      </c>
      <c r="J221" s="51" t="s">
        <v>7694</v>
      </c>
      <c r="K221" s="51"/>
      <c r="L221" s="51" t="n">
        <v>-19.900667</v>
      </c>
      <c r="M221" s="51" t="n">
        <v>-43.998322</v>
      </c>
      <c r="N221" s="51" t="n">
        <v>604850.456291948</v>
      </c>
      <c r="O221" s="51" t="n">
        <v>7799198.82156544</v>
      </c>
    </row>
    <row r="222" ht="28.5" customHeight="1">
      <c r="A222" s="51" t="s">
        <v>8840</v>
      </c>
      <c r="B222" s="51" t="s">
        <v>7696</v>
      </c>
      <c r="C222" s="51" t="s">
        <v>7695</v>
      </c>
      <c r="D222" s="51" t="s">
        <v>8841</v>
      </c>
      <c r="E222" s="51" t="s">
        <v>7697</v>
      </c>
      <c r="F222" s="51" t="s">
        <v>7090</v>
      </c>
      <c r="G222" s="51" t="s">
        <v>6722</v>
      </c>
      <c r="H222" s="51" t="s">
        <v>6723</v>
      </c>
      <c r="I222" s="51" t="s">
        <v>7698</v>
      </c>
      <c r="J222" s="51" t="s">
        <v>7699</v>
      </c>
      <c r="K222" s="51" t="s">
        <v>7700</v>
      </c>
      <c r="L222" s="51" t="n">
        <v>-19.823991</v>
      </c>
      <c r="M222" s="51" t="n">
        <v>-43.930756</v>
      </c>
      <c r="N222" s="51" t="n">
        <v>611977.341953603</v>
      </c>
      <c r="O222" s="51" t="n">
        <v>7807641.28556936</v>
      </c>
    </row>
    <row r="223" ht="28.5" customHeight="1">
      <c r="A223" s="51" t="s">
        <v>8842</v>
      </c>
      <c r="B223" s="51" t="s">
        <v>7702</v>
      </c>
      <c r="C223" s="51" t="s">
        <v>7701</v>
      </c>
      <c r="D223" s="51" t="s">
        <v>8843</v>
      </c>
      <c r="E223" s="51" t="s">
        <v>7703</v>
      </c>
      <c r="F223" s="51" t="s">
        <v>7704</v>
      </c>
      <c r="G223" s="51" t="s">
        <v>6583</v>
      </c>
      <c r="H223" s="51" t="s">
        <v>6766</v>
      </c>
      <c r="I223" s="51" t="s">
        <v>7705</v>
      </c>
      <c r="J223" s="51" t="s">
        <v>7706</v>
      </c>
      <c r="K223" s="51"/>
      <c r="L223" s="51" t="n">
        <v>-19.9331767474336</v>
      </c>
      <c r="M223" s="51" t="n">
        <v>-43.9996430823862</v>
      </c>
      <c r="N223" s="51" t="n">
        <v>604690.759766562</v>
      </c>
      <c r="O223" s="51" t="n">
        <v>7795601.72489015</v>
      </c>
    </row>
    <row r="224" ht="28.5" customHeight="1">
      <c r="A224" s="51" t="s">
        <v>8844</v>
      </c>
      <c r="B224" s="51" t="s">
        <v>7708</v>
      </c>
      <c r="C224" s="51" t="s">
        <v>7707</v>
      </c>
      <c r="D224" s="51" t="s">
        <v>8845</v>
      </c>
      <c r="E224" s="51" t="s">
        <v>7709</v>
      </c>
      <c r="F224" s="51" t="s">
        <v>7622</v>
      </c>
      <c r="G224" s="51" t="s">
        <v>6689</v>
      </c>
      <c r="H224" s="51" t="s">
        <v>6690</v>
      </c>
      <c r="I224" s="51" t="s">
        <v>7710</v>
      </c>
      <c r="J224" s="51" t="s">
        <v>7412</v>
      </c>
      <c r="K224" s="51" t="s">
        <v>7711</v>
      </c>
      <c r="L224" s="51" t="n">
        <v>-20.015268</v>
      </c>
      <c r="M224" s="51" t="n">
        <v>-44.030147</v>
      </c>
      <c r="N224" s="51" t="n">
        <v>601445.643435538</v>
      </c>
      <c r="O224" s="51" t="n">
        <v>7786535.24365644</v>
      </c>
    </row>
    <row r="225" ht="28.5" customHeight="1">
      <c r="A225" s="51" t="s">
        <v>8846</v>
      </c>
      <c r="B225" s="51" t="s">
        <v>7713</v>
      </c>
      <c r="C225" s="51" t="s">
        <v>7712</v>
      </c>
      <c r="D225" s="51" t="s">
        <v>8847</v>
      </c>
      <c r="E225" s="51" t="s">
        <v>7714</v>
      </c>
      <c r="F225" s="51" t="s">
        <v>7213</v>
      </c>
      <c r="G225" s="51" t="s">
        <v>6611</v>
      </c>
      <c r="H225" s="51" t="s">
        <v>6612</v>
      </c>
      <c r="I225" s="51" t="s">
        <v>7715</v>
      </c>
      <c r="J225" s="51" t="s">
        <v>6859</v>
      </c>
      <c r="K225" s="51"/>
      <c r="L225" s="51" t="n">
        <v>-19.8955878913667</v>
      </c>
      <c r="M225" s="51" t="n">
        <v>-44.006549933886</v>
      </c>
      <c r="N225" s="51" t="n">
        <v>603992.449352302</v>
      </c>
      <c r="O225" s="51" t="n">
        <v>7799766.03981242</v>
      </c>
    </row>
    <row r="226" ht="28.5" customHeight="1">
      <c r="A226" s="51" t="s">
        <v>8848</v>
      </c>
      <c r="B226" s="51" t="s">
        <v>7717</v>
      </c>
      <c r="C226" s="51" t="s">
        <v>7716</v>
      </c>
      <c r="D226" s="51" t="s">
        <v>8849</v>
      </c>
      <c r="E226" s="51" t="s">
        <v>7718</v>
      </c>
      <c r="F226" s="51" t="s">
        <v>6736</v>
      </c>
      <c r="G226" s="51" t="s">
        <v>6583</v>
      </c>
      <c r="H226" s="51" t="s">
        <v>6591</v>
      </c>
      <c r="I226" s="51" t="s">
        <v>7719</v>
      </c>
      <c r="J226" s="51" t="s">
        <v>7720</v>
      </c>
      <c r="K226" s="51"/>
      <c r="L226" s="51" t="n">
        <v>-19.902592</v>
      </c>
      <c r="M226" s="51" t="n">
        <v>-44.017417</v>
      </c>
      <c r="N226" s="51" t="n">
        <v>602850.293899487</v>
      </c>
      <c r="O226" s="51" t="n">
        <v>7798997.56236742</v>
      </c>
    </row>
    <row r="227" ht="28.5" customHeight="1">
      <c r="A227" s="51" t="s">
        <v>8850</v>
      </c>
      <c r="B227" s="51" t="s">
        <v>7722</v>
      </c>
      <c r="C227" s="51" t="s">
        <v>7721</v>
      </c>
      <c r="D227" s="51" t="s">
        <v>8851</v>
      </c>
      <c r="E227" s="51" t="s">
        <v>7723</v>
      </c>
      <c r="F227" s="51" t="s">
        <v>7305</v>
      </c>
      <c r="G227" s="51" t="s">
        <v>6611</v>
      </c>
      <c r="H227" s="51" t="s">
        <v>6612</v>
      </c>
      <c r="I227" s="51" t="s">
        <v>7306</v>
      </c>
      <c r="J227" s="51" t="s">
        <v>7519</v>
      </c>
      <c r="K227" s="51"/>
      <c r="L227" s="51" t="n">
        <v>-19.875879</v>
      </c>
      <c r="M227" s="51" t="n">
        <v>-44.00724</v>
      </c>
      <c r="N227" s="51" t="n">
        <v>603933.06561902</v>
      </c>
      <c r="O227" s="51" t="n">
        <v>7801947.67735522</v>
      </c>
    </row>
    <row r="228" ht="28.5" customHeight="1">
      <c r="A228" s="51" t="s">
        <v>8852</v>
      </c>
      <c r="B228" s="51" t="s">
        <v>7725</v>
      </c>
      <c r="C228" s="51" t="s">
        <v>7724</v>
      </c>
      <c r="D228" s="51" t="s">
        <v>8853</v>
      </c>
      <c r="E228" s="51" t="s">
        <v>7726</v>
      </c>
      <c r="F228" s="51" t="s">
        <v>7036</v>
      </c>
      <c r="G228" s="51" t="s">
        <v>6583</v>
      </c>
      <c r="H228" s="51" t="s">
        <v>6591</v>
      </c>
      <c r="I228" s="51" t="s">
        <v>7727</v>
      </c>
      <c r="J228" s="51" t="s">
        <v>7728</v>
      </c>
      <c r="K228" s="51"/>
      <c r="L228" s="51" t="n">
        <v>-19.906424</v>
      </c>
      <c r="M228" s="51" t="n">
        <v>-43.999664</v>
      </c>
      <c r="N228" s="51" t="n">
        <v>604706.184262873</v>
      </c>
      <c r="O228" s="51" t="n">
        <v>7798562.51925366</v>
      </c>
    </row>
    <row r="229" ht="28.5" customHeight="1">
      <c r="A229" s="51" t="s">
        <v>8854</v>
      </c>
      <c r="B229" s="51" t="s">
        <v>7730</v>
      </c>
      <c r="C229" s="51" t="s">
        <v>7729</v>
      </c>
      <c r="D229" s="51" t="s">
        <v>8855</v>
      </c>
      <c r="E229" s="51" t="s">
        <v>7731</v>
      </c>
      <c r="F229" s="51" t="s">
        <v>7732</v>
      </c>
      <c r="G229" s="51" t="s">
        <v>6627</v>
      </c>
      <c r="H229" s="51" t="s">
        <v>6927</v>
      </c>
      <c r="I229" s="51" t="s">
        <v>7733</v>
      </c>
      <c r="J229" s="51" t="s">
        <v>6963</v>
      </c>
      <c r="K229" s="51" t="s">
        <v>7734</v>
      </c>
      <c r="L229" s="51" t="n">
        <v>-19.936298</v>
      </c>
      <c r="M229" s="51" t="n">
        <v>-44.013575</v>
      </c>
      <c r="N229" s="51" t="n">
        <v>603230.597128063</v>
      </c>
      <c r="O229" s="51" t="n">
        <v>7795264.90983553</v>
      </c>
    </row>
    <row r="230" ht="28.5" customHeight="1">
      <c r="A230" s="51" t="s">
        <v>8856</v>
      </c>
      <c r="B230" s="51" t="s">
        <v>7736</v>
      </c>
      <c r="C230" s="51" t="s">
        <v>7735</v>
      </c>
      <c r="D230" s="51" t="s">
        <v>8857</v>
      </c>
      <c r="E230" s="51" t="s">
        <v>7737</v>
      </c>
      <c r="F230" s="51" t="s">
        <v>7213</v>
      </c>
      <c r="G230" s="51" t="s">
        <v>6611</v>
      </c>
      <c r="H230" s="51" t="s">
        <v>6612</v>
      </c>
      <c r="I230" s="51" t="s">
        <v>7738</v>
      </c>
      <c r="J230" s="51" t="s">
        <v>7739</v>
      </c>
      <c r="K230" s="51"/>
      <c r="L230" s="51" t="n">
        <v>-19.89626</v>
      </c>
      <c r="M230" s="51" t="n">
        <v>-44.001905</v>
      </c>
      <c r="N230" s="51" t="n">
        <v>604478.269085023</v>
      </c>
      <c r="O230" s="51" t="n">
        <v>7799688.78018587</v>
      </c>
    </row>
    <row r="231" ht="28.5" customHeight="1">
      <c r="A231" s="51" t="s">
        <v>8858</v>
      </c>
      <c r="B231" s="51" t="s">
        <v>7741</v>
      </c>
      <c r="C231" s="51" t="s">
        <v>7740</v>
      </c>
      <c r="D231" s="51" t="s">
        <v>8859</v>
      </c>
      <c r="E231" s="51" t="s">
        <v>7742</v>
      </c>
      <c r="F231" s="51" t="s">
        <v>6913</v>
      </c>
      <c r="G231" s="51" t="s">
        <v>6627</v>
      </c>
      <c r="H231" s="51" t="s">
        <v>6681</v>
      </c>
      <c r="I231" s="51" t="s">
        <v>7743</v>
      </c>
      <c r="J231" s="51" t="s">
        <v>7744</v>
      </c>
      <c r="K231" s="51" t="s">
        <v>7745</v>
      </c>
      <c r="L231" s="51" t="n">
        <v>-19.967424</v>
      </c>
      <c r="M231" s="51" t="n">
        <v>-43.988541</v>
      </c>
      <c r="N231" s="51" t="n">
        <v>605829.890804092</v>
      </c>
      <c r="O231" s="51" t="n">
        <v>7791804.53321059</v>
      </c>
    </row>
    <row r="232">
      <c r="A232" s="51" t="s">
        <v>8860</v>
      </c>
      <c r="B232" s="51" t="s">
        <v>7747</v>
      </c>
      <c r="C232" s="51" t="s">
        <v>7746</v>
      </c>
      <c r="D232" s="51" t="s">
        <v>8861</v>
      </c>
      <c r="E232" s="51" t="s">
        <v>7748</v>
      </c>
      <c r="F232" s="51" t="s">
        <v>7749</v>
      </c>
      <c r="G232" s="51" t="s">
        <v>6722</v>
      </c>
      <c r="H232" s="51" t="s">
        <v>6817</v>
      </c>
      <c r="I232" s="51" t="s">
        <v>7750</v>
      </c>
      <c r="J232" s="51" t="s">
        <v>7751</v>
      </c>
      <c r="K232" s="51"/>
      <c r="L232" s="51" t="n">
        <v>-19.8295761489646</v>
      </c>
      <c r="M232" s="51" t="n">
        <v>-43.9467578417487</v>
      </c>
      <c r="N232" s="51" t="n">
        <v>610297.535786956</v>
      </c>
      <c r="O232" s="51" t="n">
        <v>7807033.69267339</v>
      </c>
    </row>
    <row r="233" ht="28.5" customHeight="1">
      <c r="A233" s="51" t="s">
        <v>8862</v>
      </c>
      <c r="B233" s="51" t="s">
        <v>7753</v>
      </c>
      <c r="C233" s="51" t="s">
        <v>7752</v>
      </c>
      <c r="D233" s="51" t="s">
        <v>8863</v>
      </c>
      <c r="E233" s="51" t="s">
        <v>7754</v>
      </c>
      <c r="F233" s="51" t="s">
        <v>7388</v>
      </c>
      <c r="G233" s="51" t="s">
        <v>6627</v>
      </c>
      <c r="H233" s="51" t="s">
        <v>6628</v>
      </c>
      <c r="I233" s="51" t="s">
        <v>7755</v>
      </c>
      <c r="J233" s="51" t="s">
        <v>7376</v>
      </c>
      <c r="K233" s="51" t="s">
        <v>7756</v>
      </c>
      <c r="L233" s="51" t="n">
        <v>-19.954408</v>
      </c>
      <c r="M233" s="51" t="n">
        <v>-43.969052</v>
      </c>
      <c r="N233" s="51" t="n">
        <v>607878.060713855</v>
      </c>
      <c r="O233" s="51" t="n">
        <v>7793232.6440635</v>
      </c>
    </row>
    <row r="234" ht="28.5" customHeight="1">
      <c r="A234" s="51" t="s">
        <v>8864</v>
      </c>
      <c r="B234" s="51" t="s">
        <v>7758</v>
      </c>
      <c r="C234" s="51" t="s">
        <v>7757</v>
      </c>
      <c r="D234" s="51" t="s">
        <v>8865</v>
      </c>
      <c r="E234" s="51" t="s">
        <v>6603</v>
      </c>
      <c r="F234" s="51" t="s">
        <v>6604</v>
      </c>
      <c r="G234" s="51" t="s">
        <v>6583</v>
      </c>
      <c r="H234" s="51" t="s">
        <v>6591</v>
      </c>
      <c r="I234" s="51" t="s">
        <v>6605</v>
      </c>
      <c r="J234" s="51" t="s">
        <v>6606</v>
      </c>
      <c r="K234" s="51"/>
      <c r="L234" s="51" t="n">
        <v>-19.898315</v>
      </c>
      <c r="M234" s="51" t="n">
        <v>-44.021447</v>
      </c>
      <c r="N234" s="51" t="n">
        <v>602431.180365269</v>
      </c>
      <c r="O234" s="51" t="n">
        <v>7799473.36135845</v>
      </c>
    </row>
    <row r="235" ht="28.5" customHeight="1">
      <c r="A235" s="51" t="s">
        <v>8866</v>
      </c>
      <c r="B235" s="51" t="s">
        <v>7760</v>
      </c>
      <c r="C235" s="51" t="s">
        <v>7759</v>
      </c>
      <c r="D235" s="51" t="s">
        <v>8867</v>
      </c>
      <c r="E235" s="51" t="s">
        <v>7761</v>
      </c>
      <c r="F235" s="51" t="s">
        <v>7762</v>
      </c>
      <c r="G235" s="51" t="s">
        <v>6636</v>
      </c>
      <c r="H235" s="51" t="s">
        <v>6837</v>
      </c>
      <c r="I235" s="51" t="s">
        <v>7763</v>
      </c>
      <c r="J235" s="51" t="s">
        <v>7764</v>
      </c>
      <c r="K235" s="51"/>
      <c r="L235" s="51" t="n">
        <v>-19.815362</v>
      </c>
      <c r="M235" s="51" t="n">
        <v>-43.974795</v>
      </c>
      <c r="N235" s="51" t="n">
        <v>607370.730821249</v>
      </c>
      <c r="O235" s="51" t="n">
        <v>7808624.86312948</v>
      </c>
    </row>
    <row r="236" ht="28.5" customHeight="1">
      <c r="A236" s="51" t="s">
        <v>8868</v>
      </c>
      <c r="B236" s="51" t="s">
        <v>7766</v>
      </c>
      <c r="C236" s="51" t="s">
        <v>7765</v>
      </c>
      <c r="D236" s="51" t="s">
        <v>8869</v>
      </c>
      <c r="E236" s="51" t="s">
        <v>7767</v>
      </c>
      <c r="F236" s="51" t="s">
        <v>6619</v>
      </c>
      <c r="G236" s="51" t="s">
        <v>6583</v>
      </c>
      <c r="H236" s="51" t="s">
        <v>6591</v>
      </c>
      <c r="I236" s="51" t="s">
        <v>7098</v>
      </c>
      <c r="J236" s="51" t="s">
        <v>7099</v>
      </c>
      <c r="K236" s="51"/>
      <c r="L236" s="51" t="n">
        <v>-19.909751</v>
      </c>
      <c r="M236" s="51" t="n">
        <v>-44.008965</v>
      </c>
      <c r="N236" s="51" t="n">
        <v>603730.394845414</v>
      </c>
      <c r="O236" s="51" t="n">
        <v>7798200.07607321</v>
      </c>
    </row>
    <row r="237" ht="28.5" customHeight="1">
      <c r="A237" s="51" t="s">
        <v>8870</v>
      </c>
      <c r="B237" s="51" t="s">
        <v>7769</v>
      </c>
      <c r="C237" s="51" t="s">
        <v>7768</v>
      </c>
      <c r="D237" s="51" t="s">
        <v>8871</v>
      </c>
      <c r="E237" s="51" t="s">
        <v>7770</v>
      </c>
      <c r="F237" s="51" t="s">
        <v>6946</v>
      </c>
      <c r="G237" s="51" t="s">
        <v>6583</v>
      </c>
      <c r="H237" s="51" t="s">
        <v>6591</v>
      </c>
      <c r="I237" s="51" t="s">
        <v>7771</v>
      </c>
      <c r="J237" s="51" t="s">
        <v>7174</v>
      </c>
      <c r="K237" s="51"/>
      <c r="L237" s="51" t="n">
        <v>-19.929577</v>
      </c>
      <c r="M237" s="51" t="n">
        <v>-44.008777</v>
      </c>
      <c r="N237" s="51" t="n">
        <v>603737.139880192</v>
      </c>
      <c r="O237" s="51" t="n">
        <v>7796005.78084578</v>
      </c>
    </row>
    <row r="238" ht="28.5" customHeight="1">
      <c r="A238" s="51" t="s">
        <v>8872</v>
      </c>
      <c r="B238" s="51" t="s">
        <v>7773</v>
      </c>
      <c r="C238" s="51" t="s">
        <v>7772</v>
      </c>
      <c r="D238" s="51" t="s">
        <v>8873</v>
      </c>
      <c r="E238" s="51" t="s">
        <v>7774</v>
      </c>
      <c r="F238" s="51" t="s">
        <v>7775</v>
      </c>
      <c r="G238" s="51" t="s">
        <v>6636</v>
      </c>
      <c r="H238" s="51" t="s">
        <v>6969</v>
      </c>
      <c r="I238" s="51" t="s">
        <v>7776</v>
      </c>
      <c r="J238" s="51" t="s">
        <v>7777</v>
      </c>
      <c r="K238" s="51"/>
      <c r="L238" s="51" t="n">
        <v>-19.80784</v>
      </c>
      <c r="M238" s="51" t="n">
        <v>-43.99752</v>
      </c>
      <c r="N238" s="51" t="n">
        <v>604995.465791084</v>
      </c>
      <c r="O238" s="51" t="n">
        <v>7809471.60780597</v>
      </c>
    </row>
    <row r="239" ht="28.5" customHeight="1">
      <c r="A239" s="51" t="s">
        <v>8874</v>
      </c>
      <c r="B239" s="51" t="s">
        <v>7779</v>
      </c>
      <c r="C239" s="51" t="s">
        <v>7778</v>
      </c>
      <c r="D239" s="51" t="s">
        <v>8875</v>
      </c>
      <c r="E239" s="51" t="s">
        <v>7780</v>
      </c>
      <c r="F239" s="51" t="s">
        <v>7305</v>
      </c>
      <c r="G239" s="51" t="s">
        <v>6611</v>
      </c>
      <c r="H239" s="51" t="s">
        <v>6612</v>
      </c>
      <c r="I239" s="51" t="s">
        <v>7781</v>
      </c>
      <c r="J239" s="51" t="s">
        <v>7782</v>
      </c>
      <c r="K239" s="51"/>
      <c r="L239" s="51" t="n">
        <v>-19.871409</v>
      </c>
      <c r="M239" s="51" t="n">
        <v>-44.001106</v>
      </c>
      <c r="N239" s="51" t="n">
        <v>604578.222815236</v>
      </c>
      <c r="O239" s="51" t="n">
        <v>7802438.58341146</v>
      </c>
    </row>
    <row r="240" ht="28.5" customHeight="1">
      <c r="A240" s="51" t="s">
        <v>8876</v>
      </c>
      <c r="B240" s="51" t="s">
        <v>7784</v>
      </c>
      <c r="C240" s="51" t="s">
        <v>7783</v>
      </c>
      <c r="D240" s="51" t="s">
        <v>8877</v>
      </c>
      <c r="E240" s="51" t="s">
        <v>7785</v>
      </c>
      <c r="F240" s="51" t="s">
        <v>7022</v>
      </c>
      <c r="G240" s="51" t="s">
        <v>6794</v>
      </c>
      <c r="H240" s="51" t="s">
        <v>6961</v>
      </c>
      <c r="I240" s="51" t="s">
        <v>7786</v>
      </c>
      <c r="J240" s="51" t="s">
        <v>7787</v>
      </c>
      <c r="K240" s="51" t="s">
        <v>7788</v>
      </c>
      <c r="L240" s="51" t="n">
        <v>-19.8229759905491</v>
      </c>
      <c r="M240" s="51" t="n">
        <v>-43.9016595385085</v>
      </c>
      <c r="N240" s="51" t="n">
        <v>615025.505588537</v>
      </c>
      <c r="O240" s="51" t="n">
        <v>7807734.06885144</v>
      </c>
    </row>
    <row r="241" ht="28.5" customHeight="1">
      <c r="A241" s="51" t="s">
        <v>8878</v>
      </c>
      <c r="B241" s="51" t="s">
        <v>7790</v>
      </c>
      <c r="C241" s="51" t="s">
        <v>7789</v>
      </c>
      <c r="D241" s="51" t="s">
        <v>8879</v>
      </c>
      <c r="E241" s="51" t="s">
        <v>7791</v>
      </c>
      <c r="F241" s="51" t="s">
        <v>7792</v>
      </c>
      <c r="G241" s="51" t="s">
        <v>6636</v>
      </c>
      <c r="H241" s="51" t="s">
        <v>6837</v>
      </c>
      <c r="I241" s="51" t="s">
        <v>7793</v>
      </c>
      <c r="J241" s="51" t="s">
        <v>7338</v>
      </c>
      <c r="K241" s="51"/>
      <c r="L241" s="51" t="n">
        <v>-19.8120415742438</v>
      </c>
      <c r="M241" s="51" t="n">
        <v>-43.9789916049398</v>
      </c>
      <c r="N241" s="51" t="n">
        <v>606933.4</v>
      </c>
      <c r="O241" s="51" t="n">
        <v>7808995</v>
      </c>
    </row>
    <row r="242">
      <c r="A242" s="51" t="s">
        <v>8880</v>
      </c>
      <c r="B242" s="51" t="s">
        <v>7795</v>
      </c>
      <c r="C242" s="51" t="s">
        <v>7794</v>
      </c>
      <c r="D242" s="51" t="s">
        <v>8881</v>
      </c>
      <c r="E242" s="51" t="s">
        <v>7796</v>
      </c>
      <c r="F242" s="51" t="s">
        <v>7002</v>
      </c>
      <c r="G242" s="51" t="s">
        <v>6689</v>
      </c>
      <c r="H242" s="51" t="s">
        <v>7003</v>
      </c>
      <c r="I242" s="51" t="s">
        <v>7797</v>
      </c>
      <c r="J242" s="51" t="s">
        <v>7798</v>
      </c>
      <c r="K242" s="51"/>
      <c r="L242" s="51" t="n">
        <v>-19.9897531830712</v>
      </c>
      <c r="M242" s="51" t="n">
        <v>-44.0392333374399</v>
      </c>
      <c r="N242" s="51" t="n">
        <v>600511.351076239</v>
      </c>
      <c r="O242" s="51" t="n">
        <v>7789364.50197842</v>
      </c>
    </row>
    <row r="243">
      <c r="A243" s="51" t="s">
        <v>8882</v>
      </c>
      <c r="B243" s="51" t="s">
        <v>7800</v>
      </c>
      <c r="C243" s="51" t="s">
        <v>7799</v>
      </c>
      <c r="D243" s="51" t="s">
        <v>8883</v>
      </c>
      <c r="E243" s="51" t="s">
        <v>7801</v>
      </c>
      <c r="F243" s="51" t="s">
        <v>7583</v>
      </c>
      <c r="G243" s="51" t="s">
        <v>6583</v>
      </c>
      <c r="H243" s="51" t="s">
        <v>6766</v>
      </c>
      <c r="I243" s="51" t="s">
        <v>7802</v>
      </c>
      <c r="J243" s="51" t="s">
        <v>7803</v>
      </c>
      <c r="K243" s="51"/>
      <c r="L243" s="51" t="n">
        <v>-19.912029</v>
      </c>
      <c r="M243" s="51" t="n">
        <v>-43.959048</v>
      </c>
      <c r="N243" s="51" t="n">
        <v>608954.018698466</v>
      </c>
      <c r="O243" s="51" t="n">
        <v>7797916.4068006</v>
      </c>
    </row>
    <row r="244" ht="28.5" customHeight="1">
      <c r="A244" s="51" t="s">
        <v>8884</v>
      </c>
      <c r="B244" s="51" t="s">
        <v>7805</v>
      </c>
      <c r="C244" s="51" t="s">
        <v>7804</v>
      </c>
      <c r="D244" s="51" t="s">
        <v>8885</v>
      </c>
      <c r="E244" s="51" t="s">
        <v>7806</v>
      </c>
      <c r="F244" s="51" t="s">
        <v>7807</v>
      </c>
      <c r="G244" s="51" t="s">
        <v>6660</v>
      </c>
      <c r="H244" s="51" t="s">
        <v>7808</v>
      </c>
      <c r="I244" s="51" t="s">
        <v>7809</v>
      </c>
      <c r="J244" s="51" t="s">
        <v>7810</v>
      </c>
      <c r="K244" s="51"/>
      <c r="L244" s="51" t="n">
        <v>-19.953346</v>
      </c>
      <c r="M244" s="51" t="n">
        <v>-43.942143</v>
      </c>
      <c r="N244" s="51" t="n">
        <v>610694.79427876</v>
      </c>
      <c r="O244" s="51" t="n">
        <v>7793332.66014829</v>
      </c>
    </row>
    <row r="245" ht="28.5" customHeight="1">
      <c r="A245" s="51" t="s">
        <v>8886</v>
      </c>
      <c r="B245" s="51" t="s">
        <v>7812</v>
      </c>
      <c r="C245" s="51" t="s">
        <v>7811</v>
      </c>
      <c r="D245" s="51" t="s">
        <v>8887</v>
      </c>
      <c r="E245" s="51" t="s">
        <v>7813</v>
      </c>
      <c r="F245" s="51" t="s">
        <v>6582</v>
      </c>
      <c r="G245" s="51" t="s">
        <v>6583</v>
      </c>
      <c r="H245" s="51" t="s">
        <v>6584</v>
      </c>
      <c r="I245" s="51" t="s">
        <v>7814</v>
      </c>
      <c r="J245" s="51" t="s">
        <v>7815</v>
      </c>
      <c r="K245" s="51"/>
      <c r="L245" s="51" t="n">
        <v>-19.912394</v>
      </c>
      <c r="M245" s="51" t="n">
        <v>-43.972982</v>
      </c>
      <c r="N245" s="51" t="n">
        <v>607495.211161928</v>
      </c>
      <c r="O245" s="51" t="n">
        <v>7797884.97687874</v>
      </c>
    </row>
    <row r="246">
      <c r="A246" s="51" t="s">
        <v>8888</v>
      </c>
      <c r="B246" s="51" t="s">
        <v>7817</v>
      </c>
      <c r="C246" s="51" t="s">
        <v>7816</v>
      </c>
      <c r="D246" s="51" t="s">
        <v>8885</v>
      </c>
      <c r="E246" s="51" t="s">
        <v>7818</v>
      </c>
      <c r="F246" s="51" t="s">
        <v>7641</v>
      </c>
      <c r="G246" s="51" t="s">
        <v>6660</v>
      </c>
      <c r="H246" s="51" t="s">
        <v>6845</v>
      </c>
      <c r="I246" s="51" t="s">
        <v>7819</v>
      </c>
      <c r="J246" s="51" t="s">
        <v>7798</v>
      </c>
      <c r="K246" s="51"/>
      <c r="L246" s="51" t="n">
        <v>-19.9344571270621</v>
      </c>
      <c r="M246" s="51" t="n">
        <v>-43.9098248427961</v>
      </c>
      <c r="N246" s="51" t="n">
        <v>614090.465759951</v>
      </c>
      <c r="O246" s="51" t="n">
        <v>7795401.54466254</v>
      </c>
    </row>
    <row r="247">
      <c r="A247" s="51" t="s">
        <v>8889</v>
      </c>
      <c r="B247" s="51" t="s">
        <v>7821</v>
      </c>
      <c r="C247" s="51" t="s">
        <v>7820</v>
      </c>
      <c r="D247" s="51" t="s">
        <v>8885</v>
      </c>
      <c r="E247" s="51" t="s">
        <v>7822</v>
      </c>
      <c r="F247" s="51" t="s">
        <v>7823</v>
      </c>
      <c r="G247" s="51" t="s">
        <v>6660</v>
      </c>
      <c r="H247" s="51" t="s">
        <v>7292</v>
      </c>
      <c r="I247" s="51" t="s">
        <v>7824</v>
      </c>
      <c r="J247" s="51" t="s">
        <v>7825</v>
      </c>
      <c r="K247" s="51"/>
      <c r="L247" s="51" t="n">
        <v>-19.9571673333333</v>
      </c>
      <c r="M247" s="51" t="n">
        <v>-43.9461633333333</v>
      </c>
      <c r="N247" s="51" t="n">
        <v>610271.412372489</v>
      </c>
      <c r="O247" s="51" t="n">
        <v>7792912.38436893</v>
      </c>
    </row>
    <row r="248">
      <c r="A248" s="51" t="s">
        <v>8890</v>
      </c>
      <c r="B248" s="51" t="s">
        <v>7827</v>
      </c>
      <c r="C248" s="51" t="s">
        <v>7826</v>
      </c>
      <c r="D248" s="51" t="s">
        <v>8885</v>
      </c>
      <c r="E248" s="51" t="s">
        <v>7828</v>
      </c>
      <c r="F248" s="51" t="s">
        <v>7829</v>
      </c>
      <c r="G248" s="51" t="s">
        <v>6636</v>
      </c>
      <c r="H248" s="51" t="s">
        <v>6837</v>
      </c>
      <c r="I248" s="51" t="s">
        <v>7830</v>
      </c>
      <c r="J248" s="51" t="s">
        <v>7831</v>
      </c>
      <c r="K248" s="51"/>
      <c r="L248" s="51" t="n">
        <v>-19.931895</v>
      </c>
      <c r="M248" s="51" t="n">
        <v>-43.915171</v>
      </c>
      <c r="N248" s="51" t="n">
        <v>613532.751399523</v>
      </c>
      <c r="O248" s="51" t="n">
        <v>7795688.72823077</v>
      </c>
    </row>
    <row r="249" ht="28.5" customHeight="1">
      <c r="A249" s="51" t="s">
        <v>8891</v>
      </c>
      <c r="B249" s="51" t="s">
        <v>7833</v>
      </c>
      <c r="C249" s="51" t="s">
        <v>7832</v>
      </c>
      <c r="D249" s="51" t="s">
        <v>8892</v>
      </c>
      <c r="E249" s="51" t="s">
        <v>7834</v>
      </c>
      <c r="F249" s="51" t="s">
        <v>6765</v>
      </c>
      <c r="G249" s="51" t="s">
        <v>6583</v>
      </c>
      <c r="H249" s="51" t="s">
        <v>6766</v>
      </c>
      <c r="I249" s="51" t="s">
        <v>7835</v>
      </c>
      <c r="J249" s="51" t="s">
        <v>7836</v>
      </c>
      <c r="K249" s="51" t="s">
        <v>7837</v>
      </c>
      <c r="L249" s="51" t="n">
        <v>-19.911821</v>
      </c>
      <c r="M249" s="51" t="n">
        <v>-43.98893</v>
      </c>
      <c r="N249" s="51" t="n">
        <v>605826.223027224</v>
      </c>
      <c r="O249" s="51" t="n">
        <v>7797958.50535269</v>
      </c>
    </row>
    <row r="250" ht="28.5" customHeight="1">
      <c r="A250" s="51" t="s">
        <v>8893</v>
      </c>
      <c r="B250" s="51" t="s">
        <v>7833</v>
      </c>
      <c r="C250" s="51" t="s">
        <v>7832</v>
      </c>
      <c r="D250" s="51" t="s">
        <v>8894</v>
      </c>
      <c r="E250" s="51" t="s">
        <v>7834</v>
      </c>
      <c r="F250" s="51" t="s">
        <v>6765</v>
      </c>
      <c r="G250" s="51" t="s">
        <v>6583</v>
      </c>
      <c r="H250" s="51" t="s">
        <v>6766</v>
      </c>
      <c r="I250" s="51" t="s">
        <v>7835</v>
      </c>
      <c r="J250" s="51" t="s">
        <v>7836</v>
      </c>
      <c r="K250" s="51" t="s">
        <v>7837</v>
      </c>
      <c r="L250" s="51" t="n">
        <v>-19.911821</v>
      </c>
      <c r="M250" s="51" t="n">
        <v>-43.98893</v>
      </c>
      <c r="N250" s="51" t="n">
        <v>605826.223027224</v>
      </c>
      <c r="O250" s="51" t="n">
        <v>7797958.50535269</v>
      </c>
    </row>
    <row r="251" ht="28.5" customHeight="1">
      <c r="A251" s="51" t="s">
        <v>8895</v>
      </c>
      <c r="B251" s="51" t="s">
        <v>7833</v>
      </c>
      <c r="C251" s="51" t="s">
        <v>7832</v>
      </c>
      <c r="D251" s="51" t="s">
        <v>8896</v>
      </c>
      <c r="E251" s="51" t="s">
        <v>7834</v>
      </c>
      <c r="F251" s="51" t="s">
        <v>6765</v>
      </c>
      <c r="G251" s="51" t="s">
        <v>6583</v>
      </c>
      <c r="H251" s="51" t="s">
        <v>6766</v>
      </c>
      <c r="I251" s="51" t="s">
        <v>7835</v>
      </c>
      <c r="J251" s="51" t="s">
        <v>7836</v>
      </c>
      <c r="K251" s="51" t="s">
        <v>7837</v>
      </c>
      <c r="L251" s="51" t="n">
        <v>-19.911821</v>
      </c>
      <c r="M251" s="51" t="n">
        <v>-43.98893</v>
      </c>
      <c r="N251" s="51" t="n">
        <v>605826.223027224</v>
      </c>
      <c r="O251" s="51" t="n">
        <v>7797958.50535269</v>
      </c>
    </row>
    <row r="252" ht="28.5" customHeight="1">
      <c r="A252" s="51" t="s">
        <v>8897</v>
      </c>
      <c r="B252" s="51" t="s">
        <v>7839</v>
      </c>
      <c r="C252" s="51" t="s">
        <v>7838</v>
      </c>
      <c r="D252" s="51" t="s">
        <v>8898</v>
      </c>
      <c r="E252" s="51" t="s">
        <v>7840</v>
      </c>
      <c r="F252" s="51" t="s">
        <v>7841</v>
      </c>
      <c r="G252" s="51" t="s">
        <v>6647</v>
      </c>
      <c r="H252" s="51" t="s">
        <v>7228</v>
      </c>
      <c r="I252" s="51" t="s">
        <v>7842</v>
      </c>
      <c r="J252" s="51" t="s">
        <v>7843</v>
      </c>
      <c r="K252" s="51" t="s">
        <v>7844</v>
      </c>
      <c r="L252" s="51" t="n">
        <v>-19.9244363095544</v>
      </c>
      <c r="M252" s="51" t="n">
        <v>-43.8972353507987</v>
      </c>
      <c r="N252" s="51" t="n">
        <v>615415.4</v>
      </c>
      <c r="O252" s="51" t="n">
        <v>7796502</v>
      </c>
    </row>
    <row r="253" ht="28.5" customHeight="1">
      <c r="A253" s="51" t="s">
        <v>8899</v>
      </c>
      <c r="B253" s="51" t="s">
        <v>7839</v>
      </c>
      <c r="C253" s="51" t="s">
        <v>7838</v>
      </c>
      <c r="D253" s="51" t="s">
        <v>8900</v>
      </c>
      <c r="E253" s="51" t="s">
        <v>7840</v>
      </c>
      <c r="F253" s="51" t="s">
        <v>7841</v>
      </c>
      <c r="G253" s="51" t="s">
        <v>6647</v>
      </c>
      <c r="H253" s="51" t="s">
        <v>7228</v>
      </c>
      <c r="I253" s="51" t="s">
        <v>7842</v>
      </c>
      <c r="J253" s="51" t="s">
        <v>7843</v>
      </c>
      <c r="K253" s="51" t="s">
        <v>7844</v>
      </c>
      <c r="L253" s="51" t="n">
        <v>-19.9244363095544</v>
      </c>
      <c r="M253" s="51" t="n">
        <v>-43.8972353507987</v>
      </c>
      <c r="N253" s="51" t="n">
        <v>615415.4</v>
      </c>
      <c r="O253" s="51" t="n">
        <v>7796502</v>
      </c>
    </row>
    <row r="254" ht="28.5" customHeight="1">
      <c r="A254" s="51" t="s">
        <v>8901</v>
      </c>
      <c r="B254" s="51" t="s">
        <v>7839</v>
      </c>
      <c r="C254" s="51" t="s">
        <v>7838</v>
      </c>
      <c r="D254" s="51" t="s">
        <v>8902</v>
      </c>
      <c r="E254" s="51" t="s">
        <v>7840</v>
      </c>
      <c r="F254" s="51" t="s">
        <v>7841</v>
      </c>
      <c r="G254" s="51" t="s">
        <v>6647</v>
      </c>
      <c r="H254" s="51" t="s">
        <v>7228</v>
      </c>
      <c r="I254" s="51" t="s">
        <v>7842</v>
      </c>
      <c r="J254" s="51" t="s">
        <v>7843</v>
      </c>
      <c r="K254" s="51" t="s">
        <v>7844</v>
      </c>
      <c r="L254" s="51" t="n">
        <v>-19.9244363095544</v>
      </c>
      <c r="M254" s="51" t="n">
        <v>-43.8972353507987</v>
      </c>
      <c r="N254" s="51" t="n">
        <v>615415.4</v>
      </c>
      <c r="O254" s="51" t="n">
        <v>7796502</v>
      </c>
    </row>
    <row r="255" ht="28.5" customHeight="1">
      <c r="A255" s="51" t="s">
        <v>8903</v>
      </c>
      <c r="B255" s="51" t="s">
        <v>7839</v>
      </c>
      <c r="C255" s="51" t="s">
        <v>7838</v>
      </c>
      <c r="D255" s="51" t="s">
        <v>8904</v>
      </c>
      <c r="E255" s="51" t="s">
        <v>7840</v>
      </c>
      <c r="F255" s="51" t="s">
        <v>7841</v>
      </c>
      <c r="G255" s="51" t="s">
        <v>6647</v>
      </c>
      <c r="H255" s="51" t="s">
        <v>7228</v>
      </c>
      <c r="I255" s="51" t="s">
        <v>7842</v>
      </c>
      <c r="J255" s="51" t="s">
        <v>7843</v>
      </c>
      <c r="K255" s="51" t="s">
        <v>7844</v>
      </c>
      <c r="L255" s="51" t="n">
        <v>-19.9244363095544</v>
      </c>
      <c r="M255" s="51" t="n">
        <v>-43.8972353507987</v>
      </c>
      <c r="N255" s="51" t="n">
        <v>615415.4</v>
      </c>
      <c r="O255" s="51" t="n">
        <v>7796502</v>
      </c>
    </row>
    <row r="256" ht="28.5" customHeight="1">
      <c r="A256" s="51" t="s">
        <v>8905</v>
      </c>
      <c r="B256" s="51" t="s">
        <v>7839</v>
      </c>
      <c r="C256" s="51" t="s">
        <v>7838</v>
      </c>
      <c r="D256" s="51" t="s">
        <v>8906</v>
      </c>
      <c r="E256" s="51" t="s">
        <v>7840</v>
      </c>
      <c r="F256" s="51" t="s">
        <v>7841</v>
      </c>
      <c r="G256" s="51" t="s">
        <v>6647</v>
      </c>
      <c r="H256" s="51" t="s">
        <v>7228</v>
      </c>
      <c r="I256" s="51" t="s">
        <v>7842</v>
      </c>
      <c r="J256" s="51" t="s">
        <v>7843</v>
      </c>
      <c r="K256" s="51" t="s">
        <v>7844</v>
      </c>
      <c r="L256" s="51" t="n">
        <v>-19.9244363095544</v>
      </c>
      <c r="M256" s="51" t="n">
        <v>-43.8972353507987</v>
      </c>
      <c r="N256" s="51" t="n">
        <v>615415.4</v>
      </c>
      <c r="O256" s="51" t="n">
        <v>7796502</v>
      </c>
    </row>
    <row r="257" ht="28.5" customHeight="1">
      <c r="A257" s="51" t="s">
        <v>8907</v>
      </c>
      <c r="B257" s="51" t="s">
        <v>7839</v>
      </c>
      <c r="C257" s="51" t="s">
        <v>7838</v>
      </c>
      <c r="D257" s="51" t="s">
        <v>8908</v>
      </c>
      <c r="E257" s="51" t="s">
        <v>7840</v>
      </c>
      <c r="F257" s="51" t="s">
        <v>7841</v>
      </c>
      <c r="G257" s="51" t="s">
        <v>6647</v>
      </c>
      <c r="H257" s="51" t="s">
        <v>7228</v>
      </c>
      <c r="I257" s="51" t="s">
        <v>7842</v>
      </c>
      <c r="J257" s="51" t="s">
        <v>7843</v>
      </c>
      <c r="K257" s="51" t="s">
        <v>7844</v>
      </c>
      <c r="L257" s="51" t="n">
        <v>-19.9244363095544</v>
      </c>
      <c r="M257" s="51" t="n">
        <v>-43.8972353507987</v>
      </c>
      <c r="N257" s="51" t="n">
        <v>615415.4</v>
      </c>
      <c r="O257" s="51" t="n">
        <v>7796502</v>
      </c>
    </row>
    <row r="258" ht="28.5" customHeight="1">
      <c r="A258" s="51" t="s">
        <v>8909</v>
      </c>
      <c r="B258" s="51" t="s">
        <v>7839</v>
      </c>
      <c r="C258" s="51" t="s">
        <v>7838</v>
      </c>
      <c r="D258" s="51" t="s">
        <v>8910</v>
      </c>
      <c r="E258" s="51" t="s">
        <v>7840</v>
      </c>
      <c r="F258" s="51" t="s">
        <v>7841</v>
      </c>
      <c r="G258" s="51" t="s">
        <v>6647</v>
      </c>
      <c r="H258" s="51" t="s">
        <v>7228</v>
      </c>
      <c r="I258" s="51" t="s">
        <v>7842</v>
      </c>
      <c r="J258" s="51" t="s">
        <v>7843</v>
      </c>
      <c r="K258" s="51" t="s">
        <v>7844</v>
      </c>
      <c r="L258" s="51" t="n">
        <v>-19.9244363095544</v>
      </c>
      <c r="M258" s="51" t="n">
        <v>-43.8972353507987</v>
      </c>
      <c r="N258" s="51" t="n">
        <v>615415.4</v>
      </c>
      <c r="O258" s="51" t="n">
        <v>7796502</v>
      </c>
    </row>
    <row r="259" ht="28.5" customHeight="1">
      <c r="A259" s="51" t="s">
        <v>8911</v>
      </c>
      <c r="B259" s="51" t="s">
        <v>7839</v>
      </c>
      <c r="C259" s="51" t="s">
        <v>7838</v>
      </c>
      <c r="D259" s="51" t="s">
        <v>8912</v>
      </c>
      <c r="E259" s="51" t="s">
        <v>7840</v>
      </c>
      <c r="F259" s="51" t="s">
        <v>7841</v>
      </c>
      <c r="G259" s="51" t="s">
        <v>6647</v>
      </c>
      <c r="H259" s="51" t="s">
        <v>7228</v>
      </c>
      <c r="I259" s="51" t="s">
        <v>7842</v>
      </c>
      <c r="J259" s="51" t="s">
        <v>7843</v>
      </c>
      <c r="K259" s="51" t="s">
        <v>7844</v>
      </c>
      <c r="L259" s="51" t="n">
        <v>-19.9244363095544</v>
      </c>
      <c r="M259" s="51" t="n">
        <v>-43.8972353507987</v>
      </c>
      <c r="N259" s="51" t="n">
        <v>615415.4</v>
      </c>
      <c r="O259" s="51" t="n">
        <v>7796502</v>
      </c>
    </row>
    <row r="260" ht="28.5" customHeight="1">
      <c r="A260" s="51" t="s">
        <v>8913</v>
      </c>
      <c r="B260" s="51" t="s">
        <v>7839</v>
      </c>
      <c r="C260" s="51" t="s">
        <v>7838</v>
      </c>
      <c r="D260" s="51" t="s">
        <v>8914</v>
      </c>
      <c r="E260" s="51" t="s">
        <v>7840</v>
      </c>
      <c r="F260" s="51" t="s">
        <v>7841</v>
      </c>
      <c r="G260" s="51" t="s">
        <v>6647</v>
      </c>
      <c r="H260" s="51" t="s">
        <v>7228</v>
      </c>
      <c r="I260" s="51" t="s">
        <v>7842</v>
      </c>
      <c r="J260" s="51" t="s">
        <v>7843</v>
      </c>
      <c r="K260" s="51" t="s">
        <v>7844</v>
      </c>
      <c r="L260" s="51" t="n">
        <v>-19.9244363095544</v>
      </c>
      <c r="M260" s="51" t="n">
        <v>-43.8972353507987</v>
      </c>
      <c r="N260" s="51" t="n">
        <v>615415.4</v>
      </c>
      <c r="O260" s="51" t="n">
        <v>7796502</v>
      </c>
    </row>
    <row r="261" ht="28.5" customHeight="1">
      <c r="A261" s="51" t="s">
        <v>8915</v>
      </c>
      <c r="B261" s="51" t="s">
        <v>7839</v>
      </c>
      <c r="C261" s="51" t="s">
        <v>7838</v>
      </c>
      <c r="D261" s="51" t="s">
        <v>8916</v>
      </c>
      <c r="E261" s="51" t="s">
        <v>7840</v>
      </c>
      <c r="F261" s="51" t="s">
        <v>7841</v>
      </c>
      <c r="G261" s="51" t="s">
        <v>6647</v>
      </c>
      <c r="H261" s="51" t="s">
        <v>7228</v>
      </c>
      <c r="I261" s="51" t="s">
        <v>7842</v>
      </c>
      <c r="J261" s="51" t="s">
        <v>7843</v>
      </c>
      <c r="K261" s="51" t="s">
        <v>7844</v>
      </c>
      <c r="L261" s="51" t="n">
        <v>-19.9244363095544</v>
      </c>
      <c r="M261" s="51" t="n">
        <v>-43.8972353507987</v>
      </c>
      <c r="N261" s="51" t="n">
        <v>615415.4</v>
      </c>
      <c r="O261" s="51" t="n">
        <v>7796502</v>
      </c>
    </row>
    <row r="262" ht="28.5" customHeight="1">
      <c r="A262" s="51" t="s">
        <v>8917</v>
      </c>
      <c r="B262" s="51" t="s">
        <v>7839</v>
      </c>
      <c r="C262" s="51" t="s">
        <v>7838</v>
      </c>
      <c r="D262" s="51" t="s">
        <v>8918</v>
      </c>
      <c r="E262" s="51" t="s">
        <v>7840</v>
      </c>
      <c r="F262" s="51" t="s">
        <v>7841</v>
      </c>
      <c r="G262" s="51" t="s">
        <v>6647</v>
      </c>
      <c r="H262" s="51" t="s">
        <v>7228</v>
      </c>
      <c r="I262" s="51" t="s">
        <v>7842</v>
      </c>
      <c r="J262" s="51" t="s">
        <v>7843</v>
      </c>
      <c r="K262" s="51" t="s">
        <v>7844</v>
      </c>
      <c r="L262" s="51" t="n">
        <v>-19.9244363095544</v>
      </c>
      <c r="M262" s="51" t="n">
        <v>-43.8972353507987</v>
      </c>
      <c r="N262" s="51" t="n">
        <v>615415.4</v>
      </c>
      <c r="O262" s="51" t="n">
        <v>7796502</v>
      </c>
    </row>
    <row r="263" ht="28.5" customHeight="1">
      <c r="A263" s="51" t="s">
        <v>8919</v>
      </c>
      <c r="B263" s="51" t="s">
        <v>7846</v>
      </c>
      <c r="C263" s="51" t="s">
        <v>7845</v>
      </c>
      <c r="D263" s="51" t="s">
        <v>8920</v>
      </c>
      <c r="E263" s="51" t="s">
        <v>7847</v>
      </c>
      <c r="F263" s="51" t="s">
        <v>7848</v>
      </c>
      <c r="G263" s="51" t="s">
        <v>6689</v>
      </c>
      <c r="H263" s="51" t="s">
        <v>6995</v>
      </c>
      <c r="I263" s="51" t="s">
        <v>7849</v>
      </c>
      <c r="J263" s="51" t="s">
        <v>7850</v>
      </c>
      <c r="K263" s="51" t="s">
        <v>7851</v>
      </c>
      <c r="L263" s="51" t="n">
        <v>-19.9847389063429</v>
      </c>
      <c r="M263" s="51" t="n">
        <v>-43.9885211053095</v>
      </c>
      <c r="N263" s="51" t="n">
        <v>605820.414238745</v>
      </c>
      <c r="O263" s="51" t="n">
        <v>7789888.22771207</v>
      </c>
    </row>
    <row r="264" ht="28.5" customHeight="1">
      <c r="A264" s="51" t="s">
        <v>8921</v>
      </c>
      <c r="B264" s="51" t="s">
        <v>7846</v>
      </c>
      <c r="C264" s="51" t="s">
        <v>7845</v>
      </c>
      <c r="D264" s="51" t="s">
        <v>8922</v>
      </c>
      <c r="E264" s="51" t="s">
        <v>7847</v>
      </c>
      <c r="F264" s="51" t="s">
        <v>7848</v>
      </c>
      <c r="G264" s="51" t="s">
        <v>6689</v>
      </c>
      <c r="H264" s="51" t="s">
        <v>6995</v>
      </c>
      <c r="I264" s="51" t="s">
        <v>7849</v>
      </c>
      <c r="J264" s="51" t="s">
        <v>7850</v>
      </c>
      <c r="K264" s="51" t="s">
        <v>7851</v>
      </c>
      <c r="L264" s="51" t="n">
        <v>-19.9847389063429</v>
      </c>
      <c r="M264" s="51" t="n">
        <v>-43.9885211053095</v>
      </c>
      <c r="N264" s="51" t="n">
        <v>605820.414238745</v>
      </c>
      <c r="O264" s="51" t="n">
        <v>7789888.22771207</v>
      </c>
    </row>
    <row r="265" ht="28.5" customHeight="1">
      <c r="A265" s="51" t="s">
        <v>8923</v>
      </c>
      <c r="B265" s="51" t="s">
        <v>7846</v>
      </c>
      <c r="C265" s="51" t="s">
        <v>7845</v>
      </c>
      <c r="D265" s="51" t="s">
        <v>8924</v>
      </c>
      <c r="E265" s="51" t="s">
        <v>7847</v>
      </c>
      <c r="F265" s="51" t="s">
        <v>7848</v>
      </c>
      <c r="G265" s="51" t="s">
        <v>6689</v>
      </c>
      <c r="H265" s="51" t="s">
        <v>6995</v>
      </c>
      <c r="I265" s="51" t="s">
        <v>7849</v>
      </c>
      <c r="J265" s="51" t="s">
        <v>7850</v>
      </c>
      <c r="K265" s="51" t="s">
        <v>7851</v>
      </c>
      <c r="L265" s="51" t="n">
        <v>-19.9847389063429</v>
      </c>
      <c r="M265" s="51" t="n">
        <v>-43.9885211053095</v>
      </c>
      <c r="N265" s="51" t="n">
        <v>605820.414238745</v>
      </c>
      <c r="O265" s="51" t="n">
        <v>7789888.22771207</v>
      </c>
    </row>
    <row r="266" ht="28.5" customHeight="1">
      <c r="A266" s="51" t="s">
        <v>8925</v>
      </c>
      <c r="B266" s="51" t="s">
        <v>7846</v>
      </c>
      <c r="C266" s="51" t="s">
        <v>7845</v>
      </c>
      <c r="D266" s="51" t="s">
        <v>8926</v>
      </c>
      <c r="E266" s="51" t="s">
        <v>7847</v>
      </c>
      <c r="F266" s="51" t="s">
        <v>7848</v>
      </c>
      <c r="G266" s="51" t="s">
        <v>6689</v>
      </c>
      <c r="H266" s="51" t="s">
        <v>6995</v>
      </c>
      <c r="I266" s="51" t="s">
        <v>7849</v>
      </c>
      <c r="J266" s="51" t="s">
        <v>7850</v>
      </c>
      <c r="K266" s="51" t="s">
        <v>7851</v>
      </c>
      <c r="L266" s="51" t="n">
        <v>-19.9847389063429</v>
      </c>
      <c r="M266" s="51" t="n">
        <v>-43.9885211053095</v>
      </c>
      <c r="N266" s="51" t="n">
        <v>605820.414238745</v>
      </c>
      <c r="O266" s="51" t="n">
        <v>7789888.22771207</v>
      </c>
    </row>
    <row r="267" ht="28.5" customHeight="1">
      <c r="A267" s="51" t="s">
        <v>8927</v>
      </c>
      <c r="B267" s="51" t="s">
        <v>7853</v>
      </c>
      <c r="C267" s="51" t="s">
        <v>7852</v>
      </c>
      <c r="D267" s="51" t="s">
        <v>8928</v>
      </c>
      <c r="E267" s="51" t="s">
        <v>7847</v>
      </c>
      <c r="F267" s="51" t="s">
        <v>7848</v>
      </c>
      <c r="G267" s="51" t="s">
        <v>6689</v>
      </c>
      <c r="H267" s="51" t="s">
        <v>6995</v>
      </c>
      <c r="I267" s="51" t="s">
        <v>7849</v>
      </c>
      <c r="J267" s="51" t="s">
        <v>7850</v>
      </c>
      <c r="K267" s="51" t="s">
        <v>7851</v>
      </c>
      <c r="L267" s="51" t="n">
        <v>-19.9847389063429</v>
      </c>
      <c r="M267" s="51" t="n">
        <v>-43.9885211053095</v>
      </c>
      <c r="N267" s="51" t="n">
        <v>605820.414238745</v>
      </c>
      <c r="O267" s="51" t="n">
        <v>7789888.22771207</v>
      </c>
    </row>
    <row r="268" ht="42.75" customHeight="1">
      <c r="A268" s="51" t="s">
        <v>8929</v>
      </c>
      <c r="B268" s="51" t="s">
        <v>7855</v>
      </c>
      <c r="C268" s="51" t="s">
        <v>7854</v>
      </c>
      <c r="D268" s="51" t="s">
        <v>8930</v>
      </c>
      <c r="E268" s="51" t="s">
        <v>7856</v>
      </c>
      <c r="F268" s="51" t="s">
        <v>6844</v>
      </c>
      <c r="G268" s="51" t="s">
        <v>6660</v>
      </c>
      <c r="H268" s="51" t="s">
        <v>6845</v>
      </c>
      <c r="I268" s="51" t="s">
        <v>7857</v>
      </c>
      <c r="J268" s="51" t="s">
        <v>6639</v>
      </c>
      <c r="K268" s="51" t="s">
        <v>7858</v>
      </c>
      <c r="L268" s="51" t="n">
        <v>-19.938969</v>
      </c>
      <c r="M268" s="51" t="n">
        <v>-43.912969</v>
      </c>
      <c r="N268" s="51" t="n">
        <v>613758.157880103</v>
      </c>
      <c r="O268" s="51" t="n">
        <v>7794904.3268657</v>
      </c>
    </row>
    <row r="269" ht="42.75" customHeight="1">
      <c r="A269" s="51" t="s">
        <v>8931</v>
      </c>
      <c r="B269" s="51" t="s">
        <v>7855</v>
      </c>
      <c r="C269" s="51" t="s">
        <v>7854</v>
      </c>
      <c r="D269" s="51" t="s">
        <v>8932</v>
      </c>
      <c r="E269" s="51" t="s">
        <v>7856</v>
      </c>
      <c r="F269" s="51" t="s">
        <v>6844</v>
      </c>
      <c r="G269" s="51" t="s">
        <v>6660</v>
      </c>
      <c r="H269" s="51" t="s">
        <v>6845</v>
      </c>
      <c r="I269" s="51" t="s">
        <v>7857</v>
      </c>
      <c r="J269" s="51" t="s">
        <v>6639</v>
      </c>
      <c r="K269" s="51" t="s">
        <v>7858</v>
      </c>
      <c r="L269" s="51" t="n">
        <v>-19.938969</v>
      </c>
      <c r="M269" s="51" t="n">
        <v>-43.912969</v>
      </c>
      <c r="N269" s="51" t="n">
        <v>613758.157880103</v>
      </c>
      <c r="O269" s="51" t="n">
        <v>7794904.3268657</v>
      </c>
    </row>
    <row r="270" ht="42.75" customHeight="1">
      <c r="A270" s="51" t="s">
        <v>8933</v>
      </c>
      <c r="B270" s="51" t="s">
        <v>7855</v>
      </c>
      <c r="C270" s="51" t="s">
        <v>7854</v>
      </c>
      <c r="D270" s="51" t="s">
        <v>8934</v>
      </c>
      <c r="E270" s="51" t="s">
        <v>7856</v>
      </c>
      <c r="F270" s="51" t="s">
        <v>6844</v>
      </c>
      <c r="G270" s="51" t="s">
        <v>6660</v>
      </c>
      <c r="H270" s="51" t="s">
        <v>6845</v>
      </c>
      <c r="I270" s="51" t="s">
        <v>7857</v>
      </c>
      <c r="J270" s="51" t="s">
        <v>6639</v>
      </c>
      <c r="K270" s="51" t="s">
        <v>7858</v>
      </c>
      <c r="L270" s="51" t="n">
        <v>-19.938969</v>
      </c>
      <c r="M270" s="51" t="n">
        <v>-43.912969</v>
      </c>
      <c r="N270" s="51" t="n">
        <v>613758.157880103</v>
      </c>
      <c r="O270" s="51" t="n">
        <v>7794904.3268657</v>
      </c>
    </row>
    <row r="271" ht="42.75" customHeight="1">
      <c r="A271" s="51" t="s">
        <v>8935</v>
      </c>
      <c r="B271" s="51" t="s">
        <v>7855</v>
      </c>
      <c r="C271" s="51" t="s">
        <v>7854</v>
      </c>
      <c r="D271" s="51" t="s">
        <v>8936</v>
      </c>
      <c r="E271" s="51" t="s">
        <v>7856</v>
      </c>
      <c r="F271" s="51" t="s">
        <v>6844</v>
      </c>
      <c r="G271" s="51" t="s">
        <v>6660</v>
      </c>
      <c r="H271" s="51" t="s">
        <v>6845</v>
      </c>
      <c r="I271" s="51" t="s">
        <v>7857</v>
      </c>
      <c r="J271" s="51" t="s">
        <v>6639</v>
      </c>
      <c r="K271" s="51" t="s">
        <v>7858</v>
      </c>
      <c r="L271" s="51" t="n">
        <v>-19.938969</v>
      </c>
      <c r="M271" s="51" t="n">
        <v>-43.912969</v>
      </c>
      <c r="N271" s="51" t="n">
        <v>613758.157880103</v>
      </c>
      <c r="O271" s="51" t="n">
        <v>7794904.3268657</v>
      </c>
    </row>
    <row r="272" ht="42.75" customHeight="1">
      <c r="A272" s="51" t="s">
        <v>8937</v>
      </c>
      <c r="B272" s="51" t="s">
        <v>7855</v>
      </c>
      <c r="C272" s="51" t="s">
        <v>7854</v>
      </c>
      <c r="D272" s="51" t="s">
        <v>8938</v>
      </c>
      <c r="E272" s="51" t="s">
        <v>7856</v>
      </c>
      <c r="F272" s="51" t="s">
        <v>6844</v>
      </c>
      <c r="G272" s="51" t="s">
        <v>6660</v>
      </c>
      <c r="H272" s="51" t="s">
        <v>6845</v>
      </c>
      <c r="I272" s="51" t="s">
        <v>7857</v>
      </c>
      <c r="J272" s="51" t="s">
        <v>6639</v>
      </c>
      <c r="K272" s="51" t="s">
        <v>7858</v>
      </c>
      <c r="L272" s="51" t="n">
        <v>-19.938969</v>
      </c>
      <c r="M272" s="51" t="n">
        <v>-43.912969</v>
      </c>
      <c r="N272" s="51" t="n">
        <v>613758.157880103</v>
      </c>
      <c r="O272" s="51" t="n">
        <v>7794904.3268657</v>
      </c>
    </row>
    <row r="273" ht="42.75" customHeight="1">
      <c r="A273" s="51" t="s">
        <v>8939</v>
      </c>
      <c r="B273" s="51" t="s">
        <v>7855</v>
      </c>
      <c r="C273" s="51" t="s">
        <v>7854</v>
      </c>
      <c r="D273" s="51" t="s">
        <v>8940</v>
      </c>
      <c r="E273" s="51" t="s">
        <v>7856</v>
      </c>
      <c r="F273" s="51" t="s">
        <v>6844</v>
      </c>
      <c r="G273" s="51" t="s">
        <v>6660</v>
      </c>
      <c r="H273" s="51" t="s">
        <v>6845</v>
      </c>
      <c r="I273" s="51" t="s">
        <v>7857</v>
      </c>
      <c r="J273" s="51" t="s">
        <v>6639</v>
      </c>
      <c r="K273" s="51" t="s">
        <v>7858</v>
      </c>
      <c r="L273" s="51" t="n">
        <v>-19.938969</v>
      </c>
      <c r="M273" s="51" t="n">
        <v>-43.912969</v>
      </c>
      <c r="N273" s="51" t="n">
        <v>613758.157880103</v>
      </c>
      <c r="O273" s="51" t="n">
        <v>7794904.3268657</v>
      </c>
    </row>
    <row r="274" ht="42.75" customHeight="1">
      <c r="A274" s="51" t="s">
        <v>8941</v>
      </c>
      <c r="B274" s="51" t="s">
        <v>7855</v>
      </c>
      <c r="C274" s="51" t="s">
        <v>7854</v>
      </c>
      <c r="D274" s="51" t="s">
        <v>8942</v>
      </c>
      <c r="E274" s="51" t="s">
        <v>7856</v>
      </c>
      <c r="F274" s="51" t="s">
        <v>6844</v>
      </c>
      <c r="G274" s="51" t="s">
        <v>6660</v>
      </c>
      <c r="H274" s="51" t="s">
        <v>6845</v>
      </c>
      <c r="I274" s="51" t="s">
        <v>7857</v>
      </c>
      <c r="J274" s="51" t="s">
        <v>6639</v>
      </c>
      <c r="K274" s="51" t="s">
        <v>7858</v>
      </c>
      <c r="L274" s="51" t="n">
        <v>-19.938969</v>
      </c>
      <c r="M274" s="51" t="n">
        <v>-43.912969</v>
      </c>
      <c r="N274" s="51" t="n">
        <v>613758.157880103</v>
      </c>
      <c r="O274" s="51" t="n">
        <v>7794904.3268657</v>
      </c>
    </row>
    <row r="275" ht="42.75" customHeight="1">
      <c r="A275" s="51" t="s">
        <v>8943</v>
      </c>
      <c r="B275" s="51" t="s">
        <v>7855</v>
      </c>
      <c r="C275" s="51" t="s">
        <v>7854</v>
      </c>
      <c r="D275" s="51" t="s">
        <v>8944</v>
      </c>
      <c r="E275" s="51" t="s">
        <v>7856</v>
      </c>
      <c r="F275" s="51" t="s">
        <v>6844</v>
      </c>
      <c r="G275" s="51" t="s">
        <v>6660</v>
      </c>
      <c r="H275" s="51" t="s">
        <v>6845</v>
      </c>
      <c r="I275" s="51" t="s">
        <v>7857</v>
      </c>
      <c r="J275" s="51" t="s">
        <v>6639</v>
      </c>
      <c r="K275" s="51" t="s">
        <v>7858</v>
      </c>
      <c r="L275" s="51" t="n">
        <v>-19.938969</v>
      </c>
      <c r="M275" s="51" t="n">
        <v>-43.912969</v>
      </c>
      <c r="N275" s="51" t="n">
        <v>613758.157880103</v>
      </c>
      <c r="O275" s="51" t="n">
        <v>7794904.3268657</v>
      </c>
    </row>
    <row r="276" ht="42.75" customHeight="1">
      <c r="A276" s="51" t="s">
        <v>8945</v>
      </c>
      <c r="B276" s="51" t="s">
        <v>7855</v>
      </c>
      <c r="C276" s="51" t="s">
        <v>7854</v>
      </c>
      <c r="D276" s="51" t="s">
        <v>8946</v>
      </c>
      <c r="E276" s="51" t="s">
        <v>7856</v>
      </c>
      <c r="F276" s="51" t="s">
        <v>6844</v>
      </c>
      <c r="G276" s="51" t="s">
        <v>6660</v>
      </c>
      <c r="H276" s="51" t="s">
        <v>6845</v>
      </c>
      <c r="I276" s="51" t="s">
        <v>7857</v>
      </c>
      <c r="J276" s="51" t="s">
        <v>6639</v>
      </c>
      <c r="K276" s="51" t="s">
        <v>7858</v>
      </c>
      <c r="L276" s="51" t="n">
        <v>-19.938969</v>
      </c>
      <c r="M276" s="51" t="n">
        <v>-43.912969</v>
      </c>
      <c r="N276" s="51" t="n">
        <v>613758.157880103</v>
      </c>
      <c r="O276" s="51" t="n">
        <v>7794904.3268657</v>
      </c>
    </row>
    <row r="277" ht="42.75" customHeight="1">
      <c r="A277" s="51" t="s">
        <v>8947</v>
      </c>
      <c r="B277" s="51" t="s">
        <v>7855</v>
      </c>
      <c r="C277" s="51" t="s">
        <v>7854</v>
      </c>
      <c r="D277" s="51" t="s">
        <v>8948</v>
      </c>
      <c r="E277" s="51" t="s">
        <v>7856</v>
      </c>
      <c r="F277" s="51" t="s">
        <v>6844</v>
      </c>
      <c r="G277" s="51" t="s">
        <v>6660</v>
      </c>
      <c r="H277" s="51" t="s">
        <v>6845</v>
      </c>
      <c r="I277" s="51" t="s">
        <v>7857</v>
      </c>
      <c r="J277" s="51" t="s">
        <v>6639</v>
      </c>
      <c r="K277" s="51" t="s">
        <v>7858</v>
      </c>
      <c r="L277" s="51" t="n">
        <v>-19.938969</v>
      </c>
      <c r="M277" s="51" t="n">
        <v>-43.912969</v>
      </c>
      <c r="N277" s="51" t="n">
        <v>613758.157880103</v>
      </c>
      <c r="O277" s="51" t="n">
        <v>7794904.3268657</v>
      </c>
    </row>
    <row r="278" ht="28.5" customHeight="1">
      <c r="A278" s="51" t="s">
        <v>8949</v>
      </c>
      <c r="B278" s="51" t="s">
        <v>7860</v>
      </c>
      <c r="C278" s="51" t="s">
        <v>7859</v>
      </c>
      <c r="D278" s="51" t="s">
        <v>8950</v>
      </c>
      <c r="E278" s="51" t="s">
        <v>7861</v>
      </c>
      <c r="F278" s="51" t="s">
        <v>6659</v>
      </c>
      <c r="G278" s="51" t="s">
        <v>6660</v>
      </c>
      <c r="H278" s="51" t="s">
        <v>6661</v>
      </c>
      <c r="I278" s="51" t="s">
        <v>6871</v>
      </c>
      <c r="J278" s="51" t="s">
        <v>7862</v>
      </c>
      <c r="K278" s="51" t="s">
        <v>6873</v>
      </c>
      <c r="L278" s="51" t="n">
        <v>-19.925151</v>
      </c>
      <c r="M278" s="51" t="n">
        <v>-43.931947</v>
      </c>
      <c r="N278" s="51" t="n">
        <v>611781.644046717</v>
      </c>
      <c r="O278" s="51" t="n">
        <v>7796446.36056112</v>
      </c>
    </row>
    <row r="279" ht="28.5" customHeight="1">
      <c r="A279" s="51" t="s">
        <v>8951</v>
      </c>
      <c r="B279" s="51" t="s">
        <v>7864</v>
      </c>
      <c r="C279" s="51" t="s">
        <v>7863</v>
      </c>
      <c r="D279" s="51" t="s">
        <v>8952</v>
      </c>
      <c r="E279" s="51" t="s">
        <v>7865</v>
      </c>
      <c r="F279" s="51" t="s">
        <v>6659</v>
      </c>
      <c r="G279" s="51" t="s">
        <v>6660</v>
      </c>
      <c r="H279" s="51" t="s">
        <v>6661</v>
      </c>
      <c r="I279" s="51" t="s">
        <v>7866</v>
      </c>
      <c r="J279" s="51" t="s">
        <v>7782</v>
      </c>
      <c r="K279" s="51" t="s">
        <v>7867</v>
      </c>
      <c r="L279" s="51" t="n">
        <v>-19.9256030596802</v>
      </c>
      <c r="M279" s="51" t="n">
        <v>-43.929961572368</v>
      </c>
      <c r="N279" s="51" t="n">
        <v>611989.137638226</v>
      </c>
      <c r="O279" s="51" t="n">
        <v>7796395.00775509</v>
      </c>
    </row>
    <row r="280" ht="28.5" customHeight="1">
      <c r="A280" s="51" t="s">
        <v>8953</v>
      </c>
      <c r="B280" s="51" t="s">
        <v>7869</v>
      </c>
      <c r="C280" s="51" t="s">
        <v>7868</v>
      </c>
      <c r="D280" s="51" t="s">
        <v>8954</v>
      </c>
      <c r="E280" s="51" t="s">
        <v>7870</v>
      </c>
      <c r="F280" s="51" t="s">
        <v>6856</v>
      </c>
      <c r="G280" s="51" t="s">
        <v>6689</v>
      </c>
      <c r="H280" s="51" t="s">
        <v>6857</v>
      </c>
      <c r="I280" s="51" t="s">
        <v>7871</v>
      </c>
      <c r="J280" s="51" t="s">
        <v>7872</v>
      </c>
      <c r="K280" s="51" t="s">
        <v>7873</v>
      </c>
      <c r="L280" s="51" t="n">
        <v>-19.9732072316066</v>
      </c>
      <c r="M280" s="51" t="n">
        <v>-43.9928123679483</v>
      </c>
      <c r="N280" s="51" t="n">
        <v>605379.094941789</v>
      </c>
      <c r="O280" s="51" t="n">
        <v>7791167.17554788</v>
      </c>
    </row>
    <row r="281" ht="28.5" customHeight="1">
      <c r="A281" s="51" t="s">
        <v>8955</v>
      </c>
      <c r="B281" s="51" t="s">
        <v>7869</v>
      </c>
      <c r="C281" s="51" t="s">
        <v>7868</v>
      </c>
      <c r="D281" s="51" t="s">
        <v>8956</v>
      </c>
      <c r="E281" s="51" t="s">
        <v>7870</v>
      </c>
      <c r="F281" s="51" t="s">
        <v>6856</v>
      </c>
      <c r="G281" s="51" t="s">
        <v>6689</v>
      </c>
      <c r="H281" s="51" t="s">
        <v>6857</v>
      </c>
      <c r="I281" s="51" t="s">
        <v>7871</v>
      </c>
      <c r="J281" s="51" t="s">
        <v>7872</v>
      </c>
      <c r="K281" s="51" t="s">
        <v>7873</v>
      </c>
      <c r="L281" s="51" t="n">
        <v>-19.9732072316066</v>
      </c>
      <c r="M281" s="51" t="n">
        <v>-43.9928123679483</v>
      </c>
      <c r="N281" s="51" t="n">
        <v>605379.094941789</v>
      </c>
      <c r="O281" s="51" t="n">
        <v>7791167.17554788</v>
      </c>
    </row>
    <row r="282" ht="28.5" customHeight="1">
      <c r="A282" s="51" t="s">
        <v>8957</v>
      </c>
      <c r="B282" s="51" t="s">
        <v>7869</v>
      </c>
      <c r="C282" s="51" t="s">
        <v>7868</v>
      </c>
      <c r="D282" s="51" t="s">
        <v>8958</v>
      </c>
      <c r="E282" s="51" t="s">
        <v>7870</v>
      </c>
      <c r="F282" s="51" t="s">
        <v>6856</v>
      </c>
      <c r="G282" s="51" t="s">
        <v>6689</v>
      </c>
      <c r="H282" s="51" t="s">
        <v>6857</v>
      </c>
      <c r="I282" s="51" t="s">
        <v>7871</v>
      </c>
      <c r="J282" s="51" t="s">
        <v>7872</v>
      </c>
      <c r="K282" s="51" t="s">
        <v>7873</v>
      </c>
      <c r="L282" s="51" t="n">
        <v>-19.9732072316066</v>
      </c>
      <c r="M282" s="51" t="n">
        <v>-43.9928123679483</v>
      </c>
      <c r="N282" s="51" t="n">
        <v>605379.094941789</v>
      </c>
      <c r="O282" s="51" t="n">
        <v>7791167.17554788</v>
      </c>
    </row>
    <row r="283" ht="28.5" customHeight="1">
      <c r="A283" s="51" t="s">
        <v>8959</v>
      </c>
      <c r="B283" s="51" t="s">
        <v>7869</v>
      </c>
      <c r="C283" s="51" t="s">
        <v>7868</v>
      </c>
      <c r="D283" s="51" t="s">
        <v>8960</v>
      </c>
      <c r="E283" s="51" t="s">
        <v>7870</v>
      </c>
      <c r="F283" s="51" t="s">
        <v>6856</v>
      </c>
      <c r="G283" s="51" t="s">
        <v>6689</v>
      </c>
      <c r="H283" s="51" t="s">
        <v>6857</v>
      </c>
      <c r="I283" s="51" t="s">
        <v>7871</v>
      </c>
      <c r="J283" s="51" t="s">
        <v>7872</v>
      </c>
      <c r="K283" s="51" t="s">
        <v>7873</v>
      </c>
      <c r="L283" s="51" t="n">
        <v>-19.9732072316066</v>
      </c>
      <c r="M283" s="51" t="n">
        <v>-43.9928123679483</v>
      </c>
      <c r="N283" s="51" t="n">
        <v>605379.094941789</v>
      </c>
      <c r="O283" s="51" t="n">
        <v>7791167.17554788</v>
      </c>
    </row>
    <row r="284" ht="28.5" customHeight="1">
      <c r="A284" s="51" t="s">
        <v>8961</v>
      </c>
      <c r="B284" s="51" t="s">
        <v>7875</v>
      </c>
      <c r="C284" s="51" t="s">
        <v>7874</v>
      </c>
      <c r="D284" s="51" t="s">
        <v>8962</v>
      </c>
      <c r="E284" s="51" t="s">
        <v>7876</v>
      </c>
      <c r="F284" s="51" t="s">
        <v>7877</v>
      </c>
      <c r="G284" s="51" t="s">
        <v>6660</v>
      </c>
      <c r="H284" s="51" t="s">
        <v>7292</v>
      </c>
      <c r="I284" s="51" t="s">
        <v>7878</v>
      </c>
      <c r="J284" s="51" t="s">
        <v>7879</v>
      </c>
      <c r="K284" s="51" t="s">
        <v>7880</v>
      </c>
      <c r="L284" s="51" t="n">
        <v>-19.9493484855561</v>
      </c>
      <c r="M284" s="51" t="n">
        <v>-43.9531247134498</v>
      </c>
      <c r="N284" s="51" t="n">
        <v>609548.320499683</v>
      </c>
      <c r="O284" s="51" t="n">
        <v>7793782.28385038</v>
      </c>
    </row>
    <row r="285" ht="28.5" customHeight="1">
      <c r="A285" s="51" t="s">
        <v>8963</v>
      </c>
      <c r="B285" s="51" t="s">
        <v>7882</v>
      </c>
      <c r="C285" s="51" t="s">
        <v>7881</v>
      </c>
      <c r="D285" s="51" t="s">
        <v>8964</v>
      </c>
      <c r="E285" s="51" t="s">
        <v>7883</v>
      </c>
      <c r="F285" s="51" t="s">
        <v>7884</v>
      </c>
      <c r="G285" s="51" t="s">
        <v>6627</v>
      </c>
      <c r="H285" s="51" t="s">
        <v>6628</v>
      </c>
      <c r="I285" s="51" t="s">
        <v>7885</v>
      </c>
      <c r="J285" s="51" t="s">
        <v>7886</v>
      </c>
      <c r="K285" s="51" t="s">
        <v>7887</v>
      </c>
      <c r="L285" s="51" t="n">
        <v>-19.943082</v>
      </c>
      <c r="M285" s="51" t="n">
        <v>-43.957003</v>
      </c>
      <c r="N285" s="51" t="n">
        <v>609146.75702853</v>
      </c>
      <c r="O285" s="51" t="n">
        <v>7794478.34354814</v>
      </c>
    </row>
    <row r="286" ht="28.5" customHeight="1">
      <c r="A286" s="51" t="s">
        <v>8965</v>
      </c>
      <c r="B286" s="51" t="s">
        <v>7882</v>
      </c>
      <c r="C286" s="51" t="s">
        <v>7881</v>
      </c>
      <c r="D286" s="51" t="s">
        <v>8966</v>
      </c>
      <c r="E286" s="51" t="s">
        <v>7883</v>
      </c>
      <c r="F286" s="51" t="s">
        <v>7884</v>
      </c>
      <c r="G286" s="51" t="s">
        <v>6627</v>
      </c>
      <c r="H286" s="51" t="s">
        <v>6628</v>
      </c>
      <c r="I286" s="51" t="s">
        <v>7885</v>
      </c>
      <c r="J286" s="51" t="s">
        <v>7886</v>
      </c>
      <c r="K286" s="51" t="s">
        <v>7887</v>
      </c>
      <c r="L286" s="51" t="n">
        <v>-19.943082</v>
      </c>
      <c r="M286" s="51" t="n">
        <v>-43.957003</v>
      </c>
      <c r="N286" s="51" t="n">
        <v>609146.75702853</v>
      </c>
      <c r="O286" s="51" t="n">
        <v>7794478.34354814</v>
      </c>
    </row>
    <row r="287" ht="28.5" customHeight="1">
      <c r="A287" s="51" t="s">
        <v>8967</v>
      </c>
      <c r="B287" s="51" t="s">
        <v>7882</v>
      </c>
      <c r="C287" s="51" t="s">
        <v>7881</v>
      </c>
      <c r="D287" s="51" t="s">
        <v>8968</v>
      </c>
      <c r="E287" s="51" t="s">
        <v>7883</v>
      </c>
      <c r="F287" s="51" t="s">
        <v>7884</v>
      </c>
      <c r="G287" s="51" t="s">
        <v>6627</v>
      </c>
      <c r="H287" s="51" t="s">
        <v>6628</v>
      </c>
      <c r="I287" s="51" t="s">
        <v>7885</v>
      </c>
      <c r="J287" s="51" t="s">
        <v>7886</v>
      </c>
      <c r="K287" s="51" t="s">
        <v>7887</v>
      </c>
      <c r="L287" s="51" t="n">
        <v>-19.943082</v>
      </c>
      <c r="M287" s="51" t="n">
        <v>-43.957003</v>
      </c>
      <c r="N287" s="51" t="n">
        <v>609146.75702853</v>
      </c>
      <c r="O287" s="51" t="n">
        <v>7794478.34354814</v>
      </c>
    </row>
    <row r="288" ht="28.5" customHeight="1">
      <c r="A288" s="51" t="s">
        <v>8969</v>
      </c>
      <c r="B288" s="51" t="s">
        <v>7882</v>
      </c>
      <c r="C288" s="51" t="s">
        <v>7881</v>
      </c>
      <c r="D288" s="51" t="s">
        <v>8970</v>
      </c>
      <c r="E288" s="51" t="s">
        <v>7883</v>
      </c>
      <c r="F288" s="51" t="s">
        <v>7884</v>
      </c>
      <c r="G288" s="51" t="s">
        <v>6627</v>
      </c>
      <c r="H288" s="51" t="s">
        <v>6628</v>
      </c>
      <c r="I288" s="51" t="s">
        <v>7885</v>
      </c>
      <c r="J288" s="51" t="s">
        <v>7886</v>
      </c>
      <c r="K288" s="51" t="s">
        <v>7887</v>
      </c>
      <c r="L288" s="51" t="n">
        <v>-19.943082</v>
      </c>
      <c r="M288" s="51" t="n">
        <v>-43.957003</v>
      </c>
      <c r="N288" s="51" t="n">
        <v>609146.75702853</v>
      </c>
      <c r="O288" s="51" t="n">
        <v>7794478.34354814</v>
      </c>
    </row>
    <row r="289" ht="28.5" customHeight="1">
      <c r="A289" s="51" t="s">
        <v>8971</v>
      </c>
      <c r="B289" s="51" t="s">
        <v>7882</v>
      </c>
      <c r="C289" s="51" t="s">
        <v>7881</v>
      </c>
      <c r="D289" s="51" t="s">
        <v>8972</v>
      </c>
      <c r="E289" s="51" t="s">
        <v>7883</v>
      </c>
      <c r="F289" s="51" t="s">
        <v>7884</v>
      </c>
      <c r="G289" s="51" t="s">
        <v>6627</v>
      </c>
      <c r="H289" s="51" t="s">
        <v>6628</v>
      </c>
      <c r="I289" s="51" t="s">
        <v>7885</v>
      </c>
      <c r="J289" s="51" t="s">
        <v>7886</v>
      </c>
      <c r="K289" s="51" t="s">
        <v>7887</v>
      </c>
      <c r="L289" s="51" t="n">
        <v>-19.943082</v>
      </c>
      <c r="M289" s="51" t="n">
        <v>-43.957003</v>
      </c>
      <c r="N289" s="51" t="n">
        <v>609146.75702853</v>
      </c>
      <c r="O289" s="51" t="n">
        <v>7794478.34354814</v>
      </c>
    </row>
    <row r="290" ht="28.5" customHeight="1">
      <c r="A290" s="51" t="s">
        <v>8973</v>
      </c>
      <c r="B290" s="51" t="s">
        <v>7882</v>
      </c>
      <c r="C290" s="51" t="s">
        <v>7881</v>
      </c>
      <c r="D290" s="51" t="s">
        <v>8974</v>
      </c>
      <c r="E290" s="51" t="s">
        <v>7883</v>
      </c>
      <c r="F290" s="51" t="s">
        <v>7884</v>
      </c>
      <c r="G290" s="51" t="s">
        <v>6627</v>
      </c>
      <c r="H290" s="51" t="s">
        <v>6628</v>
      </c>
      <c r="I290" s="51" t="s">
        <v>7885</v>
      </c>
      <c r="J290" s="51" t="s">
        <v>7886</v>
      </c>
      <c r="K290" s="51" t="s">
        <v>7887</v>
      </c>
      <c r="L290" s="51" t="n">
        <v>-19.943082</v>
      </c>
      <c r="M290" s="51" t="n">
        <v>-43.957003</v>
      </c>
      <c r="N290" s="51" t="n">
        <v>609146.75702853</v>
      </c>
      <c r="O290" s="51" t="n">
        <v>7794478.34354814</v>
      </c>
    </row>
    <row r="291" ht="28.5" customHeight="1">
      <c r="A291" s="51" t="s">
        <v>8975</v>
      </c>
      <c r="B291" s="51" t="s">
        <v>7889</v>
      </c>
      <c r="C291" s="51" t="s">
        <v>7888</v>
      </c>
      <c r="D291" s="51" t="s">
        <v>8976</v>
      </c>
      <c r="E291" s="51" t="s">
        <v>7890</v>
      </c>
      <c r="F291" s="51" t="s">
        <v>7877</v>
      </c>
      <c r="G291" s="51" t="s">
        <v>6660</v>
      </c>
      <c r="H291" s="51" t="s">
        <v>7292</v>
      </c>
      <c r="I291" s="51" t="s">
        <v>7891</v>
      </c>
      <c r="J291" s="51" t="s">
        <v>7892</v>
      </c>
      <c r="K291" s="51" t="s">
        <v>7893</v>
      </c>
      <c r="L291" s="51" t="n">
        <v>-19.9502191344444</v>
      </c>
      <c r="M291" s="51" t="n">
        <v>-43.9586407256856</v>
      </c>
      <c r="N291" s="51" t="n">
        <v>608970.460804494</v>
      </c>
      <c r="O291" s="51" t="n">
        <v>7793689.51567325</v>
      </c>
    </row>
    <row r="292" ht="28.5" customHeight="1">
      <c r="A292" s="51" t="s">
        <v>8977</v>
      </c>
      <c r="B292" s="51" t="s">
        <v>7889</v>
      </c>
      <c r="C292" s="51" t="s">
        <v>7888</v>
      </c>
      <c r="D292" s="51" t="s">
        <v>8978</v>
      </c>
      <c r="E292" s="51" t="s">
        <v>7890</v>
      </c>
      <c r="F292" s="51" t="s">
        <v>7877</v>
      </c>
      <c r="G292" s="51" t="s">
        <v>6660</v>
      </c>
      <c r="H292" s="51" t="s">
        <v>7292</v>
      </c>
      <c r="I292" s="51" t="s">
        <v>7891</v>
      </c>
      <c r="J292" s="51" t="s">
        <v>7892</v>
      </c>
      <c r="K292" s="51" t="s">
        <v>7893</v>
      </c>
      <c r="L292" s="51" t="n">
        <v>-19.9502191344444</v>
      </c>
      <c r="M292" s="51" t="n">
        <v>-43.9586407256856</v>
      </c>
      <c r="N292" s="51" t="n">
        <v>608970.460804494</v>
      </c>
      <c r="O292" s="51" t="n">
        <v>7793689.51567325</v>
      </c>
    </row>
    <row r="293" ht="28.5" customHeight="1">
      <c r="A293" s="51" t="s">
        <v>8979</v>
      </c>
      <c r="B293" s="51" t="s">
        <v>7889</v>
      </c>
      <c r="C293" s="51" t="s">
        <v>7888</v>
      </c>
      <c r="D293" s="51" t="s">
        <v>8980</v>
      </c>
      <c r="E293" s="51" t="s">
        <v>7890</v>
      </c>
      <c r="F293" s="51" t="s">
        <v>7877</v>
      </c>
      <c r="G293" s="51" t="s">
        <v>6660</v>
      </c>
      <c r="H293" s="51" t="s">
        <v>7292</v>
      </c>
      <c r="I293" s="51" t="s">
        <v>7891</v>
      </c>
      <c r="J293" s="51" t="s">
        <v>7892</v>
      </c>
      <c r="K293" s="51" t="s">
        <v>7893</v>
      </c>
      <c r="L293" s="51" t="n">
        <v>-19.9502191344444</v>
      </c>
      <c r="M293" s="51" t="n">
        <v>-43.9586407256856</v>
      </c>
      <c r="N293" s="51" t="n">
        <v>608970.460804494</v>
      </c>
      <c r="O293" s="51" t="n">
        <v>7793689.51567325</v>
      </c>
    </row>
    <row r="294" ht="28.5" customHeight="1">
      <c r="A294" s="51" t="s">
        <v>8981</v>
      </c>
      <c r="B294" s="51" t="s">
        <v>7889</v>
      </c>
      <c r="C294" s="51" t="s">
        <v>7888</v>
      </c>
      <c r="D294" s="51" t="s">
        <v>8982</v>
      </c>
      <c r="E294" s="51" t="s">
        <v>7890</v>
      </c>
      <c r="F294" s="51" t="s">
        <v>7877</v>
      </c>
      <c r="G294" s="51" t="s">
        <v>6660</v>
      </c>
      <c r="H294" s="51" t="s">
        <v>7292</v>
      </c>
      <c r="I294" s="51" t="s">
        <v>7891</v>
      </c>
      <c r="J294" s="51" t="s">
        <v>7892</v>
      </c>
      <c r="K294" s="51" t="s">
        <v>7893</v>
      </c>
      <c r="L294" s="51" t="n">
        <v>-19.9502191344444</v>
      </c>
      <c r="M294" s="51" t="n">
        <v>-43.9586407256856</v>
      </c>
      <c r="N294" s="51" t="n">
        <v>608970.460804494</v>
      </c>
      <c r="O294" s="51" t="n">
        <v>7793689.51567325</v>
      </c>
    </row>
    <row r="295" ht="28.5" customHeight="1">
      <c r="A295" s="51" t="s">
        <v>8983</v>
      </c>
      <c r="B295" s="51" t="s">
        <v>7889</v>
      </c>
      <c r="C295" s="51" t="s">
        <v>7888</v>
      </c>
      <c r="D295" s="51" t="s">
        <v>8984</v>
      </c>
      <c r="E295" s="51" t="s">
        <v>7890</v>
      </c>
      <c r="F295" s="51" t="s">
        <v>7877</v>
      </c>
      <c r="G295" s="51" t="s">
        <v>6660</v>
      </c>
      <c r="H295" s="51" t="s">
        <v>7292</v>
      </c>
      <c r="I295" s="51" t="s">
        <v>7891</v>
      </c>
      <c r="J295" s="51" t="s">
        <v>7892</v>
      </c>
      <c r="K295" s="51" t="s">
        <v>7893</v>
      </c>
      <c r="L295" s="51" t="n">
        <v>-19.9502191344444</v>
      </c>
      <c r="M295" s="51" t="n">
        <v>-43.9586407256856</v>
      </c>
      <c r="N295" s="51" t="n">
        <v>608970.460804494</v>
      </c>
      <c r="O295" s="51" t="n">
        <v>7793689.51567325</v>
      </c>
    </row>
    <row r="296" ht="28.5" customHeight="1">
      <c r="A296" s="51" t="s">
        <v>8985</v>
      </c>
      <c r="B296" s="51" t="s">
        <v>7889</v>
      </c>
      <c r="C296" s="51" t="s">
        <v>7888</v>
      </c>
      <c r="D296" s="51" t="s">
        <v>8986</v>
      </c>
      <c r="E296" s="51" t="s">
        <v>7890</v>
      </c>
      <c r="F296" s="51" t="s">
        <v>7877</v>
      </c>
      <c r="G296" s="51" t="s">
        <v>6660</v>
      </c>
      <c r="H296" s="51" t="s">
        <v>7292</v>
      </c>
      <c r="I296" s="51" t="s">
        <v>7891</v>
      </c>
      <c r="J296" s="51" t="s">
        <v>7892</v>
      </c>
      <c r="K296" s="51" t="s">
        <v>7893</v>
      </c>
      <c r="L296" s="51" t="n">
        <v>-19.9502191344444</v>
      </c>
      <c r="M296" s="51" t="n">
        <v>-43.9586407256856</v>
      </c>
      <c r="N296" s="51" t="n">
        <v>608970.460804494</v>
      </c>
      <c r="O296" s="51" t="n">
        <v>7793689.51567325</v>
      </c>
    </row>
    <row r="297" ht="28.5" customHeight="1">
      <c r="A297" s="51" t="s">
        <v>8987</v>
      </c>
      <c r="B297" s="51" t="s">
        <v>7889</v>
      </c>
      <c r="C297" s="51" t="s">
        <v>7888</v>
      </c>
      <c r="D297" s="51" t="s">
        <v>8988</v>
      </c>
      <c r="E297" s="51" t="s">
        <v>7890</v>
      </c>
      <c r="F297" s="51" t="s">
        <v>7877</v>
      </c>
      <c r="G297" s="51" t="s">
        <v>6660</v>
      </c>
      <c r="H297" s="51" t="s">
        <v>7292</v>
      </c>
      <c r="I297" s="51" t="s">
        <v>7891</v>
      </c>
      <c r="J297" s="51" t="s">
        <v>7892</v>
      </c>
      <c r="K297" s="51" t="s">
        <v>7893</v>
      </c>
      <c r="L297" s="51" t="n">
        <v>-19.9502191344444</v>
      </c>
      <c r="M297" s="51" t="n">
        <v>-43.9586407256856</v>
      </c>
      <c r="N297" s="51" t="n">
        <v>608970.460804494</v>
      </c>
      <c r="O297" s="51" t="n">
        <v>7793689.51567325</v>
      </c>
    </row>
    <row r="298" ht="28.5" customHeight="1">
      <c r="A298" s="51" t="s">
        <v>8989</v>
      </c>
      <c r="B298" s="51" t="s">
        <v>7889</v>
      </c>
      <c r="C298" s="51" t="s">
        <v>7888</v>
      </c>
      <c r="D298" s="51" t="s">
        <v>8990</v>
      </c>
      <c r="E298" s="51" t="s">
        <v>7890</v>
      </c>
      <c r="F298" s="51" t="s">
        <v>7877</v>
      </c>
      <c r="G298" s="51" t="s">
        <v>6660</v>
      </c>
      <c r="H298" s="51" t="s">
        <v>7292</v>
      </c>
      <c r="I298" s="51" t="s">
        <v>7891</v>
      </c>
      <c r="J298" s="51" t="s">
        <v>7892</v>
      </c>
      <c r="K298" s="51" t="s">
        <v>7893</v>
      </c>
      <c r="L298" s="51" t="n">
        <v>-19.9502191344444</v>
      </c>
      <c r="M298" s="51" t="n">
        <v>-43.9586407256856</v>
      </c>
      <c r="N298" s="51" t="n">
        <v>608970.460804494</v>
      </c>
      <c r="O298" s="51" t="n">
        <v>7793689.51567325</v>
      </c>
    </row>
    <row r="299">
      <c r="A299" s="51" t="s">
        <v>8991</v>
      </c>
      <c r="B299" s="51" t="s">
        <v>7895</v>
      </c>
      <c r="C299" s="51" t="s">
        <v>7894</v>
      </c>
      <c r="D299" s="51" t="s">
        <v>8992</v>
      </c>
      <c r="E299" s="51" t="s">
        <v>7896</v>
      </c>
      <c r="F299" s="51" t="s">
        <v>7657</v>
      </c>
      <c r="G299" s="51" t="s">
        <v>6660</v>
      </c>
      <c r="H299" s="51" t="s">
        <v>6661</v>
      </c>
      <c r="I299" s="51" t="s">
        <v>7897</v>
      </c>
      <c r="J299" s="51" t="s">
        <v>7898</v>
      </c>
      <c r="K299" s="51"/>
      <c r="L299" s="51" t="n">
        <v>-19.921989</v>
      </c>
      <c r="M299" s="51" t="n">
        <v>-43.916655</v>
      </c>
      <c r="N299" s="51" t="n">
        <v>613384.495033692</v>
      </c>
      <c r="O299" s="51" t="n">
        <v>7796786.07068844</v>
      </c>
    </row>
    <row r="300" ht="28.5" customHeight="1">
      <c r="A300" s="51" t="s">
        <v>8993</v>
      </c>
      <c r="B300" s="51" t="s">
        <v>7900</v>
      </c>
      <c r="C300" s="51" t="s">
        <v>7899</v>
      </c>
      <c r="D300" s="51" t="s">
        <v>8994</v>
      </c>
      <c r="E300" s="51" t="s">
        <v>7901</v>
      </c>
      <c r="F300" s="51" t="s">
        <v>7141</v>
      </c>
      <c r="G300" s="51" t="s">
        <v>6689</v>
      </c>
      <c r="H300" s="51" t="s">
        <v>6995</v>
      </c>
      <c r="I300" s="51" t="s">
        <v>7902</v>
      </c>
      <c r="J300" s="51" t="s">
        <v>7903</v>
      </c>
      <c r="K300" s="51" t="s">
        <v>7904</v>
      </c>
      <c r="L300" s="51" t="n">
        <v>-19.9857832647043</v>
      </c>
      <c r="M300" s="51" t="n">
        <v>-44.0058088451902</v>
      </c>
      <c r="N300" s="51" t="n">
        <v>604010.952748235</v>
      </c>
      <c r="O300" s="51" t="n">
        <v>7789783.4668508</v>
      </c>
    </row>
    <row r="301" ht="28.5" customHeight="1">
      <c r="A301" s="51" t="s">
        <v>8995</v>
      </c>
      <c r="B301" s="51" t="s">
        <v>7900</v>
      </c>
      <c r="C301" s="51" t="s">
        <v>7899</v>
      </c>
      <c r="D301" s="51" t="s">
        <v>8996</v>
      </c>
      <c r="E301" s="51" t="s">
        <v>7901</v>
      </c>
      <c r="F301" s="51" t="s">
        <v>7141</v>
      </c>
      <c r="G301" s="51" t="s">
        <v>6689</v>
      </c>
      <c r="H301" s="51" t="s">
        <v>6995</v>
      </c>
      <c r="I301" s="51" t="s">
        <v>7902</v>
      </c>
      <c r="J301" s="51" t="s">
        <v>7903</v>
      </c>
      <c r="K301" s="51" t="s">
        <v>7904</v>
      </c>
      <c r="L301" s="51" t="n">
        <v>-19.9857832647043</v>
      </c>
      <c r="M301" s="51" t="n">
        <v>-44.0058088451902</v>
      </c>
      <c r="N301" s="51" t="n">
        <v>604010.952748235</v>
      </c>
      <c r="O301" s="51" t="n">
        <v>7789783.4668508</v>
      </c>
    </row>
    <row r="302" ht="28.5" customHeight="1">
      <c r="A302" s="51" t="s">
        <v>8997</v>
      </c>
      <c r="B302" s="51" t="s">
        <v>7900</v>
      </c>
      <c r="C302" s="51" t="s">
        <v>7899</v>
      </c>
      <c r="D302" s="51" t="s">
        <v>8998</v>
      </c>
      <c r="E302" s="51" t="s">
        <v>7901</v>
      </c>
      <c r="F302" s="51" t="s">
        <v>7141</v>
      </c>
      <c r="G302" s="51" t="s">
        <v>6689</v>
      </c>
      <c r="H302" s="51" t="s">
        <v>6995</v>
      </c>
      <c r="I302" s="51" t="s">
        <v>7902</v>
      </c>
      <c r="J302" s="51" t="s">
        <v>7903</v>
      </c>
      <c r="K302" s="51" t="s">
        <v>7904</v>
      </c>
      <c r="L302" s="51" t="n">
        <v>-19.9857832647043</v>
      </c>
      <c r="M302" s="51" t="n">
        <v>-44.0058088451902</v>
      </c>
      <c r="N302" s="51" t="n">
        <v>604010.952748235</v>
      </c>
      <c r="O302" s="51" t="n">
        <v>7789783.4668508</v>
      </c>
    </row>
    <row r="303" ht="28.5" customHeight="1">
      <c r="A303" s="51" t="s">
        <v>8999</v>
      </c>
      <c r="B303" s="51" t="s">
        <v>7900</v>
      </c>
      <c r="C303" s="51" t="s">
        <v>7899</v>
      </c>
      <c r="D303" s="51" t="s">
        <v>9000</v>
      </c>
      <c r="E303" s="51" t="s">
        <v>7901</v>
      </c>
      <c r="F303" s="51" t="s">
        <v>7141</v>
      </c>
      <c r="G303" s="51" t="s">
        <v>6689</v>
      </c>
      <c r="H303" s="51" t="s">
        <v>6995</v>
      </c>
      <c r="I303" s="51" t="s">
        <v>7902</v>
      </c>
      <c r="J303" s="51" t="s">
        <v>7903</v>
      </c>
      <c r="K303" s="51" t="s">
        <v>7904</v>
      </c>
      <c r="L303" s="51" t="n">
        <v>-19.9857832647043</v>
      </c>
      <c r="M303" s="51" t="n">
        <v>-44.0058088451902</v>
      </c>
      <c r="N303" s="51" t="n">
        <v>604010.952748235</v>
      </c>
      <c r="O303" s="51" t="n">
        <v>7789783.4668508</v>
      </c>
    </row>
    <row r="304" ht="28.5" customHeight="1">
      <c r="A304" s="51" t="s">
        <v>9001</v>
      </c>
      <c r="B304" s="51" t="s">
        <v>7900</v>
      </c>
      <c r="C304" s="51" t="s">
        <v>7899</v>
      </c>
      <c r="D304" s="51" t="s">
        <v>9002</v>
      </c>
      <c r="E304" s="51" t="s">
        <v>7901</v>
      </c>
      <c r="F304" s="51" t="s">
        <v>7141</v>
      </c>
      <c r="G304" s="51" t="s">
        <v>6689</v>
      </c>
      <c r="H304" s="51" t="s">
        <v>6995</v>
      </c>
      <c r="I304" s="51" t="s">
        <v>7902</v>
      </c>
      <c r="J304" s="51" t="s">
        <v>7903</v>
      </c>
      <c r="K304" s="51" t="s">
        <v>7904</v>
      </c>
      <c r="L304" s="51" t="n">
        <v>-19.9857832647043</v>
      </c>
      <c r="M304" s="51" t="n">
        <v>-44.0058088451902</v>
      </c>
      <c r="N304" s="51" t="n">
        <v>604010.952748235</v>
      </c>
      <c r="O304" s="51" t="n">
        <v>7789783.4668508</v>
      </c>
    </row>
    <row r="305" ht="28.5" customHeight="1">
      <c r="A305" s="51" t="s">
        <v>9003</v>
      </c>
      <c r="B305" s="51" t="s">
        <v>7900</v>
      </c>
      <c r="C305" s="51" t="s">
        <v>7899</v>
      </c>
      <c r="D305" s="51" t="s">
        <v>9004</v>
      </c>
      <c r="E305" s="51" t="s">
        <v>7901</v>
      </c>
      <c r="F305" s="51" t="s">
        <v>7141</v>
      </c>
      <c r="G305" s="51" t="s">
        <v>6689</v>
      </c>
      <c r="H305" s="51" t="s">
        <v>6995</v>
      </c>
      <c r="I305" s="51" t="s">
        <v>7902</v>
      </c>
      <c r="J305" s="51" t="s">
        <v>7903</v>
      </c>
      <c r="K305" s="51" t="s">
        <v>7904</v>
      </c>
      <c r="L305" s="51" t="n">
        <v>-19.9857832647043</v>
      </c>
      <c r="M305" s="51" t="n">
        <v>-44.0058088451902</v>
      </c>
      <c r="N305" s="51" t="n">
        <v>604010.952748235</v>
      </c>
      <c r="O305" s="51" t="n">
        <v>7789783.4668508</v>
      </c>
    </row>
    <row r="306" ht="28.5" customHeight="1">
      <c r="A306" s="51" t="s">
        <v>9005</v>
      </c>
      <c r="B306" s="51" t="s">
        <v>7900</v>
      </c>
      <c r="C306" s="51" t="s">
        <v>7899</v>
      </c>
      <c r="D306" s="51" t="s">
        <v>9006</v>
      </c>
      <c r="E306" s="51" t="s">
        <v>7901</v>
      </c>
      <c r="F306" s="51" t="s">
        <v>7141</v>
      </c>
      <c r="G306" s="51" t="s">
        <v>6689</v>
      </c>
      <c r="H306" s="51" t="s">
        <v>6995</v>
      </c>
      <c r="I306" s="51" t="s">
        <v>7902</v>
      </c>
      <c r="J306" s="51" t="s">
        <v>7903</v>
      </c>
      <c r="K306" s="51" t="s">
        <v>7904</v>
      </c>
      <c r="L306" s="51" t="n">
        <v>-19.9857832647043</v>
      </c>
      <c r="M306" s="51" t="n">
        <v>-44.0058088451902</v>
      </c>
      <c r="N306" s="51" t="n">
        <v>604010.952748235</v>
      </c>
      <c r="O306" s="51" t="n">
        <v>7789783.4668508</v>
      </c>
    </row>
    <row r="307" ht="28.5" customHeight="1">
      <c r="A307" s="51" t="s">
        <v>9007</v>
      </c>
      <c r="B307" s="51" t="s">
        <v>7900</v>
      </c>
      <c r="C307" s="51" t="s">
        <v>7899</v>
      </c>
      <c r="D307" s="51" t="s">
        <v>9008</v>
      </c>
      <c r="E307" s="51" t="s">
        <v>7901</v>
      </c>
      <c r="F307" s="51" t="s">
        <v>7141</v>
      </c>
      <c r="G307" s="51" t="s">
        <v>6689</v>
      </c>
      <c r="H307" s="51" t="s">
        <v>6995</v>
      </c>
      <c r="I307" s="51" t="s">
        <v>7902</v>
      </c>
      <c r="J307" s="51" t="s">
        <v>7903</v>
      </c>
      <c r="K307" s="51" t="s">
        <v>7904</v>
      </c>
      <c r="L307" s="51" t="n">
        <v>-19.9857832647043</v>
      </c>
      <c r="M307" s="51" t="n">
        <v>-44.0058088451902</v>
      </c>
      <c r="N307" s="51" t="n">
        <v>604010.952748235</v>
      </c>
      <c r="O307" s="51" t="n">
        <v>7789783.4668508</v>
      </c>
    </row>
    <row r="308" ht="28.5" customHeight="1">
      <c r="A308" s="51" t="s">
        <v>9009</v>
      </c>
      <c r="B308" s="51" t="s">
        <v>7900</v>
      </c>
      <c r="C308" s="51" t="s">
        <v>7899</v>
      </c>
      <c r="D308" s="51" t="s">
        <v>9010</v>
      </c>
      <c r="E308" s="51" t="s">
        <v>7901</v>
      </c>
      <c r="F308" s="51" t="s">
        <v>7141</v>
      </c>
      <c r="G308" s="51" t="s">
        <v>6689</v>
      </c>
      <c r="H308" s="51" t="s">
        <v>6995</v>
      </c>
      <c r="I308" s="51" t="s">
        <v>7902</v>
      </c>
      <c r="J308" s="51" t="s">
        <v>7903</v>
      </c>
      <c r="K308" s="51" t="s">
        <v>7904</v>
      </c>
      <c r="L308" s="51" t="n">
        <v>-19.9857832647043</v>
      </c>
      <c r="M308" s="51" t="n">
        <v>-44.0058088451902</v>
      </c>
      <c r="N308" s="51" t="n">
        <v>604010.952748235</v>
      </c>
      <c r="O308" s="51" t="n">
        <v>7789783.4668508</v>
      </c>
    </row>
    <row r="309" ht="28.5" customHeight="1">
      <c r="A309" s="51" t="s">
        <v>9011</v>
      </c>
      <c r="B309" s="51" t="s">
        <v>7906</v>
      </c>
      <c r="C309" s="51" t="s">
        <v>7905</v>
      </c>
      <c r="D309" s="51" t="s">
        <v>9012</v>
      </c>
      <c r="E309" s="51" t="s">
        <v>7907</v>
      </c>
      <c r="F309" s="51" t="s">
        <v>7908</v>
      </c>
      <c r="G309" s="51" t="s">
        <v>6583</v>
      </c>
      <c r="H309" s="51" t="s">
        <v>6744</v>
      </c>
      <c r="I309" s="51" t="s">
        <v>7909</v>
      </c>
      <c r="J309" s="51" t="s">
        <v>7017</v>
      </c>
      <c r="K309" s="51" t="s">
        <v>7910</v>
      </c>
      <c r="L309" s="51" t="n">
        <v>-19.9029579432617</v>
      </c>
      <c r="M309" s="51" t="n">
        <v>-43.943247949552</v>
      </c>
      <c r="N309" s="51" t="n">
        <v>610614.222604386</v>
      </c>
      <c r="O309" s="51" t="n">
        <v>7798910.01907639</v>
      </c>
    </row>
    <row r="310" ht="28.5" customHeight="1">
      <c r="A310" s="51" t="s">
        <v>9013</v>
      </c>
      <c r="B310" s="51" t="s">
        <v>7906</v>
      </c>
      <c r="C310" s="51" t="s">
        <v>7905</v>
      </c>
      <c r="D310" s="51" t="s">
        <v>9014</v>
      </c>
      <c r="E310" s="51" t="s">
        <v>7907</v>
      </c>
      <c r="F310" s="51" t="s">
        <v>7908</v>
      </c>
      <c r="G310" s="51" t="s">
        <v>6583</v>
      </c>
      <c r="H310" s="51" t="s">
        <v>6744</v>
      </c>
      <c r="I310" s="51" t="s">
        <v>7909</v>
      </c>
      <c r="J310" s="51" t="s">
        <v>7017</v>
      </c>
      <c r="K310" s="51" t="s">
        <v>7910</v>
      </c>
      <c r="L310" s="51" t="n">
        <v>-19.9029579432617</v>
      </c>
      <c r="M310" s="51" t="n">
        <v>-43.943247949552</v>
      </c>
      <c r="N310" s="51" t="n">
        <v>610614.222604386</v>
      </c>
      <c r="O310" s="51" t="n">
        <v>7798910.01907639</v>
      </c>
    </row>
    <row r="311" ht="28.5" customHeight="1">
      <c r="A311" s="51" t="s">
        <v>9015</v>
      </c>
      <c r="B311" s="51" t="s">
        <v>7906</v>
      </c>
      <c r="C311" s="51" t="s">
        <v>7905</v>
      </c>
      <c r="D311" s="51" t="s">
        <v>9016</v>
      </c>
      <c r="E311" s="51" t="s">
        <v>7907</v>
      </c>
      <c r="F311" s="51" t="s">
        <v>7908</v>
      </c>
      <c r="G311" s="51" t="s">
        <v>6583</v>
      </c>
      <c r="H311" s="51" t="s">
        <v>6744</v>
      </c>
      <c r="I311" s="51" t="s">
        <v>7909</v>
      </c>
      <c r="J311" s="51" t="s">
        <v>7017</v>
      </c>
      <c r="K311" s="51" t="s">
        <v>7910</v>
      </c>
      <c r="L311" s="51" t="n">
        <v>-19.9029579432617</v>
      </c>
      <c r="M311" s="51" t="n">
        <v>-43.943247949552</v>
      </c>
      <c r="N311" s="51" t="n">
        <v>610614.222604386</v>
      </c>
      <c r="O311" s="51" t="n">
        <v>7798910.01907639</v>
      </c>
    </row>
    <row r="312" ht="28.5" customHeight="1">
      <c r="A312" s="51" t="s">
        <v>9017</v>
      </c>
      <c r="B312" s="51" t="s">
        <v>7906</v>
      </c>
      <c r="C312" s="51" t="s">
        <v>7905</v>
      </c>
      <c r="D312" s="51" t="s">
        <v>9018</v>
      </c>
      <c r="E312" s="51" t="s">
        <v>7907</v>
      </c>
      <c r="F312" s="51" t="s">
        <v>7908</v>
      </c>
      <c r="G312" s="51" t="s">
        <v>6583</v>
      </c>
      <c r="H312" s="51" t="s">
        <v>6744</v>
      </c>
      <c r="I312" s="51" t="s">
        <v>7909</v>
      </c>
      <c r="J312" s="51" t="s">
        <v>7017</v>
      </c>
      <c r="K312" s="51" t="s">
        <v>7910</v>
      </c>
      <c r="L312" s="51" t="n">
        <v>-19.9029579432617</v>
      </c>
      <c r="M312" s="51" t="n">
        <v>-43.943247949552</v>
      </c>
      <c r="N312" s="51" t="n">
        <v>610614.222604386</v>
      </c>
      <c r="O312" s="51" t="n">
        <v>7798910.01907639</v>
      </c>
    </row>
    <row r="313" ht="28.5" customHeight="1">
      <c r="A313" s="51" t="s">
        <v>9019</v>
      </c>
      <c r="B313" s="51" t="s">
        <v>7906</v>
      </c>
      <c r="C313" s="51" t="s">
        <v>7905</v>
      </c>
      <c r="D313" s="51" t="s">
        <v>9020</v>
      </c>
      <c r="E313" s="51" t="s">
        <v>7907</v>
      </c>
      <c r="F313" s="51" t="s">
        <v>7908</v>
      </c>
      <c r="G313" s="51" t="s">
        <v>6583</v>
      </c>
      <c r="H313" s="51" t="s">
        <v>6744</v>
      </c>
      <c r="I313" s="51" t="s">
        <v>7909</v>
      </c>
      <c r="J313" s="51" t="s">
        <v>7017</v>
      </c>
      <c r="K313" s="51" t="s">
        <v>7910</v>
      </c>
      <c r="L313" s="51" t="n">
        <v>-19.9029579432617</v>
      </c>
      <c r="M313" s="51" t="n">
        <v>-43.943247949552</v>
      </c>
      <c r="N313" s="51" t="n">
        <v>610614.222604386</v>
      </c>
      <c r="O313" s="51" t="n">
        <v>7798910.01907639</v>
      </c>
    </row>
    <row r="314" ht="28.5" customHeight="1">
      <c r="A314" s="51" t="s">
        <v>9021</v>
      </c>
      <c r="B314" s="51" t="s">
        <v>7906</v>
      </c>
      <c r="C314" s="51" t="s">
        <v>7905</v>
      </c>
      <c r="D314" s="51" t="s">
        <v>9022</v>
      </c>
      <c r="E314" s="51" t="s">
        <v>7907</v>
      </c>
      <c r="F314" s="51" t="s">
        <v>7908</v>
      </c>
      <c r="G314" s="51" t="s">
        <v>6583</v>
      </c>
      <c r="H314" s="51" t="s">
        <v>6744</v>
      </c>
      <c r="I314" s="51" t="s">
        <v>7909</v>
      </c>
      <c r="J314" s="51" t="s">
        <v>7017</v>
      </c>
      <c r="K314" s="51" t="s">
        <v>7910</v>
      </c>
      <c r="L314" s="51" t="n">
        <v>-19.9029579432617</v>
      </c>
      <c r="M314" s="51" t="n">
        <v>-43.943247949552</v>
      </c>
      <c r="N314" s="51" t="n">
        <v>610614.222604386</v>
      </c>
      <c r="O314" s="51" t="n">
        <v>7798910.01907639</v>
      </c>
    </row>
    <row r="315" ht="28.5" customHeight="1">
      <c r="A315" s="51" t="s">
        <v>9023</v>
      </c>
      <c r="B315" s="51" t="s">
        <v>7906</v>
      </c>
      <c r="C315" s="51" t="s">
        <v>7905</v>
      </c>
      <c r="D315" s="51" t="s">
        <v>9024</v>
      </c>
      <c r="E315" s="51" t="s">
        <v>7907</v>
      </c>
      <c r="F315" s="51" t="s">
        <v>7908</v>
      </c>
      <c r="G315" s="51" t="s">
        <v>6583</v>
      </c>
      <c r="H315" s="51" t="s">
        <v>6744</v>
      </c>
      <c r="I315" s="51" t="s">
        <v>7909</v>
      </c>
      <c r="J315" s="51" t="s">
        <v>7017</v>
      </c>
      <c r="K315" s="51" t="s">
        <v>7910</v>
      </c>
      <c r="L315" s="51" t="n">
        <v>-19.9029579432617</v>
      </c>
      <c r="M315" s="51" t="n">
        <v>-43.943247949552</v>
      </c>
      <c r="N315" s="51" t="n">
        <v>610614.222604386</v>
      </c>
      <c r="O315" s="51" t="n">
        <v>7798910.01907639</v>
      </c>
    </row>
    <row r="316" ht="28.5" customHeight="1">
      <c r="A316" s="51" t="s">
        <v>9025</v>
      </c>
      <c r="B316" s="51" t="s">
        <v>7906</v>
      </c>
      <c r="C316" s="51" t="s">
        <v>7905</v>
      </c>
      <c r="D316" s="51" t="s">
        <v>9026</v>
      </c>
      <c r="E316" s="51" t="s">
        <v>7907</v>
      </c>
      <c r="F316" s="51" t="s">
        <v>7908</v>
      </c>
      <c r="G316" s="51" t="s">
        <v>6583</v>
      </c>
      <c r="H316" s="51" t="s">
        <v>6744</v>
      </c>
      <c r="I316" s="51" t="s">
        <v>7909</v>
      </c>
      <c r="J316" s="51" t="s">
        <v>7017</v>
      </c>
      <c r="K316" s="51" t="s">
        <v>7910</v>
      </c>
      <c r="L316" s="51" t="n">
        <v>-19.9029579432617</v>
      </c>
      <c r="M316" s="51" t="n">
        <v>-43.943247949552</v>
      </c>
      <c r="N316" s="51" t="n">
        <v>610614.222604386</v>
      </c>
      <c r="O316" s="51" t="n">
        <v>7798910.01907639</v>
      </c>
    </row>
    <row r="317" ht="28.5" customHeight="1">
      <c r="A317" s="51" t="s">
        <v>9027</v>
      </c>
      <c r="B317" s="51" t="s">
        <v>7906</v>
      </c>
      <c r="C317" s="51" t="s">
        <v>7905</v>
      </c>
      <c r="D317" s="51" t="s">
        <v>9028</v>
      </c>
      <c r="E317" s="51" t="s">
        <v>7907</v>
      </c>
      <c r="F317" s="51" t="s">
        <v>7908</v>
      </c>
      <c r="G317" s="51" t="s">
        <v>6583</v>
      </c>
      <c r="H317" s="51" t="s">
        <v>6744</v>
      </c>
      <c r="I317" s="51" t="s">
        <v>7909</v>
      </c>
      <c r="J317" s="51" t="s">
        <v>7017</v>
      </c>
      <c r="K317" s="51" t="s">
        <v>7910</v>
      </c>
      <c r="L317" s="51" t="n">
        <v>-19.9029579432617</v>
      </c>
      <c r="M317" s="51" t="n">
        <v>-43.943247949552</v>
      </c>
      <c r="N317" s="51" t="n">
        <v>610614.222604386</v>
      </c>
      <c r="O317" s="51" t="n">
        <v>7798910.01907639</v>
      </c>
    </row>
    <row r="318" ht="28.5" customHeight="1">
      <c r="A318" s="51" t="s">
        <v>9029</v>
      </c>
      <c r="B318" s="51" t="s">
        <v>7912</v>
      </c>
      <c r="C318" s="51" t="s">
        <v>7911</v>
      </c>
      <c r="D318" s="51" t="s">
        <v>9030</v>
      </c>
      <c r="E318" s="51" t="s">
        <v>7913</v>
      </c>
      <c r="F318" s="51" t="s">
        <v>6877</v>
      </c>
      <c r="G318" s="51" t="s">
        <v>6794</v>
      </c>
      <c r="H318" s="51" t="s">
        <v>6878</v>
      </c>
      <c r="I318" s="51" t="s">
        <v>6879</v>
      </c>
      <c r="J318" s="51" t="s">
        <v>7744</v>
      </c>
      <c r="K318" s="51" t="s">
        <v>7914</v>
      </c>
      <c r="L318" s="51" t="n">
        <v>-19.865842</v>
      </c>
      <c r="M318" s="51" t="n">
        <v>-43.925577</v>
      </c>
      <c r="N318" s="51" t="n">
        <v>612490.276547075</v>
      </c>
      <c r="O318" s="51" t="n">
        <v>7803006.06179706</v>
      </c>
    </row>
    <row r="319" ht="28.5" customHeight="1">
      <c r="A319" s="51" t="s">
        <v>9031</v>
      </c>
      <c r="B319" s="51" t="s">
        <v>7916</v>
      </c>
      <c r="C319" s="51" t="s">
        <v>7915</v>
      </c>
      <c r="D319" s="51" t="s">
        <v>9032</v>
      </c>
      <c r="E319" s="51" t="s">
        <v>7917</v>
      </c>
      <c r="F319" s="51" t="s">
        <v>7629</v>
      </c>
      <c r="G319" s="51" t="s">
        <v>6722</v>
      </c>
      <c r="H319" s="51" t="s">
        <v>6817</v>
      </c>
      <c r="I319" s="51" t="s">
        <v>7918</v>
      </c>
      <c r="J319" s="51" t="s">
        <v>7919</v>
      </c>
      <c r="K319" s="51" t="s">
        <v>7920</v>
      </c>
      <c r="L319" s="51" t="n">
        <v>-19.818314</v>
      </c>
      <c r="M319" s="51" t="n">
        <v>-43.948672</v>
      </c>
      <c r="N319" s="51" t="n">
        <v>610104.820996478</v>
      </c>
      <c r="O319" s="51" t="n">
        <v>7808281.34927233</v>
      </c>
    </row>
    <row r="320" ht="28.5" customHeight="1">
      <c r="A320" s="51" t="s">
        <v>9033</v>
      </c>
      <c r="B320" s="51" t="s">
        <v>7916</v>
      </c>
      <c r="C320" s="51" t="s">
        <v>7915</v>
      </c>
      <c r="D320" s="51" t="s">
        <v>9034</v>
      </c>
      <c r="E320" s="51" t="s">
        <v>7917</v>
      </c>
      <c r="F320" s="51" t="s">
        <v>7629</v>
      </c>
      <c r="G320" s="51" t="s">
        <v>6722</v>
      </c>
      <c r="H320" s="51" t="s">
        <v>6817</v>
      </c>
      <c r="I320" s="51" t="s">
        <v>7918</v>
      </c>
      <c r="J320" s="51" t="s">
        <v>7919</v>
      </c>
      <c r="K320" s="51" t="s">
        <v>7920</v>
      </c>
      <c r="L320" s="51" t="n">
        <v>-19.818314</v>
      </c>
      <c r="M320" s="51" t="n">
        <v>-43.948672</v>
      </c>
      <c r="N320" s="51" t="n">
        <v>610104.820996478</v>
      </c>
      <c r="O320" s="51" t="n">
        <v>7808281.34927233</v>
      </c>
    </row>
    <row r="321" ht="28.5" customHeight="1">
      <c r="A321" s="51" t="s">
        <v>9035</v>
      </c>
      <c r="B321" s="51" t="s">
        <v>7916</v>
      </c>
      <c r="C321" s="51" t="s">
        <v>7915</v>
      </c>
      <c r="D321" s="51" t="s">
        <v>9036</v>
      </c>
      <c r="E321" s="51" t="s">
        <v>7917</v>
      </c>
      <c r="F321" s="51" t="s">
        <v>7629</v>
      </c>
      <c r="G321" s="51" t="s">
        <v>6722</v>
      </c>
      <c r="H321" s="51" t="s">
        <v>6817</v>
      </c>
      <c r="I321" s="51" t="s">
        <v>7918</v>
      </c>
      <c r="J321" s="51" t="s">
        <v>7919</v>
      </c>
      <c r="K321" s="51" t="s">
        <v>7920</v>
      </c>
      <c r="L321" s="51" t="n">
        <v>-19.818314</v>
      </c>
      <c r="M321" s="51" t="n">
        <v>-43.948672</v>
      </c>
      <c r="N321" s="51" t="n">
        <v>610104.820996478</v>
      </c>
      <c r="O321" s="51" t="n">
        <v>7808281.34927233</v>
      </c>
    </row>
    <row r="322" ht="28.5" customHeight="1">
      <c r="A322" s="51" t="s">
        <v>9037</v>
      </c>
      <c r="B322" s="51" t="s">
        <v>7916</v>
      </c>
      <c r="C322" s="51" t="s">
        <v>7915</v>
      </c>
      <c r="D322" s="51" t="s">
        <v>9038</v>
      </c>
      <c r="E322" s="51" t="s">
        <v>7917</v>
      </c>
      <c r="F322" s="51" t="s">
        <v>7629</v>
      </c>
      <c r="G322" s="51" t="s">
        <v>6722</v>
      </c>
      <c r="H322" s="51" t="s">
        <v>6817</v>
      </c>
      <c r="I322" s="51" t="s">
        <v>7918</v>
      </c>
      <c r="J322" s="51" t="s">
        <v>7919</v>
      </c>
      <c r="K322" s="51" t="s">
        <v>7920</v>
      </c>
      <c r="L322" s="51" t="n">
        <v>-19.818314</v>
      </c>
      <c r="M322" s="51" t="n">
        <v>-43.948672</v>
      </c>
      <c r="N322" s="51" t="n">
        <v>610104.820996478</v>
      </c>
      <c r="O322" s="51" t="n">
        <v>7808281.34927233</v>
      </c>
    </row>
    <row r="323" ht="28.5" customHeight="1">
      <c r="A323" s="51" t="s">
        <v>9039</v>
      </c>
      <c r="B323" s="51" t="s">
        <v>7916</v>
      </c>
      <c r="C323" s="51" t="s">
        <v>7915</v>
      </c>
      <c r="D323" s="51" t="s">
        <v>9040</v>
      </c>
      <c r="E323" s="51" t="s">
        <v>7917</v>
      </c>
      <c r="F323" s="51" t="s">
        <v>7629</v>
      </c>
      <c r="G323" s="51" t="s">
        <v>6722</v>
      </c>
      <c r="H323" s="51" t="s">
        <v>6817</v>
      </c>
      <c r="I323" s="51" t="s">
        <v>7918</v>
      </c>
      <c r="J323" s="51" t="s">
        <v>7919</v>
      </c>
      <c r="K323" s="51" t="s">
        <v>7920</v>
      </c>
      <c r="L323" s="51" t="n">
        <v>-19.818314</v>
      </c>
      <c r="M323" s="51" t="n">
        <v>-43.948672</v>
      </c>
      <c r="N323" s="51" t="n">
        <v>610104.820996478</v>
      </c>
      <c r="O323" s="51" t="n">
        <v>7808281.34927233</v>
      </c>
    </row>
    <row r="324" ht="28.5" customHeight="1">
      <c r="A324" s="51" t="s">
        <v>9041</v>
      </c>
      <c r="B324" s="51" t="s">
        <v>7922</v>
      </c>
      <c r="C324" s="51" t="s">
        <v>7921</v>
      </c>
      <c r="D324" s="51" t="s">
        <v>9042</v>
      </c>
      <c r="E324" s="51" t="s">
        <v>7923</v>
      </c>
      <c r="F324" s="51" t="s">
        <v>6721</v>
      </c>
      <c r="G324" s="51" t="s">
        <v>6722</v>
      </c>
      <c r="H324" s="51" t="s">
        <v>6723</v>
      </c>
      <c r="I324" s="51" t="s">
        <v>7924</v>
      </c>
      <c r="J324" s="51" t="s">
        <v>7925</v>
      </c>
      <c r="K324" s="51" t="s">
        <v>7926</v>
      </c>
      <c r="L324" s="51" t="n">
        <v>-19.8369515370764</v>
      </c>
      <c r="M324" s="51" t="n">
        <v>-43.9154840698026</v>
      </c>
      <c r="N324" s="51" t="n">
        <v>613567.641171021</v>
      </c>
      <c r="O324" s="51" t="n">
        <v>7806196.70407844</v>
      </c>
    </row>
    <row r="325" ht="28.5" customHeight="1">
      <c r="A325" s="51" t="s">
        <v>9043</v>
      </c>
      <c r="B325" s="51" t="s">
        <v>7922</v>
      </c>
      <c r="C325" s="51" t="s">
        <v>7921</v>
      </c>
      <c r="D325" s="51" t="s">
        <v>9044</v>
      </c>
      <c r="E325" s="51" t="s">
        <v>7923</v>
      </c>
      <c r="F325" s="51" t="s">
        <v>6721</v>
      </c>
      <c r="G325" s="51" t="s">
        <v>6722</v>
      </c>
      <c r="H325" s="51" t="s">
        <v>6723</v>
      </c>
      <c r="I325" s="51" t="s">
        <v>7924</v>
      </c>
      <c r="J325" s="51" t="s">
        <v>7925</v>
      </c>
      <c r="K325" s="51" t="s">
        <v>7926</v>
      </c>
      <c r="L325" s="51" t="n">
        <v>-19.8369515370764</v>
      </c>
      <c r="M325" s="51" t="n">
        <v>-43.9154840698026</v>
      </c>
      <c r="N325" s="51" t="n">
        <v>613567.641171021</v>
      </c>
      <c r="O325" s="51" t="n">
        <v>7806196.70407844</v>
      </c>
    </row>
    <row r="326" ht="28.5" customHeight="1">
      <c r="A326" s="51" t="s">
        <v>9045</v>
      </c>
      <c r="B326" s="51" t="s">
        <v>7922</v>
      </c>
      <c r="C326" s="51" t="s">
        <v>7921</v>
      </c>
      <c r="D326" s="51" t="s">
        <v>9046</v>
      </c>
      <c r="E326" s="51" t="s">
        <v>7923</v>
      </c>
      <c r="F326" s="51" t="s">
        <v>6721</v>
      </c>
      <c r="G326" s="51" t="s">
        <v>6722</v>
      </c>
      <c r="H326" s="51" t="s">
        <v>6723</v>
      </c>
      <c r="I326" s="51" t="s">
        <v>7924</v>
      </c>
      <c r="J326" s="51" t="s">
        <v>7925</v>
      </c>
      <c r="K326" s="51" t="s">
        <v>7926</v>
      </c>
      <c r="L326" s="51" t="n">
        <v>-19.8369515370764</v>
      </c>
      <c r="M326" s="51" t="n">
        <v>-43.9154840698026</v>
      </c>
      <c r="N326" s="51" t="n">
        <v>613567.641171021</v>
      </c>
      <c r="O326" s="51" t="n">
        <v>7806196.70407844</v>
      </c>
    </row>
    <row r="327" ht="28.5" customHeight="1">
      <c r="A327" s="51" t="s">
        <v>9047</v>
      </c>
      <c r="B327" s="51" t="s">
        <v>7922</v>
      </c>
      <c r="C327" s="51" t="s">
        <v>7921</v>
      </c>
      <c r="D327" s="51" t="s">
        <v>9048</v>
      </c>
      <c r="E327" s="51" t="s">
        <v>7923</v>
      </c>
      <c r="F327" s="51" t="s">
        <v>6721</v>
      </c>
      <c r="G327" s="51" t="s">
        <v>6722</v>
      </c>
      <c r="H327" s="51" t="s">
        <v>6723</v>
      </c>
      <c r="I327" s="51" t="s">
        <v>7924</v>
      </c>
      <c r="J327" s="51" t="s">
        <v>7925</v>
      </c>
      <c r="K327" s="51" t="s">
        <v>7926</v>
      </c>
      <c r="L327" s="51" t="n">
        <v>-19.8369515370764</v>
      </c>
      <c r="M327" s="51" t="n">
        <v>-43.9154840698026</v>
      </c>
      <c r="N327" s="51" t="n">
        <v>613567.641171021</v>
      </c>
      <c r="O327" s="51" t="n">
        <v>7806196.70407844</v>
      </c>
    </row>
    <row r="328" ht="28.5" customHeight="1">
      <c r="A328" s="51" t="s">
        <v>9049</v>
      </c>
      <c r="B328" s="51" t="s">
        <v>7922</v>
      </c>
      <c r="C328" s="51" t="s">
        <v>7921</v>
      </c>
      <c r="D328" s="51" t="s">
        <v>9050</v>
      </c>
      <c r="E328" s="51" t="s">
        <v>7923</v>
      </c>
      <c r="F328" s="51" t="s">
        <v>6721</v>
      </c>
      <c r="G328" s="51" t="s">
        <v>6722</v>
      </c>
      <c r="H328" s="51" t="s">
        <v>6723</v>
      </c>
      <c r="I328" s="51" t="s">
        <v>7924</v>
      </c>
      <c r="J328" s="51" t="s">
        <v>7925</v>
      </c>
      <c r="K328" s="51" t="s">
        <v>7926</v>
      </c>
      <c r="L328" s="51" t="n">
        <v>-19.8369515370764</v>
      </c>
      <c r="M328" s="51" t="n">
        <v>-43.9154840698026</v>
      </c>
      <c r="N328" s="51" t="n">
        <v>613567.641171021</v>
      </c>
      <c r="O328" s="51" t="n">
        <v>7806196.70407844</v>
      </c>
    </row>
    <row r="329" ht="28.5" customHeight="1">
      <c r="A329" s="51" t="s">
        <v>9051</v>
      </c>
      <c r="B329" s="51" t="s">
        <v>7922</v>
      </c>
      <c r="C329" s="51" t="s">
        <v>7921</v>
      </c>
      <c r="D329" s="51" t="s">
        <v>9052</v>
      </c>
      <c r="E329" s="51" t="s">
        <v>7923</v>
      </c>
      <c r="F329" s="51" t="s">
        <v>6721</v>
      </c>
      <c r="G329" s="51" t="s">
        <v>6722</v>
      </c>
      <c r="H329" s="51" t="s">
        <v>6723</v>
      </c>
      <c r="I329" s="51" t="s">
        <v>7924</v>
      </c>
      <c r="J329" s="51" t="s">
        <v>7925</v>
      </c>
      <c r="K329" s="51" t="s">
        <v>7926</v>
      </c>
      <c r="L329" s="51" t="n">
        <v>-19.8369515370764</v>
      </c>
      <c r="M329" s="51" t="n">
        <v>-43.9154840698026</v>
      </c>
      <c r="N329" s="51" t="n">
        <v>613567.641171021</v>
      </c>
      <c r="O329" s="51" t="n">
        <v>7806196.70407844</v>
      </c>
    </row>
    <row r="330" ht="28.5" customHeight="1">
      <c r="A330" s="51" t="s">
        <v>9053</v>
      </c>
      <c r="B330" s="51" t="s">
        <v>7922</v>
      </c>
      <c r="C330" s="51" t="s">
        <v>7921</v>
      </c>
      <c r="D330" s="51" t="s">
        <v>9054</v>
      </c>
      <c r="E330" s="51" t="s">
        <v>7923</v>
      </c>
      <c r="F330" s="51" t="s">
        <v>6721</v>
      </c>
      <c r="G330" s="51" t="s">
        <v>6722</v>
      </c>
      <c r="H330" s="51" t="s">
        <v>6723</v>
      </c>
      <c r="I330" s="51" t="s">
        <v>7924</v>
      </c>
      <c r="J330" s="51" t="s">
        <v>7925</v>
      </c>
      <c r="K330" s="51" t="s">
        <v>7926</v>
      </c>
      <c r="L330" s="51" t="n">
        <v>-19.8369515370764</v>
      </c>
      <c r="M330" s="51" t="n">
        <v>-43.9154840698026</v>
      </c>
      <c r="N330" s="51" t="n">
        <v>613567.641171021</v>
      </c>
      <c r="O330" s="51" t="n">
        <v>7806196.70407844</v>
      </c>
    </row>
    <row r="331" ht="28.5" customHeight="1">
      <c r="A331" s="51" t="s">
        <v>9055</v>
      </c>
      <c r="B331" s="51" t="s">
        <v>7922</v>
      </c>
      <c r="C331" s="51" t="s">
        <v>7921</v>
      </c>
      <c r="D331" s="51" t="s">
        <v>9056</v>
      </c>
      <c r="E331" s="51" t="s">
        <v>7923</v>
      </c>
      <c r="F331" s="51" t="s">
        <v>6721</v>
      </c>
      <c r="G331" s="51" t="s">
        <v>6722</v>
      </c>
      <c r="H331" s="51" t="s">
        <v>6723</v>
      </c>
      <c r="I331" s="51" t="s">
        <v>7924</v>
      </c>
      <c r="J331" s="51" t="s">
        <v>7925</v>
      </c>
      <c r="K331" s="51" t="s">
        <v>7926</v>
      </c>
      <c r="L331" s="51" t="n">
        <v>-19.8369515370764</v>
      </c>
      <c r="M331" s="51" t="n">
        <v>-43.9154840698026</v>
      </c>
      <c r="N331" s="51" t="n">
        <v>613567.641171021</v>
      </c>
      <c r="O331" s="51" t="n">
        <v>7806196.70407844</v>
      </c>
    </row>
    <row r="332" ht="28.5" customHeight="1">
      <c r="A332" s="51" t="s">
        <v>9057</v>
      </c>
      <c r="B332" s="51" t="s">
        <v>7922</v>
      </c>
      <c r="C332" s="51" t="s">
        <v>7921</v>
      </c>
      <c r="D332" s="51" t="s">
        <v>9058</v>
      </c>
      <c r="E332" s="51" t="s">
        <v>7923</v>
      </c>
      <c r="F332" s="51" t="s">
        <v>6721</v>
      </c>
      <c r="G332" s="51" t="s">
        <v>6722</v>
      </c>
      <c r="H332" s="51" t="s">
        <v>6723</v>
      </c>
      <c r="I332" s="51" t="s">
        <v>7924</v>
      </c>
      <c r="J332" s="51" t="s">
        <v>7925</v>
      </c>
      <c r="K332" s="51" t="s">
        <v>7926</v>
      </c>
      <c r="L332" s="51" t="n">
        <v>-19.8369515370764</v>
      </c>
      <c r="M332" s="51" t="n">
        <v>-43.9154840698026</v>
      </c>
      <c r="N332" s="51" t="n">
        <v>613567.641171021</v>
      </c>
      <c r="O332" s="51" t="n">
        <v>7806196.70407844</v>
      </c>
    </row>
    <row r="333" ht="28.5" customHeight="1">
      <c r="A333" s="51" t="s">
        <v>9059</v>
      </c>
      <c r="B333" s="51" t="s">
        <v>7922</v>
      </c>
      <c r="C333" s="51" t="s">
        <v>7921</v>
      </c>
      <c r="D333" s="51" t="s">
        <v>9060</v>
      </c>
      <c r="E333" s="51" t="s">
        <v>7923</v>
      </c>
      <c r="F333" s="51" t="s">
        <v>6721</v>
      </c>
      <c r="G333" s="51" t="s">
        <v>6722</v>
      </c>
      <c r="H333" s="51" t="s">
        <v>6723</v>
      </c>
      <c r="I333" s="51" t="s">
        <v>7924</v>
      </c>
      <c r="J333" s="51" t="s">
        <v>7925</v>
      </c>
      <c r="K333" s="51" t="s">
        <v>7926</v>
      </c>
      <c r="L333" s="51" t="n">
        <v>-19.8369515370764</v>
      </c>
      <c r="M333" s="51" t="n">
        <v>-43.9154840698026</v>
      </c>
      <c r="N333" s="51" t="n">
        <v>613567.641171021</v>
      </c>
      <c r="O333" s="51" t="n">
        <v>7806196.70407844</v>
      </c>
    </row>
    <row r="334" ht="28.5" customHeight="1">
      <c r="A334" s="51" t="s">
        <v>9061</v>
      </c>
      <c r="B334" s="51" t="s">
        <v>7922</v>
      </c>
      <c r="C334" s="51" t="s">
        <v>7921</v>
      </c>
      <c r="D334" s="51" t="s">
        <v>9062</v>
      </c>
      <c r="E334" s="51" t="s">
        <v>7923</v>
      </c>
      <c r="F334" s="51" t="s">
        <v>6721</v>
      </c>
      <c r="G334" s="51" t="s">
        <v>6722</v>
      </c>
      <c r="H334" s="51" t="s">
        <v>6723</v>
      </c>
      <c r="I334" s="51" t="s">
        <v>7924</v>
      </c>
      <c r="J334" s="51" t="s">
        <v>7925</v>
      </c>
      <c r="K334" s="51" t="s">
        <v>7926</v>
      </c>
      <c r="L334" s="51" t="n">
        <v>-19.8369515370764</v>
      </c>
      <c r="M334" s="51" t="n">
        <v>-43.9154840698026</v>
      </c>
      <c r="N334" s="51" t="n">
        <v>613567.641171021</v>
      </c>
      <c r="O334" s="51" t="n">
        <v>7806196.70407844</v>
      </c>
    </row>
    <row r="335" ht="28.5" customHeight="1">
      <c r="A335" s="51" t="s">
        <v>9063</v>
      </c>
      <c r="B335" s="51" t="s">
        <v>7928</v>
      </c>
      <c r="C335" s="51" t="s">
        <v>7927</v>
      </c>
      <c r="D335" s="51" t="s">
        <v>9064</v>
      </c>
      <c r="E335" s="51" t="s">
        <v>7929</v>
      </c>
      <c r="F335" s="51" t="s">
        <v>7583</v>
      </c>
      <c r="G335" s="51" t="s">
        <v>6583</v>
      </c>
      <c r="H335" s="51" t="s">
        <v>6766</v>
      </c>
      <c r="I335" s="51" t="s">
        <v>7930</v>
      </c>
      <c r="J335" s="51" t="s">
        <v>7931</v>
      </c>
      <c r="K335" s="51" t="s">
        <v>7932</v>
      </c>
      <c r="L335" s="51" t="n">
        <v>-19.911972</v>
      </c>
      <c r="M335" s="51" t="n">
        <v>-43.960914</v>
      </c>
      <c r="N335" s="51" t="n">
        <v>608758.731224078</v>
      </c>
      <c r="O335" s="51" t="n">
        <v>7797923.92281708</v>
      </c>
    </row>
    <row r="336" ht="28.5" customHeight="1">
      <c r="A336" s="51" t="s">
        <v>9065</v>
      </c>
      <c r="B336" s="51" t="s">
        <v>7934</v>
      </c>
      <c r="C336" s="51" t="s">
        <v>7933</v>
      </c>
      <c r="D336" s="51" t="s">
        <v>9066</v>
      </c>
      <c r="E336" s="51" t="s">
        <v>7935</v>
      </c>
      <c r="F336" s="51" t="s">
        <v>7936</v>
      </c>
      <c r="G336" s="51" t="s">
        <v>6660</v>
      </c>
      <c r="H336" s="51" t="s">
        <v>6661</v>
      </c>
      <c r="I336" s="51" t="s">
        <v>7937</v>
      </c>
      <c r="J336" s="51" t="s">
        <v>7938</v>
      </c>
      <c r="K336" s="51" t="s">
        <v>7939</v>
      </c>
      <c r="L336" s="51" t="n">
        <v>-19.9250989411369</v>
      </c>
      <c r="M336" s="51" t="n">
        <v>-43.9516210233684</v>
      </c>
      <c r="N336" s="51" t="n">
        <v>609722.431810366</v>
      </c>
      <c r="O336" s="51" t="n">
        <v>7796465.08493608</v>
      </c>
    </row>
    <row r="337" ht="28.5" customHeight="1">
      <c r="A337" s="51" t="s">
        <v>9067</v>
      </c>
      <c r="B337" s="51" t="s">
        <v>7941</v>
      </c>
      <c r="C337" s="51" t="s">
        <v>7940</v>
      </c>
      <c r="D337" s="51" t="s">
        <v>9068</v>
      </c>
      <c r="E337" s="51" t="s">
        <v>7942</v>
      </c>
      <c r="F337" s="51" t="s">
        <v>7943</v>
      </c>
      <c r="G337" s="51" t="s">
        <v>6660</v>
      </c>
      <c r="H337" s="51" t="s">
        <v>6845</v>
      </c>
      <c r="I337" s="51" t="s">
        <v>7944</v>
      </c>
      <c r="J337" s="51" t="s">
        <v>7945</v>
      </c>
      <c r="K337" s="51"/>
      <c r="L337" s="51" t="n">
        <v>-19.953717</v>
      </c>
      <c r="M337" s="51" t="n">
        <v>-43.93782</v>
      </c>
      <c r="N337" s="51" t="n">
        <v>611146.935756791</v>
      </c>
      <c r="O337" s="51" t="n">
        <v>7793288.7434885</v>
      </c>
    </row>
    <row r="338" ht="42.75" customHeight="1">
      <c r="A338" s="51" t="s">
        <v>9069</v>
      </c>
      <c r="B338" s="51" t="s">
        <v>7947</v>
      </c>
      <c r="C338" s="51" t="s">
        <v>7946</v>
      </c>
      <c r="D338" s="51" t="s">
        <v>9070</v>
      </c>
      <c r="E338" s="51" t="s">
        <v>7946</v>
      </c>
      <c r="F338" s="51" t="s">
        <v>7948</v>
      </c>
      <c r="G338" s="51" t="s">
        <v>6627</v>
      </c>
      <c r="H338" s="51" t="s">
        <v>6681</v>
      </c>
      <c r="I338" s="51" t="s">
        <v>7949</v>
      </c>
      <c r="J338" s="51" t="s">
        <v>7950</v>
      </c>
      <c r="K338" s="51"/>
      <c r="L338" s="51" t="n">
        <v>-19.9555716170067</v>
      </c>
      <c r="M338" s="51" t="n">
        <v>-43.9705658406528</v>
      </c>
      <c r="N338" s="51" t="n">
        <v>607718.8</v>
      </c>
      <c r="O338" s="51" t="n">
        <v>7793105</v>
      </c>
    </row>
    <row r="339" ht="28.5" customHeight="1">
      <c r="A339" s="51" t="s">
        <v>9071</v>
      </c>
      <c r="B339" s="51" t="s">
        <v>7952</v>
      </c>
      <c r="C339" s="51" t="s">
        <v>7951</v>
      </c>
      <c r="D339" s="51" t="s">
        <v>9072</v>
      </c>
      <c r="E339" s="51" t="s">
        <v>7953</v>
      </c>
      <c r="F339" s="51" t="s">
        <v>7954</v>
      </c>
      <c r="G339" s="51" t="s">
        <v>6611</v>
      </c>
      <c r="H339" s="51" t="s">
        <v>7187</v>
      </c>
      <c r="I339" s="51" t="s">
        <v>7955</v>
      </c>
      <c r="J339" s="51" t="s">
        <v>7956</v>
      </c>
      <c r="K339" s="51" t="s">
        <v>7957</v>
      </c>
      <c r="L339" s="51" t="n">
        <v>-19.854629</v>
      </c>
      <c r="M339" s="51" t="n">
        <v>-44.004522</v>
      </c>
      <c r="N339" s="51" t="n">
        <v>604231.524138854</v>
      </c>
      <c r="O339" s="51" t="n">
        <v>7804297.76286817</v>
      </c>
    </row>
    <row r="340" ht="28.5" customHeight="1">
      <c r="A340" s="51" t="s">
        <v>9073</v>
      </c>
      <c r="B340" s="51" t="s">
        <v>7952</v>
      </c>
      <c r="C340" s="51" t="s">
        <v>7951</v>
      </c>
      <c r="D340" s="51" t="s">
        <v>9074</v>
      </c>
      <c r="E340" s="51" t="s">
        <v>7953</v>
      </c>
      <c r="F340" s="51" t="s">
        <v>7954</v>
      </c>
      <c r="G340" s="51" t="s">
        <v>6611</v>
      </c>
      <c r="H340" s="51" t="s">
        <v>7187</v>
      </c>
      <c r="I340" s="51" t="s">
        <v>7955</v>
      </c>
      <c r="J340" s="51" t="s">
        <v>7956</v>
      </c>
      <c r="K340" s="51" t="s">
        <v>7957</v>
      </c>
      <c r="L340" s="51" t="n">
        <v>-19.854629</v>
      </c>
      <c r="M340" s="51" t="n">
        <v>-44.004522</v>
      </c>
      <c r="N340" s="51" t="n">
        <v>604231.524138854</v>
      </c>
      <c r="O340" s="51" t="n">
        <v>7804297.76286817</v>
      </c>
    </row>
    <row r="341" ht="28.5" customHeight="1">
      <c r="A341" s="51" t="s">
        <v>9075</v>
      </c>
      <c r="B341" s="51" t="s">
        <v>7952</v>
      </c>
      <c r="C341" s="51" t="s">
        <v>7951</v>
      </c>
      <c r="D341" s="51" t="s">
        <v>9076</v>
      </c>
      <c r="E341" s="51" t="s">
        <v>7953</v>
      </c>
      <c r="F341" s="51" t="s">
        <v>7954</v>
      </c>
      <c r="G341" s="51" t="s">
        <v>6611</v>
      </c>
      <c r="H341" s="51" t="s">
        <v>7187</v>
      </c>
      <c r="I341" s="51" t="s">
        <v>7955</v>
      </c>
      <c r="J341" s="51" t="s">
        <v>7956</v>
      </c>
      <c r="K341" s="51" t="s">
        <v>7957</v>
      </c>
      <c r="L341" s="51" t="n">
        <v>-19.854629</v>
      </c>
      <c r="M341" s="51" t="n">
        <v>-44.004522</v>
      </c>
      <c r="N341" s="51" t="n">
        <v>604231.524138854</v>
      </c>
      <c r="O341" s="51" t="n">
        <v>7804297.76286817</v>
      </c>
    </row>
    <row r="342" ht="28.5" customHeight="1">
      <c r="A342" s="51" t="s">
        <v>9077</v>
      </c>
      <c r="B342" s="51" t="s">
        <v>7959</v>
      </c>
      <c r="C342" s="51" t="s">
        <v>7958</v>
      </c>
      <c r="D342" s="51" t="s">
        <v>9078</v>
      </c>
      <c r="E342" s="51" t="s">
        <v>7960</v>
      </c>
      <c r="F342" s="51" t="s">
        <v>7583</v>
      </c>
      <c r="G342" s="51" t="s">
        <v>6583</v>
      </c>
      <c r="H342" s="51" t="s">
        <v>6766</v>
      </c>
      <c r="I342" s="51" t="s">
        <v>7961</v>
      </c>
      <c r="J342" s="51" t="s">
        <v>7962</v>
      </c>
      <c r="K342" s="51"/>
      <c r="L342" s="51" t="n">
        <v>-19.9155148240467</v>
      </c>
      <c r="M342" s="51" t="n">
        <v>-43.9681193145879</v>
      </c>
      <c r="N342" s="51" t="n">
        <v>608002.098867207</v>
      </c>
      <c r="O342" s="51" t="n">
        <v>7797536.47137433</v>
      </c>
    </row>
    <row r="343" ht="28.5" customHeight="1">
      <c r="A343" s="51" t="s">
        <v>9079</v>
      </c>
      <c r="B343" s="51" t="s">
        <v>7964</v>
      </c>
      <c r="C343" s="51" t="s">
        <v>7963</v>
      </c>
      <c r="D343" s="51" t="s">
        <v>9080</v>
      </c>
      <c r="E343" s="51" t="s">
        <v>7965</v>
      </c>
      <c r="F343" s="51" t="s">
        <v>7966</v>
      </c>
      <c r="G343" s="51" t="s">
        <v>6611</v>
      </c>
      <c r="H343" s="51" t="s">
        <v>7187</v>
      </c>
      <c r="I343" s="51" t="s">
        <v>7967</v>
      </c>
      <c r="J343" s="51" t="s">
        <v>6971</v>
      </c>
      <c r="K343" s="51" t="s">
        <v>7968</v>
      </c>
      <c r="L343" s="51" t="n">
        <v>-19.863837</v>
      </c>
      <c r="M343" s="51" t="n">
        <v>-43.977939</v>
      </c>
      <c r="N343" s="51" t="n">
        <v>607008.946795528</v>
      </c>
      <c r="O343" s="51" t="n">
        <v>7803262.04917345</v>
      </c>
    </row>
    <row r="344" ht="28.5" customHeight="1">
      <c r="A344" s="51" t="s">
        <v>9081</v>
      </c>
      <c r="B344" s="51" t="s">
        <v>7970</v>
      </c>
      <c r="C344" s="51" t="s">
        <v>7969</v>
      </c>
      <c r="D344" s="51" t="s">
        <v>9082</v>
      </c>
      <c r="E344" s="51" t="s">
        <v>7971</v>
      </c>
      <c r="F344" s="51" t="s">
        <v>7972</v>
      </c>
      <c r="G344" s="51" t="s">
        <v>6636</v>
      </c>
      <c r="H344" s="51" t="s">
        <v>6969</v>
      </c>
      <c r="I344" s="51" t="s">
        <v>7973</v>
      </c>
      <c r="J344" s="51" t="s">
        <v>7624</v>
      </c>
      <c r="K344" s="51" t="s">
        <v>7974</v>
      </c>
      <c r="L344" s="51" t="n">
        <v>-19.8308131499976</v>
      </c>
      <c r="M344" s="51" t="n">
        <v>-43.988113514479</v>
      </c>
      <c r="N344" s="51" t="n">
        <v>605965.514103208</v>
      </c>
      <c r="O344" s="51" t="n">
        <v>7806923.27333421</v>
      </c>
    </row>
    <row r="345" ht="28.5" customHeight="1">
      <c r="A345" s="51" t="s">
        <v>9083</v>
      </c>
      <c r="B345" s="51" t="s">
        <v>7976</v>
      </c>
      <c r="C345" s="51" t="s">
        <v>7975</v>
      </c>
      <c r="D345" s="51" t="s">
        <v>9084</v>
      </c>
      <c r="E345" s="51" t="s">
        <v>7977</v>
      </c>
      <c r="F345" s="51" t="s">
        <v>6626</v>
      </c>
      <c r="G345" s="51" t="s">
        <v>6627</v>
      </c>
      <c r="H345" s="51" t="s">
        <v>6628</v>
      </c>
      <c r="I345" s="51" t="s">
        <v>6662</v>
      </c>
      <c r="J345" s="51" t="s">
        <v>7978</v>
      </c>
      <c r="K345" s="51" t="s">
        <v>7979</v>
      </c>
      <c r="L345" s="51" t="n">
        <v>-19.9222114048623</v>
      </c>
      <c r="M345" s="51" t="n">
        <v>-43.9572946660983</v>
      </c>
      <c r="N345" s="51" t="n">
        <v>609130.564541896</v>
      </c>
      <c r="O345" s="51" t="n">
        <v>7796788.35133358</v>
      </c>
    </row>
    <row r="346" ht="28.5" customHeight="1">
      <c r="A346" s="51" t="s">
        <v>9085</v>
      </c>
      <c r="B346" s="51" t="s">
        <v>7981</v>
      </c>
      <c r="C346" s="51" t="s">
        <v>7980</v>
      </c>
      <c r="D346" s="51" t="s">
        <v>9086</v>
      </c>
      <c r="E346" s="51" t="s">
        <v>7982</v>
      </c>
      <c r="F346" s="51" t="s">
        <v>6765</v>
      </c>
      <c r="G346" s="51" t="s">
        <v>6583</v>
      </c>
      <c r="H346" s="51" t="s">
        <v>6766</v>
      </c>
      <c r="I346" s="51" t="s">
        <v>7983</v>
      </c>
      <c r="J346" s="51" t="s">
        <v>7984</v>
      </c>
      <c r="K346" s="51" t="s">
        <v>7985</v>
      </c>
      <c r="L346" s="51" t="n">
        <v>-19.919082</v>
      </c>
      <c r="M346" s="51" t="n">
        <v>-43.9748335</v>
      </c>
      <c r="N346" s="51" t="n">
        <v>607296.891847096</v>
      </c>
      <c r="O346" s="51" t="n">
        <v>7797145.98040639</v>
      </c>
    </row>
    <row r="347" ht="42.75" customHeight="1">
      <c r="A347" s="51" t="s">
        <v>9087</v>
      </c>
      <c r="B347" s="51" t="s">
        <v>7987</v>
      </c>
      <c r="C347" s="51" t="s">
        <v>7986</v>
      </c>
      <c r="D347" s="51" t="s">
        <v>9088</v>
      </c>
      <c r="E347" s="51" t="s">
        <v>7988</v>
      </c>
      <c r="F347" s="51" t="s">
        <v>6659</v>
      </c>
      <c r="G347" s="51" t="s">
        <v>6660</v>
      </c>
      <c r="H347" s="51" t="s">
        <v>6661</v>
      </c>
      <c r="I347" s="51" t="s">
        <v>7989</v>
      </c>
      <c r="J347" s="51" t="s">
        <v>6683</v>
      </c>
      <c r="K347" s="51" t="s">
        <v>7867</v>
      </c>
      <c r="L347" s="51" t="n">
        <v>-19.925516</v>
      </c>
      <c r="M347" s="51" t="n">
        <v>-43.92843</v>
      </c>
      <c r="N347" s="51" t="n">
        <v>612149.506307148</v>
      </c>
      <c r="O347" s="51" t="n">
        <v>7796403.6218478</v>
      </c>
    </row>
    <row r="348">
      <c r="A348" s="51" t="s">
        <v>9089</v>
      </c>
      <c r="B348" s="51" t="s">
        <v>7991</v>
      </c>
      <c r="C348" s="51" t="s">
        <v>7990</v>
      </c>
      <c r="D348" s="51" t="s">
        <v>9090</v>
      </c>
      <c r="E348" s="51" t="s">
        <v>7992</v>
      </c>
      <c r="F348" s="51" t="s">
        <v>7775</v>
      </c>
      <c r="G348" s="51" t="s">
        <v>6636</v>
      </c>
      <c r="H348" s="51" t="s">
        <v>6969</v>
      </c>
      <c r="I348" s="51" t="s">
        <v>7993</v>
      </c>
      <c r="J348" s="51" t="s">
        <v>7085</v>
      </c>
      <c r="K348" s="51" t="s">
        <v>7994</v>
      </c>
      <c r="L348" s="51" t="n">
        <v>-19.8114467740373</v>
      </c>
      <c r="M348" s="51" t="n">
        <v>-43.9986513134476</v>
      </c>
      <c r="N348" s="51" t="n">
        <v>604874.603070088</v>
      </c>
      <c r="O348" s="51" t="n">
        <v>7809073.14567575</v>
      </c>
    </row>
    <row r="349" ht="57" customHeight="1">
      <c r="A349" s="51" t="s">
        <v>9091</v>
      </c>
      <c r="B349" s="51" t="s">
        <v>7996</v>
      </c>
      <c r="C349" s="51" t="s">
        <v>7995</v>
      </c>
      <c r="D349" s="51" t="s">
        <v>9092</v>
      </c>
      <c r="E349" s="51" t="s">
        <v>7997</v>
      </c>
      <c r="F349" s="51" t="s">
        <v>7172</v>
      </c>
      <c r="G349" s="51" t="s">
        <v>6647</v>
      </c>
      <c r="H349" s="51" t="s">
        <v>6758</v>
      </c>
      <c r="I349" s="51" t="s">
        <v>7998</v>
      </c>
      <c r="J349" s="51" t="s">
        <v>7999</v>
      </c>
      <c r="K349" s="51"/>
      <c r="L349" s="51" t="n">
        <v>-19.9148884575551</v>
      </c>
      <c r="M349" s="51" t="n">
        <v>-43.8864271523599</v>
      </c>
      <c r="N349" s="51" t="n">
        <v>616553.694263462</v>
      </c>
      <c r="O349" s="51" t="n">
        <v>7797551.2526644</v>
      </c>
    </row>
    <row r="350" ht="28.5" customHeight="1">
      <c r="A350" s="51" t="s">
        <v>9093</v>
      </c>
      <c r="B350" s="51" t="s">
        <v>8001</v>
      </c>
      <c r="C350" s="51" t="s">
        <v>8000</v>
      </c>
      <c r="D350" s="51" t="s">
        <v>9094</v>
      </c>
      <c r="E350" s="51" t="s">
        <v>8002</v>
      </c>
      <c r="F350" s="51" t="s">
        <v>8003</v>
      </c>
      <c r="G350" s="51" t="s">
        <v>6722</v>
      </c>
      <c r="H350" s="51" t="s">
        <v>7083</v>
      </c>
      <c r="I350" s="51" t="s">
        <v>8004</v>
      </c>
      <c r="J350" s="51" t="s">
        <v>8005</v>
      </c>
      <c r="K350" s="51" t="s">
        <v>8006</v>
      </c>
      <c r="L350" s="51" t="n">
        <v>-19.814609</v>
      </c>
      <c r="M350" s="51" t="n">
        <v>-43.936092</v>
      </c>
      <c r="N350" s="51" t="n">
        <v>611425.013509265</v>
      </c>
      <c r="O350" s="51" t="n">
        <v>7808683.14401875</v>
      </c>
    </row>
    <row r="351" ht="28.5" customHeight="1">
      <c r="A351" s="51" t="s">
        <v>9095</v>
      </c>
      <c r="B351" s="51" t="s">
        <v>8008</v>
      </c>
      <c r="C351" s="51" t="s">
        <v>8007</v>
      </c>
      <c r="D351" s="51" t="s">
        <v>9096</v>
      </c>
      <c r="E351" s="51" t="s">
        <v>8009</v>
      </c>
      <c r="F351" s="51" t="s">
        <v>6877</v>
      </c>
      <c r="G351" s="51" t="s">
        <v>6794</v>
      </c>
      <c r="H351" s="51" t="s">
        <v>6878</v>
      </c>
      <c r="I351" s="51" t="s">
        <v>8010</v>
      </c>
      <c r="J351" s="51" t="s">
        <v>8011</v>
      </c>
      <c r="K351" s="51"/>
      <c r="L351" s="51" t="n">
        <v>-19.864397296123</v>
      </c>
      <c r="M351" s="51" t="n">
        <v>-43.9226555218134</v>
      </c>
      <c r="N351" s="51" t="n">
        <v>612797.2</v>
      </c>
      <c r="O351" s="51" t="n">
        <v>7803164</v>
      </c>
    </row>
    <row r="352" ht="28.5" customHeight="1">
      <c r="A352" s="51" t="s">
        <v>9097</v>
      </c>
      <c r="B352" s="51" t="s">
        <v>8013</v>
      </c>
      <c r="C352" s="51" t="s">
        <v>8012</v>
      </c>
      <c r="D352" s="51" t="s">
        <v>9098</v>
      </c>
      <c r="E352" s="51" t="s">
        <v>8014</v>
      </c>
      <c r="F352" s="51" t="s">
        <v>8015</v>
      </c>
      <c r="G352" s="51" t="s">
        <v>6636</v>
      </c>
      <c r="H352" s="51" t="s">
        <v>6674</v>
      </c>
      <c r="I352" s="51" t="s">
        <v>8016</v>
      </c>
      <c r="J352" s="51" t="s">
        <v>8017</v>
      </c>
      <c r="K352" s="51" t="s">
        <v>8018</v>
      </c>
      <c r="L352" s="51" t="n">
        <v>-19.801816</v>
      </c>
      <c r="M352" s="51" t="n">
        <v>-43.965662</v>
      </c>
      <c r="N352" s="51" t="n">
        <v>608336.491473126</v>
      </c>
      <c r="O352" s="51" t="n">
        <v>7810118.19203184</v>
      </c>
    </row>
    <row r="353" ht="28.5" customHeight="1">
      <c r="A353" s="51" t="s">
        <v>9099</v>
      </c>
      <c r="B353" s="51" t="s">
        <v>8020</v>
      </c>
      <c r="C353" s="51" t="s">
        <v>8019</v>
      </c>
      <c r="D353" s="51" t="s">
        <v>9100</v>
      </c>
      <c r="E353" s="51" t="s">
        <v>8021</v>
      </c>
      <c r="F353" s="51" t="s">
        <v>7936</v>
      </c>
      <c r="G353" s="51" t="s">
        <v>6660</v>
      </c>
      <c r="H353" s="51" t="s">
        <v>6661</v>
      </c>
      <c r="I353" s="51" t="s">
        <v>8022</v>
      </c>
      <c r="J353" s="51" t="s">
        <v>8023</v>
      </c>
      <c r="K353" s="51" t="s">
        <v>8024</v>
      </c>
      <c r="L353" s="51" t="n">
        <v>-19.931472</v>
      </c>
      <c r="M353" s="51" t="n">
        <v>-43.952303</v>
      </c>
      <c r="N353" s="51" t="n">
        <v>609646.654060725</v>
      </c>
      <c r="O353" s="51" t="n">
        <v>7795760.20177446</v>
      </c>
    </row>
    <row r="354" ht="57" customHeight="1">
      <c r="A354" s="51" t="s">
        <v>9101</v>
      </c>
      <c r="B354" s="51" t="s">
        <v>8026</v>
      </c>
      <c r="C354" s="51" t="s">
        <v>8025</v>
      </c>
      <c r="D354" s="51" t="s">
        <v>9102</v>
      </c>
      <c r="E354" s="51" t="s">
        <v>8025</v>
      </c>
      <c r="F354" s="51" t="s">
        <v>7153</v>
      </c>
      <c r="G354" s="51" t="s">
        <v>6627</v>
      </c>
      <c r="H354" s="51" t="s">
        <v>6628</v>
      </c>
      <c r="I354" s="51" t="s">
        <v>6709</v>
      </c>
      <c r="J354" s="51" t="s">
        <v>8027</v>
      </c>
      <c r="K354" s="51"/>
      <c r="L354" s="51" t="n">
        <v>-19.9336873089653</v>
      </c>
      <c r="M354" s="51" t="n">
        <v>-43.9823101590372</v>
      </c>
      <c r="N354" s="51" t="n">
        <v>606504.513214444</v>
      </c>
      <c r="O354" s="51" t="n">
        <v>7795534.32682324</v>
      </c>
    </row>
    <row r="355">
      <c r="A355" s="51" t="s">
        <v>9103</v>
      </c>
      <c r="B355" s="51" t="s">
        <v>8029</v>
      </c>
      <c r="C355" s="51" t="s">
        <v>8028</v>
      </c>
      <c r="D355" s="51" t="s">
        <v>9104</v>
      </c>
      <c r="E355" s="51" t="s">
        <v>8030</v>
      </c>
      <c r="F355" s="51" t="s">
        <v>6913</v>
      </c>
      <c r="G355" s="51" t="s">
        <v>6627</v>
      </c>
      <c r="H355" s="51" t="s">
        <v>6681</v>
      </c>
      <c r="I355" s="51" t="s">
        <v>8031</v>
      </c>
      <c r="J355" s="51" t="s">
        <v>8032</v>
      </c>
      <c r="K355" s="51"/>
      <c r="L355" s="51" t="n">
        <v>-19.96441</v>
      </c>
      <c r="M355" s="51" t="n">
        <v>-43.995917</v>
      </c>
      <c r="N355" s="51" t="n">
        <v>605060.068140053</v>
      </c>
      <c r="O355" s="51" t="n">
        <v>7792142.73704702</v>
      </c>
    </row>
    <row r="356" ht="28.5" customHeight="1">
      <c r="A356" s="51" t="s">
        <v>9105</v>
      </c>
      <c r="B356" s="51" t="s">
        <v>8034</v>
      </c>
      <c r="C356" s="51" t="s">
        <v>8033</v>
      </c>
      <c r="D356" s="51" t="s">
        <v>9106</v>
      </c>
      <c r="E356" s="51" t="s">
        <v>8035</v>
      </c>
      <c r="F356" s="51" t="s">
        <v>8036</v>
      </c>
      <c r="G356" s="51" t="s">
        <v>6689</v>
      </c>
      <c r="H356" s="51" t="s">
        <v>7475</v>
      </c>
      <c r="I356" s="51" t="s">
        <v>8037</v>
      </c>
      <c r="J356" s="51" t="s">
        <v>7509</v>
      </c>
      <c r="K356" s="51"/>
      <c r="L356" s="51" t="n">
        <v>-19.991926</v>
      </c>
      <c r="M356" s="51" t="n">
        <v>-44.01574</v>
      </c>
      <c r="N356" s="51" t="n">
        <v>602967.896753147</v>
      </c>
      <c r="O356" s="51" t="n">
        <v>7789109.76735568</v>
      </c>
    </row>
    <row r="357" ht="28.5" customHeight="1">
      <c r="A357" s="51" t="s">
        <v>9107</v>
      </c>
      <c r="B357" s="51" t="s">
        <v>8039</v>
      </c>
      <c r="C357" s="51" t="s">
        <v>8038</v>
      </c>
      <c r="D357" s="51" t="s">
        <v>9108</v>
      </c>
      <c r="E357" s="51" t="s">
        <v>8040</v>
      </c>
      <c r="F357" s="51" t="s">
        <v>7076</v>
      </c>
      <c r="G357" s="51" t="s">
        <v>6689</v>
      </c>
      <c r="H357" s="51" t="s">
        <v>6690</v>
      </c>
      <c r="I357" s="51" t="s">
        <v>7077</v>
      </c>
      <c r="J357" s="51" t="s">
        <v>8041</v>
      </c>
      <c r="K357" s="51" t="s">
        <v>8042</v>
      </c>
      <c r="L357" s="51" t="n">
        <v>-20.0197272490317</v>
      </c>
      <c r="M357" s="51" t="n">
        <v>-44.0314044853169</v>
      </c>
      <c r="N357" s="51" t="n">
        <v>601311.245939892</v>
      </c>
      <c r="O357" s="51" t="n">
        <v>7786042.4894801</v>
      </c>
    </row>
    <row r="358" ht="28.5" customHeight="1">
      <c r="A358" s="51" t="s">
        <v>9109</v>
      </c>
      <c r="B358" s="51" t="s">
        <v>8044</v>
      </c>
      <c r="C358" s="51" t="s">
        <v>8043</v>
      </c>
      <c r="D358" s="51" t="s">
        <v>9110</v>
      </c>
      <c r="E358" s="51" t="s">
        <v>8045</v>
      </c>
      <c r="F358" s="51" t="s">
        <v>8046</v>
      </c>
      <c r="G358" s="51" t="s">
        <v>6689</v>
      </c>
      <c r="H358" s="51" t="s">
        <v>6857</v>
      </c>
      <c r="I358" s="51" t="s">
        <v>8047</v>
      </c>
      <c r="J358" s="51" t="s">
        <v>8048</v>
      </c>
      <c r="K358" s="51"/>
      <c r="L358" s="51" t="n">
        <v>-19.9976573779843</v>
      </c>
      <c r="M358" s="51" t="n">
        <v>-44.0112731187928</v>
      </c>
      <c r="N358" s="51" t="n">
        <v>603431.489960453</v>
      </c>
      <c r="O358" s="51" t="n">
        <v>7788472.70931244</v>
      </c>
    </row>
    <row r="359" ht="42.75" customHeight="1">
      <c r="A359" s="51" t="s">
        <v>9111</v>
      </c>
      <c r="B359" s="51" t="s">
        <v>8050</v>
      </c>
      <c r="C359" s="51" t="s">
        <v>8049</v>
      </c>
      <c r="D359" s="51" t="s">
        <v>9112</v>
      </c>
      <c r="E359" s="51" t="s">
        <v>8051</v>
      </c>
      <c r="F359" s="51" t="s">
        <v>8052</v>
      </c>
      <c r="G359" s="51" t="s">
        <v>6689</v>
      </c>
      <c r="H359" s="51" t="s">
        <v>6690</v>
      </c>
      <c r="I359" s="51" t="s">
        <v>8053</v>
      </c>
      <c r="J359" s="51" t="s">
        <v>7787</v>
      </c>
      <c r="K359" s="51"/>
      <c r="L359" s="51" t="n">
        <v>-20.011824</v>
      </c>
      <c r="M359" s="51" t="n">
        <v>-44.021076</v>
      </c>
      <c r="N359" s="51" t="n">
        <v>602396.8</v>
      </c>
      <c r="O359" s="51" t="n">
        <v>7786911</v>
      </c>
    </row>
    <row r="360" ht="42.75" customHeight="1">
      <c r="A360" s="51" t="s">
        <v>9113</v>
      </c>
      <c r="B360" s="51" t="s">
        <v>8055</v>
      </c>
      <c r="C360" s="51" t="s">
        <v>8054</v>
      </c>
      <c r="D360" s="51" t="s">
        <v>9114</v>
      </c>
      <c r="E360" s="51" t="s">
        <v>8056</v>
      </c>
      <c r="F360" s="51" t="s">
        <v>8057</v>
      </c>
      <c r="G360" s="51" t="s">
        <v>6794</v>
      </c>
      <c r="H360" s="51" t="s">
        <v>6900</v>
      </c>
      <c r="I360" s="51" t="s">
        <v>8054</v>
      </c>
      <c r="J360" s="51"/>
      <c r="K360" s="51"/>
      <c r="L360" s="51" t="n">
        <v>-19.9087046420358</v>
      </c>
      <c r="M360" s="51" t="n">
        <v>-43.9366792895603</v>
      </c>
      <c r="N360" s="51" t="n">
        <v>611297.8</v>
      </c>
      <c r="O360" s="51" t="n">
        <v>7798270</v>
      </c>
    </row>
    <row r="361" ht="28.5" customHeight="1">
      <c r="A361" s="51" t="s">
        <v>9115</v>
      </c>
      <c r="B361" s="51" t="s">
        <v>8059</v>
      </c>
      <c r="C361" s="51" t="s">
        <v>8058</v>
      </c>
      <c r="D361" s="51" t="s">
        <v>9116</v>
      </c>
      <c r="E361" s="51" t="s">
        <v>8060</v>
      </c>
      <c r="F361" s="51" t="s">
        <v>7057</v>
      </c>
      <c r="G361" s="51" t="s">
        <v>6627</v>
      </c>
      <c r="H361" s="51" t="s">
        <v>6681</v>
      </c>
      <c r="I361" s="51" t="s">
        <v>8061</v>
      </c>
      <c r="J361" s="51"/>
      <c r="K361" s="51" t="s">
        <v>8062</v>
      </c>
      <c r="L361" s="51" t="n">
        <v>-19.964702780573</v>
      </c>
      <c r="M361" s="51" t="n">
        <v>-43.9724538768839</v>
      </c>
      <c r="N361" s="51" t="n">
        <v>607515.1</v>
      </c>
      <c r="O361" s="51" t="n">
        <v>7792095</v>
      </c>
    </row>
    <row r="362" ht="28.5" customHeight="1">
      <c r="A362" s="51" t="s">
        <v>9117</v>
      </c>
      <c r="B362" s="51" t="s">
        <v>8059</v>
      </c>
      <c r="C362" s="51" t="s">
        <v>8058</v>
      </c>
      <c r="D362" s="51" t="s">
        <v>9118</v>
      </c>
      <c r="E362" s="51" t="s">
        <v>8060</v>
      </c>
      <c r="F362" s="51" t="s">
        <v>7057</v>
      </c>
      <c r="G362" s="51" t="s">
        <v>6627</v>
      </c>
      <c r="H362" s="51" t="s">
        <v>6681</v>
      </c>
      <c r="I362" s="51" t="s">
        <v>8061</v>
      </c>
      <c r="J362" s="51"/>
      <c r="K362" s="51" t="s">
        <v>8062</v>
      </c>
      <c r="L362" s="51" t="n">
        <v>-19.964702780573</v>
      </c>
      <c r="M362" s="51" t="n">
        <v>-43.9724538768839</v>
      </c>
      <c r="N362" s="51" t="n">
        <v>607515.1</v>
      </c>
      <c r="O362" s="51" t="n">
        <v>7792095</v>
      </c>
    </row>
    <row r="363" ht="28.5" customHeight="1">
      <c r="A363" s="51" t="s">
        <v>9119</v>
      </c>
      <c r="B363" s="51" t="s">
        <v>8059</v>
      </c>
      <c r="C363" s="51" t="s">
        <v>8058</v>
      </c>
      <c r="D363" s="51" t="s">
        <v>9120</v>
      </c>
      <c r="E363" s="51" t="s">
        <v>8060</v>
      </c>
      <c r="F363" s="51" t="s">
        <v>7057</v>
      </c>
      <c r="G363" s="51" t="s">
        <v>6627</v>
      </c>
      <c r="H363" s="51" t="s">
        <v>6681</v>
      </c>
      <c r="I363" s="51" t="s">
        <v>8061</v>
      </c>
      <c r="J363" s="51"/>
      <c r="K363" s="51" t="s">
        <v>8062</v>
      </c>
      <c r="L363" s="51" t="n">
        <v>-19.964702780573</v>
      </c>
      <c r="M363" s="51" t="n">
        <v>-43.9724538768839</v>
      </c>
      <c r="N363" s="51" t="n">
        <v>607515.1</v>
      </c>
      <c r="O363" s="51" t="n">
        <v>7792095</v>
      </c>
    </row>
    <row r="364" ht="42.75" customHeight="1">
      <c r="A364" s="51" t="s">
        <v>9121</v>
      </c>
      <c r="B364" s="51" t="s">
        <v>8064</v>
      </c>
      <c r="C364" s="51" t="s">
        <v>8063</v>
      </c>
      <c r="D364" s="51" t="s">
        <v>9122</v>
      </c>
      <c r="E364" s="51" t="s">
        <v>8065</v>
      </c>
      <c r="F364" s="51" t="s">
        <v>6765</v>
      </c>
      <c r="G364" s="51" t="s">
        <v>6583</v>
      </c>
      <c r="H364" s="51" t="s">
        <v>6766</v>
      </c>
      <c r="I364" s="51" t="s">
        <v>8066</v>
      </c>
      <c r="J364" s="51" t="s">
        <v>8067</v>
      </c>
      <c r="K364" s="51"/>
      <c r="L364" s="51" t="n">
        <v>-19.9123749836097</v>
      </c>
      <c r="M364" s="51" t="n">
        <v>-43.9807070261274</v>
      </c>
      <c r="N364" s="51" t="n">
        <v>606686.6</v>
      </c>
      <c r="O364" s="51" t="n">
        <v>7797892</v>
      </c>
    </row>
    <row r="365" ht="42.75" customHeight="1">
      <c r="A365" s="51" t="s">
        <v>9123</v>
      </c>
      <c r="B365" s="51" t="s">
        <v>8069</v>
      </c>
      <c r="C365" s="51" t="s">
        <v>8068</v>
      </c>
      <c r="D365" s="51" t="s">
        <v>9124</v>
      </c>
      <c r="E365" s="51" t="s">
        <v>8070</v>
      </c>
      <c r="F365" s="51" t="s">
        <v>8071</v>
      </c>
      <c r="G365" s="51" t="s">
        <v>6660</v>
      </c>
      <c r="H365" s="51" t="s">
        <v>6661</v>
      </c>
      <c r="I365" s="51" t="s">
        <v>8068</v>
      </c>
      <c r="J365" s="51"/>
      <c r="K365" s="51"/>
      <c r="L365" s="51" t="n">
        <v>-19.9106901766127</v>
      </c>
      <c r="M365" s="51" t="n">
        <v>-43.9304726166703</v>
      </c>
      <c r="N365" s="51" t="n">
        <v>611946.1</v>
      </c>
      <c r="O365" s="51" t="n">
        <v>7798046</v>
      </c>
    </row>
    <row r="366" ht="28.5" customHeight="1">
      <c r="A366" s="51" t="s">
        <v>9125</v>
      </c>
      <c r="B366" s="51" t="s">
        <v>8073</v>
      </c>
      <c r="C366" s="51" t="s">
        <v>8072</v>
      </c>
      <c r="D366" s="51" t="s">
        <v>9126</v>
      </c>
      <c r="E366" s="51" t="s">
        <v>8072</v>
      </c>
      <c r="F366" s="51" t="s">
        <v>7141</v>
      </c>
      <c r="G366" s="51" t="s">
        <v>6689</v>
      </c>
      <c r="H366" s="51" t="s">
        <v>6995</v>
      </c>
      <c r="I366" s="51" t="s">
        <v>8074</v>
      </c>
      <c r="J366" s="51"/>
      <c r="K366" s="51"/>
      <c r="L366" s="51" t="n">
        <v>-19.9767497448002</v>
      </c>
      <c r="M366" s="51" t="n">
        <v>-43.9991248570624</v>
      </c>
      <c r="N366" s="51" t="n">
        <v>604716.2</v>
      </c>
      <c r="O366" s="51" t="n">
        <v>7790779</v>
      </c>
    </row>
    <row r="367" ht="42.75" customHeight="1">
      <c r="A367" s="51" t="s">
        <v>9127</v>
      </c>
      <c r="B367" s="51" t="s">
        <v>8076</v>
      </c>
      <c r="C367" s="51" t="s">
        <v>8075</v>
      </c>
      <c r="D367" s="51" t="s">
        <v>9128</v>
      </c>
      <c r="E367" s="51" t="s">
        <v>8077</v>
      </c>
      <c r="F367" s="51" t="s">
        <v>7381</v>
      </c>
      <c r="G367" s="51" t="s">
        <v>6689</v>
      </c>
      <c r="H367" s="51" t="s">
        <v>6690</v>
      </c>
      <c r="I367" s="51" t="s">
        <v>8078</v>
      </c>
      <c r="J367" s="51"/>
      <c r="K367" s="51"/>
      <c r="L367" s="51" t="n">
        <v>-20.0081744979252</v>
      </c>
      <c r="M367" s="51" t="n">
        <v>-44.0402195495876</v>
      </c>
      <c r="N367" s="51" t="n">
        <v>600396.5</v>
      </c>
      <c r="O367" s="51" t="n">
        <v>7787326</v>
      </c>
    </row>
    <row r="368" ht="42.75" customHeight="1">
      <c r="A368" s="51" t="s">
        <v>9129</v>
      </c>
      <c r="B368" s="51" t="s">
        <v>8076</v>
      </c>
      <c r="C368" s="51" t="s">
        <v>8075</v>
      </c>
      <c r="D368" s="51" t="s">
        <v>9130</v>
      </c>
      <c r="E368" s="51" t="s">
        <v>8077</v>
      </c>
      <c r="F368" s="51" t="s">
        <v>7381</v>
      </c>
      <c r="G368" s="51" t="s">
        <v>6689</v>
      </c>
      <c r="H368" s="51" t="s">
        <v>6690</v>
      </c>
      <c r="I368" s="51" t="s">
        <v>8078</v>
      </c>
      <c r="J368" s="51"/>
      <c r="K368" s="51"/>
      <c r="L368" s="51" t="n">
        <v>-20.0081744979252</v>
      </c>
      <c r="M368" s="51" t="n">
        <v>-44.0402195495876</v>
      </c>
      <c r="N368" s="51" t="n">
        <v>600396.5</v>
      </c>
      <c r="O368" s="51" t="n">
        <v>7787326</v>
      </c>
    </row>
    <row r="369" ht="42.75" customHeight="1">
      <c r="A369" s="51" t="s">
        <v>9131</v>
      </c>
      <c r="B369" s="51" t="s">
        <v>8080</v>
      </c>
      <c r="C369" s="51" t="s">
        <v>8079</v>
      </c>
      <c r="D369" s="51" t="s">
        <v>9132</v>
      </c>
      <c r="E369" s="51" t="s">
        <v>8081</v>
      </c>
      <c r="F369" s="51" t="s">
        <v>8082</v>
      </c>
      <c r="G369" s="51" t="s">
        <v>6689</v>
      </c>
      <c r="H369" s="51" t="s">
        <v>7003</v>
      </c>
      <c r="I369" s="51" t="s">
        <v>8079</v>
      </c>
      <c r="J369" s="51"/>
      <c r="K369" s="51"/>
      <c r="L369" s="51" t="n">
        <v>-19.9874106408794</v>
      </c>
      <c r="M369" s="51" t="n">
        <v>-44.0519978830764</v>
      </c>
      <c r="N369" s="51" t="n">
        <v>599177.3</v>
      </c>
      <c r="O369" s="51" t="n">
        <v>7789631</v>
      </c>
    </row>
    <row r="370" ht="28.5" customHeight="1">
      <c r="A370" s="51" t="s">
        <v>9133</v>
      </c>
      <c r="B370" s="51" t="s">
        <v>8084</v>
      </c>
      <c r="C370" s="51" t="s">
        <v>8083</v>
      </c>
      <c r="D370" s="51" t="s">
        <v>9134</v>
      </c>
      <c r="E370" s="51" t="s">
        <v>8085</v>
      </c>
      <c r="F370" s="51" t="s">
        <v>8086</v>
      </c>
      <c r="G370" s="51" t="s">
        <v>6647</v>
      </c>
      <c r="H370" s="51" t="s">
        <v>6758</v>
      </c>
      <c r="I370" s="51" t="s">
        <v>8083</v>
      </c>
      <c r="J370" s="51"/>
      <c r="K370" s="51"/>
      <c r="L370" s="51" t="n">
        <v>-19.920874243278</v>
      </c>
      <c r="M370" s="51" t="n">
        <v>-43.8810596292837</v>
      </c>
      <c r="N370" s="51" t="n">
        <v>617111.1</v>
      </c>
      <c r="O370" s="51" t="n">
        <v>7796885</v>
      </c>
    </row>
    <row r="371" ht="28.5" customHeight="1">
      <c r="A371" s="51" t="s">
        <v>9135</v>
      </c>
      <c r="B371" s="51" t="s">
        <v>8088</v>
      </c>
      <c r="C371" s="51" t="s">
        <v>8087</v>
      </c>
      <c r="D371" s="51" t="s">
        <v>9136</v>
      </c>
      <c r="E371" s="51" t="s">
        <v>8087</v>
      </c>
      <c r="F371" s="51" t="s">
        <v>7749</v>
      </c>
      <c r="G371" s="51" t="s">
        <v>6722</v>
      </c>
      <c r="H371" s="51" t="s">
        <v>6817</v>
      </c>
      <c r="I371" s="51" t="s">
        <v>8089</v>
      </c>
      <c r="J371" s="51"/>
      <c r="K371" s="51"/>
      <c r="L371" s="51" t="n">
        <v>-19.8319744242746</v>
      </c>
      <c r="M371" s="51" t="n">
        <v>-43.9470260856918</v>
      </c>
      <c r="N371" s="51" t="n">
        <v>610267.8</v>
      </c>
      <c r="O371" s="51" t="n">
        <v>7806768</v>
      </c>
    </row>
    <row r="372" ht="42.75" customHeight="1">
      <c r="A372" s="51" t="s">
        <v>9137</v>
      </c>
      <c r="B372" s="51" t="s">
        <v>8091</v>
      </c>
      <c r="C372" s="51" t="s">
        <v>8090</v>
      </c>
      <c r="D372" s="51" t="s">
        <v>9138</v>
      </c>
      <c r="E372" s="51" t="s">
        <v>8092</v>
      </c>
      <c r="F372" s="51" t="s">
        <v>6899</v>
      </c>
      <c r="G372" s="51" t="s">
        <v>6794</v>
      </c>
      <c r="H372" s="51" t="s">
        <v>6900</v>
      </c>
      <c r="I372" s="51" t="s">
        <v>8090</v>
      </c>
      <c r="J372" s="51"/>
      <c r="K372" s="51"/>
      <c r="L372" s="51" t="n">
        <v>-19.8983631289024</v>
      </c>
      <c r="M372" s="51" t="n">
        <v>-43.9447134706963</v>
      </c>
      <c r="N372" s="51" t="n">
        <v>610464</v>
      </c>
      <c r="O372" s="51" t="n">
        <v>7799420</v>
      </c>
    </row>
    <row r="373" ht="42.75" customHeight="1">
      <c r="A373" s="51" t="s">
        <v>9139</v>
      </c>
      <c r="B373" s="51" t="s">
        <v>8094</v>
      </c>
      <c r="C373" s="51" t="s">
        <v>8093</v>
      </c>
      <c r="D373" s="51" t="s">
        <v>9140</v>
      </c>
      <c r="E373" s="51" t="s">
        <v>8095</v>
      </c>
      <c r="F373" s="51" t="s">
        <v>8057</v>
      </c>
      <c r="G373" s="51" t="s">
        <v>6794</v>
      </c>
      <c r="H373" s="51" t="s">
        <v>6900</v>
      </c>
      <c r="I373" s="51" t="s">
        <v>8093</v>
      </c>
      <c r="J373" s="51"/>
      <c r="K373" s="51"/>
      <c r="L373" s="51" t="n">
        <v>-19.9067483042216</v>
      </c>
      <c r="M373" s="51" t="n">
        <v>-43.9388810354147</v>
      </c>
      <c r="N373" s="51" t="n">
        <v>611068.7</v>
      </c>
      <c r="O373" s="51" t="n">
        <v>7798488</v>
      </c>
    </row>
    <row r="374" ht="42.75" customHeight="1">
      <c r="A374" s="51" t="s">
        <v>9141</v>
      </c>
      <c r="B374" s="51" t="s">
        <v>8097</v>
      </c>
      <c r="C374" s="51" t="s">
        <v>8096</v>
      </c>
      <c r="D374" s="51" t="s">
        <v>9142</v>
      </c>
      <c r="E374" s="51" t="s">
        <v>8098</v>
      </c>
      <c r="F374" s="51" t="s">
        <v>6856</v>
      </c>
      <c r="G374" s="51" t="s">
        <v>6689</v>
      </c>
      <c r="H374" s="51" t="s">
        <v>6857</v>
      </c>
      <c r="I374" s="51" t="s">
        <v>8096</v>
      </c>
      <c r="J374" s="51"/>
      <c r="K374" s="51"/>
      <c r="L374" s="51" t="n">
        <v>-19.9985675144426</v>
      </c>
      <c r="M374" s="51" t="n">
        <v>-43.993064611549</v>
      </c>
      <c r="N374" s="51" t="n">
        <v>605335.8</v>
      </c>
      <c r="O374" s="51" t="n">
        <v>7788361</v>
      </c>
    </row>
    <row r="375" ht="42.75" customHeight="1">
      <c r="A375" s="51" t="s">
        <v>9143</v>
      </c>
      <c r="B375" s="51" t="s">
        <v>8100</v>
      </c>
      <c r="C375" s="51" t="s">
        <v>8099</v>
      </c>
      <c r="D375" s="51" t="s">
        <v>9144</v>
      </c>
      <c r="E375" s="51" t="s">
        <v>8101</v>
      </c>
      <c r="F375" s="51" t="s">
        <v>7381</v>
      </c>
      <c r="G375" s="51" t="s">
        <v>6689</v>
      </c>
      <c r="H375" s="51" t="s">
        <v>6690</v>
      </c>
      <c r="I375" s="51" t="s">
        <v>8099</v>
      </c>
      <c r="J375" s="51"/>
      <c r="K375" s="51"/>
      <c r="L375" s="51" t="n">
        <v>-20.0069520911996</v>
      </c>
      <c r="M375" s="51" t="n">
        <v>-44.0391256475274</v>
      </c>
      <c r="N375" s="51" t="n">
        <v>600511.7</v>
      </c>
      <c r="O375" s="51" t="n">
        <v>7787461</v>
      </c>
    </row>
    <row r="376" ht="57" customHeight="1">
      <c r="A376" s="51" t="s">
        <v>9145</v>
      </c>
      <c r="B376" s="51" t="s">
        <v>8103</v>
      </c>
      <c r="C376" s="51" t="s">
        <v>8102</v>
      </c>
      <c r="D376" s="51" t="s">
        <v>9146</v>
      </c>
      <c r="E376" s="51" t="s">
        <v>8104</v>
      </c>
      <c r="F376" s="51" t="s">
        <v>7381</v>
      </c>
      <c r="G376" s="51" t="s">
        <v>6689</v>
      </c>
      <c r="H376" s="51" t="s">
        <v>6690</v>
      </c>
      <c r="I376" s="51" t="s">
        <v>8102</v>
      </c>
      <c r="J376" s="51"/>
      <c r="K376" s="51"/>
      <c r="L376" s="51" t="n">
        <v>-20.0107725292295</v>
      </c>
      <c r="M376" s="51" t="n">
        <v>-44.0378871898494</v>
      </c>
      <c r="N376" s="51" t="n">
        <v>600638.8</v>
      </c>
      <c r="O376" s="51" t="n">
        <v>7787037</v>
      </c>
    </row>
    <row r="377" ht="57" customHeight="1">
      <c r="A377" s="51" t="s">
        <v>9147</v>
      </c>
      <c r="B377" s="51" t="s">
        <v>8106</v>
      </c>
      <c r="C377" s="51" t="s">
        <v>8105</v>
      </c>
      <c r="D377" s="51" t="s">
        <v>9148</v>
      </c>
      <c r="E377" s="51" t="s">
        <v>8105</v>
      </c>
      <c r="F377" s="51" t="s">
        <v>7381</v>
      </c>
      <c r="G377" s="51" t="s">
        <v>6689</v>
      </c>
      <c r="H377" s="51" t="s">
        <v>6690</v>
      </c>
      <c r="I377" s="51" t="s">
        <v>8105</v>
      </c>
      <c r="J377" s="51"/>
      <c r="K377" s="51"/>
      <c r="L377" s="51" t="n">
        <v>-20.0096731293188</v>
      </c>
      <c r="M377" s="51" t="n">
        <v>-44.0386560969088</v>
      </c>
      <c r="N377" s="51" t="n">
        <v>600559.1</v>
      </c>
      <c r="O377" s="51" t="n">
        <v>7787160</v>
      </c>
    </row>
    <row r="378" ht="57" customHeight="1">
      <c r="A378" s="51" t="s">
        <v>9149</v>
      </c>
      <c r="B378" s="51" t="s">
        <v>8108</v>
      </c>
      <c r="C378" s="51" t="s">
        <v>8107</v>
      </c>
      <c r="D378" s="51" t="s">
        <v>9150</v>
      </c>
      <c r="E378" s="51" t="s">
        <v>8107</v>
      </c>
      <c r="F378" s="51" t="s">
        <v>7749</v>
      </c>
      <c r="G378" s="51" t="s">
        <v>6722</v>
      </c>
      <c r="H378" s="51" t="s">
        <v>6817</v>
      </c>
      <c r="I378" s="51" t="s">
        <v>8109</v>
      </c>
      <c r="J378" s="51"/>
      <c r="K378" s="51"/>
      <c r="L378" s="51" t="n">
        <v>-19.8307479383707</v>
      </c>
      <c r="M378" s="51" t="n">
        <v>-43.9488681686266</v>
      </c>
      <c r="N378" s="51" t="n">
        <v>610075.7</v>
      </c>
      <c r="O378" s="51" t="n">
        <v>7806905</v>
      </c>
    </row>
    <row r="379" ht="28.5" customHeight="1">
      <c r="A379" s="51" t="s">
        <v>9151</v>
      </c>
      <c r="B379" s="51" t="s">
        <v>8111</v>
      </c>
      <c r="C379" s="51" t="s">
        <v>8110</v>
      </c>
      <c r="D379" s="51" t="s">
        <v>9142</v>
      </c>
      <c r="E379" s="51" t="s">
        <v>8112</v>
      </c>
      <c r="F379" s="51" t="s">
        <v>6856</v>
      </c>
      <c r="G379" s="51" t="s">
        <v>6689</v>
      </c>
      <c r="H379" s="51" t="s">
        <v>6857</v>
      </c>
      <c r="I379" s="51" t="s">
        <v>8110</v>
      </c>
      <c r="J379" s="51"/>
      <c r="K379" s="51"/>
      <c r="L379" s="51" t="n">
        <v>-19.996353455556</v>
      </c>
      <c r="M379" s="51" t="n">
        <v>-44.0002516653059</v>
      </c>
      <c r="N379" s="51" t="n">
        <v>604585.4</v>
      </c>
      <c r="O379" s="51" t="n">
        <v>7788610</v>
      </c>
    </row>
    <row r="380" ht="28.5" customHeight="1">
      <c r="A380" s="51" t="s">
        <v>9152</v>
      </c>
      <c r="B380" s="51" t="s">
        <v>8111</v>
      </c>
      <c r="C380" s="51" t="s">
        <v>8110</v>
      </c>
      <c r="D380" s="51" t="s">
        <v>9153</v>
      </c>
      <c r="E380" s="51" t="s">
        <v>8112</v>
      </c>
      <c r="F380" s="51" t="s">
        <v>6856</v>
      </c>
      <c r="G380" s="51" t="s">
        <v>6689</v>
      </c>
      <c r="H380" s="51" t="s">
        <v>6857</v>
      </c>
      <c r="I380" s="51" t="s">
        <v>8110</v>
      </c>
      <c r="J380" s="51"/>
      <c r="K380" s="51"/>
      <c r="L380" s="51" t="n">
        <v>-19.996353455556</v>
      </c>
      <c r="M380" s="51" t="n">
        <v>-44.0002516653059</v>
      </c>
      <c r="N380" s="51" t="n">
        <v>604585.4</v>
      </c>
      <c r="O380" s="51" t="n">
        <v>7788610</v>
      </c>
    </row>
    <row r="381" ht="42.75" customHeight="1">
      <c r="A381" s="51" t="s">
        <v>9154</v>
      </c>
      <c r="B381" s="51" t="s">
        <v>8114</v>
      </c>
      <c r="C381" s="51" t="s">
        <v>8113</v>
      </c>
      <c r="D381" s="51" t="s">
        <v>9155</v>
      </c>
      <c r="E381" s="51" t="s">
        <v>8115</v>
      </c>
      <c r="F381" s="51" t="s">
        <v>8116</v>
      </c>
      <c r="G381" s="51" t="s">
        <v>6627</v>
      </c>
      <c r="H381" s="51" t="s">
        <v>7576</v>
      </c>
      <c r="I381" s="51" t="s">
        <v>8109</v>
      </c>
      <c r="J381" s="51"/>
      <c r="K381" s="51"/>
      <c r="L381" s="51" t="n">
        <v>-19.9852419881188</v>
      </c>
      <c r="M381" s="51" t="n">
        <v>-43.9737559103749</v>
      </c>
      <c r="N381" s="51" t="n">
        <v>607364.9</v>
      </c>
      <c r="O381" s="51" t="n">
        <v>7789823</v>
      </c>
    </row>
    <row r="382" ht="28.5" customHeight="1">
      <c r="A382" s="51" t="s">
        <v>9156</v>
      </c>
      <c r="B382" s="51" t="s">
        <v>8118</v>
      </c>
      <c r="C382" s="51" t="s">
        <v>8117</v>
      </c>
      <c r="D382" s="51" t="s">
        <v>9157</v>
      </c>
      <c r="E382" s="51" t="s">
        <v>8117</v>
      </c>
      <c r="F382" s="51" t="s">
        <v>8119</v>
      </c>
      <c r="G382" s="51" t="s">
        <v>6689</v>
      </c>
      <c r="H382" s="51" t="s">
        <v>7475</v>
      </c>
      <c r="I382" s="51" t="s">
        <v>8120</v>
      </c>
      <c r="J382" s="51"/>
      <c r="K382" s="51"/>
      <c r="L382" s="51" t="n">
        <v>-19.9885290625721</v>
      </c>
      <c r="M382" s="51" t="n">
        <v>-44.0200544481073</v>
      </c>
      <c r="N382" s="51" t="n">
        <v>602518.7</v>
      </c>
      <c r="O382" s="51" t="n">
        <v>7789488</v>
      </c>
    </row>
    <row r="383" ht="28.5" customHeight="1">
      <c r="A383" s="51" t="s">
        <v>9158</v>
      </c>
      <c r="B383" s="51" t="s">
        <v>8122</v>
      </c>
      <c r="C383" s="51" t="s">
        <v>8121</v>
      </c>
      <c r="D383" s="51" t="s">
        <v>9159</v>
      </c>
      <c r="E383" s="51" t="s">
        <v>8123</v>
      </c>
      <c r="F383" s="51" t="s">
        <v>6582</v>
      </c>
      <c r="G383" s="51" t="s">
        <v>6583</v>
      </c>
      <c r="H383" s="51" t="s">
        <v>6584</v>
      </c>
      <c r="I383" s="51" t="s">
        <v>8124</v>
      </c>
      <c r="J383" s="51"/>
      <c r="K383" s="51"/>
      <c r="L383" s="51" t="n">
        <v>-19.9047346503201</v>
      </c>
      <c r="M383" s="51" t="n">
        <v>-43.9707350429337</v>
      </c>
      <c r="N383" s="51" t="n">
        <v>607735.6</v>
      </c>
      <c r="O383" s="51" t="n">
        <v>7798731</v>
      </c>
    </row>
    <row r="384" ht="42.75" customHeight="1">
      <c r="A384" s="51" t="s">
        <v>9160</v>
      </c>
      <c r="B384" s="51" t="s">
        <v>8126</v>
      </c>
      <c r="C384" s="51" t="s">
        <v>8125</v>
      </c>
      <c r="D384" s="51" t="s">
        <v>9161</v>
      </c>
      <c r="E384" s="51" t="s">
        <v>8125</v>
      </c>
      <c r="F384" s="51" t="s">
        <v>6877</v>
      </c>
      <c r="G384" s="51" t="s">
        <v>6794</v>
      </c>
      <c r="H384" s="51" t="s">
        <v>6878</v>
      </c>
      <c r="I384" s="51" t="s">
        <v>8127</v>
      </c>
      <c r="J384" s="51"/>
      <c r="K384" s="51"/>
      <c r="L384" s="51" t="n">
        <v>-19.8692083934189</v>
      </c>
      <c r="M384" s="51" t="n">
        <v>-43.926339155253</v>
      </c>
      <c r="N384" s="51" t="n">
        <v>612408.1</v>
      </c>
      <c r="O384" s="51" t="n">
        <v>7802634</v>
      </c>
    </row>
    <row r="385" ht="71.25" customHeight="1">
      <c r="A385" s="51" t="s">
        <v>9162</v>
      </c>
      <c r="B385" s="51" t="s">
        <v>8129</v>
      </c>
      <c r="C385" s="51" t="s">
        <v>8128</v>
      </c>
      <c r="D385" s="51" t="s">
        <v>9163</v>
      </c>
      <c r="E385" s="51" t="s">
        <v>8128</v>
      </c>
      <c r="F385" s="51" t="s">
        <v>8130</v>
      </c>
      <c r="G385" s="51" t="s">
        <v>6689</v>
      </c>
      <c r="H385" s="51" t="s">
        <v>6690</v>
      </c>
      <c r="I385" s="51" t="s">
        <v>8128</v>
      </c>
      <c r="J385" s="51"/>
      <c r="K385" s="51"/>
      <c r="L385" s="51"/>
      <c r="M385" s="51"/>
      <c r="N385" s="51"/>
      <c r="O385" s="51"/>
    </row>
    <row r="386" ht="57" customHeight="1">
      <c r="A386" s="51" t="s">
        <v>9164</v>
      </c>
      <c r="B386" s="51" t="s">
        <v>8132</v>
      </c>
      <c r="C386" s="51" t="s">
        <v>8131</v>
      </c>
      <c r="D386" s="51" t="s">
        <v>9165</v>
      </c>
      <c r="E386" s="51" t="s">
        <v>8131</v>
      </c>
      <c r="F386" s="51" t="s">
        <v>7381</v>
      </c>
      <c r="G386" s="51" t="s">
        <v>6689</v>
      </c>
      <c r="H386" s="51" t="s">
        <v>6690</v>
      </c>
      <c r="I386" s="51" t="s">
        <v>8131</v>
      </c>
      <c r="J386" s="51"/>
      <c r="K386" s="51"/>
      <c r="L386" s="51" t="n">
        <v>-20.0083171370356</v>
      </c>
      <c r="M386" s="51" t="n">
        <v>-44.0392464098408</v>
      </c>
      <c r="N386" s="51" t="n">
        <v>600498.2</v>
      </c>
      <c r="O386" s="51" t="n">
        <v>7787310</v>
      </c>
    </row>
    <row r="387" ht="42.75" customHeight="1">
      <c r="A387" s="51" t="s">
        <v>9166</v>
      </c>
      <c r="B387" s="51" t="s">
        <v>8134</v>
      </c>
      <c r="C387" s="51" t="s">
        <v>8133</v>
      </c>
      <c r="D387" s="51" t="s">
        <v>9167</v>
      </c>
      <c r="E387" s="51" t="s">
        <v>8135</v>
      </c>
      <c r="F387" s="51" t="s">
        <v>8136</v>
      </c>
      <c r="G387" s="51" t="s">
        <v>6583</v>
      </c>
      <c r="H387" s="51" t="s">
        <v>6744</v>
      </c>
      <c r="I387" s="51" t="s">
        <v>8137</v>
      </c>
      <c r="J387" s="51" t="s">
        <v>8138</v>
      </c>
      <c r="K387" s="51"/>
      <c r="L387" s="51" t="n">
        <v>-19.8885141672217</v>
      </c>
      <c r="M387" s="51" t="n">
        <v>-43.9670191422821</v>
      </c>
      <c r="N387" s="51" t="n">
        <v>608135.6</v>
      </c>
      <c r="O387" s="51" t="n">
        <v>7800524</v>
      </c>
    </row>
    <row r="388" ht="28.5" customHeight="1">
      <c r="A388" s="51" t="s">
        <v>9168</v>
      </c>
      <c r="B388" s="51" t="s">
        <v>8140</v>
      </c>
      <c r="C388" s="51" t="s">
        <v>8139</v>
      </c>
      <c r="D388" s="51" t="s">
        <v>9169</v>
      </c>
      <c r="E388" s="51" t="s">
        <v>8141</v>
      </c>
      <c r="F388" s="51" t="s">
        <v>7474</v>
      </c>
      <c r="G388" s="51" t="s">
        <v>6689</v>
      </c>
      <c r="H388" s="51" t="s">
        <v>7475</v>
      </c>
      <c r="I388" s="51" t="s">
        <v>6709</v>
      </c>
      <c r="J388" s="51" t="s">
        <v>6963</v>
      </c>
      <c r="K388" s="51"/>
      <c r="L388" s="51" t="n">
        <v>-19.9761760994452</v>
      </c>
      <c r="M388" s="51" t="n">
        <v>-44.0291070556816</v>
      </c>
      <c r="N388" s="51" t="n">
        <v>601579.5</v>
      </c>
      <c r="O388" s="51" t="n">
        <v>7790861</v>
      </c>
    </row>
    <row r="389" ht="28.5" customHeight="1">
      <c r="A389" s="51" t="s">
        <v>9170</v>
      </c>
      <c r="B389" s="51" t="s">
        <v>8143</v>
      </c>
      <c r="C389" s="51" t="s">
        <v>8142</v>
      </c>
      <c r="D389" s="51" t="s">
        <v>9171</v>
      </c>
      <c r="E389" s="51" t="s">
        <v>8144</v>
      </c>
      <c r="F389" s="51" t="s">
        <v>7153</v>
      </c>
      <c r="G389" s="51" t="s">
        <v>6627</v>
      </c>
      <c r="H389" s="51" t="s">
        <v>6628</v>
      </c>
      <c r="I389" s="51" t="s">
        <v>6709</v>
      </c>
      <c r="J389" s="51" t="s">
        <v>8145</v>
      </c>
      <c r="K389" s="51" t="s">
        <v>8146</v>
      </c>
      <c r="L389" s="51" t="n">
        <v>-19.933599</v>
      </c>
      <c r="M389" s="51" t="n">
        <v>-43.981898</v>
      </c>
      <c r="N389" s="51" t="n">
        <v>606547.709704758</v>
      </c>
      <c r="O389" s="51" t="n">
        <v>7795543.83890801</v>
      </c>
    </row>
    <row r="390" ht="57" customHeight="1">
      <c r="A390" s="51" t="s">
        <v>9172</v>
      </c>
      <c r="B390" s="51" t="s">
        <v>8148</v>
      </c>
      <c r="C390" s="51" t="s">
        <v>8147</v>
      </c>
      <c r="D390" s="51" t="s">
        <v>9173</v>
      </c>
      <c r="E390" s="51" t="s">
        <v>8149</v>
      </c>
      <c r="F390" s="51" t="s">
        <v>6913</v>
      </c>
      <c r="G390" s="51" t="s">
        <v>6627</v>
      </c>
      <c r="H390" s="51" t="s">
        <v>6681</v>
      </c>
      <c r="I390" s="51" t="s">
        <v>8150</v>
      </c>
      <c r="J390" s="51" t="s">
        <v>8151</v>
      </c>
      <c r="K390" s="51"/>
      <c r="L390" s="51" t="n">
        <v>-19.9618826288649</v>
      </c>
      <c r="M390" s="51" t="n">
        <v>-43.9927788190659</v>
      </c>
      <c r="N390" s="51" t="n">
        <v>605390.1</v>
      </c>
      <c r="O390" s="51" t="n">
        <v>7792420</v>
      </c>
    </row>
    <row r="391" ht="28.5" customHeight="1">
      <c r="A391" s="51" t="s">
        <v>9174</v>
      </c>
      <c r="B391" s="51" t="s">
        <v>8153</v>
      </c>
      <c r="C391" s="51" t="s">
        <v>8152</v>
      </c>
      <c r="D391" s="51" t="s">
        <v>9175</v>
      </c>
      <c r="E391" s="51" t="s">
        <v>8154</v>
      </c>
      <c r="F391" s="51" t="s">
        <v>6773</v>
      </c>
      <c r="G391" s="51" t="s">
        <v>6627</v>
      </c>
      <c r="H391" s="51" t="s">
        <v>6628</v>
      </c>
      <c r="I391" s="51" t="s">
        <v>6709</v>
      </c>
      <c r="J391" s="51" t="s">
        <v>8155</v>
      </c>
      <c r="K391" s="51"/>
      <c r="L391" s="51" t="n">
        <v>-19.945475</v>
      </c>
      <c r="M391" s="51" t="n">
        <v>-43.986542</v>
      </c>
      <c r="N391" s="51" t="n">
        <v>606053.731417566</v>
      </c>
      <c r="O391" s="51" t="n">
        <v>7794232.42888059</v>
      </c>
    </row>
    <row r="392" ht="28.5" customHeight="1">
      <c r="A392" s="51" t="s">
        <v>9176</v>
      </c>
      <c r="B392" s="51" t="s">
        <v>8157</v>
      </c>
      <c r="C392" s="51" t="s">
        <v>8156</v>
      </c>
      <c r="D392" s="51" t="s">
        <v>9177</v>
      </c>
      <c r="E392" s="51" t="s">
        <v>8158</v>
      </c>
      <c r="F392" s="51" t="s">
        <v>8159</v>
      </c>
      <c r="G392" s="51" t="s">
        <v>6627</v>
      </c>
      <c r="H392" s="51" t="s">
        <v>7410</v>
      </c>
      <c r="I392" s="51" t="s">
        <v>8160</v>
      </c>
      <c r="J392" s="51" t="s">
        <v>8161</v>
      </c>
      <c r="K392" s="51"/>
      <c r="L392" s="51" t="n">
        <v>-19.9440627441356</v>
      </c>
      <c r="M392" s="51" t="n">
        <v>-43.9621994131289</v>
      </c>
      <c r="N392" s="51" t="n">
        <v>608602.2</v>
      </c>
      <c r="O392" s="51" t="n">
        <v>7794373</v>
      </c>
    </row>
    <row r="393" ht="28.5" customHeight="1">
      <c r="A393" s="51" t="s">
        <v>9178</v>
      </c>
      <c r="B393" s="51" t="s">
        <v>8163</v>
      </c>
      <c r="C393" s="51" t="s">
        <v>8162</v>
      </c>
      <c r="D393" s="51" t="s">
        <v>9179</v>
      </c>
      <c r="E393" s="51" t="s">
        <v>8164</v>
      </c>
      <c r="F393" s="51" t="s">
        <v>8116</v>
      </c>
      <c r="G393" s="51" t="s">
        <v>6627</v>
      </c>
      <c r="H393" s="51" t="s">
        <v>7576</v>
      </c>
      <c r="I393" s="51" t="s">
        <v>8165</v>
      </c>
      <c r="J393" s="51" t="s">
        <v>8166</v>
      </c>
      <c r="K393" s="51" t="s">
        <v>8167</v>
      </c>
      <c r="L393" s="51" t="n">
        <v>-19.9760169000152</v>
      </c>
      <c r="M393" s="51" t="n">
        <v>-43.9714668855586</v>
      </c>
      <c r="N393" s="51" t="n">
        <v>607610.686511083</v>
      </c>
      <c r="O393" s="51" t="n">
        <v>7790842.66510874</v>
      </c>
    </row>
    <row r="394" ht="42.75" customHeight="1">
      <c r="A394" s="51" t="s">
        <v>9180</v>
      </c>
      <c r="B394" s="51" t="s">
        <v>8169</v>
      </c>
      <c r="C394" s="51" t="s">
        <v>8168</v>
      </c>
      <c r="D394" s="51" t="s">
        <v>9181</v>
      </c>
      <c r="E394" s="51" t="s">
        <v>8170</v>
      </c>
      <c r="F394" s="51" t="s">
        <v>8171</v>
      </c>
      <c r="G394" s="51" t="s">
        <v>6689</v>
      </c>
      <c r="H394" s="51" t="s">
        <v>6690</v>
      </c>
      <c r="I394" s="51" t="s">
        <v>8172</v>
      </c>
      <c r="J394" s="51" t="s">
        <v>7614</v>
      </c>
      <c r="K394" s="51"/>
      <c r="L394" s="51" t="n">
        <v>-20.0113559862031</v>
      </c>
      <c r="M394" s="51" t="n">
        <v>-44.0403208926334</v>
      </c>
      <c r="N394" s="51" t="n">
        <v>600383.869476285</v>
      </c>
      <c r="O394" s="51" t="n">
        <v>7786974.32878284</v>
      </c>
    </row>
    <row r="395">
      <c r="A395" s="51" t="s">
        <v>9182</v>
      </c>
      <c r="B395" s="51" t="s">
        <v>8174</v>
      </c>
      <c r="C395" s="51" t="s">
        <v>8173</v>
      </c>
      <c r="D395" s="51" t="s">
        <v>9183</v>
      </c>
      <c r="E395" s="51" t="s">
        <v>8175</v>
      </c>
      <c r="F395" s="51" t="s">
        <v>6864</v>
      </c>
      <c r="G395" s="51" t="s">
        <v>6627</v>
      </c>
      <c r="H395" s="51" t="s">
        <v>6628</v>
      </c>
      <c r="I395" s="51" t="s">
        <v>8176</v>
      </c>
      <c r="J395" s="51" t="s">
        <v>7862</v>
      </c>
      <c r="K395" s="51"/>
      <c r="L395" s="51" t="n">
        <v>-19.939797</v>
      </c>
      <c r="M395" s="51" t="n">
        <v>-43.966237</v>
      </c>
      <c r="N395" s="51" t="n">
        <v>608182.600496606</v>
      </c>
      <c r="O395" s="51" t="n">
        <v>7794847.87947831</v>
      </c>
    </row>
    <row r="396" ht="28.5" customHeight="1">
      <c r="A396" s="51" t="s">
        <v>9184</v>
      </c>
      <c r="B396" s="51" t="s">
        <v>8178</v>
      </c>
      <c r="C396" s="51" t="s">
        <v>8177</v>
      </c>
      <c r="D396" s="51" t="s">
        <v>9183</v>
      </c>
      <c r="E396" s="51" t="s">
        <v>8179</v>
      </c>
      <c r="F396" s="51" t="s">
        <v>7166</v>
      </c>
      <c r="G396" s="51" t="s">
        <v>6722</v>
      </c>
      <c r="H396" s="51" t="s">
        <v>6723</v>
      </c>
      <c r="I396" s="51" t="s">
        <v>8180</v>
      </c>
      <c r="J396" s="51" t="s">
        <v>7879</v>
      </c>
      <c r="K396" s="51" t="s">
        <v>8181</v>
      </c>
      <c r="L396" s="51" t="n">
        <v>-19.8433091243438</v>
      </c>
      <c r="M396" s="51" t="n">
        <v>-43.9137850971012</v>
      </c>
      <c r="N396" s="51" t="n">
        <v>613741.041783362</v>
      </c>
      <c r="O396" s="51" t="n">
        <v>7805491.94418329</v>
      </c>
    </row>
    <row r="397" ht="28.5" customHeight="1">
      <c r="A397" s="51" t="s">
        <v>9185</v>
      </c>
      <c r="B397" s="51" t="s">
        <v>8183</v>
      </c>
      <c r="C397" s="51" t="s">
        <v>8182</v>
      </c>
      <c r="D397" s="51" t="s">
        <v>9183</v>
      </c>
      <c r="E397" s="51" t="s">
        <v>8184</v>
      </c>
      <c r="F397" s="51" t="s">
        <v>7657</v>
      </c>
      <c r="G397" s="51" t="s">
        <v>6660</v>
      </c>
      <c r="H397" s="51" t="s">
        <v>6661</v>
      </c>
      <c r="I397" s="51" t="s">
        <v>8185</v>
      </c>
      <c r="J397" s="51" t="s">
        <v>8186</v>
      </c>
      <c r="K397" s="51" t="s">
        <v>8187</v>
      </c>
      <c r="L397" s="51" t="n">
        <v>-19.928286625</v>
      </c>
      <c r="M397" s="51" t="n">
        <v>-43.90802225</v>
      </c>
      <c r="N397" s="51" t="n">
        <v>614283.568191565</v>
      </c>
      <c r="O397" s="51" t="n">
        <v>7796083.23796219</v>
      </c>
    </row>
    <row r="398" ht="28.5" customHeight="1">
      <c r="A398" s="51" t="s">
        <v>9186</v>
      </c>
      <c r="B398" s="51" t="s">
        <v>8189</v>
      </c>
      <c r="C398" s="51" t="s">
        <v>8188</v>
      </c>
      <c r="D398" s="51" t="s">
        <v>9183</v>
      </c>
      <c r="E398" s="51" t="s">
        <v>8190</v>
      </c>
      <c r="F398" s="51" t="s">
        <v>6823</v>
      </c>
      <c r="G398" s="51" t="s">
        <v>6647</v>
      </c>
      <c r="H398" s="51" t="s">
        <v>6824</v>
      </c>
      <c r="I398" s="51" t="s">
        <v>8191</v>
      </c>
      <c r="J398" s="51" t="s">
        <v>8192</v>
      </c>
      <c r="K398" s="51" t="s">
        <v>8193</v>
      </c>
      <c r="L398" s="51" t="n">
        <v>-19.9175923333333</v>
      </c>
      <c r="M398" s="51" t="n">
        <v>-43.9165406666667</v>
      </c>
      <c r="N398" s="51" t="n">
        <v>613399.597815283</v>
      </c>
      <c r="O398" s="51" t="n">
        <v>7797272.59159838</v>
      </c>
    </row>
    <row r="399" ht="28.5" customHeight="1">
      <c r="A399" s="51" t="s">
        <v>9187</v>
      </c>
      <c r="B399" s="51" t="s">
        <v>8195</v>
      </c>
      <c r="C399" s="51" t="s">
        <v>8194</v>
      </c>
      <c r="D399" s="51" t="s">
        <v>9183</v>
      </c>
      <c r="E399" s="51" t="s">
        <v>8196</v>
      </c>
      <c r="F399" s="51" t="s">
        <v>6823</v>
      </c>
      <c r="G399" s="51" t="s">
        <v>6647</v>
      </c>
      <c r="H399" s="51" t="s">
        <v>6824</v>
      </c>
      <c r="I399" s="51" t="s">
        <v>8197</v>
      </c>
      <c r="J399" s="51" t="s">
        <v>8198</v>
      </c>
      <c r="K399" s="51" t="s">
        <v>8199</v>
      </c>
      <c r="L399" s="51" t="n">
        <v>-19.913448</v>
      </c>
      <c r="M399" s="51" t="n">
        <v>-43.916488</v>
      </c>
      <c r="N399" s="51" t="n">
        <v>613408.065618649</v>
      </c>
      <c r="O399" s="51" t="n">
        <v>7797731.22708294</v>
      </c>
    </row>
    <row r="400">
      <c r="A400" s="51" t="s">
        <v>9188</v>
      </c>
      <c r="B400" s="51" t="s">
        <v>8201</v>
      </c>
      <c r="C400" s="51" t="s">
        <v>8200</v>
      </c>
      <c r="D400" s="51" t="s">
        <v>9189</v>
      </c>
      <c r="E400" s="51" t="s">
        <v>8200</v>
      </c>
      <c r="F400" s="51" t="s">
        <v>6714</v>
      </c>
      <c r="G400" s="51" t="s">
        <v>6583</v>
      </c>
      <c r="H400" s="51" t="s">
        <v>6591</v>
      </c>
      <c r="I400" s="51" t="s">
        <v>8202</v>
      </c>
      <c r="J400" s="51"/>
      <c r="K400" s="51"/>
      <c r="L400" s="51" t="n">
        <v>-19.9125129428571</v>
      </c>
      <c r="M400" s="51" t="n">
        <v>-44.0237932285714</v>
      </c>
      <c r="N400" s="51" t="n">
        <v>602176.451849955</v>
      </c>
      <c r="O400" s="51" t="n">
        <v>7797903.48338509</v>
      </c>
    </row>
    <row r="401" ht="28.5" customHeight="1">
      <c r="A401" s="51" t="s">
        <v>9190</v>
      </c>
      <c r="B401" s="51" t="s">
        <v>8204</v>
      </c>
      <c r="C401" s="51" t="s">
        <v>8203</v>
      </c>
      <c r="D401" s="51" t="s">
        <v>9189</v>
      </c>
      <c r="E401" s="51" t="s">
        <v>8205</v>
      </c>
      <c r="F401" s="51" t="s">
        <v>6714</v>
      </c>
      <c r="G401" s="51" t="s">
        <v>6583</v>
      </c>
      <c r="H401" s="51" t="s">
        <v>6591</v>
      </c>
      <c r="I401" s="51" t="s">
        <v>8206</v>
      </c>
      <c r="J401" s="51"/>
      <c r="K401" s="51"/>
      <c r="L401" s="51" t="n">
        <v>-19.9104032117647</v>
      </c>
      <c r="M401" s="51" t="n">
        <v>-44.0174908352941</v>
      </c>
      <c r="N401" s="51" t="n">
        <v>602837.5168242</v>
      </c>
      <c r="O401" s="51" t="n">
        <v>7798133.12954698</v>
      </c>
    </row>
    <row r="402" ht="28.5" customHeight="1">
      <c r="A402" s="51" t="s">
        <v>9191</v>
      </c>
      <c r="B402" s="51" t="s">
        <v>8204</v>
      </c>
      <c r="C402" s="51" t="s">
        <v>8203</v>
      </c>
      <c r="D402" s="51" t="s">
        <v>9192</v>
      </c>
      <c r="E402" s="51" t="s">
        <v>8205</v>
      </c>
      <c r="F402" s="51" t="s">
        <v>6714</v>
      </c>
      <c r="G402" s="51" t="s">
        <v>6583</v>
      </c>
      <c r="H402" s="51" t="s">
        <v>6591</v>
      </c>
      <c r="I402" s="51" t="s">
        <v>8206</v>
      </c>
      <c r="J402" s="51"/>
      <c r="K402" s="51"/>
      <c r="L402" s="51" t="n">
        <v>-19.9104032117647</v>
      </c>
      <c r="M402" s="51" t="n">
        <v>-44.0174908352941</v>
      </c>
      <c r="N402" s="51" t="n">
        <v>602837.5168242</v>
      </c>
      <c r="O402" s="51" t="n">
        <v>7798133.12954698</v>
      </c>
    </row>
    <row r="403" ht="28.5" customHeight="1">
      <c r="A403" s="51" t="s">
        <v>9193</v>
      </c>
      <c r="B403" s="51" t="s">
        <v>8208</v>
      </c>
      <c r="C403" s="51" t="s">
        <v>8207</v>
      </c>
      <c r="D403" s="51" t="s">
        <v>9194</v>
      </c>
      <c r="E403" s="51" t="s">
        <v>8209</v>
      </c>
      <c r="F403" s="51" t="s">
        <v>6582</v>
      </c>
      <c r="G403" s="51" t="s">
        <v>6583</v>
      </c>
      <c r="H403" s="51" t="s">
        <v>6584</v>
      </c>
      <c r="I403" s="51" t="s">
        <v>8210</v>
      </c>
      <c r="J403" s="51" t="s">
        <v>7457</v>
      </c>
      <c r="K403" s="51"/>
      <c r="L403" s="51" t="n">
        <v>-19.8988900480557</v>
      </c>
      <c r="M403" s="51" t="n">
        <v>-43.9800607089983</v>
      </c>
      <c r="N403" s="51" t="n">
        <v>606763.3</v>
      </c>
      <c r="O403" s="51" t="n">
        <v>7799384</v>
      </c>
    </row>
    <row r="404" ht="85.5" customHeight="1">
      <c r="A404" s="51" t="s">
        <v>9195</v>
      </c>
      <c r="B404" s="51" t="s">
        <v>8212</v>
      </c>
      <c r="C404" s="51" t="s">
        <v>8211</v>
      </c>
      <c r="D404" s="51" t="s">
        <v>9196</v>
      </c>
      <c r="E404" s="51" t="s">
        <v>8213</v>
      </c>
      <c r="F404" s="51" t="s">
        <v>6714</v>
      </c>
      <c r="G404" s="51" t="s">
        <v>6583</v>
      </c>
      <c r="H404" s="51" t="s">
        <v>6591</v>
      </c>
      <c r="I404" s="51" t="s">
        <v>8214</v>
      </c>
      <c r="J404" s="51"/>
      <c r="K404" s="51"/>
      <c r="L404" s="51" t="n">
        <v>-19.9136663213823</v>
      </c>
      <c r="M404" s="51" t="n">
        <v>-44.0232230409352</v>
      </c>
      <c r="N404" s="51" t="n">
        <v>602235.4</v>
      </c>
      <c r="O404" s="51" t="n">
        <v>7797775</v>
      </c>
    </row>
    <row r="405" ht="71.25" customHeight="1">
      <c r="A405" s="51" t="s">
        <v>9197</v>
      </c>
      <c r="B405" s="51" t="s">
        <v>8216</v>
      </c>
      <c r="C405" s="51" t="s">
        <v>8215</v>
      </c>
      <c r="D405" s="51" t="s">
        <v>9198</v>
      </c>
      <c r="E405" s="51" t="s">
        <v>8215</v>
      </c>
      <c r="F405" s="51" t="s">
        <v>8217</v>
      </c>
      <c r="G405" s="51" t="s">
        <v>6689</v>
      </c>
      <c r="H405" s="51" t="s">
        <v>6690</v>
      </c>
      <c r="I405" s="51" t="s">
        <v>8218</v>
      </c>
      <c r="J405" s="51"/>
      <c r="K405" s="51"/>
      <c r="L405" s="51" t="n">
        <v>-19.9908251751505</v>
      </c>
      <c r="M405" s="51" t="n">
        <v>-44.0287469161572</v>
      </c>
      <c r="N405" s="51" t="n">
        <v>601607.8</v>
      </c>
      <c r="O405" s="51" t="n">
        <v>7789240</v>
      </c>
    </row>
    <row r="406" ht="71.25" customHeight="1">
      <c r="A406" s="51" t="s">
        <v>9199</v>
      </c>
      <c r="B406" s="51" t="s">
        <v>8220</v>
      </c>
      <c r="C406" s="51" t="s">
        <v>8219</v>
      </c>
      <c r="D406" s="51" t="s">
        <v>9200</v>
      </c>
      <c r="E406" s="51" t="s">
        <v>8221</v>
      </c>
      <c r="F406" s="51" t="s">
        <v>8222</v>
      </c>
      <c r="G406" s="51" t="s">
        <v>6689</v>
      </c>
      <c r="H406" s="51" t="s">
        <v>7475</v>
      </c>
      <c r="I406" s="51" t="s">
        <v>8223</v>
      </c>
      <c r="J406" s="51"/>
      <c r="K406" s="51"/>
      <c r="L406" s="51" t="n">
        <v>-19.986791402117</v>
      </c>
      <c r="M406" s="51" t="n">
        <v>-44.0116354007501</v>
      </c>
      <c r="N406" s="51" t="n">
        <v>603400.7</v>
      </c>
      <c r="O406" s="51" t="n">
        <v>7789675</v>
      </c>
    </row>
    <row r="407" ht="71.25" customHeight="1">
      <c r="A407" s="51" t="s">
        <v>9201</v>
      </c>
      <c r="B407" s="51" t="s">
        <v>8225</v>
      </c>
      <c r="C407" s="51" t="s">
        <v>8224</v>
      </c>
      <c r="D407" s="51" t="s">
        <v>9202</v>
      </c>
      <c r="E407" s="51" t="s">
        <v>8226</v>
      </c>
      <c r="F407" s="51" t="s">
        <v>7848</v>
      </c>
      <c r="G407" s="51" t="s">
        <v>6689</v>
      </c>
      <c r="H407" s="51" t="s">
        <v>6995</v>
      </c>
      <c r="I407" s="51" t="s">
        <v>8227</v>
      </c>
      <c r="J407" s="51"/>
      <c r="K407" s="51"/>
      <c r="L407" s="51" t="n">
        <v>-19.9969974362548</v>
      </c>
      <c r="M407" s="51" t="n">
        <v>-43.9857533608175</v>
      </c>
      <c r="N407" s="51" t="n">
        <v>606101.8</v>
      </c>
      <c r="O407" s="51" t="n">
        <v>7788530</v>
      </c>
    </row>
    <row r="408" ht="71.25" customHeight="1">
      <c r="A408" s="51" t="s">
        <v>9203</v>
      </c>
      <c r="B408" s="51" t="s">
        <v>8229</v>
      </c>
      <c r="C408" s="51" t="s">
        <v>8228</v>
      </c>
      <c r="D408" s="51" t="s">
        <v>9204</v>
      </c>
      <c r="E408" s="51" t="s">
        <v>8230</v>
      </c>
      <c r="F408" s="51" t="s">
        <v>7141</v>
      </c>
      <c r="G408" s="51" t="s">
        <v>6689</v>
      </c>
      <c r="H408" s="51" t="s">
        <v>6995</v>
      </c>
      <c r="I408" s="51" t="s">
        <v>8231</v>
      </c>
      <c r="J408" s="51"/>
      <c r="K408" s="51"/>
      <c r="L408" s="51" t="n">
        <v>-19.9804874733034</v>
      </c>
      <c r="M408" s="51" t="n">
        <v>-43.9950228703813</v>
      </c>
      <c r="N408" s="51" t="n">
        <v>605143</v>
      </c>
      <c r="O408" s="51" t="n">
        <v>7790363</v>
      </c>
    </row>
    <row r="409" ht="28.5" customHeight="1">
      <c r="A409" s="51" t="s">
        <v>9205</v>
      </c>
      <c r="B409" s="51" t="s">
        <v>8233</v>
      </c>
      <c r="C409" s="51" t="s">
        <v>8232</v>
      </c>
      <c r="D409" s="51" t="s">
        <v>9206</v>
      </c>
      <c r="E409" s="51" t="s">
        <v>8234</v>
      </c>
      <c r="F409" s="51" t="s">
        <v>7362</v>
      </c>
      <c r="G409" s="51" t="s">
        <v>6722</v>
      </c>
      <c r="H409" s="51" t="s">
        <v>6817</v>
      </c>
      <c r="I409" s="51" t="s">
        <v>8232</v>
      </c>
      <c r="J409" s="51" t="s">
        <v>8235</v>
      </c>
      <c r="K409" s="51"/>
      <c r="L409" s="51" t="n">
        <v>-19.8463</v>
      </c>
      <c r="M409" s="51" t="n">
        <v>-43.953706</v>
      </c>
      <c r="N409" s="51" t="n">
        <v>609558.37702704</v>
      </c>
      <c r="O409" s="51" t="n">
        <v>7805187.34902194</v>
      </c>
    </row>
    <row r="410">
      <c r="A410" s="51" t="s">
        <v>9207</v>
      </c>
      <c r="B410" s="51" t="s">
        <v>8237</v>
      </c>
      <c r="C410" s="51" t="s">
        <v>8236</v>
      </c>
      <c r="D410" s="51" t="s">
        <v>9208</v>
      </c>
      <c r="E410" s="51" t="s">
        <v>8236</v>
      </c>
      <c r="F410" s="51" t="s">
        <v>6714</v>
      </c>
      <c r="G410" s="51" t="s">
        <v>6583</v>
      </c>
      <c r="H410" s="51" t="s">
        <v>6591</v>
      </c>
      <c r="I410" s="51" t="s">
        <v>8238</v>
      </c>
      <c r="J410" s="51"/>
      <c r="K410" s="51"/>
      <c r="L410" s="51" t="n">
        <v>-19.9102216923077</v>
      </c>
      <c r="M410" s="51" t="n">
        <v>-44.0246248076923</v>
      </c>
      <c r="N410" s="51" t="n">
        <v>602090.876890971</v>
      </c>
      <c r="O410" s="51" t="n">
        <v>7798157.56401725</v>
      </c>
    </row>
    <row r="411" ht="71.25" customHeight="1">
      <c r="A411" s="51" t="s">
        <v>9209</v>
      </c>
      <c r="B411" s="51" t="s">
        <v>8240</v>
      </c>
      <c r="C411" s="51" t="s">
        <v>8239</v>
      </c>
      <c r="D411" s="51" t="s">
        <v>9210</v>
      </c>
      <c r="E411" s="51" t="s">
        <v>8241</v>
      </c>
      <c r="F411" s="51" t="s">
        <v>8217</v>
      </c>
      <c r="G411" s="51" t="s">
        <v>6689</v>
      </c>
      <c r="H411" s="51" t="s">
        <v>6690</v>
      </c>
      <c r="I411" s="51" t="s">
        <v>8242</v>
      </c>
      <c r="J411" s="51"/>
      <c r="K411" s="51"/>
      <c r="L411" s="51" t="n">
        <v>-19.9900050197734</v>
      </c>
      <c r="M411" s="51" t="n">
        <v>-44.0307874810491</v>
      </c>
      <c r="N411" s="51" t="n">
        <v>601394.8</v>
      </c>
      <c r="O411" s="51" t="n">
        <v>7789332</v>
      </c>
    </row>
    <row r="412" ht="42.75" customHeight="1">
      <c r="A412" s="51" t="s">
        <v>9211</v>
      </c>
      <c r="B412" s="51" t="s">
        <v>8244</v>
      </c>
      <c r="C412" s="51" t="s">
        <v>8243</v>
      </c>
      <c r="D412" s="51" t="s">
        <v>9212</v>
      </c>
      <c r="E412" s="51" t="s">
        <v>8245</v>
      </c>
      <c r="F412" s="51" t="s">
        <v>8246</v>
      </c>
      <c r="G412" s="51" t="s">
        <v>6647</v>
      </c>
      <c r="H412" s="51" t="s">
        <v>6824</v>
      </c>
      <c r="I412" s="51" t="s">
        <v>8247</v>
      </c>
      <c r="J412" s="51"/>
      <c r="K412" s="51"/>
      <c r="L412" s="51"/>
      <c r="M412" s="51"/>
      <c r="N412" s="51"/>
      <c r="O412" s="51"/>
    </row>
    <row r="413" ht="57" customHeight="1">
      <c r="A413" s="51" t="s">
        <v>9213</v>
      </c>
      <c r="B413" s="51" t="s">
        <v>8249</v>
      </c>
      <c r="C413" s="51" t="s">
        <v>8248</v>
      </c>
      <c r="D413" s="51" t="s">
        <v>9214</v>
      </c>
      <c r="E413" s="51" t="s">
        <v>8250</v>
      </c>
      <c r="F413" s="51" t="s">
        <v>8222</v>
      </c>
      <c r="G413" s="51" t="s">
        <v>6689</v>
      </c>
      <c r="H413" s="51" t="s">
        <v>7475</v>
      </c>
      <c r="I413" s="51" t="s">
        <v>8251</v>
      </c>
      <c r="J413" s="51"/>
      <c r="K413" s="51"/>
      <c r="L413" s="51" t="n">
        <v>-19.9873813207603</v>
      </c>
      <c r="M413" s="51" t="n">
        <v>-44.0115125480375</v>
      </c>
      <c r="N413" s="51" t="n">
        <v>603413.2</v>
      </c>
      <c r="O413" s="51" t="n">
        <v>7789610</v>
      </c>
    </row>
    <row r="414" ht="57" customHeight="1">
      <c r="A414" s="51" t="s">
        <v>9215</v>
      </c>
      <c r="B414" s="51" t="s">
        <v>8253</v>
      </c>
      <c r="C414" s="51" t="s">
        <v>8252</v>
      </c>
      <c r="D414" s="51" t="s">
        <v>9216</v>
      </c>
      <c r="E414" s="51" t="s">
        <v>8254</v>
      </c>
      <c r="F414" s="51" t="s">
        <v>6919</v>
      </c>
      <c r="G414" s="51" t="s">
        <v>6647</v>
      </c>
      <c r="H414" s="51" t="s">
        <v>6648</v>
      </c>
      <c r="I414" s="51" t="s">
        <v>8255</v>
      </c>
      <c r="J414" s="51"/>
      <c r="K414" s="51"/>
      <c r="L414" s="51" t="n">
        <v>-19.8913352233222</v>
      </c>
      <c r="M414" s="51" t="n">
        <v>-43.892237185626</v>
      </c>
      <c r="N414" s="51" t="n">
        <v>615962.7</v>
      </c>
      <c r="O414" s="51" t="n">
        <v>7800162</v>
      </c>
    </row>
    <row r="415" ht="42.75" customHeight="1">
      <c r="A415" s="51" t="s">
        <v>9217</v>
      </c>
      <c r="B415" s="51" t="s">
        <v>8257</v>
      </c>
      <c r="C415" s="51" t="s">
        <v>8256</v>
      </c>
      <c r="D415" s="51" t="s">
        <v>9155</v>
      </c>
      <c r="E415" s="51" t="s">
        <v>8256</v>
      </c>
      <c r="F415" s="51" t="s">
        <v>8116</v>
      </c>
      <c r="G415" s="51" t="s">
        <v>6627</v>
      </c>
      <c r="H415" s="51" t="s">
        <v>7576</v>
      </c>
      <c r="I415" s="51" t="s">
        <v>8258</v>
      </c>
      <c r="J415" s="51"/>
      <c r="K415" s="51" t="s">
        <v>8259</v>
      </c>
      <c r="L415" s="51" t="n">
        <v>-19.9751918880986</v>
      </c>
      <c r="M415" s="51" t="n">
        <v>-43.9719558162248</v>
      </c>
      <c r="N415" s="51" t="n">
        <v>607560.1</v>
      </c>
      <c r="O415" s="51" t="n">
        <v>7790934</v>
      </c>
    </row>
    <row r="416" ht="71.25" customHeight="1">
      <c r="A416" s="51" t="s">
        <v>9218</v>
      </c>
      <c r="B416" s="51" t="s">
        <v>8261</v>
      </c>
      <c r="C416" s="51" t="s">
        <v>8260</v>
      </c>
      <c r="D416" s="51" t="s">
        <v>9219</v>
      </c>
      <c r="E416" s="51" t="s">
        <v>8262</v>
      </c>
      <c r="F416" s="51" t="s">
        <v>8130</v>
      </c>
      <c r="G416" s="51" t="s">
        <v>6689</v>
      </c>
      <c r="H416" s="51" t="s">
        <v>6690</v>
      </c>
      <c r="I416" s="51" t="s">
        <v>8263</v>
      </c>
      <c r="J416" s="51"/>
      <c r="K416" s="51"/>
      <c r="L416" s="51" t="n">
        <v>-20.00971895</v>
      </c>
      <c r="M416" s="51" t="n">
        <v>-44.03138165</v>
      </c>
      <c r="N416" s="51" t="n">
        <v>601320.044182167</v>
      </c>
      <c r="O416" s="51" t="n">
        <v>7787150.11795234</v>
      </c>
    </row>
    <row r="417" ht="71.25" customHeight="1">
      <c r="A417" s="51" t="s">
        <v>9220</v>
      </c>
      <c r="B417" s="51" t="s">
        <v>8265</v>
      </c>
      <c r="C417" s="51" t="s">
        <v>8264</v>
      </c>
      <c r="D417" s="51" t="s">
        <v>9221</v>
      </c>
      <c r="E417" s="51" t="s">
        <v>8266</v>
      </c>
      <c r="F417" s="51" t="s">
        <v>7076</v>
      </c>
      <c r="G417" s="51" t="s">
        <v>6689</v>
      </c>
      <c r="H417" s="51" t="s">
        <v>6690</v>
      </c>
      <c r="I417" s="51" t="s">
        <v>8267</v>
      </c>
      <c r="J417" s="51"/>
      <c r="K417" s="51" t="s">
        <v>8268</v>
      </c>
      <c r="L417" s="51" t="n">
        <v>-20.019573877223</v>
      </c>
      <c r="M417" s="51" t="n">
        <v>-44.0237609921447</v>
      </c>
      <c r="N417" s="51" t="n">
        <v>602110.9</v>
      </c>
      <c r="O417" s="51" t="n">
        <v>7786055</v>
      </c>
    </row>
    <row r="418" ht="71.25" customHeight="1">
      <c r="A418" s="51" t="s">
        <v>9222</v>
      </c>
      <c r="B418" s="51" t="s">
        <v>8270</v>
      </c>
      <c r="C418" s="51" t="s">
        <v>8269</v>
      </c>
      <c r="D418" s="51" t="s">
        <v>9223</v>
      </c>
      <c r="E418" s="51" t="s">
        <v>8271</v>
      </c>
      <c r="F418" s="51" t="s">
        <v>7186</v>
      </c>
      <c r="G418" s="51" t="s">
        <v>6611</v>
      </c>
      <c r="H418" s="51" t="s">
        <v>7187</v>
      </c>
      <c r="I418" s="51" t="s">
        <v>8272</v>
      </c>
      <c r="J418" s="51"/>
      <c r="K418" s="51"/>
      <c r="L418" s="51" t="n">
        <v>-19.8679102485302</v>
      </c>
      <c r="M418" s="51" t="n">
        <v>-43.9816493986932</v>
      </c>
      <c r="N418" s="51" t="n">
        <v>606617.7</v>
      </c>
      <c r="O418" s="51" t="n">
        <v>7802814</v>
      </c>
    </row>
    <row r="419" ht="42.75" customHeight="1">
      <c r="A419" s="51" t="s">
        <v>9224</v>
      </c>
      <c r="B419" s="51" t="s">
        <v>8274</v>
      </c>
      <c r="C419" s="51" t="s">
        <v>8273</v>
      </c>
      <c r="D419" s="51" t="s">
        <v>9225</v>
      </c>
      <c r="E419" s="51" t="s">
        <v>8273</v>
      </c>
      <c r="F419" s="51" t="s">
        <v>6899</v>
      </c>
      <c r="G419" s="51" t="s">
        <v>6794</v>
      </c>
      <c r="H419" s="51" t="s">
        <v>6900</v>
      </c>
      <c r="I419" s="51" t="s">
        <v>8275</v>
      </c>
      <c r="J419" s="51"/>
      <c r="K419" s="51"/>
      <c r="L419" s="51" t="n">
        <v>-19.9022630052703</v>
      </c>
      <c r="M419" s="51" t="n">
        <v>-43.9404785603071</v>
      </c>
      <c r="N419" s="51" t="n">
        <v>610904.6</v>
      </c>
      <c r="O419" s="51" t="n">
        <v>7798985</v>
      </c>
    </row>
    <row r="420" ht="71.25" customHeight="1">
      <c r="A420" s="51" t="s">
        <v>9226</v>
      </c>
      <c r="B420" s="51" t="s">
        <v>8277</v>
      </c>
      <c r="C420" s="51" t="s">
        <v>8276</v>
      </c>
      <c r="D420" s="51" t="s">
        <v>9227</v>
      </c>
      <c r="E420" s="51" t="s">
        <v>8278</v>
      </c>
      <c r="F420" s="51" t="s">
        <v>8217</v>
      </c>
      <c r="G420" s="51" t="s">
        <v>6689</v>
      </c>
      <c r="H420" s="51" t="s">
        <v>6690</v>
      </c>
      <c r="I420" s="51" t="s">
        <v>8279</v>
      </c>
      <c r="J420" s="51"/>
      <c r="K420" s="51"/>
      <c r="L420" s="51" t="n">
        <v>-19.989447470923</v>
      </c>
      <c r="M420" s="51" t="n">
        <v>-44.0270965901183</v>
      </c>
      <c r="N420" s="51" t="n">
        <v>601781.3</v>
      </c>
      <c r="O420" s="51" t="n">
        <v>7789391</v>
      </c>
    </row>
    <row r="421" ht="71.25" customHeight="1">
      <c r="A421" s="51" t="s">
        <v>9228</v>
      </c>
      <c r="B421" s="51" t="s">
        <v>8281</v>
      </c>
      <c r="C421" s="51" t="s">
        <v>8280</v>
      </c>
      <c r="D421" s="51" t="s">
        <v>9229</v>
      </c>
      <c r="E421" s="51" t="s">
        <v>8282</v>
      </c>
      <c r="F421" s="51" t="s">
        <v>8283</v>
      </c>
      <c r="G421" s="51" t="s">
        <v>6611</v>
      </c>
      <c r="H421" s="51" t="s">
        <v>7187</v>
      </c>
      <c r="I421" s="51" t="s">
        <v>8284</v>
      </c>
      <c r="J421" s="51"/>
      <c r="K421" s="51"/>
      <c r="L421" s="51" t="n">
        <v>-19.872663804918</v>
      </c>
      <c r="M421" s="51" t="n">
        <v>-43.99365823177</v>
      </c>
      <c r="N421" s="51" t="n">
        <v>605357.2</v>
      </c>
      <c r="O421" s="51" t="n">
        <v>7802295</v>
      </c>
    </row>
    <row r="422" ht="85.5" customHeight="1">
      <c r="A422" s="51" t="s">
        <v>9230</v>
      </c>
      <c r="B422" s="51" t="s">
        <v>8286</v>
      </c>
      <c r="C422" s="51" t="s">
        <v>8285</v>
      </c>
      <c r="D422" s="51" t="s">
        <v>9231</v>
      </c>
      <c r="E422" s="51" t="s">
        <v>8287</v>
      </c>
      <c r="F422" s="51" t="s">
        <v>7186</v>
      </c>
      <c r="G422" s="51" t="s">
        <v>6611</v>
      </c>
      <c r="H422" s="51" t="s">
        <v>7187</v>
      </c>
      <c r="I422" s="51" t="s">
        <v>8288</v>
      </c>
      <c r="J422" s="51"/>
      <c r="K422" s="51"/>
      <c r="L422" s="51" t="n">
        <v>-19.8730919980763</v>
      </c>
      <c r="M422" s="51" t="n">
        <v>-43.9910989636683</v>
      </c>
      <c r="N422" s="51" t="n">
        <v>605624.9</v>
      </c>
      <c r="O422" s="51" t="n">
        <v>7802246</v>
      </c>
    </row>
    <row r="423" ht="71.25" customHeight="1">
      <c r="A423" s="51" t="s">
        <v>9232</v>
      </c>
      <c r="B423" s="51" t="s">
        <v>8290</v>
      </c>
      <c r="C423" s="51" t="s">
        <v>8289</v>
      </c>
      <c r="D423" s="51" t="s">
        <v>9233</v>
      </c>
      <c r="E423" s="51" t="s">
        <v>8291</v>
      </c>
      <c r="F423" s="51" t="s">
        <v>7848</v>
      </c>
      <c r="G423" s="51" t="s">
        <v>6689</v>
      </c>
      <c r="H423" s="51" t="s">
        <v>6995</v>
      </c>
      <c r="I423" s="51" t="s">
        <v>8292</v>
      </c>
      <c r="J423" s="51"/>
      <c r="K423" s="51"/>
      <c r="L423" s="51" t="n">
        <v>-19.9962993889963</v>
      </c>
      <c r="M423" s="51" t="n">
        <v>-43.9845220383061</v>
      </c>
      <c r="N423" s="51" t="n">
        <v>606231.1</v>
      </c>
      <c r="O423" s="51" t="n">
        <v>7788606</v>
      </c>
    </row>
    <row r="424" ht="42.75" customHeight="1">
      <c r="A424" s="51" t="s">
        <v>9234</v>
      </c>
      <c r="B424" s="51" t="s">
        <v>8294</v>
      </c>
      <c r="C424" s="51" t="s">
        <v>8293</v>
      </c>
      <c r="D424" s="51" t="s">
        <v>9155</v>
      </c>
      <c r="E424" s="51" t="s">
        <v>8293</v>
      </c>
      <c r="F424" s="51" t="s">
        <v>8116</v>
      </c>
      <c r="G424" s="51" t="s">
        <v>6627</v>
      </c>
      <c r="H424" s="51" t="s">
        <v>7576</v>
      </c>
      <c r="I424" s="51" t="s">
        <v>8295</v>
      </c>
      <c r="J424" s="51"/>
      <c r="K424" s="51"/>
      <c r="L424" s="51" t="n">
        <v>-19.9760131870266</v>
      </c>
      <c r="M424" s="51" t="n">
        <v>-43.9742192310696</v>
      </c>
      <c r="N424" s="51" t="n">
        <v>607322.7</v>
      </c>
      <c r="O424" s="51" t="n">
        <v>7790845</v>
      </c>
    </row>
    <row r="425" ht="42.75" customHeight="1">
      <c r="A425" s="51" t="s">
        <v>9235</v>
      </c>
      <c r="B425" s="51" t="s">
        <v>8297</v>
      </c>
      <c r="C425" s="51" t="s">
        <v>8296</v>
      </c>
      <c r="D425" s="51" t="s">
        <v>9236</v>
      </c>
      <c r="E425" s="51" t="s">
        <v>8298</v>
      </c>
      <c r="F425" s="51" t="s">
        <v>6646</v>
      </c>
      <c r="G425" s="51" t="s">
        <v>6647</v>
      </c>
      <c r="H425" s="51" t="s">
        <v>6648</v>
      </c>
      <c r="I425" s="51" t="s">
        <v>8299</v>
      </c>
      <c r="J425" s="51"/>
      <c r="K425" s="51"/>
      <c r="L425" s="51" t="n">
        <v>-19.8857104100995</v>
      </c>
      <c r="M425" s="51" t="n">
        <v>-43.9103632454767</v>
      </c>
      <c r="N425" s="51" t="n">
        <v>614069.1</v>
      </c>
      <c r="O425" s="51" t="n">
        <v>7800797</v>
      </c>
    </row>
    <row r="426" ht="57" customHeight="1">
      <c r="A426" s="51" t="s">
        <v>9237</v>
      </c>
      <c r="B426" s="51" t="s">
        <v>8301</v>
      </c>
      <c r="C426" s="51" t="s">
        <v>8300</v>
      </c>
      <c r="D426" s="51" t="s">
        <v>9238</v>
      </c>
      <c r="E426" s="51" t="s">
        <v>8302</v>
      </c>
      <c r="F426" s="51" t="s">
        <v>6919</v>
      </c>
      <c r="G426" s="51" t="s">
        <v>6647</v>
      </c>
      <c r="H426" s="51" t="s">
        <v>6648</v>
      </c>
      <c r="I426" s="51" t="s">
        <v>8303</v>
      </c>
      <c r="J426" s="51"/>
      <c r="K426" s="51"/>
      <c r="L426" s="51" t="n">
        <v>-19.8904211126567</v>
      </c>
      <c r="M426" s="51" t="n">
        <v>-43.8903877237442</v>
      </c>
      <c r="N426" s="51" t="n">
        <v>616157</v>
      </c>
      <c r="O426" s="51" t="n">
        <v>7800262</v>
      </c>
    </row>
    <row r="427" ht="71.25" customHeight="1">
      <c r="A427" s="51" t="s">
        <v>9239</v>
      </c>
      <c r="B427" s="51" t="s">
        <v>8305</v>
      </c>
      <c r="C427" s="51" t="s">
        <v>8304</v>
      </c>
      <c r="D427" s="51" t="s">
        <v>9240</v>
      </c>
      <c r="E427" s="51" t="s">
        <v>8306</v>
      </c>
      <c r="F427" s="51" t="s">
        <v>7186</v>
      </c>
      <c r="G427" s="51" t="s">
        <v>6611</v>
      </c>
      <c r="H427" s="51" t="s">
        <v>7187</v>
      </c>
      <c r="I427" s="51" t="s">
        <v>8307</v>
      </c>
      <c r="J427" s="51"/>
      <c r="K427" s="51"/>
      <c r="L427" s="51" t="n">
        <v>-19.8746782995437</v>
      </c>
      <c r="M427" s="51" t="n">
        <v>-43.9845390493975</v>
      </c>
      <c r="N427" s="51" t="n">
        <v>606310.6</v>
      </c>
      <c r="O427" s="51" t="n">
        <v>7802066</v>
      </c>
    </row>
    <row r="428" ht="71.25" customHeight="1">
      <c r="A428" s="51" t="s">
        <v>9241</v>
      </c>
      <c r="B428" s="51" t="s">
        <v>8309</v>
      </c>
      <c r="C428" s="51" t="s">
        <v>8308</v>
      </c>
      <c r="D428" s="51" t="s">
        <v>9242</v>
      </c>
      <c r="E428" s="51" t="s">
        <v>8310</v>
      </c>
      <c r="F428" s="51" t="s">
        <v>7186</v>
      </c>
      <c r="G428" s="51" t="s">
        <v>6611</v>
      </c>
      <c r="H428" s="51" t="s">
        <v>7187</v>
      </c>
      <c r="I428" s="51" t="s">
        <v>8311</v>
      </c>
      <c r="J428" s="51"/>
      <c r="K428" s="51"/>
      <c r="L428" s="51" t="n">
        <v>-19.8740329099774</v>
      </c>
      <c r="M428" s="51" t="n">
        <v>-43.9844942824734</v>
      </c>
      <c r="N428" s="51" t="n">
        <v>606315.8</v>
      </c>
      <c r="O428" s="51" t="n">
        <v>7802138</v>
      </c>
    </row>
    <row r="429" ht="85.5" customHeight="1">
      <c r="A429" s="51" t="s">
        <v>9243</v>
      </c>
      <c r="B429" s="51" t="s">
        <v>8313</v>
      </c>
      <c r="C429" s="51" t="s">
        <v>8312</v>
      </c>
      <c r="D429" s="51" t="s">
        <v>9244</v>
      </c>
      <c r="E429" s="51" t="s">
        <v>8314</v>
      </c>
      <c r="F429" s="51" t="s">
        <v>7704</v>
      </c>
      <c r="G429" s="51" t="s">
        <v>6583</v>
      </c>
      <c r="H429" s="51" t="s">
        <v>6766</v>
      </c>
      <c r="I429" s="51" t="s">
        <v>8315</v>
      </c>
      <c r="J429" s="51"/>
      <c r="K429" s="51"/>
      <c r="L429" s="51" t="n">
        <v>-19.9285449902846</v>
      </c>
      <c r="M429" s="51" t="n">
        <v>-44.0061926111939</v>
      </c>
      <c r="N429" s="51" t="n">
        <v>604008.3</v>
      </c>
      <c r="O429" s="51" t="n">
        <v>7796118</v>
      </c>
    </row>
    <row r="430" ht="85.5" customHeight="1">
      <c r="A430" s="51" t="s">
        <v>9245</v>
      </c>
      <c r="B430" s="51" t="s">
        <v>8313</v>
      </c>
      <c r="C430" s="51" t="s">
        <v>8312</v>
      </c>
      <c r="D430" s="51" t="s">
        <v>9246</v>
      </c>
      <c r="E430" s="51" t="s">
        <v>8314</v>
      </c>
      <c r="F430" s="51" t="s">
        <v>7704</v>
      </c>
      <c r="G430" s="51" t="s">
        <v>6583</v>
      </c>
      <c r="H430" s="51" t="s">
        <v>6766</v>
      </c>
      <c r="I430" s="51" t="s">
        <v>8315</v>
      </c>
      <c r="J430" s="51"/>
      <c r="K430" s="51"/>
      <c r="L430" s="51" t="n">
        <v>-19.9285449902846</v>
      </c>
      <c r="M430" s="51" t="n">
        <v>-44.0061926111939</v>
      </c>
      <c r="N430" s="51" t="n">
        <v>604008.3</v>
      </c>
      <c r="O430" s="51" t="n">
        <v>7796118</v>
      </c>
    </row>
    <row r="431" ht="42.75" customHeight="1">
      <c r="A431" s="51" t="s">
        <v>9247</v>
      </c>
      <c r="B431" s="51" t="s">
        <v>8317</v>
      </c>
      <c r="C431" s="51" t="s">
        <v>8316</v>
      </c>
      <c r="D431" s="51" t="s">
        <v>9248</v>
      </c>
      <c r="E431" s="51" t="s">
        <v>8316</v>
      </c>
      <c r="F431" s="51" t="s">
        <v>7071</v>
      </c>
      <c r="G431" s="51" t="s">
        <v>6647</v>
      </c>
      <c r="H431" s="51" t="s">
        <v>6824</v>
      </c>
      <c r="I431" s="51" t="s">
        <v>8318</v>
      </c>
      <c r="J431" s="51"/>
      <c r="K431" s="51"/>
      <c r="L431" s="51" t="n">
        <v>-19.9060044036581</v>
      </c>
      <c r="M431" s="51" t="n">
        <v>-43.9149515388547</v>
      </c>
      <c r="N431" s="51" t="n">
        <v>613574.2</v>
      </c>
      <c r="O431" s="51" t="n">
        <v>7798554</v>
      </c>
    </row>
    <row r="432" ht="42.75" customHeight="1">
      <c r="A432" s="51" t="s">
        <v>9249</v>
      </c>
      <c r="B432" s="51" t="s">
        <v>8320</v>
      </c>
      <c r="C432" s="51" t="s">
        <v>8319</v>
      </c>
      <c r="D432" s="51" t="s">
        <v>9250</v>
      </c>
      <c r="E432" s="51" t="s">
        <v>8321</v>
      </c>
      <c r="F432" s="51" t="s">
        <v>7498</v>
      </c>
      <c r="G432" s="51" t="s">
        <v>6583</v>
      </c>
      <c r="H432" s="51" t="s">
        <v>6591</v>
      </c>
      <c r="I432" s="51" t="s">
        <v>8322</v>
      </c>
      <c r="J432" s="51"/>
      <c r="K432" s="51"/>
      <c r="L432" s="51" t="n">
        <v>-19.8931307767938</v>
      </c>
      <c r="M432" s="51" t="n">
        <v>-44.0113376963289</v>
      </c>
      <c r="N432" s="51" t="n">
        <v>603492.8</v>
      </c>
      <c r="O432" s="51" t="n">
        <v>7800041</v>
      </c>
    </row>
    <row r="433" ht="85.5" customHeight="1">
      <c r="A433" s="51" t="s">
        <v>9251</v>
      </c>
      <c r="B433" s="51" t="s">
        <v>8324</v>
      </c>
      <c r="C433" s="51" t="s">
        <v>8323</v>
      </c>
      <c r="D433" s="51" t="s">
        <v>9252</v>
      </c>
      <c r="E433" s="51" t="s">
        <v>8325</v>
      </c>
      <c r="F433" s="51" t="s">
        <v>8283</v>
      </c>
      <c r="G433" s="51" t="s">
        <v>6611</v>
      </c>
      <c r="H433" s="51" t="s">
        <v>7187</v>
      </c>
      <c r="I433" s="51" t="s">
        <v>8326</v>
      </c>
      <c r="J433" s="51"/>
      <c r="K433" s="51"/>
      <c r="L433" s="51" t="n">
        <v>-19.8727496152534</v>
      </c>
      <c r="M433" s="51" t="n">
        <v>-43.992039288332</v>
      </c>
      <c r="N433" s="51" t="n">
        <v>605526.6</v>
      </c>
      <c r="O433" s="51" t="n">
        <v>7802285</v>
      </c>
    </row>
    <row r="434" ht="42.75" customHeight="1">
      <c r="A434" s="51" t="s">
        <v>9253</v>
      </c>
      <c r="B434" s="51" t="s">
        <v>8328</v>
      </c>
      <c r="C434" s="51" t="s">
        <v>8327</v>
      </c>
      <c r="D434" s="51" t="s">
        <v>9254</v>
      </c>
      <c r="E434" s="51" t="s">
        <v>8329</v>
      </c>
      <c r="F434" s="51" t="s">
        <v>6773</v>
      </c>
      <c r="G434" s="51" t="s">
        <v>6627</v>
      </c>
      <c r="H434" s="51" t="s">
        <v>6628</v>
      </c>
      <c r="I434" s="51" t="s">
        <v>8330</v>
      </c>
      <c r="J434" s="51"/>
      <c r="K434" s="51"/>
      <c r="L434" s="51" t="n">
        <v>-19.9414587871563</v>
      </c>
      <c r="M434" s="51" t="n">
        <v>-43.9840384503864</v>
      </c>
      <c r="N434" s="51" t="n">
        <v>606318.4</v>
      </c>
      <c r="O434" s="51" t="n">
        <v>7794675</v>
      </c>
    </row>
    <row r="435" ht="57" customHeight="1">
      <c r="A435" s="51" t="s">
        <v>9255</v>
      </c>
      <c r="B435" s="51" t="s">
        <v>8332</v>
      </c>
      <c r="C435" s="51" t="s">
        <v>8331</v>
      </c>
      <c r="D435" s="51" t="s">
        <v>9256</v>
      </c>
      <c r="E435" s="51" t="s">
        <v>8333</v>
      </c>
      <c r="F435" s="51" t="s">
        <v>6856</v>
      </c>
      <c r="G435" s="51" t="s">
        <v>6689</v>
      </c>
      <c r="H435" s="51" t="s">
        <v>6857</v>
      </c>
      <c r="I435" s="51" t="s">
        <v>8334</v>
      </c>
      <c r="J435" s="51"/>
      <c r="K435" s="51"/>
      <c r="L435" s="51" t="n">
        <v>-19.9945964929412</v>
      </c>
      <c r="M435" s="51" t="n">
        <v>-44.0046613816884</v>
      </c>
      <c r="N435" s="51" t="n">
        <v>604125.2</v>
      </c>
      <c r="O435" s="51" t="n">
        <v>7788807</v>
      </c>
    </row>
    <row r="436" ht="42.75" customHeight="1">
      <c r="A436" s="51" t="s">
        <v>9257</v>
      </c>
      <c r="B436" s="51" t="s">
        <v>8336</v>
      </c>
      <c r="C436" s="51" t="s">
        <v>8335</v>
      </c>
      <c r="D436" s="51" t="s">
        <v>9258</v>
      </c>
      <c r="E436" s="51" t="s">
        <v>8335</v>
      </c>
      <c r="F436" s="51" t="s">
        <v>6899</v>
      </c>
      <c r="G436" s="51" t="s">
        <v>6794</v>
      </c>
      <c r="H436" s="51" t="s">
        <v>6900</v>
      </c>
      <c r="I436" s="51" t="s">
        <v>8337</v>
      </c>
      <c r="J436" s="51"/>
      <c r="K436" s="51"/>
      <c r="L436" s="51" t="n">
        <v>-19.8982847558759</v>
      </c>
      <c r="M436" s="51" t="n">
        <v>-43.9385169960753</v>
      </c>
      <c r="N436" s="51" t="n">
        <v>611112.7</v>
      </c>
      <c r="O436" s="51" t="n">
        <v>7799424</v>
      </c>
    </row>
    <row r="437" ht="42.75" customHeight="1">
      <c r="A437" s="51" t="s">
        <v>9259</v>
      </c>
      <c r="B437" s="51" t="s">
        <v>8339</v>
      </c>
      <c r="C437" s="51" t="s">
        <v>8338</v>
      </c>
      <c r="D437" s="51" t="s">
        <v>9260</v>
      </c>
      <c r="E437" s="51" t="s">
        <v>8340</v>
      </c>
      <c r="F437" s="51" t="s">
        <v>7076</v>
      </c>
      <c r="G437" s="51" t="s">
        <v>6689</v>
      </c>
      <c r="H437" s="51" t="s">
        <v>6690</v>
      </c>
      <c r="I437" s="51" t="s">
        <v>8341</v>
      </c>
      <c r="J437" s="51"/>
      <c r="K437" s="51"/>
      <c r="L437" s="51" t="n">
        <v>-20.0154643178959</v>
      </c>
      <c r="M437" s="51" t="n">
        <v>-44.0247034309138</v>
      </c>
      <c r="N437" s="51" t="n">
        <v>602015</v>
      </c>
      <c r="O437" s="51" t="n">
        <v>7786510</v>
      </c>
    </row>
    <row r="438" ht="42.75" customHeight="1">
      <c r="A438" s="51" t="s">
        <v>9261</v>
      </c>
      <c r="B438" s="51" t="s">
        <v>8343</v>
      </c>
      <c r="C438" s="51" t="s">
        <v>8342</v>
      </c>
      <c r="D438" s="51" t="s">
        <v>9262</v>
      </c>
      <c r="E438" s="51" t="s">
        <v>8344</v>
      </c>
      <c r="F438" s="51" t="s">
        <v>8345</v>
      </c>
      <c r="G438" s="51" t="s">
        <v>6689</v>
      </c>
      <c r="H438" s="51" t="s">
        <v>6857</v>
      </c>
      <c r="I438" s="51" t="s">
        <v>8346</v>
      </c>
      <c r="J438" s="51"/>
      <c r="K438" s="51"/>
      <c r="L438" s="51" t="n">
        <v>-19.9884136722747</v>
      </c>
      <c r="M438" s="51" t="n">
        <v>-43.9954059432679</v>
      </c>
      <c r="N438" s="51" t="n">
        <v>605097.6</v>
      </c>
      <c r="O438" s="51" t="n">
        <v>7789486</v>
      </c>
    </row>
    <row r="439">
      <c r="A439" s="51" t="s">
        <v>9263</v>
      </c>
      <c r="B439" s="51" t="s">
        <v>8348</v>
      </c>
      <c r="C439" s="51" t="s">
        <v>8347</v>
      </c>
      <c r="D439" s="51" t="s">
        <v>9264</v>
      </c>
      <c r="E439" s="51" t="s">
        <v>8347</v>
      </c>
      <c r="F439" s="51" t="s">
        <v>6913</v>
      </c>
      <c r="G439" s="51" t="s">
        <v>6627</v>
      </c>
      <c r="H439" s="51" t="s">
        <v>6681</v>
      </c>
      <c r="I439" s="51" t="s">
        <v>8349</v>
      </c>
      <c r="J439" s="51"/>
      <c r="K439" s="51"/>
      <c r="L439" s="51" t="n">
        <v>-19.9605649074074</v>
      </c>
      <c r="M439" s="51" t="n">
        <v>-43.9968904444444</v>
      </c>
      <c r="N439" s="51" t="n">
        <v>604960.749658936</v>
      </c>
      <c r="O439" s="51" t="n">
        <v>7792568.89283822</v>
      </c>
    </row>
    <row r="440" ht="42.75" customHeight="1">
      <c r="A440" s="51" t="s">
        <v>9265</v>
      </c>
      <c r="B440" s="51" t="s">
        <v>8351</v>
      </c>
      <c r="C440" s="51" t="s">
        <v>8350</v>
      </c>
      <c r="D440" s="51" t="s">
        <v>9155</v>
      </c>
      <c r="E440" s="51" t="s">
        <v>8350</v>
      </c>
      <c r="F440" s="51" t="s">
        <v>8116</v>
      </c>
      <c r="G440" s="51" t="s">
        <v>6627</v>
      </c>
      <c r="H440" s="51" t="s">
        <v>7576</v>
      </c>
      <c r="I440" s="51" t="s">
        <v>8352</v>
      </c>
      <c r="J440" s="51"/>
      <c r="K440" s="51"/>
      <c r="L440" s="51" t="n">
        <v>-19.9726334162535</v>
      </c>
      <c r="M440" s="51" t="n">
        <v>-43.9768709186131</v>
      </c>
      <c r="N440" s="51" t="n">
        <v>607047.5</v>
      </c>
      <c r="O440" s="51" t="n">
        <v>7791221</v>
      </c>
    </row>
    <row r="441" ht="42.75" customHeight="1">
      <c r="A441" s="51" t="s">
        <v>9266</v>
      </c>
      <c r="B441" s="51" t="s">
        <v>8351</v>
      </c>
      <c r="C441" s="51" t="s">
        <v>8350</v>
      </c>
      <c r="D441" s="51" t="s">
        <v>9267</v>
      </c>
      <c r="E441" s="51" t="s">
        <v>8350</v>
      </c>
      <c r="F441" s="51" t="s">
        <v>8116</v>
      </c>
      <c r="G441" s="51" t="s">
        <v>6627</v>
      </c>
      <c r="H441" s="51" t="s">
        <v>7576</v>
      </c>
      <c r="I441" s="51" t="s">
        <v>8352</v>
      </c>
      <c r="J441" s="51"/>
      <c r="K441" s="51"/>
      <c r="L441" s="51" t="n">
        <v>-19.9726334162535</v>
      </c>
      <c r="M441" s="51" t="n">
        <v>-43.9768709186131</v>
      </c>
      <c r="N441" s="51" t="n">
        <v>607047.5</v>
      </c>
      <c r="O441" s="51" t="n">
        <v>7791221</v>
      </c>
    </row>
    <row r="442" ht="99.75" customHeight="1">
      <c r="A442" s="51" t="s">
        <v>9268</v>
      </c>
      <c r="B442" s="51" t="s">
        <v>8354</v>
      </c>
      <c r="C442" s="51" t="s">
        <v>8353</v>
      </c>
      <c r="D442" s="51" t="s">
        <v>9269</v>
      </c>
      <c r="E442" s="51" t="s">
        <v>8355</v>
      </c>
      <c r="F442" s="51" t="s">
        <v>7076</v>
      </c>
      <c r="G442" s="51" t="s">
        <v>6689</v>
      </c>
      <c r="H442" s="51" t="s">
        <v>6690</v>
      </c>
      <c r="I442" s="51" t="s">
        <v>8356</v>
      </c>
      <c r="J442" s="51"/>
      <c r="K442" s="51"/>
      <c r="L442" s="51" t="n">
        <v>-20.0162318744871</v>
      </c>
      <c r="M442" s="51" t="n">
        <v>-44.0241704790606</v>
      </c>
      <c r="N442" s="51" t="n">
        <v>602070.2</v>
      </c>
      <c r="O442" s="51" t="n">
        <v>7786425</v>
      </c>
    </row>
    <row r="443" ht="99.75" customHeight="1">
      <c r="A443" s="51" t="s">
        <v>9270</v>
      </c>
      <c r="B443" s="51" t="s">
        <v>8354</v>
      </c>
      <c r="C443" s="51" t="s">
        <v>8353</v>
      </c>
      <c r="D443" s="51" t="s">
        <v>9271</v>
      </c>
      <c r="E443" s="51" t="s">
        <v>8355</v>
      </c>
      <c r="F443" s="51" t="s">
        <v>7076</v>
      </c>
      <c r="G443" s="51" t="s">
        <v>6689</v>
      </c>
      <c r="H443" s="51" t="s">
        <v>6690</v>
      </c>
      <c r="I443" s="51" t="s">
        <v>8356</v>
      </c>
      <c r="J443" s="51"/>
      <c r="K443" s="51"/>
      <c r="L443" s="51" t="n">
        <v>-20.0162318744871</v>
      </c>
      <c r="M443" s="51" t="n">
        <v>-44.0241704790606</v>
      </c>
      <c r="N443" s="51" t="n">
        <v>602070.2</v>
      </c>
      <c r="O443" s="51" t="n">
        <v>7786425</v>
      </c>
    </row>
    <row r="444" ht="42.75" customHeight="1">
      <c r="A444" s="51" t="s">
        <v>9272</v>
      </c>
      <c r="B444" s="51" t="s">
        <v>8358</v>
      </c>
      <c r="C444" s="51" t="s">
        <v>8357</v>
      </c>
      <c r="D444" s="51" t="s">
        <v>9273</v>
      </c>
      <c r="E444" s="51" t="s">
        <v>8357</v>
      </c>
      <c r="F444" s="51" t="s">
        <v>7076</v>
      </c>
      <c r="G444" s="51" t="s">
        <v>6689</v>
      </c>
      <c r="H444" s="51" t="s">
        <v>6690</v>
      </c>
      <c r="I444" s="51" t="s">
        <v>8356</v>
      </c>
      <c r="J444" s="51" t="s">
        <v>8359</v>
      </c>
      <c r="K444" s="51"/>
      <c r="L444" s="51" t="n">
        <v>-20.0166705955026</v>
      </c>
      <c r="M444" s="51" t="n">
        <v>-44.0300514160453</v>
      </c>
      <c r="N444" s="51" t="n">
        <v>601454.742609138</v>
      </c>
      <c r="O444" s="51" t="n">
        <v>7786379.95706476</v>
      </c>
    </row>
    <row r="445" ht="85.5" customHeight="1">
      <c r="A445" s="51" t="s">
        <v>9274</v>
      </c>
      <c r="B445" s="51" t="s">
        <v>8361</v>
      </c>
      <c r="C445" s="51" t="s">
        <v>8360</v>
      </c>
      <c r="D445" s="51" t="s">
        <v>9275</v>
      </c>
      <c r="E445" s="51" t="s">
        <v>8362</v>
      </c>
      <c r="F445" s="51" t="s">
        <v>7848</v>
      </c>
      <c r="G445" s="51" t="s">
        <v>6689</v>
      </c>
      <c r="H445" s="51" t="s">
        <v>6995</v>
      </c>
      <c r="I445" s="51" t="s">
        <v>8363</v>
      </c>
      <c r="J445" s="51"/>
      <c r="K445" s="51"/>
      <c r="L445" s="51" t="n">
        <v>-19.9886926651333</v>
      </c>
      <c r="M445" s="51" t="n">
        <v>-43.9947978087429</v>
      </c>
      <c r="N445" s="51" t="n">
        <v>605161.1</v>
      </c>
      <c r="O445" s="51" t="n">
        <v>7789455</v>
      </c>
    </row>
    <row r="446" ht="42.75" customHeight="1">
      <c r="A446" s="51" t="s">
        <v>9276</v>
      </c>
      <c r="B446" s="51" t="s">
        <v>8365</v>
      </c>
      <c r="C446" s="51" t="s">
        <v>8364</v>
      </c>
      <c r="D446" s="51" t="s">
        <v>9277</v>
      </c>
      <c r="E446" s="51" t="s">
        <v>8364</v>
      </c>
      <c r="F446" s="51" t="s">
        <v>6946</v>
      </c>
      <c r="G446" s="51" t="s">
        <v>6583</v>
      </c>
      <c r="H446" s="51" t="s">
        <v>6591</v>
      </c>
      <c r="I446" s="51" t="s">
        <v>8366</v>
      </c>
      <c r="J446" s="51"/>
      <c r="K446" s="51"/>
      <c r="L446" s="51" t="n">
        <v>-19.9272518685182</v>
      </c>
      <c r="M446" s="51" t="n">
        <v>-44.0134744274375</v>
      </c>
      <c r="N446" s="51" t="n">
        <v>603247</v>
      </c>
      <c r="O446" s="51" t="n">
        <v>7796266</v>
      </c>
    </row>
    <row r="447" ht="28.5" customHeight="1">
      <c r="A447" s="51" t="s">
        <v>9278</v>
      </c>
      <c r="B447" s="51" t="s">
        <v>8368</v>
      </c>
      <c r="C447" s="51" t="s">
        <v>8367</v>
      </c>
      <c r="D447" s="51" t="s">
        <v>9279</v>
      </c>
      <c r="E447" s="51" t="s">
        <v>8369</v>
      </c>
      <c r="F447" s="51" t="s">
        <v>6816</v>
      </c>
      <c r="G447" s="51" t="s">
        <v>6722</v>
      </c>
      <c r="H447" s="51" t="s">
        <v>6817</v>
      </c>
      <c r="I447" s="51" t="s">
        <v>8370</v>
      </c>
      <c r="J447" s="51" t="s">
        <v>8371</v>
      </c>
      <c r="K447" s="51"/>
      <c r="L447" s="51" t="n">
        <v>-19.8474474448083</v>
      </c>
      <c r="M447" s="51" t="n">
        <v>-43.9487364508758</v>
      </c>
      <c r="N447" s="51" t="n">
        <v>610077.996928716</v>
      </c>
      <c r="O447" s="51" t="n">
        <v>7805057.1239922</v>
      </c>
    </row>
    <row r="448" ht="28.5" customHeight="1">
      <c r="A448" s="51" t="s">
        <v>9280</v>
      </c>
      <c r="B448" s="51" t="s">
        <v>8373</v>
      </c>
      <c r="C448" s="51" t="s">
        <v>8372</v>
      </c>
      <c r="D448" s="51" t="s">
        <v>9281</v>
      </c>
      <c r="E448" s="51" t="s">
        <v>8374</v>
      </c>
      <c r="F448" s="51" t="s">
        <v>7657</v>
      </c>
      <c r="G448" s="51" t="s">
        <v>6660</v>
      </c>
      <c r="H448" s="51" t="s">
        <v>6661</v>
      </c>
      <c r="I448" s="51" t="s">
        <v>8375</v>
      </c>
      <c r="J448" s="51" t="s">
        <v>8376</v>
      </c>
      <c r="K448" s="51" t="s">
        <v>8377</v>
      </c>
      <c r="L448" s="51" t="n">
        <v>-19.925058</v>
      </c>
      <c r="M448" s="51" t="n">
        <v>-43.925945</v>
      </c>
      <c r="N448" s="51" t="n">
        <v>612409.931449021</v>
      </c>
      <c r="O448" s="51" t="n">
        <v>7796452.65064752</v>
      </c>
    </row>
    <row r="449" ht="28.5" customHeight="1">
      <c r="A449" s="51" t="s">
        <v>9282</v>
      </c>
      <c r="B449" s="51" t="s">
        <v>8373</v>
      </c>
      <c r="C449" s="51" t="s">
        <v>8372</v>
      </c>
      <c r="D449" s="51" t="s">
        <v>9283</v>
      </c>
      <c r="E449" s="51" t="s">
        <v>8374</v>
      </c>
      <c r="F449" s="51" t="s">
        <v>7657</v>
      </c>
      <c r="G449" s="51" t="s">
        <v>6660</v>
      </c>
      <c r="H449" s="51" t="s">
        <v>6661</v>
      </c>
      <c r="I449" s="51" t="s">
        <v>8375</v>
      </c>
      <c r="J449" s="51" t="s">
        <v>8376</v>
      </c>
      <c r="K449" s="51" t="s">
        <v>8377</v>
      </c>
      <c r="L449" s="51" t="n">
        <v>-19.925058</v>
      </c>
      <c r="M449" s="51" t="n">
        <v>-43.925945</v>
      </c>
      <c r="N449" s="51" t="n">
        <v>612409.931449021</v>
      </c>
      <c r="O449" s="51" t="n">
        <v>7796452.65064752</v>
      </c>
    </row>
    <row r="450" ht="28.5" customHeight="1">
      <c r="A450" s="51" t="s">
        <v>9284</v>
      </c>
      <c r="B450" s="51" t="s">
        <v>8373</v>
      </c>
      <c r="C450" s="51" t="s">
        <v>8372</v>
      </c>
      <c r="D450" s="51" t="s">
        <v>9285</v>
      </c>
      <c r="E450" s="51" t="s">
        <v>8374</v>
      </c>
      <c r="F450" s="51" t="s">
        <v>7657</v>
      </c>
      <c r="G450" s="51" t="s">
        <v>6660</v>
      </c>
      <c r="H450" s="51" t="s">
        <v>6661</v>
      </c>
      <c r="I450" s="51" t="s">
        <v>8375</v>
      </c>
      <c r="J450" s="51" t="s">
        <v>8376</v>
      </c>
      <c r="K450" s="51" t="s">
        <v>8377</v>
      </c>
      <c r="L450" s="51" t="n">
        <v>-19.925058</v>
      </c>
      <c r="M450" s="51" t="n">
        <v>-43.925945</v>
      </c>
      <c r="N450" s="51" t="n">
        <v>612409.931449021</v>
      </c>
      <c r="O450" s="51" t="n">
        <v>7796452.65064752</v>
      </c>
    </row>
    <row r="451" ht="28.5" customHeight="1">
      <c r="A451" s="51" t="s">
        <v>9286</v>
      </c>
      <c r="B451" s="51" t="s">
        <v>8373</v>
      </c>
      <c r="C451" s="51" t="s">
        <v>8372</v>
      </c>
      <c r="D451" s="51" t="s">
        <v>9287</v>
      </c>
      <c r="E451" s="51" t="s">
        <v>8374</v>
      </c>
      <c r="F451" s="51" t="s">
        <v>7657</v>
      </c>
      <c r="G451" s="51" t="s">
        <v>6660</v>
      </c>
      <c r="H451" s="51" t="s">
        <v>6661</v>
      </c>
      <c r="I451" s="51" t="s">
        <v>8375</v>
      </c>
      <c r="J451" s="51" t="s">
        <v>8376</v>
      </c>
      <c r="K451" s="51" t="s">
        <v>8377</v>
      </c>
      <c r="L451" s="51" t="n">
        <v>-19.925058</v>
      </c>
      <c r="M451" s="51" t="n">
        <v>-43.925945</v>
      </c>
      <c r="N451" s="51" t="n">
        <v>612409.931449021</v>
      </c>
      <c r="O451" s="51" t="n">
        <v>7796452.65064752</v>
      </c>
    </row>
    <row r="452" ht="28.5" customHeight="1">
      <c r="A452" s="51" t="s">
        <v>9288</v>
      </c>
      <c r="B452" s="51" t="s">
        <v>8373</v>
      </c>
      <c r="C452" s="51" t="s">
        <v>8372</v>
      </c>
      <c r="D452" s="51" t="s">
        <v>9289</v>
      </c>
      <c r="E452" s="51" t="s">
        <v>8374</v>
      </c>
      <c r="F452" s="51" t="s">
        <v>7657</v>
      </c>
      <c r="G452" s="51" t="s">
        <v>6660</v>
      </c>
      <c r="H452" s="51" t="s">
        <v>6661</v>
      </c>
      <c r="I452" s="51" t="s">
        <v>8375</v>
      </c>
      <c r="J452" s="51" t="s">
        <v>8376</v>
      </c>
      <c r="K452" s="51" t="s">
        <v>8377</v>
      </c>
      <c r="L452" s="51" t="n">
        <v>-19.925058</v>
      </c>
      <c r="M452" s="51" t="n">
        <v>-43.925945</v>
      </c>
      <c r="N452" s="51" t="n">
        <v>612409.931449021</v>
      </c>
      <c r="O452" s="51" t="n">
        <v>7796452.65064752</v>
      </c>
    </row>
    <row r="453" ht="28.5" customHeight="1">
      <c r="A453" s="51" t="s">
        <v>9290</v>
      </c>
      <c r="B453" s="51" t="s">
        <v>8373</v>
      </c>
      <c r="C453" s="51" t="s">
        <v>8372</v>
      </c>
      <c r="D453" s="51" t="s">
        <v>9291</v>
      </c>
      <c r="E453" s="51" t="s">
        <v>8374</v>
      </c>
      <c r="F453" s="51" t="s">
        <v>7657</v>
      </c>
      <c r="G453" s="51" t="s">
        <v>6660</v>
      </c>
      <c r="H453" s="51" t="s">
        <v>6661</v>
      </c>
      <c r="I453" s="51" t="s">
        <v>8375</v>
      </c>
      <c r="J453" s="51" t="s">
        <v>8376</v>
      </c>
      <c r="K453" s="51" t="s">
        <v>8377</v>
      </c>
      <c r="L453" s="51" t="n">
        <v>-19.925058</v>
      </c>
      <c r="M453" s="51" t="n">
        <v>-43.925945</v>
      </c>
      <c r="N453" s="51" t="n">
        <v>612409.931449021</v>
      </c>
      <c r="O453" s="51" t="n">
        <v>7796452.65064752</v>
      </c>
    </row>
    <row r="454" ht="28.5" customHeight="1">
      <c r="A454" s="51" t="s">
        <v>9292</v>
      </c>
      <c r="B454" s="51" t="s">
        <v>8373</v>
      </c>
      <c r="C454" s="51" t="s">
        <v>8372</v>
      </c>
      <c r="D454" s="51" t="s">
        <v>9293</v>
      </c>
      <c r="E454" s="51" t="s">
        <v>8374</v>
      </c>
      <c r="F454" s="51" t="s">
        <v>7657</v>
      </c>
      <c r="G454" s="51" t="s">
        <v>6660</v>
      </c>
      <c r="H454" s="51" t="s">
        <v>6661</v>
      </c>
      <c r="I454" s="51" t="s">
        <v>8375</v>
      </c>
      <c r="J454" s="51" t="s">
        <v>8376</v>
      </c>
      <c r="K454" s="51" t="s">
        <v>8377</v>
      </c>
      <c r="L454" s="51" t="n">
        <v>-19.925058</v>
      </c>
      <c r="M454" s="51" t="n">
        <v>-43.925945</v>
      </c>
      <c r="N454" s="51" t="n">
        <v>612409.931449021</v>
      </c>
      <c r="O454" s="51" t="n">
        <v>7796452.65064752</v>
      </c>
    </row>
    <row r="455" ht="28.5" customHeight="1">
      <c r="A455" s="51" t="s">
        <v>9294</v>
      </c>
      <c r="B455" s="51" t="s">
        <v>8373</v>
      </c>
      <c r="C455" s="51" t="s">
        <v>8372</v>
      </c>
      <c r="D455" s="51" t="s">
        <v>9295</v>
      </c>
      <c r="E455" s="51" t="s">
        <v>8374</v>
      </c>
      <c r="F455" s="51" t="s">
        <v>7657</v>
      </c>
      <c r="G455" s="51" t="s">
        <v>6660</v>
      </c>
      <c r="H455" s="51" t="s">
        <v>6661</v>
      </c>
      <c r="I455" s="51" t="s">
        <v>8375</v>
      </c>
      <c r="J455" s="51" t="s">
        <v>8376</v>
      </c>
      <c r="K455" s="51" t="s">
        <v>8377</v>
      </c>
      <c r="L455" s="51" t="n">
        <v>-19.925058</v>
      </c>
      <c r="M455" s="51" t="n">
        <v>-43.925945</v>
      </c>
      <c r="N455" s="51" t="n">
        <v>612409.931449021</v>
      </c>
      <c r="O455" s="51" t="n">
        <v>7796452.65064752</v>
      </c>
    </row>
    <row r="456" ht="28.5" customHeight="1">
      <c r="A456" s="51" t="s">
        <v>9296</v>
      </c>
      <c r="B456" s="51" t="s">
        <v>8373</v>
      </c>
      <c r="C456" s="51" t="s">
        <v>8372</v>
      </c>
      <c r="D456" s="51" t="s">
        <v>9297</v>
      </c>
      <c r="E456" s="51" t="s">
        <v>8374</v>
      </c>
      <c r="F456" s="51" t="s">
        <v>7657</v>
      </c>
      <c r="G456" s="51" t="s">
        <v>6660</v>
      </c>
      <c r="H456" s="51" t="s">
        <v>6661</v>
      </c>
      <c r="I456" s="51" t="s">
        <v>8375</v>
      </c>
      <c r="J456" s="51" t="s">
        <v>8376</v>
      </c>
      <c r="K456" s="51" t="s">
        <v>8377</v>
      </c>
      <c r="L456" s="51" t="n">
        <v>-19.925058</v>
      </c>
      <c r="M456" s="51" t="n">
        <v>-43.925945</v>
      </c>
      <c r="N456" s="51" t="n">
        <v>612409.931449021</v>
      </c>
      <c r="O456" s="51" t="n">
        <v>7796452.65064752</v>
      </c>
    </row>
    <row r="457" ht="28.5" customHeight="1">
      <c r="A457" s="51" t="s">
        <v>9298</v>
      </c>
      <c r="B457" s="51" t="s">
        <v>8373</v>
      </c>
      <c r="C457" s="51" t="s">
        <v>8372</v>
      </c>
      <c r="D457" s="51" t="s">
        <v>9299</v>
      </c>
      <c r="E457" s="51" t="s">
        <v>8374</v>
      </c>
      <c r="F457" s="51" t="s">
        <v>7657</v>
      </c>
      <c r="G457" s="51" t="s">
        <v>6660</v>
      </c>
      <c r="H457" s="51" t="s">
        <v>6661</v>
      </c>
      <c r="I457" s="51" t="s">
        <v>8375</v>
      </c>
      <c r="J457" s="51" t="s">
        <v>8376</v>
      </c>
      <c r="K457" s="51" t="s">
        <v>8377</v>
      </c>
      <c r="L457" s="51" t="n">
        <v>-19.925058</v>
      </c>
      <c r="M457" s="51" t="n">
        <v>-43.925945</v>
      </c>
      <c r="N457" s="51" t="n">
        <v>612409.931449021</v>
      </c>
      <c r="O457" s="51" t="n">
        <v>7796452.65064752</v>
      </c>
    </row>
    <row r="458" ht="28.5" customHeight="1">
      <c r="A458" s="51" t="s">
        <v>9300</v>
      </c>
      <c r="B458" s="51" t="s">
        <v>8379</v>
      </c>
      <c r="C458" s="51" t="s">
        <v>8378</v>
      </c>
      <c r="D458" s="51" t="s">
        <v>9301</v>
      </c>
      <c r="E458" s="51" t="s">
        <v>8380</v>
      </c>
      <c r="F458" s="51" t="s">
        <v>8381</v>
      </c>
      <c r="G458" s="51" t="s">
        <v>6689</v>
      </c>
      <c r="H458" s="51" t="s">
        <v>6857</v>
      </c>
      <c r="I458" s="51" t="s">
        <v>8382</v>
      </c>
      <c r="J458" s="51" t="s">
        <v>7208</v>
      </c>
      <c r="K458" s="51" t="s">
        <v>8383</v>
      </c>
      <c r="L458" s="51" t="n">
        <v>-20.0087496205261</v>
      </c>
      <c r="M458" s="51" t="n">
        <v>-44.0094936072308</v>
      </c>
      <c r="N458" s="51" t="n">
        <v>603610.4</v>
      </c>
      <c r="O458" s="51" t="n">
        <v>7787244</v>
      </c>
    </row>
    <row r="459" ht="28.5" customHeight="1">
      <c r="A459" s="51" t="s">
        <v>9302</v>
      </c>
      <c r="B459" s="51" t="s">
        <v>8385</v>
      </c>
      <c r="C459" s="51" t="s">
        <v>8384</v>
      </c>
      <c r="D459" s="51" t="s">
        <v>9303</v>
      </c>
      <c r="E459" s="51" t="s">
        <v>8386</v>
      </c>
      <c r="F459" s="51" t="s">
        <v>8119</v>
      </c>
      <c r="G459" s="51" t="s">
        <v>6689</v>
      </c>
      <c r="H459" s="51" t="s">
        <v>7475</v>
      </c>
      <c r="I459" s="51" t="s">
        <v>8387</v>
      </c>
      <c r="J459" s="51" t="s">
        <v>6732</v>
      </c>
      <c r="K459" s="51" t="s">
        <v>8388</v>
      </c>
      <c r="L459" s="51" t="n">
        <v>-19.9957323441303</v>
      </c>
      <c r="M459" s="51" t="n">
        <v>-44.0204461891297</v>
      </c>
      <c r="N459" s="51" t="n">
        <v>602473.061151363</v>
      </c>
      <c r="O459" s="51" t="n">
        <v>7788691.39524264</v>
      </c>
    </row>
    <row r="460" ht="28.5" customHeight="1">
      <c r="A460" s="51" t="s">
        <v>9304</v>
      </c>
      <c r="B460" s="51" t="s">
        <v>8385</v>
      </c>
      <c r="C460" s="51" t="s">
        <v>8384</v>
      </c>
      <c r="D460" s="51" t="s">
        <v>9305</v>
      </c>
      <c r="E460" s="51" t="s">
        <v>8386</v>
      </c>
      <c r="F460" s="51" t="s">
        <v>8119</v>
      </c>
      <c r="G460" s="51" t="s">
        <v>6689</v>
      </c>
      <c r="H460" s="51" t="s">
        <v>7475</v>
      </c>
      <c r="I460" s="51" t="s">
        <v>8387</v>
      </c>
      <c r="J460" s="51" t="s">
        <v>6732</v>
      </c>
      <c r="K460" s="51" t="s">
        <v>8388</v>
      </c>
      <c r="L460" s="51" t="n">
        <v>-19.9957323441303</v>
      </c>
      <c r="M460" s="51" t="n">
        <v>-44.0204461891297</v>
      </c>
      <c r="N460" s="51" t="n">
        <v>602473.061151363</v>
      </c>
      <c r="O460" s="51" t="n">
        <v>7788691.39524264</v>
      </c>
    </row>
    <row r="461" ht="28.5" customHeight="1">
      <c r="A461" s="51" t="s">
        <v>9306</v>
      </c>
      <c r="B461" s="51" t="s">
        <v>8390</v>
      </c>
      <c r="C461" s="51" t="s">
        <v>8389</v>
      </c>
      <c r="D461" s="51" t="s">
        <v>9307</v>
      </c>
      <c r="E461" s="51" t="s">
        <v>8391</v>
      </c>
      <c r="F461" s="51" t="s">
        <v>7395</v>
      </c>
      <c r="G461" s="51" t="s">
        <v>6647</v>
      </c>
      <c r="H461" s="51" t="s">
        <v>7228</v>
      </c>
      <c r="I461" s="51" t="s">
        <v>8392</v>
      </c>
      <c r="J461" s="51" t="s">
        <v>8393</v>
      </c>
      <c r="K461" s="51" t="s">
        <v>8394</v>
      </c>
      <c r="L461" s="51" t="n">
        <v>-19.905585535448</v>
      </c>
      <c r="M461" s="51" t="n">
        <v>-43.8967899991966</v>
      </c>
      <c r="N461" s="51" t="n">
        <v>615475.7</v>
      </c>
      <c r="O461" s="51" t="n">
        <v>7798588</v>
      </c>
    </row>
    <row r="462" ht="28.5" customHeight="1">
      <c r="A462" s="51" t="s">
        <v>9308</v>
      </c>
      <c r="B462" s="51" t="s">
        <v>8390</v>
      </c>
      <c r="C462" s="51" t="s">
        <v>8389</v>
      </c>
      <c r="D462" s="51" t="s">
        <v>9309</v>
      </c>
      <c r="E462" s="51" t="s">
        <v>8391</v>
      </c>
      <c r="F462" s="51" t="s">
        <v>7395</v>
      </c>
      <c r="G462" s="51" t="s">
        <v>6647</v>
      </c>
      <c r="H462" s="51" t="s">
        <v>7228</v>
      </c>
      <c r="I462" s="51" t="s">
        <v>8392</v>
      </c>
      <c r="J462" s="51" t="s">
        <v>8393</v>
      </c>
      <c r="K462" s="51" t="s">
        <v>8394</v>
      </c>
      <c r="L462" s="51" t="n">
        <v>-19.905585535448</v>
      </c>
      <c r="M462" s="51" t="n">
        <v>-43.8967899991966</v>
      </c>
      <c r="N462" s="51" t="n">
        <v>615475.7</v>
      </c>
      <c r="O462" s="51" t="n">
        <v>7798588</v>
      </c>
    </row>
    <row r="463" ht="28.5" customHeight="1">
      <c r="A463" s="51" t="s">
        <v>9310</v>
      </c>
      <c r="B463" s="51" t="s">
        <v>8396</v>
      </c>
      <c r="C463" s="51" t="s">
        <v>8395</v>
      </c>
      <c r="D463" s="51" t="s">
        <v>9311</v>
      </c>
      <c r="E463" s="51" t="s">
        <v>8397</v>
      </c>
      <c r="F463" s="51" t="s">
        <v>7388</v>
      </c>
      <c r="G463" s="51" t="s">
        <v>6627</v>
      </c>
      <c r="H463" s="51" t="s">
        <v>6628</v>
      </c>
      <c r="I463" s="51" t="s">
        <v>8398</v>
      </c>
      <c r="J463" s="51" t="s">
        <v>8399</v>
      </c>
      <c r="K463" s="51" t="s">
        <v>8400</v>
      </c>
      <c r="L463" s="51" t="n">
        <v>-19.944287380393</v>
      </c>
      <c r="M463" s="51" t="n">
        <v>-43.9703879526833</v>
      </c>
      <c r="N463" s="51" t="n">
        <v>607745.12363954</v>
      </c>
      <c r="O463" s="51" t="n">
        <v>7794353.58322939</v>
      </c>
    </row>
    <row r="464" ht="28.5" customHeight="1">
      <c r="A464" s="51" t="s">
        <v>9312</v>
      </c>
      <c r="B464" s="51" t="s">
        <v>8402</v>
      </c>
      <c r="C464" s="51" t="s">
        <v>8401</v>
      </c>
      <c r="D464" s="51" t="s">
        <v>9313</v>
      </c>
      <c r="E464" s="51" t="s">
        <v>8403</v>
      </c>
      <c r="F464" s="51" t="s">
        <v>7305</v>
      </c>
      <c r="G464" s="51" t="s">
        <v>6611</v>
      </c>
      <c r="H464" s="51" t="s">
        <v>6612</v>
      </c>
      <c r="I464" s="51" t="s">
        <v>7689</v>
      </c>
      <c r="J464" s="51" t="s">
        <v>8404</v>
      </c>
      <c r="K464" s="51"/>
      <c r="L464" s="51" t="n">
        <v>-19.870547</v>
      </c>
      <c r="M464" s="51" t="n">
        <v>-44.00101</v>
      </c>
      <c r="N464" s="51" t="n">
        <v>604588.839662259</v>
      </c>
      <c r="O464" s="51" t="n">
        <v>7802533.92260554</v>
      </c>
    </row>
    <row r="465" ht="71.25" customHeight="1">
      <c r="A465" s="51" t="s">
        <v>9314</v>
      </c>
      <c r="B465" s="51" t="s">
        <v>8406</v>
      </c>
      <c r="C465" s="51" t="s">
        <v>8405</v>
      </c>
      <c r="D465" s="51" t="s">
        <v>9315</v>
      </c>
      <c r="E465" s="51" t="s">
        <v>8407</v>
      </c>
      <c r="F465" s="51" t="s">
        <v>7111</v>
      </c>
      <c r="G465" s="51" t="s">
        <v>6583</v>
      </c>
      <c r="H465" s="51" t="s">
        <v>6766</v>
      </c>
      <c r="I465" s="51" t="s">
        <v>8408</v>
      </c>
      <c r="J465" s="51" t="s">
        <v>8409</v>
      </c>
      <c r="K465" s="51"/>
      <c r="L465" s="51" t="n">
        <v>-19.926424665852</v>
      </c>
      <c r="M465" s="51" t="n">
        <v>-44.0060979727274</v>
      </c>
      <c r="N465" s="51" t="n">
        <v>604019.6</v>
      </c>
      <c r="O465" s="51" t="n">
        <v>7796353</v>
      </c>
    </row>
    <row r="466">
      <c r="A466" t="s">
        <v>9332</v>
      </c>
      <c r="B466" t="s">
        <v>9333</v>
      </c>
      <c r="C466" t="s">
        <v>9316</v>
      </c>
      <c r="D466" t="s">
        <v>9322</v>
      </c>
      <c r="E466" t="s">
        <v>9317</v>
      </c>
      <c r="F466" t="s">
        <v>7381</v>
      </c>
      <c r="G466" t="s">
        <v>6689</v>
      </c>
      <c r="H466" t="s">
        <v>6690</v>
      </c>
      <c r="I466" t="s">
        <v>9323</v>
      </c>
      <c r="J466" t="s">
        <v>9324</v>
      </c>
      <c r="K466"/>
      <c r="L466"/>
      <c r="M466"/>
      <c r="N466"/>
      <c r="O466"/>
    </row>
    <row r="467">
      <c r="A467" t="s">
        <v>9334</v>
      </c>
      <c r="B467" t="s">
        <v>9335</v>
      </c>
      <c r="C467" t="s">
        <v>9318</v>
      </c>
      <c r="D467" t="s">
        <v>9325</v>
      </c>
      <c r="E467" t="s">
        <v>9319</v>
      </c>
      <c r="F467" t="s">
        <v>9326</v>
      </c>
      <c r="G467" t="s">
        <v>6647</v>
      </c>
      <c r="H467" t="s">
        <v>7228</v>
      </c>
      <c r="I467" t="s">
        <v>8392</v>
      </c>
      <c r="J467" t="s">
        <v>9327</v>
      </c>
      <c r="K467" t="s">
        <v>9327</v>
      </c>
      <c r="L467"/>
      <c r="M467"/>
      <c r="N467"/>
      <c r="O467"/>
    </row>
    <row r="468">
      <c r="A468" t="s">
        <v>9336</v>
      </c>
      <c r="B468" t="s">
        <v>9337</v>
      </c>
      <c r="C468" t="s">
        <v>9320</v>
      </c>
      <c r="D468" t="s">
        <v>9328</v>
      </c>
      <c r="E468" t="s">
        <v>9321</v>
      </c>
      <c r="F468" t="s">
        <v>9329</v>
      </c>
      <c r="G468" t="s">
        <v>6689</v>
      </c>
      <c r="H468" t="s">
        <v>9330</v>
      </c>
      <c r="I468" t="s">
        <v>9331</v>
      </c>
      <c r="J468" t="s">
        <v>9327</v>
      </c>
      <c r="K468" t="s">
        <v>9327</v>
      </c>
      <c r="L468"/>
      <c r="M468"/>
      <c r="N468"/>
      <c r="O468"/>
    </row>
  </sheetData>
  <autoFilter ref="A1:O465"/>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cols>
    <col min="1" max="1" width="16" hidden="0" customWidth="1"/>
    <col min="2" max="2" width="14" hidden="0" customWidth="1"/>
    <col min="3" max="3" width="30" hidden="0" customWidth="1"/>
    <col min="4" max="4" width="52" hidden="0" customWidth="1"/>
    <col min="5" max="5" width="75" hidden="0" customWidth="1"/>
    <col min="6" max="6" width="60" hidden="0" customWidth="1"/>
    <col min="7" max="7" width="45" hidden="0" customWidth="1"/>
    <col min="8" max="8" width="45" hidden="0" customWidth="1"/>
    <col min="9" max="9" width="20" hidden="0" customWidth="1"/>
    <col min="10" max="10" width="16" hidden="0" customWidth="1"/>
    <col min="11" max="11" width="16" hidden="0" customWidth="1"/>
    <col min="12" max="12" width="18" hidden="0" customWidth="1"/>
    <col min="13" max="13" width="45" hidden="0" customWidth="1"/>
  </cols>
  <sheetData>
    <row r="1" ht="30" customHeight="1">
      <c r="A1" s="10" t="s">
        <v>52</v>
      </c>
      <c r="B1" s="10" t="s">
        <v>6496</v>
      </c>
      <c r="C1" s="10" t="s">
        <v>6497</v>
      </c>
      <c r="D1" s="10" t="s">
        <v>6498</v>
      </c>
      <c r="E1" s="10" t="s">
        <v>6499</v>
      </c>
      <c r="F1" s="10" t="s">
        <v>6500</v>
      </c>
      <c r="G1" s="10" t="s">
        <v>6501</v>
      </c>
      <c r="H1" s="10" t="s">
        <v>6502</v>
      </c>
      <c r="I1" s="10" t="s">
        <v>6503</v>
      </c>
      <c r="J1" s="10" t="s">
        <v>6504</v>
      </c>
      <c r="K1" s="10" t="s">
        <v>6505</v>
      </c>
      <c r="L1" s="10" t="s">
        <v>6506</v>
      </c>
      <c r="M1" s="10" t="s">
        <v>6507</v>
      </c>
    </row>
    <row r="2" ht="313.5" customHeight="1">
      <c r="A2" s="20" t="s">
        <v>6508</v>
      </c>
      <c r="B2" s="20" t="s">
        <v>6509</v>
      </c>
      <c r="C2" s="20" t="s">
        <v>6510</v>
      </c>
      <c r="D2" s="20" t="s">
        <v>6511</v>
      </c>
      <c r="E2" s="20" t="s">
        <v>6512</v>
      </c>
      <c r="F2" s="20"/>
      <c r="G2" s="20"/>
      <c r="H2" s="20"/>
      <c r="I2" s="20"/>
      <c r="J2" s="20"/>
      <c r="K2" s="20"/>
      <c r="L2" s="20"/>
      <c r="M2" s="20"/>
    </row>
    <row r="3" ht="71.25" customHeight="1">
      <c r="A3" s="20" t="s">
        <v>6513</v>
      </c>
      <c r="B3" s="20" t="s">
        <v>6514</v>
      </c>
      <c r="C3" s="20" t="s">
        <v>6515</v>
      </c>
      <c r="D3" s="20" t="s">
        <v>6516</v>
      </c>
      <c r="E3" s="20" t="s">
        <v>6517</v>
      </c>
      <c r="F3" s="20"/>
      <c r="G3" s="20" t="s">
        <v>6518</v>
      </c>
      <c r="H3" s="20"/>
      <c r="I3" s="20" t="s">
        <v>871</v>
      </c>
      <c r="J3" s="20"/>
      <c r="K3" s="20"/>
      <c r="L3" s="20"/>
      <c r="M3" s="20"/>
    </row>
    <row r="4" ht="128.25" customHeight="1">
      <c r="A4" s="20" t="s">
        <v>6519</v>
      </c>
      <c r="B4" s="20" t="s">
        <v>6520</v>
      </c>
      <c r="C4" s="20" t="s">
        <v>6521</v>
      </c>
      <c r="D4" s="20" t="s">
        <v>6522</v>
      </c>
      <c r="E4" s="20" t="s">
        <v>6523</v>
      </c>
      <c r="F4" s="20"/>
      <c r="G4" s="20"/>
      <c r="H4" s="20"/>
      <c r="I4" s="20"/>
      <c r="J4" s="20"/>
      <c r="K4" s="20"/>
      <c r="L4" s="20"/>
      <c r="M4" s="20"/>
    </row>
    <row r="5" ht="28.5" customHeight="1">
      <c r="A5" s="20" t="s">
        <v>6524</v>
      </c>
      <c r="B5" s="20" t="s">
        <v>6514</v>
      </c>
      <c r="C5" s="20" t="s">
        <v>6525</v>
      </c>
      <c r="D5" s="20" t="s">
        <v>6526</v>
      </c>
      <c r="E5" s="20" t="s">
        <v>6527</v>
      </c>
      <c r="F5" s="20"/>
      <c r="G5" s="20"/>
      <c r="H5" s="20"/>
      <c r="I5" s="20"/>
      <c r="J5" s="20"/>
      <c r="K5" s="20"/>
      <c r="L5" s="20"/>
      <c r="M5" s="20"/>
    </row>
    <row r="6" ht="199.5" customHeight="1">
      <c r="A6" s="20" t="s">
        <v>6528</v>
      </c>
      <c r="B6" s="20" t="s">
        <v>6529</v>
      </c>
      <c r="C6" s="20" t="s">
        <v>6530</v>
      </c>
      <c r="D6" s="20" t="s">
        <v>6531</v>
      </c>
      <c r="E6" s="20" t="s">
        <v>6532</v>
      </c>
      <c r="F6" s="20"/>
      <c r="G6" s="20"/>
      <c r="H6" s="20"/>
      <c r="I6" s="20"/>
      <c r="J6" s="20"/>
      <c r="K6" s="20"/>
      <c r="L6" s="20"/>
      <c r="M6" s="20"/>
    </row>
    <row r="7" ht="57" customHeight="1">
      <c r="A7" s="20" t="s">
        <v>6533</v>
      </c>
      <c r="B7" s="20" t="s">
        <v>6534</v>
      </c>
      <c r="C7" s="20" t="s">
        <v>6535</v>
      </c>
      <c r="D7" s="20" t="s">
        <v>6536</v>
      </c>
      <c r="E7" s="20" t="s">
        <v>6537</v>
      </c>
      <c r="F7" s="20"/>
      <c r="G7" s="20" t="s">
        <v>6538</v>
      </c>
      <c r="H7" s="20"/>
      <c r="I7" s="20"/>
      <c r="J7" s="20"/>
      <c r="K7" s="20"/>
      <c r="L7" s="20"/>
      <c r="M7" s="20"/>
    </row>
    <row r="8" ht="42.75" customHeight="1">
      <c r="A8" s="20" t="s">
        <v>6539</v>
      </c>
      <c r="B8" s="20" t="s">
        <v>6540</v>
      </c>
      <c r="C8" s="20" t="s">
        <v>6541</v>
      </c>
      <c r="D8" s="20" t="s">
        <v>6542</v>
      </c>
      <c r="E8" s="20" t="s">
        <v>6543</v>
      </c>
      <c r="F8" s="20" t="s">
        <v>6544</v>
      </c>
      <c r="G8" s="20"/>
      <c r="H8" s="20"/>
      <c r="I8" s="20"/>
      <c r="J8" s="20" t="s">
        <v>6545</v>
      </c>
      <c r="K8" s="20" t="s">
        <v>6546</v>
      </c>
      <c r="L8" s="20"/>
      <c r="M8" s="20"/>
    </row>
    <row r="9" ht="71.25" customHeight="1">
      <c r="A9" s="20" t="s">
        <v>6547</v>
      </c>
      <c r="B9" s="20" t="s">
        <v>6540</v>
      </c>
      <c r="C9" s="20" t="s">
        <v>6548</v>
      </c>
      <c r="D9" s="20" t="s">
        <v>6549</v>
      </c>
      <c r="E9" s="20" t="s">
        <v>6550</v>
      </c>
      <c r="F9" s="20" t="s">
        <v>6551</v>
      </c>
      <c r="G9" s="20"/>
      <c r="H9" s="20"/>
      <c r="I9" s="20"/>
      <c r="J9" s="20" t="s">
        <v>6545</v>
      </c>
      <c r="K9" s="20" t="s">
        <v>6546</v>
      </c>
      <c r="L9" s="20"/>
      <c r="M9" s="20"/>
    </row>
    <row r="10" ht="42.75" customHeight="1">
      <c r="A10" s="20" t="s">
        <v>6552</v>
      </c>
      <c r="B10" s="20" t="s">
        <v>6540</v>
      </c>
      <c r="C10" s="20" t="s">
        <v>6553</v>
      </c>
      <c r="D10" s="20" t="s">
        <v>6554</v>
      </c>
      <c r="E10" s="20" t="s">
        <v>6555</v>
      </c>
      <c r="F10" s="20" t="s">
        <v>6556</v>
      </c>
      <c r="G10" s="20"/>
      <c r="H10" s="20"/>
      <c r="I10" s="20"/>
      <c r="J10" s="20" t="s">
        <v>6545</v>
      </c>
      <c r="K10" s="20" t="s">
        <v>6546</v>
      </c>
      <c r="L10" s="20"/>
      <c r="M10" s="20"/>
    </row>
  </sheetData>
  <pageMargins left="0.7" right="0.7" top="0.75" bottom="0.75" header="0.3" footer="0.3"/>
  <pageSetup paperSize="9" orientation="portrait" horizontalDpi="300" verticalDpi="300" r:id="rId2"/>
  <tableParts count="1">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Luciana Fernandes</cp:lastModifiedBy>
  <dcterms:modified xsi:type="dcterms:W3CDTF">2026-09-25T19:01:47Z</dcterms:modified>
</cp:coreProperties>
</file>